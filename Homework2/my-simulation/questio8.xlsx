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DE138C4E-F5E0-4BC9-A7FC-BDA28ADC86FD}" xr6:coauthVersionLast="47" xr6:coauthVersionMax="47" xr10:uidLastSave="{00000000-0000-0000-0000-000000000000}"/>
  <bookViews>
    <workbookView xWindow="-120" yWindow="-120" windowWidth="29040" windowHeight="15720" xr2:uid="{9AC2D330-C0E0-4239-9A1A-CE843B69F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E3" i="1"/>
  <c r="E4" i="1"/>
  <c r="E5" i="1"/>
  <c r="E6" i="1"/>
  <c r="E7" i="1"/>
  <c r="E8" i="1"/>
  <c r="E9" i="1"/>
  <c r="E10" i="1"/>
  <c r="H3" i="1" s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F18" i="1" s="1"/>
  <c r="D19" i="1"/>
  <c r="F19" i="1" s="1"/>
  <c r="D20" i="1"/>
  <c r="D21" i="1"/>
  <c r="D22" i="1"/>
  <c r="D23" i="1"/>
  <c r="D24" i="1"/>
  <c r="D25" i="1"/>
  <c r="D26" i="1"/>
  <c r="F26" i="1" s="1"/>
  <c r="D27" i="1"/>
  <c r="D28" i="1"/>
  <c r="D29" i="1"/>
  <c r="D30" i="1"/>
  <c r="D31" i="1"/>
  <c r="D32" i="1"/>
  <c r="D33" i="1"/>
  <c r="D34" i="1"/>
  <c r="F34" i="1" s="1"/>
  <c r="D35" i="1"/>
  <c r="D36" i="1"/>
  <c r="D37" i="1"/>
  <c r="D38" i="1"/>
  <c r="D39" i="1"/>
  <c r="D40" i="1"/>
  <c r="D41" i="1"/>
  <c r="D42" i="1"/>
  <c r="F42" i="1" s="1"/>
  <c r="D43" i="1"/>
  <c r="D44" i="1"/>
  <c r="D45" i="1"/>
  <c r="D46" i="1"/>
  <c r="D47" i="1"/>
  <c r="D48" i="1"/>
  <c r="D49" i="1"/>
  <c r="D50" i="1"/>
  <c r="F50" i="1" s="1"/>
  <c r="D51" i="1"/>
  <c r="D52" i="1"/>
  <c r="D53" i="1"/>
  <c r="D54" i="1"/>
  <c r="D55" i="1"/>
  <c r="D56" i="1"/>
  <c r="D57" i="1"/>
  <c r="D58" i="1"/>
  <c r="F58" i="1" s="1"/>
  <c r="D59" i="1"/>
  <c r="D60" i="1"/>
  <c r="D61" i="1"/>
  <c r="D62" i="1"/>
  <c r="D63" i="1"/>
  <c r="D64" i="1"/>
  <c r="D65" i="1"/>
  <c r="D66" i="1"/>
  <c r="F66" i="1" s="1"/>
  <c r="D67" i="1"/>
  <c r="D68" i="1"/>
  <c r="D69" i="1"/>
  <c r="D70" i="1"/>
  <c r="D71" i="1"/>
  <c r="D72" i="1"/>
  <c r="D73" i="1"/>
  <c r="D74" i="1"/>
  <c r="F74" i="1" s="1"/>
  <c r="D75" i="1"/>
  <c r="D76" i="1"/>
  <c r="D77" i="1"/>
  <c r="D78" i="1"/>
  <c r="D79" i="1"/>
  <c r="D80" i="1"/>
  <c r="D81" i="1"/>
  <c r="D82" i="1"/>
  <c r="F82" i="1" s="1"/>
  <c r="D83" i="1"/>
  <c r="D84" i="1"/>
  <c r="D85" i="1"/>
  <c r="D86" i="1"/>
  <c r="D87" i="1"/>
  <c r="D88" i="1"/>
  <c r="D89" i="1"/>
  <c r="D90" i="1"/>
  <c r="F90" i="1" s="1"/>
  <c r="D91" i="1"/>
  <c r="D2" i="1"/>
  <c r="F6" i="1"/>
  <c r="F13" i="1"/>
  <c r="F14" i="1"/>
  <c r="F15" i="1"/>
  <c r="F16" i="1"/>
  <c r="F17" i="1"/>
  <c r="F20" i="1"/>
  <c r="F21" i="1"/>
  <c r="F22" i="1"/>
  <c r="F23" i="1"/>
  <c r="F24" i="1"/>
  <c r="F25" i="1"/>
  <c r="F27" i="1"/>
  <c r="F28" i="1"/>
  <c r="F29" i="1"/>
  <c r="F30" i="1"/>
  <c r="F31" i="1"/>
  <c r="F32" i="1"/>
  <c r="F33" i="1"/>
  <c r="F35" i="1"/>
  <c r="F36" i="1"/>
  <c r="F37" i="1"/>
  <c r="F38" i="1"/>
  <c r="F39" i="1"/>
  <c r="F40" i="1"/>
  <c r="F41" i="1"/>
  <c r="F43" i="1"/>
  <c r="F44" i="1"/>
  <c r="F45" i="1"/>
  <c r="F46" i="1"/>
  <c r="F47" i="1"/>
  <c r="F48" i="1"/>
  <c r="F49" i="1"/>
  <c r="F51" i="1"/>
  <c r="F52" i="1"/>
  <c r="F53" i="1"/>
  <c r="F54" i="1"/>
  <c r="F55" i="1"/>
  <c r="F56" i="1"/>
  <c r="F57" i="1"/>
  <c r="F59" i="1"/>
  <c r="F60" i="1"/>
  <c r="F61" i="1"/>
  <c r="F62" i="1"/>
  <c r="F63" i="1"/>
  <c r="F64" i="1"/>
  <c r="F65" i="1"/>
  <c r="F67" i="1"/>
  <c r="F68" i="1"/>
  <c r="F69" i="1"/>
  <c r="F70" i="1"/>
  <c r="F71" i="1"/>
  <c r="F72" i="1"/>
  <c r="F73" i="1"/>
  <c r="F75" i="1"/>
  <c r="F76" i="1"/>
  <c r="F77" i="1"/>
  <c r="F78" i="1"/>
  <c r="F79" i="1"/>
  <c r="F80" i="1"/>
  <c r="F81" i="1"/>
  <c r="F83" i="1"/>
  <c r="F84" i="1"/>
  <c r="F85" i="1"/>
  <c r="F86" i="1"/>
  <c r="F87" i="1"/>
  <c r="F88" i="1"/>
  <c r="F89" i="1"/>
  <c r="F91" i="1"/>
  <c r="F3" i="1"/>
  <c r="F4" i="1"/>
  <c r="F5" i="1"/>
  <c r="F7" i="1"/>
  <c r="F8" i="1"/>
  <c r="F9" i="1"/>
  <c r="F10" i="1"/>
  <c r="F11" i="1"/>
  <c r="F12" i="1"/>
  <c r="F2" i="1"/>
  <c r="H1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2" i="1"/>
  <c r="H8" i="1" l="1"/>
  <c r="H9" i="1"/>
  <c r="H6" i="1"/>
  <c r="H5" i="1"/>
  <c r="H2" i="1"/>
</calcChain>
</file>

<file path=xl/sharedStrings.xml><?xml version="1.0" encoding="utf-8"?>
<sst xmlns="http://schemas.openxmlformats.org/spreadsheetml/2006/main" count="14" uniqueCount="14">
  <si>
    <t>X--Trace 1::[V(vo)]</t>
  </si>
  <si>
    <t>Y--Trace 1::[V(vo)]</t>
  </si>
  <si>
    <t>Vo(ideal)</t>
  </si>
  <si>
    <t>Delta V</t>
  </si>
  <si>
    <t>MAX Delta V</t>
  </si>
  <si>
    <t>MIN Delta V</t>
  </si>
  <si>
    <t>Error_input</t>
  </si>
  <si>
    <t>Error_output</t>
  </si>
  <si>
    <t>Max Error Input</t>
  </si>
  <si>
    <t>Min Error Input</t>
  </si>
  <si>
    <t>Max Error Output</t>
  </si>
  <si>
    <t>Min Error Output</t>
  </si>
  <si>
    <t>MAX V_o</t>
  </si>
  <si>
    <t>MIN V_o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</si>
</sst>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%"/>
    <numFmt numFmtId="165" formatCode="0.0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A123-9720-4F14-A8FD-C0E36E3EA946}">
  <dimension ref="A1:H91"/>
  <sheetViews>
    <sheetView tabSelected="1" workbookViewId="0">
      <selection activeCell="H6" sqref="H6"/>
    </sheetView>
  </sheetViews>
  <sheetFormatPr defaultRowHeight="15" x14ac:dyDescent="0.25"/>
  <cols>
    <col min="1" max="1" width="16.85546875" bestFit="1" customWidth="1"/>
    <col min="2" max="2" width="16.7109375" bestFit="1" customWidth="1"/>
    <col min="3" max="3" width="12" bestFit="1" customWidth="1"/>
    <col min="4" max="4" width="12.7109375" bestFit="1" customWidth="1"/>
    <col min="5" max="5" width="14.28515625" bestFit="1" customWidth="1"/>
    <col min="6" max="6" width="11.85546875" bestFit="1" customWidth="1"/>
    <col min="7" max="7" width="15.85546875" bestFit="1" customWidth="1"/>
    <col min="8" max="8" width="12.7109375" bestFit="1" customWidth="1"/>
    <col min="9" max="9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8" x14ac:dyDescent="0.25">
      <c r="A2">
        <v>1E-3</v>
      </c>
      <c r="B2">
        <v>-7.4376136212200188E-4</v>
      </c>
      <c r="C2">
        <f>A2*(5000/9) - (5/9)</f>
        <v>0</v>
      </c>
      <c r="D2">
        <f>ABS(B2-C2)</f>
        <v>7.4376136212200188E-4</v>
      </c>
      <c r="E2" s="1">
        <f>ABS(((B2+ (5/9))/(5000/9))-A2)/A2</f>
        <v>1.3387704518195639E-3</v>
      </c>
      <c r="F2" s="1">
        <f>IF(C2=0, D2, D2/C2)</f>
        <v>7.4376136212200188E-4</v>
      </c>
      <c r="G2" t="s">
        <v>8</v>
      </c>
      <c r="H2" s="2">
        <f>MAX($E:$E)</f>
        <v>7.0546430348857134E-3</v>
      </c>
    </row>
    <row r="3" spans="1:8" x14ac:dyDescent="0.25">
      <c r="A3">
        <v>1.1000000000000001E-3</v>
      </c>
      <c r="B3">
        <v>5.5256112168278637E-2</v>
      </c>
      <c r="C3">
        <f t="shared" ref="C3:C66" si="0">A3*(5000/9) - (5/9)</f>
        <v>5.555555555555558E-2</v>
      </c>
      <c r="D3">
        <f t="shared" ref="D3:D66" si="1">ABS(B3-C3)</f>
        <v>2.9944338727694308E-4</v>
      </c>
      <c r="E3" s="1">
        <f t="shared" ref="E3:E66" si="2">ABS(((B3+ (5/9))/(5000/9))-A3)/A3</f>
        <v>4.8999827008952177E-4</v>
      </c>
      <c r="F3" s="1">
        <f t="shared" ref="F3:F66" si="3">IF(C3=0, D3, D3/C3)</f>
        <v>5.3899809709849729E-3</v>
      </c>
      <c r="G3" t="s">
        <v>9</v>
      </c>
      <c r="H3" s="2">
        <f>MIN($E:$E)</f>
        <v>2.1731185222418514E-4</v>
      </c>
    </row>
    <row r="4" spans="1:8" x14ac:dyDescent="0.25">
      <c r="A4">
        <v>1.2000000000000001E-3</v>
      </c>
      <c r="B4">
        <v>0.11125598567926057</v>
      </c>
      <c r="C4">
        <f t="shared" si="0"/>
        <v>0.11111111111111116</v>
      </c>
      <c r="D4">
        <f t="shared" si="1"/>
        <v>1.4487456814940569E-4</v>
      </c>
      <c r="E4" s="1">
        <f t="shared" si="2"/>
        <v>2.1731185222418514E-4</v>
      </c>
      <c r="F4" s="1">
        <f t="shared" si="3"/>
        <v>1.3038711133446506E-3</v>
      </c>
    </row>
    <row r="5" spans="1:8" x14ac:dyDescent="0.25">
      <c r="A5">
        <v>1.3000000000000002E-3</v>
      </c>
      <c r="B5">
        <v>0.16725585919027022</v>
      </c>
      <c r="C5">
        <f t="shared" si="0"/>
        <v>0.16666666666666674</v>
      </c>
      <c r="D5">
        <f t="shared" si="1"/>
        <v>5.8919252360348229E-4</v>
      </c>
      <c r="E5" s="1">
        <f t="shared" si="2"/>
        <v>8.1580503268167287E-4</v>
      </c>
      <c r="F5" s="1">
        <f t="shared" si="3"/>
        <v>3.535155141620892E-3</v>
      </c>
      <c r="G5" t="s">
        <v>10</v>
      </c>
      <c r="H5" s="2">
        <f>MAX($F:$F)</f>
        <v>7.8472995556594198E-3</v>
      </c>
    </row>
    <row r="6" spans="1:8" x14ac:dyDescent="0.25">
      <c r="A6">
        <v>1.4000000000000002E-3</v>
      </c>
      <c r="B6">
        <v>0.22325573270127752</v>
      </c>
      <c r="C6">
        <f t="shared" si="0"/>
        <v>0.22222222222222232</v>
      </c>
      <c r="D6">
        <f t="shared" si="1"/>
        <v>1.0335104790551997E-3</v>
      </c>
      <c r="E6" s="1">
        <f t="shared" si="2"/>
        <v>1.3287991873567313E-3</v>
      </c>
      <c r="F6" s="1">
        <f>IF(C6=0, D6, D6/C6)</f>
        <v>4.6507971557483967E-3</v>
      </c>
      <c r="G6" t="s">
        <v>11</v>
      </c>
      <c r="H6" s="2">
        <f>MIN($F:$F)</f>
        <v>7.4376136212200188E-4</v>
      </c>
    </row>
    <row r="7" spans="1:8" x14ac:dyDescent="0.25">
      <c r="A7">
        <v>1.5000000000000002E-3</v>
      </c>
      <c r="B7">
        <v>0.27925560621228035</v>
      </c>
      <c r="C7">
        <f t="shared" si="0"/>
        <v>0.2777777777777779</v>
      </c>
      <c r="D7">
        <f t="shared" si="1"/>
        <v>1.4778284345024484E-3</v>
      </c>
      <c r="E7" s="1">
        <f t="shared" si="2"/>
        <v>1.7733941214031002E-3</v>
      </c>
      <c r="F7" s="1">
        <f t="shared" si="3"/>
        <v>5.3201823642088121E-3</v>
      </c>
    </row>
    <row r="8" spans="1:8" x14ac:dyDescent="0.25">
      <c r="A8">
        <v>1.6000000000000003E-3</v>
      </c>
      <c r="B8">
        <v>0.3352554797232849</v>
      </c>
      <c r="C8">
        <f t="shared" si="0"/>
        <v>0.33333333333333348</v>
      </c>
      <c r="D8">
        <f t="shared" si="1"/>
        <v>1.922146389951418E-3</v>
      </c>
      <c r="E8" s="1">
        <f t="shared" si="2"/>
        <v>2.1624146886954345E-3</v>
      </c>
      <c r="F8" s="1">
        <f t="shared" si="3"/>
        <v>5.7664391698542513E-3</v>
      </c>
      <c r="G8" t="s">
        <v>4</v>
      </c>
      <c r="H8">
        <f>MAX(D2:D202)</f>
        <v>3.8800536691871557E-2</v>
      </c>
    </row>
    <row r="9" spans="1:8" x14ac:dyDescent="0.25">
      <c r="A9">
        <v>1.7000000000000003E-3</v>
      </c>
      <c r="B9">
        <v>0.39125535323428723</v>
      </c>
      <c r="C9">
        <f t="shared" si="0"/>
        <v>0.38888888888888906</v>
      </c>
      <c r="D9">
        <f t="shared" si="1"/>
        <v>2.3664643453981671E-3</v>
      </c>
      <c r="E9" s="1">
        <f t="shared" si="2"/>
        <v>2.5056681304216691E-3</v>
      </c>
      <c r="F9" s="1">
        <f t="shared" si="3"/>
        <v>6.0851940310238557E-3</v>
      </c>
      <c r="G9" t="s">
        <v>5</v>
      </c>
      <c r="H9">
        <f>MIN(D2:D202)</f>
        <v>1.4487456814940569E-4</v>
      </c>
    </row>
    <row r="10" spans="1:8" x14ac:dyDescent="0.25">
      <c r="A10">
        <v>1.8000000000000004E-3</v>
      </c>
      <c r="B10">
        <v>0.44725522674528501</v>
      </c>
      <c r="C10">
        <f t="shared" si="0"/>
        <v>0.44444444444444464</v>
      </c>
      <c r="D10">
        <f t="shared" si="1"/>
        <v>2.8107823008403643E-3</v>
      </c>
      <c r="E10" s="1">
        <f t="shared" si="2"/>
        <v>2.8107823008402901E-3</v>
      </c>
      <c r="F10" s="1">
        <f t="shared" si="3"/>
        <v>6.324260176890817E-3</v>
      </c>
    </row>
    <row r="11" spans="1:8" x14ac:dyDescent="0.25">
      <c r="A11">
        <v>1.9000000000000004E-3</v>
      </c>
      <c r="B11">
        <v>0.50325510025629328</v>
      </c>
      <c r="C11">
        <f t="shared" si="0"/>
        <v>0.50000000000000022</v>
      </c>
      <c r="D11">
        <f t="shared" si="1"/>
        <v>3.2551002562930531E-3</v>
      </c>
      <c r="E11" s="1">
        <f t="shared" si="2"/>
        <v>3.0837791901723718E-3</v>
      </c>
      <c r="F11" s="1">
        <f t="shared" si="3"/>
        <v>6.5102005125861036E-3</v>
      </c>
      <c r="G11" t="s">
        <v>12</v>
      </c>
      <c r="H11">
        <f>MAX($B$2:$B$202)</f>
        <v>4.9832449811363135</v>
      </c>
    </row>
    <row r="12" spans="1:8" x14ac:dyDescent="0.25">
      <c r="A12">
        <v>2.0000000000000005E-3</v>
      </c>
      <c r="B12">
        <v>0.55925497376729572</v>
      </c>
      <c r="C12">
        <f t="shared" si="0"/>
        <v>0.5555555555555558</v>
      </c>
      <c r="D12">
        <f t="shared" si="1"/>
        <v>3.6994182117399133E-3</v>
      </c>
      <c r="E12" s="1">
        <f t="shared" si="2"/>
        <v>3.3294763905659325E-3</v>
      </c>
      <c r="F12" s="1">
        <f t="shared" si="3"/>
        <v>6.6589527811318407E-3</v>
      </c>
      <c r="G12" t="s">
        <v>13</v>
      </c>
      <c r="H12">
        <f>MIN($B$2:$B$202)</f>
        <v>-7.4376136212200188E-4</v>
      </c>
    </row>
    <row r="13" spans="1:8" x14ac:dyDescent="0.25">
      <c r="A13">
        <v>2.1000000000000003E-3</v>
      </c>
      <c r="B13">
        <v>0.61525484727829849</v>
      </c>
      <c r="C13">
        <f t="shared" si="0"/>
        <v>0.61111111111111116</v>
      </c>
      <c r="D13">
        <f t="shared" si="1"/>
        <v>4.1437361671873285E-3</v>
      </c>
      <c r="E13" s="1">
        <f t="shared" si="2"/>
        <v>3.5517738575891948E-3</v>
      </c>
      <c r="F13" s="1">
        <f t="shared" si="3"/>
        <v>6.7806591826701738E-3</v>
      </c>
    </row>
    <row r="14" spans="1:8" x14ac:dyDescent="0.25">
      <c r="A14">
        <v>2.2000000000000001E-3</v>
      </c>
      <c r="B14">
        <v>0.67125472078930315</v>
      </c>
      <c r="C14">
        <f t="shared" si="0"/>
        <v>0.66666666666666674</v>
      </c>
      <c r="D14">
        <f t="shared" si="1"/>
        <v>4.5880541226364091E-3</v>
      </c>
      <c r="E14" s="1">
        <f t="shared" si="2"/>
        <v>3.7538624639753583E-3</v>
      </c>
      <c r="F14" s="1">
        <f t="shared" si="3"/>
        <v>6.8820811839546128E-3</v>
      </c>
    </row>
    <row r="15" spans="1:8" x14ac:dyDescent="0.25">
      <c r="A15">
        <v>2.3E-3</v>
      </c>
      <c r="B15">
        <v>0.72725459430030737</v>
      </c>
      <c r="C15">
        <f t="shared" si="0"/>
        <v>0.7222222222222221</v>
      </c>
      <c r="D15">
        <f t="shared" si="1"/>
        <v>5.0323720780852677E-3</v>
      </c>
      <c r="E15" s="1">
        <f t="shared" si="2"/>
        <v>3.9383781480666962E-3</v>
      </c>
      <c r="F15" s="1">
        <f t="shared" si="3"/>
        <v>6.9678998004257565E-3</v>
      </c>
    </row>
    <row r="16" spans="1:8" x14ac:dyDescent="0.25">
      <c r="A16">
        <v>2.3999999999999998E-3</v>
      </c>
      <c r="B16">
        <v>0.78325446781131436</v>
      </c>
      <c r="C16">
        <f t="shared" si="0"/>
        <v>0.77777777777777768</v>
      </c>
      <c r="D16">
        <f t="shared" si="1"/>
        <v>5.4766900335366797E-3</v>
      </c>
      <c r="E16" s="1">
        <f t="shared" si="2"/>
        <v>4.10751752515241E-3</v>
      </c>
      <c r="F16" s="1">
        <f t="shared" si="3"/>
        <v>7.0414586145471601E-3</v>
      </c>
    </row>
    <row r="17" spans="1:6" x14ac:dyDescent="0.25">
      <c r="A17">
        <v>2.4999999999999996E-3</v>
      </c>
      <c r="B17">
        <v>0.83925434132232235</v>
      </c>
      <c r="C17">
        <f t="shared" si="0"/>
        <v>0.83333333333333304</v>
      </c>
      <c r="D17">
        <f t="shared" si="1"/>
        <v>5.921007988989313E-3</v>
      </c>
      <c r="E17" s="1">
        <f t="shared" si="2"/>
        <v>4.2631257520723076E-3</v>
      </c>
      <c r="F17" s="1">
        <f t="shared" si="3"/>
        <v>7.1052095867871782E-3</v>
      </c>
    </row>
    <row r="18" spans="1:6" x14ac:dyDescent="0.25">
      <c r="A18">
        <v>2.5999999999999994E-3</v>
      </c>
      <c r="B18">
        <v>0.89525421483331435</v>
      </c>
      <c r="C18">
        <f t="shared" si="0"/>
        <v>0.88888888888888862</v>
      </c>
      <c r="D18">
        <f t="shared" si="1"/>
        <v>6.3653259444257371E-3</v>
      </c>
      <c r="E18" s="1">
        <f t="shared" si="2"/>
        <v>4.4067641153718064E-3</v>
      </c>
      <c r="F18" s="1">
        <f t="shared" si="3"/>
        <v>7.1609916874789568E-3</v>
      </c>
    </row>
    <row r="19" spans="1:6" x14ac:dyDescent="0.25">
      <c r="A19">
        <v>2.6999999999999993E-3</v>
      </c>
      <c r="B19">
        <v>0.95125408834432146</v>
      </c>
      <c r="C19">
        <f t="shared" si="0"/>
        <v>0.94444444444444398</v>
      </c>
      <c r="D19">
        <f t="shared" si="1"/>
        <v>6.8096438998774822E-3</v>
      </c>
      <c r="E19" s="1">
        <f t="shared" si="2"/>
        <v>4.5397625999183382E-3</v>
      </c>
      <c r="F19" s="1">
        <f t="shared" si="3"/>
        <v>7.210211188105573E-3</v>
      </c>
    </row>
    <row r="20" spans="1:6" x14ac:dyDescent="0.25">
      <c r="A20">
        <v>2.7999999999999991E-3</v>
      </c>
      <c r="B20">
        <v>1.0072539618553296</v>
      </c>
      <c r="C20">
        <f t="shared" si="0"/>
        <v>0.99999999999999933</v>
      </c>
      <c r="D20">
        <f t="shared" si="1"/>
        <v>7.2539618553302265E-3</v>
      </c>
      <c r="E20" s="1">
        <f t="shared" si="2"/>
        <v>4.6632611927121658E-3</v>
      </c>
      <c r="F20" s="1">
        <f t="shared" si="3"/>
        <v>7.2539618553302317E-3</v>
      </c>
    </row>
    <row r="21" spans="1:6" x14ac:dyDescent="0.25">
      <c r="A21">
        <v>2.8999999999999989E-3</v>
      </c>
      <c r="B21">
        <v>1.0632538353663346</v>
      </c>
      <c r="C21">
        <f t="shared" si="0"/>
        <v>1.0555555555555549</v>
      </c>
      <c r="D21">
        <f t="shared" si="1"/>
        <v>7.6982798107796402E-3</v>
      </c>
      <c r="E21" s="1">
        <f t="shared" si="2"/>
        <v>4.7782426411735902E-3</v>
      </c>
      <c r="F21" s="1">
        <f t="shared" si="3"/>
        <v>7.2931071891596637E-3</v>
      </c>
    </row>
    <row r="22" spans="1:6" x14ac:dyDescent="0.25">
      <c r="A22">
        <v>2.9999999999999988E-3</v>
      </c>
      <c r="B22">
        <v>1.119253708877334</v>
      </c>
      <c r="C22">
        <f t="shared" si="0"/>
        <v>1.1111111111111103</v>
      </c>
      <c r="D22">
        <f t="shared" si="1"/>
        <v>8.1425977662237248E-3</v>
      </c>
      <c r="E22" s="1">
        <f t="shared" si="2"/>
        <v>4.8855586597341171E-3</v>
      </c>
      <c r="F22" s="1">
        <f t="shared" si="3"/>
        <v>7.3283379896013582E-3</v>
      </c>
    </row>
    <row r="23" spans="1:6" x14ac:dyDescent="0.25">
      <c r="A23">
        <v>3.0999999999999986E-3</v>
      </c>
      <c r="B23">
        <v>1.1752535823883383</v>
      </c>
      <c r="C23">
        <f t="shared" si="0"/>
        <v>1.1666666666666659</v>
      </c>
      <c r="D23">
        <f t="shared" si="1"/>
        <v>8.5869157216724723E-3</v>
      </c>
      <c r="E23" s="1">
        <f t="shared" si="2"/>
        <v>4.9859510641969028E-3</v>
      </c>
      <c r="F23" s="1">
        <f t="shared" si="3"/>
        <v>7.3602134757192669E-3</v>
      </c>
    </row>
    <row r="24" spans="1:6" x14ac:dyDescent="0.25">
      <c r="A24">
        <v>3.1999999999999984E-3</v>
      </c>
      <c r="B24">
        <v>1.2312534558993449</v>
      </c>
      <c r="C24">
        <f t="shared" si="0"/>
        <v>1.2222222222222212</v>
      </c>
      <c r="D24">
        <f t="shared" si="1"/>
        <v>9.0312336771236623E-3</v>
      </c>
      <c r="E24" s="1">
        <f t="shared" si="2"/>
        <v>5.0800689433819837E-3</v>
      </c>
      <c r="F24" s="1">
        <f t="shared" si="3"/>
        <v>7.3891911903739118E-3</v>
      </c>
    </row>
    <row r="25" spans="1:6" x14ac:dyDescent="0.25">
      <c r="A25">
        <v>3.2999999999999982E-3</v>
      </c>
      <c r="B25">
        <v>1.2872533294103419</v>
      </c>
      <c r="C25">
        <f t="shared" si="0"/>
        <v>1.2777777777777768</v>
      </c>
      <c r="D25">
        <f t="shared" si="1"/>
        <v>9.4755516325650824E-3</v>
      </c>
      <c r="E25" s="1">
        <f t="shared" si="2"/>
        <v>5.1684827086719339E-3</v>
      </c>
      <c r="F25" s="1">
        <f t="shared" si="3"/>
        <v>7.4156491037465919E-3</v>
      </c>
    </row>
    <row r="26" spans="1:6" x14ac:dyDescent="0.25">
      <c r="A26">
        <v>3.3999999999999981E-3</v>
      </c>
      <c r="B26">
        <v>1.3432532029213391</v>
      </c>
      <c r="C26">
        <f t="shared" si="0"/>
        <v>1.3333333333333321</v>
      </c>
      <c r="D26">
        <f t="shared" si="1"/>
        <v>9.9198695880069465E-3</v>
      </c>
      <c r="E26" s="1">
        <f t="shared" si="2"/>
        <v>5.2516956642389466E-3</v>
      </c>
      <c r="F26" s="1">
        <f t="shared" si="3"/>
        <v>7.4399021910052168E-3</v>
      </c>
    </row>
    <row r="27" spans="1:6" x14ac:dyDescent="0.25">
      <c r="A27">
        <v>3.4999999999999979E-3</v>
      </c>
      <c r="B27">
        <v>1.3992530764323474</v>
      </c>
      <c r="C27">
        <f t="shared" si="0"/>
        <v>1.3888888888888877</v>
      </c>
      <c r="D27">
        <f t="shared" si="1"/>
        <v>1.0364187543459691E-2</v>
      </c>
      <c r="E27" s="1">
        <f t="shared" si="2"/>
        <v>5.3301535937792582E-3</v>
      </c>
      <c r="F27" s="1">
        <f t="shared" si="3"/>
        <v>7.462215031290984E-3</v>
      </c>
    </row>
    <row r="28" spans="1:6" x14ac:dyDescent="0.25">
      <c r="A28">
        <v>3.5999999999999977E-3</v>
      </c>
      <c r="B28">
        <v>1.455252949943346</v>
      </c>
      <c r="C28">
        <f t="shared" si="0"/>
        <v>1.4444444444444431</v>
      </c>
      <c r="D28">
        <f t="shared" si="1"/>
        <v>1.0808505498902887E-2</v>
      </c>
      <c r="E28" s="1">
        <f t="shared" si="2"/>
        <v>5.4042527494512797E-3</v>
      </c>
      <c r="F28" s="1">
        <f t="shared" si="3"/>
        <v>7.4828114992404673E-3</v>
      </c>
    </row>
    <row r="29" spans="1:6" x14ac:dyDescent="0.25">
      <c r="A29">
        <v>3.6999999999999976E-3</v>
      </c>
      <c r="B29">
        <v>1.5112528234543441</v>
      </c>
      <c r="C29">
        <f t="shared" si="0"/>
        <v>1.4999999999999984</v>
      </c>
      <c r="D29">
        <f t="shared" si="1"/>
        <v>1.125282345434564E-2</v>
      </c>
      <c r="E29" s="1">
        <f t="shared" si="2"/>
        <v>5.474346545357364E-3</v>
      </c>
      <c r="F29" s="1">
        <f t="shared" si="3"/>
        <v>7.5018823028971011E-3</v>
      </c>
    </row>
    <row r="30" spans="1:6" x14ac:dyDescent="0.25">
      <c r="A30">
        <v>3.7999999999999974E-3</v>
      </c>
      <c r="B30">
        <v>1.5672526969653491</v>
      </c>
      <c r="C30">
        <f t="shared" si="0"/>
        <v>1.5555555555555542</v>
      </c>
      <c r="D30">
        <f t="shared" si="1"/>
        <v>1.1697141409794831E-2</v>
      </c>
      <c r="E30" s="1">
        <f t="shared" si="2"/>
        <v>5.5407511941134632E-3</v>
      </c>
      <c r="F30" s="1">
        <f t="shared" si="3"/>
        <v>7.5195909062966831E-3</v>
      </c>
    </row>
    <row r="31" spans="1:6" x14ac:dyDescent="0.25">
      <c r="A31">
        <v>3.8999999999999972E-3</v>
      </c>
      <c r="B31">
        <v>1.623252570476353</v>
      </c>
      <c r="C31">
        <f t="shared" si="0"/>
        <v>1.6111111111111096</v>
      </c>
      <c r="D31">
        <f t="shared" si="1"/>
        <v>1.2141459365243357E-2</v>
      </c>
      <c r="E31" s="1">
        <f t="shared" si="2"/>
        <v>5.6037504762662411E-3</v>
      </c>
      <c r="F31" s="1">
        <f t="shared" si="3"/>
        <v>7.5360782267027806E-3</v>
      </c>
    </row>
    <row r="32" spans="1:6" x14ac:dyDescent="0.25">
      <c r="A32">
        <v>3.9999999999999975E-3</v>
      </c>
      <c r="B32">
        <v>1.6792524439873511</v>
      </c>
      <c r="C32">
        <f t="shared" si="0"/>
        <v>1.6666666666666654</v>
      </c>
      <c r="D32">
        <f t="shared" si="1"/>
        <v>1.2585777320685665E-2</v>
      </c>
      <c r="E32" s="1">
        <f t="shared" si="2"/>
        <v>5.66359979430856E-3</v>
      </c>
      <c r="F32" s="1">
        <f t="shared" si="3"/>
        <v>7.5514663924114043E-3</v>
      </c>
    </row>
    <row r="33" spans="1:6" x14ac:dyDescent="0.25">
      <c r="A33">
        <v>4.0999999999999977E-3</v>
      </c>
      <c r="B33">
        <v>1.7352523174983558</v>
      </c>
      <c r="C33">
        <f t="shared" si="0"/>
        <v>1.7222222222222208</v>
      </c>
      <c r="D33">
        <f t="shared" si="1"/>
        <v>1.3030095276135079E-2</v>
      </c>
      <c r="E33" s="1">
        <f t="shared" si="2"/>
        <v>5.7205296334251589E-3</v>
      </c>
      <c r="F33" s="1">
        <f t="shared" si="3"/>
        <v>7.5658617732397293E-3</v>
      </c>
    </row>
    <row r="34" spans="1:6" x14ac:dyDescent="0.25">
      <c r="A34">
        <v>4.199999999999998E-3</v>
      </c>
      <c r="B34">
        <v>1.7912521910093553</v>
      </c>
      <c r="C34">
        <f t="shared" si="0"/>
        <v>1.7777777777777766</v>
      </c>
      <c r="D34">
        <f t="shared" si="1"/>
        <v>1.3474413231578719E-2</v>
      </c>
      <c r="E34" s="1">
        <f t="shared" si="2"/>
        <v>5.7747485278194415E-3</v>
      </c>
      <c r="F34" s="1">
        <f t="shared" si="3"/>
        <v>7.5793574427630347E-3</v>
      </c>
    </row>
    <row r="35" spans="1:6" x14ac:dyDescent="0.25">
      <c r="A35">
        <v>4.2999999999999983E-3</v>
      </c>
      <c r="B35">
        <v>1.8472520645203616</v>
      </c>
      <c r="C35">
        <f t="shared" si="0"/>
        <v>1.8333333333333324</v>
      </c>
      <c r="D35">
        <f t="shared" si="1"/>
        <v>1.3918731187029243E-2</v>
      </c>
      <c r="E35" s="1">
        <f t="shared" si="2"/>
        <v>5.8264456131749539E-3</v>
      </c>
      <c r="F35" s="1">
        <f t="shared" si="3"/>
        <v>7.5920351929250453E-3</v>
      </c>
    </row>
    <row r="36" spans="1:6" x14ac:dyDescent="0.25">
      <c r="A36">
        <v>4.3999999999999985E-3</v>
      </c>
      <c r="B36">
        <v>1.9032519380313664</v>
      </c>
      <c r="C36">
        <f t="shared" si="0"/>
        <v>1.8888888888888882</v>
      </c>
      <c r="D36">
        <f t="shared" si="1"/>
        <v>1.4363049142478213E-2</v>
      </c>
      <c r="E36" s="1">
        <f t="shared" si="2"/>
        <v>5.8757928310137148E-3</v>
      </c>
      <c r="F36" s="1">
        <f t="shared" si="3"/>
        <v>7.6039671930767036E-3</v>
      </c>
    </row>
    <row r="37" spans="1:6" x14ac:dyDescent="0.25">
      <c r="A37">
        <v>4.4999999999999988E-3</v>
      </c>
      <c r="B37">
        <v>1.9592518115423634</v>
      </c>
      <c r="C37">
        <f t="shared" si="0"/>
        <v>1.9444444444444435</v>
      </c>
      <c r="D37">
        <f t="shared" si="1"/>
        <v>1.4807367097919855E-2</v>
      </c>
      <c r="E37" s="1">
        <f t="shared" si="2"/>
        <v>5.922946839167862E-3</v>
      </c>
      <c r="F37" s="1">
        <f t="shared" si="3"/>
        <v>7.6152173646445E-3</v>
      </c>
    </row>
    <row r="38" spans="1:6" x14ac:dyDescent="0.25">
      <c r="A38">
        <v>4.5999999999999991E-3</v>
      </c>
      <c r="B38">
        <v>2.0152516850533697</v>
      </c>
      <c r="C38">
        <f t="shared" si="0"/>
        <v>1.9999999999999993</v>
      </c>
      <c r="D38">
        <f t="shared" si="1"/>
        <v>1.5251685053370378E-2</v>
      </c>
      <c r="E38" s="1">
        <f t="shared" si="2"/>
        <v>5.9680506730578316E-3</v>
      </c>
      <c r="F38" s="1">
        <f t="shared" si="3"/>
        <v>7.6258425266851919E-3</v>
      </c>
    </row>
    <row r="39" spans="1:6" x14ac:dyDescent="0.25">
      <c r="A39">
        <v>4.6999999999999993E-3</v>
      </c>
      <c r="B39">
        <v>2.0712515585643629</v>
      </c>
      <c r="C39">
        <f t="shared" si="0"/>
        <v>2.0555555555555554</v>
      </c>
      <c r="D39">
        <f t="shared" si="1"/>
        <v>1.569600300880758E-2</v>
      </c>
      <c r="E39" s="1">
        <f t="shared" si="2"/>
        <v>6.0112351948625785E-3</v>
      </c>
      <c r="F39" s="1">
        <f t="shared" si="3"/>
        <v>7.6358933556361207E-3</v>
      </c>
    </row>
    <row r="40" spans="1:6" x14ac:dyDescent="0.25">
      <c r="A40">
        <v>4.7999999999999996E-3</v>
      </c>
      <c r="B40">
        <v>2.1272514320753637</v>
      </c>
      <c r="C40">
        <f t="shared" si="0"/>
        <v>2.1111111111111107</v>
      </c>
      <c r="D40">
        <f t="shared" si="1"/>
        <v>1.6140320964252997E-2</v>
      </c>
      <c r="E40" s="1">
        <f t="shared" si="2"/>
        <v>6.0526203615950186E-3</v>
      </c>
      <c r="F40" s="1">
        <f t="shared" si="3"/>
        <v>7.6454151935935258E-3</v>
      </c>
    </row>
    <row r="41" spans="1:6" x14ac:dyDescent="0.25">
      <c r="A41">
        <v>4.8999999999999998E-3</v>
      </c>
      <c r="B41">
        <v>2.1832513055863734</v>
      </c>
      <c r="C41">
        <f t="shared" si="0"/>
        <v>2.1666666666666661</v>
      </c>
      <c r="D41">
        <f t="shared" si="1"/>
        <v>1.6584638919707295E-2</v>
      </c>
      <c r="E41" s="1">
        <f t="shared" si="2"/>
        <v>6.0923163378514165E-3</v>
      </c>
      <c r="F41" s="1">
        <f t="shared" si="3"/>
        <v>7.6544487321725998E-3</v>
      </c>
    </row>
    <row r="42" spans="1:6" x14ac:dyDescent="0.25">
      <c r="A42">
        <v>5.0000000000000001E-3</v>
      </c>
      <c r="B42">
        <v>2.239251179097375</v>
      </c>
      <c r="C42">
        <f t="shared" si="0"/>
        <v>2.2222222222222223</v>
      </c>
      <c r="D42">
        <f t="shared" si="1"/>
        <v>1.7028956875152712E-2</v>
      </c>
      <c r="E42" s="1">
        <f t="shared" si="2"/>
        <v>6.1304244750551296E-3</v>
      </c>
      <c r="F42" s="1">
        <f t="shared" si="3"/>
        <v>7.6630305938187203E-3</v>
      </c>
    </row>
    <row r="43" spans="1:6" x14ac:dyDescent="0.25">
      <c r="A43">
        <v>5.1000000000000004E-3</v>
      </c>
      <c r="B43">
        <v>2.2952510526083771</v>
      </c>
      <c r="C43">
        <f t="shared" si="0"/>
        <v>2.2777777777777777</v>
      </c>
      <c r="D43">
        <f t="shared" si="1"/>
        <v>1.7473274830599461E-2</v>
      </c>
      <c r="E43" s="1">
        <f t="shared" si="2"/>
        <v>6.1670381755057554E-3</v>
      </c>
      <c r="F43" s="1">
        <f t="shared" si="3"/>
        <v>7.6711938280680566E-3</v>
      </c>
    </row>
    <row r="44" spans="1:6" x14ac:dyDescent="0.25">
      <c r="A44">
        <v>5.2000000000000006E-3</v>
      </c>
      <c r="B44">
        <v>2.3512509261193744</v>
      </c>
      <c r="C44">
        <f t="shared" si="0"/>
        <v>2.3333333333333339</v>
      </c>
      <c r="D44">
        <f t="shared" si="1"/>
        <v>1.7917592786040437E-2</v>
      </c>
      <c r="E44" s="1">
        <f t="shared" si="2"/>
        <v>6.2022436567062793E-3</v>
      </c>
      <c r="F44" s="1">
        <f t="shared" si="3"/>
        <v>7.6789683368744715E-3</v>
      </c>
    </row>
    <row r="45" spans="1:6" x14ac:dyDescent="0.25">
      <c r="A45">
        <v>5.3000000000000009E-3</v>
      </c>
      <c r="B45">
        <v>2.4072507996303809</v>
      </c>
      <c r="C45">
        <f t="shared" si="0"/>
        <v>2.3888888888888893</v>
      </c>
      <c r="D45">
        <f t="shared" si="1"/>
        <v>1.8361910741491627E-2</v>
      </c>
      <c r="E45" s="1">
        <f t="shared" si="2"/>
        <v>6.2361206291856918E-3</v>
      </c>
      <c r="F45" s="1">
        <f t="shared" si="3"/>
        <v>7.6863812406244006E-3</v>
      </c>
    </row>
    <row r="46" spans="1:6" x14ac:dyDescent="0.25">
      <c r="A46">
        <v>5.4000000000000012E-3</v>
      </c>
      <c r="B46">
        <v>2.4632506731413777</v>
      </c>
      <c r="C46">
        <f t="shared" si="0"/>
        <v>2.4444444444444446</v>
      </c>
      <c r="D46">
        <f t="shared" si="1"/>
        <v>1.8806228696933047E-2</v>
      </c>
      <c r="E46" s="1">
        <f t="shared" si="2"/>
        <v>6.2687428989774687E-3</v>
      </c>
      <c r="F46" s="1">
        <f t="shared" si="3"/>
        <v>7.6934571941998826E-3</v>
      </c>
    </row>
    <row r="47" spans="1:6" x14ac:dyDescent="0.25">
      <c r="A47">
        <v>5.5000000000000014E-3</v>
      </c>
      <c r="B47">
        <v>2.5192505466523833</v>
      </c>
      <c r="C47">
        <f t="shared" si="0"/>
        <v>2.5000000000000009</v>
      </c>
      <c r="D47">
        <f t="shared" si="1"/>
        <v>1.9250546652382461E-2</v>
      </c>
      <c r="E47" s="1">
        <f t="shared" si="2"/>
        <v>6.3001789044160195E-3</v>
      </c>
      <c r="F47" s="1">
        <f t="shared" si="3"/>
        <v>7.7002186609529816E-3</v>
      </c>
    </row>
    <row r="48" spans="1:6" x14ac:dyDescent="0.25">
      <c r="A48">
        <v>5.6000000000000017E-3</v>
      </c>
      <c r="B48">
        <v>2.5752504201633872</v>
      </c>
      <c r="C48">
        <f t="shared" si="0"/>
        <v>2.5555555555555562</v>
      </c>
      <c r="D48">
        <f t="shared" si="1"/>
        <v>1.9694864607830986E-2</v>
      </c>
      <c r="E48" s="1">
        <f t="shared" si="2"/>
        <v>6.3304921953741579E-3</v>
      </c>
      <c r="F48" s="1">
        <f t="shared" si="3"/>
        <v>7.7066861508903843E-3</v>
      </c>
    </row>
    <row r="49" spans="1:6" x14ac:dyDescent="0.25">
      <c r="A49">
        <v>5.7000000000000019E-3</v>
      </c>
      <c r="B49">
        <v>2.6312502936743822</v>
      </c>
      <c r="C49">
        <f t="shared" si="0"/>
        <v>2.6111111111111125</v>
      </c>
      <c r="D49">
        <f t="shared" si="1"/>
        <v>2.0139182563269742E-2</v>
      </c>
      <c r="E49" s="1">
        <f t="shared" si="2"/>
        <v>6.3597418620852603E-3</v>
      </c>
      <c r="F49" s="1">
        <f t="shared" si="3"/>
        <v>7.7128784284862797E-3</v>
      </c>
    </row>
    <row r="50" spans="1:6" x14ac:dyDescent="0.25">
      <c r="A50">
        <v>5.8000000000000022E-3</v>
      </c>
      <c r="B50">
        <v>2.6872501671853835</v>
      </c>
      <c r="C50">
        <f t="shared" si="0"/>
        <v>2.6666666666666679</v>
      </c>
      <c r="D50">
        <f t="shared" si="1"/>
        <v>2.0583500518715603E-2</v>
      </c>
      <c r="E50" s="1">
        <f t="shared" si="2"/>
        <v>6.3879829196013711E-3</v>
      </c>
      <c r="F50" s="1">
        <f t="shared" si="3"/>
        <v>7.7188126945183476E-3</v>
      </c>
    </row>
    <row r="51" spans="1:6" x14ac:dyDescent="0.25">
      <c r="A51">
        <v>5.9000000000000025E-3</v>
      </c>
      <c r="B51">
        <v>2.7432500406963842</v>
      </c>
      <c r="C51">
        <f t="shared" si="0"/>
        <v>2.7222222222222232</v>
      </c>
      <c r="D51">
        <f t="shared" si="1"/>
        <v>2.102781847416102E-2</v>
      </c>
      <c r="E51" s="1">
        <f t="shared" si="2"/>
        <v>6.4152666531338857E-3</v>
      </c>
      <c r="F51" s="1">
        <f t="shared" si="3"/>
        <v>7.7245047456101674E-3</v>
      </c>
    </row>
    <row r="52" spans="1:6" x14ac:dyDescent="0.25">
      <c r="A52">
        <v>6.0000000000000027E-3</v>
      </c>
      <c r="B52">
        <v>2.7992499142073872</v>
      </c>
      <c r="C52">
        <f t="shared" si="0"/>
        <v>2.7777777777777795</v>
      </c>
      <c r="D52">
        <f t="shared" si="1"/>
        <v>2.1472136429607769E-2</v>
      </c>
      <c r="E52" s="1">
        <f t="shared" si="2"/>
        <v>6.4416409288824165E-3</v>
      </c>
      <c r="F52" s="1">
        <f t="shared" si="3"/>
        <v>7.7299691146587917E-3</v>
      </c>
    </row>
    <row r="53" spans="1:6" x14ac:dyDescent="0.25">
      <c r="A53">
        <v>6.100000000000003E-3</v>
      </c>
      <c r="B53">
        <v>2.855249787718376</v>
      </c>
      <c r="C53">
        <f t="shared" si="0"/>
        <v>2.8333333333333348</v>
      </c>
      <c r="D53">
        <f t="shared" si="1"/>
        <v>2.1916454385041195E-2</v>
      </c>
      <c r="E53" s="1">
        <f t="shared" si="2"/>
        <v>6.4671504742745559E-3</v>
      </c>
      <c r="F53" s="1">
        <f t="shared" si="3"/>
        <v>7.7352191947204175E-3</v>
      </c>
    </row>
    <row r="54" spans="1:6" x14ac:dyDescent="0.25">
      <c r="A54">
        <v>6.2000000000000033E-3</v>
      </c>
      <c r="B54">
        <v>2.9112496612293848</v>
      </c>
      <c r="C54">
        <f t="shared" si="0"/>
        <v>2.8888888888888902</v>
      </c>
      <c r="D54">
        <f t="shared" si="1"/>
        <v>2.2360772340494606E-2</v>
      </c>
      <c r="E54" s="1">
        <f t="shared" si="2"/>
        <v>6.4918371311111136E-3</v>
      </c>
      <c r="F54" s="1">
        <f t="shared" si="3"/>
        <v>7.7402673486327445E-3</v>
      </c>
    </row>
    <row r="55" spans="1:6" x14ac:dyDescent="0.25">
      <c r="A55">
        <v>6.3000000000000035E-3</v>
      </c>
      <c r="B55">
        <v>2.9672495347403878</v>
      </c>
      <c r="C55">
        <f t="shared" si="0"/>
        <v>2.9444444444444464</v>
      </c>
      <c r="D55">
        <f t="shared" si="1"/>
        <v>2.2805090295941355E-2</v>
      </c>
      <c r="E55" s="1">
        <f t="shared" si="2"/>
        <v>6.5157400845546583E-3</v>
      </c>
      <c r="F55" s="1">
        <f t="shared" si="3"/>
        <v>7.7451250061687568E-3</v>
      </c>
    </row>
    <row r="56" spans="1:6" x14ac:dyDescent="0.25">
      <c r="A56">
        <v>6.4000000000000038E-3</v>
      </c>
      <c r="B56">
        <v>3.0232494082513859</v>
      </c>
      <c r="C56">
        <f t="shared" si="0"/>
        <v>3.0000000000000018</v>
      </c>
      <c r="D56">
        <f t="shared" si="1"/>
        <v>2.3249408251384107E-2</v>
      </c>
      <c r="E56" s="1">
        <f t="shared" si="2"/>
        <v>6.5388960707017368E-3</v>
      </c>
      <c r="F56" s="1">
        <f t="shared" si="3"/>
        <v>7.7498027504613641E-3</v>
      </c>
    </row>
    <row r="57" spans="1:6" x14ac:dyDescent="0.25">
      <c r="A57">
        <v>6.500000000000004E-3</v>
      </c>
      <c r="B57">
        <v>3.0792492817623844</v>
      </c>
      <c r="C57">
        <f t="shared" si="0"/>
        <v>3.055555555555558</v>
      </c>
      <c r="D57">
        <f t="shared" si="1"/>
        <v>2.3693726206826415E-2</v>
      </c>
      <c r="E57" s="1">
        <f t="shared" si="2"/>
        <v>6.5613395649675001E-3</v>
      </c>
      <c r="F57" s="1">
        <f t="shared" si="3"/>
        <v>7.7543103949613661E-3</v>
      </c>
    </row>
    <row r="58" spans="1:6" x14ac:dyDescent="0.25">
      <c r="A58">
        <v>6.6000000000000043E-3</v>
      </c>
      <c r="B58">
        <v>3.1352491552733892</v>
      </c>
      <c r="C58">
        <f t="shared" si="0"/>
        <v>3.1111111111111134</v>
      </c>
      <c r="D58">
        <f t="shared" si="1"/>
        <v>2.4138044162275829E-2</v>
      </c>
      <c r="E58" s="1">
        <f t="shared" si="2"/>
        <v>6.583102953347999E-3</v>
      </c>
      <c r="F58" s="1">
        <f t="shared" si="3"/>
        <v>7.7586570521600822E-3</v>
      </c>
    </row>
    <row r="59" spans="1:6" x14ac:dyDescent="0.25">
      <c r="A59">
        <v>6.7000000000000046E-3</v>
      </c>
      <c r="B59">
        <v>3.1912490287843904</v>
      </c>
      <c r="C59">
        <f t="shared" si="0"/>
        <v>3.1666666666666687</v>
      </c>
      <c r="D59">
        <f t="shared" si="1"/>
        <v>2.458236211772169E-2</v>
      </c>
      <c r="E59" s="1">
        <f t="shared" si="2"/>
        <v>6.6042166883430991E-3</v>
      </c>
      <c r="F59" s="1">
        <f t="shared" si="3"/>
        <v>7.7628511950700021E-3</v>
      </c>
    </row>
    <row r="60" spans="1:6" x14ac:dyDescent="0.25">
      <c r="A60">
        <v>6.8000000000000048E-3</v>
      </c>
      <c r="B60">
        <v>3.247248902295389</v>
      </c>
      <c r="C60">
        <f t="shared" si="0"/>
        <v>3.222222222222225</v>
      </c>
      <c r="D60">
        <f t="shared" si="1"/>
        <v>2.5026680073163998E-2</v>
      </c>
      <c r="E60" s="1">
        <f t="shared" si="2"/>
        <v>6.6247094311316958E-3</v>
      </c>
      <c r="F60" s="1">
        <f t="shared" si="3"/>
        <v>7.7669007123612344E-3</v>
      </c>
    </row>
    <row r="61" spans="1:6" x14ac:dyDescent="0.25">
      <c r="A61">
        <v>6.9000000000000051E-3</v>
      </c>
      <c r="B61">
        <v>3.3032487758063902</v>
      </c>
      <c r="C61">
        <f t="shared" si="0"/>
        <v>3.2777777777777803</v>
      </c>
      <c r="D61">
        <f t="shared" si="1"/>
        <v>2.5470998028609859E-2</v>
      </c>
      <c r="E61" s="1">
        <f t="shared" si="2"/>
        <v>6.6446081813764501E-3</v>
      </c>
      <c r="F61" s="1">
        <f t="shared" si="3"/>
        <v>7.7708129578809683E-3</v>
      </c>
    </row>
    <row r="62" spans="1:6" x14ac:dyDescent="0.25">
      <c r="A62">
        <v>7.0000000000000053E-3</v>
      </c>
      <c r="B62">
        <v>3.3592486493173874</v>
      </c>
      <c r="C62">
        <f t="shared" si="0"/>
        <v>3.3333333333333366</v>
      </c>
      <c r="D62">
        <f t="shared" si="1"/>
        <v>2.5915315984050835E-2</v>
      </c>
      <c r="E62" s="1">
        <f t="shared" si="2"/>
        <v>6.6639383958988097E-3</v>
      </c>
      <c r="F62" s="1">
        <f t="shared" si="3"/>
        <v>7.7745947952152427E-3</v>
      </c>
    </row>
    <row r="63" spans="1:6" x14ac:dyDescent="0.25">
      <c r="A63">
        <v>7.1000000000000056E-3</v>
      </c>
      <c r="B63">
        <v>3.4152485228283793</v>
      </c>
      <c r="C63">
        <f t="shared" si="0"/>
        <v>3.3888888888888919</v>
      </c>
      <c r="D63">
        <f t="shared" si="1"/>
        <v>2.635963393948737E-2</v>
      </c>
      <c r="E63" s="1">
        <f t="shared" si="2"/>
        <v>6.6827240973349336E-3</v>
      </c>
      <c r="F63" s="1">
        <f t="shared" si="3"/>
        <v>7.7782526378815118E-3</v>
      </c>
    </row>
    <row r="64" spans="1:6" x14ac:dyDescent="0.25">
      <c r="A64">
        <v>7.2000000000000059E-3</v>
      </c>
      <c r="B64">
        <v>3.4712483963393814</v>
      </c>
      <c r="C64">
        <f t="shared" si="0"/>
        <v>3.4444444444444482</v>
      </c>
      <c r="D64">
        <f t="shared" si="1"/>
        <v>2.6803951894933231E-2</v>
      </c>
      <c r="E64" s="1">
        <f t="shared" si="2"/>
        <v>6.7009879737334535E-3</v>
      </c>
      <c r="F64" s="1">
        <f t="shared" si="3"/>
        <v>7.7817924856257679E-3</v>
      </c>
    </row>
    <row r="65" spans="1:6" x14ac:dyDescent="0.25">
      <c r="A65">
        <v>7.3000000000000061E-3</v>
      </c>
      <c r="B65">
        <v>3.5272482698503831</v>
      </c>
      <c r="C65">
        <f t="shared" si="0"/>
        <v>3.5000000000000036</v>
      </c>
      <c r="D65">
        <f t="shared" si="1"/>
        <v>2.7248269850379536E-2</v>
      </c>
      <c r="E65" s="1">
        <f t="shared" si="2"/>
        <v>6.7187514699565531E-3</v>
      </c>
      <c r="F65" s="1">
        <f t="shared" si="3"/>
        <v>7.7852199572512881E-3</v>
      </c>
    </row>
    <row r="66" spans="1:6" x14ac:dyDescent="0.25">
      <c r="A66">
        <v>7.4000000000000064E-3</v>
      </c>
      <c r="B66">
        <v>3.5832481433613745</v>
      </c>
      <c r="C66">
        <f t="shared" si="0"/>
        <v>3.5555555555555589</v>
      </c>
      <c r="D66">
        <f t="shared" si="1"/>
        <v>2.7692587805815627E-2</v>
      </c>
      <c r="E66" s="1">
        <f t="shared" si="2"/>
        <v>6.7360348716847922E-3</v>
      </c>
      <c r="F66" s="1">
        <f t="shared" si="3"/>
        <v>7.7885403203856382E-3</v>
      </c>
    </row>
    <row r="67" spans="1:6" x14ac:dyDescent="0.25">
      <c r="A67">
        <v>7.5000000000000067E-3</v>
      </c>
      <c r="B67">
        <v>3.6392480168723815</v>
      </c>
      <c r="C67">
        <f t="shared" ref="C67:C91" si="4">A67*(5000/9) - (5/9)</f>
        <v>3.6111111111111152</v>
      </c>
      <c r="D67">
        <f t="shared" ref="D67:D91" si="5">ABS(B67-C67)</f>
        <v>2.8136905761266373E-2</v>
      </c>
      <c r="E67" s="1">
        <f t="shared" ref="E67:E91" si="6">ABS(((B67+ (5/9))/(5000/9))-A67)/A67</f>
        <v>6.7528573827040951E-3</v>
      </c>
      <c r="F67" s="1">
        <f t="shared" ref="F67:F91" si="7">IF(C67=0, D67, D67/C67)</f>
        <v>7.7917585185045251E-3</v>
      </c>
    </row>
    <row r="68" spans="1:6" x14ac:dyDescent="0.25">
      <c r="A68">
        <v>7.6000000000000069E-3</v>
      </c>
      <c r="B68">
        <v>3.695247890383377</v>
      </c>
      <c r="C68">
        <f t="shared" si="4"/>
        <v>3.6666666666666705</v>
      </c>
      <c r="D68">
        <f t="shared" si="5"/>
        <v>2.8581223716706461E-2</v>
      </c>
      <c r="E68" s="1">
        <f t="shared" si="6"/>
        <v>6.7692371960620277E-3</v>
      </c>
      <c r="F68" s="1">
        <f t="shared" si="7"/>
        <v>7.7948791954653906E-3</v>
      </c>
    </row>
    <row r="69" spans="1:6" x14ac:dyDescent="0.25">
      <c r="A69">
        <v>7.7000000000000072E-3</v>
      </c>
      <c r="B69">
        <v>3.7512477638943804</v>
      </c>
      <c r="C69">
        <f t="shared" si="4"/>
        <v>3.7222222222222259</v>
      </c>
      <c r="D69">
        <f t="shared" si="5"/>
        <v>2.9025541672154542E-2</v>
      </c>
      <c r="E69" s="1">
        <f t="shared" si="6"/>
        <v>6.7851915597243791E-3</v>
      </c>
      <c r="F69" s="1">
        <f t="shared" si="7"/>
        <v>7.7979067178922572E-3</v>
      </c>
    </row>
    <row r="70" spans="1:6" x14ac:dyDescent="0.25">
      <c r="A70">
        <v>7.8000000000000074E-3</v>
      </c>
      <c r="B70">
        <v>3.8072476374053803</v>
      </c>
      <c r="C70">
        <f t="shared" si="4"/>
        <v>3.7777777777777821</v>
      </c>
      <c r="D70">
        <f t="shared" si="5"/>
        <v>2.9469859627598183E-2</v>
      </c>
      <c r="E70" s="1">
        <f t="shared" si="6"/>
        <v>6.8007368371379769E-3</v>
      </c>
      <c r="F70" s="1">
        <f t="shared" si="7"/>
        <v>7.8008451955406868E-3</v>
      </c>
    </row>
    <row r="71" spans="1:6" x14ac:dyDescent="0.25">
      <c r="A71">
        <v>7.9000000000000077E-3</v>
      </c>
      <c r="B71">
        <v>3.8632475109163762</v>
      </c>
      <c r="C71">
        <f t="shared" si="4"/>
        <v>3.8333333333333375</v>
      </c>
      <c r="D71">
        <f t="shared" si="5"/>
        <v>2.9914177583038715E-2</v>
      </c>
      <c r="E71" s="1">
        <f t="shared" si="6"/>
        <v>6.8158885632239891E-3</v>
      </c>
      <c r="F71" s="1">
        <f t="shared" si="7"/>
        <v>7.8036984999231345E-3</v>
      </c>
    </row>
    <row r="72" spans="1:6" x14ac:dyDescent="0.25">
      <c r="A72">
        <v>8.0000000000000071E-3</v>
      </c>
      <c r="B72">
        <v>3.9192473844273747</v>
      </c>
      <c r="C72">
        <f t="shared" si="4"/>
        <v>3.8888888888888928</v>
      </c>
      <c r="D72">
        <f t="shared" si="5"/>
        <v>3.0358495538481911E-2</v>
      </c>
      <c r="E72" s="1">
        <f t="shared" si="6"/>
        <v>6.8306614961583948E-3</v>
      </c>
      <c r="F72" s="1">
        <f t="shared" si="7"/>
        <v>7.8064702813239123E-3</v>
      </c>
    </row>
    <row r="73" spans="1:6" x14ac:dyDescent="0.25">
      <c r="A73">
        <v>8.1000000000000065E-3</v>
      </c>
      <c r="B73">
        <v>3.9752472579383782</v>
      </c>
      <c r="C73">
        <f t="shared" si="4"/>
        <v>3.9444444444444482</v>
      </c>
      <c r="D73">
        <f t="shared" si="5"/>
        <v>3.0802813493929992E-2</v>
      </c>
      <c r="E73" s="1">
        <f t="shared" si="6"/>
        <v>6.8450696653179271E-3</v>
      </c>
      <c r="F73" s="1">
        <f t="shared" si="7"/>
        <v>7.8091639843766106E-3</v>
      </c>
    </row>
    <row r="74" spans="1:6" x14ac:dyDescent="0.25">
      <c r="A74">
        <v>8.2000000000000059E-3</v>
      </c>
      <c r="B74">
        <v>4.0312471314493683</v>
      </c>
      <c r="C74">
        <f t="shared" si="4"/>
        <v>4.0000000000000036</v>
      </c>
      <c r="D74">
        <f t="shared" si="5"/>
        <v>3.1247131449364751E-2</v>
      </c>
      <c r="E74" s="1">
        <f t="shared" si="6"/>
        <v>6.8591264157142973E-3</v>
      </c>
      <c r="F74" s="1">
        <f t="shared" si="7"/>
        <v>7.8117828623411809E-3</v>
      </c>
    </row>
    <row r="75" spans="1:6" x14ac:dyDescent="0.25">
      <c r="A75">
        <v>8.3000000000000053E-3</v>
      </c>
      <c r="B75">
        <v>4.087247004960358</v>
      </c>
      <c r="C75">
        <f t="shared" si="4"/>
        <v>4.0555555555555589</v>
      </c>
      <c r="D75">
        <f t="shared" si="5"/>
        <v>3.1691449404799066E-2</v>
      </c>
      <c r="E75" s="1">
        <f t="shared" si="6"/>
        <v>6.8728444492336463E-3</v>
      </c>
      <c r="F75" s="1">
        <f t="shared" si="7"/>
        <v>7.8143299902244199E-3</v>
      </c>
    </row>
    <row r="76" spans="1:6" x14ac:dyDescent="0.25">
      <c r="A76">
        <v>8.4000000000000047E-3</v>
      </c>
      <c r="B76">
        <v>4.1432468784713601</v>
      </c>
      <c r="C76">
        <f t="shared" si="4"/>
        <v>4.1111111111111134</v>
      </c>
      <c r="D76">
        <f t="shared" si="5"/>
        <v>3.2135767360246703E-2</v>
      </c>
      <c r="E76" s="1">
        <f t="shared" si="6"/>
        <v>6.8862358629099814E-3</v>
      </c>
      <c r="F76" s="1">
        <f t="shared" si="7"/>
        <v>7.816808276816762E-3</v>
      </c>
    </row>
    <row r="77" spans="1:6" x14ac:dyDescent="0.25">
      <c r="A77">
        <v>8.5000000000000041E-3</v>
      </c>
      <c r="B77">
        <v>4.1992467519823613</v>
      </c>
      <c r="C77">
        <f t="shared" si="4"/>
        <v>4.1666666666666687</v>
      </c>
      <c r="D77">
        <f t="shared" si="5"/>
        <v>3.2580085315692564E-2</v>
      </c>
      <c r="E77" s="1">
        <f t="shared" si="6"/>
        <v>6.8993121844996104E-3</v>
      </c>
      <c r="F77" s="1">
        <f t="shared" si="7"/>
        <v>7.8192204757662111E-3</v>
      </c>
    </row>
    <row r="78" spans="1:6" x14ac:dyDescent="0.25">
      <c r="A78">
        <v>8.6000000000000035E-3</v>
      </c>
      <c r="B78">
        <v>4.255246625493359</v>
      </c>
      <c r="C78">
        <f t="shared" si="4"/>
        <v>4.2222222222222241</v>
      </c>
      <c r="D78">
        <f t="shared" si="5"/>
        <v>3.3024403271134872E-2</v>
      </c>
      <c r="E78" s="1">
        <f t="shared" si="6"/>
        <v>6.9120844055863481E-3</v>
      </c>
      <c r="F78" s="1">
        <f t="shared" si="7"/>
        <v>7.8215691957950976E-3</v>
      </c>
    </row>
    <row r="79" spans="1:6" x14ac:dyDescent="0.25">
      <c r="A79">
        <v>8.7000000000000029E-3</v>
      </c>
      <c r="B79">
        <v>4.3112464990043602</v>
      </c>
      <c r="C79">
        <f t="shared" si="4"/>
        <v>4.2777777777777795</v>
      </c>
      <c r="D79">
        <f t="shared" si="5"/>
        <v>3.3468721226580733E-2</v>
      </c>
      <c r="E79" s="1">
        <f t="shared" si="6"/>
        <v>6.9245630123960277E-3</v>
      </c>
      <c r="F79" s="1">
        <f t="shared" si="7"/>
        <v>7.823856910109778E-3</v>
      </c>
    </row>
    <row r="80" spans="1:6" x14ac:dyDescent="0.25">
      <c r="A80">
        <v>8.8000000000000023E-3</v>
      </c>
      <c r="B80">
        <v>4.3672463725153525</v>
      </c>
      <c r="C80">
        <f t="shared" si="4"/>
        <v>4.3333333333333348</v>
      </c>
      <c r="D80">
        <f t="shared" si="5"/>
        <v>3.3913039182017712E-2</v>
      </c>
      <c r="E80" s="1">
        <f t="shared" si="6"/>
        <v>6.9367580145037128E-3</v>
      </c>
      <c r="F80" s="1">
        <f t="shared" si="7"/>
        <v>7.8260859650810082E-3</v>
      </c>
    </row>
    <row r="81" spans="1:6" x14ac:dyDescent="0.25">
      <c r="A81">
        <v>8.9000000000000017E-3</v>
      </c>
      <c r="B81">
        <v>4.4232462460263511</v>
      </c>
      <c r="C81">
        <f t="shared" si="4"/>
        <v>4.3888888888888902</v>
      </c>
      <c r="D81">
        <f t="shared" si="5"/>
        <v>3.4357357137460909E-2</v>
      </c>
      <c r="E81" s="1">
        <f t="shared" si="6"/>
        <v>6.9486789716213838E-3</v>
      </c>
      <c r="F81" s="1">
        <f t="shared" si="7"/>
        <v>7.8282585882822296E-3</v>
      </c>
    </row>
    <row r="82" spans="1:6" x14ac:dyDescent="0.25">
      <c r="A82">
        <v>9.0000000000000011E-3</v>
      </c>
      <c r="B82">
        <v>4.4792461195373416</v>
      </c>
      <c r="C82">
        <f t="shared" si="4"/>
        <v>4.4444444444444455</v>
      </c>
      <c r="D82">
        <f t="shared" si="5"/>
        <v>3.4801675092896112E-2</v>
      </c>
      <c r="E82" s="1">
        <f t="shared" si="6"/>
        <v>6.9603350185793418E-3</v>
      </c>
      <c r="F82" s="1">
        <f t="shared" si="7"/>
        <v>7.8303768959016237E-3</v>
      </c>
    </row>
    <row r="83" spans="1:6" x14ac:dyDescent="0.25">
      <c r="A83">
        <v>9.1000000000000004E-3</v>
      </c>
      <c r="B83">
        <v>4.5352459930483455</v>
      </c>
      <c r="C83">
        <f t="shared" si="4"/>
        <v>4.5</v>
      </c>
      <c r="D83">
        <f t="shared" si="5"/>
        <v>3.5245993048345525E-2</v>
      </c>
      <c r="E83" s="1">
        <f t="shared" si="6"/>
        <v>6.9717348886837501E-3</v>
      </c>
      <c r="F83" s="1">
        <f t="shared" si="7"/>
        <v>7.8324428996323393E-3</v>
      </c>
    </row>
    <row r="84" spans="1:6" x14ac:dyDescent="0.25">
      <c r="A84">
        <v>9.1999999999999998E-3</v>
      </c>
      <c r="B84">
        <v>4.5912458665593396</v>
      </c>
      <c r="C84">
        <f t="shared" si="4"/>
        <v>4.5555555555555554</v>
      </c>
      <c r="D84">
        <f t="shared" si="5"/>
        <v>3.5690311003784281E-2</v>
      </c>
      <c r="E84" s="1">
        <f t="shared" si="6"/>
        <v>6.9828869355229453E-3</v>
      </c>
      <c r="F84" s="1">
        <f t="shared" si="7"/>
        <v>7.8344585130258187E-3</v>
      </c>
    </row>
    <row r="85" spans="1:6" x14ac:dyDescent="0.25">
      <c r="A85">
        <v>9.2999999999999992E-3</v>
      </c>
      <c r="B85">
        <v>4.6472457400703346</v>
      </c>
      <c r="C85">
        <f t="shared" si="4"/>
        <v>4.6111111111111107</v>
      </c>
      <c r="D85">
        <f t="shared" si="5"/>
        <v>3.6134628959223924E-2</v>
      </c>
      <c r="E85" s="1">
        <f t="shared" si="6"/>
        <v>6.9937991533982292E-3</v>
      </c>
      <c r="F85" s="1">
        <f t="shared" si="7"/>
        <v>7.8364255574220557E-3</v>
      </c>
    </row>
    <row r="86" spans="1:6" x14ac:dyDescent="0.25">
      <c r="A86">
        <v>9.3999999999999986E-3</v>
      </c>
      <c r="B86">
        <v>4.7032456135813305</v>
      </c>
      <c r="C86">
        <f t="shared" si="4"/>
        <v>4.6666666666666661</v>
      </c>
      <c r="D86">
        <f t="shared" si="5"/>
        <v>3.6578946914664456E-2</v>
      </c>
      <c r="E86" s="1">
        <f t="shared" si="6"/>
        <v>7.0044791964251028E-3</v>
      </c>
      <c r="F86" s="1">
        <f t="shared" si="7"/>
        <v>7.8383457674280985E-3</v>
      </c>
    </row>
    <row r="87" spans="1:6" x14ac:dyDescent="0.25">
      <c r="A87">
        <v>9.499999999999998E-3</v>
      </c>
      <c r="B87">
        <v>4.7592454870923246</v>
      </c>
      <c r="C87">
        <f t="shared" si="4"/>
        <v>4.7222222222222214</v>
      </c>
      <c r="D87">
        <f t="shared" si="5"/>
        <v>3.7023264870103212E-2</v>
      </c>
      <c r="E87" s="1">
        <f t="shared" si="6"/>
        <v>7.0149343964407028E-3</v>
      </c>
      <c r="F87" s="1">
        <f t="shared" si="7"/>
        <v>7.840220796021858E-3</v>
      </c>
    </row>
    <row r="88" spans="1:6" x14ac:dyDescent="0.25">
      <c r="A88">
        <v>9.5999999999999974E-3</v>
      </c>
      <c r="B88">
        <v>4.8152453606033205</v>
      </c>
      <c r="C88">
        <f t="shared" si="4"/>
        <v>4.7777777777777768</v>
      </c>
      <c r="D88">
        <f t="shared" si="5"/>
        <v>3.7467582825543744E-2</v>
      </c>
      <c r="E88" s="1">
        <f t="shared" si="6"/>
        <v>7.025171779789491E-3</v>
      </c>
      <c r="F88" s="1">
        <f t="shared" si="7"/>
        <v>7.8420522192998547E-3</v>
      </c>
    </row>
    <row r="89" spans="1:6" x14ac:dyDescent="0.25">
      <c r="A89">
        <v>9.6999999999999968E-3</v>
      </c>
      <c r="B89">
        <v>4.8712452341143209</v>
      </c>
      <c r="C89">
        <f t="shared" si="4"/>
        <v>4.8333333333333313</v>
      </c>
      <c r="D89">
        <f t="shared" si="5"/>
        <v>3.7911900780989605E-2</v>
      </c>
      <c r="E89" s="1">
        <f t="shared" si="6"/>
        <v>7.0351980830701258E-3</v>
      </c>
      <c r="F89" s="1">
        <f t="shared" si="7"/>
        <v>7.8438415408944046E-3</v>
      </c>
    </row>
    <row r="90" spans="1:6" x14ac:dyDescent="0.25">
      <c r="A90">
        <v>9.7999999999999962E-3</v>
      </c>
      <c r="B90">
        <v>4.9272451076253159</v>
      </c>
      <c r="C90">
        <f t="shared" si="4"/>
        <v>4.8888888888888866</v>
      </c>
      <c r="D90">
        <f t="shared" si="5"/>
        <v>3.8356218736429248E-2</v>
      </c>
      <c r="E90" s="1">
        <f t="shared" si="6"/>
        <v>7.0450197679155771E-3</v>
      </c>
      <c r="F90" s="1">
        <f t="shared" si="7"/>
        <v>7.8455901960878052E-3</v>
      </c>
    </row>
    <row r="91" spans="1:6" x14ac:dyDescent="0.25">
      <c r="A91">
        <v>9.8999999999999956E-3</v>
      </c>
      <c r="B91">
        <v>4.9832449811363135</v>
      </c>
      <c r="C91">
        <f t="shared" si="4"/>
        <v>4.944444444444442</v>
      </c>
      <c r="D91">
        <f t="shared" si="5"/>
        <v>3.8800536691871557E-2</v>
      </c>
      <c r="E91" s="1">
        <f t="shared" si="6"/>
        <v>7.0546430348857134E-3</v>
      </c>
      <c r="F91" s="1">
        <f t="shared" si="7"/>
        <v>7.8472995556594198E-3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2025-10-30T17:51:53Z</dcterms:created>
  <dcterms:modified xsi:type="dcterms:W3CDTF">2025-11-10T07:12:50Z</dcterms:modified>
</cp:coreProperties>
</file>