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Document_forme\project_tiny\Cource_report\DTUD\BigProject1\04_ADC\"/>
    </mc:Choice>
  </mc:AlternateContent>
  <xr:revisionPtr revIDLastSave="0" documentId="13_ncr:1_{85240086-7A3A-408B-B3CB-741D55092929}" xr6:coauthVersionLast="47" xr6:coauthVersionMax="47" xr10:uidLastSave="{00000000-0000-0000-0000-000000000000}"/>
  <bookViews>
    <workbookView xWindow="-120" yWindow="-120" windowWidth="29040" windowHeight="15720" firstSheet="1" activeTab="1" xr2:uid="{E6E4C7D1-E780-4FA1-B8FF-60F1C49D2116}"/>
  </bookViews>
  <sheets>
    <sheet name="Sheet2" sheetId="5" r:id="rId1"/>
    <sheet name="Cal_Error" sheetId="4" r:id="rId2"/>
    <sheet name="ADC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4" l="1"/>
  <c r="I4" i="4"/>
  <c r="I5" i="4"/>
  <c r="I6" i="4"/>
  <c r="I7" i="4"/>
  <c r="I8" i="4"/>
  <c r="I9" i="4"/>
  <c r="I10" i="4"/>
  <c r="I11" i="4"/>
  <c r="I12" i="4"/>
  <c r="I13" i="4"/>
  <c r="I14" i="4"/>
  <c r="I15" i="4"/>
  <c r="I16" i="4"/>
  <c r="I17" i="4"/>
  <c r="I18" i="4"/>
  <c r="I19" i="4"/>
  <c r="I20" i="4"/>
  <c r="I21" i="4"/>
  <c r="I22" i="4"/>
  <c r="I23" i="4"/>
  <c r="I24" i="4"/>
  <c r="I25" i="4"/>
  <c r="I26" i="4"/>
  <c r="I27" i="4"/>
  <c r="I28" i="4"/>
  <c r="I29" i="4"/>
  <c r="I30" i="4"/>
  <c r="I31" i="4"/>
  <c r="I32" i="4"/>
  <c r="I33" i="4"/>
  <c r="I34" i="4"/>
  <c r="I35" i="4"/>
  <c r="I36" i="4"/>
  <c r="I37" i="4"/>
  <c r="I38" i="4"/>
  <c r="I39" i="4"/>
  <c r="I40" i="4"/>
  <c r="I41" i="4"/>
  <c r="I42" i="4"/>
  <c r="I43" i="4"/>
  <c r="I44" i="4"/>
  <c r="I45" i="4"/>
  <c r="I46" i="4"/>
  <c r="I47" i="4"/>
  <c r="I48" i="4"/>
  <c r="I49" i="4"/>
  <c r="I50" i="4"/>
  <c r="I51" i="4"/>
  <c r="I52" i="4"/>
  <c r="I53" i="4"/>
  <c r="I54" i="4"/>
  <c r="I55" i="4"/>
  <c r="I56" i="4"/>
  <c r="I57" i="4"/>
  <c r="I58" i="4"/>
  <c r="I59" i="4"/>
  <c r="I60" i="4"/>
  <c r="I61" i="4"/>
  <c r="I62" i="4"/>
  <c r="I63" i="4"/>
  <c r="I64" i="4"/>
  <c r="I65" i="4"/>
  <c r="I66" i="4"/>
  <c r="I67" i="4"/>
  <c r="I68" i="4"/>
  <c r="I69" i="4"/>
  <c r="I70" i="4"/>
  <c r="I71" i="4"/>
  <c r="I72" i="4"/>
  <c r="I73" i="4"/>
  <c r="I74" i="4"/>
  <c r="I75" i="4"/>
  <c r="I76" i="4"/>
  <c r="I77" i="4"/>
  <c r="I78" i="4"/>
  <c r="I79" i="4"/>
  <c r="I80" i="4"/>
  <c r="I81" i="4"/>
  <c r="I82" i="4"/>
  <c r="I83" i="4"/>
  <c r="I84" i="4"/>
  <c r="I85" i="4"/>
  <c r="I86" i="4"/>
  <c r="I87" i="4"/>
  <c r="I88" i="4"/>
  <c r="I89" i="4"/>
  <c r="I90" i="4"/>
  <c r="I91" i="4"/>
  <c r="I92" i="4"/>
  <c r="I93" i="4"/>
  <c r="I94" i="4"/>
  <c r="I95" i="4"/>
  <c r="I96" i="4"/>
  <c r="I97" i="4"/>
  <c r="I98" i="4"/>
  <c r="I99" i="4"/>
  <c r="I100" i="4"/>
  <c r="I101" i="4"/>
  <c r="I102" i="4"/>
  <c r="I103" i="4"/>
  <c r="I104" i="4"/>
  <c r="I105" i="4"/>
  <c r="I106" i="4"/>
  <c r="I107" i="4"/>
  <c r="I108" i="4"/>
  <c r="I109" i="4"/>
  <c r="I110" i="4"/>
  <c r="I111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I128" i="4"/>
  <c r="I129" i="4"/>
  <c r="I130" i="4"/>
  <c r="I131" i="4"/>
  <c r="I132" i="4"/>
  <c r="I133" i="4"/>
  <c r="I134" i="4"/>
  <c r="I135" i="4"/>
  <c r="I136" i="4"/>
  <c r="I137" i="4"/>
  <c r="I138" i="4"/>
  <c r="I139" i="4"/>
  <c r="I140" i="4"/>
  <c r="I141" i="4"/>
  <c r="I142" i="4"/>
  <c r="I143" i="4"/>
  <c r="I144" i="4"/>
  <c r="I145" i="4"/>
  <c r="I146" i="4"/>
  <c r="I147" i="4"/>
  <c r="I148" i="4"/>
  <c r="I149" i="4"/>
  <c r="I150" i="4"/>
  <c r="I151" i="4"/>
  <c r="I152" i="4"/>
  <c r="I153" i="4"/>
  <c r="I154" i="4"/>
  <c r="I155" i="4"/>
  <c r="I156" i="4"/>
  <c r="I157" i="4"/>
  <c r="I158" i="4"/>
  <c r="I159" i="4"/>
  <c r="I160" i="4"/>
  <c r="I161" i="4"/>
  <c r="I162" i="4"/>
  <c r="I163" i="4"/>
  <c r="I164" i="4"/>
  <c r="I165" i="4"/>
  <c r="I166" i="4"/>
  <c r="I167" i="4"/>
  <c r="I168" i="4"/>
  <c r="I169" i="4"/>
  <c r="I170" i="4"/>
  <c r="I171" i="4"/>
  <c r="I172" i="4"/>
  <c r="I173" i="4"/>
  <c r="I174" i="4"/>
  <c r="I175" i="4"/>
  <c r="I176" i="4"/>
  <c r="I177" i="4"/>
  <c r="I178" i="4"/>
  <c r="I179" i="4"/>
  <c r="I180" i="4"/>
  <c r="I181" i="4"/>
  <c r="I182" i="4"/>
  <c r="I183" i="4"/>
  <c r="I184" i="4"/>
  <c r="I185" i="4"/>
  <c r="I186" i="4"/>
  <c r="I187" i="4"/>
  <c r="I188" i="4"/>
  <c r="I189" i="4"/>
  <c r="I190" i="4"/>
  <c r="I191" i="4"/>
  <c r="I192" i="4"/>
  <c r="I193" i="4"/>
  <c r="I194" i="4"/>
  <c r="I195" i="4"/>
  <c r="I196" i="4"/>
  <c r="I197" i="4"/>
  <c r="I198" i="4"/>
  <c r="I199" i="4"/>
  <c r="I200" i="4"/>
  <c r="I201" i="4"/>
  <c r="I202" i="4"/>
  <c r="I203" i="4"/>
  <c r="I204" i="4"/>
  <c r="I205" i="4"/>
  <c r="I206" i="4"/>
  <c r="I207" i="4"/>
  <c r="I208" i="4"/>
  <c r="I209" i="4"/>
  <c r="I210" i="4"/>
  <c r="I211" i="4"/>
  <c r="I212" i="4"/>
  <c r="I213" i="4"/>
  <c r="I214" i="4"/>
  <c r="I215" i="4"/>
  <c r="I216" i="4"/>
  <c r="I217" i="4"/>
  <c r="I218" i="4"/>
  <c r="I219" i="4"/>
  <c r="I220" i="4"/>
  <c r="I221" i="4"/>
  <c r="I222" i="4"/>
  <c r="I223" i="4"/>
  <c r="I224" i="4"/>
  <c r="I225" i="4"/>
  <c r="I226" i="4"/>
  <c r="I227" i="4"/>
  <c r="I228" i="4"/>
  <c r="I229" i="4"/>
  <c r="I230" i="4"/>
  <c r="I231" i="4"/>
  <c r="I232" i="4"/>
  <c r="I233" i="4"/>
  <c r="I234" i="4"/>
  <c r="I235" i="4"/>
  <c r="I236" i="4"/>
  <c r="I237" i="4"/>
  <c r="I238" i="4"/>
  <c r="I239" i="4"/>
  <c r="I240" i="4"/>
  <c r="I241" i="4"/>
  <c r="I242" i="4"/>
  <c r="I243" i="4"/>
  <c r="I244" i="4"/>
  <c r="I245" i="4"/>
  <c r="I246" i="4"/>
  <c r="I247" i="4"/>
  <c r="I248" i="4"/>
  <c r="I249" i="4"/>
  <c r="I250" i="4"/>
  <c r="I251" i="4"/>
  <c r="I252" i="4"/>
  <c r="I253" i="4"/>
  <c r="I254" i="4"/>
  <c r="I255" i="4"/>
  <c r="I256" i="4"/>
  <c r="I257" i="4"/>
  <c r="I258" i="4"/>
  <c r="I259" i="4"/>
  <c r="I260" i="4"/>
  <c r="I261" i="4"/>
  <c r="I262" i="4"/>
  <c r="I263" i="4"/>
  <c r="I264" i="4"/>
  <c r="I265" i="4"/>
  <c r="I266" i="4"/>
  <c r="I267" i="4"/>
  <c r="I268" i="4"/>
  <c r="I269" i="4"/>
  <c r="I270" i="4"/>
  <c r="I271" i="4"/>
  <c r="I272" i="4"/>
  <c r="I273" i="4"/>
  <c r="I274" i="4"/>
  <c r="I275" i="4"/>
  <c r="I276" i="4"/>
  <c r="I277" i="4"/>
  <c r="I278" i="4"/>
  <c r="I279" i="4"/>
  <c r="I280" i="4"/>
  <c r="I281" i="4"/>
  <c r="I282" i="4"/>
  <c r="I283" i="4"/>
  <c r="I284" i="4"/>
  <c r="I285" i="4"/>
  <c r="I286" i="4"/>
  <c r="I287" i="4"/>
  <c r="I288" i="4"/>
  <c r="I289" i="4"/>
  <c r="I290" i="4"/>
  <c r="I291" i="4"/>
  <c r="I292" i="4"/>
  <c r="I293" i="4"/>
  <c r="I294" i="4"/>
  <c r="I295" i="4"/>
  <c r="I296" i="4"/>
  <c r="I297" i="4"/>
  <c r="I298" i="4"/>
  <c r="I299" i="4"/>
  <c r="I300" i="4"/>
  <c r="I301" i="4"/>
  <c r="I302" i="4"/>
  <c r="I303" i="4"/>
  <c r="I304" i="4"/>
  <c r="I305" i="4"/>
  <c r="I306" i="4"/>
  <c r="I307" i="4"/>
  <c r="I308" i="4"/>
  <c r="I309" i="4"/>
  <c r="I310" i="4"/>
  <c r="I311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I324" i="4"/>
  <c r="I325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38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51" i="4"/>
  <c r="I352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65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78" i="4"/>
  <c r="I379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92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405" i="4"/>
  <c r="I406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419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32" i="4"/>
  <c r="I433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46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59" i="4"/>
  <c r="I460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73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86" i="4"/>
  <c r="I487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500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513" i="4"/>
  <c r="I514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27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40" i="4"/>
  <c r="I541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54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67" i="4"/>
  <c r="I568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81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94" i="4"/>
  <c r="I595" i="4"/>
  <c r="I596" i="4"/>
  <c r="I597" i="4"/>
  <c r="I598" i="4"/>
  <c r="I599" i="4"/>
  <c r="I600" i="4"/>
  <c r="I601" i="4"/>
  <c r="I602" i="4"/>
  <c r="I2" i="4"/>
  <c r="F2" i="4"/>
  <c r="E2" i="4"/>
  <c r="E3" i="4"/>
  <c r="E4" i="4"/>
  <c r="E5" i="4"/>
  <c r="E6" i="4"/>
  <c r="E7" i="4"/>
  <c r="E8" i="4"/>
  <c r="E9" i="4"/>
  <c r="E10" i="4"/>
  <c r="E11" i="4"/>
  <c r="E12" i="4"/>
  <c r="E13" i="4"/>
  <c r="E14" i="4"/>
  <c r="E15" i="4"/>
  <c r="E16" i="4"/>
  <c r="E17" i="4"/>
  <c r="E18" i="4"/>
  <c r="E19" i="4"/>
  <c r="E20" i="4"/>
  <c r="E21" i="4"/>
  <c r="E22" i="4"/>
  <c r="E23" i="4"/>
  <c r="E24" i="4"/>
  <c r="E25" i="4"/>
  <c r="E26" i="4"/>
  <c r="E27" i="4"/>
  <c r="E28" i="4"/>
  <c r="E29" i="4"/>
  <c r="E30" i="4"/>
  <c r="E31" i="4"/>
  <c r="E32" i="4"/>
  <c r="E33" i="4"/>
  <c r="E34" i="4"/>
  <c r="E35" i="4"/>
  <c r="E36" i="4"/>
  <c r="E37" i="4"/>
  <c r="E38" i="4"/>
  <c r="E39" i="4"/>
  <c r="E40" i="4"/>
  <c r="E41" i="4"/>
  <c r="E42" i="4"/>
  <c r="E43" i="4"/>
  <c r="E44" i="4"/>
  <c r="E45" i="4"/>
  <c r="E46" i="4"/>
  <c r="E47" i="4"/>
  <c r="E48" i="4"/>
  <c r="E49" i="4"/>
  <c r="E50" i="4"/>
  <c r="E51" i="4"/>
  <c r="E52" i="4"/>
  <c r="E53" i="4"/>
  <c r="E54" i="4"/>
  <c r="E55" i="4"/>
  <c r="E56" i="4"/>
  <c r="E57" i="4"/>
  <c r="E58" i="4"/>
  <c r="E59" i="4"/>
  <c r="E60" i="4"/>
  <c r="E61" i="4"/>
  <c r="E62" i="4"/>
  <c r="E63" i="4"/>
  <c r="E64" i="4"/>
  <c r="E65" i="4"/>
  <c r="E66" i="4"/>
  <c r="E67" i="4"/>
  <c r="E68" i="4"/>
  <c r="E69" i="4"/>
  <c r="E70" i="4"/>
  <c r="E71" i="4"/>
  <c r="E72" i="4"/>
  <c r="E73" i="4"/>
  <c r="E74" i="4"/>
  <c r="E75" i="4"/>
  <c r="E76" i="4"/>
  <c r="E77" i="4"/>
  <c r="E78" i="4"/>
  <c r="E79" i="4"/>
  <c r="E80" i="4"/>
  <c r="E81" i="4"/>
  <c r="E82" i="4"/>
  <c r="E83" i="4"/>
  <c r="E84" i="4"/>
  <c r="E85" i="4"/>
  <c r="E86" i="4"/>
  <c r="E87" i="4"/>
  <c r="E88" i="4"/>
  <c r="E89" i="4"/>
  <c r="E90" i="4"/>
  <c r="E91" i="4"/>
  <c r="E92" i="4"/>
  <c r="E93" i="4"/>
  <c r="E94" i="4"/>
  <c r="E95" i="4"/>
  <c r="E96" i="4"/>
  <c r="E97" i="4"/>
  <c r="E98" i="4"/>
  <c r="E99" i="4"/>
  <c r="E100" i="4"/>
  <c r="E101" i="4"/>
  <c r="E102" i="4"/>
  <c r="E103" i="4"/>
  <c r="E104" i="4"/>
  <c r="E105" i="4"/>
  <c r="E106" i="4"/>
  <c r="E107" i="4"/>
  <c r="E108" i="4"/>
  <c r="E109" i="4"/>
  <c r="E110" i="4"/>
  <c r="E111" i="4"/>
  <c r="E112" i="4"/>
  <c r="E113" i="4"/>
  <c r="E114" i="4"/>
  <c r="E115" i="4"/>
  <c r="E116" i="4"/>
  <c r="E117" i="4"/>
  <c r="E118" i="4"/>
  <c r="E119" i="4"/>
  <c r="E120" i="4"/>
  <c r="E121" i="4"/>
  <c r="E122" i="4"/>
  <c r="E123" i="4"/>
  <c r="E124" i="4"/>
  <c r="E125" i="4"/>
  <c r="E126" i="4"/>
  <c r="E127" i="4"/>
  <c r="E128" i="4"/>
  <c r="E129" i="4"/>
  <c r="E130" i="4"/>
  <c r="E131" i="4"/>
  <c r="E132" i="4"/>
  <c r="E133" i="4"/>
  <c r="E134" i="4"/>
  <c r="E135" i="4"/>
  <c r="E136" i="4"/>
  <c r="E137" i="4"/>
  <c r="E138" i="4"/>
  <c r="E139" i="4"/>
  <c r="E140" i="4"/>
  <c r="E141" i="4"/>
  <c r="E142" i="4"/>
  <c r="E143" i="4"/>
  <c r="E144" i="4"/>
  <c r="E145" i="4"/>
  <c r="E146" i="4"/>
  <c r="E147" i="4"/>
  <c r="E148" i="4"/>
  <c r="E149" i="4"/>
  <c r="E150" i="4"/>
  <c r="E151" i="4"/>
  <c r="E152" i="4"/>
  <c r="E153" i="4"/>
  <c r="E154" i="4"/>
  <c r="E155" i="4"/>
  <c r="E156" i="4"/>
  <c r="E157" i="4"/>
  <c r="E158" i="4"/>
  <c r="E159" i="4"/>
  <c r="E160" i="4"/>
  <c r="E161" i="4"/>
  <c r="E162" i="4"/>
  <c r="E163" i="4"/>
  <c r="E164" i="4"/>
  <c r="E165" i="4"/>
  <c r="E166" i="4"/>
  <c r="E167" i="4"/>
  <c r="E168" i="4"/>
  <c r="E169" i="4"/>
  <c r="E170" i="4"/>
  <c r="E171" i="4"/>
  <c r="E172" i="4"/>
  <c r="E173" i="4"/>
  <c r="E174" i="4"/>
  <c r="E175" i="4"/>
  <c r="E176" i="4"/>
  <c r="E177" i="4"/>
  <c r="E178" i="4"/>
  <c r="E179" i="4"/>
  <c r="E180" i="4"/>
  <c r="E181" i="4"/>
  <c r="E182" i="4"/>
  <c r="E183" i="4"/>
  <c r="E184" i="4"/>
  <c r="E185" i="4"/>
  <c r="E186" i="4"/>
  <c r="E187" i="4"/>
  <c r="E188" i="4"/>
  <c r="E189" i="4"/>
  <c r="E190" i="4"/>
  <c r="E191" i="4"/>
  <c r="E192" i="4"/>
  <c r="E193" i="4"/>
  <c r="E194" i="4"/>
  <c r="E195" i="4"/>
  <c r="E196" i="4"/>
  <c r="E197" i="4"/>
  <c r="E198" i="4"/>
  <c r="E199" i="4"/>
  <c r="E200" i="4"/>
  <c r="E201" i="4"/>
  <c r="E202" i="4"/>
  <c r="E203" i="4"/>
  <c r="E204" i="4"/>
  <c r="E205" i="4"/>
  <c r="E206" i="4"/>
  <c r="E207" i="4"/>
  <c r="E208" i="4"/>
  <c r="E209" i="4"/>
  <c r="E210" i="4"/>
  <c r="E211" i="4"/>
  <c r="E212" i="4"/>
  <c r="E213" i="4"/>
  <c r="E214" i="4"/>
  <c r="E215" i="4"/>
  <c r="E216" i="4"/>
  <c r="E217" i="4"/>
  <c r="E218" i="4"/>
  <c r="E219" i="4"/>
  <c r="E220" i="4"/>
  <c r="E221" i="4"/>
  <c r="E222" i="4"/>
  <c r="E223" i="4"/>
  <c r="E224" i="4"/>
  <c r="E225" i="4"/>
  <c r="E226" i="4"/>
  <c r="E227" i="4"/>
  <c r="E228" i="4"/>
  <c r="E229" i="4"/>
  <c r="E230" i="4"/>
  <c r="E231" i="4"/>
  <c r="E232" i="4"/>
  <c r="E233" i="4"/>
  <c r="E234" i="4"/>
  <c r="E235" i="4"/>
  <c r="E236" i="4"/>
  <c r="E237" i="4"/>
  <c r="E238" i="4"/>
  <c r="E239" i="4"/>
  <c r="E240" i="4"/>
  <c r="E241" i="4"/>
  <c r="E242" i="4"/>
  <c r="E243" i="4"/>
  <c r="E244" i="4"/>
  <c r="E245" i="4"/>
  <c r="E246" i="4"/>
  <c r="E247" i="4"/>
  <c r="E248" i="4"/>
  <c r="E249" i="4"/>
  <c r="E250" i="4"/>
  <c r="E251" i="4"/>
  <c r="E252" i="4"/>
  <c r="E253" i="4"/>
  <c r="E254" i="4"/>
  <c r="E255" i="4"/>
  <c r="E256" i="4"/>
  <c r="E257" i="4"/>
  <c r="E258" i="4"/>
  <c r="E259" i="4"/>
  <c r="E260" i="4"/>
  <c r="E261" i="4"/>
  <c r="E262" i="4"/>
  <c r="E263" i="4"/>
  <c r="E264" i="4"/>
  <c r="E265" i="4"/>
  <c r="E266" i="4"/>
  <c r="E267" i="4"/>
  <c r="E268" i="4"/>
  <c r="E269" i="4"/>
  <c r="E270" i="4"/>
  <c r="E271" i="4"/>
  <c r="E272" i="4"/>
  <c r="E273" i="4"/>
  <c r="E274" i="4"/>
  <c r="E275" i="4"/>
  <c r="E276" i="4"/>
  <c r="E277" i="4"/>
  <c r="E278" i="4"/>
  <c r="E279" i="4"/>
  <c r="E280" i="4"/>
  <c r="E281" i="4"/>
  <c r="E282" i="4"/>
  <c r="E283" i="4"/>
  <c r="E284" i="4"/>
  <c r="E285" i="4"/>
  <c r="E286" i="4"/>
  <c r="E287" i="4"/>
  <c r="E288" i="4"/>
  <c r="E289" i="4"/>
  <c r="E290" i="4"/>
  <c r="E291" i="4"/>
  <c r="E292" i="4"/>
  <c r="E293" i="4"/>
  <c r="E294" i="4"/>
  <c r="E295" i="4"/>
  <c r="E296" i="4"/>
  <c r="E297" i="4"/>
  <c r="E298" i="4"/>
  <c r="E299" i="4"/>
  <c r="E300" i="4"/>
  <c r="E301" i="4"/>
  <c r="E302" i="4"/>
  <c r="E303" i="4"/>
  <c r="E304" i="4"/>
  <c r="E305" i="4"/>
  <c r="E306" i="4"/>
  <c r="E307" i="4"/>
  <c r="E308" i="4"/>
  <c r="E309" i="4"/>
  <c r="E310" i="4"/>
  <c r="E311" i="4"/>
  <c r="E312" i="4"/>
  <c r="E313" i="4"/>
  <c r="E314" i="4"/>
  <c r="E315" i="4"/>
  <c r="E316" i="4"/>
  <c r="E317" i="4"/>
  <c r="E318" i="4"/>
  <c r="E319" i="4"/>
  <c r="E320" i="4"/>
  <c r="E321" i="4"/>
  <c r="E322" i="4"/>
  <c r="E323" i="4"/>
  <c r="E324" i="4"/>
  <c r="E325" i="4"/>
  <c r="E326" i="4"/>
  <c r="E327" i="4"/>
  <c r="E328" i="4"/>
  <c r="E329" i="4"/>
  <c r="E330" i="4"/>
  <c r="E331" i="4"/>
  <c r="E332" i="4"/>
  <c r="E333" i="4"/>
  <c r="E334" i="4"/>
  <c r="E335" i="4"/>
  <c r="E336" i="4"/>
  <c r="E337" i="4"/>
  <c r="E338" i="4"/>
  <c r="E339" i="4"/>
  <c r="E340" i="4"/>
  <c r="E341" i="4"/>
  <c r="E342" i="4"/>
  <c r="E343" i="4"/>
  <c r="E344" i="4"/>
  <c r="E345" i="4"/>
  <c r="E346" i="4"/>
  <c r="E347" i="4"/>
  <c r="E348" i="4"/>
  <c r="E349" i="4"/>
  <c r="E350" i="4"/>
  <c r="E351" i="4"/>
  <c r="E352" i="4"/>
  <c r="E353" i="4"/>
  <c r="E354" i="4"/>
  <c r="E355" i="4"/>
  <c r="E356" i="4"/>
  <c r="E357" i="4"/>
  <c r="E358" i="4"/>
  <c r="E359" i="4"/>
  <c r="E360" i="4"/>
  <c r="E361" i="4"/>
  <c r="E362" i="4"/>
  <c r="E363" i="4"/>
  <c r="E364" i="4"/>
  <c r="E365" i="4"/>
  <c r="E366" i="4"/>
  <c r="E367" i="4"/>
  <c r="E368" i="4"/>
  <c r="E369" i="4"/>
  <c r="E370" i="4"/>
  <c r="E371" i="4"/>
  <c r="E372" i="4"/>
  <c r="E373" i="4"/>
  <c r="E374" i="4"/>
  <c r="E375" i="4"/>
  <c r="E376" i="4"/>
  <c r="E377" i="4"/>
  <c r="E378" i="4"/>
  <c r="E379" i="4"/>
  <c r="E380" i="4"/>
  <c r="E381" i="4"/>
  <c r="E382" i="4"/>
  <c r="E383" i="4"/>
  <c r="E384" i="4"/>
  <c r="E385" i="4"/>
  <c r="E386" i="4"/>
  <c r="E387" i="4"/>
  <c r="E388" i="4"/>
  <c r="E389" i="4"/>
  <c r="E390" i="4"/>
  <c r="E391" i="4"/>
  <c r="E392" i="4"/>
  <c r="E393" i="4"/>
  <c r="E394" i="4"/>
  <c r="E395" i="4"/>
  <c r="E396" i="4"/>
  <c r="E397" i="4"/>
  <c r="E398" i="4"/>
  <c r="E399" i="4"/>
  <c r="E400" i="4"/>
  <c r="E401" i="4"/>
  <c r="E402" i="4"/>
  <c r="E403" i="4"/>
  <c r="E404" i="4"/>
  <c r="E405" i="4"/>
  <c r="E406" i="4"/>
  <c r="E407" i="4"/>
  <c r="E408" i="4"/>
  <c r="E409" i="4"/>
  <c r="E410" i="4"/>
  <c r="E411" i="4"/>
  <c r="E412" i="4"/>
  <c r="E413" i="4"/>
  <c r="E414" i="4"/>
  <c r="E415" i="4"/>
  <c r="E416" i="4"/>
  <c r="E417" i="4"/>
  <c r="E418" i="4"/>
  <c r="E419" i="4"/>
  <c r="E420" i="4"/>
  <c r="E421" i="4"/>
  <c r="E422" i="4"/>
  <c r="E423" i="4"/>
  <c r="E424" i="4"/>
  <c r="E425" i="4"/>
  <c r="E426" i="4"/>
  <c r="E427" i="4"/>
  <c r="E428" i="4"/>
  <c r="E429" i="4"/>
  <c r="E430" i="4"/>
  <c r="E431" i="4"/>
  <c r="E432" i="4"/>
  <c r="E433" i="4"/>
  <c r="E434" i="4"/>
  <c r="E435" i="4"/>
  <c r="E436" i="4"/>
  <c r="E437" i="4"/>
  <c r="E438" i="4"/>
  <c r="E439" i="4"/>
  <c r="E440" i="4"/>
  <c r="E441" i="4"/>
  <c r="E442" i="4"/>
  <c r="E443" i="4"/>
  <c r="E444" i="4"/>
  <c r="E445" i="4"/>
  <c r="E446" i="4"/>
  <c r="E447" i="4"/>
  <c r="E448" i="4"/>
  <c r="E449" i="4"/>
  <c r="E450" i="4"/>
  <c r="E451" i="4"/>
  <c r="E452" i="4"/>
  <c r="E453" i="4"/>
  <c r="E454" i="4"/>
  <c r="E455" i="4"/>
  <c r="E456" i="4"/>
  <c r="E457" i="4"/>
  <c r="E458" i="4"/>
  <c r="E459" i="4"/>
  <c r="E460" i="4"/>
  <c r="E461" i="4"/>
  <c r="E462" i="4"/>
  <c r="E463" i="4"/>
  <c r="E464" i="4"/>
  <c r="E465" i="4"/>
  <c r="E466" i="4"/>
  <c r="E467" i="4"/>
  <c r="E468" i="4"/>
  <c r="E469" i="4"/>
  <c r="E470" i="4"/>
  <c r="E471" i="4"/>
  <c r="E472" i="4"/>
  <c r="E473" i="4"/>
  <c r="E474" i="4"/>
  <c r="E475" i="4"/>
  <c r="E476" i="4"/>
  <c r="E477" i="4"/>
  <c r="E478" i="4"/>
  <c r="E479" i="4"/>
  <c r="E480" i="4"/>
  <c r="E481" i="4"/>
  <c r="E482" i="4"/>
  <c r="E483" i="4"/>
  <c r="E484" i="4"/>
  <c r="E485" i="4"/>
  <c r="E486" i="4"/>
  <c r="E487" i="4"/>
  <c r="E488" i="4"/>
  <c r="E489" i="4"/>
  <c r="E490" i="4"/>
  <c r="E491" i="4"/>
  <c r="E492" i="4"/>
  <c r="E493" i="4"/>
  <c r="E494" i="4"/>
  <c r="E495" i="4"/>
  <c r="E496" i="4"/>
  <c r="E497" i="4"/>
  <c r="E498" i="4"/>
  <c r="E499" i="4"/>
  <c r="E500" i="4"/>
  <c r="E501" i="4"/>
  <c r="E502" i="4"/>
  <c r="E503" i="4"/>
  <c r="E504" i="4"/>
  <c r="E505" i="4"/>
  <c r="E506" i="4"/>
  <c r="E507" i="4"/>
  <c r="E508" i="4"/>
  <c r="E509" i="4"/>
  <c r="E510" i="4"/>
  <c r="E511" i="4"/>
  <c r="E512" i="4"/>
  <c r="E513" i="4"/>
  <c r="E514" i="4"/>
  <c r="E515" i="4"/>
  <c r="E516" i="4"/>
  <c r="E517" i="4"/>
  <c r="E518" i="4"/>
  <c r="E519" i="4"/>
  <c r="E520" i="4"/>
  <c r="E521" i="4"/>
  <c r="E522" i="4"/>
  <c r="E523" i="4"/>
  <c r="E524" i="4"/>
  <c r="E525" i="4"/>
  <c r="E526" i="4"/>
  <c r="E527" i="4"/>
  <c r="E528" i="4"/>
  <c r="E529" i="4"/>
  <c r="E530" i="4"/>
  <c r="E531" i="4"/>
  <c r="E532" i="4"/>
  <c r="E533" i="4"/>
  <c r="E534" i="4"/>
  <c r="E535" i="4"/>
  <c r="E536" i="4"/>
  <c r="E537" i="4"/>
  <c r="E538" i="4"/>
  <c r="E539" i="4"/>
  <c r="E540" i="4"/>
  <c r="E541" i="4"/>
  <c r="E542" i="4"/>
  <c r="E543" i="4"/>
  <c r="E544" i="4"/>
  <c r="E545" i="4"/>
  <c r="E546" i="4"/>
  <c r="E547" i="4"/>
  <c r="E548" i="4"/>
  <c r="E549" i="4"/>
  <c r="E550" i="4"/>
  <c r="E551" i="4"/>
  <c r="E552" i="4"/>
  <c r="E553" i="4"/>
  <c r="E554" i="4"/>
  <c r="E555" i="4"/>
  <c r="E556" i="4"/>
  <c r="E557" i="4"/>
  <c r="E558" i="4"/>
  <c r="E559" i="4"/>
  <c r="E560" i="4"/>
  <c r="E561" i="4"/>
  <c r="E562" i="4"/>
  <c r="E563" i="4"/>
  <c r="E564" i="4"/>
  <c r="E565" i="4"/>
  <c r="E566" i="4"/>
  <c r="E567" i="4"/>
  <c r="E568" i="4"/>
  <c r="E569" i="4"/>
  <c r="E570" i="4"/>
  <c r="E571" i="4"/>
  <c r="E572" i="4"/>
  <c r="E573" i="4"/>
  <c r="E574" i="4"/>
  <c r="E575" i="4"/>
  <c r="E576" i="4"/>
  <c r="E577" i="4"/>
  <c r="E578" i="4"/>
  <c r="E579" i="4"/>
  <c r="E580" i="4"/>
  <c r="E581" i="4"/>
  <c r="E582" i="4"/>
  <c r="E583" i="4"/>
  <c r="E584" i="4"/>
  <c r="E585" i="4"/>
  <c r="E586" i="4"/>
  <c r="E587" i="4"/>
  <c r="E588" i="4"/>
  <c r="E589" i="4"/>
  <c r="E590" i="4"/>
  <c r="E591" i="4"/>
  <c r="E592" i="4"/>
  <c r="E593" i="4"/>
  <c r="E594" i="4"/>
  <c r="E595" i="4"/>
  <c r="E596" i="4"/>
  <c r="E597" i="4"/>
  <c r="E598" i="4"/>
  <c r="E599" i="4"/>
  <c r="E600" i="4"/>
  <c r="E601" i="4"/>
  <c r="E602" i="4"/>
  <c r="D27" i="3"/>
  <c r="J2" i="3"/>
  <c r="K3" i="3"/>
  <c r="J4" i="3"/>
  <c r="A2" i="4" a="1"/>
  <c r="B25" i="4" s="1"/>
  <c r="D35" i="3"/>
  <c r="D36" i="3"/>
  <c r="D37" i="3"/>
  <c r="D38" i="3"/>
  <c r="D39" i="3"/>
  <c r="D40" i="3"/>
  <c r="D41" i="3"/>
  <c r="D34" i="3"/>
  <c r="C49" i="3"/>
  <c r="C47" i="3"/>
  <c r="B15" i="3"/>
  <c r="C16" i="3" s="1"/>
  <c r="K4" i="3"/>
  <c r="K5" i="3"/>
  <c r="K6" i="3"/>
  <c r="K7" i="3"/>
  <c r="K8" i="3"/>
  <c r="K9" i="3"/>
  <c r="K10" i="3"/>
  <c r="K11" i="3"/>
  <c r="K12" i="3"/>
  <c r="K13" i="3"/>
  <c r="K14" i="3"/>
  <c r="K15" i="3"/>
  <c r="K16" i="3"/>
  <c r="K17" i="3"/>
  <c r="K18" i="3"/>
  <c r="K19" i="3"/>
  <c r="K20" i="3"/>
  <c r="K21" i="3"/>
  <c r="K22" i="3"/>
  <c r="K23" i="3"/>
  <c r="K24" i="3"/>
  <c r="K25" i="3"/>
  <c r="K26" i="3"/>
  <c r="K27" i="3"/>
  <c r="K28" i="3"/>
  <c r="K29" i="3"/>
  <c r="K30" i="3"/>
  <c r="K31" i="3"/>
  <c r="K32" i="3"/>
  <c r="K33" i="3"/>
  <c r="K34" i="3"/>
  <c r="K35" i="3"/>
  <c r="K36" i="3"/>
  <c r="K37" i="3"/>
  <c r="K38" i="3"/>
  <c r="K39" i="3"/>
  <c r="K40" i="3"/>
  <c r="K41" i="3"/>
  <c r="K42" i="3"/>
  <c r="K43" i="3"/>
  <c r="K44" i="3"/>
  <c r="K45" i="3"/>
  <c r="K46" i="3"/>
  <c r="K47" i="3"/>
  <c r="K48" i="3"/>
  <c r="K49" i="3"/>
  <c r="K50" i="3"/>
  <c r="K51" i="3"/>
  <c r="K52" i="3"/>
  <c r="K53" i="3"/>
  <c r="K54" i="3"/>
  <c r="K55" i="3"/>
  <c r="K56" i="3"/>
  <c r="K57" i="3"/>
  <c r="K58" i="3"/>
  <c r="K59" i="3"/>
  <c r="K60" i="3"/>
  <c r="K61" i="3"/>
  <c r="K62" i="3"/>
  <c r="K63" i="3"/>
  <c r="K64" i="3"/>
  <c r="K65" i="3"/>
  <c r="K66" i="3"/>
  <c r="K67" i="3"/>
  <c r="K68" i="3"/>
  <c r="K69" i="3"/>
  <c r="K70" i="3"/>
  <c r="K71" i="3"/>
  <c r="K72" i="3"/>
  <c r="K73" i="3"/>
  <c r="K74" i="3"/>
  <c r="K75" i="3"/>
  <c r="K76" i="3"/>
  <c r="K77" i="3"/>
  <c r="K78" i="3"/>
  <c r="K79" i="3"/>
  <c r="K80" i="3"/>
  <c r="K81" i="3"/>
  <c r="K82" i="3"/>
  <c r="K83" i="3"/>
  <c r="K84" i="3"/>
  <c r="K85" i="3"/>
  <c r="K86" i="3"/>
  <c r="K87" i="3"/>
  <c r="K88" i="3"/>
  <c r="K89" i="3"/>
  <c r="K90" i="3"/>
  <c r="K91" i="3"/>
  <c r="K92" i="3"/>
  <c r="K93" i="3"/>
  <c r="K94" i="3"/>
  <c r="K95" i="3"/>
  <c r="K96" i="3"/>
  <c r="K97" i="3"/>
  <c r="K98" i="3"/>
  <c r="K99" i="3"/>
  <c r="K100" i="3"/>
  <c r="K101" i="3"/>
  <c r="K102" i="3"/>
  <c r="K103" i="3"/>
  <c r="K104" i="3"/>
  <c r="K105" i="3"/>
  <c r="K106" i="3"/>
  <c r="K107" i="3"/>
  <c r="K108" i="3"/>
  <c r="K109" i="3"/>
  <c r="K110" i="3"/>
  <c r="K111" i="3"/>
  <c r="K112" i="3"/>
  <c r="K113" i="3"/>
  <c r="K114" i="3"/>
  <c r="K115" i="3"/>
  <c r="K116" i="3"/>
  <c r="K117" i="3"/>
  <c r="K118" i="3"/>
  <c r="K119" i="3"/>
  <c r="K120" i="3"/>
  <c r="K121" i="3"/>
  <c r="K122" i="3"/>
  <c r="K123" i="3"/>
  <c r="K124" i="3"/>
  <c r="K125" i="3"/>
  <c r="K126" i="3"/>
  <c r="K127" i="3"/>
  <c r="K128" i="3"/>
  <c r="K129" i="3"/>
  <c r="K130" i="3"/>
  <c r="K131" i="3"/>
  <c r="K132" i="3"/>
  <c r="K133" i="3"/>
  <c r="K134" i="3"/>
  <c r="K135" i="3"/>
  <c r="K136" i="3"/>
  <c r="K137" i="3"/>
  <c r="K138" i="3"/>
  <c r="K139" i="3"/>
  <c r="K140" i="3"/>
  <c r="K141" i="3"/>
  <c r="K142" i="3"/>
  <c r="K143" i="3"/>
  <c r="K144" i="3"/>
  <c r="K145" i="3"/>
  <c r="K146" i="3"/>
  <c r="K147" i="3"/>
  <c r="K148" i="3"/>
  <c r="K149" i="3"/>
  <c r="K150" i="3"/>
  <c r="K151" i="3"/>
  <c r="K152" i="3"/>
  <c r="K153" i="3"/>
  <c r="K154" i="3"/>
  <c r="K155" i="3"/>
  <c r="K156" i="3"/>
  <c r="K157" i="3"/>
  <c r="K158" i="3"/>
  <c r="K159" i="3"/>
  <c r="K160" i="3"/>
  <c r="K161" i="3"/>
  <c r="K162" i="3"/>
  <c r="K163" i="3"/>
  <c r="K164" i="3"/>
  <c r="K165" i="3"/>
  <c r="K166" i="3"/>
  <c r="K167" i="3"/>
  <c r="K168" i="3"/>
  <c r="K169" i="3"/>
  <c r="K170" i="3"/>
  <c r="K171" i="3"/>
  <c r="K172" i="3"/>
  <c r="K173" i="3"/>
  <c r="K174" i="3"/>
  <c r="K175" i="3"/>
  <c r="K176" i="3"/>
  <c r="K177" i="3"/>
  <c r="K178" i="3"/>
  <c r="K179" i="3"/>
  <c r="K180" i="3"/>
  <c r="K181" i="3"/>
  <c r="K182" i="3"/>
  <c r="K183" i="3"/>
  <c r="K184" i="3"/>
  <c r="K185" i="3"/>
  <c r="K186" i="3"/>
  <c r="K187" i="3"/>
  <c r="K188" i="3"/>
  <c r="K189" i="3"/>
  <c r="K190" i="3"/>
  <c r="K191" i="3"/>
  <c r="K192" i="3"/>
  <c r="K193" i="3"/>
  <c r="K194" i="3"/>
  <c r="K195" i="3"/>
  <c r="K196" i="3"/>
  <c r="K197" i="3"/>
  <c r="K198" i="3"/>
  <c r="K199" i="3"/>
  <c r="K200" i="3"/>
  <c r="K201" i="3"/>
  <c r="K202" i="3"/>
  <c r="K203" i="3"/>
  <c r="K204" i="3"/>
  <c r="K205" i="3"/>
  <c r="K206" i="3"/>
  <c r="K207" i="3"/>
  <c r="K208" i="3"/>
  <c r="K209" i="3"/>
  <c r="K210" i="3"/>
  <c r="K211" i="3"/>
  <c r="K212" i="3"/>
  <c r="K213" i="3"/>
  <c r="K214" i="3"/>
  <c r="K215" i="3"/>
  <c r="K216" i="3"/>
  <c r="K217" i="3"/>
  <c r="K218" i="3"/>
  <c r="K219" i="3"/>
  <c r="K220" i="3"/>
  <c r="K221" i="3"/>
  <c r="K222" i="3"/>
  <c r="K223" i="3"/>
  <c r="K224" i="3"/>
  <c r="K225" i="3"/>
  <c r="K226" i="3"/>
  <c r="K227" i="3"/>
  <c r="K228" i="3"/>
  <c r="K229" i="3"/>
  <c r="K230" i="3"/>
  <c r="K231" i="3"/>
  <c r="K232" i="3"/>
  <c r="K233" i="3"/>
  <c r="K234" i="3"/>
  <c r="K235" i="3"/>
  <c r="K236" i="3"/>
  <c r="K237" i="3"/>
  <c r="K238" i="3"/>
  <c r="K239" i="3"/>
  <c r="K240" i="3"/>
  <c r="K241" i="3"/>
  <c r="K242" i="3"/>
  <c r="K243" i="3"/>
  <c r="K244" i="3"/>
  <c r="K245" i="3"/>
  <c r="K246" i="3"/>
  <c r="K247" i="3"/>
  <c r="K248" i="3"/>
  <c r="K249" i="3"/>
  <c r="K250" i="3"/>
  <c r="K251" i="3"/>
  <c r="K252" i="3"/>
  <c r="K253" i="3"/>
  <c r="K254" i="3"/>
  <c r="K255" i="3"/>
  <c r="K256" i="3"/>
  <c r="K257" i="3"/>
  <c r="K258" i="3"/>
  <c r="K259" i="3"/>
  <c r="K260" i="3"/>
  <c r="K261" i="3"/>
  <c r="K262" i="3"/>
  <c r="K263" i="3"/>
  <c r="K264" i="3"/>
  <c r="K265" i="3"/>
  <c r="K266" i="3"/>
  <c r="K267" i="3"/>
  <c r="K268" i="3"/>
  <c r="K269" i="3"/>
  <c r="K270" i="3"/>
  <c r="K271" i="3"/>
  <c r="K272" i="3"/>
  <c r="K273" i="3"/>
  <c r="K274" i="3"/>
  <c r="K275" i="3"/>
  <c r="K276" i="3"/>
  <c r="K277" i="3"/>
  <c r="K278" i="3"/>
  <c r="K279" i="3"/>
  <c r="K280" i="3"/>
  <c r="K281" i="3"/>
  <c r="K282" i="3"/>
  <c r="K283" i="3"/>
  <c r="K284" i="3"/>
  <c r="K285" i="3"/>
  <c r="K286" i="3"/>
  <c r="K287" i="3"/>
  <c r="K288" i="3"/>
  <c r="K289" i="3"/>
  <c r="K290" i="3"/>
  <c r="K291" i="3"/>
  <c r="K292" i="3"/>
  <c r="K293" i="3"/>
  <c r="K294" i="3"/>
  <c r="K295" i="3"/>
  <c r="K296" i="3"/>
  <c r="K297" i="3"/>
  <c r="K298" i="3"/>
  <c r="K299" i="3"/>
  <c r="K300" i="3"/>
  <c r="K301" i="3"/>
  <c r="K302" i="3"/>
  <c r="K303" i="3"/>
  <c r="K304" i="3"/>
  <c r="K305" i="3"/>
  <c r="K306" i="3"/>
  <c r="K307" i="3"/>
  <c r="K308" i="3"/>
  <c r="K309" i="3"/>
  <c r="K310" i="3"/>
  <c r="K311" i="3"/>
  <c r="K312" i="3"/>
  <c r="K313" i="3"/>
  <c r="K314" i="3"/>
  <c r="K315" i="3"/>
  <c r="K316" i="3"/>
  <c r="K317" i="3"/>
  <c r="K318" i="3"/>
  <c r="K319" i="3"/>
  <c r="K320" i="3"/>
  <c r="K321" i="3"/>
  <c r="K322" i="3"/>
  <c r="K323" i="3"/>
  <c r="K324" i="3"/>
  <c r="K325" i="3"/>
  <c r="K326" i="3"/>
  <c r="K327" i="3"/>
  <c r="K328" i="3"/>
  <c r="K329" i="3"/>
  <c r="K330" i="3"/>
  <c r="K331" i="3"/>
  <c r="K332" i="3"/>
  <c r="K333" i="3"/>
  <c r="K334" i="3"/>
  <c r="K335" i="3"/>
  <c r="K336" i="3"/>
  <c r="K337" i="3"/>
  <c r="K338" i="3"/>
  <c r="K339" i="3"/>
  <c r="K340" i="3"/>
  <c r="K341" i="3"/>
  <c r="K342" i="3"/>
  <c r="K343" i="3"/>
  <c r="K344" i="3"/>
  <c r="K345" i="3"/>
  <c r="K346" i="3"/>
  <c r="K347" i="3"/>
  <c r="K348" i="3"/>
  <c r="K349" i="3"/>
  <c r="K350" i="3"/>
  <c r="K351" i="3"/>
  <c r="K352" i="3"/>
  <c r="K353" i="3"/>
  <c r="K354" i="3"/>
  <c r="K355" i="3"/>
  <c r="K356" i="3"/>
  <c r="K357" i="3"/>
  <c r="K358" i="3"/>
  <c r="K359" i="3"/>
  <c r="K360" i="3"/>
  <c r="K361" i="3"/>
  <c r="K362" i="3"/>
  <c r="K363" i="3"/>
  <c r="K364" i="3"/>
  <c r="K365" i="3"/>
  <c r="K366" i="3"/>
  <c r="K367" i="3"/>
  <c r="K368" i="3"/>
  <c r="K369" i="3"/>
  <c r="K370" i="3"/>
  <c r="K371" i="3"/>
  <c r="K372" i="3"/>
  <c r="K373" i="3"/>
  <c r="K374" i="3"/>
  <c r="K375" i="3"/>
  <c r="K376" i="3"/>
  <c r="K377" i="3"/>
  <c r="K378" i="3"/>
  <c r="K379" i="3"/>
  <c r="K380" i="3"/>
  <c r="K381" i="3"/>
  <c r="K382" i="3"/>
  <c r="K383" i="3"/>
  <c r="K384" i="3"/>
  <c r="K385" i="3"/>
  <c r="K386" i="3"/>
  <c r="K387" i="3"/>
  <c r="K388" i="3"/>
  <c r="K389" i="3"/>
  <c r="K390" i="3"/>
  <c r="K391" i="3"/>
  <c r="K392" i="3"/>
  <c r="K393" i="3"/>
  <c r="K394" i="3"/>
  <c r="K395" i="3"/>
  <c r="K396" i="3"/>
  <c r="K397" i="3"/>
  <c r="K398" i="3"/>
  <c r="K399" i="3"/>
  <c r="K400" i="3"/>
  <c r="K401" i="3"/>
  <c r="K402" i="3"/>
  <c r="K403" i="3"/>
  <c r="K404" i="3"/>
  <c r="K405" i="3"/>
  <c r="K406" i="3"/>
  <c r="K407" i="3"/>
  <c r="K408" i="3"/>
  <c r="K409" i="3"/>
  <c r="K410" i="3"/>
  <c r="K411" i="3"/>
  <c r="K412" i="3"/>
  <c r="K413" i="3"/>
  <c r="K414" i="3"/>
  <c r="K415" i="3"/>
  <c r="K416" i="3"/>
  <c r="K417" i="3"/>
  <c r="K418" i="3"/>
  <c r="K419" i="3"/>
  <c r="K420" i="3"/>
  <c r="K421" i="3"/>
  <c r="K422" i="3"/>
  <c r="K423" i="3"/>
  <c r="K424" i="3"/>
  <c r="K425" i="3"/>
  <c r="K426" i="3"/>
  <c r="K427" i="3"/>
  <c r="K428" i="3"/>
  <c r="K429" i="3"/>
  <c r="K430" i="3"/>
  <c r="K431" i="3"/>
  <c r="K432" i="3"/>
  <c r="K433" i="3"/>
  <c r="K434" i="3"/>
  <c r="K435" i="3"/>
  <c r="K436" i="3"/>
  <c r="K437" i="3"/>
  <c r="L437" i="3" s="1"/>
  <c r="K438" i="3"/>
  <c r="K439" i="3"/>
  <c r="K440" i="3"/>
  <c r="K441" i="3"/>
  <c r="K442" i="3"/>
  <c r="K443" i="3"/>
  <c r="K444" i="3"/>
  <c r="K445" i="3"/>
  <c r="K446" i="3"/>
  <c r="K447" i="3"/>
  <c r="K448" i="3"/>
  <c r="K449" i="3"/>
  <c r="K450" i="3"/>
  <c r="K451" i="3"/>
  <c r="K452" i="3"/>
  <c r="K453" i="3"/>
  <c r="K454" i="3"/>
  <c r="K455" i="3"/>
  <c r="K456" i="3"/>
  <c r="K457" i="3"/>
  <c r="K458" i="3"/>
  <c r="K459" i="3"/>
  <c r="K460" i="3"/>
  <c r="K461" i="3"/>
  <c r="K462" i="3"/>
  <c r="K463" i="3"/>
  <c r="K464" i="3"/>
  <c r="K465" i="3"/>
  <c r="K466" i="3"/>
  <c r="K467" i="3"/>
  <c r="K468" i="3"/>
  <c r="K469" i="3"/>
  <c r="K470" i="3"/>
  <c r="K471" i="3"/>
  <c r="K472" i="3"/>
  <c r="K473" i="3"/>
  <c r="K474" i="3"/>
  <c r="K475" i="3"/>
  <c r="K476" i="3"/>
  <c r="K477" i="3"/>
  <c r="K478" i="3"/>
  <c r="K479" i="3"/>
  <c r="K480" i="3"/>
  <c r="K481" i="3"/>
  <c r="K482" i="3"/>
  <c r="K483" i="3"/>
  <c r="K484" i="3"/>
  <c r="K485" i="3"/>
  <c r="K486" i="3"/>
  <c r="K487" i="3"/>
  <c r="K488" i="3"/>
  <c r="K489" i="3"/>
  <c r="K490" i="3"/>
  <c r="K491" i="3"/>
  <c r="K492" i="3"/>
  <c r="K493" i="3"/>
  <c r="K494" i="3"/>
  <c r="K495" i="3"/>
  <c r="K496" i="3"/>
  <c r="K497" i="3"/>
  <c r="K498" i="3"/>
  <c r="K499" i="3"/>
  <c r="K500" i="3"/>
  <c r="K501" i="3"/>
  <c r="K502" i="3"/>
  <c r="K503" i="3"/>
  <c r="K504" i="3"/>
  <c r="K505" i="3"/>
  <c r="K506" i="3"/>
  <c r="K507" i="3"/>
  <c r="K508" i="3"/>
  <c r="K509" i="3"/>
  <c r="K510" i="3"/>
  <c r="K511" i="3"/>
  <c r="K512" i="3"/>
  <c r="K513" i="3"/>
  <c r="K514" i="3"/>
  <c r="K515" i="3"/>
  <c r="K516" i="3"/>
  <c r="K517" i="3"/>
  <c r="K518" i="3"/>
  <c r="K519" i="3"/>
  <c r="K520" i="3"/>
  <c r="K521" i="3"/>
  <c r="K522" i="3"/>
  <c r="K523" i="3"/>
  <c r="K524" i="3"/>
  <c r="K525" i="3"/>
  <c r="K526" i="3"/>
  <c r="K527" i="3"/>
  <c r="K528" i="3"/>
  <c r="K529" i="3"/>
  <c r="K530" i="3"/>
  <c r="K531" i="3"/>
  <c r="K532" i="3"/>
  <c r="K533" i="3"/>
  <c r="K534" i="3"/>
  <c r="K535" i="3"/>
  <c r="K536" i="3"/>
  <c r="K537" i="3"/>
  <c r="K538" i="3"/>
  <c r="K539" i="3"/>
  <c r="K540" i="3"/>
  <c r="K541" i="3"/>
  <c r="K542" i="3"/>
  <c r="K543" i="3"/>
  <c r="K544" i="3"/>
  <c r="K545" i="3"/>
  <c r="K546" i="3"/>
  <c r="K547" i="3"/>
  <c r="K548" i="3"/>
  <c r="K549" i="3"/>
  <c r="K550" i="3"/>
  <c r="K551" i="3"/>
  <c r="K552" i="3"/>
  <c r="K553" i="3"/>
  <c r="K554" i="3"/>
  <c r="K555" i="3"/>
  <c r="K556" i="3"/>
  <c r="K557" i="3"/>
  <c r="K558" i="3"/>
  <c r="K559" i="3"/>
  <c r="K560" i="3"/>
  <c r="K561" i="3"/>
  <c r="K562" i="3"/>
  <c r="K563" i="3"/>
  <c r="K564" i="3"/>
  <c r="K565" i="3"/>
  <c r="K566" i="3"/>
  <c r="K567" i="3"/>
  <c r="K568" i="3"/>
  <c r="K569" i="3"/>
  <c r="K570" i="3"/>
  <c r="K571" i="3"/>
  <c r="K572" i="3"/>
  <c r="K573" i="3"/>
  <c r="K574" i="3"/>
  <c r="K575" i="3"/>
  <c r="K576" i="3"/>
  <c r="K577" i="3"/>
  <c r="K578" i="3"/>
  <c r="K579" i="3"/>
  <c r="K580" i="3"/>
  <c r="K581" i="3"/>
  <c r="K582" i="3"/>
  <c r="K583" i="3"/>
  <c r="K584" i="3"/>
  <c r="K585" i="3"/>
  <c r="K586" i="3"/>
  <c r="K587" i="3"/>
  <c r="K588" i="3"/>
  <c r="K589" i="3"/>
  <c r="K590" i="3"/>
  <c r="K591" i="3"/>
  <c r="K592" i="3"/>
  <c r="K593" i="3"/>
  <c r="K594" i="3"/>
  <c r="K595" i="3"/>
  <c r="K596" i="3"/>
  <c r="K597" i="3"/>
  <c r="K598" i="3"/>
  <c r="K599" i="3"/>
  <c r="K600" i="3"/>
  <c r="K601" i="3"/>
  <c r="K602" i="3"/>
  <c r="K2" i="3"/>
  <c r="J3" i="3"/>
  <c r="J5" i="3"/>
  <c r="J6" i="3"/>
  <c r="J7" i="3"/>
  <c r="J8" i="3"/>
  <c r="J9" i="3"/>
  <c r="J10" i="3"/>
  <c r="J11" i="3"/>
  <c r="J12" i="3"/>
  <c r="J13" i="3"/>
  <c r="J14" i="3"/>
  <c r="J15" i="3"/>
  <c r="J16" i="3"/>
  <c r="J17" i="3"/>
  <c r="J18" i="3"/>
  <c r="J19" i="3"/>
  <c r="J20" i="3"/>
  <c r="J21" i="3"/>
  <c r="J22" i="3"/>
  <c r="J23" i="3"/>
  <c r="J24" i="3"/>
  <c r="J25" i="3"/>
  <c r="J26" i="3"/>
  <c r="J27" i="3"/>
  <c r="J28" i="3"/>
  <c r="J29" i="3"/>
  <c r="J30" i="3"/>
  <c r="J31" i="3"/>
  <c r="J32" i="3"/>
  <c r="J33" i="3"/>
  <c r="J34" i="3"/>
  <c r="J35" i="3"/>
  <c r="J36" i="3"/>
  <c r="J37" i="3"/>
  <c r="J38" i="3"/>
  <c r="J39" i="3"/>
  <c r="J40" i="3"/>
  <c r="J41" i="3"/>
  <c r="J42" i="3"/>
  <c r="J43" i="3"/>
  <c r="J44" i="3"/>
  <c r="J45" i="3"/>
  <c r="J46" i="3"/>
  <c r="J47" i="3"/>
  <c r="J48" i="3"/>
  <c r="J49" i="3"/>
  <c r="J50" i="3"/>
  <c r="J51" i="3"/>
  <c r="J52" i="3"/>
  <c r="J53" i="3"/>
  <c r="J54" i="3"/>
  <c r="J55" i="3"/>
  <c r="J56" i="3"/>
  <c r="J57" i="3"/>
  <c r="J58" i="3"/>
  <c r="J59" i="3"/>
  <c r="J60" i="3"/>
  <c r="J61" i="3"/>
  <c r="J62" i="3"/>
  <c r="J63" i="3"/>
  <c r="J64" i="3"/>
  <c r="J65" i="3"/>
  <c r="J66" i="3"/>
  <c r="J67" i="3"/>
  <c r="J68" i="3"/>
  <c r="J69" i="3"/>
  <c r="J70" i="3"/>
  <c r="J71" i="3"/>
  <c r="J72" i="3"/>
  <c r="J73" i="3"/>
  <c r="J74" i="3"/>
  <c r="J75" i="3"/>
  <c r="J76" i="3"/>
  <c r="J77" i="3"/>
  <c r="J78" i="3"/>
  <c r="J79" i="3"/>
  <c r="J80" i="3"/>
  <c r="J81" i="3"/>
  <c r="J82" i="3"/>
  <c r="J83" i="3"/>
  <c r="J84" i="3"/>
  <c r="J85" i="3"/>
  <c r="J86" i="3"/>
  <c r="J87" i="3"/>
  <c r="J88" i="3"/>
  <c r="J89" i="3"/>
  <c r="J90" i="3"/>
  <c r="J91" i="3"/>
  <c r="J92" i="3"/>
  <c r="J93" i="3"/>
  <c r="J94" i="3"/>
  <c r="J95" i="3"/>
  <c r="J96" i="3"/>
  <c r="J97" i="3"/>
  <c r="J98" i="3"/>
  <c r="J99" i="3"/>
  <c r="J100" i="3"/>
  <c r="J101" i="3"/>
  <c r="J102" i="3"/>
  <c r="J103" i="3"/>
  <c r="J104" i="3"/>
  <c r="J105" i="3"/>
  <c r="J106" i="3"/>
  <c r="J107" i="3"/>
  <c r="J108" i="3"/>
  <c r="J109" i="3"/>
  <c r="J110" i="3"/>
  <c r="J111" i="3"/>
  <c r="J112" i="3"/>
  <c r="J113" i="3"/>
  <c r="J114" i="3"/>
  <c r="J115" i="3"/>
  <c r="J116" i="3"/>
  <c r="J117" i="3"/>
  <c r="J118" i="3"/>
  <c r="J119" i="3"/>
  <c r="J120" i="3"/>
  <c r="J121" i="3"/>
  <c r="J122" i="3"/>
  <c r="J123" i="3"/>
  <c r="J124" i="3"/>
  <c r="J125" i="3"/>
  <c r="J126" i="3"/>
  <c r="J127" i="3"/>
  <c r="J128" i="3"/>
  <c r="J129" i="3"/>
  <c r="J130" i="3"/>
  <c r="J131" i="3"/>
  <c r="J132" i="3"/>
  <c r="J133" i="3"/>
  <c r="J134" i="3"/>
  <c r="J135" i="3"/>
  <c r="J136" i="3"/>
  <c r="J137" i="3"/>
  <c r="J138" i="3"/>
  <c r="J139" i="3"/>
  <c r="J140" i="3"/>
  <c r="J141" i="3"/>
  <c r="J142" i="3"/>
  <c r="J143" i="3"/>
  <c r="J144" i="3"/>
  <c r="J145" i="3"/>
  <c r="J146" i="3"/>
  <c r="J147" i="3"/>
  <c r="J148" i="3"/>
  <c r="J149" i="3"/>
  <c r="J150" i="3"/>
  <c r="J151" i="3"/>
  <c r="J152" i="3"/>
  <c r="J153" i="3"/>
  <c r="J154" i="3"/>
  <c r="J155" i="3"/>
  <c r="J156" i="3"/>
  <c r="J157" i="3"/>
  <c r="J158" i="3"/>
  <c r="J159" i="3"/>
  <c r="J160" i="3"/>
  <c r="J161" i="3"/>
  <c r="J162" i="3"/>
  <c r="J163" i="3"/>
  <c r="J164" i="3"/>
  <c r="J165" i="3"/>
  <c r="J166" i="3"/>
  <c r="J167" i="3"/>
  <c r="J168" i="3"/>
  <c r="J169" i="3"/>
  <c r="J170" i="3"/>
  <c r="J171" i="3"/>
  <c r="J172" i="3"/>
  <c r="J173" i="3"/>
  <c r="J174" i="3"/>
  <c r="J175" i="3"/>
  <c r="J176" i="3"/>
  <c r="J177" i="3"/>
  <c r="J178" i="3"/>
  <c r="J179" i="3"/>
  <c r="J180" i="3"/>
  <c r="J181" i="3"/>
  <c r="J182" i="3"/>
  <c r="J183" i="3"/>
  <c r="J184" i="3"/>
  <c r="J185" i="3"/>
  <c r="J186" i="3"/>
  <c r="J187" i="3"/>
  <c r="J188" i="3"/>
  <c r="J189" i="3"/>
  <c r="J190" i="3"/>
  <c r="J191" i="3"/>
  <c r="J192" i="3"/>
  <c r="J193" i="3"/>
  <c r="J194" i="3"/>
  <c r="J195" i="3"/>
  <c r="J196" i="3"/>
  <c r="J197" i="3"/>
  <c r="J198" i="3"/>
  <c r="J199" i="3"/>
  <c r="J200" i="3"/>
  <c r="J201" i="3"/>
  <c r="J202" i="3"/>
  <c r="J203" i="3"/>
  <c r="J204" i="3"/>
  <c r="J205" i="3"/>
  <c r="J206" i="3"/>
  <c r="J207" i="3"/>
  <c r="J208" i="3"/>
  <c r="J209" i="3"/>
  <c r="J210" i="3"/>
  <c r="J211" i="3"/>
  <c r="J212" i="3"/>
  <c r="J213" i="3"/>
  <c r="J214" i="3"/>
  <c r="J215" i="3"/>
  <c r="J216" i="3"/>
  <c r="J217" i="3"/>
  <c r="J218" i="3"/>
  <c r="J219" i="3"/>
  <c r="J220" i="3"/>
  <c r="J221" i="3"/>
  <c r="J222" i="3"/>
  <c r="J223" i="3"/>
  <c r="J224" i="3"/>
  <c r="J225" i="3"/>
  <c r="J226" i="3"/>
  <c r="J227" i="3"/>
  <c r="J228" i="3"/>
  <c r="J229" i="3"/>
  <c r="J230" i="3"/>
  <c r="J231" i="3"/>
  <c r="J232" i="3"/>
  <c r="J233" i="3"/>
  <c r="J234" i="3"/>
  <c r="J235" i="3"/>
  <c r="J236" i="3"/>
  <c r="J237" i="3"/>
  <c r="J238" i="3"/>
  <c r="J239" i="3"/>
  <c r="J240" i="3"/>
  <c r="J241" i="3"/>
  <c r="J242" i="3"/>
  <c r="J243" i="3"/>
  <c r="J244" i="3"/>
  <c r="J245" i="3"/>
  <c r="J246" i="3"/>
  <c r="J247" i="3"/>
  <c r="J248" i="3"/>
  <c r="J249" i="3"/>
  <c r="J250" i="3"/>
  <c r="J251" i="3"/>
  <c r="J252" i="3"/>
  <c r="J253" i="3"/>
  <c r="J254" i="3"/>
  <c r="J255" i="3"/>
  <c r="J256" i="3"/>
  <c r="J257" i="3"/>
  <c r="J258" i="3"/>
  <c r="J259" i="3"/>
  <c r="J260" i="3"/>
  <c r="J261" i="3"/>
  <c r="J262" i="3"/>
  <c r="J263" i="3"/>
  <c r="J264" i="3"/>
  <c r="J265" i="3"/>
  <c r="J266" i="3"/>
  <c r="J267" i="3"/>
  <c r="J268" i="3"/>
  <c r="J269" i="3"/>
  <c r="J270" i="3"/>
  <c r="J271" i="3"/>
  <c r="J272" i="3"/>
  <c r="J273" i="3"/>
  <c r="J274" i="3"/>
  <c r="J275" i="3"/>
  <c r="J276" i="3"/>
  <c r="J277" i="3"/>
  <c r="J278" i="3"/>
  <c r="J279" i="3"/>
  <c r="J280" i="3"/>
  <c r="J281" i="3"/>
  <c r="J282" i="3"/>
  <c r="J283" i="3"/>
  <c r="J284" i="3"/>
  <c r="J285" i="3"/>
  <c r="J286" i="3"/>
  <c r="J287" i="3"/>
  <c r="J288" i="3"/>
  <c r="J289" i="3"/>
  <c r="J290" i="3"/>
  <c r="J291" i="3"/>
  <c r="J292" i="3"/>
  <c r="J293" i="3"/>
  <c r="J294" i="3"/>
  <c r="J295" i="3"/>
  <c r="J296" i="3"/>
  <c r="J297" i="3"/>
  <c r="J298" i="3"/>
  <c r="J299" i="3"/>
  <c r="J300" i="3"/>
  <c r="J301" i="3"/>
  <c r="J302" i="3"/>
  <c r="J303" i="3"/>
  <c r="J304" i="3"/>
  <c r="J305" i="3"/>
  <c r="J306" i="3"/>
  <c r="J307" i="3"/>
  <c r="J308" i="3"/>
  <c r="J309" i="3"/>
  <c r="J310" i="3"/>
  <c r="J311" i="3"/>
  <c r="J312" i="3"/>
  <c r="J313" i="3"/>
  <c r="J314" i="3"/>
  <c r="J315" i="3"/>
  <c r="J316" i="3"/>
  <c r="J317" i="3"/>
  <c r="J318" i="3"/>
  <c r="J319" i="3"/>
  <c r="J320" i="3"/>
  <c r="J321" i="3"/>
  <c r="J322" i="3"/>
  <c r="J323" i="3"/>
  <c r="J324" i="3"/>
  <c r="J325" i="3"/>
  <c r="J326" i="3"/>
  <c r="J327" i="3"/>
  <c r="J328" i="3"/>
  <c r="J329" i="3"/>
  <c r="J330" i="3"/>
  <c r="J331" i="3"/>
  <c r="J332" i="3"/>
  <c r="J333" i="3"/>
  <c r="J334" i="3"/>
  <c r="J335" i="3"/>
  <c r="J336" i="3"/>
  <c r="J337" i="3"/>
  <c r="J338" i="3"/>
  <c r="J339" i="3"/>
  <c r="J340" i="3"/>
  <c r="J341" i="3"/>
  <c r="J342" i="3"/>
  <c r="J343" i="3"/>
  <c r="J344" i="3"/>
  <c r="J345" i="3"/>
  <c r="J346" i="3"/>
  <c r="J347" i="3"/>
  <c r="J348" i="3"/>
  <c r="J349" i="3"/>
  <c r="J350" i="3"/>
  <c r="J351" i="3"/>
  <c r="J352" i="3"/>
  <c r="J353" i="3"/>
  <c r="J354" i="3"/>
  <c r="J355" i="3"/>
  <c r="J356" i="3"/>
  <c r="J357" i="3"/>
  <c r="J358" i="3"/>
  <c r="J359" i="3"/>
  <c r="J360" i="3"/>
  <c r="J361" i="3"/>
  <c r="J362" i="3"/>
  <c r="J363" i="3"/>
  <c r="J364" i="3"/>
  <c r="J365" i="3"/>
  <c r="J366" i="3"/>
  <c r="J367" i="3"/>
  <c r="J368" i="3"/>
  <c r="J369" i="3"/>
  <c r="J370" i="3"/>
  <c r="J371" i="3"/>
  <c r="J372" i="3"/>
  <c r="J373" i="3"/>
  <c r="J374" i="3"/>
  <c r="J375" i="3"/>
  <c r="J376" i="3"/>
  <c r="J377" i="3"/>
  <c r="J378" i="3"/>
  <c r="J379" i="3"/>
  <c r="J380" i="3"/>
  <c r="J381" i="3"/>
  <c r="J382" i="3"/>
  <c r="J383" i="3"/>
  <c r="J384" i="3"/>
  <c r="J385" i="3"/>
  <c r="J386" i="3"/>
  <c r="J387" i="3"/>
  <c r="J388" i="3"/>
  <c r="J389" i="3"/>
  <c r="J390" i="3"/>
  <c r="J391" i="3"/>
  <c r="J392" i="3"/>
  <c r="J393" i="3"/>
  <c r="J394" i="3"/>
  <c r="J395" i="3"/>
  <c r="J396" i="3"/>
  <c r="J397" i="3"/>
  <c r="J398" i="3"/>
  <c r="J399" i="3"/>
  <c r="J400" i="3"/>
  <c r="J401" i="3"/>
  <c r="J402" i="3"/>
  <c r="J403" i="3"/>
  <c r="J404" i="3"/>
  <c r="J405" i="3"/>
  <c r="J406" i="3"/>
  <c r="J407" i="3"/>
  <c r="J408" i="3"/>
  <c r="J409" i="3"/>
  <c r="J410" i="3"/>
  <c r="J411" i="3"/>
  <c r="J412" i="3"/>
  <c r="J413" i="3"/>
  <c r="J414" i="3"/>
  <c r="J415" i="3"/>
  <c r="J416" i="3"/>
  <c r="J417" i="3"/>
  <c r="J418" i="3"/>
  <c r="J419" i="3"/>
  <c r="J420" i="3"/>
  <c r="J421" i="3"/>
  <c r="J422" i="3"/>
  <c r="J423" i="3"/>
  <c r="J424" i="3"/>
  <c r="J425" i="3"/>
  <c r="J426" i="3"/>
  <c r="J427" i="3"/>
  <c r="J428" i="3"/>
  <c r="J429" i="3"/>
  <c r="J430" i="3"/>
  <c r="J431" i="3"/>
  <c r="J432" i="3"/>
  <c r="J433" i="3"/>
  <c r="J434" i="3"/>
  <c r="J435" i="3"/>
  <c r="J436" i="3"/>
  <c r="J437" i="3"/>
  <c r="J438" i="3"/>
  <c r="J439" i="3"/>
  <c r="J440" i="3"/>
  <c r="J441" i="3"/>
  <c r="J442" i="3"/>
  <c r="J443" i="3"/>
  <c r="J444" i="3"/>
  <c r="J445" i="3"/>
  <c r="J446" i="3"/>
  <c r="J447" i="3"/>
  <c r="J448" i="3"/>
  <c r="J449" i="3"/>
  <c r="J450" i="3"/>
  <c r="J451" i="3"/>
  <c r="J452" i="3"/>
  <c r="J453" i="3"/>
  <c r="J454" i="3"/>
  <c r="J455" i="3"/>
  <c r="J456" i="3"/>
  <c r="J457" i="3"/>
  <c r="J458" i="3"/>
  <c r="J459" i="3"/>
  <c r="J460" i="3"/>
  <c r="J461" i="3"/>
  <c r="J462" i="3"/>
  <c r="J463" i="3"/>
  <c r="J464" i="3"/>
  <c r="J465" i="3"/>
  <c r="J466" i="3"/>
  <c r="J467" i="3"/>
  <c r="J468" i="3"/>
  <c r="J469" i="3"/>
  <c r="J470" i="3"/>
  <c r="J471" i="3"/>
  <c r="J472" i="3"/>
  <c r="J473" i="3"/>
  <c r="J474" i="3"/>
  <c r="J475" i="3"/>
  <c r="J476" i="3"/>
  <c r="J477" i="3"/>
  <c r="J478" i="3"/>
  <c r="J479" i="3"/>
  <c r="J480" i="3"/>
  <c r="J481" i="3"/>
  <c r="J482" i="3"/>
  <c r="J483" i="3"/>
  <c r="J484" i="3"/>
  <c r="J485" i="3"/>
  <c r="J486" i="3"/>
  <c r="J487" i="3"/>
  <c r="J488" i="3"/>
  <c r="J489" i="3"/>
  <c r="J490" i="3"/>
  <c r="J491" i="3"/>
  <c r="J492" i="3"/>
  <c r="J493" i="3"/>
  <c r="J494" i="3"/>
  <c r="J495" i="3"/>
  <c r="J496" i="3"/>
  <c r="J497" i="3"/>
  <c r="J498" i="3"/>
  <c r="J499" i="3"/>
  <c r="J500" i="3"/>
  <c r="J501" i="3"/>
  <c r="J502" i="3"/>
  <c r="J503" i="3"/>
  <c r="J504" i="3"/>
  <c r="J505" i="3"/>
  <c r="J506" i="3"/>
  <c r="J507" i="3"/>
  <c r="J508" i="3"/>
  <c r="J509" i="3"/>
  <c r="J510" i="3"/>
  <c r="J511" i="3"/>
  <c r="J512" i="3"/>
  <c r="J513" i="3"/>
  <c r="J514" i="3"/>
  <c r="J515" i="3"/>
  <c r="J516" i="3"/>
  <c r="J517" i="3"/>
  <c r="J518" i="3"/>
  <c r="J519" i="3"/>
  <c r="J520" i="3"/>
  <c r="J521" i="3"/>
  <c r="J522" i="3"/>
  <c r="J523" i="3"/>
  <c r="J524" i="3"/>
  <c r="J525" i="3"/>
  <c r="J526" i="3"/>
  <c r="J527" i="3"/>
  <c r="J528" i="3"/>
  <c r="J529" i="3"/>
  <c r="J530" i="3"/>
  <c r="J531" i="3"/>
  <c r="J532" i="3"/>
  <c r="J533" i="3"/>
  <c r="J534" i="3"/>
  <c r="J535" i="3"/>
  <c r="J536" i="3"/>
  <c r="J537" i="3"/>
  <c r="J538" i="3"/>
  <c r="J539" i="3"/>
  <c r="J540" i="3"/>
  <c r="J541" i="3"/>
  <c r="J542" i="3"/>
  <c r="J543" i="3"/>
  <c r="J544" i="3"/>
  <c r="J545" i="3"/>
  <c r="J546" i="3"/>
  <c r="J547" i="3"/>
  <c r="J548" i="3"/>
  <c r="J549" i="3"/>
  <c r="J550" i="3"/>
  <c r="J551" i="3"/>
  <c r="J552" i="3"/>
  <c r="J553" i="3"/>
  <c r="J554" i="3"/>
  <c r="J555" i="3"/>
  <c r="J556" i="3"/>
  <c r="J557" i="3"/>
  <c r="J558" i="3"/>
  <c r="J559" i="3"/>
  <c r="J560" i="3"/>
  <c r="J561" i="3"/>
  <c r="J562" i="3"/>
  <c r="J563" i="3"/>
  <c r="J564" i="3"/>
  <c r="J565" i="3"/>
  <c r="J566" i="3"/>
  <c r="J567" i="3"/>
  <c r="J568" i="3"/>
  <c r="J569" i="3"/>
  <c r="J570" i="3"/>
  <c r="J571" i="3"/>
  <c r="J572" i="3"/>
  <c r="J573" i="3"/>
  <c r="J574" i="3"/>
  <c r="J575" i="3"/>
  <c r="J576" i="3"/>
  <c r="J577" i="3"/>
  <c r="J578" i="3"/>
  <c r="J579" i="3"/>
  <c r="J580" i="3"/>
  <c r="J581" i="3"/>
  <c r="J582" i="3"/>
  <c r="J583" i="3"/>
  <c r="J584" i="3"/>
  <c r="J585" i="3"/>
  <c r="J586" i="3"/>
  <c r="J587" i="3"/>
  <c r="J588" i="3"/>
  <c r="J589" i="3"/>
  <c r="J590" i="3"/>
  <c r="J591" i="3"/>
  <c r="J592" i="3"/>
  <c r="J593" i="3"/>
  <c r="J594" i="3"/>
  <c r="J595" i="3"/>
  <c r="J596" i="3"/>
  <c r="J597" i="3"/>
  <c r="J598" i="3"/>
  <c r="J599" i="3"/>
  <c r="J600" i="3"/>
  <c r="J601" i="3"/>
  <c r="J602" i="3"/>
  <c r="B27" i="3"/>
  <c r="C26" i="3"/>
  <c r="D20" i="3"/>
  <c r="B20" i="3"/>
  <c r="D30" i="3"/>
  <c r="B30" i="3"/>
  <c r="D29" i="3"/>
  <c r="B29" i="3"/>
  <c r="C24" i="3"/>
  <c r="C17" i="3"/>
  <c r="L565" i="3" l="1"/>
  <c r="L339" i="3"/>
  <c r="M339" i="3" s="1"/>
  <c r="M567" i="3"/>
  <c r="L599" i="3"/>
  <c r="L591" i="3"/>
  <c r="M591" i="3" s="1"/>
  <c r="L583" i="3"/>
  <c r="M583" i="3" s="1"/>
  <c r="L575" i="3"/>
  <c r="M575" i="3" s="1"/>
  <c r="L567" i="3"/>
  <c r="L559" i="3"/>
  <c r="L551" i="3"/>
  <c r="L543" i="3"/>
  <c r="M543" i="3" s="1"/>
  <c r="L535" i="3"/>
  <c r="L527" i="3"/>
  <c r="M527" i="3" s="1"/>
  <c r="L519" i="3"/>
  <c r="M519" i="3" s="1"/>
  <c r="L511" i="3"/>
  <c r="M511" i="3" s="1"/>
  <c r="L503" i="3"/>
  <c r="L495" i="3"/>
  <c r="L487" i="3"/>
  <c r="L479" i="3"/>
  <c r="M479" i="3" s="1"/>
  <c r="L471" i="3"/>
  <c r="L463" i="3"/>
  <c r="L455" i="3"/>
  <c r="M455" i="3" s="1"/>
  <c r="L447" i="3"/>
  <c r="M447" i="3" s="1"/>
  <c r="L439" i="3"/>
  <c r="M439" i="3" s="1"/>
  <c r="L431" i="3"/>
  <c r="L423" i="3"/>
  <c r="L415" i="3"/>
  <c r="M415" i="3" s="1"/>
  <c r="L407" i="3"/>
  <c r="L399" i="3"/>
  <c r="M399" i="3" s="1"/>
  <c r="L391" i="3"/>
  <c r="M391" i="3" s="1"/>
  <c r="L383" i="3"/>
  <c r="M383" i="3" s="1"/>
  <c r="L375" i="3"/>
  <c r="L367" i="3"/>
  <c r="L359" i="3"/>
  <c r="L351" i="3"/>
  <c r="L343" i="3"/>
  <c r="M343" i="3" s="1"/>
  <c r="L335" i="3"/>
  <c r="M335" i="3" s="1"/>
  <c r="L327" i="3"/>
  <c r="L319" i="3"/>
  <c r="M319" i="3" s="1"/>
  <c r="L311" i="3"/>
  <c r="L303" i="3"/>
  <c r="L295" i="3"/>
  <c r="M295" i="3" s="1"/>
  <c r="L287" i="3"/>
  <c r="L279" i="3"/>
  <c r="M279" i="3" s="1"/>
  <c r="L271" i="3"/>
  <c r="M271" i="3" s="1"/>
  <c r="M473" i="3"/>
  <c r="M495" i="3"/>
  <c r="M431" i="3"/>
  <c r="M158" i="3"/>
  <c r="N158" i="3" s="1"/>
  <c r="M599" i="3"/>
  <c r="M551" i="3"/>
  <c r="M503" i="3"/>
  <c r="M463" i="3"/>
  <c r="M375" i="3"/>
  <c r="M541" i="3"/>
  <c r="M525" i="3"/>
  <c r="M461" i="3"/>
  <c r="M437" i="3"/>
  <c r="M397" i="3"/>
  <c r="M285" i="3"/>
  <c r="M269" i="3"/>
  <c r="L597" i="3"/>
  <c r="L589" i="3"/>
  <c r="L581" i="3"/>
  <c r="M581" i="3" s="1"/>
  <c r="L573" i="3"/>
  <c r="M573" i="3" s="1"/>
  <c r="L557" i="3"/>
  <c r="M557" i="3" s="1"/>
  <c r="L549" i="3"/>
  <c r="M549" i="3" s="1"/>
  <c r="L541" i="3"/>
  <c r="L533" i="3"/>
  <c r="M533" i="3" s="1"/>
  <c r="L525" i="3"/>
  <c r="L517" i="3"/>
  <c r="M517" i="3" s="1"/>
  <c r="L509" i="3"/>
  <c r="M509" i="3" s="1"/>
  <c r="L493" i="3"/>
  <c r="M493" i="3" s="1"/>
  <c r="L485" i="3"/>
  <c r="M485" i="3" s="1"/>
  <c r="L477" i="3"/>
  <c r="M477" i="3" s="1"/>
  <c r="L469" i="3"/>
  <c r="M469" i="3" s="1"/>
  <c r="L461" i="3"/>
  <c r="L453" i="3"/>
  <c r="M453" i="3" s="1"/>
  <c r="L445" i="3"/>
  <c r="M445" i="3" s="1"/>
  <c r="L429" i="3"/>
  <c r="M429" i="3" s="1"/>
  <c r="L421" i="3"/>
  <c r="M421" i="3" s="1"/>
  <c r="L413" i="3"/>
  <c r="M413" i="3" s="1"/>
  <c r="L405" i="3"/>
  <c r="M405" i="3" s="1"/>
  <c r="L397" i="3"/>
  <c r="L389" i="3"/>
  <c r="M389" i="3" s="1"/>
  <c r="M471" i="3"/>
  <c r="M423" i="3"/>
  <c r="M359" i="3"/>
  <c r="M311" i="3"/>
  <c r="M565" i="3"/>
  <c r="M444" i="3"/>
  <c r="M396" i="3"/>
  <c r="M559" i="3"/>
  <c r="M407" i="3"/>
  <c r="M367" i="3"/>
  <c r="M327" i="3"/>
  <c r="M287" i="3"/>
  <c r="M597" i="3"/>
  <c r="M595" i="3"/>
  <c r="M523" i="3"/>
  <c r="M315" i="3"/>
  <c r="L371" i="3"/>
  <c r="M371" i="3" s="1"/>
  <c r="M535" i="3"/>
  <c r="M487" i="3"/>
  <c r="M351" i="3"/>
  <c r="M303" i="3"/>
  <c r="M589" i="3"/>
  <c r="C15" i="3"/>
  <c r="D16" i="3" s="1"/>
  <c r="C44" i="3" s="1"/>
  <c r="L3" i="3"/>
  <c r="L53" i="3"/>
  <c r="M53" i="3" s="1"/>
  <c r="L117" i="3"/>
  <c r="L181" i="3"/>
  <c r="M181" i="3" s="1"/>
  <c r="L245" i="3"/>
  <c r="M245" i="3" s="1"/>
  <c r="L307" i="3"/>
  <c r="M307" i="3" s="1"/>
  <c r="M482" i="3"/>
  <c r="M434" i="3"/>
  <c r="N434" i="3" s="1"/>
  <c r="L501" i="3"/>
  <c r="M501" i="3" s="1"/>
  <c r="L598" i="3"/>
  <c r="M598" i="3" s="1"/>
  <c r="L590" i="3"/>
  <c r="M590" i="3" s="1"/>
  <c r="L582" i="3"/>
  <c r="M582" i="3" s="1"/>
  <c r="N582" i="3" s="1"/>
  <c r="L574" i="3"/>
  <c r="M574" i="3" s="1"/>
  <c r="L566" i="3"/>
  <c r="M566" i="3" s="1"/>
  <c r="L558" i="3"/>
  <c r="M558" i="3" s="1"/>
  <c r="L550" i="3"/>
  <c r="M550" i="3" s="1"/>
  <c r="L542" i="3"/>
  <c r="M542" i="3" s="1"/>
  <c r="O542" i="3" s="1"/>
  <c r="P542" i="3" s="1"/>
  <c r="Q542" i="3" s="1"/>
  <c r="L534" i="3"/>
  <c r="M534" i="3" s="1"/>
  <c r="L526" i="3"/>
  <c r="M526" i="3" s="1"/>
  <c r="L518" i="3"/>
  <c r="M518" i="3" s="1"/>
  <c r="L510" i="3"/>
  <c r="M510" i="3" s="1"/>
  <c r="L502" i="3"/>
  <c r="M502" i="3" s="1"/>
  <c r="L494" i="3"/>
  <c r="M494" i="3" s="1"/>
  <c r="L486" i="3"/>
  <c r="M486" i="3" s="1"/>
  <c r="O486" i="3" s="1"/>
  <c r="P486" i="3" s="1"/>
  <c r="L478" i="3"/>
  <c r="M478" i="3" s="1"/>
  <c r="N478" i="3" s="1"/>
  <c r="L470" i="3"/>
  <c r="M470" i="3" s="1"/>
  <c r="N470" i="3" s="1"/>
  <c r="L462" i="3"/>
  <c r="M462" i="3" s="1"/>
  <c r="L454" i="3"/>
  <c r="M454" i="3" s="1"/>
  <c r="O454" i="3" s="1"/>
  <c r="P454" i="3" s="1"/>
  <c r="Q454" i="3" s="1"/>
  <c r="L446" i="3"/>
  <c r="M446" i="3" s="1"/>
  <c r="L438" i="3"/>
  <c r="M438" i="3" s="1"/>
  <c r="L430" i="3"/>
  <c r="M430" i="3" s="1"/>
  <c r="L422" i="3"/>
  <c r="M422" i="3" s="1"/>
  <c r="L414" i="3"/>
  <c r="M414" i="3" s="1"/>
  <c r="O414" i="3" s="1"/>
  <c r="P414" i="3" s="1"/>
  <c r="Q414" i="3" s="1"/>
  <c r="L406" i="3"/>
  <c r="M406" i="3" s="1"/>
  <c r="L398" i="3"/>
  <c r="M398" i="3" s="1"/>
  <c r="N398" i="3" s="1"/>
  <c r="L390" i="3"/>
  <c r="M390" i="3" s="1"/>
  <c r="O390" i="3" s="1"/>
  <c r="P390" i="3" s="1"/>
  <c r="Q390" i="3" s="1"/>
  <c r="L382" i="3"/>
  <c r="M382" i="3" s="1"/>
  <c r="L374" i="3"/>
  <c r="M374" i="3" s="1"/>
  <c r="L366" i="3"/>
  <c r="M366" i="3" s="1"/>
  <c r="N366" i="3" s="1"/>
  <c r="L358" i="3"/>
  <c r="M358" i="3" s="1"/>
  <c r="L350" i="3"/>
  <c r="M350" i="3" s="1"/>
  <c r="L342" i="3"/>
  <c r="M342" i="3" s="1"/>
  <c r="O342" i="3" s="1"/>
  <c r="P342" i="3" s="1"/>
  <c r="Q342" i="3" s="1"/>
  <c r="L334" i="3"/>
  <c r="M334" i="3" s="1"/>
  <c r="L326" i="3"/>
  <c r="M326" i="3" s="1"/>
  <c r="L318" i="3"/>
  <c r="M318" i="3" s="1"/>
  <c r="L310" i="3"/>
  <c r="M310" i="3" s="1"/>
  <c r="O310" i="3" s="1"/>
  <c r="P310" i="3" s="1"/>
  <c r="L302" i="3"/>
  <c r="M302" i="3" s="1"/>
  <c r="L294" i="3"/>
  <c r="M294" i="3" s="1"/>
  <c r="L286" i="3"/>
  <c r="M286" i="3" s="1"/>
  <c r="N286" i="3" s="1"/>
  <c r="L278" i="3"/>
  <c r="M278" i="3" s="1"/>
  <c r="L270" i="3"/>
  <c r="M270" i="3" s="1"/>
  <c r="L262" i="3"/>
  <c r="M262" i="3" s="1"/>
  <c r="L254" i="3"/>
  <c r="M254" i="3" s="1"/>
  <c r="O254" i="3" s="1"/>
  <c r="P254" i="3" s="1"/>
  <c r="L246" i="3"/>
  <c r="M246" i="3" s="1"/>
  <c r="L238" i="3"/>
  <c r="M238" i="3" s="1"/>
  <c r="L230" i="3"/>
  <c r="M230" i="3" s="1"/>
  <c r="N230" i="3" s="1"/>
  <c r="L222" i="3"/>
  <c r="M222" i="3" s="1"/>
  <c r="L214" i="3"/>
  <c r="M214" i="3" s="1"/>
  <c r="O214" i="3" s="1"/>
  <c r="P214" i="3" s="1"/>
  <c r="Q214" i="3" s="1"/>
  <c r="L206" i="3"/>
  <c r="M206" i="3" s="1"/>
  <c r="L198" i="3"/>
  <c r="M198" i="3" s="1"/>
  <c r="L190" i="3"/>
  <c r="M190" i="3" s="1"/>
  <c r="L182" i="3"/>
  <c r="M182" i="3" s="1"/>
  <c r="L174" i="3"/>
  <c r="M174" i="3" s="1"/>
  <c r="L166" i="3"/>
  <c r="M166" i="3" s="1"/>
  <c r="L158" i="3"/>
  <c r="L150" i="3"/>
  <c r="M150" i="3" s="1"/>
  <c r="O150" i="3" s="1"/>
  <c r="P150" i="3" s="1"/>
  <c r="Q150" i="3" s="1"/>
  <c r="L142" i="3"/>
  <c r="M142" i="3" s="1"/>
  <c r="L134" i="3"/>
  <c r="M134" i="3" s="1"/>
  <c r="O134" i="3" s="1"/>
  <c r="P134" i="3" s="1"/>
  <c r="L126" i="3"/>
  <c r="M126" i="3" s="1"/>
  <c r="L118" i="3"/>
  <c r="M118" i="3" s="1"/>
  <c r="O118" i="3" s="1"/>
  <c r="P118" i="3" s="1"/>
  <c r="L110" i="3"/>
  <c r="M110" i="3" s="1"/>
  <c r="L102" i="3"/>
  <c r="M102" i="3" s="1"/>
  <c r="L94" i="3"/>
  <c r="M94" i="3" s="1"/>
  <c r="N94" i="3" s="1"/>
  <c r="L86" i="3"/>
  <c r="M86" i="3" s="1"/>
  <c r="L78" i="3"/>
  <c r="M78" i="3" s="1"/>
  <c r="L70" i="3"/>
  <c r="M70" i="3" s="1"/>
  <c r="N70" i="3" s="1"/>
  <c r="L62" i="3"/>
  <c r="M62" i="3" s="1"/>
  <c r="N62" i="3" s="1"/>
  <c r="L54" i="3"/>
  <c r="M54" i="3" s="1"/>
  <c r="L46" i="3"/>
  <c r="M46" i="3" s="1"/>
  <c r="L38" i="3"/>
  <c r="M38" i="3" s="1"/>
  <c r="L30" i="3"/>
  <c r="M30" i="3" s="1"/>
  <c r="L22" i="3"/>
  <c r="M22" i="3" s="1"/>
  <c r="O22" i="3" s="1"/>
  <c r="P22" i="3" s="1"/>
  <c r="Q22" i="3" s="1"/>
  <c r="L14" i="3"/>
  <c r="M14" i="3" s="1"/>
  <c r="L6" i="3"/>
  <c r="M6" i="3" s="1"/>
  <c r="M133" i="3"/>
  <c r="M117" i="3"/>
  <c r="M101" i="3"/>
  <c r="L381" i="3"/>
  <c r="M381" i="3" s="1"/>
  <c r="L373" i="3"/>
  <c r="M373" i="3" s="1"/>
  <c r="L365" i="3"/>
  <c r="M365" i="3" s="1"/>
  <c r="L357" i="3"/>
  <c r="M357" i="3" s="1"/>
  <c r="L349" i="3"/>
  <c r="M349" i="3" s="1"/>
  <c r="L341" i="3"/>
  <c r="M341" i="3" s="1"/>
  <c r="L333" i="3"/>
  <c r="M333" i="3" s="1"/>
  <c r="L325" i="3"/>
  <c r="M325" i="3" s="1"/>
  <c r="L317" i="3"/>
  <c r="M317" i="3" s="1"/>
  <c r="L309" i="3"/>
  <c r="M309" i="3" s="1"/>
  <c r="L301" i="3"/>
  <c r="M301" i="3" s="1"/>
  <c r="L293" i="3"/>
  <c r="M293" i="3" s="1"/>
  <c r="L285" i="3"/>
  <c r="L277" i="3"/>
  <c r="M277" i="3" s="1"/>
  <c r="L269" i="3"/>
  <c r="L261" i="3"/>
  <c r="M261" i="3" s="1"/>
  <c r="L253" i="3"/>
  <c r="M253" i="3" s="1"/>
  <c r="L237" i="3"/>
  <c r="M237" i="3" s="1"/>
  <c r="L229" i="3"/>
  <c r="M229" i="3" s="1"/>
  <c r="L221" i="3"/>
  <c r="M221" i="3" s="1"/>
  <c r="L213" i="3"/>
  <c r="M213" i="3" s="1"/>
  <c r="L205" i="3"/>
  <c r="M205" i="3" s="1"/>
  <c r="L197" i="3"/>
  <c r="M197" i="3" s="1"/>
  <c r="L189" i="3"/>
  <c r="M189" i="3" s="1"/>
  <c r="L173" i="3"/>
  <c r="M173" i="3" s="1"/>
  <c r="L165" i="3"/>
  <c r="M165" i="3" s="1"/>
  <c r="L157" i="3"/>
  <c r="M157" i="3" s="1"/>
  <c r="L149" i="3"/>
  <c r="M149" i="3" s="1"/>
  <c r="L141" i="3"/>
  <c r="M141" i="3" s="1"/>
  <c r="L133" i="3"/>
  <c r="L125" i="3"/>
  <c r="M125" i="3" s="1"/>
  <c r="L109" i="3"/>
  <c r="M109" i="3" s="1"/>
  <c r="L101" i="3"/>
  <c r="L93" i="3"/>
  <c r="M93" i="3" s="1"/>
  <c r="L85" i="3"/>
  <c r="M85" i="3" s="1"/>
  <c r="L77" i="3"/>
  <c r="M77" i="3" s="1"/>
  <c r="L69" i="3"/>
  <c r="M69" i="3" s="1"/>
  <c r="L61" i="3"/>
  <c r="M61" i="3" s="1"/>
  <c r="L45" i="3"/>
  <c r="M45" i="3" s="1"/>
  <c r="L37" i="3"/>
  <c r="M37" i="3" s="1"/>
  <c r="L29" i="3"/>
  <c r="M29" i="3" s="1"/>
  <c r="L21" i="3"/>
  <c r="M21" i="3" s="1"/>
  <c r="M20" i="3"/>
  <c r="M3" i="3"/>
  <c r="N3" i="3" s="1"/>
  <c r="L596" i="3"/>
  <c r="M596" i="3" s="1"/>
  <c r="L588" i="3"/>
  <c r="M588" i="3" s="1"/>
  <c r="L580" i="3"/>
  <c r="M580" i="3" s="1"/>
  <c r="L572" i="3"/>
  <c r="M572" i="3" s="1"/>
  <c r="L564" i="3"/>
  <c r="M564" i="3" s="1"/>
  <c r="L556" i="3"/>
  <c r="M556" i="3" s="1"/>
  <c r="L548" i="3"/>
  <c r="M548" i="3" s="1"/>
  <c r="L540" i="3"/>
  <c r="M540" i="3" s="1"/>
  <c r="L532" i="3"/>
  <c r="M532" i="3" s="1"/>
  <c r="L524" i="3"/>
  <c r="M524" i="3" s="1"/>
  <c r="L516" i="3"/>
  <c r="M516" i="3" s="1"/>
  <c r="L508" i="3"/>
  <c r="M508" i="3" s="1"/>
  <c r="L500" i="3"/>
  <c r="M500" i="3" s="1"/>
  <c r="L492" i="3"/>
  <c r="M492" i="3" s="1"/>
  <c r="L484" i="3"/>
  <c r="M484" i="3" s="1"/>
  <c r="L476" i="3"/>
  <c r="M476" i="3" s="1"/>
  <c r="L468" i="3"/>
  <c r="M468" i="3" s="1"/>
  <c r="L460" i="3"/>
  <c r="M460" i="3" s="1"/>
  <c r="L452" i="3"/>
  <c r="M452" i="3" s="1"/>
  <c r="L444" i="3"/>
  <c r="L436" i="3"/>
  <c r="M436" i="3" s="1"/>
  <c r="L428" i="3"/>
  <c r="M428" i="3" s="1"/>
  <c r="L420" i="3"/>
  <c r="M420" i="3" s="1"/>
  <c r="L412" i="3"/>
  <c r="M412" i="3" s="1"/>
  <c r="L404" i="3"/>
  <c r="M404" i="3" s="1"/>
  <c r="L396" i="3"/>
  <c r="L388" i="3"/>
  <c r="M388" i="3" s="1"/>
  <c r="L380" i="3"/>
  <c r="M380" i="3" s="1"/>
  <c r="L372" i="3"/>
  <c r="M372" i="3" s="1"/>
  <c r="L364" i="3"/>
  <c r="M364" i="3" s="1"/>
  <c r="L356" i="3"/>
  <c r="M356" i="3" s="1"/>
  <c r="L348" i="3"/>
  <c r="M348" i="3" s="1"/>
  <c r="L340" i="3"/>
  <c r="M340" i="3" s="1"/>
  <c r="L332" i="3"/>
  <c r="M332" i="3" s="1"/>
  <c r="L324" i="3"/>
  <c r="M324" i="3" s="1"/>
  <c r="L316" i="3"/>
  <c r="M316" i="3" s="1"/>
  <c r="L308" i="3"/>
  <c r="M308" i="3" s="1"/>
  <c r="L300" i="3"/>
  <c r="M300" i="3" s="1"/>
  <c r="L292" i="3"/>
  <c r="M292" i="3" s="1"/>
  <c r="L284" i="3"/>
  <c r="M284" i="3" s="1"/>
  <c r="L12" i="3"/>
  <c r="M12" i="3" s="1"/>
  <c r="M123" i="3"/>
  <c r="M107" i="3"/>
  <c r="L2" i="3"/>
  <c r="L595" i="3"/>
  <c r="L587" i="3"/>
  <c r="M587" i="3" s="1"/>
  <c r="L579" i="3"/>
  <c r="M579" i="3" s="1"/>
  <c r="L571" i="3"/>
  <c r="M571" i="3" s="1"/>
  <c r="L563" i="3"/>
  <c r="M563" i="3" s="1"/>
  <c r="L555" i="3"/>
  <c r="M555" i="3" s="1"/>
  <c r="L547" i="3"/>
  <c r="M547" i="3" s="1"/>
  <c r="L539" i="3"/>
  <c r="M539" i="3" s="1"/>
  <c r="L531" i="3"/>
  <c r="M531" i="3" s="1"/>
  <c r="L523" i="3"/>
  <c r="L515" i="3"/>
  <c r="M515" i="3" s="1"/>
  <c r="L507" i="3"/>
  <c r="M507" i="3" s="1"/>
  <c r="L499" i="3"/>
  <c r="M499" i="3" s="1"/>
  <c r="L491" i="3"/>
  <c r="M491" i="3" s="1"/>
  <c r="L483" i="3"/>
  <c r="M483" i="3" s="1"/>
  <c r="L475" i="3"/>
  <c r="M475" i="3" s="1"/>
  <c r="L467" i="3"/>
  <c r="M467" i="3" s="1"/>
  <c r="L459" i="3"/>
  <c r="M459" i="3" s="1"/>
  <c r="L451" i="3"/>
  <c r="M451" i="3" s="1"/>
  <c r="L443" i="3"/>
  <c r="M443" i="3" s="1"/>
  <c r="L435" i="3"/>
  <c r="M435" i="3" s="1"/>
  <c r="L427" i="3"/>
  <c r="M427" i="3" s="1"/>
  <c r="L419" i="3"/>
  <c r="M419" i="3" s="1"/>
  <c r="L411" i="3"/>
  <c r="M411" i="3" s="1"/>
  <c r="L403" i="3"/>
  <c r="M403" i="3" s="1"/>
  <c r="L395" i="3"/>
  <c r="M395" i="3" s="1"/>
  <c r="L387" i="3"/>
  <c r="M387" i="3" s="1"/>
  <c r="L379" i="3"/>
  <c r="M379" i="3" s="1"/>
  <c r="L363" i="3"/>
  <c r="M363" i="3" s="1"/>
  <c r="L355" i="3"/>
  <c r="M355" i="3" s="1"/>
  <c r="L347" i="3"/>
  <c r="M347" i="3" s="1"/>
  <c r="L331" i="3"/>
  <c r="M331" i="3" s="1"/>
  <c r="L323" i="3"/>
  <c r="M323" i="3" s="1"/>
  <c r="L315" i="3"/>
  <c r="M250" i="3"/>
  <c r="N250" i="3" s="1"/>
  <c r="M234" i="3"/>
  <c r="L602" i="3"/>
  <c r="M602" i="3" s="1"/>
  <c r="L594" i="3"/>
  <c r="M594" i="3" s="1"/>
  <c r="N594" i="3" s="1"/>
  <c r="L586" i="3"/>
  <c r="M586" i="3" s="1"/>
  <c r="O586" i="3" s="1"/>
  <c r="P586" i="3" s="1"/>
  <c r="R586" i="3" s="1"/>
  <c r="L578" i="3"/>
  <c r="M578" i="3" s="1"/>
  <c r="N578" i="3" s="1"/>
  <c r="L570" i="3"/>
  <c r="M570" i="3" s="1"/>
  <c r="N570" i="3" s="1"/>
  <c r="L562" i="3"/>
  <c r="M562" i="3" s="1"/>
  <c r="L554" i="3"/>
  <c r="M554" i="3" s="1"/>
  <c r="O554" i="3" s="1"/>
  <c r="P554" i="3" s="1"/>
  <c r="Q554" i="3" s="1"/>
  <c r="L546" i="3"/>
  <c r="M546" i="3" s="1"/>
  <c r="L538" i="3"/>
  <c r="M538" i="3" s="1"/>
  <c r="L530" i="3"/>
  <c r="M530" i="3" s="1"/>
  <c r="O530" i="3" s="1"/>
  <c r="P530" i="3" s="1"/>
  <c r="Q530" i="3" s="1"/>
  <c r="L522" i="3"/>
  <c r="M522" i="3" s="1"/>
  <c r="O522" i="3" s="1"/>
  <c r="P522" i="3" s="1"/>
  <c r="Q522" i="3" s="1"/>
  <c r="L514" i="3"/>
  <c r="M514" i="3" s="1"/>
  <c r="L506" i="3"/>
  <c r="M506" i="3" s="1"/>
  <c r="N506" i="3" s="1"/>
  <c r="L498" i="3"/>
  <c r="M498" i="3" s="1"/>
  <c r="L490" i="3"/>
  <c r="M490" i="3" s="1"/>
  <c r="O490" i="3" s="1"/>
  <c r="P490" i="3" s="1"/>
  <c r="Q490" i="3" s="1"/>
  <c r="L482" i="3"/>
  <c r="L474" i="3"/>
  <c r="M474" i="3" s="1"/>
  <c r="L466" i="3"/>
  <c r="M466" i="3" s="1"/>
  <c r="L458" i="3"/>
  <c r="M458" i="3" s="1"/>
  <c r="O458" i="3" s="1"/>
  <c r="P458" i="3" s="1"/>
  <c r="Q458" i="3" s="1"/>
  <c r="L450" i="3"/>
  <c r="M450" i="3" s="1"/>
  <c r="L442" i="3"/>
  <c r="M442" i="3" s="1"/>
  <c r="N442" i="3" s="1"/>
  <c r="L434" i="3"/>
  <c r="L426" i="3"/>
  <c r="M426" i="3" s="1"/>
  <c r="O426" i="3" s="1"/>
  <c r="P426" i="3" s="1"/>
  <c r="Q426" i="3" s="1"/>
  <c r="L418" i="3"/>
  <c r="M418" i="3" s="1"/>
  <c r="L410" i="3"/>
  <c r="M410" i="3" s="1"/>
  <c r="N410" i="3" s="1"/>
  <c r="L402" i="3"/>
  <c r="M402" i="3" s="1"/>
  <c r="N402" i="3" s="1"/>
  <c r="L394" i="3"/>
  <c r="M394" i="3" s="1"/>
  <c r="O394" i="3" s="1"/>
  <c r="P394" i="3" s="1"/>
  <c r="Q394" i="3" s="1"/>
  <c r="L386" i="3"/>
  <c r="M386" i="3" s="1"/>
  <c r="N386" i="3" s="1"/>
  <c r="L378" i="3"/>
  <c r="M378" i="3" s="1"/>
  <c r="L370" i="3"/>
  <c r="M370" i="3" s="1"/>
  <c r="L362" i="3"/>
  <c r="M362" i="3" s="1"/>
  <c r="O362" i="3" s="1"/>
  <c r="P362" i="3" s="1"/>
  <c r="Q362" i="3" s="1"/>
  <c r="L354" i="3"/>
  <c r="M354" i="3" s="1"/>
  <c r="L346" i="3"/>
  <c r="M346" i="3" s="1"/>
  <c r="M297" i="3"/>
  <c r="M89" i="3"/>
  <c r="O89" i="3" s="1"/>
  <c r="P89" i="3" s="1"/>
  <c r="M41" i="3"/>
  <c r="O41" i="3" s="1"/>
  <c r="P41" i="3" s="1"/>
  <c r="Q41" i="3" s="1"/>
  <c r="L601" i="3"/>
  <c r="M601" i="3" s="1"/>
  <c r="L593" i="3"/>
  <c r="M593" i="3" s="1"/>
  <c r="O593" i="3" s="1"/>
  <c r="P593" i="3" s="1"/>
  <c r="Q593" i="3" s="1"/>
  <c r="L585" i="3"/>
  <c r="M585" i="3" s="1"/>
  <c r="N585" i="3" s="1"/>
  <c r="L577" i="3"/>
  <c r="M577" i="3" s="1"/>
  <c r="L569" i="3"/>
  <c r="M569" i="3" s="1"/>
  <c r="O569" i="3" s="1"/>
  <c r="P569" i="3" s="1"/>
  <c r="Q569" i="3" s="1"/>
  <c r="L561" i="3"/>
  <c r="M561" i="3" s="1"/>
  <c r="O561" i="3" s="1"/>
  <c r="P561" i="3" s="1"/>
  <c r="Q561" i="3" s="1"/>
  <c r="L553" i="3"/>
  <c r="M553" i="3" s="1"/>
  <c r="L545" i="3"/>
  <c r="M545" i="3" s="1"/>
  <c r="O545" i="3" s="1"/>
  <c r="P545" i="3" s="1"/>
  <c r="Q545" i="3" s="1"/>
  <c r="L537" i="3"/>
  <c r="M537" i="3" s="1"/>
  <c r="O537" i="3" s="1"/>
  <c r="P537" i="3" s="1"/>
  <c r="L529" i="3"/>
  <c r="M529" i="3" s="1"/>
  <c r="O529" i="3" s="1"/>
  <c r="P529" i="3" s="1"/>
  <c r="Q529" i="3" s="1"/>
  <c r="L521" i="3"/>
  <c r="M521" i="3" s="1"/>
  <c r="O521" i="3" s="1"/>
  <c r="P521" i="3" s="1"/>
  <c r="Q521" i="3" s="1"/>
  <c r="L513" i="3"/>
  <c r="M513" i="3" s="1"/>
  <c r="L505" i="3"/>
  <c r="M505" i="3" s="1"/>
  <c r="L497" i="3"/>
  <c r="M497" i="3" s="1"/>
  <c r="L489" i="3"/>
  <c r="M489" i="3" s="1"/>
  <c r="O489" i="3" s="1"/>
  <c r="P489" i="3" s="1"/>
  <c r="Q489" i="3" s="1"/>
  <c r="L481" i="3"/>
  <c r="M481" i="3" s="1"/>
  <c r="O481" i="3" s="1"/>
  <c r="P481" i="3" s="1"/>
  <c r="Q481" i="3" s="1"/>
  <c r="L473" i="3"/>
  <c r="L465" i="3"/>
  <c r="M465" i="3" s="1"/>
  <c r="N465" i="3" s="1"/>
  <c r="L457" i="3"/>
  <c r="M457" i="3" s="1"/>
  <c r="O457" i="3" s="1"/>
  <c r="P457" i="3" s="1"/>
  <c r="Q457" i="3" s="1"/>
  <c r="L449" i="3"/>
  <c r="M449" i="3" s="1"/>
  <c r="O449" i="3" s="1"/>
  <c r="P449" i="3" s="1"/>
  <c r="Q449" i="3" s="1"/>
  <c r="L441" i="3"/>
  <c r="M441" i="3" s="1"/>
  <c r="N441" i="3" s="1"/>
  <c r="L433" i="3"/>
  <c r="M433" i="3" s="1"/>
  <c r="O433" i="3" s="1"/>
  <c r="P433" i="3" s="1"/>
  <c r="Q433" i="3" s="1"/>
  <c r="L425" i="3"/>
  <c r="M425" i="3" s="1"/>
  <c r="L417" i="3"/>
  <c r="M417" i="3" s="1"/>
  <c r="L409" i="3"/>
  <c r="M409" i="3" s="1"/>
  <c r="O409" i="3" s="1"/>
  <c r="P409" i="3" s="1"/>
  <c r="L401" i="3"/>
  <c r="M401" i="3" s="1"/>
  <c r="O401" i="3" s="1"/>
  <c r="P401" i="3" s="1"/>
  <c r="Q401" i="3" s="1"/>
  <c r="L393" i="3"/>
  <c r="M393" i="3" s="1"/>
  <c r="O393" i="3" s="1"/>
  <c r="P393" i="3" s="1"/>
  <c r="Q393" i="3" s="1"/>
  <c r="L385" i="3"/>
  <c r="M385" i="3" s="1"/>
  <c r="N385" i="3" s="1"/>
  <c r="L377" i="3"/>
  <c r="M377" i="3" s="1"/>
  <c r="O377" i="3" s="1"/>
  <c r="P377" i="3" s="1"/>
  <c r="Q377" i="3" s="1"/>
  <c r="M280" i="3"/>
  <c r="O280" i="3" s="1"/>
  <c r="P280" i="3" s="1"/>
  <c r="Q280" i="3" s="1"/>
  <c r="M232" i="3"/>
  <c r="M152" i="3"/>
  <c r="O152" i="3" s="1"/>
  <c r="P152" i="3" s="1"/>
  <c r="Q152" i="3" s="1"/>
  <c r="M24" i="3"/>
  <c r="L600" i="3"/>
  <c r="M600" i="3" s="1"/>
  <c r="L592" i="3"/>
  <c r="M592" i="3" s="1"/>
  <c r="O592" i="3" s="1"/>
  <c r="P592" i="3" s="1"/>
  <c r="Q592" i="3" s="1"/>
  <c r="L584" i="3"/>
  <c r="M584" i="3" s="1"/>
  <c r="O584" i="3" s="1"/>
  <c r="P584" i="3" s="1"/>
  <c r="Q584" i="3" s="1"/>
  <c r="L576" i="3"/>
  <c r="M576" i="3" s="1"/>
  <c r="O576" i="3" s="1"/>
  <c r="P576" i="3" s="1"/>
  <c r="Q576" i="3" s="1"/>
  <c r="L568" i="3"/>
  <c r="M568" i="3" s="1"/>
  <c r="L560" i="3"/>
  <c r="M560" i="3" s="1"/>
  <c r="O560" i="3" s="1"/>
  <c r="P560" i="3" s="1"/>
  <c r="Q560" i="3" s="1"/>
  <c r="L552" i="3"/>
  <c r="M552" i="3" s="1"/>
  <c r="O552" i="3" s="1"/>
  <c r="P552" i="3" s="1"/>
  <c r="L544" i="3"/>
  <c r="M544" i="3" s="1"/>
  <c r="O544" i="3" s="1"/>
  <c r="P544" i="3" s="1"/>
  <c r="L536" i="3"/>
  <c r="M536" i="3" s="1"/>
  <c r="L528" i="3"/>
  <c r="M528" i="3" s="1"/>
  <c r="O528" i="3" s="1"/>
  <c r="P528" i="3" s="1"/>
  <c r="R528" i="3" s="1"/>
  <c r="L520" i="3"/>
  <c r="M520" i="3" s="1"/>
  <c r="O520" i="3" s="1"/>
  <c r="P520" i="3" s="1"/>
  <c r="Q520" i="3" s="1"/>
  <c r="L512" i="3"/>
  <c r="M512" i="3" s="1"/>
  <c r="O512" i="3" s="1"/>
  <c r="P512" i="3" s="1"/>
  <c r="Q512" i="3" s="1"/>
  <c r="L504" i="3"/>
  <c r="M504" i="3" s="1"/>
  <c r="L496" i="3"/>
  <c r="M496" i="3" s="1"/>
  <c r="L488" i="3"/>
  <c r="M488" i="3" s="1"/>
  <c r="O488" i="3" s="1"/>
  <c r="P488" i="3" s="1"/>
  <c r="L480" i="3"/>
  <c r="M480" i="3" s="1"/>
  <c r="O480" i="3" s="1"/>
  <c r="P480" i="3" s="1"/>
  <c r="Q480" i="3" s="1"/>
  <c r="L472" i="3"/>
  <c r="M472" i="3" s="1"/>
  <c r="L464" i="3"/>
  <c r="M464" i="3" s="1"/>
  <c r="O464" i="3" s="1"/>
  <c r="P464" i="3" s="1"/>
  <c r="Q464" i="3" s="1"/>
  <c r="L456" i="3"/>
  <c r="M456" i="3" s="1"/>
  <c r="O456" i="3" s="1"/>
  <c r="P456" i="3" s="1"/>
  <c r="Q456" i="3" s="1"/>
  <c r="L448" i="3"/>
  <c r="M448" i="3" s="1"/>
  <c r="O448" i="3" s="1"/>
  <c r="P448" i="3" s="1"/>
  <c r="L440" i="3"/>
  <c r="M440" i="3" s="1"/>
  <c r="N440" i="3" s="1"/>
  <c r="L432" i="3"/>
  <c r="M432" i="3" s="1"/>
  <c r="O432" i="3" s="1"/>
  <c r="P432" i="3" s="1"/>
  <c r="L424" i="3"/>
  <c r="M424" i="3" s="1"/>
  <c r="O424" i="3" s="1"/>
  <c r="P424" i="3" s="1"/>
  <c r="L416" i="3"/>
  <c r="M416" i="3" s="1"/>
  <c r="O416" i="3" s="1"/>
  <c r="P416" i="3" s="1"/>
  <c r="Q416" i="3" s="1"/>
  <c r="L408" i="3"/>
  <c r="M408" i="3" s="1"/>
  <c r="L400" i="3"/>
  <c r="M400" i="3" s="1"/>
  <c r="O400" i="3" s="1"/>
  <c r="P400" i="3" s="1"/>
  <c r="Q400" i="3" s="1"/>
  <c r="L392" i="3"/>
  <c r="M392" i="3" s="1"/>
  <c r="O392" i="3" s="1"/>
  <c r="P392" i="3" s="1"/>
  <c r="Q392" i="3" s="1"/>
  <c r="L384" i="3"/>
  <c r="M384" i="3" s="1"/>
  <c r="O384" i="3" s="1"/>
  <c r="P384" i="3" s="1"/>
  <c r="L376" i="3"/>
  <c r="M376" i="3" s="1"/>
  <c r="L368" i="3"/>
  <c r="M368" i="3" s="1"/>
  <c r="O368" i="3" s="1"/>
  <c r="P368" i="3" s="1"/>
  <c r="L360" i="3"/>
  <c r="M360" i="3" s="1"/>
  <c r="N360" i="3" s="1"/>
  <c r="L352" i="3"/>
  <c r="M352" i="3" s="1"/>
  <c r="O352" i="3" s="1"/>
  <c r="P352" i="3" s="1"/>
  <c r="Q352" i="3" s="1"/>
  <c r="L13" i="3"/>
  <c r="M13" i="3" s="1"/>
  <c r="L5" i="3"/>
  <c r="M5" i="3" s="1"/>
  <c r="L276" i="3"/>
  <c r="M276" i="3" s="1"/>
  <c r="L268" i="3"/>
  <c r="M268" i="3" s="1"/>
  <c r="L260" i="3"/>
  <c r="M260" i="3" s="1"/>
  <c r="L252" i="3"/>
  <c r="M252" i="3" s="1"/>
  <c r="L244" i="3"/>
  <c r="M244" i="3" s="1"/>
  <c r="L236" i="3"/>
  <c r="M236" i="3" s="1"/>
  <c r="L228" i="3"/>
  <c r="M228" i="3" s="1"/>
  <c r="L220" i="3"/>
  <c r="M220" i="3" s="1"/>
  <c r="L212" i="3"/>
  <c r="M212" i="3" s="1"/>
  <c r="L204" i="3"/>
  <c r="M204" i="3" s="1"/>
  <c r="L196" i="3"/>
  <c r="M196" i="3" s="1"/>
  <c r="L188" i="3"/>
  <c r="M188" i="3" s="1"/>
  <c r="L180" i="3"/>
  <c r="M180" i="3" s="1"/>
  <c r="L172" i="3"/>
  <c r="M172" i="3" s="1"/>
  <c r="L164" i="3"/>
  <c r="M164" i="3" s="1"/>
  <c r="L156" i="3"/>
  <c r="M156" i="3" s="1"/>
  <c r="L148" i="3"/>
  <c r="M148" i="3" s="1"/>
  <c r="L140" i="3"/>
  <c r="M140" i="3" s="1"/>
  <c r="L132" i="3"/>
  <c r="M132" i="3" s="1"/>
  <c r="L124" i="3"/>
  <c r="M124" i="3" s="1"/>
  <c r="L116" i="3"/>
  <c r="M116" i="3" s="1"/>
  <c r="L108" i="3"/>
  <c r="M108" i="3" s="1"/>
  <c r="L100" i="3"/>
  <c r="M100" i="3" s="1"/>
  <c r="L92" i="3"/>
  <c r="M92" i="3" s="1"/>
  <c r="L84" i="3"/>
  <c r="M84" i="3" s="1"/>
  <c r="L76" i="3"/>
  <c r="M76" i="3" s="1"/>
  <c r="L68" i="3"/>
  <c r="M68" i="3" s="1"/>
  <c r="L60" i="3"/>
  <c r="M60" i="3" s="1"/>
  <c r="L52" i="3"/>
  <c r="M52" i="3" s="1"/>
  <c r="L44" i="3"/>
  <c r="M44" i="3" s="1"/>
  <c r="L36" i="3"/>
  <c r="M36" i="3" s="1"/>
  <c r="L28" i="3"/>
  <c r="M28" i="3" s="1"/>
  <c r="L20" i="3"/>
  <c r="L4" i="3"/>
  <c r="M4" i="3" s="1"/>
  <c r="N4" i="3" s="1"/>
  <c r="L299" i="3"/>
  <c r="M299" i="3" s="1"/>
  <c r="L291" i="3"/>
  <c r="M291" i="3" s="1"/>
  <c r="L283" i="3"/>
  <c r="M283" i="3" s="1"/>
  <c r="L275" i="3"/>
  <c r="M275" i="3" s="1"/>
  <c r="L267" i="3"/>
  <c r="M267" i="3" s="1"/>
  <c r="L259" i="3"/>
  <c r="M259" i="3" s="1"/>
  <c r="L251" i="3"/>
  <c r="M251" i="3" s="1"/>
  <c r="L243" i="3"/>
  <c r="M243" i="3" s="1"/>
  <c r="L235" i="3"/>
  <c r="M235" i="3" s="1"/>
  <c r="L227" i="3"/>
  <c r="M227" i="3" s="1"/>
  <c r="L219" i="3"/>
  <c r="M219" i="3" s="1"/>
  <c r="L211" i="3"/>
  <c r="M211" i="3" s="1"/>
  <c r="L203" i="3"/>
  <c r="M203" i="3" s="1"/>
  <c r="L195" i="3"/>
  <c r="M195" i="3" s="1"/>
  <c r="L187" i="3"/>
  <c r="M187" i="3" s="1"/>
  <c r="L179" i="3"/>
  <c r="M179" i="3" s="1"/>
  <c r="L171" i="3"/>
  <c r="M171" i="3" s="1"/>
  <c r="L163" i="3"/>
  <c r="M163" i="3" s="1"/>
  <c r="L155" i="3"/>
  <c r="M155" i="3" s="1"/>
  <c r="L147" i="3"/>
  <c r="M147" i="3" s="1"/>
  <c r="L139" i="3"/>
  <c r="M139" i="3" s="1"/>
  <c r="L131" i="3"/>
  <c r="M131" i="3" s="1"/>
  <c r="L123" i="3"/>
  <c r="L115" i="3"/>
  <c r="M115" i="3" s="1"/>
  <c r="L107" i="3"/>
  <c r="L99" i="3"/>
  <c r="M99" i="3" s="1"/>
  <c r="L91" i="3"/>
  <c r="M91" i="3" s="1"/>
  <c r="L83" i="3"/>
  <c r="M83" i="3" s="1"/>
  <c r="L75" i="3"/>
  <c r="M75" i="3" s="1"/>
  <c r="L67" i="3"/>
  <c r="M67" i="3" s="1"/>
  <c r="L59" i="3"/>
  <c r="M59" i="3" s="1"/>
  <c r="L51" i="3"/>
  <c r="M51" i="3" s="1"/>
  <c r="L43" i="3"/>
  <c r="M43" i="3" s="1"/>
  <c r="L35" i="3"/>
  <c r="M35" i="3" s="1"/>
  <c r="L27" i="3"/>
  <c r="M27" i="3" s="1"/>
  <c r="L19" i="3"/>
  <c r="M19" i="3" s="1"/>
  <c r="L11" i="3"/>
  <c r="M11" i="3" s="1"/>
  <c r="L338" i="3"/>
  <c r="M338" i="3" s="1"/>
  <c r="L330" i="3"/>
  <c r="M330" i="3" s="1"/>
  <c r="O330" i="3" s="1"/>
  <c r="P330" i="3" s="1"/>
  <c r="Q330" i="3" s="1"/>
  <c r="L322" i="3"/>
  <c r="M322" i="3" s="1"/>
  <c r="L314" i="3"/>
  <c r="M314" i="3" s="1"/>
  <c r="N314" i="3" s="1"/>
  <c r="L306" i="3"/>
  <c r="M306" i="3" s="1"/>
  <c r="N306" i="3" s="1"/>
  <c r="L298" i="3"/>
  <c r="M298" i="3" s="1"/>
  <c r="L290" i="3"/>
  <c r="M290" i="3" s="1"/>
  <c r="L282" i="3"/>
  <c r="M282" i="3" s="1"/>
  <c r="L274" i="3"/>
  <c r="M274" i="3" s="1"/>
  <c r="L266" i="3"/>
  <c r="M266" i="3" s="1"/>
  <c r="L258" i="3"/>
  <c r="M258" i="3" s="1"/>
  <c r="L250" i="3"/>
  <c r="L242" i="3"/>
  <c r="M242" i="3" s="1"/>
  <c r="N242" i="3" s="1"/>
  <c r="L234" i="3"/>
  <c r="L226" i="3"/>
  <c r="M226" i="3" s="1"/>
  <c r="L218" i="3"/>
  <c r="M218" i="3" s="1"/>
  <c r="L210" i="3"/>
  <c r="M210" i="3" s="1"/>
  <c r="N210" i="3" s="1"/>
  <c r="L202" i="3"/>
  <c r="M202" i="3" s="1"/>
  <c r="L194" i="3"/>
  <c r="M194" i="3" s="1"/>
  <c r="L186" i="3"/>
  <c r="M186" i="3" s="1"/>
  <c r="N186" i="3" s="1"/>
  <c r="L178" i="3"/>
  <c r="M178" i="3" s="1"/>
  <c r="N178" i="3" s="1"/>
  <c r="L170" i="3"/>
  <c r="M170" i="3" s="1"/>
  <c r="L162" i="3"/>
  <c r="M162" i="3" s="1"/>
  <c r="N162" i="3" s="1"/>
  <c r="L154" i="3"/>
  <c r="M154" i="3" s="1"/>
  <c r="L146" i="3"/>
  <c r="M146" i="3" s="1"/>
  <c r="L138" i="3"/>
  <c r="M138" i="3" s="1"/>
  <c r="L130" i="3"/>
  <c r="M130" i="3" s="1"/>
  <c r="L122" i="3"/>
  <c r="M122" i="3" s="1"/>
  <c r="L114" i="3"/>
  <c r="M114" i="3" s="1"/>
  <c r="N114" i="3" s="1"/>
  <c r="L106" i="3"/>
  <c r="M106" i="3" s="1"/>
  <c r="L98" i="3"/>
  <c r="M98" i="3" s="1"/>
  <c r="N98" i="3" s="1"/>
  <c r="L90" i="3"/>
  <c r="M90" i="3" s="1"/>
  <c r="L82" i="3"/>
  <c r="M82" i="3" s="1"/>
  <c r="L74" i="3"/>
  <c r="M74" i="3" s="1"/>
  <c r="N74" i="3" s="1"/>
  <c r="L66" i="3"/>
  <c r="M66" i="3" s="1"/>
  <c r="N66" i="3" s="1"/>
  <c r="L58" i="3"/>
  <c r="M58" i="3" s="1"/>
  <c r="N58" i="3" s="1"/>
  <c r="L50" i="3"/>
  <c r="M50" i="3" s="1"/>
  <c r="O50" i="3" s="1"/>
  <c r="P50" i="3" s="1"/>
  <c r="L42" i="3"/>
  <c r="M42" i="3" s="1"/>
  <c r="L34" i="3"/>
  <c r="M34" i="3" s="1"/>
  <c r="O34" i="3" s="1"/>
  <c r="P34" i="3" s="1"/>
  <c r="Q34" i="3" s="1"/>
  <c r="L26" i="3"/>
  <c r="M26" i="3" s="1"/>
  <c r="O26" i="3" s="1"/>
  <c r="P26" i="3" s="1"/>
  <c r="Q26" i="3" s="1"/>
  <c r="L18" i="3"/>
  <c r="M18" i="3" s="1"/>
  <c r="O18" i="3" s="1"/>
  <c r="P18" i="3" s="1"/>
  <c r="L10" i="3"/>
  <c r="M10" i="3" s="1"/>
  <c r="O10" i="3" s="1"/>
  <c r="L369" i="3"/>
  <c r="M369" i="3" s="1"/>
  <c r="O369" i="3" s="1"/>
  <c r="P369" i="3" s="1"/>
  <c r="Q369" i="3" s="1"/>
  <c r="L361" i="3"/>
  <c r="M361" i="3" s="1"/>
  <c r="N361" i="3" s="1"/>
  <c r="L353" i="3"/>
  <c r="M353" i="3" s="1"/>
  <c r="N353" i="3" s="1"/>
  <c r="L345" i="3"/>
  <c r="M345" i="3" s="1"/>
  <c r="O345" i="3" s="1"/>
  <c r="P345" i="3" s="1"/>
  <c r="L337" i="3"/>
  <c r="M337" i="3" s="1"/>
  <c r="L329" i="3"/>
  <c r="M329" i="3" s="1"/>
  <c r="L321" i="3"/>
  <c r="M321" i="3" s="1"/>
  <c r="N321" i="3" s="1"/>
  <c r="L313" i="3"/>
  <c r="M313" i="3" s="1"/>
  <c r="O313" i="3" s="1"/>
  <c r="P313" i="3" s="1"/>
  <c r="Q313" i="3" s="1"/>
  <c r="L305" i="3"/>
  <c r="M305" i="3" s="1"/>
  <c r="O305" i="3" s="1"/>
  <c r="P305" i="3" s="1"/>
  <c r="Q305" i="3" s="1"/>
  <c r="L297" i="3"/>
  <c r="L289" i="3"/>
  <c r="M289" i="3" s="1"/>
  <c r="N289" i="3" s="1"/>
  <c r="L281" i="3"/>
  <c r="M281" i="3" s="1"/>
  <c r="L273" i="3"/>
  <c r="M273" i="3" s="1"/>
  <c r="O273" i="3" s="1"/>
  <c r="P273" i="3" s="1"/>
  <c r="Q273" i="3" s="1"/>
  <c r="L265" i="3"/>
  <c r="M265" i="3" s="1"/>
  <c r="O265" i="3" s="1"/>
  <c r="P265" i="3" s="1"/>
  <c r="Q265" i="3" s="1"/>
  <c r="L257" i="3"/>
  <c r="M257" i="3" s="1"/>
  <c r="L249" i="3"/>
  <c r="M249" i="3" s="1"/>
  <c r="N249" i="3" s="1"/>
  <c r="L241" i="3"/>
  <c r="M241" i="3" s="1"/>
  <c r="O241" i="3" s="1"/>
  <c r="P241" i="3" s="1"/>
  <c r="Q241" i="3" s="1"/>
  <c r="L233" i="3"/>
  <c r="M233" i="3" s="1"/>
  <c r="L225" i="3"/>
  <c r="M225" i="3" s="1"/>
  <c r="L217" i="3"/>
  <c r="M217" i="3" s="1"/>
  <c r="L209" i="3"/>
  <c r="M209" i="3" s="1"/>
  <c r="L201" i="3"/>
  <c r="M201" i="3" s="1"/>
  <c r="O201" i="3" s="1"/>
  <c r="P201" i="3" s="1"/>
  <c r="Q201" i="3" s="1"/>
  <c r="L193" i="3"/>
  <c r="M193" i="3" s="1"/>
  <c r="O193" i="3" s="1"/>
  <c r="P193" i="3" s="1"/>
  <c r="Q193" i="3" s="1"/>
  <c r="L185" i="3"/>
  <c r="M185" i="3" s="1"/>
  <c r="O185" i="3" s="1"/>
  <c r="P185" i="3" s="1"/>
  <c r="Q185" i="3" s="1"/>
  <c r="L177" i="3"/>
  <c r="M177" i="3" s="1"/>
  <c r="O177" i="3" s="1"/>
  <c r="P177" i="3" s="1"/>
  <c r="Q177" i="3" s="1"/>
  <c r="L169" i="3"/>
  <c r="M169" i="3" s="1"/>
  <c r="L161" i="3"/>
  <c r="M161" i="3" s="1"/>
  <c r="L153" i="3"/>
  <c r="M153" i="3" s="1"/>
  <c r="L145" i="3"/>
  <c r="M145" i="3" s="1"/>
  <c r="O145" i="3" s="1"/>
  <c r="P145" i="3" s="1"/>
  <c r="Q145" i="3" s="1"/>
  <c r="L137" i="3"/>
  <c r="M137" i="3" s="1"/>
  <c r="N137" i="3" s="1"/>
  <c r="L129" i="3"/>
  <c r="M129" i="3" s="1"/>
  <c r="N129" i="3" s="1"/>
  <c r="L121" i="3"/>
  <c r="M121" i="3" s="1"/>
  <c r="O121" i="3" s="1"/>
  <c r="P121" i="3" s="1"/>
  <c r="Q121" i="3" s="1"/>
  <c r="L113" i="3"/>
  <c r="M113" i="3" s="1"/>
  <c r="O113" i="3" s="1"/>
  <c r="P113" i="3" s="1"/>
  <c r="Q113" i="3" s="1"/>
  <c r="L105" i="3"/>
  <c r="M105" i="3" s="1"/>
  <c r="L97" i="3"/>
  <c r="M97" i="3" s="1"/>
  <c r="N97" i="3" s="1"/>
  <c r="L89" i="3"/>
  <c r="L81" i="3"/>
  <c r="M81" i="3" s="1"/>
  <c r="O81" i="3" s="1"/>
  <c r="P81" i="3" s="1"/>
  <c r="L73" i="3"/>
  <c r="M73" i="3" s="1"/>
  <c r="O73" i="3" s="1"/>
  <c r="P73" i="3" s="1"/>
  <c r="Q73" i="3" s="1"/>
  <c r="L65" i="3"/>
  <c r="M65" i="3" s="1"/>
  <c r="O65" i="3" s="1"/>
  <c r="P65" i="3" s="1"/>
  <c r="Q65" i="3" s="1"/>
  <c r="L57" i="3"/>
  <c r="M57" i="3" s="1"/>
  <c r="N57" i="3" s="1"/>
  <c r="L49" i="3"/>
  <c r="M49" i="3" s="1"/>
  <c r="N49" i="3" s="1"/>
  <c r="L41" i="3"/>
  <c r="L33" i="3"/>
  <c r="M33" i="3" s="1"/>
  <c r="O33" i="3" s="1"/>
  <c r="P33" i="3" s="1"/>
  <c r="L25" i="3"/>
  <c r="M25" i="3" s="1"/>
  <c r="L17" i="3"/>
  <c r="M17" i="3" s="1"/>
  <c r="L9" i="3"/>
  <c r="M9" i="3" s="1"/>
  <c r="L344" i="3"/>
  <c r="M344" i="3" s="1"/>
  <c r="L336" i="3"/>
  <c r="M336" i="3" s="1"/>
  <c r="O336" i="3" s="1"/>
  <c r="P336" i="3" s="1"/>
  <c r="Q336" i="3" s="1"/>
  <c r="L328" i="3"/>
  <c r="M328" i="3" s="1"/>
  <c r="O328" i="3" s="1"/>
  <c r="P328" i="3" s="1"/>
  <c r="Q328" i="3" s="1"/>
  <c r="L320" i="3"/>
  <c r="M320" i="3" s="1"/>
  <c r="N320" i="3" s="1"/>
  <c r="L312" i="3"/>
  <c r="M312" i="3" s="1"/>
  <c r="O312" i="3" s="1"/>
  <c r="P312" i="3" s="1"/>
  <c r="L304" i="3"/>
  <c r="M304" i="3" s="1"/>
  <c r="L296" i="3"/>
  <c r="M296" i="3" s="1"/>
  <c r="N296" i="3" s="1"/>
  <c r="L288" i="3"/>
  <c r="M288" i="3" s="1"/>
  <c r="L280" i="3"/>
  <c r="L272" i="3"/>
  <c r="M272" i="3" s="1"/>
  <c r="L264" i="3"/>
  <c r="M264" i="3" s="1"/>
  <c r="L256" i="3"/>
  <c r="M256" i="3" s="1"/>
  <c r="L248" i="3"/>
  <c r="M248" i="3" s="1"/>
  <c r="N248" i="3" s="1"/>
  <c r="L240" i="3"/>
  <c r="M240" i="3" s="1"/>
  <c r="N240" i="3" s="1"/>
  <c r="L232" i="3"/>
  <c r="L224" i="3"/>
  <c r="M224" i="3" s="1"/>
  <c r="L216" i="3"/>
  <c r="M216" i="3" s="1"/>
  <c r="L208" i="3"/>
  <c r="M208" i="3" s="1"/>
  <c r="L200" i="3"/>
  <c r="M200" i="3" s="1"/>
  <c r="L192" i="3"/>
  <c r="M192" i="3" s="1"/>
  <c r="O192" i="3" s="1"/>
  <c r="P192" i="3" s="1"/>
  <c r="Q192" i="3" s="1"/>
  <c r="L184" i="3"/>
  <c r="M184" i="3" s="1"/>
  <c r="O184" i="3" s="1"/>
  <c r="P184" i="3" s="1"/>
  <c r="L176" i="3"/>
  <c r="M176" i="3" s="1"/>
  <c r="L168" i="3"/>
  <c r="M168" i="3" s="1"/>
  <c r="L160" i="3"/>
  <c r="M160" i="3" s="1"/>
  <c r="L152" i="3"/>
  <c r="L144" i="3"/>
  <c r="M144" i="3" s="1"/>
  <c r="O144" i="3" s="1"/>
  <c r="P144" i="3" s="1"/>
  <c r="Q144" i="3" s="1"/>
  <c r="L136" i="3"/>
  <c r="M136" i="3" s="1"/>
  <c r="O136" i="3" s="1"/>
  <c r="P136" i="3" s="1"/>
  <c r="Q136" i="3" s="1"/>
  <c r="L128" i="3"/>
  <c r="M128" i="3" s="1"/>
  <c r="L120" i="3"/>
  <c r="M120" i="3" s="1"/>
  <c r="N120" i="3" s="1"/>
  <c r="L112" i="3"/>
  <c r="M112" i="3" s="1"/>
  <c r="L104" i="3"/>
  <c r="M104" i="3" s="1"/>
  <c r="L96" i="3"/>
  <c r="M96" i="3" s="1"/>
  <c r="L88" i="3"/>
  <c r="M88" i="3" s="1"/>
  <c r="L80" i="3"/>
  <c r="M80" i="3" s="1"/>
  <c r="L72" i="3"/>
  <c r="M72" i="3" s="1"/>
  <c r="N72" i="3" s="1"/>
  <c r="L64" i="3"/>
  <c r="M64" i="3" s="1"/>
  <c r="N64" i="3" s="1"/>
  <c r="L56" i="3"/>
  <c r="M56" i="3" s="1"/>
  <c r="O56" i="3" s="1"/>
  <c r="P56" i="3" s="1"/>
  <c r="L48" i="3"/>
  <c r="M48" i="3" s="1"/>
  <c r="L40" i="3"/>
  <c r="M40" i="3" s="1"/>
  <c r="L32" i="3"/>
  <c r="M32" i="3" s="1"/>
  <c r="O32" i="3" s="1"/>
  <c r="P32" i="3" s="1"/>
  <c r="Q32" i="3" s="1"/>
  <c r="L24" i="3"/>
  <c r="L16" i="3"/>
  <c r="M16" i="3" s="1"/>
  <c r="N16" i="3" s="1"/>
  <c r="L8" i="3"/>
  <c r="M8" i="3" s="1"/>
  <c r="L263" i="3"/>
  <c r="M263" i="3" s="1"/>
  <c r="L255" i="3"/>
  <c r="M255" i="3" s="1"/>
  <c r="L247" i="3"/>
  <c r="M247" i="3" s="1"/>
  <c r="L239" i="3"/>
  <c r="M239" i="3" s="1"/>
  <c r="L231" i="3"/>
  <c r="M231" i="3" s="1"/>
  <c r="L223" i="3"/>
  <c r="M223" i="3" s="1"/>
  <c r="L215" i="3"/>
  <c r="M215" i="3" s="1"/>
  <c r="L207" i="3"/>
  <c r="M207" i="3" s="1"/>
  <c r="L199" i="3"/>
  <c r="M199" i="3" s="1"/>
  <c r="L191" i="3"/>
  <c r="M191" i="3" s="1"/>
  <c r="L183" i="3"/>
  <c r="M183" i="3" s="1"/>
  <c r="L175" i="3"/>
  <c r="M175" i="3" s="1"/>
  <c r="L167" i="3"/>
  <c r="M167" i="3" s="1"/>
  <c r="L159" i="3"/>
  <c r="M159" i="3" s="1"/>
  <c r="L151" i="3"/>
  <c r="M151" i="3" s="1"/>
  <c r="L143" i="3"/>
  <c r="M143" i="3" s="1"/>
  <c r="L135" i="3"/>
  <c r="M135" i="3" s="1"/>
  <c r="L127" i="3"/>
  <c r="M127" i="3" s="1"/>
  <c r="L119" i="3"/>
  <c r="M119" i="3" s="1"/>
  <c r="L111" i="3"/>
  <c r="M111" i="3" s="1"/>
  <c r="L103" i="3"/>
  <c r="M103" i="3" s="1"/>
  <c r="L95" i="3"/>
  <c r="M95" i="3" s="1"/>
  <c r="L87" i="3"/>
  <c r="M87" i="3" s="1"/>
  <c r="L79" i="3"/>
  <c r="M79" i="3" s="1"/>
  <c r="L71" i="3"/>
  <c r="M71" i="3" s="1"/>
  <c r="L63" i="3"/>
  <c r="M63" i="3" s="1"/>
  <c r="L55" i="3"/>
  <c r="M55" i="3" s="1"/>
  <c r="L47" i="3"/>
  <c r="M47" i="3" s="1"/>
  <c r="L39" i="3"/>
  <c r="M39" i="3" s="1"/>
  <c r="L31" i="3"/>
  <c r="M31" i="3" s="1"/>
  <c r="L23" i="3"/>
  <c r="M23" i="3" s="1"/>
  <c r="L15" i="3"/>
  <c r="M15" i="3" s="1"/>
  <c r="L7" i="3"/>
  <c r="M7" i="3" s="1"/>
  <c r="M2" i="3"/>
  <c r="O578" i="3"/>
  <c r="P578" i="3" s="1"/>
  <c r="Q578" i="3" s="1"/>
  <c r="O314" i="3"/>
  <c r="P314" i="3" s="1"/>
  <c r="Q314" i="3" s="1"/>
  <c r="O386" i="3"/>
  <c r="P386" i="3" s="1"/>
  <c r="Q386" i="3" s="1"/>
  <c r="O434" i="3"/>
  <c r="P434" i="3" s="1"/>
  <c r="Q434" i="3" s="1"/>
  <c r="O570" i="3"/>
  <c r="P570" i="3" s="1"/>
  <c r="Q570" i="3" s="1"/>
  <c r="O506" i="3"/>
  <c r="P506" i="3" s="1"/>
  <c r="Q506" i="3" s="1"/>
  <c r="O306" i="3"/>
  <c r="P306" i="3" s="1"/>
  <c r="Q306" i="3" s="1"/>
  <c r="O442" i="3"/>
  <c r="P442" i="3" s="1"/>
  <c r="Q442" i="3" s="1"/>
  <c r="N486" i="3"/>
  <c r="O366" i="3"/>
  <c r="P366" i="3" s="1"/>
  <c r="Q366" i="3" s="1"/>
  <c r="O230" i="3"/>
  <c r="P230" i="3" s="1"/>
  <c r="O470" i="3"/>
  <c r="P470" i="3" s="1"/>
  <c r="Q470" i="3" s="1"/>
  <c r="O62" i="3"/>
  <c r="P62" i="3" s="1"/>
  <c r="N310" i="3"/>
  <c r="N118" i="3"/>
  <c r="N254" i="3"/>
  <c r="O360" i="3"/>
  <c r="P360" i="3" s="1"/>
  <c r="Q360" i="3" s="1"/>
  <c r="O240" i="3"/>
  <c r="P240" i="3" s="1"/>
  <c r="Q240" i="3" s="1"/>
  <c r="O16" i="3"/>
  <c r="P16" i="3" s="1"/>
  <c r="Q16" i="3" s="1"/>
  <c r="O440" i="3"/>
  <c r="P440" i="3" s="1"/>
  <c r="Q440" i="3" s="1"/>
  <c r="O248" i="3"/>
  <c r="P248" i="3" s="1"/>
  <c r="Q248" i="3" s="1"/>
  <c r="N192" i="3"/>
  <c r="O320" i="3"/>
  <c r="P320" i="3" s="1"/>
  <c r="Q320" i="3" s="1"/>
  <c r="O64" i="3"/>
  <c r="P64" i="3" s="1"/>
  <c r="Q64" i="3" s="1"/>
  <c r="N449" i="3"/>
  <c r="N185" i="3"/>
  <c r="N545" i="3"/>
  <c r="N481" i="3"/>
  <c r="N273" i="3"/>
  <c r="N81" i="3"/>
  <c r="N537" i="3"/>
  <c r="N313" i="3"/>
  <c r="N121" i="3"/>
  <c r="N409" i="3"/>
  <c r="N593" i="3"/>
  <c r="N561" i="3"/>
  <c r="O361" i="3"/>
  <c r="P361" i="3" s="1"/>
  <c r="Q361" i="3" s="1"/>
  <c r="O289" i="3"/>
  <c r="P289" i="3" s="1"/>
  <c r="Q289" i="3" s="1"/>
  <c r="O249" i="3"/>
  <c r="P249" i="3" s="1"/>
  <c r="Q249" i="3" s="1"/>
  <c r="O97" i="3"/>
  <c r="P97" i="3" s="1"/>
  <c r="Q97" i="3" s="1"/>
  <c r="N34" i="3"/>
  <c r="N50" i="3"/>
  <c r="Q552" i="3"/>
  <c r="Q544" i="3"/>
  <c r="B429" i="4"/>
  <c r="B333" i="4"/>
  <c r="F333" i="4" s="1"/>
  <c r="B307" i="4"/>
  <c r="C307" i="4" s="1"/>
  <c r="B125" i="4"/>
  <c r="C125" i="4" s="1"/>
  <c r="C25" i="4"/>
  <c r="F25" i="4"/>
  <c r="B335" i="4"/>
  <c r="B107" i="4"/>
  <c r="C429" i="4"/>
  <c r="F429" i="4"/>
  <c r="B578" i="4"/>
  <c r="B514" i="4"/>
  <c r="B513" i="4"/>
  <c r="B235" i="4"/>
  <c r="B498" i="4"/>
  <c r="B227" i="4"/>
  <c r="B450" i="4"/>
  <c r="B205" i="4"/>
  <c r="F125" i="4"/>
  <c r="B449" i="4"/>
  <c r="B127" i="4"/>
  <c r="B577" i="4"/>
  <c r="B562" i="4"/>
  <c r="B561" i="4"/>
  <c r="B497" i="4"/>
  <c r="B428" i="4"/>
  <c r="B303" i="4"/>
  <c r="B204" i="4"/>
  <c r="B99" i="4"/>
  <c r="B546" i="4"/>
  <c r="B482" i="4"/>
  <c r="B399" i="4"/>
  <c r="B284" i="4"/>
  <c r="B179" i="4"/>
  <c r="B73" i="4"/>
  <c r="B545" i="4"/>
  <c r="B481" i="4"/>
  <c r="B397" i="4"/>
  <c r="B283" i="4"/>
  <c r="B175" i="4"/>
  <c r="B71" i="4"/>
  <c r="B594" i="4"/>
  <c r="B530" i="4"/>
  <c r="B466" i="4"/>
  <c r="B367" i="4"/>
  <c r="B255" i="4"/>
  <c r="B156" i="4"/>
  <c r="B22" i="4"/>
  <c r="B593" i="4"/>
  <c r="B529" i="4"/>
  <c r="B465" i="4"/>
  <c r="B365" i="4"/>
  <c r="B253" i="4"/>
  <c r="B155" i="4"/>
  <c r="B14" i="4"/>
  <c r="B591" i="4"/>
  <c r="B575" i="4"/>
  <c r="B559" i="4"/>
  <c r="B543" i="4"/>
  <c r="B527" i="4"/>
  <c r="B511" i="4"/>
  <c r="B495" i="4"/>
  <c r="B479" i="4"/>
  <c r="B463" i="4"/>
  <c r="B446" i="4"/>
  <c r="B426" i="4"/>
  <c r="B395" i="4"/>
  <c r="B363" i="4"/>
  <c r="B331" i="4"/>
  <c r="B301" i="4"/>
  <c r="B275" i="4"/>
  <c r="B252" i="4"/>
  <c r="B223" i="4"/>
  <c r="B203" i="4"/>
  <c r="B173" i="4"/>
  <c r="B147" i="4"/>
  <c r="B124" i="4"/>
  <c r="B95" i="4"/>
  <c r="B70" i="4"/>
  <c r="B9" i="4"/>
  <c r="B587" i="4"/>
  <c r="B571" i="4"/>
  <c r="B555" i="4"/>
  <c r="B539" i="4"/>
  <c r="B523" i="4"/>
  <c r="B507" i="4"/>
  <c r="B491" i="4"/>
  <c r="B475" i="4"/>
  <c r="B459" i="4"/>
  <c r="B442" i="4"/>
  <c r="B419" i="4"/>
  <c r="B387" i="4"/>
  <c r="B355" i="4"/>
  <c r="B323" i="4"/>
  <c r="B300" i="4"/>
  <c r="B271" i="4"/>
  <c r="B251" i="4"/>
  <c r="B221" i="4"/>
  <c r="B195" i="4"/>
  <c r="B172" i="4"/>
  <c r="B143" i="4"/>
  <c r="B123" i="4"/>
  <c r="B93" i="4"/>
  <c r="B54" i="4"/>
  <c r="B7" i="4"/>
  <c r="B602" i="4"/>
  <c r="B586" i="4"/>
  <c r="B570" i="4"/>
  <c r="B554" i="4"/>
  <c r="B538" i="4"/>
  <c r="B522" i="4"/>
  <c r="B506" i="4"/>
  <c r="B490" i="4"/>
  <c r="B474" i="4"/>
  <c r="B458" i="4"/>
  <c r="B441" i="4"/>
  <c r="B415" i="4"/>
  <c r="B383" i="4"/>
  <c r="B351" i="4"/>
  <c r="B319" i="4"/>
  <c r="B299" i="4"/>
  <c r="B269" i="4"/>
  <c r="B243" i="4"/>
  <c r="B220" i="4"/>
  <c r="B191" i="4"/>
  <c r="B171" i="4"/>
  <c r="B141" i="4"/>
  <c r="B115" i="4"/>
  <c r="B92" i="4"/>
  <c r="B46" i="4"/>
  <c r="B6" i="4"/>
  <c r="B601" i="4"/>
  <c r="B585" i="4"/>
  <c r="B569" i="4"/>
  <c r="B553" i="4"/>
  <c r="B537" i="4"/>
  <c r="B521" i="4"/>
  <c r="B505" i="4"/>
  <c r="B489" i="4"/>
  <c r="B473" i="4"/>
  <c r="B457" i="4"/>
  <c r="B439" i="4"/>
  <c r="B413" i="4"/>
  <c r="B381" i="4"/>
  <c r="B349" i="4"/>
  <c r="B317" i="4"/>
  <c r="B291" i="4"/>
  <c r="B268" i="4"/>
  <c r="B239" i="4"/>
  <c r="B219" i="4"/>
  <c r="B189" i="4"/>
  <c r="B163" i="4"/>
  <c r="B140" i="4"/>
  <c r="B111" i="4"/>
  <c r="B91" i="4"/>
  <c r="B41" i="4"/>
  <c r="B599" i="4"/>
  <c r="B583" i="4"/>
  <c r="B567" i="4"/>
  <c r="B551" i="4"/>
  <c r="B535" i="4"/>
  <c r="B519" i="4"/>
  <c r="B503" i="4"/>
  <c r="B487" i="4"/>
  <c r="B471" i="4"/>
  <c r="B455" i="4"/>
  <c r="B437" i="4"/>
  <c r="B411" i="4"/>
  <c r="B379" i="4"/>
  <c r="B347" i="4"/>
  <c r="B316" i="4"/>
  <c r="B287" i="4"/>
  <c r="B267" i="4"/>
  <c r="B237" i="4"/>
  <c r="B211" i="4"/>
  <c r="B188" i="4"/>
  <c r="B159" i="4"/>
  <c r="B139" i="4"/>
  <c r="B109" i="4"/>
  <c r="B83" i="4"/>
  <c r="B39" i="4"/>
  <c r="B595" i="4"/>
  <c r="B579" i="4"/>
  <c r="B563" i="4"/>
  <c r="B547" i="4"/>
  <c r="B531" i="4"/>
  <c r="B515" i="4"/>
  <c r="B499" i="4"/>
  <c r="B483" i="4"/>
  <c r="B467" i="4"/>
  <c r="B451" i="4"/>
  <c r="B431" i="4"/>
  <c r="B403" i="4"/>
  <c r="B371" i="4"/>
  <c r="B339" i="4"/>
  <c r="B315" i="4"/>
  <c r="B285" i="4"/>
  <c r="B259" i="4"/>
  <c r="B236" i="4"/>
  <c r="B207" i="4"/>
  <c r="B187" i="4"/>
  <c r="B157" i="4"/>
  <c r="B131" i="4"/>
  <c r="B108" i="4"/>
  <c r="B78" i="4"/>
  <c r="B38" i="4"/>
  <c r="B600" i="4"/>
  <c r="B592" i="4"/>
  <c r="B584" i="4"/>
  <c r="B576" i="4"/>
  <c r="B568" i="4"/>
  <c r="B560" i="4"/>
  <c r="B552" i="4"/>
  <c r="B544" i="4"/>
  <c r="B536" i="4"/>
  <c r="B528" i="4"/>
  <c r="B520" i="4"/>
  <c r="B512" i="4"/>
  <c r="B504" i="4"/>
  <c r="B496" i="4"/>
  <c r="B488" i="4"/>
  <c r="B480" i="4"/>
  <c r="B472" i="4"/>
  <c r="B464" i="4"/>
  <c r="B456" i="4"/>
  <c r="B447" i="4"/>
  <c r="B438" i="4"/>
  <c r="B427" i="4"/>
  <c r="B412" i="4"/>
  <c r="B396" i="4"/>
  <c r="B380" i="4"/>
  <c r="B364" i="4"/>
  <c r="B348" i="4"/>
  <c r="B332" i="4"/>
  <c r="B598" i="4"/>
  <c r="B590" i="4"/>
  <c r="B582" i="4"/>
  <c r="B574" i="4"/>
  <c r="B566" i="4"/>
  <c r="B558" i="4"/>
  <c r="B550" i="4"/>
  <c r="B542" i="4"/>
  <c r="B534" i="4"/>
  <c r="B526" i="4"/>
  <c r="B518" i="4"/>
  <c r="B510" i="4"/>
  <c r="B502" i="4"/>
  <c r="B494" i="4"/>
  <c r="B486" i="4"/>
  <c r="B478" i="4"/>
  <c r="B470" i="4"/>
  <c r="B462" i="4"/>
  <c r="B454" i="4"/>
  <c r="B445" i="4"/>
  <c r="B436" i="4"/>
  <c r="B423" i="4"/>
  <c r="B407" i="4"/>
  <c r="B391" i="4"/>
  <c r="B375" i="4"/>
  <c r="B359" i="4"/>
  <c r="B343" i="4"/>
  <c r="B327" i="4"/>
  <c r="B311" i="4"/>
  <c r="B295" i="4"/>
  <c r="B279" i="4"/>
  <c r="B263" i="4"/>
  <c r="B247" i="4"/>
  <c r="B231" i="4"/>
  <c r="B215" i="4"/>
  <c r="B199" i="4"/>
  <c r="B183" i="4"/>
  <c r="B167" i="4"/>
  <c r="B151" i="4"/>
  <c r="B135" i="4"/>
  <c r="B119" i="4"/>
  <c r="B103" i="4"/>
  <c r="B87" i="4"/>
  <c r="B62" i="4"/>
  <c r="B30" i="4"/>
  <c r="B597" i="4"/>
  <c r="B589" i="4"/>
  <c r="B581" i="4"/>
  <c r="B573" i="4"/>
  <c r="B565" i="4"/>
  <c r="B557" i="4"/>
  <c r="B549" i="4"/>
  <c r="B541" i="4"/>
  <c r="B533" i="4"/>
  <c r="B525" i="4"/>
  <c r="B517" i="4"/>
  <c r="B509" i="4"/>
  <c r="B501" i="4"/>
  <c r="B493" i="4"/>
  <c r="B485" i="4"/>
  <c r="B477" i="4"/>
  <c r="B469" i="4"/>
  <c r="B461" i="4"/>
  <c r="B453" i="4"/>
  <c r="B444" i="4"/>
  <c r="B435" i="4"/>
  <c r="B421" i="4"/>
  <c r="B405" i="4"/>
  <c r="B389" i="4"/>
  <c r="B373" i="4"/>
  <c r="B357" i="4"/>
  <c r="B341" i="4"/>
  <c r="B325" i="4"/>
  <c r="B309" i="4"/>
  <c r="B293" i="4"/>
  <c r="B277" i="4"/>
  <c r="B261" i="4"/>
  <c r="B245" i="4"/>
  <c r="B229" i="4"/>
  <c r="B213" i="4"/>
  <c r="B197" i="4"/>
  <c r="B181" i="4"/>
  <c r="B165" i="4"/>
  <c r="B149" i="4"/>
  <c r="B133" i="4"/>
  <c r="B117" i="4"/>
  <c r="B101" i="4"/>
  <c r="B85" i="4"/>
  <c r="B57" i="4"/>
  <c r="A2" i="4"/>
  <c r="B2" i="4" s="1"/>
  <c r="B10" i="4"/>
  <c r="B18" i="4"/>
  <c r="B26" i="4"/>
  <c r="B34" i="4"/>
  <c r="B42" i="4"/>
  <c r="B50" i="4"/>
  <c r="B58" i="4"/>
  <c r="B66" i="4"/>
  <c r="B74" i="4"/>
  <c r="B3" i="4"/>
  <c r="B11" i="4"/>
  <c r="B19" i="4"/>
  <c r="B27" i="4"/>
  <c r="B35" i="4"/>
  <c r="B43" i="4"/>
  <c r="B51" i="4"/>
  <c r="B59" i="4"/>
  <c r="B67" i="4"/>
  <c r="B75" i="4"/>
  <c r="B5" i="4"/>
  <c r="B13" i="4"/>
  <c r="B21" i="4"/>
  <c r="B29" i="4"/>
  <c r="B37" i="4"/>
  <c r="B45" i="4"/>
  <c r="B53" i="4"/>
  <c r="B61" i="4"/>
  <c r="B69" i="4"/>
  <c r="B77" i="4"/>
  <c r="B8" i="4"/>
  <c r="B16" i="4"/>
  <c r="B24" i="4"/>
  <c r="B32" i="4"/>
  <c r="B40" i="4"/>
  <c r="B48" i="4"/>
  <c r="B56" i="4"/>
  <c r="B64" i="4"/>
  <c r="B72" i="4"/>
  <c r="B80" i="4"/>
  <c r="B15" i="4"/>
  <c r="B31" i="4"/>
  <c r="B47" i="4"/>
  <c r="B63" i="4"/>
  <c r="B79" i="4"/>
  <c r="B88" i="4"/>
  <c r="B96" i="4"/>
  <c r="B104" i="4"/>
  <c r="B112" i="4"/>
  <c r="B120" i="4"/>
  <c r="B128" i="4"/>
  <c r="B136" i="4"/>
  <c r="B144" i="4"/>
  <c r="B152" i="4"/>
  <c r="B160" i="4"/>
  <c r="B168" i="4"/>
  <c r="B176" i="4"/>
  <c r="B184" i="4"/>
  <c r="B192" i="4"/>
  <c r="B200" i="4"/>
  <c r="B208" i="4"/>
  <c r="B216" i="4"/>
  <c r="B224" i="4"/>
  <c r="B232" i="4"/>
  <c r="B240" i="4"/>
  <c r="B248" i="4"/>
  <c r="B256" i="4"/>
  <c r="B264" i="4"/>
  <c r="B272" i="4"/>
  <c r="B280" i="4"/>
  <c r="B288" i="4"/>
  <c r="B296" i="4"/>
  <c r="B304" i="4"/>
  <c r="B312" i="4"/>
  <c r="B320" i="4"/>
  <c r="B328" i="4"/>
  <c r="B336" i="4"/>
  <c r="B344" i="4"/>
  <c r="B352" i="4"/>
  <c r="B360" i="4"/>
  <c r="B368" i="4"/>
  <c r="B376" i="4"/>
  <c r="B384" i="4"/>
  <c r="B392" i="4"/>
  <c r="B400" i="4"/>
  <c r="B408" i="4"/>
  <c r="B416" i="4"/>
  <c r="B424" i="4"/>
  <c r="B432" i="4"/>
  <c r="B440" i="4"/>
  <c r="B448" i="4"/>
  <c r="B17" i="4"/>
  <c r="B33" i="4"/>
  <c r="B49" i="4"/>
  <c r="B65" i="4"/>
  <c r="B81" i="4"/>
  <c r="B89" i="4"/>
  <c r="B97" i="4"/>
  <c r="B105" i="4"/>
  <c r="B113" i="4"/>
  <c r="B121" i="4"/>
  <c r="B129" i="4"/>
  <c r="B137" i="4"/>
  <c r="B145" i="4"/>
  <c r="B153" i="4"/>
  <c r="B161" i="4"/>
  <c r="B169" i="4"/>
  <c r="B177" i="4"/>
  <c r="B185" i="4"/>
  <c r="B193" i="4"/>
  <c r="B201" i="4"/>
  <c r="B209" i="4"/>
  <c r="B217" i="4"/>
  <c r="B225" i="4"/>
  <c r="B233" i="4"/>
  <c r="B241" i="4"/>
  <c r="B249" i="4"/>
  <c r="B257" i="4"/>
  <c r="B265" i="4"/>
  <c r="B273" i="4"/>
  <c r="B281" i="4"/>
  <c r="B289" i="4"/>
  <c r="B297" i="4"/>
  <c r="B305" i="4"/>
  <c r="B313" i="4"/>
  <c r="B321" i="4"/>
  <c r="B329" i="4"/>
  <c r="B337" i="4"/>
  <c r="B345" i="4"/>
  <c r="B353" i="4"/>
  <c r="B361" i="4"/>
  <c r="B369" i="4"/>
  <c r="B377" i="4"/>
  <c r="B385" i="4"/>
  <c r="B393" i="4"/>
  <c r="B401" i="4"/>
  <c r="B409" i="4"/>
  <c r="B417" i="4"/>
  <c r="B425" i="4"/>
  <c r="B433" i="4"/>
  <c r="B4" i="4"/>
  <c r="B20" i="4"/>
  <c r="B36" i="4"/>
  <c r="B52" i="4"/>
  <c r="B68" i="4"/>
  <c r="B82" i="4"/>
  <c r="B90" i="4"/>
  <c r="B98" i="4"/>
  <c r="B106" i="4"/>
  <c r="B114" i="4"/>
  <c r="B122" i="4"/>
  <c r="B130" i="4"/>
  <c r="B138" i="4"/>
  <c r="B146" i="4"/>
  <c r="B154" i="4"/>
  <c r="B162" i="4"/>
  <c r="B170" i="4"/>
  <c r="B178" i="4"/>
  <c r="B186" i="4"/>
  <c r="B194" i="4"/>
  <c r="B202" i="4"/>
  <c r="B210" i="4"/>
  <c r="B218" i="4"/>
  <c r="B226" i="4"/>
  <c r="B234" i="4"/>
  <c r="B242" i="4"/>
  <c r="B250" i="4"/>
  <c r="B258" i="4"/>
  <c r="B266" i="4"/>
  <c r="B274" i="4"/>
  <c r="B282" i="4"/>
  <c r="B290" i="4"/>
  <c r="B298" i="4"/>
  <c r="B306" i="4"/>
  <c r="B314" i="4"/>
  <c r="B322" i="4"/>
  <c r="B330" i="4"/>
  <c r="B338" i="4"/>
  <c r="B346" i="4"/>
  <c r="B354" i="4"/>
  <c r="B362" i="4"/>
  <c r="B370" i="4"/>
  <c r="B378" i="4"/>
  <c r="B386" i="4"/>
  <c r="B394" i="4"/>
  <c r="B402" i="4"/>
  <c r="B410" i="4"/>
  <c r="B418" i="4"/>
  <c r="B12" i="4"/>
  <c r="B28" i="4"/>
  <c r="B44" i="4"/>
  <c r="B60" i="4"/>
  <c r="B76" i="4"/>
  <c r="B86" i="4"/>
  <c r="B94" i="4"/>
  <c r="B102" i="4"/>
  <c r="B110" i="4"/>
  <c r="B118" i="4"/>
  <c r="B126" i="4"/>
  <c r="B134" i="4"/>
  <c r="B142" i="4"/>
  <c r="B150" i="4"/>
  <c r="B158" i="4"/>
  <c r="B166" i="4"/>
  <c r="B174" i="4"/>
  <c r="B182" i="4"/>
  <c r="B190" i="4"/>
  <c r="B198" i="4"/>
  <c r="B206" i="4"/>
  <c r="B214" i="4"/>
  <c r="B222" i="4"/>
  <c r="B230" i="4"/>
  <c r="B238" i="4"/>
  <c r="B246" i="4"/>
  <c r="B254" i="4"/>
  <c r="B262" i="4"/>
  <c r="B270" i="4"/>
  <c r="B278" i="4"/>
  <c r="B286" i="4"/>
  <c r="B294" i="4"/>
  <c r="B302" i="4"/>
  <c r="B310" i="4"/>
  <c r="B318" i="4"/>
  <c r="B326" i="4"/>
  <c r="B334" i="4"/>
  <c r="B342" i="4"/>
  <c r="B350" i="4"/>
  <c r="B358" i="4"/>
  <c r="B366" i="4"/>
  <c r="B374" i="4"/>
  <c r="B382" i="4"/>
  <c r="B390" i="4"/>
  <c r="B398" i="4"/>
  <c r="B406" i="4"/>
  <c r="B414" i="4"/>
  <c r="B422" i="4"/>
  <c r="B430" i="4"/>
  <c r="B596" i="4"/>
  <c r="B588" i="4"/>
  <c r="B580" i="4"/>
  <c r="B572" i="4"/>
  <c r="B564" i="4"/>
  <c r="B556" i="4"/>
  <c r="B548" i="4"/>
  <c r="B540" i="4"/>
  <c r="B532" i="4"/>
  <c r="B524" i="4"/>
  <c r="B516" i="4"/>
  <c r="B508" i="4"/>
  <c r="B500" i="4"/>
  <c r="B492" i="4"/>
  <c r="B484" i="4"/>
  <c r="B476" i="4"/>
  <c r="B468" i="4"/>
  <c r="B460" i="4"/>
  <c r="B452" i="4"/>
  <c r="B443" i="4"/>
  <c r="B434" i="4"/>
  <c r="B420" i="4"/>
  <c r="B404" i="4"/>
  <c r="B388" i="4"/>
  <c r="B372" i="4"/>
  <c r="B356" i="4"/>
  <c r="B340" i="4"/>
  <c r="B324" i="4"/>
  <c r="B308" i="4"/>
  <c r="B292" i="4"/>
  <c r="B276" i="4"/>
  <c r="B260" i="4"/>
  <c r="B244" i="4"/>
  <c r="B228" i="4"/>
  <c r="B212" i="4"/>
  <c r="B196" i="4"/>
  <c r="B180" i="4"/>
  <c r="B164" i="4"/>
  <c r="B148" i="4"/>
  <c r="B132" i="4"/>
  <c r="B116" i="4"/>
  <c r="B100" i="4"/>
  <c r="B84" i="4"/>
  <c r="B55" i="4"/>
  <c r="B23" i="4"/>
  <c r="N2" i="3"/>
  <c r="N522" i="3"/>
  <c r="N458" i="3"/>
  <c r="N586" i="3"/>
  <c r="N584" i="3"/>
  <c r="N560" i="3"/>
  <c r="N552" i="3"/>
  <c r="N394" i="3"/>
  <c r="N488" i="3"/>
  <c r="Q488" i="3"/>
  <c r="Q432" i="3"/>
  <c r="N432" i="3"/>
  <c r="N424" i="3"/>
  <c r="N368" i="3"/>
  <c r="N312" i="3"/>
  <c r="R560" i="3"/>
  <c r="R552" i="3"/>
  <c r="R544" i="3"/>
  <c r="O2" i="3"/>
  <c r="Q56" i="3"/>
  <c r="Q184" i="3"/>
  <c r="Q89" i="3"/>
  <c r="Q310" i="3"/>
  <c r="Q486" i="3"/>
  <c r="P10" i="3"/>
  <c r="Q10" i="3" s="1"/>
  <c r="Q345" i="3"/>
  <c r="Q409" i="3"/>
  <c r="Q537" i="3"/>
  <c r="Q33" i="3"/>
  <c r="Q81" i="3"/>
  <c r="Q118" i="3"/>
  <c r="B16" i="3"/>
  <c r="F307" i="4" l="1"/>
  <c r="C333" i="4"/>
  <c r="N529" i="3"/>
  <c r="N336" i="3"/>
  <c r="O385" i="3"/>
  <c r="P385" i="3" s="1"/>
  <c r="Q385" i="3" s="1"/>
  <c r="R584" i="3"/>
  <c r="S584" i="3" s="1"/>
  <c r="V584" i="3" s="1"/>
  <c r="N456" i="3"/>
  <c r="N330" i="3"/>
  <c r="N10" i="3"/>
  <c r="N345" i="3"/>
  <c r="N184" i="3"/>
  <c r="N144" i="3"/>
  <c r="N520" i="3"/>
  <c r="O74" i="3"/>
  <c r="P74" i="3" s="1"/>
  <c r="Q74" i="3" s="1"/>
  <c r="O3" i="3"/>
  <c r="P3" i="3" s="1"/>
  <c r="Q3" i="3" s="1"/>
  <c r="O57" i="3"/>
  <c r="P57" i="3" s="1"/>
  <c r="Q57" i="3" s="1"/>
  <c r="N392" i="3"/>
  <c r="N576" i="3"/>
  <c r="N145" i="3"/>
  <c r="O321" i="3"/>
  <c r="P321" i="3" s="1"/>
  <c r="Q321" i="3" s="1"/>
  <c r="N214" i="3"/>
  <c r="N377" i="3"/>
  <c r="N464" i="3"/>
  <c r="N490" i="3"/>
  <c r="N457" i="3"/>
  <c r="N542" i="3"/>
  <c r="N569" i="3"/>
  <c r="N512" i="3"/>
  <c r="N592" i="3"/>
  <c r="O478" i="3"/>
  <c r="P478" i="3" s="1"/>
  <c r="Q478" i="3" s="1"/>
  <c r="O210" i="3"/>
  <c r="P210" i="3" s="1"/>
  <c r="Q210" i="3" s="1"/>
  <c r="N177" i="3"/>
  <c r="N554" i="3"/>
  <c r="O441" i="3"/>
  <c r="P441" i="3" s="1"/>
  <c r="Q441" i="3" s="1"/>
  <c r="N521" i="3"/>
  <c r="N193" i="3"/>
  <c r="N393" i="3"/>
  <c r="N22" i="3"/>
  <c r="N150" i="3"/>
  <c r="N241" i="3"/>
  <c r="O465" i="3"/>
  <c r="P465" i="3" s="1"/>
  <c r="Q465" i="3" s="1"/>
  <c r="N342" i="3"/>
  <c r="N400" i="3"/>
  <c r="N18" i="3"/>
  <c r="N65" i="3"/>
  <c r="N362" i="3"/>
  <c r="N448" i="3"/>
  <c r="N528" i="3"/>
  <c r="N426" i="3"/>
  <c r="O129" i="3"/>
  <c r="P129" i="3" s="1"/>
  <c r="Q129" i="3" s="1"/>
  <c r="O585" i="3"/>
  <c r="P585" i="3" s="1"/>
  <c r="Q585" i="3" s="1"/>
  <c r="N369" i="3"/>
  <c r="O72" i="3"/>
  <c r="P72" i="3" s="1"/>
  <c r="Q72" i="3" s="1"/>
  <c r="N414" i="3"/>
  <c r="R336" i="3"/>
  <c r="S336" i="3" s="1"/>
  <c r="V336" i="3" s="1"/>
  <c r="Q528" i="3"/>
  <c r="N354" i="3"/>
  <c r="O354" i="3"/>
  <c r="P354" i="3" s="1"/>
  <c r="Q354" i="3" s="1"/>
  <c r="N418" i="3"/>
  <c r="O418" i="3"/>
  <c r="P418" i="3" s="1"/>
  <c r="Q418" i="3" s="1"/>
  <c r="N546" i="3"/>
  <c r="O546" i="3"/>
  <c r="P546" i="3" s="1"/>
  <c r="Q546" i="3" s="1"/>
  <c r="O270" i="3"/>
  <c r="P270" i="3" s="1"/>
  <c r="R270" i="3" s="1"/>
  <c r="S270" i="3" s="1"/>
  <c r="V270" i="3" s="1"/>
  <c r="N270" i="3"/>
  <c r="N334" i="3"/>
  <c r="O334" i="3"/>
  <c r="P334" i="3" s="1"/>
  <c r="Q334" i="3" s="1"/>
  <c r="O344" i="3"/>
  <c r="P344" i="3" s="1"/>
  <c r="Q344" i="3" s="1"/>
  <c r="N344" i="3"/>
  <c r="N534" i="3"/>
  <c r="O534" i="3"/>
  <c r="P534" i="3" s="1"/>
  <c r="Q534" i="3" s="1"/>
  <c r="O408" i="3"/>
  <c r="P408" i="3" s="1"/>
  <c r="Q408" i="3" s="1"/>
  <c r="N408" i="3"/>
  <c r="O472" i="3"/>
  <c r="P472" i="3" s="1"/>
  <c r="Q472" i="3" s="1"/>
  <c r="N472" i="3"/>
  <c r="O536" i="3"/>
  <c r="P536" i="3" s="1"/>
  <c r="Q536" i="3" s="1"/>
  <c r="N536" i="3"/>
  <c r="N370" i="3"/>
  <c r="O370" i="3"/>
  <c r="P370" i="3" s="1"/>
  <c r="Q370" i="3" s="1"/>
  <c r="N498" i="3"/>
  <c r="O498" i="3"/>
  <c r="P498" i="3" s="1"/>
  <c r="Q498" i="3" s="1"/>
  <c r="N562" i="3"/>
  <c r="O562" i="3"/>
  <c r="P562" i="3" s="1"/>
  <c r="Q562" i="3" s="1"/>
  <c r="O40" i="3"/>
  <c r="P40" i="3" s="1"/>
  <c r="Q40" i="3" s="1"/>
  <c r="N40" i="3"/>
  <c r="O104" i="3"/>
  <c r="P104" i="3" s="1"/>
  <c r="Q104" i="3" s="1"/>
  <c r="N104" i="3"/>
  <c r="N168" i="3"/>
  <c r="O168" i="3"/>
  <c r="P168" i="3" s="1"/>
  <c r="Q168" i="3" s="1"/>
  <c r="O38" i="3"/>
  <c r="P38" i="3" s="1"/>
  <c r="Q38" i="3" s="1"/>
  <c r="N38" i="3"/>
  <c r="N25" i="3"/>
  <c r="O25" i="3"/>
  <c r="P25" i="3" s="1"/>
  <c r="Q25" i="3" s="1"/>
  <c r="O153" i="3"/>
  <c r="P153" i="3" s="1"/>
  <c r="Q153" i="3" s="1"/>
  <c r="N153" i="3"/>
  <c r="N217" i="3"/>
  <c r="O217" i="3"/>
  <c r="P217" i="3" s="1"/>
  <c r="Q217" i="3" s="1"/>
  <c r="O281" i="3"/>
  <c r="P281" i="3" s="1"/>
  <c r="Q281" i="3" s="1"/>
  <c r="N281" i="3"/>
  <c r="O42" i="3"/>
  <c r="P42" i="3" s="1"/>
  <c r="Q42" i="3" s="1"/>
  <c r="N42" i="3"/>
  <c r="N106" i="3"/>
  <c r="O106" i="3"/>
  <c r="P106" i="3" s="1"/>
  <c r="Q106" i="3" s="1"/>
  <c r="N417" i="3"/>
  <c r="O417" i="3"/>
  <c r="P417" i="3" s="1"/>
  <c r="Q417" i="3" s="1"/>
  <c r="N553" i="3"/>
  <c r="O553" i="3"/>
  <c r="P553" i="3" s="1"/>
  <c r="Q553" i="3" s="1"/>
  <c r="O169" i="3"/>
  <c r="P169" i="3" s="1"/>
  <c r="Q169" i="3" s="1"/>
  <c r="N169" i="3"/>
  <c r="O233" i="3"/>
  <c r="P233" i="3" s="1"/>
  <c r="Q233" i="3" s="1"/>
  <c r="N233" i="3"/>
  <c r="O122" i="3"/>
  <c r="P122" i="3" s="1"/>
  <c r="Q122" i="3" s="1"/>
  <c r="N122" i="3"/>
  <c r="O510" i="3"/>
  <c r="P510" i="3" s="1"/>
  <c r="Q510" i="3" s="1"/>
  <c r="N510" i="3"/>
  <c r="N201" i="3"/>
  <c r="N113" i="3"/>
  <c r="N305" i="3"/>
  <c r="N152" i="3"/>
  <c r="O398" i="3"/>
  <c r="P398" i="3" s="1"/>
  <c r="Q398" i="3" s="1"/>
  <c r="O162" i="3"/>
  <c r="P162" i="3" s="1"/>
  <c r="Q162" i="3" s="1"/>
  <c r="R576" i="3"/>
  <c r="S576" i="3" s="1"/>
  <c r="V576" i="3" s="1"/>
  <c r="N416" i="3"/>
  <c r="N89" i="3"/>
  <c r="N280" i="3"/>
  <c r="O296" i="3"/>
  <c r="P296" i="3" s="1"/>
  <c r="Q296" i="3" s="1"/>
  <c r="N328" i="3"/>
  <c r="N352" i="3"/>
  <c r="N480" i="3"/>
  <c r="N544" i="3"/>
  <c r="N401" i="3"/>
  <c r="N134" i="3"/>
  <c r="O98" i="3"/>
  <c r="P98" i="3" s="1"/>
  <c r="Q98" i="3" s="1"/>
  <c r="O66" i="3"/>
  <c r="P66" i="3" s="1"/>
  <c r="Q66" i="3" s="1"/>
  <c r="N384" i="3"/>
  <c r="N433" i="3"/>
  <c r="O158" i="3"/>
  <c r="P158" i="3" s="1"/>
  <c r="R158" i="3" s="1"/>
  <c r="S158" i="3" s="1"/>
  <c r="V158" i="3" s="1"/>
  <c r="O410" i="3"/>
  <c r="P410" i="3" s="1"/>
  <c r="Q410" i="3" s="1"/>
  <c r="Q586" i="3"/>
  <c r="R592" i="3"/>
  <c r="S592" i="3" s="1"/>
  <c r="V592" i="3" s="1"/>
  <c r="O577" i="3"/>
  <c r="P577" i="3" s="1"/>
  <c r="Q577" i="3" s="1"/>
  <c r="N577" i="3"/>
  <c r="O167" i="3"/>
  <c r="P167" i="3" s="1"/>
  <c r="Q167" i="3" s="1"/>
  <c r="N167" i="3"/>
  <c r="N96" i="3"/>
  <c r="O96" i="3"/>
  <c r="P96" i="3" s="1"/>
  <c r="Q96" i="3" s="1"/>
  <c r="N160" i="3"/>
  <c r="O160" i="3"/>
  <c r="P160" i="3" s="1"/>
  <c r="Q160" i="3" s="1"/>
  <c r="N288" i="3"/>
  <c r="O288" i="3"/>
  <c r="P288" i="3" s="1"/>
  <c r="Q288" i="3" s="1"/>
  <c r="O9" i="3"/>
  <c r="P9" i="3" s="1"/>
  <c r="Q9" i="3" s="1"/>
  <c r="N9" i="3"/>
  <c r="O329" i="3"/>
  <c r="P329" i="3" s="1"/>
  <c r="Q329" i="3" s="1"/>
  <c r="N329" i="3"/>
  <c r="N218" i="3"/>
  <c r="O218" i="3"/>
  <c r="P218" i="3" s="1"/>
  <c r="Q218" i="3" s="1"/>
  <c r="N139" i="3"/>
  <c r="O139" i="3"/>
  <c r="P139" i="3" s="1"/>
  <c r="Q139" i="3" s="1"/>
  <c r="O435" i="3"/>
  <c r="P435" i="3" s="1"/>
  <c r="Q435" i="3" s="1"/>
  <c r="N435" i="3"/>
  <c r="O292" i="3"/>
  <c r="P292" i="3" s="1"/>
  <c r="Q292" i="3" s="1"/>
  <c r="N292" i="3"/>
  <c r="O484" i="3"/>
  <c r="P484" i="3" s="1"/>
  <c r="Q484" i="3" s="1"/>
  <c r="N484" i="3"/>
  <c r="N237" i="3"/>
  <c r="O237" i="3"/>
  <c r="P237" i="3" s="1"/>
  <c r="Q237" i="3" s="1"/>
  <c r="O309" i="3"/>
  <c r="P309" i="3" s="1"/>
  <c r="Q309" i="3" s="1"/>
  <c r="N309" i="3"/>
  <c r="O6" i="3"/>
  <c r="P6" i="3" s="1"/>
  <c r="Q6" i="3" s="1"/>
  <c r="N6" i="3"/>
  <c r="N198" i="3"/>
  <c r="O198" i="3"/>
  <c r="P198" i="3" s="1"/>
  <c r="R198" i="3" s="1"/>
  <c r="S198" i="3" s="1"/>
  <c r="V198" i="3" s="1"/>
  <c r="O326" i="3"/>
  <c r="P326" i="3" s="1"/>
  <c r="Q326" i="3" s="1"/>
  <c r="N326" i="3"/>
  <c r="O518" i="3"/>
  <c r="P518" i="3" s="1"/>
  <c r="Q518" i="3" s="1"/>
  <c r="N518" i="3"/>
  <c r="O371" i="3"/>
  <c r="P371" i="3" s="1"/>
  <c r="Q371" i="3" s="1"/>
  <c r="N371" i="3"/>
  <c r="N566" i="3"/>
  <c r="O566" i="3"/>
  <c r="P566" i="3" s="1"/>
  <c r="Q566" i="3" s="1"/>
  <c r="N469" i="3"/>
  <c r="O469" i="3"/>
  <c r="P469" i="3" s="1"/>
  <c r="Q469" i="3" s="1"/>
  <c r="O142" i="3"/>
  <c r="P142" i="3" s="1"/>
  <c r="Q142" i="3" s="1"/>
  <c r="N142" i="3"/>
  <c r="N26" i="3"/>
  <c r="O70" i="3"/>
  <c r="P70" i="3" s="1"/>
  <c r="R70" i="3" s="1"/>
  <c r="S70" i="3" s="1"/>
  <c r="V70" i="3" s="1"/>
  <c r="O47" i="3"/>
  <c r="P47" i="3" s="1"/>
  <c r="N47" i="3"/>
  <c r="N111" i="3"/>
  <c r="O111" i="3"/>
  <c r="P111" i="3" s="1"/>
  <c r="Q111" i="3" s="1"/>
  <c r="O175" i="3"/>
  <c r="P175" i="3" s="1"/>
  <c r="Q175" i="3" s="1"/>
  <c r="N175" i="3"/>
  <c r="O239" i="3"/>
  <c r="P239" i="3" s="1"/>
  <c r="Q239" i="3" s="1"/>
  <c r="N239" i="3"/>
  <c r="N17" i="3"/>
  <c r="O17" i="3"/>
  <c r="P17" i="3" s="1"/>
  <c r="Q17" i="3" s="1"/>
  <c r="O209" i="3"/>
  <c r="P209" i="3" s="1"/>
  <c r="Q209" i="3" s="1"/>
  <c r="N209" i="3"/>
  <c r="O337" i="3"/>
  <c r="P337" i="3" s="1"/>
  <c r="Q337" i="3" s="1"/>
  <c r="N337" i="3"/>
  <c r="O226" i="3"/>
  <c r="P226" i="3" s="1"/>
  <c r="Q226" i="3" s="1"/>
  <c r="N226" i="3"/>
  <c r="N290" i="3"/>
  <c r="O290" i="3"/>
  <c r="P290" i="3" s="1"/>
  <c r="Q290" i="3" s="1"/>
  <c r="O19" i="3"/>
  <c r="P19" i="3" s="1"/>
  <c r="Q19" i="3" s="1"/>
  <c r="N19" i="3"/>
  <c r="O83" i="3"/>
  <c r="P83" i="3" s="1"/>
  <c r="Q83" i="3" s="1"/>
  <c r="N83" i="3"/>
  <c r="O147" i="3"/>
  <c r="P147" i="3" s="1"/>
  <c r="Q147" i="3" s="1"/>
  <c r="N147" i="3"/>
  <c r="O211" i="3"/>
  <c r="P211" i="3" s="1"/>
  <c r="Q211" i="3" s="1"/>
  <c r="N211" i="3"/>
  <c r="O275" i="3"/>
  <c r="P275" i="3" s="1"/>
  <c r="Q275" i="3" s="1"/>
  <c r="N275" i="3"/>
  <c r="O44" i="3"/>
  <c r="P44" i="3" s="1"/>
  <c r="Q44" i="3" s="1"/>
  <c r="N44" i="3"/>
  <c r="N108" i="3"/>
  <c r="O108" i="3"/>
  <c r="P108" i="3" s="1"/>
  <c r="Q108" i="3" s="1"/>
  <c r="N172" i="3"/>
  <c r="O172" i="3"/>
  <c r="P172" i="3" s="1"/>
  <c r="Q172" i="3" s="1"/>
  <c r="O236" i="3"/>
  <c r="P236" i="3" s="1"/>
  <c r="Q236" i="3" s="1"/>
  <c r="N236" i="3"/>
  <c r="O24" i="3"/>
  <c r="P24" i="3" s="1"/>
  <c r="Q24" i="3" s="1"/>
  <c r="N24" i="3"/>
  <c r="N497" i="3"/>
  <c r="O497" i="3"/>
  <c r="P497" i="3" s="1"/>
  <c r="Q497" i="3" s="1"/>
  <c r="N346" i="3"/>
  <c r="O346" i="3"/>
  <c r="P346" i="3" s="1"/>
  <c r="Q346" i="3" s="1"/>
  <c r="O474" i="3"/>
  <c r="P474" i="3" s="1"/>
  <c r="Q474" i="3" s="1"/>
  <c r="N474" i="3"/>
  <c r="O538" i="3"/>
  <c r="P538" i="3" s="1"/>
  <c r="Q538" i="3" s="1"/>
  <c r="N538" i="3"/>
  <c r="N602" i="3"/>
  <c r="O602" i="3"/>
  <c r="P602" i="3" s="1"/>
  <c r="Q602" i="3" s="1"/>
  <c r="N571" i="3"/>
  <c r="O571" i="3"/>
  <c r="P571" i="3" s="1"/>
  <c r="Q571" i="3" s="1"/>
  <c r="O300" i="3"/>
  <c r="P300" i="3" s="1"/>
  <c r="Q300" i="3" s="1"/>
  <c r="N300" i="3"/>
  <c r="O364" i="3"/>
  <c r="P364" i="3" s="1"/>
  <c r="Q364" i="3" s="1"/>
  <c r="N364" i="3"/>
  <c r="O428" i="3"/>
  <c r="P428" i="3" s="1"/>
  <c r="Q428" i="3" s="1"/>
  <c r="N428" i="3"/>
  <c r="N492" i="3"/>
  <c r="O492" i="3"/>
  <c r="P492" i="3" s="1"/>
  <c r="Q492" i="3" s="1"/>
  <c r="N556" i="3"/>
  <c r="O556" i="3"/>
  <c r="P556" i="3" s="1"/>
  <c r="Q556" i="3" s="1"/>
  <c r="N253" i="3"/>
  <c r="O253" i="3"/>
  <c r="P253" i="3" s="1"/>
  <c r="Q253" i="3" s="1"/>
  <c r="O317" i="3"/>
  <c r="P317" i="3" s="1"/>
  <c r="R317" i="3" s="1"/>
  <c r="S317" i="3" s="1"/>
  <c r="V317" i="3" s="1"/>
  <c r="N317" i="3"/>
  <c r="N381" i="3"/>
  <c r="O381" i="3"/>
  <c r="P381" i="3" s="1"/>
  <c r="Q381" i="3" s="1"/>
  <c r="O14" i="3"/>
  <c r="P14" i="3" s="1"/>
  <c r="Q14" i="3" s="1"/>
  <c r="N14" i="3"/>
  <c r="O526" i="3"/>
  <c r="P526" i="3" s="1"/>
  <c r="Q526" i="3" s="1"/>
  <c r="N526" i="3"/>
  <c r="O590" i="3"/>
  <c r="P590" i="3" s="1"/>
  <c r="Q590" i="3" s="1"/>
  <c r="N590" i="3"/>
  <c r="N482" i="3"/>
  <c r="O482" i="3"/>
  <c r="P482" i="3" s="1"/>
  <c r="Q482" i="3" s="1"/>
  <c r="O315" i="3"/>
  <c r="P315" i="3" s="1"/>
  <c r="R315" i="3" s="1"/>
  <c r="S315" i="3" s="1"/>
  <c r="V315" i="3" s="1"/>
  <c r="N315" i="3"/>
  <c r="O595" i="3"/>
  <c r="P595" i="3" s="1"/>
  <c r="Q595" i="3" s="1"/>
  <c r="N595" i="3"/>
  <c r="O405" i="3"/>
  <c r="P405" i="3" s="1"/>
  <c r="Q405" i="3" s="1"/>
  <c r="N405" i="3"/>
  <c r="O477" i="3"/>
  <c r="P477" i="3" s="1"/>
  <c r="Q477" i="3" s="1"/>
  <c r="N477" i="3"/>
  <c r="O549" i="3"/>
  <c r="P549" i="3" s="1"/>
  <c r="Q549" i="3" s="1"/>
  <c r="N549" i="3"/>
  <c r="O269" i="3"/>
  <c r="P269" i="3" s="1"/>
  <c r="R269" i="3" s="1"/>
  <c r="S269" i="3" s="1"/>
  <c r="V269" i="3" s="1"/>
  <c r="N269" i="3"/>
  <c r="N461" i="3"/>
  <c r="O461" i="3"/>
  <c r="P461" i="3" s="1"/>
  <c r="Q461" i="3" s="1"/>
  <c r="O319" i="3"/>
  <c r="P319" i="3" s="1"/>
  <c r="Q319" i="3" s="1"/>
  <c r="N319" i="3"/>
  <c r="O383" i="3"/>
  <c r="P383" i="3" s="1"/>
  <c r="Q383" i="3" s="1"/>
  <c r="N383" i="3"/>
  <c r="O511" i="3"/>
  <c r="P511" i="3" s="1"/>
  <c r="Q511" i="3" s="1"/>
  <c r="N511" i="3"/>
  <c r="O575" i="3"/>
  <c r="P575" i="3" s="1"/>
  <c r="Q575" i="3" s="1"/>
  <c r="N575" i="3"/>
  <c r="N224" i="3"/>
  <c r="O224" i="3"/>
  <c r="P224" i="3" s="1"/>
  <c r="Q224" i="3" s="1"/>
  <c r="N282" i="3"/>
  <c r="O282" i="3"/>
  <c r="P282" i="3" s="1"/>
  <c r="Q282" i="3" s="1"/>
  <c r="N466" i="3"/>
  <c r="O466" i="3"/>
  <c r="P466" i="3" s="1"/>
  <c r="Q466" i="3" s="1"/>
  <c r="N363" i="3"/>
  <c r="O363" i="3"/>
  <c r="P363" i="3" s="1"/>
  <c r="R363" i="3" s="1"/>
  <c r="S363" i="3" s="1"/>
  <c r="V363" i="3" s="1"/>
  <c r="O107" i="3"/>
  <c r="P107" i="3" s="1"/>
  <c r="Q107" i="3" s="1"/>
  <c r="N107" i="3"/>
  <c r="O548" i="3"/>
  <c r="P548" i="3" s="1"/>
  <c r="Q548" i="3" s="1"/>
  <c r="N548" i="3"/>
  <c r="N262" i="3"/>
  <c r="O262" i="3"/>
  <c r="P262" i="3" s="1"/>
  <c r="Q262" i="3" s="1"/>
  <c r="N245" i="3"/>
  <c r="O245" i="3"/>
  <c r="P245" i="3" s="1"/>
  <c r="Q245" i="3" s="1"/>
  <c r="O380" i="3"/>
  <c r="P380" i="3" s="1"/>
  <c r="Q380" i="3" s="1"/>
  <c r="N380" i="3"/>
  <c r="O479" i="3"/>
  <c r="P479" i="3" s="1"/>
  <c r="Q479" i="3" s="1"/>
  <c r="N479" i="3"/>
  <c r="N265" i="3"/>
  <c r="N136" i="3"/>
  <c r="O114" i="3"/>
  <c r="P114" i="3" s="1"/>
  <c r="Q114" i="3" s="1"/>
  <c r="O55" i="3"/>
  <c r="P55" i="3" s="1"/>
  <c r="R55" i="3" s="1"/>
  <c r="S55" i="3" s="1"/>
  <c r="V55" i="3" s="1"/>
  <c r="N55" i="3"/>
  <c r="O119" i="3"/>
  <c r="P119" i="3" s="1"/>
  <c r="Q119" i="3" s="1"/>
  <c r="N119" i="3"/>
  <c r="O247" i="3"/>
  <c r="P247" i="3" s="1"/>
  <c r="Q247" i="3" s="1"/>
  <c r="N247" i="3"/>
  <c r="O48" i="3"/>
  <c r="P48" i="3" s="1"/>
  <c r="Q48" i="3" s="1"/>
  <c r="N48" i="3"/>
  <c r="N112" i="3"/>
  <c r="O112" i="3"/>
  <c r="P112" i="3" s="1"/>
  <c r="Q112" i="3" s="1"/>
  <c r="O176" i="3"/>
  <c r="P176" i="3" s="1"/>
  <c r="Q176" i="3" s="1"/>
  <c r="N176" i="3"/>
  <c r="O304" i="3"/>
  <c r="P304" i="3" s="1"/>
  <c r="Q304" i="3" s="1"/>
  <c r="N304" i="3"/>
  <c r="O27" i="3"/>
  <c r="P27" i="3" s="1"/>
  <c r="Q27" i="3" s="1"/>
  <c r="N27" i="3"/>
  <c r="O91" i="3"/>
  <c r="P91" i="3" s="1"/>
  <c r="Q91" i="3" s="1"/>
  <c r="N91" i="3"/>
  <c r="N155" i="3"/>
  <c r="O155" i="3"/>
  <c r="P155" i="3" s="1"/>
  <c r="Q155" i="3" s="1"/>
  <c r="N219" i="3"/>
  <c r="O219" i="3"/>
  <c r="P219" i="3" s="1"/>
  <c r="Q219" i="3" s="1"/>
  <c r="O283" i="3"/>
  <c r="P283" i="3" s="1"/>
  <c r="Q283" i="3" s="1"/>
  <c r="N283" i="3"/>
  <c r="N52" i="3"/>
  <c r="O52" i="3"/>
  <c r="P52" i="3" s="1"/>
  <c r="Q52" i="3" s="1"/>
  <c r="O116" i="3"/>
  <c r="P116" i="3" s="1"/>
  <c r="Q116" i="3" s="1"/>
  <c r="N116" i="3"/>
  <c r="O180" i="3"/>
  <c r="P180" i="3" s="1"/>
  <c r="Q180" i="3" s="1"/>
  <c r="N180" i="3"/>
  <c r="O244" i="3"/>
  <c r="P244" i="3" s="1"/>
  <c r="Q244" i="3" s="1"/>
  <c r="N244" i="3"/>
  <c r="O505" i="3"/>
  <c r="P505" i="3" s="1"/>
  <c r="Q505" i="3" s="1"/>
  <c r="N505" i="3"/>
  <c r="O105" i="3"/>
  <c r="P105" i="3" s="1"/>
  <c r="Q105" i="3" s="1"/>
  <c r="N105" i="3"/>
  <c r="N298" i="3"/>
  <c r="O298" i="3"/>
  <c r="P298" i="3" s="1"/>
  <c r="Q298" i="3" s="1"/>
  <c r="O387" i="3"/>
  <c r="P387" i="3" s="1"/>
  <c r="R387" i="3" s="1"/>
  <c r="S387" i="3" s="1"/>
  <c r="V387" i="3" s="1"/>
  <c r="N387" i="3"/>
  <c r="O451" i="3"/>
  <c r="P451" i="3" s="1"/>
  <c r="Q451" i="3" s="1"/>
  <c r="N451" i="3"/>
  <c r="O515" i="3"/>
  <c r="P515" i="3" s="1"/>
  <c r="Q515" i="3" s="1"/>
  <c r="N515" i="3"/>
  <c r="O579" i="3"/>
  <c r="P579" i="3" s="1"/>
  <c r="R579" i="3" s="1"/>
  <c r="S579" i="3" s="1"/>
  <c r="V579" i="3" s="1"/>
  <c r="N579" i="3"/>
  <c r="N171" i="3"/>
  <c r="O171" i="3"/>
  <c r="P171" i="3" s="1"/>
  <c r="Q171" i="3" s="1"/>
  <c r="O308" i="3"/>
  <c r="P308" i="3" s="1"/>
  <c r="Q308" i="3" s="1"/>
  <c r="N308" i="3"/>
  <c r="O372" i="3"/>
  <c r="P372" i="3" s="1"/>
  <c r="Q372" i="3" s="1"/>
  <c r="N372" i="3"/>
  <c r="O436" i="3"/>
  <c r="P436" i="3" s="1"/>
  <c r="Q436" i="3" s="1"/>
  <c r="N436" i="3"/>
  <c r="O500" i="3"/>
  <c r="P500" i="3" s="1"/>
  <c r="Q500" i="3" s="1"/>
  <c r="N500" i="3"/>
  <c r="O564" i="3"/>
  <c r="P564" i="3" s="1"/>
  <c r="R564" i="3" s="1"/>
  <c r="S564" i="3" s="1"/>
  <c r="V564" i="3" s="1"/>
  <c r="N564" i="3"/>
  <c r="N84" i="3"/>
  <c r="O84" i="3"/>
  <c r="P84" i="3" s="1"/>
  <c r="Q84" i="3" s="1"/>
  <c r="N37" i="3"/>
  <c r="O37" i="3"/>
  <c r="P37" i="3" s="1"/>
  <c r="R37" i="3" s="1"/>
  <c r="S37" i="3" s="1"/>
  <c r="V37" i="3" s="1"/>
  <c r="O109" i="3"/>
  <c r="P109" i="3" s="1"/>
  <c r="Q109" i="3" s="1"/>
  <c r="N109" i="3"/>
  <c r="O189" i="3"/>
  <c r="P189" i="3" s="1"/>
  <c r="Q189" i="3" s="1"/>
  <c r="N189" i="3"/>
  <c r="O261" i="3"/>
  <c r="P261" i="3" s="1"/>
  <c r="Q261" i="3" s="1"/>
  <c r="N261" i="3"/>
  <c r="O325" i="3"/>
  <c r="P325" i="3" s="1"/>
  <c r="Q325" i="3" s="1"/>
  <c r="N325" i="3"/>
  <c r="N5" i="3"/>
  <c r="O5" i="3"/>
  <c r="P5" i="3" s="1"/>
  <c r="Q5" i="3" s="1"/>
  <c r="O133" i="3"/>
  <c r="P133" i="3" s="1"/>
  <c r="Q133" i="3" s="1"/>
  <c r="N133" i="3"/>
  <c r="O86" i="3"/>
  <c r="P86" i="3" s="1"/>
  <c r="Q86" i="3" s="1"/>
  <c r="N86" i="3"/>
  <c r="O278" i="3"/>
  <c r="P278" i="3" s="1"/>
  <c r="Q278" i="3" s="1"/>
  <c r="N278" i="3"/>
  <c r="O406" i="3"/>
  <c r="P406" i="3" s="1"/>
  <c r="Q406" i="3" s="1"/>
  <c r="N406" i="3"/>
  <c r="N598" i="3"/>
  <c r="O598" i="3"/>
  <c r="P598" i="3" s="1"/>
  <c r="Q598" i="3" s="1"/>
  <c r="O407" i="3"/>
  <c r="P407" i="3" s="1"/>
  <c r="Q407" i="3" s="1"/>
  <c r="N407" i="3"/>
  <c r="O444" i="3"/>
  <c r="P444" i="3" s="1"/>
  <c r="Q444" i="3" s="1"/>
  <c r="N444" i="3"/>
  <c r="N485" i="3"/>
  <c r="O485" i="3"/>
  <c r="P485" i="3" s="1"/>
  <c r="R485" i="3" s="1"/>
  <c r="S485" i="3" s="1"/>
  <c r="V485" i="3" s="1"/>
  <c r="O525" i="3"/>
  <c r="P525" i="3" s="1"/>
  <c r="R525" i="3" s="1"/>
  <c r="S525" i="3" s="1"/>
  <c r="V525" i="3" s="1"/>
  <c r="N525" i="3"/>
  <c r="O206" i="3"/>
  <c r="P206" i="3" s="1"/>
  <c r="Q206" i="3" s="1"/>
  <c r="N206" i="3"/>
  <c r="O473" i="3"/>
  <c r="P473" i="3" s="1"/>
  <c r="Q473" i="3" s="1"/>
  <c r="N473" i="3"/>
  <c r="O339" i="3"/>
  <c r="P339" i="3" s="1"/>
  <c r="Q339" i="3" s="1"/>
  <c r="N339" i="3"/>
  <c r="O63" i="3"/>
  <c r="P63" i="3" s="1"/>
  <c r="Q63" i="3" s="1"/>
  <c r="N63" i="3"/>
  <c r="N127" i="3"/>
  <c r="O127" i="3"/>
  <c r="P127" i="3" s="1"/>
  <c r="Q127" i="3" s="1"/>
  <c r="O191" i="3"/>
  <c r="P191" i="3" s="1"/>
  <c r="Q191" i="3" s="1"/>
  <c r="N191" i="3"/>
  <c r="O255" i="3"/>
  <c r="P255" i="3" s="1"/>
  <c r="Q255" i="3" s="1"/>
  <c r="N255" i="3"/>
  <c r="O161" i="3"/>
  <c r="P161" i="3" s="1"/>
  <c r="Q161" i="3" s="1"/>
  <c r="N161" i="3"/>
  <c r="O225" i="3"/>
  <c r="P225" i="3" s="1"/>
  <c r="Q225" i="3" s="1"/>
  <c r="N225" i="3"/>
  <c r="O35" i="3"/>
  <c r="P35" i="3" s="1"/>
  <c r="Q35" i="3" s="1"/>
  <c r="N35" i="3"/>
  <c r="O99" i="3"/>
  <c r="P99" i="3" s="1"/>
  <c r="Q99" i="3" s="1"/>
  <c r="N99" i="3"/>
  <c r="O163" i="3"/>
  <c r="P163" i="3" s="1"/>
  <c r="Q163" i="3" s="1"/>
  <c r="N163" i="3"/>
  <c r="O227" i="3"/>
  <c r="P227" i="3" s="1"/>
  <c r="Q227" i="3" s="1"/>
  <c r="N227" i="3"/>
  <c r="O291" i="3"/>
  <c r="P291" i="3" s="1"/>
  <c r="Q291" i="3" s="1"/>
  <c r="N291" i="3"/>
  <c r="O60" i="3"/>
  <c r="P60" i="3" s="1"/>
  <c r="Q60" i="3" s="1"/>
  <c r="N60" i="3"/>
  <c r="N124" i="3"/>
  <c r="O124" i="3"/>
  <c r="P124" i="3" s="1"/>
  <c r="Q124" i="3" s="1"/>
  <c r="N188" i="3"/>
  <c r="O188" i="3"/>
  <c r="P188" i="3" s="1"/>
  <c r="Q188" i="3" s="1"/>
  <c r="O252" i="3"/>
  <c r="P252" i="3" s="1"/>
  <c r="R252" i="3" s="1"/>
  <c r="S252" i="3" s="1"/>
  <c r="V252" i="3" s="1"/>
  <c r="N252" i="3"/>
  <c r="O496" i="3"/>
  <c r="P496" i="3" s="1"/>
  <c r="Q496" i="3" s="1"/>
  <c r="N496" i="3"/>
  <c r="O88" i="3"/>
  <c r="P88" i="3" s="1"/>
  <c r="Q88" i="3" s="1"/>
  <c r="N88" i="3"/>
  <c r="O513" i="3"/>
  <c r="P513" i="3" s="1"/>
  <c r="Q513" i="3" s="1"/>
  <c r="N513" i="3"/>
  <c r="N45" i="3"/>
  <c r="O45" i="3"/>
  <c r="P45" i="3" s="1"/>
  <c r="Q45" i="3" s="1"/>
  <c r="O125" i="3"/>
  <c r="P125" i="3" s="1"/>
  <c r="Q125" i="3" s="1"/>
  <c r="N125" i="3"/>
  <c r="O30" i="3"/>
  <c r="P30" i="3" s="1"/>
  <c r="R30" i="3" s="1"/>
  <c r="S30" i="3" s="1"/>
  <c r="V30" i="3" s="1"/>
  <c r="N30" i="3"/>
  <c r="O350" i="3"/>
  <c r="P350" i="3" s="1"/>
  <c r="Q350" i="3" s="1"/>
  <c r="N350" i="3"/>
  <c r="N53" i="3"/>
  <c r="O53" i="3"/>
  <c r="P53" i="3" s="1"/>
  <c r="Q53" i="3" s="1"/>
  <c r="O379" i="3"/>
  <c r="P379" i="3" s="1"/>
  <c r="Q379" i="3" s="1"/>
  <c r="N379" i="3"/>
  <c r="O421" i="3"/>
  <c r="P421" i="3" s="1"/>
  <c r="Q421" i="3" s="1"/>
  <c r="N421" i="3"/>
  <c r="O493" i="3"/>
  <c r="P493" i="3" s="1"/>
  <c r="R493" i="3" s="1"/>
  <c r="S493" i="3" s="1"/>
  <c r="V493" i="3" s="1"/>
  <c r="N493" i="3"/>
  <c r="O333" i="3"/>
  <c r="P333" i="3" s="1"/>
  <c r="Q333" i="3" s="1"/>
  <c r="N333" i="3"/>
  <c r="O271" i="3"/>
  <c r="P271" i="3" s="1"/>
  <c r="R271" i="3" s="1"/>
  <c r="S271" i="3" s="1"/>
  <c r="V271" i="3" s="1"/>
  <c r="N271" i="3"/>
  <c r="O335" i="3"/>
  <c r="P335" i="3" s="1"/>
  <c r="Q335" i="3" s="1"/>
  <c r="N335" i="3"/>
  <c r="O399" i="3"/>
  <c r="P399" i="3" s="1"/>
  <c r="R399" i="3" s="1"/>
  <c r="S399" i="3" s="1"/>
  <c r="V399" i="3" s="1"/>
  <c r="N399" i="3"/>
  <c r="O527" i="3"/>
  <c r="P527" i="3" s="1"/>
  <c r="Q527" i="3" s="1"/>
  <c r="N527" i="3"/>
  <c r="O591" i="3"/>
  <c r="P591" i="3" s="1"/>
  <c r="Q591" i="3" s="1"/>
  <c r="N591" i="3"/>
  <c r="O267" i="3"/>
  <c r="P267" i="3" s="1"/>
  <c r="Q267" i="3" s="1"/>
  <c r="N267" i="3"/>
  <c r="N297" i="3"/>
  <c r="O297" i="3"/>
  <c r="P297" i="3" s="1"/>
  <c r="Q297" i="3" s="1"/>
  <c r="O4" i="3"/>
  <c r="P4" i="3" s="1"/>
  <c r="Q4" i="3" s="1"/>
  <c r="O353" i="3"/>
  <c r="P353" i="3" s="1"/>
  <c r="Q353" i="3" s="1"/>
  <c r="N489" i="3"/>
  <c r="O594" i="3"/>
  <c r="P594" i="3" s="1"/>
  <c r="Q594" i="3" s="1"/>
  <c r="O402" i="3"/>
  <c r="P402" i="3" s="1"/>
  <c r="Q402" i="3" s="1"/>
  <c r="N7" i="3"/>
  <c r="O7" i="3"/>
  <c r="P7" i="3" s="1"/>
  <c r="Q7" i="3" s="1"/>
  <c r="O71" i="3"/>
  <c r="P71" i="3" s="1"/>
  <c r="Q71" i="3" s="1"/>
  <c r="N71" i="3"/>
  <c r="O135" i="3"/>
  <c r="P135" i="3" s="1"/>
  <c r="Q135" i="3" s="1"/>
  <c r="N135" i="3"/>
  <c r="O199" i="3"/>
  <c r="P199" i="3" s="1"/>
  <c r="Q199" i="3" s="1"/>
  <c r="N199" i="3"/>
  <c r="O263" i="3"/>
  <c r="P263" i="3" s="1"/>
  <c r="Q263" i="3" s="1"/>
  <c r="N263" i="3"/>
  <c r="O128" i="3"/>
  <c r="P128" i="3" s="1"/>
  <c r="Q128" i="3" s="1"/>
  <c r="N128" i="3"/>
  <c r="O256" i="3"/>
  <c r="P256" i="3" s="1"/>
  <c r="Q256" i="3" s="1"/>
  <c r="N256" i="3"/>
  <c r="O299" i="3"/>
  <c r="P299" i="3" s="1"/>
  <c r="Q299" i="3" s="1"/>
  <c r="N299" i="3"/>
  <c r="N68" i="3"/>
  <c r="O68" i="3"/>
  <c r="P68" i="3" s="1"/>
  <c r="Q68" i="3" s="1"/>
  <c r="O132" i="3"/>
  <c r="P132" i="3" s="1"/>
  <c r="Q132" i="3" s="1"/>
  <c r="N132" i="3"/>
  <c r="O196" i="3"/>
  <c r="P196" i="3" s="1"/>
  <c r="Q196" i="3" s="1"/>
  <c r="N196" i="3"/>
  <c r="O260" i="3"/>
  <c r="P260" i="3" s="1"/>
  <c r="Q260" i="3" s="1"/>
  <c r="N260" i="3"/>
  <c r="O376" i="3"/>
  <c r="P376" i="3" s="1"/>
  <c r="Q376" i="3" s="1"/>
  <c r="N376" i="3"/>
  <c r="N504" i="3"/>
  <c r="O504" i="3"/>
  <c r="P504" i="3" s="1"/>
  <c r="Q504" i="3" s="1"/>
  <c r="O568" i="3"/>
  <c r="P568" i="3" s="1"/>
  <c r="Q568" i="3" s="1"/>
  <c r="N568" i="3"/>
  <c r="N323" i="3"/>
  <c r="O323" i="3"/>
  <c r="P323" i="3" s="1"/>
  <c r="Q323" i="3" s="1"/>
  <c r="O403" i="3"/>
  <c r="P403" i="3" s="1"/>
  <c r="Q403" i="3" s="1"/>
  <c r="N403" i="3"/>
  <c r="O467" i="3"/>
  <c r="P467" i="3" s="1"/>
  <c r="Q467" i="3" s="1"/>
  <c r="N467" i="3"/>
  <c r="O531" i="3"/>
  <c r="P531" i="3" s="1"/>
  <c r="Q531" i="3" s="1"/>
  <c r="N531" i="3"/>
  <c r="O235" i="3"/>
  <c r="P235" i="3" s="1"/>
  <c r="Q235" i="3" s="1"/>
  <c r="N235" i="3"/>
  <c r="O324" i="3"/>
  <c r="P324" i="3" s="1"/>
  <c r="Q324" i="3" s="1"/>
  <c r="N324" i="3"/>
  <c r="O388" i="3"/>
  <c r="P388" i="3" s="1"/>
  <c r="Q388" i="3" s="1"/>
  <c r="N388" i="3"/>
  <c r="O452" i="3"/>
  <c r="P452" i="3" s="1"/>
  <c r="R452" i="3" s="1"/>
  <c r="S452" i="3" s="1"/>
  <c r="V452" i="3" s="1"/>
  <c r="N452" i="3"/>
  <c r="O516" i="3"/>
  <c r="P516" i="3" s="1"/>
  <c r="Q516" i="3" s="1"/>
  <c r="N516" i="3"/>
  <c r="O580" i="3"/>
  <c r="P580" i="3" s="1"/>
  <c r="Q580" i="3" s="1"/>
  <c r="N580" i="3"/>
  <c r="O148" i="3"/>
  <c r="P148" i="3" s="1"/>
  <c r="Q148" i="3" s="1"/>
  <c r="N148" i="3"/>
  <c r="N61" i="3"/>
  <c r="O61" i="3"/>
  <c r="P61" i="3" s="1"/>
  <c r="Q61" i="3" s="1"/>
  <c r="N277" i="3"/>
  <c r="O277" i="3"/>
  <c r="P277" i="3" s="1"/>
  <c r="Q277" i="3" s="1"/>
  <c r="O341" i="3"/>
  <c r="P341" i="3" s="1"/>
  <c r="Q341" i="3" s="1"/>
  <c r="N341" i="3"/>
  <c r="N102" i="3"/>
  <c r="O102" i="3"/>
  <c r="P102" i="3" s="1"/>
  <c r="R102" i="3" s="1"/>
  <c r="S102" i="3" s="1"/>
  <c r="V102" i="3" s="1"/>
  <c r="O166" i="3"/>
  <c r="P166" i="3" s="1"/>
  <c r="R166" i="3" s="1"/>
  <c r="S166" i="3" s="1"/>
  <c r="V166" i="3" s="1"/>
  <c r="N166" i="3"/>
  <c r="O294" i="3"/>
  <c r="P294" i="3" s="1"/>
  <c r="Q294" i="3" s="1"/>
  <c r="N294" i="3"/>
  <c r="O358" i="3"/>
  <c r="P358" i="3" s="1"/>
  <c r="Q358" i="3" s="1"/>
  <c r="N358" i="3"/>
  <c r="O422" i="3"/>
  <c r="P422" i="3" s="1"/>
  <c r="Q422" i="3" s="1"/>
  <c r="N422" i="3"/>
  <c r="N550" i="3"/>
  <c r="O550" i="3"/>
  <c r="P550" i="3" s="1"/>
  <c r="Q550" i="3" s="1"/>
  <c r="N501" i="3"/>
  <c r="O501" i="3"/>
  <c r="P501" i="3" s="1"/>
  <c r="Q501" i="3" s="1"/>
  <c r="O447" i="3"/>
  <c r="P447" i="3" s="1"/>
  <c r="Q447" i="3" s="1"/>
  <c r="N447" i="3"/>
  <c r="O508" i="3"/>
  <c r="P508" i="3" s="1"/>
  <c r="Q508" i="3" s="1"/>
  <c r="N508" i="3"/>
  <c r="O509" i="3"/>
  <c r="P509" i="3" s="1"/>
  <c r="Q509" i="3" s="1"/>
  <c r="N509" i="3"/>
  <c r="O343" i="3"/>
  <c r="P343" i="3" s="1"/>
  <c r="Q343" i="3" s="1"/>
  <c r="N343" i="3"/>
  <c r="O231" i="3"/>
  <c r="P231" i="3" s="1"/>
  <c r="Q231" i="3" s="1"/>
  <c r="N231" i="3"/>
  <c r="N154" i="3"/>
  <c r="O154" i="3"/>
  <c r="P154" i="3" s="1"/>
  <c r="Q154" i="3" s="1"/>
  <c r="O75" i="3"/>
  <c r="P75" i="3" s="1"/>
  <c r="Q75" i="3" s="1"/>
  <c r="N75" i="3"/>
  <c r="O13" i="3"/>
  <c r="P13" i="3" s="1"/>
  <c r="Q13" i="3" s="1"/>
  <c r="N13" i="3"/>
  <c r="O425" i="3"/>
  <c r="P425" i="3" s="1"/>
  <c r="Q425" i="3" s="1"/>
  <c r="N425" i="3"/>
  <c r="O499" i="3"/>
  <c r="P499" i="3" s="1"/>
  <c r="Q499" i="3" s="1"/>
  <c r="N499" i="3"/>
  <c r="O356" i="3"/>
  <c r="P356" i="3" s="1"/>
  <c r="Q356" i="3" s="1"/>
  <c r="N356" i="3"/>
  <c r="O20" i="3"/>
  <c r="P20" i="3" s="1"/>
  <c r="Q20" i="3" s="1"/>
  <c r="N20" i="3"/>
  <c r="N32" i="3"/>
  <c r="N530" i="3"/>
  <c r="O15" i="3"/>
  <c r="P15" i="3" s="1"/>
  <c r="Q15" i="3" s="1"/>
  <c r="N15" i="3"/>
  <c r="O79" i="3"/>
  <c r="P79" i="3" s="1"/>
  <c r="Q79" i="3" s="1"/>
  <c r="N79" i="3"/>
  <c r="O143" i="3"/>
  <c r="P143" i="3" s="1"/>
  <c r="Q143" i="3" s="1"/>
  <c r="N143" i="3"/>
  <c r="O207" i="3"/>
  <c r="P207" i="3" s="1"/>
  <c r="Q207" i="3" s="1"/>
  <c r="N207" i="3"/>
  <c r="N8" i="3"/>
  <c r="O8" i="3"/>
  <c r="P8" i="3" s="1"/>
  <c r="Q8" i="3" s="1"/>
  <c r="N200" i="3"/>
  <c r="O200" i="3"/>
  <c r="P200" i="3" s="1"/>
  <c r="Q200" i="3" s="1"/>
  <c r="O264" i="3"/>
  <c r="P264" i="3" s="1"/>
  <c r="Q264" i="3" s="1"/>
  <c r="N264" i="3"/>
  <c r="N130" i="3"/>
  <c r="O130" i="3"/>
  <c r="P130" i="3" s="1"/>
  <c r="Q130" i="3" s="1"/>
  <c r="N194" i="3"/>
  <c r="O194" i="3"/>
  <c r="P194" i="3" s="1"/>
  <c r="Q194" i="3" s="1"/>
  <c r="N258" i="3"/>
  <c r="O258" i="3"/>
  <c r="P258" i="3" s="1"/>
  <c r="Q258" i="3" s="1"/>
  <c r="N322" i="3"/>
  <c r="O322" i="3"/>
  <c r="P322" i="3" s="1"/>
  <c r="Q322" i="3" s="1"/>
  <c r="O51" i="3"/>
  <c r="P51" i="3" s="1"/>
  <c r="Q51" i="3" s="1"/>
  <c r="N51" i="3"/>
  <c r="O115" i="3"/>
  <c r="P115" i="3" s="1"/>
  <c r="Q115" i="3" s="1"/>
  <c r="N115" i="3"/>
  <c r="O179" i="3"/>
  <c r="P179" i="3" s="1"/>
  <c r="R179" i="3" s="1"/>
  <c r="S179" i="3" s="1"/>
  <c r="V179" i="3" s="1"/>
  <c r="N179" i="3"/>
  <c r="O243" i="3"/>
  <c r="P243" i="3" s="1"/>
  <c r="R243" i="3" s="1"/>
  <c r="S243" i="3" s="1"/>
  <c r="V243" i="3" s="1"/>
  <c r="N243" i="3"/>
  <c r="O76" i="3"/>
  <c r="P76" i="3" s="1"/>
  <c r="Q76" i="3" s="1"/>
  <c r="N76" i="3"/>
  <c r="O140" i="3"/>
  <c r="P140" i="3" s="1"/>
  <c r="Q140" i="3" s="1"/>
  <c r="N140" i="3"/>
  <c r="O204" i="3"/>
  <c r="P204" i="3" s="1"/>
  <c r="Q204" i="3" s="1"/>
  <c r="N204" i="3"/>
  <c r="O268" i="3"/>
  <c r="P268" i="3" s="1"/>
  <c r="Q268" i="3" s="1"/>
  <c r="N268" i="3"/>
  <c r="N378" i="3"/>
  <c r="O378" i="3"/>
  <c r="P378" i="3" s="1"/>
  <c r="Q378" i="3" s="1"/>
  <c r="O411" i="3"/>
  <c r="P411" i="3" s="1"/>
  <c r="Q411" i="3" s="1"/>
  <c r="N411" i="3"/>
  <c r="O475" i="3"/>
  <c r="P475" i="3" s="1"/>
  <c r="Q475" i="3" s="1"/>
  <c r="N475" i="3"/>
  <c r="O539" i="3"/>
  <c r="P539" i="3" s="1"/>
  <c r="Q539" i="3" s="1"/>
  <c r="N539" i="3"/>
  <c r="O588" i="3"/>
  <c r="P588" i="3" s="1"/>
  <c r="Q588" i="3" s="1"/>
  <c r="N588" i="3"/>
  <c r="O141" i="3"/>
  <c r="P141" i="3" s="1"/>
  <c r="Q141" i="3" s="1"/>
  <c r="N141" i="3"/>
  <c r="O213" i="3"/>
  <c r="P213" i="3" s="1"/>
  <c r="Q213" i="3" s="1"/>
  <c r="N213" i="3"/>
  <c r="O69" i="3"/>
  <c r="P69" i="3" s="1"/>
  <c r="Q69" i="3" s="1"/>
  <c r="N69" i="3"/>
  <c r="O46" i="3"/>
  <c r="P46" i="3" s="1"/>
  <c r="Q46" i="3" s="1"/>
  <c r="N46" i="3"/>
  <c r="O110" i="3"/>
  <c r="P110" i="3" s="1"/>
  <c r="Q110" i="3" s="1"/>
  <c r="N110" i="3"/>
  <c r="N174" i="3"/>
  <c r="O174" i="3"/>
  <c r="P174" i="3" s="1"/>
  <c r="Q174" i="3" s="1"/>
  <c r="O238" i="3"/>
  <c r="P238" i="3" s="1"/>
  <c r="Q238" i="3" s="1"/>
  <c r="N238" i="3"/>
  <c r="O302" i="3"/>
  <c r="P302" i="3" s="1"/>
  <c r="Q302" i="3" s="1"/>
  <c r="N302" i="3"/>
  <c r="N430" i="3"/>
  <c r="O430" i="3"/>
  <c r="P430" i="3" s="1"/>
  <c r="Q430" i="3" s="1"/>
  <c r="O494" i="3"/>
  <c r="P494" i="3" s="1"/>
  <c r="Q494" i="3" s="1"/>
  <c r="N494" i="3"/>
  <c r="O558" i="3"/>
  <c r="P558" i="3" s="1"/>
  <c r="Q558" i="3" s="1"/>
  <c r="N558" i="3"/>
  <c r="N555" i="3"/>
  <c r="O555" i="3"/>
  <c r="P555" i="3" s="1"/>
  <c r="Q555" i="3" s="1"/>
  <c r="O443" i="3"/>
  <c r="P443" i="3" s="1"/>
  <c r="Q443" i="3" s="1"/>
  <c r="N443" i="3"/>
  <c r="O519" i="3"/>
  <c r="P519" i="3" s="1"/>
  <c r="Q519" i="3" s="1"/>
  <c r="N519" i="3"/>
  <c r="N445" i="3"/>
  <c r="O445" i="3"/>
  <c r="P445" i="3" s="1"/>
  <c r="Q445" i="3" s="1"/>
  <c r="O517" i="3"/>
  <c r="P517" i="3" s="1"/>
  <c r="Q517" i="3" s="1"/>
  <c r="N517" i="3"/>
  <c r="O397" i="3"/>
  <c r="P397" i="3" s="1"/>
  <c r="Q397" i="3" s="1"/>
  <c r="N397" i="3"/>
  <c r="O462" i="3"/>
  <c r="P462" i="3" s="1"/>
  <c r="Q462" i="3" s="1"/>
  <c r="N462" i="3"/>
  <c r="O543" i="3"/>
  <c r="P543" i="3" s="1"/>
  <c r="Q543" i="3" s="1"/>
  <c r="N543" i="3"/>
  <c r="O39" i="3"/>
  <c r="P39" i="3" s="1"/>
  <c r="Q39" i="3" s="1"/>
  <c r="N39" i="3"/>
  <c r="O439" i="3"/>
  <c r="P439" i="3" s="1"/>
  <c r="Q439" i="3" s="1"/>
  <c r="N439" i="3"/>
  <c r="O49" i="3"/>
  <c r="P49" i="3" s="1"/>
  <c r="Q49" i="3" s="1"/>
  <c r="N33" i="3"/>
  <c r="N56" i="3"/>
  <c r="N454" i="3"/>
  <c r="O178" i="3"/>
  <c r="P178" i="3" s="1"/>
  <c r="Q178" i="3" s="1"/>
  <c r="O242" i="3"/>
  <c r="P242" i="3" s="1"/>
  <c r="Q242" i="3" s="1"/>
  <c r="O23" i="3"/>
  <c r="P23" i="3" s="1"/>
  <c r="Q23" i="3" s="1"/>
  <c r="N23" i="3"/>
  <c r="O87" i="3"/>
  <c r="P87" i="3" s="1"/>
  <c r="Q87" i="3" s="1"/>
  <c r="N87" i="3"/>
  <c r="O151" i="3"/>
  <c r="P151" i="3" s="1"/>
  <c r="Q151" i="3" s="1"/>
  <c r="N151" i="3"/>
  <c r="O215" i="3"/>
  <c r="P215" i="3" s="1"/>
  <c r="Q215" i="3" s="1"/>
  <c r="N215" i="3"/>
  <c r="O80" i="3"/>
  <c r="P80" i="3" s="1"/>
  <c r="Q80" i="3" s="1"/>
  <c r="N80" i="3"/>
  <c r="O208" i="3"/>
  <c r="P208" i="3" s="1"/>
  <c r="Q208" i="3" s="1"/>
  <c r="N208" i="3"/>
  <c r="O272" i="3"/>
  <c r="P272" i="3" s="1"/>
  <c r="Q272" i="3" s="1"/>
  <c r="N272" i="3"/>
  <c r="N138" i="3"/>
  <c r="O138" i="3"/>
  <c r="P138" i="3" s="1"/>
  <c r="Q138" i="3" s="1"/>
  <c r="N202" i="3"/>
  <c r="O202" i="3"/>
  <c r="P202" i="3" s="1"/>
  <c r="Q202" i="3" s="1"/>
  <c r="N266" i="3"/>
  <c r="O266" i="3"/>
  <c r="P266" i="3" s="1"/>
  <c r="Q266" i="3" s="1"/>
  <c r="O276" i="3"/>
  <c r="P276" i="3" s="1"/>
  <c r="Q276" i="3" s="1"/>
  <c r="N276" i="3"/>
  <c r="O601" i="3"/>
  <c r="P601" i="3" s="1"/>
  <c r="Q601" i="3" s="1"/>
  <c r="N601" i="3"/>
  <c r="N450" i="3"/>
  <c r="O450" i="3"/>
  <c r="P450" i="3" s="1"/>
  <c r="Q450" i="3" s="1"/>
  <c r="N514" i="3"/>
  <c r="O514" i="3"/>
  <c r="P514" i="3" s="1"/>
  <c r="Q514" i="3" s="1"/>
  <c r="N170" i="3"/>
  <c r="O170" i="3"/>
  <c r="P170" i="3" s="1"/>
  <c r="Q170" i="3" s="1"/>
  <c r="N347" i="3"/>
  <c r="O347" i="3"/>
  <c r="P347" i="3" s="1"/>
  <c r="Q347" i="3" s="1"/>
  <c r="O419" i="3"/>
  <c r="P419" i="3" s="1"/>
  <c r="Q419" i="3" s="1"/>
  <c r="N419" i="3"/>
  <c r="O483" i="3"/>
  <c r="P483" i="3" s="1"/>
  <c r="Q483" i="3" s="1"/>
  <c r="N483" i="3"/>
  <c r="O547" i="3"/>
  <c r="P547" i="3" s="1"/>
  <c r="Q547" i="3" s="1"/>
  <c r="N547" i="3"/>
  <c r="N43" i="3"/>
  <c r="O43" i="3"/>
  <c r="P43" i="3" s="1"/>
  <c r="Q43" i="3" s="1"/>
  <c r="O12" i="3"/>
  <c r="P12" i="3" s="1"/>
  <c r="Q12" i="3" s="1"/>
  <c r="N12" i="3"/>
  <c r="O340" i="3"/>
  <c r="P340" i="3" s="1"/>
  <c r="Q340" i="3" s="1"/>
  <c r="N340" i="3"/>
  <c r="O404" i="3"/>
  <c r="P404" i="3" s="1"/>
  <c r="Q404" i="3" s="1"/>
  <c r="N404" i="3"/>
  <c r="O468" i="3"/>
  <c r="P468" i="3" s="1"/>
  <c r="Q468" i="3" s="1"/>
  <c r="N468" i="3"/>
  <c r="O532" i="3"/>
  <c r="P532" i="3" s="1"/>
  <c r="Q532" i="3" s="1"/>
  <c r="N532" i="3"/>
  <c r="O596" i="3"/>
  <c r="P596" i="3" s="1"/>
  <c r="Q596" i="3" s="1"/>
  <c r="N596" i="3"/>
  <c r="O212" i="3"/>
  <c r="P212" i="3" s="1"/>
  <c r="Q212" i="3" s="1"/>
  <c r="N212" i="3"/>
  <c r="O77" i="3"/>
  <c r="P77" i="3" s="1"/>
  <c r="Q77" i="3" s="1"/>
  <c r="N77" i="3"/>
  <c r="O293" i="3"/>
  <c r="P293" i="3" s="1"/>
  <c r="Q293" i="3" s="1"/>
  <c r="N293" i="3"/>
  <c r="O357" i="3"/>
  <c r="P357" i="3" s="1"/>
  <c r="Q357" i="3" s="1"/>
  <c r="N357" i="3"/>
  <c r="O54" i="3"/>
  <c r="P54" i="3" s="1"/>
  <c r="Q54" i="3" s="1"/>
  <c r="N54" i="3"/>
  <c r="O182" i="3"/>
  <c r="P182" i="3" s="1"/>
  <c r="Q182" i="3" s="1"/>
  <c r="N182" i="3"/>
  <c r="O246" i="3"/>
  <c r="P246" i="3" s="1"/>
  <c r="Q246" i="3" s="1"/>
  <c r="N246" i="3"/>
  <c r="N438" i="3"/>
  <c r="O438" i="3"/>
  <c r="P438" i="3" s="1"/>
  <c r="Q438" i="3" s="1"/>
  <c r="O502" i="3"/>
  <c r="P502" i="3" s="1"/>
  <c r="Q502" i="3" s="1"/>
  <c r="N502" i="3"/>
  <c r="O316" i="3"/>
  <c r="P316" i="3" s="1"/>
  <c r="Q316" i="3" s="1"/>
  <c r="N316" i="3"/>
  <c r="O572" i="3"/>
  <c r="P572" i="3" s="1"/>
  <c r="Q572" i="3" s="1"/>
  <c r="N572" i="3"/>
  <c r="N453" i="3"/>
  <c r="O453" i="3"/>
  <c r="P453" i="3" s="1"/>
  <c r="Q453" i="3" s="1"/>
  <c r="O78" i="3"/>
  <c r="P78" i="3" s="1"/>
  <c r="Q78" i="3" s="1"/>
  <c r="N78" i="3"/>
  <c r="O295" i="3"/>
  <c r="P295" i="3" s="1"/>
  <c r="Q295" i="3" s="1"/>
  <c r="N295" i="3"/>
  <c r="N103" i="3"/>
  <c r="O103" i="3"/>
  <c r="P103" i="3" s="1"/>
  <c r="Q103" i="3" s="1"/>
  <c r="N90" i="3"/>
  <c r="O90" i="3"/>
  <c r="P90" i="3" s="1"/>
  <c r="Q90" i="3" s="1"/>
  <c r="O11" i="3"/>
  <c r="P11" i="3" s="1"/>
  <c r="Q11" i="3" s="1"/>
  <c r="N11" i="3"/>
  <c r="O203" i="3"/>
  <c r="P203" i="3" s="1"/>
  <c r="Q203" i="3" s="1"/>
  <c r="N203" i="3"/>
  <c r="O232" i="3"/>
  <c r="P232" i="3" s="1"/>
  <c r="Q232" i="3" s="1"/>
  <c r="N232" i="3"/>
  <c r="N234" i="3"/>
  <c r="O234" i="3"/>
  <c r="P234" i="3" s="1"/>
  <c r="Q234" i="3" s="1"/>
  <c r="N563" i="3"/>
  <c r="O563" i="3"/>
  <c r="P563" i="3" s="1"/>
  <c r="Q563" i="3" s="1"/>
  <c r="O420" i="3"/>
  <c r="P420" i="3" s="1"/>
  <c r="Q420" i="3" s="1"/>
  <c r="N420" i="3"/>
  <c r="O373" i="3"/>
  <c r="P373" i="3" s="1"/>
  <c r="Q373" i="3" s="1"/>
  <c r="N373" i="3"/>
  <c r="O137" i="3"/>
  <c r="P137" i="3" s="1"/>
  <c r="Q137" i="3" s="1"/>
  <c r="N41" i="3"/>
  <c r="N73" i="3"/>
  <c r="O120" i="3"/>
  <c r="P120" i="3" s="1"/>
  <c r="Q120" i="3" s="1"/>
  <c r="N390" i="3"/>
  <c r="O31" i="3"/>
  <c r="P31" i="3" s="1"/>
  <c r="Q31" i="3" s="1"/>
  <c r="N31" i="3"/>
  <c r="N95" i="3"/>
  <c r="O95" i="3"/>
  <c r="P95" i="3" s="1"/>
  <c r="Q95" i="3" s="1"/>
  <c r="O159" i="3"/>
  <c r="P159" i="3" s="1"/>
  <c r="Q159" i="3" s="1"/>
  <c r="N159" i="3"/>
  <c r="O223" i="3"/>
  <c r="P223" i="3" s="1"/>
  <c r="Q223" i="3" s="1"/>
  <c r="N223" i="3"/>
  <c r="O257" i="3"/>
  <c r="P257" i="3" s="1"/>
  <c r="Q257" i="3" s="1"/>
  <c r="N257" i="3"/>
  <c r="O82" i="3"/>
  <c r="P82" i="3" s="1"/>
  <c r="Q82" i="3" s="1"/>
  <c r="N82" i="3"/>
  <c r="N146" i="3"/>
  <c r="O146" i="3"/>
  <c r="P146" i="3" s="1"/>
  <c r="Q146" i="3" s="1"/>
  <c r="N274" i="3"/>
  <c r="O274" i="3"/>
  <c r="P274" i="3" s="1"/>
  <c r="Q274" i="3" s="1"/>
  <c r="N338" i="3"/>
  <c r="O338" i="3"/>
  <c r="P338" i="3" s="1"/>
  <c r="Q338" i="3" s="1"/>
  <c r="O67" i="3"/>
  <c r="P67" i="3" s="1"/>
  <c r="Q67" i="3" s="1"/>
  <c r="N67" i="3"/>
  <c r="O131" i="3"/>
  <c r="P131" i="3" s="1"/>
  <c r="Q131" i="3" s="1"/>
  <c r="N131" i="3"/>
  <c r="O195" i="3"/>
  <c r="P195" i="3" s="1"/>
  <c r="R195" i="3" s="1"/>
  <c r="S195" i="3" s="1"/>
  <c r="V195" i="3" s="1"/>
  <c r="N195" i="3"/>
  <c r="O259" i="3"/>
  <c r="P259" i="3" s="1"/>
  <c r="Q259" i="3" s="1"/>
  <c r="N259" i="3"/>
  <c r="O28" i="3"/>
  <c r="P28" i="3" s="1"/>
  <c r="Q28" i="3" s="1"/>
  <c r="N28" i="3"/>
  <c r="N92" i="3"/>
  <c r="O92" i="3"/>
  <c r="P92" i="3" s="1"/>
  <c r="Q92" i="3" s="1"/>
  <c r="O156" i="3"/>
  <c r="P156" i="3" s="1"/>
  <c r="Q156" i="3" s="1"/>
  <c r="N156" i="3"/>
  <c r="O220" i="3"/>
  <c r="P220" i="3" s="1"/>
  <c r="Q220" i="3" s="1"/>
  <c r="N220" i="3"/>
  <c r="O216" i="3"/>
  <c r="P216" i="3" s="1"/>
  <c r="Q216" i="3" s="1"/>
  <c r="N216" i="3"/>
  <c r="O355" i="3"/>
  <c r="P355" i="3" s="1"/>
  <c r="Q355" i="3" s="1"/>
  <c r="N355" i="3"/>
  <c r="O427" i="3"/>
  <c r="P427" i="3" s="1"/>
  <c r="Q427" i="3" s="1"/>
  <c r="N427" i="3"/>
  <c r="O491" i="3"/>
  <c r="P491" i="3" s="1"/>
  <c r="Q491" i="3" s="1"/>
  <c r="N491" i="3"/>
  <c r="O284" i="3"/>
  <c r="P284" i="3" s="1"/>
  <c r="Q284" i="3" s="1"/>
  <c r="N284" i="3"/>
  <c r="O348" i="3"/>
  <c r="P348" i="3" s="1"/>
  <c r="Q348" i="3" s="1"/>
  <c r="N348" i="3"/>
  <c r="O412" i="3"/>
  <c r="P412" i="3" s="1"/>
  <c r="R412" i="3" s="1"/>
  <c r="S412" i="3" s="1"/>
  <c r="V412" i="3" s="1"/>
  <c r="N412" i="3"/>
  <c r="O476" i="3"/>
  <c r="P476" i="3" s="1"/>
  <c r="Q476" i="3" s="1"/>
  <c r="N476" i="3"/>
  <c r="O540" i="3"/>
  <c r="P540" i="3" s="1"/>
  <c r="Q540" i="3" s="1"/>
  <c r="N540" i="3"/>
  <c r="O157" i="3"/>
  <c r="P157" i="3" s="1"/>
  <c r="Q157" i="3" s="1"/>
  <c r="N157" i="3"/>
  <c r="N229" i="3"/>
  <c r="O229" i="3"/>
  <c r="P229" i="3" s="1"/>
  <c r="Q229" i="3" s="1"/>
  <c r="O301" i="3"/>
  <c r="P301" i="3" s="1"/>
  <c r="R301" i="3" s="1"/>
  <c r="S301" i="3" s="1"/>
  <c r="V301" i="3" s="1"/>
  <c r="N301" i="3"/>
  <c r="N365" i="3"/>
  <c r="O365" i="3"/>
  <c r="P365" i="3" s="1"/>
  <c r="Q365" i="3" s="1"/>
  <c r="O197" i="3"/>
  <c r="P197" i="3" s="1"/>
  <c r="Q197" i="3" s="1"/>
  <c r="N197" i="3"/>
  <c r="O126" i="3"/>
  <c r="P126" i="3" s="1"/>
  <c r="Q126" i="3" s="1"/>
  <c r="N126" i="3"/>
  <c r="N190" i="3"/>
  <c r="O190" i="3"/>
  <c r="P190" i="3" s="1"/>
  <c r="Q190" i="3" s="1"/>
  <c r="O318" i="3"/>
  <c r="P318" i="3" s="1"/>
  <c r="Q318" i="3" s="1"/>
  <c r="N318" i="3"/>
  <c r="O382" i="3"/>
  <c r="P382" i="3" s="1"/>
  <c r="Q382" i="3" s="1"/>
  <c r="N382" i="3"/>
  <c r="O446" i="3"/>
  <c r="P446" i="3" s="1"/>
  <c r="Q446" i="3" s="1"/>
  <c r="N446" i="3"/>
  <c r="O574" i="3"/>
  <c r="P574" i="3" s="1"/>
  <c r="Q574" i="3" s="1"/>
  <c r="N574" i="3"/>
  <c r="N307" i="3"/>
  <c r="O307" i="3"/>
  <c r="P307" i="3" s="1"/>
  <c r="Q307" i="3" s="1"/>
  <c r="O507" i="3"/>
  <c r="P507" i="3" s="1"/>
  <c r="Q507" i="3" s="1"/>
  <c r="N507" i="3"/>
  <c r="O389" i="3"/>
  <c r="P389" i="3" s="1"/>
  <c r="Q389" i="3" s="1"/>
  <c r="N389" i="3"/>
  <c r="O533" i="3"/>
  <c r="P533" i="3" s="1"/>
  <c r="Q533" i="3" s="1"/>
  <c r="N533" i="3"/>
  <c r="O205" i="3"/>
  <c r="P205" i="3" s="1"/>
  <c r="Q205" i="3" s="1"/>
  <c r="N205" i="3"/>
  <c r="O375" i="3"/>
  <c r="P375" i="3" s="1"/>
  <c r="Q375" i="3" s="1"/>
  <c r="N375" i="3"/>
  <c r="O279" i="3"/>
  <c r="P279" i="3" s="1"/>
  <c r="Q279" i="3" s="1"/>
  <c r="N279" i="3"/>
  <c r="O183" i="3"/>
  <c r="P183" i="3" s="1"/>
  <c r="Q183" i="3" s="1"/>
  <c r="N183" i="3"/>
  <c r="O600" i="3"/>
  <c r="P600" i="3" s="1"/>
  <c r="Q600" i="3" s="1"/>
  <c r="N600" i="3"/>
  <c r="O487" i="3"/>
  <c r="P487" i="3" s="1"/>
  <c r="Q487" i="3" s="1"/>
  <c r="N487" i="3"/>
  <c r="O455" i="3"/>
  <c r="P455" i="3" s="1"/>
  <c r="Q455" i="3" s="1"/>
  <c r="N455" i="3"/>
  <c r="O583" i="3"/>
  <c r="P583" i="3" s="1"/>
  <c r="Q583" i="3" s="1"/>
  <c r="N583" i="3"/>
  <c r="O415" i="3"/>
  <c r="P415" i="3" s="1"/>
  <c r="Q415" i="3" s="1"/>
  <c r="N415" i="3"/>
  <c r="O59" i="3"/>
  <c r="P59" i="3" s="1"/>
  <c r="Q59" i="3" s="1"/>
  <c r="N59" i="3"/>
  <c r="N123" i="3"/>
  <c r="O123" i="3"/>
  <c r="P123" i="3" s="1"/>
  <c r="Q123" i="3" s="1"/>
  <c r="O187" i="3"/>
  <c r="P187" i="3" s="1"/>
  <c r="Q187" i="3" s="1"/>
  <c r="N187" i="3"/>
  <c r="O251" i="3"/>
  <c r="P251" i="3" s="1"/>
  <c r="Q251" i="3" s="1"/>
  <c r="N251" i="3"/>
  <c r="N36" i="3"/>
  <c r="O36" i="3"/>
  <c r="P36" i="3" s="1"/>
  <c r="Q36" i="3" s="1"/>
  <c r="O100" i="3"/>
  <c r="P100" i="3" s="1"/>
  <c r="Q100" i="3" s="1"/>
  <c r="N100" i="3"/>
  <c r="O164" i="3"/>
  <c r="P164" i="3" s="1"/>
  <c r="Q164" i="3" s="1"/>
  <c r="N164" i="3"/>
  <c r="O228" i="3"/>
  <c r="P228" i="3" s="1"/>
  <c r="Q228" i="3" s="1"/>
  <c r="N228" i="3"/>
  <c r="O21" i="3"/>
  <c r="P21" i="3" s="1"/>
  <c r="Q21" i="3" s="1"/>
  <c r="N21" i="3"/>
  <c r="O85" i="3"/>
  <c r="P85" i="3" s="1"/>
  <c r="R85" i="3" s="1"/>
  <c r="S85" i="3" s="1"/>
  <c r="V85" i="3" s="1"/>
  <c r="N85" i="3"/>
  <c r="N149" i="3"/>
  <c r="O149" i="3"/>
  <c r="P149" i="3" s="1"/>
  <c r="Q149" i="3" s="1"/>
  <c r="N587" i="3"/>
  <c r="O587" i="3"/>
  <c r="P587" i="3" s="1"/>
  <c r="O535" i="3"/>
  <c r="P535" i="3" s="1"/>
  <c r="Q535" i="3" s="1"/>
  <c r="N535" i="3"/>
  <c r="O331" i="3"/>
  <c r="P331" i="3" s="1"/>
  <c r="R331" i="3" s="1"/>
  <c r="S331" i="3" s="1"/>
  <c r="V331" i="3" s="1"/>
  <c r="N331" i="3"/>
  <c r="O395" i="3"/>
  <c r="P395" i="3" s="1"/>
  <c r="Q395" i="3" s="1"/>
  <c r="N395" i="3"/>
  <c r="O459" i="3"/>
  <c r="P459" i="3" s="1"/>
  <c r="Q459" i="3" s="1"/>
  <c r="N459" i="3"/>
  <c r="O523" i="3"/>
  <c r="P523" i="3" s="1"/>
  <c r="Q523" i="3" s="1"/>
  <c r="N523" i="3"/>
  <c r="O557" i="3"/>
  <c r="P557" i="3" s="1"/>
  <c r="Q557" i="3" s="1"/>
  <c r="N557" i="3"/>
  <c r="O582" i="3"/>
  <c r="P582" i="3" s="1"/>
  <c r="Q582" i="3" s="1"/>
  <c r="O332" i="3"/>
  <c r="P332" i="3" s="1"/>
  <c r="Q332" i="3" s="1"/>
  <c r="N332" i="3"/>
  <c r="O396" i="3"/>
  <c r="P396" i="3" s="1"/>
  <c r="Q396" i="3" s="1"/>
  <c r="N396" i="3"/>
  <c r="O460" i="3"/>
  <c r="P460" i="3" s="1"/>
  <c r="Q460" i="3" s="1"/>
  <c r="N460" i="3"/>
  <c r="O524" i="3"/>
  <c r="P524" i="3" s="1"/>
  <c r="Q524" i="3" s="1"/>
  <c r="N524" i="3"/>
  <c r="O565" i="3"/>
  <c r="P565" i="3" s="1"/>
  <c r="Q565" i="3" s="1"/>
  <c r="N565" i="3"/>
  <c r="O221" i="3"/>
  <c r="P221" i="3" s="1"/>
  <c r="R221" i="3" s="1"/>
  <c r="S221" i="3" s="1"/>
  <c r="V221" i="3" s="1"/>
  <c r="N221" i="3"/>
  <c r="O285" i="3"/>
  <c r="P285" i="3" s="1"/>
  <c r="Q285" i="3" s="1"/>
  <c r="N285" i="3"/>
  <c r="O349" i="3"/>
  <c r="P349" i="3" s="1"/>
  <c r="Q349" i="3" s="1"/>
  <c r="N349" i="3"/>
  <c r="O413" i="3"/>
  <c r="P413" i="3" s="1"/>
  <c r="Q413" i="3" s="1"/>
  <c r="N413" i="3"/>
  <c r="O541" i="3"/>
  <c r="P541" i="3" s="1"/>
  <c r="Q541" i="3" s="1"/>
  <c r="N541" i="3"/>
  <c r="O463" i="3"/>
  <c r="P463" i="3" s="1"/>
  <c r="Q463" i="3" s="1"/>
  <c r="N463" i="3"/>
  <c r="O94" i="3"/>
  <c r="P94" i="3" s="1"/>
  <c r="R94" i="3" s="1"/>
  <c r="S94" i="3" s="1"/>
  <c r="V94" i="3" s="1"/>
  <c r="O222" i="3"/>
  <c r="P222" i="3" s="1"/>
  <c r="R222" i="3" s="1"/>
  <c r="S222" i="3" s="1"/>
  <c r="V222" i="3" s="1"/>
  <c r="N222" i="3"/>
  <c r="O286" i="3"/>
  <c r="P286" i="3" s="1"/>
  <c r="Q286" i="3" s="1"/>
  <c r="O567" i="3"/>
  <c r="P567" i="3" s="1"/>
  <c r="Q567" i="3" s="1"/>
  <c r="N567" i="3"/>
  <c r="O58" i="3"/>
  <c r="P58" i="3" s="1"/>
  <c r="Q58" i="3" s="1"/>
  <c r="O29" i="3"/>
  <c r="P29" i="3" s="1"/>
  <c r="Q29" i="3" s="1"/>
  <c r="N29" i="3"/>
  <c r="N93" i="3"/>
  <c r="O93" i="3"/>
  <c r="P93" i="3" s="1"/>
  <c r="Q93" i="3" s="1"/>
  <c r="O573" i="3"/>
  <c r="P573" i="3" s="1"/>
  <c r="R573" i="3" s="1"/>
  <c r="S573" i="3" s="1"/>
  <c r="V573" i="3" s="1"/>
  <c r="N573" i="3"/>
  <c r="O597" i="3"/>
  <c r="P597" i="3" s="1"/>
  <c r="Q597" i="3" s="1"/>
  <c r="N597" i="3"/>
  <c r="O559" i="3"/>
  <c r="P559" i="3" s="1"/>
  <c r="R559" i="3" s="1"/>
  <c r="S559" i="3" s="1"/>
  <c r="V559" i="3" s="1"/>
  <c r="N559" i="3"/>
  <c r="O503" i="3"/>
  <c r="P503" i="3" s="1"/>
  <c r="Q503" i="3" s="1"/>
  <c r="N503" i="3"/>
  <c r="O431" i="3"/>
  <c r="P431" i="3" s="1"/>
  <c r="Q431" i="3" s="1"/>
  <c r="N431" i="3"/>
  <c r="N101" i="3"/>
  <c r="O101" i="3"/>
  <c r="P101" i="3" s="1"/>
  <c r="Q101" i="3" s="1"/>
  <c r="O165" i="3"/>
  <c r="P165" i="3" s="1"/>
  <c r="Q165" i="3" s="1"/>
  <c r="N165" i="3"/>
  <c r="O589" i="3"/>
  <c r="P589" i="3" s="1"/>
  <c r="Q589" i="3" s="1"/>
  <c r="N589" i="3"/>
  <c r="O374" i="3"/>
  <c r="P374" i="3" s="1"/>
  <c r="Q374" i="3" s="1"/>
  <c r="N374" i="3"/>
  <c r="O311" i="3"/>
  <c r="P311" i="3" s="1"/>
  <c r="Q311" i="3" s="1"/>
  <c r="N311" i="3"/>
  <c r="O429" i="3"/>
  <c r="P429" i="3" s="1"/>
  <c r="R429" i="3" s="1"/>
  <c r="S429" i="3" s="1"/>
  <c r="V429" i="3" s="1"/>
  <c r="N429" i="3"/>
  <c r="O581" i="3"/>
  <c r="P581" i="3" s="1"/>
  <c r="Q581" i="3" s="1"/>
  <c r="N581" i="3"/>
  <c r="O551" i="3"/>
  <c r="P551" i="3" s="1"/>
  <c r="Q551" i="3" s="1"/>
  <c r="N551" i="3"/>
  <c r="O495" i="3"/>
  <c r="P495" i="3" s="1"/>
  <c r="Q495" i="3" s="1"/>
  <c r="N495" i="3"/>
  <c r="O186" i="3"/>
  <c r="P186" i="3" s="1"/>
  <c r="Q186" i="3" s="1"/>
  <c r="O173" i="3"/>
  <c r="P173" i="3" s="1"/>
  <c r="Q173" i="3" s="1"/>
  <c r="N173" i="3"/>
  <c r="O303" i="3"/>
  <c r="P303" i="3" s="1"/>
  <c r="Q303" i="3" s="1"/>
  <c r="N303" i="3"/>
  <c r="O287" i="3"/>
  <c r="P287" i="3" s="1"/>
  <c r="Q287" i="3" s="1"/>
  <c r="N287" i="3"/>
  <c r="O359" i="3"/>
  <c r="P359" i="3" s="1"/>
  <c r="Q359" i="3" s="1"/>
  <c r="N359" i="3"/>
  <c r="O437" i="3"/>
  <c r="P437" i="3" s="1"/>
  <c r="Q437" i="3" s="1"/>
  <c r="N437" i="3"/>
  <c r="O599" i="3"/>
  <c r="P599" i="3" s="1"/>
  <c r="Q599" i="3" s="1"/>
  <c r="N599" i="3"/>
  <c r="O250" i="3"/>
  <c r="P250" i="3" s="1"/>
  <c r="Q250" i="3" s="1"/>
  <c r="O117" i="3"/>
  <c r="P117" i="3" s="1"/>
  <c r="Q117" i="3" s="1"/>
  <c r="N117" i="3"/>
  <c r="O181" i="3"/>
  <c r="P181" i="3" s="1"/>
  <c r="Q181" i="3" s="1"/>
  <c r="N181" i="3"/>
  <c r="N351" i="3"/>
  <c r="O351" i="3"/>
  <c r="P351" i="3" s="1"/>
  <c r="Q351" i="3" s="1"/>
  <c r="O327" i="3"/>
  <c r="P327" i="3" s="1"/>
  <c r="Q327" i="3" s="1"/>
  <c r="N327" i="3"/>
  <c r="O423" i="3"/>
  <c r="P423" i="3" s="1"/>
  <c r="Q423" i="3" s="1"/>
  <c r="N423" i="3"/>
  <c r="O391" i="3"/>
  <c r="P391" i="3" s="1"/>
  <c r="Q391" i="3" s="1"/>
  <c r="N391" i="3"/>
  <c r="N367" i="3"/>
  <c r="O367" i="3"/>
  <c r="P367" i="3" s="1"/>
  <c r="Q367" i="3" s="1"/>
  <c r="O471" i="3"/>
  <c r="P471" i="3" s="1"/>
  <c r="Q471" i="3" s="1"/>
  <c r="N471" i="3"/>
  <c r="R360" i="3"/>
  <c r="S360" i="3" s="1"/>
  <c r="V360" i="3" s="1"/>
  <c r="P2" i="3"/>
  <c r="R2" i="3" s="1"/>
  <c r="C476" i="4"/>
  <c r="F476" i="4"/>
  <c r="C110" i="4"/>
  <c r="F110" i="4"/>
  <c r="C106" i="4"/>
  <c r="F106" i="4"/>
  <c r="C249" i="4"/>
  <c r="F249" i="4"/>
  <c r="C336" i="4"/>
  <c r="F336" i="4"/>
  <c r="C69" i="4"/>
  <c r="F69" i="4"/>
  <c r="C373" i="4"/>
  <c r="F373" i="4"/>
  <c r="C494" i="4"/>
  <c r="F494" i="4"/>
  <c r="C464" i="4"/>
  <c r="F464" i="4"/>
  <c r="C188" i="4"/>
  <c r="F188" i="4"/>
  <c r="C537" i="4"/>
  <c r="F537" i="4"/>
  <c r="C475" i="4"/>
  <c r="F475" i="4"/>
  <c r="C463" i="4"/>
  <c r="F463" i="4"/>
  <c r="C399" i="4"/>
  <c r="F399" i="4"/>
  <c r="C148" i="4"/>
  <c r="F148" i="4"/>
  <c r="C276" i="4"/>
  <c r="F276" i="4"/>
  <c r="C404" i="4"/>
  <c r="F404" i="4"/>
  <c r="C484" i="4"/>
  <c r="F484" i="4"/>
  <c r="C548" i="4"/>
  <c r="F548" i="4"/>
  <c r="C422" i="4"/>
  <c r="F422" i="4"/>
  <c r="C358" i="4"/>
  <c r="F358" i="4"/>
  <c r="C294" i="4"/>
  <c r="F294" i="4"/>
  <c r="C230" i="4"/>
  <c r="F230" i="4"/>
  <c r="C166" i="4"/>
  <c r="F166" i="4"/>
  <c r="C102" i="4"/>
  <c r="F102" i="4"/>
  <c r="C418" i="4"/>
  <c r="F418" i="4"/>
  <c r="C354" i="4"/>
  <c r="F354" i="4"/>
  <c r="C290" i="4"/>
  <c r="F290" i="4"/>
  <c r="C226" i="4"/>
  <c r="F226" i="4"/>
  <c r="C162" i="4"/>
  <c r="F162" i="4"/>
  <c r="C98" i="4"/>
  <c r="F98" i="4"/>
  <c r="C433" i="4"/>
  <c r="F433" i="4"/>
  <c r="C369" i="4"/>
  <c r="F369" i="4"/>
  <c r="C305" i="4"/>
  <c r="F305" i="4"/>
  <c r="C241" i="4"/>
  <c r="F241" i="4"/>
  <c r="C177" i="4"/>
  <c r="F177" i="4"/>
  <c r="C113" i="4"/>
  <c r="F113" i="4"/>
  <c r="C17" i="4"/>
  <c r="F17" i="4"/>
  <c r="C392" i="4"/>
  <c r="F392" i="4"/>
  <c r="C328" i="4"/>
  <c r="F328" i="4"/>
  <c r="C264" i="4"/>
  <c r="F264" i="4"/>
  <c r="C200" i="4"/>
  <c r="F200" i="4"/>
  <c r="C136" i="4"/>
  <c r="F136" i="4"/>
  <c r="C63" i="4"/>
  <c r="F63" i="4"/>
  <c r="C48" i="4"/>
  <c r="F48" i="4"/>
  <c r="C61" i="4"/>
  <c r="F61" i="4"/>
  <c r="C75" i="4"/>
  <c r="F75" i="4"/>
  <c r="C11" i="4"/>
  <c r="F11" i="4"/>
  <c r="C26" i="4"/>
  <c r="F26" i="4"/>
  <c r="C133" i="4"/>
  <c r="F133" i="4"/>
  <c r="C261" i="4"/>
  <c r="F261" i="4"/>
  <c r="C389" i="4"/>
  <c r="F389" i="4"/>
  <c r="C477" i="4"/>
  <c r="F477" i="4"/>
  <c r="C541" i="4"/>
  <c r="F541" i="4"/>
  <c r="C30" i="4"/>
  <c r="F30" i="4"/>
  <c r="C183" i="4"/>
  <c r="F183" i="4"/>
  <c r="C311" i="4"/>
  <c r="F311" i="4"/>
  <c r="C436" i="4"/>
  <c r="F436" i="4"/>
  <c r="C502" i="4"/>
  <c r="F502" i="4"/>
  <c r="C566" i="4"/>
  <c r="F566" i="4"/>
  <c r="C380" i="4"/>
  <c r="F380" i="4"/>
  <c r="C472" i="4"/>
  <c r="F472" i="4"/>
  <c r="C536" i="4"/>
  <c r="F536" i="4"/>
  <c r="C600" i="4"/>
  <c r="F600" i="4"/>
  <c r="C236" i="4"/>
  <c r="F236" i="4"/>
  <c r="C451" i="4"/>
  <c r="F451" i="4"/>
  <c r="C579" i="4"/>
  <c r="F579" i="4"/>
  <c r="C211" i="4"/>
  <c r="F211" i="4"/>
  <c r="C437" i="4"/>
  <c r="F437" i="4"/>
  <c r="C567" i="4"/>
  <c r="F567" i="4"/>
  <c r="C189" i="4"/>
  <c r="F189" i="4"/>
  <c r="C413" i="4"/>
  <c r="F413" i="4"/>
  <c r="C553" i="4"/>
  <c r="F553" i="4"/>
  <c r="C141" i="4"/>
  <c r="F141" i="4"/>
  <c r="C351" i="4"/>
  <c r="F351" i="4"/>
  <c r="C522" i="4"/>
  <c r="F522" i="4"/>
  <c r="C93" i="4"/>
  <c r="F93" i="4"/>
  <c r="C300" i="4"/>
  <c r="F300" i="4"/>
  <c r="C491" i="4"/>
  <c r="F491" i="4"/>
  <c r="C70" i="4"/>
  <c r="F70" i="4"/>
  <c r="C275" i="4"/>
  <c r="F275" i="4"/>
  <c r="C479" i="4"/>
  <c r="F479" i="4"/>
  <c r="C14" i="4"/>
  <c r="F14" i="4"/>
  <c r="C156" i="4"/>
  <c r="F156" i="4"/>
  <c r="C283" i="4"/>
  <c r="F283" i="4"/>
  <c r="C482" i="4"/>
  <c r="F482" i="4"/>
  <c r="C562" i="4"/>
  <c r="F562" i="4"/>
  <c r="C227" i="4"/>
  <c r="F227" i="4"/>
  <c r="C578" i="4"/>
  <c r="F578" i="4"/>
  <c r="C388" i="4"/>
  <c r="F388" i="4"/>
  <c r="C302" i="4"/>
  <c r="F302" i="4"/>
  <c r="C298" i="4"/>
  <c r="F298" i="4"/>
  <c r="C4" i="4"/>
  <c r="F4" i="4"/>
  <c r="C33" i="4"/>
  <c r="F33" i="4"/>
  <c r="C144" i="4"/>
  <c r="F144" i="4"/>
  <c r="C5" i="4"/>
  <c r="F5" i="4"/>
  <c r="C117" i="4"/>
  <c r="F117" i="4"/>
  <c r="C597" i="4"/>
  <c r="F597" i="4"/>
  <c r="C558" i="4"/>
  <c r="F558" i="4"/>
  <c r="C528" i="4"/>
  <c r="F528" i="4"/>
  <c r="C563" i="4"/>
  <c r="F563" i="4"/>
  <c r="C381" i="4"/>
  <c r="F381" i="4"/>
  <c r="C271" i="4"/>
  <c r="F271" i="4"/>
  <c r="C591" i="4"/>
  <c r="F591" i="4"/>
  <c r="C450" i="4"/>
  <c r="F450" i="4"/>
  <c r="C132" i="4"/>
  <c r="F132" i="4"/>
  <c r="C430" i="4"/>
  <c r="F430" i="4"/>
  <c r="C12" i="4"/>
  <c r="F12" i="4"/>
  <c r="C170" i="4"/>
  <c r="F170" i="4"/>
  <c r="C185" i="4"/>
  <c r="F185" i="4"/>
  <c r="C208" i="4"/>
  <c r="F208" i="4"/>
  <c r="C34" i="4"/>
  <c r="F34" i="4"/>
  <c r="C533" i="4"/>
  <c r="F533" i="4"/>
  <c r="C295" i="4"/>
  <c r="F295" i="4"/>
  <c r="C592" i="4"/>
  <c r="F592" i="4"/>
  <c r="C411" i="4"/>
  <c r="F411" i="4"/>
  <c r="C115" i="4"/>
  <c r="F115" i="4"/>
  <c r="C54" i="4"/>
  <c r="F54" i="4"/>
  <c r="C252" i="4"/>
  <c r="F252" i="4"/>
  <c r="C22" i="4"/>
  <c r="F22" i="4"/>
  <c r="C514" i="4"/>
  <c r="F514" i="4"/>
  <c r="C164" i="4"/>
  <c r="F164" i="4"/>
  <c r="C292" i="4"/>
  <c r="F292" i="4"/>
  <c r="C420" i="4"/>
  <c r="F420" i="4"/>
  <c r="C492" i="4"/>
  <c r="F492" i="4"/>
  <c r="C556" i="4"/>
  <c r="F556" i="4"/>
  <c r="C414" i="4"/>
  <c r="F414" i="4"/>
  <c r="C350" i="4"/>
  <c r="F350" i="4"/>
  <c r="C286" i="4"/>
  <c r="F286" i="4"/>
  <c r="C222" i="4"/>
  <c r="F222" i="4"/>
  <c r="C158" i="4"/>
  <c r="F158" i="4"/>
  <c r="C94" i="4"/>
  <c r="F94" i="4"/>
  <c r="C410" i="4"/>
  <c r="F410" i="4"/>
  <c r="C346" i="4"/>
  <c r="F346" i="4"/>
  <c r="C282" i="4"/>
  <c r="F282" i="4"/>
  <c r="C218" i="4"/>
  <c r="F218" i="4"/>
  <c r="C154" i="4"/>
  <c r="F154" i="4"/>
  <c r="C90" i="4"/>
  <c r="F90" i="4"/>
  <c r="C425" i="4"/>
  <c r="F425" i="4"/>
  <c r="C361" i="4"/>
  <c r="F361" i="4"/>
  <c r="C297" i="4"/>
  <c r="F297" i="4"/>
  <c r="C233" i="4"/>
  <c r="F233" i="4"/>
  <c r="C169" i="4"/>
  <c r="F169" i="4"/>
  <c r="C105" i="4"/>
  <c r="F105" i="4"/>
  <c r="C448" i="4"/>
  <c r="F448" i="4"/>
  <c r="C384" i="4"/>
  <c r="F384" i="4"/>
  <c r="C320" i="4"/>
  <c r="F320" i="4"/>
  <c r="C256" i="4"/>
  <c r="F256" i="4"/>
  <c r="C192" i="4"/>
  <c r="F192" i="4"/>
  <c r="C128" i="4"/>
  <c r="F128" i="4"/>
  <c r="C47" i="4"/>
  <c r="F47" i="4"/>
  <c r="C40" i="4"/>
  <c r="F40" i="4"/>
  <c r="C53" i="4"/>
  <c r="F53" i="4"/>
  <c r="C67" i="4"/>
  <c r="F67" i="4"/>
  <c r="C3" i="4"/>
  <c r="F3" i="4"/>
  <c r="C18" i="4"/>
  <c r="F18" i="4"/>
  <c r="C149" i="4"/>
  <c r="F149" i="4"/>
  <c r="C277" i="4"/>
  <c r="F277" i="4"/>
  <c r="C405" i="4"/>
  <c r="F405" i="4"/>
  <c r="C485" i="4"/>
  <c r="F485" i="4"/>
  <c r="C549" i="4"/>
  <c r="F549" i="4"/>
  <c r="C62" i="4"/>
  <c r="F62" i="4"/>
  <c r="C199" i="4"/>
  <c r="F199" i="4"/>
  <c r="C327" i="4"/>
  <c r="F327" i="4"/>
  <c r="C445" i="4"/>
  <c r="F445" i="4"/>
  <c r="C510" i="4"/>
  <c r="F510" i="4"/>
  <c r="C574" i="4"/>
  <c r="F574" i="4"/>
  <c r="C396" i="4"/>
  <c r="F396" i="4"/>
  <c r="C480" i="4"/>
  <c r="F480" i="4"/>
  <c r="C544" i="4"/>
  <c r="F544" i="4"/>
  <c r="C38" i="4"/>
  <c r="F38" i="4"/>
  <c r="C259" i="4"/>
  <c r="F259" i="4"/>
  <c r="C467" i="4"/>
  <c r="F467" i="4"/>
  <c r="C595" i="4"/>
  <c r="F595" i="4"/>
  <c r="C237" i="4"/>
  <c r="F237" i="4"/>
  <c r="C455" i="4"/>
  <c r="F455" i="4"/>
  <c r="C583" i="4"/>
  <c r="F583" i="4"/>
  <c r="C219" i="4"/>
  <c r="F219" i="4"/>
  <c r="C439" i="4"/>
  <c r="F439" i="4"/>
  <c r="C569" i="4"/>
  <c r="F569" i="4"/>
  <c r="C171" i="4"/>
  <c r="F171" i="4"/>
  <c r="C383" i="4"/>
  <c r="F383" i="4"/>
  <c r="C538" i="4"/>
  <c r="F538" i="4"/>
  <c r="C123" i="4"/>
  <c r="F123" i="4"/>
  <c r="C323" i="4"/>
  <c r="F323" i="4"/>
  <c r="C507" i="4"/>
  <c r="F507" i="4"/>
  <c r="C95" i="4"/>
  <c r="F95" i="4"/>
  <c r="C301" i="4"/>
  <c r="F301" i="4"/>
  <c r="C495" i="4"/>
  <c r="F495" i="4"/>
  <c r="C155" i="4"/>
  <c r="F155" i="4"/>
  <c r="C255" i="4"/>
  <c r="F255" i="4"/>
  <c r="C397" i="4"/>
  <c r="F397" i="4"/>
  <c r="C546" i="4"/>
  <c r="F546" i="4"/>
  <c r="C577" i="4"/>
  <c r="F577" i="4"/>
  <c r="C498" i="4"/>
  <c r="F498" i="4"/>
  <c r="C23" i="4"/>
  <c r="F23" i="4"/>
  <c r="C180" i="4"/>
  <c r="F180" i="4"/>
  <c r="C308" i="4"/>
  <c r="F308" i="4"/>
  <c r="C434" i="4"/>
  <c r="F434" i="4"/>
  <c r="C500" i="4"/>
  <c r="F500" i="4"/>
  <c r="C564" i="4"/>
  <c r="F564" i="4"/>
  <c r="C406" i="4"/>
  <c r="F406" i="4"/>
  <c r="C342" i="4"/>
  <c r="F342" i="4"/>
  <c r="C278" i="4"/>
  <c r="F278" i="4"/>
  <c r="C214" i="4"/>
  <c r="F214" i="4"/>
  <c r="C150" i="4"/>
  <c r="F150" i="4"/>
  <c r="C86" i="4"/>
  <c r="F86" i="4"/>
  <c r="C402" i="4"/>
  <c r="F402" i="4"/>
  <c r="C338" i="4"/>
  <c r="F338" i="4"/>
  <c r="C274" i="4"/>
  <c r="F274" i="4"/>
  <c r="C210" i="4"/>
  <c r="F210" i="4"/>
  <c r="C146" i="4"/>
  <c r="F146" i="4"/>
  <c r="C82" i="4"/>
  <c r="F82" i="4"/>
  <c r="C417" i="4"/>
  <c r="F417" i="4"/>
  <c r="C353" i="4"/>
  <c r="F353" i="4"/>
  <c r="C289" i="4"/>
  <c r="F289" i="4"/>
  <c r="C225" i="4"/>
  <c r="F225" i="4"/>
  <c r="C161" i="4"/>
  <c r="F161" i="4"/>
  <c r="C97" i="4"/>
  <c r="F97" i="4"/>
  <c r="C440" i="4"/>
  <c r="F440" i="4"/>
  <c r="C376" i="4"/>
  <c r="F376" i="4"/>
  <c r="C312" i="4"/>
  <c r="F312" i="4"/>
  <c r="C248" i="4"/>
  <c r="F248" i="4"/>
  <c r="C184" i="4"/>
  <c r="F184" i="4"/>
  <c r="C120" i="4"/>
  <c r="F120" i="4"/>
  <c r="C31" i="4"/>
  <c r="F31" i="4"/>
  <c r="C32" i="4"/>
  <c r="F32" i="4"/>
  <c r="C45" i="4"/>
  <c r="F45" i="4"/>
  <c r="C59" i="4"/>
  <c r="F59" i="4"/>
  <c r="C74" i="4"/>
  <c r="F74" i="4"/>
  <c r="C10" i="4"/>
  <c r="F10" i="4"/>
  <c r="C165" i="4"/>
  <c r="F165" i="4"/>
  <c r="C293" i="4"/>
  <c r="F293" i="4"/>
  <c r="C421" i="4"/>
  <c r="F421" i="4"/>
  <c r="C493" i="4"/>
  <c r="F493" i="4"/>
  <c r="C557" i="4"/>
  <c r="F557" i="4"/>
  <c r="C87" i="4"/>
  <c r="F87" i="4"/>
  <c r="C215" i="4"/>
  <c r="F215" i="4"/>
  <c r="C343" i="4"/>
  <c r="F343" i="4"/>
  <c r="C454" i="4"/>
  <c r="F454" i="4"/>
  <c r="C518" i="4"/>
  <c r="F518" i="4"/>
  <c r="C582" i="4"/>
  <c r="F582" i="4"/>
  <c r="C412" i="4"/>
  <c r="F412" i="4"/>
  <c r="C488" i="4"/>
  <c r="F488" i="4"/>
  <c r="C552" i="4"/>
  <c r="F552" i="4"/>
  <c r="C78" i="4"/>
  <c r="F78" i="4"/>
  <c r="C285" i="4"/>
  <c r="F285" i="4"/>
  <c r="C483" i="4"/>
  <c r="F483" i="4"/>
  <c r="C39" i="4"/>
  <c r="F39" i="4"/>
  <c r="C267" i="4"/>
  <c r="F267" i="4"/>
  <c r="C471" i="4"/>
  <c r="F471" i="4"/>
  <c r="C599" i="4"/>
  <c r="F599" i="4"/>
  <c r="C239" i="4"/>
  <c r="F239" i="4"/>
  <c r="C457" i="4"/>
  <c r="F457" i="4"/>
  <c r="C585" i="4"/>
  <c r="F585" i="4"/>
  <c r="C191" i="4"/>
  <c r="F191" i="4"/>
  <c r="C415" i="4"/>
  <c r="F415" i="4"/>
  <c r="C554" i="4"/>
  <c r="F554" i="4"/>
  <c r="C143" i="4"/>
  <c r="F143" i="4"/>
  <c r="C355" i="4"/>
  <c r="F355" i="4"/>
  <c r="C523" i="4"/>
  <c r="F523" i="4"/>
  <c r="C124" i="4"/>
  <c r="F124" i="4"/>
  <c r="C331" i="4"/>
  <c r="F331" i="4"/>
  <c r="C511" i="4"/>
  <c r="F511" i="4"/>
  <c r="C253" i="4"/>
  <c r="F253" i="4"/>
  <c r="C367" i="4"/>
  <c r="F367" i="4"/>
  <c r="C481" i="4"/>
  <c r="F481" i="4"/>
  <c r="C99" i="4"/>
  <c r="F99" i="4"/>
  <c r="C127" i="4"/>
  <c r="F127" i="4"/>
  <c r="C55" i="4"/>
  <c r="F55" i="4"/>
  <c r="C196" i="4"/>
  <c r="F196" i="4"/>
  <c r="C324" i="4"/>
  <c r="F324" i="4"/>
  <c r="C443" i="4"/>
  <c r="F443" i="4"/>
  <c r="C508" i="4"/>
  <c r="F508" i="4"/>
  <c r="C572" i="4"/>
  <c r="F572" i="4"/>
  <c r="C398" i="4"/>
  <c r="F398" i="4"/>
  <c r="C334" i="4"/>
  <c r="F334" i="4"/>
  <c r="C270" i="4"/>
  <c r="F270" i="4"/>
  <c r="C206" i="4"/>
  <c r="F206" i="4"/>
  <c r="C142" i="4"/>
  <c r="F142" i="4"/>
  <c r="C76" i="4"/>
  <c r="F76" i="4"/>
  <c r="C394" i="4"/>
  <c r="F394" i="4"/>
  <c r="C330" i="4"/>
  <c r="F330" i="4"/>
  <c r="C266" i="4"/>
  <c r="F266" i="4"/>
  <c r="C202" i="4"/>
  <c r="F202" i="4"/>
  <c r="C138" i="4"/>
  <c r="F138" i="4"/>
  <c r="C68" i="4"/>
  <c r="F68" i="4"/>
  <c r="C409" i="4"/>
  <c r="F409" i="4"/>
  <c r="C345" i="4"/>
  <c r="F345" i="4"/>
  <c r="C281" i="4"/>
  <c r="F281" i="4"/>
  <c r="C217" i="4"/>
  <c r="F217" i="4"/>
  <c r="C153" i="4"/>
  <c r="F153" i="4"/>
  <c r="C89" i="4"/>
  <c r="F89" i="4"/>
  <c r="C432" i="4"/>
  <c r="F432" i="4"/>
  <c r="C368" i="4"/>
  <c r="F368" i="4"/>
  <c r="C304" i="4"/>
  <c r="F304" i="4"/>
  <c r="C240" i="4"/>
  <c r="F240" i="4"/>
  <c r="C176" i="4"/>
  <c r="F176" i="4"/>
  <c r="C112" i="4"/>
  <c r="F112" i="4"/>
  <c r="C15" i="4"/>
  <c r="F15" i="4"/>
  <c r="C24" i="4"/>
  <c r="F24" i="4"/>
  <c r="C37" i="4"/>
  <c r="F37" i="4"/>
  <c r="C51" i="4"/>
  <c r="F51" i="4"/>
  <c r="C66" i="4"/>
  <c r="F66" i="4"/>
  <c r="C2" i="4"/>
  <c r="C181" i="4"/>
  <c r="F181" i="4"/>
  <c r="C309" i="4"/>
  <c r="F309" i="4"/>
  <c r="C435" i="4"/>
  <c r="F435" i="4"/>
  <c r="C501" i="4"/>
  <c r="F501" i="4"/>
  <c r="C565" i="4"/>
  <c r="F565" i="4"/>
  <c r="C103" i="4"/>
  <c r="F103" i="4"/>
  <c r="C231" i="4"/>
  <c r="F231" i="4"/>
  <c r="C359" i="4"/>
  <c r="F359" i="4"/>
  <c r="C462" i="4"/>
  <c r="F462" i="4"/>
  <c r="C526" i="4"/>
  <c r="F526" i="4"/>
  <c r="C590" i="4"/>
  <c r="F590" i="4"/>
  <c r="C427" i="4"/>
  <c r="F427" i="4"/>
  <c r="C496" i="4"/>
  <c r="F496" i="4"/>
  <c r="C560" i="4"/>
  <c r="F560" i="4"/>
  <c r="C108" i="4"/>
  <c r="F108" i="4"/>
  <c r="C315" i="4"/>
  <c r="F315" i="4"/>
  <c r="C499" i="4"/>
  <c r="F499" i="4"/>
  <c r="C83" i="4"/>
  <c r="F83" i="4"/>
  <c r="C287" i="4"/>
  <c r="F287" i="4"/>
  <c r="C487" i="4"/>
  <c r="F487" i="4"/>
  <c r="C41" i="4"/>
  <c r="F41" i="4"/>
  <c r="C268" i="4"/>
  <c r="F268" i="4"/>
  <c r="C473" i="4"/>
  <c r="F473" i="4"/>
  <c r="C601" i="4"/>
  <c r="F601" i="4"/>
  <c r="C220" i="4"/>
  <c r="F220" i="4"/>
  <c r="C441" i="4"/>
  <c r="F441" i="4"/>
  <c r="C570" i="4"/>
  <c r="F570" i="4"/>
  <c r="C172" i="4"/>
  <c r="F172" i="4"/>
  <c r="C387" i="4"/>
  <c r="F387" i="4"/>
  <c r="C539" i="4"/>
  <c r="F539" i="4"/>
  <c r="C147" i="4"/>
  <c r="F147" i="4"/>
  <c r="C363" i="4"/>
  <c r="F363" i="4"/>
  <c r="C527" i="4"/>
  <c r="F527" i="4"/>
  <c r="C365" i="4"/>
  <c r="F365" i="4"/>
  <c r="C466" i="4"/>
  <c r="F466" i="4"/>
  <c r="C545" i="4"/>
  <c r="F545" i="4"/>
  <c r="C204" i="4"/>
  <c r="F204" i="4"/>
  <c r="C449" i="4"/>
  <c r="F449" i="4"/>
  <c r="C107" i="4"/>
  <c r="F107" i="4"/>
  <c r="C84" i="4"/>
  <c r="F84" i="4"/>
  <c r="C212" i="4"/>
  <c r="F212" i="4"/>
  <c r="C340" i="4"/>
  <c r="F340" i="4"/>
  <c r="C452" i="4"/>
  <c r="F452" i="4"/>
  <c r="C516" i="4"/>
  <c r="F516" i="4"/>
  <c r="C580" i="4"/>
  <c r="F580" i="4"/>
  <c r="C390" i="4"/>
  <c r="F390" i="4"/>
  <c r="C326" i="4"/>
  <c r="F326" i="4"/>
  <c r="C262" i="4"/>
  <c r="F262" i="4"/>
  <c r="C198" i="4"/>
  <c r="F198" i="4"/>
  <c r="C134" i="4"/>
  <c r="F134" i="4"/>
  <c r="C60" i="4"/>
  <c r="F60" i="4"/>
  <c r="C386" i="4"/>
  <c r="F386" i="4"/>
  <c r="C322" i="4"/>
  <c r="F322" i="4"/>
  <c r="C258" i="4"/>
  <c r="F258" i="4"/>
  <c r="C194" i="4"/>
  <c r="F194" i="4"/>
  <c r="C130" i="4"/>
  <c r="F130" i="4"/>
  <c r="C52" i="4"/>
  <c r="F52" i="4"/>
  <c r="C401" i="4"/>
  <c r="F401" i="4"/>
  <c r="C337" i="4"/>
  <c r="F337" i="4"/>
  <c r="C273" i="4"/>
  <c r="F273" i="4"/>
  <c r="C209" i="4"/>
  <c r="F209" i="4"/>
  <c r="C145" i="4"/>
  <c r="F145" i="4"/>
  <c r="C81" i="4"/>
  <c r="F81" i="4"/>
  <c r="C424" i="4"/>
  <c r="F424" i="4"/>
  <c r="C360" i="4"/>
  <c r="F360" i="4"/>
  <c r="C296" i="4"/>
  <c r="F296" i="4"/>
  <c r="C232" i="4"/>
  <c r="F232" i="4"/>
  <c r="C168" i="4"/>
  <c r="F168" i="4"/>
  <c r="C104" i="4"/>
  <c r="F104" i="4"/>
  <c r="C80" i="4"/>
  <c r="F80" i="4"/>
  <c r="C16" i="4"/>
  <c r="F16" i="4"/>
  <c r="C29" i="4"/>
  <c r="F29" i="4"/>
  <c r="C43" i="4"/>
  <c r="F43" i="4"/>
  <c r="C58" i="4"/>
  <c r="F58" i="4"/>
  <c r="C57" i="4"/>
  <c r="F57" i="4"/>
  <c r="C197" i="4"/>
  <c r="F197" i="4"/>
  <c r="C325" i="4"/>
  <c r="F325" i="4"/>
  <c r="C444" i="4"/>
  <c r="F444" i="4"/>
  <c r="C509" i="4"/>
  <c r="F509" i="4"/>
  <c r="C573" i="4"/>
  <c r="F573" i="4"/>
  <c r="C119" i="4"/>
  <c r="F119" i="4"/>
  <c r="C247" i="4"/>
  <c r="F247" i="4"/>
  <c r="C375" i="4"/>
  <c r="F375" i="4"/>
  <c r="C470" i="4"/>
  <c r="F470" i="4"/>
  <c r="C534" i="4"/>
  <c r="F534" i="4"/>
  <c r="C598" i="4"/>
  <c r="F598" i="4"/>
  <c r="C438" i="4"/>
  <c r="F438" i="4"/>
  <c r="C504" i="4"/>
  <c r="F504" i="4"/>
  <c r="C568" i="4"/>
  <c r="F568" i="4"/>
  <c r="C131" i="4"/>
  <c r="F131" i="4"/>
  <c r="C339" i="4"/>
  <c r="F339" i="4"/>
  <c r="C515" i="4"/>
  <c r="F515" i="4"/>
  <c r="C109" i="4"/>
  <c r="F109" i="4"/>
  <c r="C316" i="4"/>
  <c r="F316" i="4"/>
  <c r="C503" i="4"/>
  <c r="F503" i="4"/>
  <c r="C91" i="4"/>
  <c r="F91" i="4"/>
  <c r="C291" i="4"/>
  <c r="F291" i="4"/>
  <c r="C489" i="4"/>
  <c r="F489" i="4"/>
  <c r="C6" i="4"/>
  <c r="F6" i="4"/>
  <c r="C243" i="4"/>
  <c r="F243" i="4"/>
  <c r="C458" i="4"/>
  <c r="F458" i="4"/>
  <c r="C586" i="4"/>
  <c r="F586" i="4"/>
  <c r="C195" i="4"/>
  <c r="F195" i="4"/>
  <c r="C419" i="4"/>
  <c r="F419" i="4"/>
  <c r="C555" i="4"/>
  <c r="F555" i="4"/>
  <c r="C173" i="4"/>
  <c r="F173" i="4"/>
  <c r="C395" i="4"/>
  <c r="F395" i="4"/>
  <c r="C543" i="4"/>
  <c r="F543" i="4"/>
  <c r="C465" i="4"/>
  <c r="F465" i="4"/>
  <c r="C530" i="4"/>
  <c r="F530" i="4"/>
  <c r="C73" i="4"/>
  <c r="F73" i="4"/>
  <c r="C303" i="4"/>
  <c r="F303" i="4"/>
  <c r="C335" i="4"/>
  <c r="F335" i="4"/>
  <c r="C540" i="4"/>
  <c r="F540" i="4"/>
  <c r="C238" i="4"/>
  <c r="F238" i="4"/>
  <c r="C234" i="4"/>
  <c r="F234" i="4"/>
  <c r="C313" i="4"/>
  <c r="F313" i="4"/>
  <c r="C400" i="4"/>
  <c r="F400" i="4"/>
  <c r="C79" i="4"/>
  <c r="F79" i="4"/>
  <c r="C19" i="4"/>
  <c r="F19" i="4"/>
  <c r="C469" i="4"/>
  <c r="F469" i="4"/>
  <c r="C167" i="4"/>
  <c r="F167" i="4"/>
  <c r="C364" i="4"/>
  <c r="F364" i="4"/>
  <c r="C431" i="4"/>
  <c r="F431" i="4"/>
  <c r="C163" i="4"/>
  <c r="F163" i="4"/>
  <c r="C506" i="4"/>
  <c r="F506" i="4"/>
  <c r="C561" i="4"/>
  <c r="F561" i="4"/>
  <c r="C100" i="4"/>
  <c r="F100" i="4"/>
  <c r="C228" i="4"/>
  <c r="F228" i="4"/>
  <c r="C356" i="4"/>
  <c r="F356" i="4"/>
  <c r="C460" i="4"/>
  <c r="F460" i="4"/>
  <c r="C524" i="4"/>
  <c r="F524" i="4"/>
  <c r="C588" i="4"/>
  <c r="F588" i="4"/>
  <c r="C382" i="4"/>
  <c r="F382" i="4"/>
  <c r="C318" i="4"/>
  <c r="F318" i="4"/>
  <c r="C254" i="4"/>
  <c r="F254" i="4"/>
  <c r="C190" i="4"/>
  <c r="F190" i="4"/>
  <c r="C126" i="4"/>
  <c r="F126" i="4"/>
  <c r="C44" i="4"/>
  <c r="F44" i="4"/>
  <c r="C378" i="4"/>
  <c r="F378" i="4"/>
  <c r="C314" i="4"/>
  <c r="F314" i="4"/>
  <c r="C250" i="4"/>
  <c r="F250" i="4"/>
  <c r="C186" i="4"/>
  <c r="F186" i="4"/>
  <c r="C122" i="4"/>
  <c r="F122" i="4"/>
  <c r="C36" i="4"/>
  <c r="F36" i="4"/>
  <c r="C393" i="4"/>
  <c r="F393" i="4"/>
  <c r="C329" i="4"/>
  <c r="F329" i="4"/>
  <c r="C265" i="4"/>
  <c r="F265" i="4"/>
  <c r="C201" i="4"/>
  <c r="F201" i="4"/>
  <c r="C137" i="4"/>
  <c r="F137" i="4"/>
  <c r="C65" i="4"/>
  <c r="F65" i="4"/>
  <c r="C416" i="4"/>
  <c r="F416" i="4"/>
  <c r="C352" i="4"/>
  <c r="F352" i="4"/>
  <c r="C288" i="4"/>
  <c r="F288" i="4"/>
  <c r="C224" i="4"/>
  <c r="F224" i="4"/>
  <c r="C160" i="4"/>
  <c r="F160" i="4"/>
  <c r="C96" i="4"/>
  <c r="F96" i="4"/>
  <c r="C72" i="4"/>
  <c r="F72" i="4"/>
  <c r="C8" i="4"/>
  <c r="F8" i="4"/>
  <c r="C21" i="4"/>
  <c r="F21" i="4"/>
  <c r="C35" i="4"/>
  <c r="F35" i="4"/>
  <c r="C50" i="4"/>
  <c r="F50" i="4"/>
  <c r="C85" i="4"/>
  <c r="F85" i="4"/>
  <c r="C213" i="4"/>
  <c r="F213" i="4"/>
  <c r="C341" i="4"/>
  <c r="F341" i="4"/>
  <c r="C453" i="4"/>
  <c r="F453" i="4"/>
  <c r="C517" i="4"/>
  <c r="F517" i="4"/>
  <c r="C581" i="4"/>
  <c r="F581" i="4"/>
  <c r="C135" i="4"/>
  <c r="F135" i="4"/>
  <c r="C263" i="4"/>
  <c r="F263" i="4"/>
  <c r="C391" i="4"/>
  <c r="F391" i="4"/>
  <c r="C478" i="4"/>
  <c r="F478" i="4"/>
  <c r="C542" i="4"/>
  <c r="F542" i="4"/>
  <c r="C332" i="4"/>
  <c r="F332" i="4"/>
  <c r="C447" i="4"/>
  <c r="F447" i="4"/>
  <c r="C512" i="4"/>
  <c r="F512" i="4"/>
  <c r="C576" i="4"/>
  <c r="F576" i="4"/>
  <c r="C157" i="4"/>
  <c r="F157" i="4"/>
  <c r="C371" i="4"/>
  <c r="F371" i="4"/>
  <c r="C531" i="4"/>
  <c r="F531" i="4"/>
  <c r="C139" i="4"/>
  <c r="F139" i="4"/>
  <c r="C347" i="4"/>
  <c r="F347" i="4"/>
  <c r="C519" i="4"/>
  <c r="F519" i="4"/>
  <c r="C111" i="4"/>
  <c r="F111" i="4"/>
  <c r="C317" i="4"/>
  <c r="F317" i="4"/>
  <c r="C505" i="4"/>
  <c r="F505" i="4"/>
  <c r="C46" i="4"/>
  <c r="F46" i="4"/>
  <c r="C269" i="4"/>
  <c r="F269" i="4"/>
  <c r="C474" i="4"/>
  <c r="F474" i="4"/>
  <c r="C602" i="4"/>
  <c r="F602" i="4"/>
  <c r="C221" i="4"/>
  <c r="F221" i="4"/>
  <c r="C442" i="4"/>
  <c r="F442" i="4"/>
  <c r="C571" i="4"/>
  <c r="F571" i="4"/>
  <c r="C203" i="4"/>
  <c r="F203" i="4"/>
  <c r="C426" i="4"/>
  <c r="F426" i="4"/>
  <c r="C559" i="4"/>
  <c r="F559" i="4"/>
  <c r="C529" i="4"/>
  <c r="F529" i="4"/>
  <c r="C594" i="4"/>
  <c r="F594" i="4"/>
  <c r="C179" i="4"/>
  <c r="F179" i="4"/>
  <c r="C428" i="4"/>
  <c r="F428" i="4"/>
  <c r="C235" i="4"/>
  <c r="F235" i="4"/>
  <c r="C260" i="4"/>
  <c r="F260" i="4"/>
  <c r="C366" i="4"/>
  <c r="F366" i="4"/>
  <c r="C174" i="4"/>
  <c r="F174" i="4"/>
  <c r="C362" i="4"/>
  <c r="F362" i="4"/>
  <c r="C377" i="4"/>
  <c r="F377" i="4"/>
  <c r="C121" i="4"/>
  <c r="F121" i="4"/>
  <c r="C272" i="4"/>
  <c r="F272" i="4"/>
  <c r="C56" i="4"/>
  <c r="F56" i="4"/>
  <c r="C245" i="4"/>
  <c r="F245" i="4"/>
  <c r="C423" i="4"/>
  <c r="F423" i="4"/>
  <c r="C207" i="4"/>
  <c r="F207" i="4"/>
  <c r="C551" i="4"/>
  <c r="F551" i="4"/>
  <c r="C319" i="4"/>
  <c r="F319" i="4"/>
  <c r="C9" i="4"/>
  <c r="F9" i="4"/>
  <c r="C175" i="4"/>
  <c r="F175" i="4"/>
  <c r="C116" i="4"/>
  <c r="F116" i="4"/>
  <c r="C244" i="4"/>
  <c r="F244" i="4"/>
  <c r="C372" i="4"/>
  <c r="F372" i="4"/>
  <c r="C468" i="4"/>
  <c r="F468" i="4"/>
  <c r="C532" i="4"/>
  <c r="F532" i="4"/>
  <c r="C596" i="4"/>
  <c r="F596" i="4"/>
  <c r="C374" i="4"/>
  <c r="F374" i="4"/>
  <c r="C310" i="4"/>
  <c r="F310" i="4"/>
  <c r="C246" i="4"/>
  <c r="F246" i="4"/>
  <c r="C182" i="4"/>
  <c r="F182" i="4"/>
  <c r="C118" i="4"/>
  <c r="F118" i="4"/>
  <c r="C28" i="4"/>
  <c r="F28" i="4"/>
  <c r="C370" i="4"/>
  <c r="F370" i="4"/>
  <c r="C306" i="4"/>
  <c r="F306" i="4"/>
  <c r="C242" i="4"/>
  <c r="F242" i="4"/>
  <c r="C178" i="4"/>
  <c r="F178" i="4"/>
  <c r="C114" i="4"/>
  <c r="F114" i="4"/>
  <c r="C20" i="4"/>
  <c r="F20" i="4"/>
  <c r="C385" i="4"/>
  <c r="F385" i="4"/>
  <c r="C321" i="4"/>
  <c r="F321" i="4"/>
  <c r="C257" i="4"/>
  <c r="F257" i="4"/>
  <c r="C193" i="4"/>
  <c r="F193" i="4"/>
  <c r="C129" i="4"/>
  <c r="F129" i="4"/>
  <c r="C49" i="4"/>
  <c r="F49" i="4"/>
  <c r="C408" i="4"/>
  <c r="F408" i="4"/>
  <c r="C344" i="4"/>
  <c r="F344" i="4"/>
  <c r="C280" i="4"/>
  <c r="F280" i="4"/>
  <c r="C216" i="4"/>
  <c r="F216" i="4"/>
  <c r="C152" i="4"/>
  <c r="F152" i="4"/>
  <c r="C88" i="4"/>
  <c r="F88" i="4"/>
  <c r="C64" i="4"/>
  <c r="F64" i="4"/>
  <c r="C77" i="4"/>
  <c r="F77" i="4"/>
  <c r="C13" i="4"/>
  <c r="F13" i="4"/>
  <c r="C27" i="4"/>
  <c r="F27" i="4"/>
  <c r="C42" i="4"/>
  <c r="F42" i="4"/>
  <c r="C101" i="4"/>
  <c r="F101" i="4"/>
  <c r="C229" i="4"/>
  <c r="F229" i="4"/>
  <c r="C357" i="4"/>
  <c r="F357" i="4"/>
  <c r="C461" i="4"/>
  <c r="F461" i="4"/>
  <c r="C525" i="4"/>
  <c r="F525" i="4"/>
  <c r="C589" i="4"/>
  <c r="F589" i="4"/>
  <c r="C151" i="4"/>
  <c r="F151" i="4"/>
  <c r="C279" i="4"/>
  <c r="F279" i="4"/>
  <c r="C407" i="4"/>
  <c r="F407" i="4"/>
  <c r="C486" i="4"/>
  <c r="F486" i="4"/>
  <c r="C550" i="4"/>
  <c r="F550" i="4"/>
  <c r="C348" i="4"/>
  <c r="F348" i="4"/>
  <c r="C456" i="4"/>
  <c r="F456" i="4"/>
  <c r="C520" i="4"/>
  <c r="F520" i="4"/>
  <c r="C584" i="4"/>
  <c r="F584" i="4"/>
  <c r="C187" i="4"/>
  <c r="F187" i="4"/>
  <c r="C403" i="4"/>
  <c r="F403" i="4"/>
  <c r="C547" i="4"/>
  <c r="F547" i="4"/>
  <c r="C159" i="4"/>
  <c r="F159" i="4"/>
  <c r="C379" i="4"/>
  <c r="F379" i="4"/>
  <c r="C535" i="4"/>
  <c r="F535" i="4"/>
  <c r="C140" i="4"/>
  <c r="F140" i="4"/>
  <c r="C349" i="4"/>
  <c r="F349" i="4"/>
  <c r="C521" i="4"/>
  <c r="F521" i="4"/>
  <c r="C92" i="4"/>
  <c r="F92" i="4"/>
  <c r="C299" i="4"/>
  <c r="F299" i="4"/>
  <c r="C490" i="4"/>
  <c r="F490" i="4"/>
  <c r="C7" i="4"/>
  <c r="F7" i="4"/>
  <c r="C251" i="4"/>
  <c r="F251" i="4"/>
  <c r="C459" i="4"/>
  <c r="F459" i="4"/>
  <c r="C587" i="4"/>
  <c r="F587" i="4"/>
  <c r="C223" i="4"/>
  <c r="F223" i="4"/>
  <c r="C446" i="4"/>
  <c r="F446" i="4"/>
  <c r="C575" i="4"/>
  <c r="F575" i="4"/>
  <c r="C593" i="4"/>
  <c r="F593" i="4"/>
  <c r="C71" i="4"/>
  <c r="F71" i="4"/>
  <c r="C284" i="4"/>
  <c r="F284" i="4"/>
  <c r="C497" i="4"/>
  <c r="F497" i="4"/>
  <c r="C205" i="4"/>
  <c r="F205" i="4"/>
  <c r="C513" i="4"/>
  <c r="F513" i="4"/>
  <c r="R458" i="3"/>
  <c r="S458" i="3" s="1"/>
  <c r="V458" i="3" s="1"/>
  <c r="R490" i="3"/>
  <c r="S490" i="3" s="1"/>
  <c r="V490" i="3" s="1"/>
  <c r="R554" i="3"/>
  <c r="S554" i="3" s="1"/>
  <c r="V554" i="3" s="1"/>
  <c r="R522" i="3"/>
  <c r="S522" i="3" s="1"/>
  <c r="V522" i="3" s="1"/>
  <c r="R362" i="3"/>
  <c r="S362" i="3" s="1"/>
  <c r="V362" i="3" s="1"/>
  <c r="R426" i="3"/>
  <c r="S426" i="3" s="1"/>
  <c r="V426" i="3" s="1"/>
  <c r="R61" i="3"/>
  <c r="S61" i="3" s="1"/>
  <c r="V61" i="3" s="1"/>
  <c r="R50" i="3"/>
  <c r="S50" i="3" s="1"/>
  <c r="V50" i="3" s="1"/>
  <c r="Q50" i="3"/>
  <c r="R119" i="3"/>
  <c r="S119" i="3" s="1"/>
  <c r="V119" i="3" s="1"/>
  <c r="R448" i="3"/>
  <c r="S448" i="3" s="1"/>
  <c r="V448" i="3" s="1"/>
  <c r="Q448" i="3"/>
  <c r="R134" i="3"/>
  <c r="S134" i="3" s="1"/>
  <c r="V134" i="3" s="1"/>
  <c r="Q134" i="3"/>
  <c r="R230" i="3"/>
  <c r="S230" i="3" s="1"/>
  <c r="V230" i="3" s="1"/>
  <c r="Q230" i="3"/>
  <c r="R18" i="3"/>
  <c r="S18" i="3" s="1"/>
  <c r="V18" i="3" s="1"/>
  <c r="Q18" i="3"/>
  <c r="R368" i="3"/>
  <c r="S368" i="3" s="1"/>
  <c r="V368" i="3" s="1"/>
  <c r="Q368" i="3"/>
  <c r="R62" i="3"/>
  <c r="S62" i="3" s="1"/>
  <c r="V62" i="3" s="1"/>
  <c r="Q62" i="3"/>
  <c r="R254" i="3"/>
  <c r="S254" i="3" s="1"/>
  <c r="V254" i="3" s="1"/>
  <c r="Q254" i="3"/>
  <c r="R312" i="3"/>
  <c r="S312" i="3" s="1"/>
  <c r="V312" i="3" s="1"/>
  <c r="Q312" i="3"/>
  <c r="R384" i="3"/>
  <c r="S384" i="3" s="1"/>
  <c r="V384" i="3" s="1"/>
  <c r="Q384" i="3"/>
  <c r="R424" i="3"/>
  <c r="S424" i="3" s="1"/>
  <c r="V424" i="3" s="1"/>
  <c r="Q424" i="3"/>
  <c r="S544" i="3"/>
  <c r="V544" i="3" s="1"/>
  <c r="S552" i="3"/>
  <c r="V552" i="3" s="1"/>
  <c r="S560" i="3"/>
  <c r="V560" i="3" s="1"/>
  <c r="S528" i="3"/>
  <c r="V528" i="3" s="1"/>
  <c r="S586" i="3"/>
  <c r="V586" i="3" s="1"/>
  <c r="R456" i="3"/>
  <c r="R464" i="3"/>
  <c r="R488" i="3"/>
  <c r="R512" i="3"/>
  <c r="R416" i="3"/>
  <c r="R520" i="3"/>
  <c r="R330" i="3"/>
  <c r="R352" i="3"/>
  <c r="R400" i="3"/>
  <c r="R248" i="3"/>
  <c r="R570" i="3"/>
  <c r="R328" i="3"/>
  <c r="R394" i="3"/>
  <c r="R118" i="3"/>
  <c r="R530" i="3"/>
  <c r="R81" i="3"/>
  <c r="R321" i="3"/>
  <c r="R144" i="3"/>
  <c r="R16" i="3"/>
  <c r="R454" i="3"/>
  <c r="R390" i="3"/>
  <c r="R152" i="3"/>
  <c r="R392" i="3"/>
  <c r="R265" i="3"/>
  <c r="R228" i="3"/>
  <c r="R65" i="3"/>
  <c r="R569" i="3"/>
  <c r="R377" i="3"/>
  <c r="R313" i="3"/>
  <c r="R249" i="3"/>
  <c r="R136" i="3"/>
  <c r="R320" i="3"/>
  <c r="R578" i="3"/>
  <c r="R97" i="3"/>
  <c r="R177" i="3"/>
  <c r="R561" i="3"/>
  <c r="R433" i="3"/>
  <c r="R369" i="3"/>
  <c r="R305" i="3"/>
  <c r="R240" i="3"/>
  <c r="R121" i="3"/>
  <c r="R410" i="3"/>
  <c r="R193" i="3"/>
  <c r="R457" i="3"/>
  <c r="R480" i="3"/>
  <c r="R33" i="3"/>
  <c r="R489" i="3"/>
  <c r="R361" i="3"/>
  <c r="R26" i="3"/>
  <c r="R366" i="3"/>
  <c r="R442" i="3"/>
  <c r="R386" i="3"/>
  <c r="R486" i="3"/>
  <c r="R385" i="3"/>
  <c r="R41" i="3"/>
  <c r="R22" i="3"/>
  <c r="R150" i="3"/>
  <c r="R214" i="3"/>
  <c r="R145" i="3"/>
  <c r="R545" i="3"/>
  <c r="R481" i="3"/>
  <c r="R289" i="3"/>
  <c r="R10" i="3"/>
  <c r="R89" i="3"/>
  <c r="R449" i="3"/>
  <c r="R393" i="3"/>
  <c r="R434" i="3"/>
  <c r="R314" i="3"/>
  <c r="R537" i="3"/>
  <c r="R409" i="3"/>
  <c r="R345" i="3"/>
  <c r="R192" i="3"/>
  <c r="R64" i="3"/>
  <c r="R542" i="3"/>
  <c r="R414" i="3"/>
  <c r="R201" i="3"/>
  <c r="R73" i="3"/>
  <c r="R72" i="3"/>
  <c r="R280" i="3"/>
  <c r="R34" i="3"/>
  <c r="R506" i="3"/>
  <c r="R310" i="3"/>
  <c r="R521" i="3"/>
  <c r="R32" i="3"/>
  <c r="R432" i="3"/>
  <c r="R440" i="3"/>
  <c r="R306" i="3"/>
  <c r="R241" i="3"/>
  <c r="R113" i="3"/>
  <c r="R593" i="3"/>
  <c r="R529" i="3"/>
  <c r="R401" i="3"/>
  <c r="R273" i="3"/>
  <c r="R470" i="3"/>
  <c r="R342" i="3"/>
  <c r="R185" i="3"/>
  <c r="R184" i="3"/>
  <c r="R56" i="3"/>
  <c r="R239" i="3" l="1"/>
  <c r="S239" i="3" s="1"/>
  <c r="V239" i="3" s="1"/>
  <c r="R478" i="3"/>
  <c r="R74" i="3"/>
  <c r="R38" i="3"/>
  <c r="S38" i="3" s="1"/>
  <c r="V38" i="3" s="1"/>
  <c r="K3" i="4"/>
  <c r="K2" i="4"/>
  <c r="R344" i="3"/>
  <c r="R183" i="3"/>
  <c r="S183" i="3" s="1"/>
  <c r="V183" i="3" s="1"/>
  <c r="R407" i="3"/>
  <c r="S407" i="3" s="1"/>
  <c r="V407" i="3" s="1"/>
  <c r="R346" i="3"/>
  <c r="R86" i="3"/>
  <c r="S86" i="3" s="1"/>
  <c r="V86" i="3" s="1"/>
  <c r="R290" i="3"/>
  <c r="R224" i="3"/>
  <c r="R354" i="3"/>
  <c r="S354" i="3" s="1"/>
  <c r="V354" i="3" s="1"/>
  <c r="H2" i="4"/>
  <c r="H3" i="4"/>
  <c r="Q270" i="3"/>
  <c r="R341" i="3"/>
  <c r="R324" i="3"/>
  <c r="S324" i="3" s="1"/>
  <c r="V324" i="3" s="1"/>
  <c r="R468" i="3"/>
  <c r="S468" i="3" s="1"/>
  <c r="V468" i="3" s="1"/>
  <c r="R178" i="3"/>
  <c r="R124" i="3"/>
  <c r="S124" i="3" s="1"/>
  <c r="V124" i="3" s="1"/>
  <c r="R580" i="3"/>
  <c r="S580" i="3" s="1"/>
  <c r="V580" i="3" s="1"/>
  <c r="R553" i="3"/>
  <c r="S553" i="3" s="1"/>
  <c r="V553" i="3" s="1"/>
  <c r="R562" i="3"/>
  <c r="S562" i="3" s="1"/>
  <c r="V562" i="3" s="1"/>
  <c r="R358" i="3"/>
  <c r="R403" i="3"/>
  <c r="S403" i="3" s="1"/>
  <c r="V403" i="3" s="1"/>
  <c r="R107" i="3"/>
  <c r="S107" i="3" s="1"/>
  <c r="V107" i="3" s="1"/>
  <c r="R39" i="3"/>
  <c r="S39" i="3" s="1"/>
  <c r="V39" i="3" s="1"/>
  <c r="R316" i="3"/>
  <c r="S316" i="3" s="1"/>
  <c r="V316" i="3" s="1"/>
  <c r="R588" i="3"/>
  <c r="S588" i="3" s="1"/>
  <c r="V588" i="3" s="1"/>
  <c r="R295" i="3"/>
  <c r="S295" i="3" s="1"/>
  <c r="V295" i="3" s="1"/>
  <c r="R598" i="3"/>
  <c r="S598" i="3" s="1"/>
  <c r="V598" i="3" s="1"/>
  <c r="R51" i="3"/>
  <c r="R380" i="3"/>
  <c r="S380" i="3" s="1"/>
  <c r="V380" i="3" s="1"/>
  <c r="R376" i="3"/>
  <c r="S376" i="3" s="1"/>
  <c r="V376" i="3" s="1"/>
  <c r="R263" i="3"/>
  <c r="S263" i="3" s="1"/>
  <c r="V263" i="3" s="1"/>
  <c r="R52" i="3"/>
  <c r="S52" i="3" s="1"/>
  <c r="V52" i="3" s="1"/>
  <c r="R129" i="3"/>
  <c r="S129" i="3" s="1"/>
  <c r="V129" i="3" s="1"/>
  <c r="R211" i="3"/>
  <c r="S211" i="3" s="1"/>
  <c r="V211" i="3" s="1"/>
  <c r="R112" i="3"/>
  <c r="S112" i="3" s="1"/>
  <c r="V112" i="3" s="1"/>
  <c r="R420" i="3"/>
  <c r="R484" i="3"/>
  <c r="S484" i="3" s="1"/>
  <c r="V484" i="3" s="1"/>
  <c r="R441" i="3"/>
  <c r="S441" i="3" s="1"/>
  <c r="V441" i="3" s="1"/>
  <c r="R215" i="3"/>
  <c r="S215" i="3" s="1"/>
  <c r="V215" i="3" s="1"/>
  <c r="R334" i="3"/>
  <c r="R477" i="3"/>
  <c r="S477" i="3" s="1"/>
  <c r="V477" i="3" s="1"/>
  <c r="R319" i="3"/>
  <c r="S319" i="3" s="1"/>
  <c r="V319" i="3" s="1"/>
  <c r="R425" i="3"/>
  <c r="S425" i="3" s="1"/>
  <c r="V425" i="3" s="1"/>
  <c r="R77" i="3"/>
  <c r="S77" i="3" s="1"/>
  <c r="V77" i="3" s="1"/>
  <c r="R57" i="3"/>
  <c r="S57" i="3" s="1"/>
  <c r="V57" i="3" s="1"/>
  <c r="R3" i="3"/>
  <c r="S3" i="3" s="1"/>
  <c r="V3" i="3" s="1"/>
  <c r="R5" i="3"/>
  <c r="S5" i="3" s="1"/>
  <c r="V5" i="3" s="1"/>
  <c r="R371" i="3"/>
  <c r="S371" i="3" s="1"/>
  <c r="V371" i="3" s="1"/>
  <c r="R210" i="3"/>
  <c r="R428" i="3"/>
  <c r="S428" i="3" s="1"/>
  <c r="V428" i="3" s="1"/>
  <c r="R217" i="3"/>
  <c r="S217" i="3" s="1"/>
  <c r="V217" i="3" s="1"/>
  <c r="R36" i="3"/>
  <c r="S36" i="3" s="1"/>
  <c r="V36" i="3" s="1"/>
  <c r="R165" i="3"/>
  <c r="S165" i="3" s="1"/>
  <c r="V165" i="3" s="1"/>
  <c r="R277" i="3"/>
  <c r="S277" i="3" s="1"/>
  <c r="V277" i="3" s="1"/>
  <c r="R497" i="3"/>
  <c r="S497" i="3" s="1"/>
  <c r="V497" i="3" s="1"/>
  <c r="R465" i="3"/>
  <c r="S465" i="3" s="1"/>
  <c r="V465" i="3" s="1"/>
  <c r="R120" i="3"/>
  <c r="S120" i="3" s="1"/>
  <c r="V120" i="3" s="1"/>
  <c r="R279" i="3"/>
  <c r="S279" i="3" s="1"/>
  <c r="V279" i="3" s="1"/>
  <c r="R281" i="3"/>
  <c r="S281" i="3" s="1"/>
  <c r="V281" i="3" s="1"/>
  <c r="R100" i="3"/>
  <c r="S100" i="3" s="1"/>
  <c r="V100" i="3" s="1"/>
  <c r="R88" i="3"/>
  <c r="S88" i="3" s="1"/>
  <c r="V88" i="3" s="1"/>
  <c r="R445" i="3"/>
  <c r="S445" i="3" s="1"/>
  <c r="V445" i="3" s="1"/>
  <c r="R156" i="3"/>
  <c r="S156" i="3" s="1"/>
  <c r="V156" i="3" s="1"/>
  <c r="R472" i="3"/>
  <c r="S472" i="3" s="1"/>
  <c r="V472" i="3" s="1"/>
  <c r="R510" i="3"/>
  <c r="S510" i="3" s="1"/>
  <c r="V510" i="3" s="1"/>
  <c r="R189" i="3"/>
  <c r="S189" i="3" s="1"/>
  <c r="V189" i="3" s="1"/>
  <c r="R404" i="3"/>
  <c r="S404" i="3" s="1"/>
  <c r="V404" i="3" s="1"/>
  <c r="R101" i="3"/>
  <c r="S101" i="3" s="1"/>
  <c r="V101" i="3" s="1"/>
  <c r="R79" i="3"/>
  <c r="S79" i="3" s="1"/>
  <c r="V79" i="3" s="1"/>
  <c r="R169" i="3"/>
  <c r="S169" i="3" s="1"/>
  <c r="V169" i="3" s="1"/>
  <c r="R40" i="3"/>
  <c r="S40" i="3" s="1"/>
  <c r="V40" i="3" s="1"/>
  <c r="R585" i="3"/>
  <c r="S585" i="3" s="1"/>
  <c r="V585" i="3" s="1"/>
  <c r="R350" i="3"/>
  <c r="S350" i="3" s="1"/>
  <c r="V350" i="3" s="1"/>
  <c r="R17" i="3"/>
  <c r="S17" i="3" s="1"/>
  <c r="V17" i="3" s="1"/>
  <c r="R42" i="3"/>
  <c r="S42" i="3" s="1"/>
  <c r="V42" i="3" s="1"/>
  <c r="R381" i="3"/>
  <c r="S381" i="3" s="1"/>
  <c r="V381" i="3" s="1"/>
  <c r="R105" i="3"/>
  <c r="S105" i="3" s="1"/>
  <c r="V105" i="3" s="1"/>
  <c r="R536" i="3"/>
  <c r="S536" i="3" s="1"/>
  <c r="V536" i="3" s="1"/>
  <c r="S2" i="3"/>
  <c r="V2" i="3" s="1"/>
  <c r="R549" i="3"/>
  <c r="S549" i="3" s="1"/>
  <c r="V549" i="3" s="1"/>
  <c r="R71" i="3"/>
  <c r="S71" i="3" s="1"/>
  <c r="V71" i="3" s="1"/>
  <c r="R275" i="3"/>
  <c r="S275" i="3" s="1"/>
  <c r="V275" i="3" s="1"/>
  <c r="R303" i="3"/>
  <c r="S303" i="3" s="1"/>
  <c r="V303" i="3" s="1"/>
  <c r="R80" i="3"/>
  <c r="S80" i="3" s="1"/>
  <c r="V80" i="3" s="1"/>
  <c r="R12" i="3"/>
  <c r="S12" i="3" s="1"/>
  <c r="V12" i="3" s="1"/>
  <c r="R572" i="3"/>
  <c r="S572" i="3" s="1"/>
  <c r="V572" i="3" s="1"/>
  <c r="R14" i="3"/>
  <c r="R175" i="3"/>
  <c r="S175" i="3" s="1"/>
  <c r="V175" i="3" s="1"/>
  <c r="Q37" i="3"/>
  <c r="Q179" i="3"/>
  <c r="R123" i="3"/>
  <c r="S123" i="3" s="1"/>
  <c r="V123" i="3" s="1"/>
  <c r="R302" i="3"/>
  <c r="S302" i="3" s="1"/>
  <c r="V302" i="3" s="1"/>
  <c r="R167" i="3"/>
  <c r="S167" i="3" s="1"/>
  <c r="V167" i="3" s="1"/>
  <c r="R274" i="3"/>
  <c r="S274" i="3" s="1"/>
  <c r="V274" i="3" s="1"/>
  <c r="R173" i="3"/>
  <c r="S173" i="3" s="1"/>
  <c r="V173" i="3" s="1"/>
  <c r="R517" i="3"/>
  <c r="S517" i="3" s="1"/>
  <c r="V517" i="3" s="1"/>
  <c r="R203" i="3"/>
  <c r="S203" i="3" s="1"/>
  <c r="V203" i="3" s="1"/>
  <c r="R467" i="3"/>
  <c r="S467" i="3" s="1"/>
  <c r="V467" i="3" s="1"/>
  <c r="R93" i="3"/>
  <c r="S93" i="3" s="1"/>
  <c r="V93" i="3" s="1"/>
  <c r="R524" i="3"/>
  <c r="S524" i="3" s="1"/>
  <c r="V524" i="3" s="1"/>
  <c r="R44" i="3"/>
  <c r="S44" i="3" s="1"/>
  <c r="V44" i="3" s="1"/>
  <c r="R45" i="3"/>
  <c r="S45" i="3" s="1"/>
  <c r="V45" i="3" s="1"/>
  <c r="R202" i="3"/>
  <c r="S202" i="3" s="1"/>
  <c r="V202" i="3" s="1"/>
  <c r="R75" i="3"/>
  <c r="S75" i="3" s="1"/>
  <c r="V75" i="3" s="1"/>
  <c r="R139" i="3"/>
  <c r="S139" i="3" s="1"/>
  <c r="V139" i="3" s="1"/>
  <c r="R367" i="3"/>
  <c r="S367" i="3" s="1"/>
  <c r="V367" i="3" s="1"/>
  <c r="R115" i="3"/>
  <c r="S115" i="3" s="1"/>
  <c r="R84" i="3"/>
  <c r="S84" i="3" s="1"/>
  <c r="V84" i="3" s="1"/>
  <c r="R538" i="3"/>
  <c r="S538" i="3" s="1"/>
  <c r="V538" i="3" s="1"/>
  <c r="R219" i="3"/>
  <c r="S219" i="3" s="1"/>
  <c r="V219" i="3" s="1"/>
  <c r="R231" i="3"/>
  <c r="S231" i="3" s="1"/>
  <c r="V231" i="3" s="1"/>
  <c r="R601" i="3"/>
  <c r="S601" i="3" s="1"/>
  <c r="V601" i="3" s="1"/>
  <c r="R475" i="3"/>
  <c r="S475" i="3" s="1"/>
  <c r="V475" i="3" s="1"/>
  <c r="R142" i="3"/>
  <c r="S142" i="3" s="1"/>
  <c r="V142" i="3" s="1"/>
  <c r="R76" i="3"/>
  <c r="S76" i="3" s="1"/>
  <c r="V76" i="3" s="1"/>
  <c r="R518" i="3"/>
  <c r="S518" i="3" s="1"/>
  <c r="V518" i="3" s="1"/>
  <c r="R182" i="3"/>
  <c r="S182" i="3" s="1"/>
  <c r="V182" i="3" s="1"/>
  <c r="Q94" i="3"/>
  <c r="R349" i="3"/>
  <c r="S349" i="3" s="1"/>
  <c r="V349" i="3" s="1"/>
  <c r="R444" i="3"/>
  <c r="S444" i="3" s="1"/>
  <c r="V444" i="3" s="1"/>
  <c r="R447" i="3"/>
  <c r="S447" i="3" s="1"/>
  <c r="V447" i="3" s="1"/>
  <c r="R111" i="3"/>
  <c r="S111" i="3" s="1"/>
  <c r="V111" i="3" s="1"/>
  <c r="R437" i="3"/>
  <c r="S437" i="3" s="1"/>
  <c r="V437" i="3" s="1"/>
  <c r="R46" i="3"/>
  <c r="S46" i="3" s="1"/>
  <c r="V46" i="3" s="1"/>
  <c r="R106" i="3"/>
  <c r="S106" i="3" s="1"/>
  <c r="V106" i="3" s="1"/>
  <c r="R511" i="3"/>
  <c r="S511" i="3" s="1"/>
  <c r="V511" i="3" s="1"/>
  <c r="R565" i="3"/>
  <c r="S565" i="3" s="1"/>
  <c r="V565" i="3" s="1"/>
  <c r="R509" i="3"/>
  <c r="S509" i="3" s="1"/>
  <c r="V509" i="3" s="1"/>
  <c r="R207" i="3"/>
  <c r="S207" i="3" s="1"/>
  <c r="V207" i="3" s="1"/>
  <c r="R229" i="3"/>
  <c r="S229" i="3" s="1"/>
  <c r="V229" i="3" s="1"/>
  <c r="Q221" i="3"/>
  <c r="R337" i="3"/>
  <c r="S337" i="3" s="1"/>
  <c r="V337" i="3" s="1"/>
  <c r="R597" i="3"/>
  <c r="S597" i="3" s="1"/>
  <c r="V597" i="3" s="1"/>
  <c r="R408" i="3"/>
  <c r="S408" i="3" s="1"/>
  <c r="V408" i="3" s="1"/>
  <c r="R256" i="3"/>
  <c r="S256" i="3" s="1"/>
  <c r="V256" i="3" s="1"/>
  <c r="R132" i="3"/>
  <c r="S132" i="3" s="1"/>
  <c r="V132" i="3" s="1"/>
  <c r="R204" i="3"/>
  <c r="S204" i="3" s="1"/>
  <c r="V204" i="3" s="1"/>
  <c r="R353" i="3"/>
  <c r="S353" i="3" s="1"/>
  <c r="V353" i="3" s="1"/>
  <c r="R568" i="3"/>
  <c r="S568" i="3" s="1"/>
  <c r="V568" i="3" s="1"/>
  <c r="R596" i="3"/>
  <c r="S596" i="3" s="1"/>
  <c r="V596" i="3" s="1"/>
  <c r="R307" i="3"/>
  <c r="S307" i="3" s="1"/>
  <c r="V307" i="3" s="1"/>
  <c r="R25" i="3"/>
  <c r="S25" i="3" s="1"/>
  <c r="V25" i="3" s="1"/>
  <c r="R190" i="3"/>
  <c r="S190" i="3" s="1"/>
  <c r="R443" i="3"/>
  <c r="S443" i="3" s="1"/>
  <c r="V443" i="3" s="1"/>
  <c r="Q452" i="3"/>
  <c r="R595" i="3"/>
  <c r="S595" i="3" s="1"/>
  <c r="V595" i="3" s="1"/>
  <c r="R258" i="3"/>
  <c r="S258" i="3" s="1"/>
  <c r="V258" i="3" s="1"/>
  <c r="R494" i="3"/>
  <c r="S494" i="3" s="1"/>
  <c r="V494" i="3" s="1"/>
  <c r="R396" i="3"/>
  <c r="S396" i="3" s="1"/>
  <c r="V396" i="3" s="1"/>
  <c r="R49" i="3"/>
  <c r="S49" i="3" s="1"/>
  <c r="V49" i="3" s="1"/>
  <c r="R496" i="3"/>
  <c r="S496" i="3" s="1"/>
  <c r="V496" i="3" s="1"/>
  <c r="R340" i="3"/>
  <c r="S340" i="3" s="1"/>
  <c r="V340" i="3" s="1"/>
  <c r="R9" i="3"/>
  <c r="S9" i="3" s="1"/>
  <c r="V9" i="3" s="1"/>
  <c r="R24" i="3"/>
  <c r="S24" i="3" s="1"/>
  <c r="V24" i="3" s="1"/>
  <c r="R287" i="3"/>
  <c r="S287" i="3" s="1"/>
  <c r="V287" i="3" s="1"/>
  <c r="R196" i="3"/>
  <c r="S196" i="3" s="1"/>
  <c r="V196" i="3" s="1"/>
  <c r="R357" i="3"/>
  <c r="S357" i="3" s="1"/>
  <c r="V357" i="3" s="1"/>
  <c r="R137" i="3"/>
  <c r="S137" i="3" s="1"/>
  <c r="V137" i="3" s="1"/>
  <c r="R546" i="3"/>
  <c r="S546" i="3" s="1"/>
  <c r="V546" i="3" s="1"/>
  <c r="Q166" i="3"/>
  <c r="R364" i="3"/>
  <c r="S364" i="3" s="1"/>
  <c r="V364" i="3" s="1"/>
  <c r="R213" i="3"/>
  <c r="S213" i="3" s="1"/>
  <c r="V213" i="3" s="1"/>
  <c r="R110" i="3"/>
  <c r="S110" i="3" s="1"/>
  <c r="V110" i="3" s="1"/>
  <c r="R531" i="3"/>
  <c r="S531" i="3" s="1"/>
  <c r="V531" i="3" s="1"/>
  <c r="R154" i="3"/>
  <c r="S154" i="3" s="1"/>
  <c r="V154" i="3" s="1"/>
  <c r="R135" i="3"/>
  <c r="S135" i="3" s="1"/>
  <c r="V135" i="3" s="1"/>
  <c r="R356" i="3"/>
  <c r="S356" i="3" s="1"/>
  <c r="V356" i="3" s="1"/>
  <c r="R365" i="3"/>
  <c r="S365" i="3" s="1"/>
  <c r="V365" i="3" s="1"/>
  <c r="R95" i="3"/>
  <c r="S95" i="3" s="1"/>
  <c r="V95" i="3" s="1"/>
  <c r="R534" i="3"/>
  <c r="S534" i="3" s="1"/>
  <c r="V534" i="3" s="1"/>
  <c r="R140" i="3"/>
  <c r="S140" i="3" s="1"/>
  <c r="V140" i="3" s="1"/>
  <c r="R327" i="3"/>
  <c r="S327" i="3" s="1"/>
  <c r="V327" i="3" s="1"/>
  <c r="R462" i="3"/>
  <c r="S462" i="3" s="1"/>
  <c r="V462" i="3" s="1"/>
  <c r="R419" i="3"/>
  <c r="S419" i="3" s="1"/>
  <c r="V419" i="3" s="1"/>
  <c r="R309" i="3"/>
  <c r="S309" i="3" s="1"/>
  <c r="V309" i="3" s="1"/>
  <c r="R53" i="3"/>
  <c r="S53" i="3" s="1"/>
  <c r="V53" i="3" s="1"/>
  <c r="R296" i="3"/>
  <c r="S296" i="3" s="1"/>
  <c r="V296" i="3" s="1"/>
  <c r="R471" i="3"/>
  <c r="S471" i="3" s="1"/>
  <c r="V471" i="3" s="1"/>
  <c r="R577" i="3"/>
  <c r="S577" i="3" s="1"/>
  <c r="V577" i="3" s="1"/>
  <c r="Q269" i="3"/>
  <c r="Q387" i="3"/>
  <c r="R298" i="3"/>
  <c r="S298" i="3" s="1"/>
  <c r="V298" i="3" s="1"/>
  <c r="R208" i="3"/>
  <c r="S208" i="3" s="1"/>
  <c r="V208" i="3" s="1"/>
  <c r="R83" i="3"/>
  <c r="S83" i="3" s="1"/>
  <c r="V83" i="3" s="1"/>
  <c r="R82" i="3"/>
  <c r="S82" i="3" s="1"/>
  <c r="V82" i="3" s="1"/>
  <c r="R379" i="3"/>
  <c r="S379" i="3" s="1"/>
  <c r="V379" i="3" s="1"/>
  <c r="R232" i="3"/>
  <c r="S232" i="3" s="1"/>
  <c r="V232" i="3" s="1"/>
  <c r="R450" i="3"/>
  <c r="S450" i="3" s="1"/>
  <c r="V450" i="3" s="1"/>
  <c r="R541" i="3"/>
  <c r="S541" i="3" s="1"/>
  <c r="V541" i="3" s="1"/>
  <c r="R567" i="3"/>
  <c r="S567" i="3" s="1"/>
  <c r="V567" i="3" s="1"/>
  <c r="R250" i="3"/>
  <c r="S250" i="3" s="1"/>
  <c r="V250" i="3" s="1"/>
  <c r="R87" i="3"/>
  <c r="S87" i="3" s="1"/>
  <c r="V87" i="3" s="1"/>
  <c r="R526" i="3"/>
  <c r="S526" i="3" s="1"/>
  <c r="V526" i="3" s="1"/>
  <c r="R411" i="3"/>
  <c r="S411" i="3" s="1"/>
  <c r="V411" i="3" s="1"/>
  <c r="R233" i="3"/>
  <c r="S233" i="3" s="1"/>
  <c r="V233" i="3" s="1"/>
  <c r="R519" i="3"/>
  <c r="S519" i="3" s="1"/>
  <c r="V519" i="3" s="1"/>
  <c r="R370" i="3"/>
  <c r="S370" i="3" s="1"/>
  <c r="V370" i="3" s="1"/>
  <c r="R483" i="3"/>
  <c r="S483" i="3" s="1"/>
  <c r="V483" i="3" s="1"/>
  <c r="R236" i="3"/>
  <c r="S236" i="3" s="1"/>
  <c r="V236" i="3" s="1"/>
  <c r="R98" i="3"/>
  <c r="S98" i="3" s="1"/>
  <c r="V98" i="3" s="1"/>
  <c r="R128" i="3"/>
  <c r="S128" i="3" s="1"/>
  <c r="V128" i="3" s="1"/>
  <c r="R435" i="3"/>
  <c r="S435" i="3" s="1"/>
  <c r="V435" i="3" s="1"/>
  <c r="R27" i="3"/>
  <c r="S27" i="3" s="1"/>
  <c r="V27" i="3" s="1"/>
  <c r="R300" i="3"/>
  <c r="S300" i="3" s="1"/>
  <c r="V300" i="3" s="1"/>
  <c r="R469" i="3"/>
  <c r="S469" i="3" s="1"/>
  <c r="V469" i="3" s="1"/>
  <c r="R149" i="3"/>
  <c r="S149" i="3" s="1"/>
  <c r="V149" i="3" s="1"/>
  <c r="R413" i="3"/>
  <c r="S413" i="3" s="1"/>
  <c r="V413" i="3" s="1"/>
  <c r="R148" i="3"/>
  <c r="S148" i="3" s="1"/>
  <c r="V148" i="3" s="1"/>
  <c r="R508" i="3"/>
  <c r="S508" i="3" s="1"/>
  <c r="V508" i="3" s="1"/>
  <c r="R180" i="3"/>
  <c r="S180" i="3" s="1"/>
  <c r="V180" i="3" s="1"/>
  <c r="R155" i="3"/>
  <c r="S155" i="3" s="1"/>
  <c r="V155" i="3" s="1"/>
  <c r="R527" i="3"/>
  <c r="S527" i="3" s="1"/>
  <c r="V527" i="3" s="1"/>
  <c r="R599" i="3"/>
  <c r="S599" i="3" s="1"/>
  <c r="V599" i="3" s="1"/>
  <c r="R282" i="3"/>
  <c r="S282" i="3" s="1"/>
  <c r="V282" i="3" s="1"/>
  <c r="R382" i="3"/>
  <c r="S382" i="3" s="1"/>
  <c r="V382" i="3" s="1"/>
  <c r="R499" i="3"/>
  <c r="S499" i="3" s="1"/>
  <c r="V499" i="3" s="1"/>
  <c r="R325" i="3"/>
  <c r="S325" i="3" s="1"/>
  <c r="V325" i="3" s="1"/>
  <c r="Q271" i="3"/>
  <c r="Q252" i="3"/>
  <c r="R23" i="3"/>
  <c r="S23" i="3" s="1"/>
  <c r="V23" i="3" s="1"/>
  <c r="R127" i="3"/>
  <c r="S127" i="3" s="1"/>
  <c r="V127" i="3" s="1"/>
  <c r="R431" i="3"/>
  <c r="S431" i="3" s="1"/>
  <c r="V431" i="3" s="1"/>
  <c r="R122" i="3"/>
  <c r="S122" i="3" s="1"/>
  <c r="V122" i="3" s="1"/>
  <c r="R205" i="3"/>
  <c r="S205" i="3" s="1"/>
  <c r="V205" i="3" s="1"/>
  <c r="R333" i="3"/>
  <c r="S333" i="3" s="1"/>
  <c r="V333" i="3" s="1"/>
  <c r="R304" i="3"/>
  <c r="S304" i="3" s="1"/>
  <c r="V304" i="3" s="1"/>
  <c r="R383" i="3"/>
  <c r="S383" i="3" s="1"/>
  <c r="V383" i="3" s="1"/>
  <c r="R388" i="3"/>
  <c r="S388" i="3" s="1"/>
  <c r="V388" i="3" s="1"/>
  <c r="R332" i="3"/>
  <c r="S332" i="3" s="1"/>
  <c r="V332" i="3" s="1"/>
  <c r="R288" i="3"/>
  <c r="S288" i="3" s="1"/>
  <c r="V288" i="3" s="1"/>
  <c r="R8" i="3"/>
  <c r="S8" i="3" s="1"/>
  <c r="V8" i="3" s="1"/>
  <c r="R398" i="3"/>
  <c r="S398" i="3" s="1"/>
  <c r="V398" i="3" s="1"/>
  <c r="R284" i="3"/>
  <c r="S284" i="3" s="1"/>
  <c r="V284" i="3" s="1"/>
  <c r="R153" i="3"/>
  <c r="S153" i="3" s="1"/>
  <c r="V153" i="3" s="1"/>
  <c r="R351" i="3"/>
  <c r="S351" i="3" s="1"/>
  <c r="V351" i="3" s="1"/>
  <c r="R209" i="3"/>
  <c r="S209" i="3" s="1"/>
  <c r="V209" i="3" s="1"/>
  <c r="R548" i="3"/>
  <c r="S548" i="3" s="1"/>
  <c r="V548" i="3" s="1"/>
  <c r="R28" i="3"/>
  <c r="S28" i="3" s="1"/>
  <c r="V28" i="3" s="1"/>
  <c r="R251" i="3"/>
  <c r="S251" i="3" s="1"/>
  <c r="Q579" i="3"/>
  <c r="R4" i="3"/>
  <c r="S4" i="3" s="1"/>
  <c r="V4" i="3" s="1"/>
  <c r="R318" i="3"/>
  <c r="S318" i="3" s="1"/>
  <c r="V318" i="3" s="1"/>
  <c r="R600" i="3"/>
  <c r="S600" i="3" s="1"/>
  <c r="V600" i="3" s="1"/>
  <c r="R551" i="3"/>
  <c r="S551" i="3" s="1"/>
  <c r="V551" i="3" s="1"/>
  <c r="R278" i="3"/>
  <c r="S278" i="3" s="1"/>
  <c r="V278" i="3" s="1"/>
  <c r="R48" i="3"/>
  <c r="S48" i="3" s="1"/>
  <c r="V48" i="3" s="1"/>
  <c r="R59" i="3"/>
  <c r="S59" i="3" s="1"/>
  <c r="V59" i="3" s="1"/>
  <c r="R373" i="3"/>
  <c r="S373" i="3" s="1"/>
  <c r="V373" i="3" s="1"/>
  <c r="R247" i="3"/>
  <c r="S247" i="3" s="1"/>
  <c r="V247" i="3" s="1"/>
  <c r="R473" i="3"/>
  <c r="S473" i="3" s="1"/>
  <c r="V473" i="3" s="1"/>
  <c r="R141" i="3"/>
  <c r="S141" i="3" s="1"/>
  <c r="V141" i="3" s="1"/>
  <c r="R418" i="3"/>
  <c r="S418" i="3" s="1"/>
  <c r="V418" i="3" s="1"/>
  <c r="R216" i="3"/>
  <c r="S216" i="3" s="1"/>
  <c r="V216" i="3" s="1"/>
  <c r="R430" i="3"/>
  <c r="S430" i="3" s="1"/>
  <c r="V430" i="3" s="1"/>
  <c r="R297" i="3"/>
  <c r="S297" i="3" s="1"/>
  <c r="V297" i="3" s="1"/>
  <c r="R338" i="3"/>
  <c r="S338" i="3" s="1"/>
  <c r="V338" i="3" s="1"/>
  <c r="R237" i="3"/>
  <c r="S237" i="3" s="1"/>
  <c r="V237" i="3" s="1"/>
  <c r="R540" i="3"/>
  <c r="S540" i="3" s="1"/>
  <c r="V540" i="3" s="1"/>
  <c r="R262" i="3"/>
  <c r="S262" i="3" s="1"/>
  <c r="V262" i="3" s="1"/>
  <c r="R415" i="3"/>
  <c r="S415" i="3" s="1"/>
  <c r="V415" i="3" s="1"/>
  <c r="R397" i="3"/>
  <c r="S397" i="3" s="1"/>
  <c r="V397" i="3" s="1"/>
  <c r="R422" i="3"/>
  <c r="S422" i="3" s="1"/>
  <c r="V422" i="3" s="1"/>
  <c r="Q573" i="3"/>
  <c r="Q315" i="3"/>
  <c r="Q102" i="3"/>
  <c r="R19" i="3"/>
  <c r="S19" i="3" s="1"/>
  <c r="V19" i="3" s="1"/>
  <c r="R550" i="3"/>
  <c r="S550" i="3" s="1"/>
  <c r="V550" i="3" s="1"/>
  <c r="R436" i="3"/>
  <c r="S436" i="3" s="1"/>
  <c r="V436" i="3" s="1"/>
  <c r="R439" i="3"/>
  <c r="S439" i="3" s="1"/>
  <c r="V439" i="3" s="1"/>
  <c r="R474" i="3"/>
  <c r="S474" i="3" s="1"/>
  <c r="V474" i="3" s="1"/>
  <c r="R293" i="3"/>
  <c r="S293" i="3" s="1"/>
  <c r="V293" i="3" s="1"/>
  <c r="R188" i="3"/>
  <c r="S188" i="3" s="1"/>
  <c r="V188" i="3" s="1"/>
  <c r="R66" i="3"/>
  <c r="S66" i="3" s="1"/>
  <c r="V66" i="3" s="1"/>
  <c r="R104" i="3"/>
  <c r="S104" i="3" s="1"/>
  <c r="V104" i="3" s="1"/>
  <c r="R246" i="3"/>
  <c r="S246" i="3" s="1"/>
  <c r="V246" i="3" s="1"/>
  <c r="R532" i="3"/>
  <c r="S532" i="3" s="1"/>
  <c r="V532" i="3" s="1"/>
  <c r="R15" i="3"/>
  <c r="S15" i="3" s="1"/>
  <c r="V15" i="3" s="1"/>
  <c r="R326" i="3"/>
  <c r="S326" i="3" s="1"/>
  <c r="V326" i="3" s="1"/>
  <c r="R479" i="3"/>
  <c r="S479" i="3" s="1"/>
  <c r="V479" i="3" s="1"/>
  <c r="R504" i="3"/>
  <c r="S504" i="3" s="1"/>
  <c r="V504" i="3" s="1"/>
  <c r="R556" i="3"/>
  <c r="S556" i="3" s="1"/>
  <c r="V556" i="3" s="1"/>
  <c r="R459" i="3"/>
  <c r="S459" i="3" s="1"/>
  <c r="V459" i="3" s="1"/>
  <c r="R191" i="3"/>
  <c r="S191" i="3" s="1"/>
  <c r="V191" i="3" s="1"/>
  <c r="R35" i="3"/>
  <c r="S35" i="3" s="1"/>
  <c r="V35" i="3" s="1"/>
  <c r="R103" i="3"/>
  <c r="S103" i="3" s="1"/>
  <c r="V103" i="3" s="1"/>
  <c r="R286" i="3"/>
  <c r="S286" i="3" s="1"/>
  <c r="V286" i="3" s="1"/>
  <c r="R157" i="3"/>
  <c r="S157" i="3" s="1"/>
  <c r="V157" i="3" s="1"/>
  <c r="R194" i="3"/>
  <c r="S194" i="3" s="1"/>
  <c r="V194" i="3" s="1"/>
  <c r="R291" i="3"/>
  <c r="S291" i="3" s="1"/>
  <c r="V291" i="3" s="1"/>
  <c r="R374" i="3"/>
  <c r="S374" i="3" s="1"/>
  <c r="V374" i="3" s="1"/>
  <c r="R67" i="3"/>
  <c r="S67" i="3" s="1"/>
  <c r="V67" i="3" s="1"/>
  <c r="Q2" i="3"/>
  <c r="R405" i="3"/>
  <c r="S405" i="3" s="1"/>
  <c r="V405" i="3" s="1"/>
  <c r="R151" i="3"/>
  <c r="S151" i="3" s="1"/>
  <c r="V151" i="3" s="1"/>
  <c r="R294" i="3"/>
  <c r="S294" i="3" s="1"/>
  <c r="V294" i="3" s="1"/>
  <c r="R168" i="3"/>
  <c r="S168" i="3" s="1"/>
  <c r="V168" i="3" s="1"/>
  <c r="R460" i="3"/>
  <c r="S460" i="3" s="1"/>
  <c r="V460" i="3" s="1"/>
  <c r="R147" i="3"/>
  <c r="S147" i="3" s="1"/>
  <c r="V147" i="3" s="1"/>
  <c r="R543" i="3"/>
  <c r="S543" i="3" s="1"/>
  <c r="V543" i="3" s="1"/>
  <c r="R92" i="3"/>
  <c r="S92" i="3" s="1"/>
  <c r="V92" i="3" s="1"/>
  <c r="Q243" i="3"/>
  <c r="R539" i="3"/>
  <c r="S539" i="3" s="1"/>
  <c r="V539" i="3" s="1"/>
  <c r="R547" i="3"/>
  <c r="S547" i="3" s="1"/>
  <c r="V547" i="3" s="1"/>
  <c r="R226" i="3"/>
  <c r="S226" i="3" s="1"/>
  <c r="V226" i="3" s="1"/>
  <c r="R58" i="3"/>
  <c r="S58" i="3" s="1"/>
  <c r="V58" i="3" s="1"/>
  <c r="R292" i="3"/>
  <c r="S292" i="3" s="1"/>
  <c r="V292" i="3" s="1"/>
  <c r="R235" i="3"/>
  <c r="S235" i="3" s="1"/>
  <c r="V235" i="3" s="1"/>
  <c r="R13" i="3"/>
  <c r="S13" i="3" s="1"/>
  <c r="V13" i="3" s="1"/>
  <c r="R558" i="3"/>
  <c r="S558" i="3" s="1"/>
  <c r="V558" i="3" s="1"/>
  <c r="R143" i="3"/>
  <c r="S143" i="3" s="1"/>
  <c r="V143" i="3" s="1"/>
  <c r="R299" i="3"/>
  <c r="S299" i="3" s="1"/>
  <c r="V299" i="3" s="1"/>
  <c r="Q317" i="3"/>
  <c r="Q158" i="3"/>
  <c r="Q485" i="3"/>
  <c r="R590" i="3"/>
  <c r="S590" i="3" s="1"/>
  <c r="V590" i="3" s="1"/>
  <c r="R417" i="3"/>
  <c r="S417" i="3" s="1"/>
  <c r="V417" i="3" s="1"/>
  <c r="R171" i="3"/>
  <c r="S171" i="3" s="1"/>
  <c r="V171" i="3" s="1"/>
  <c r="R329" i="3"/>
  <c r="S329" i="3" s="1"/>
  <c r="V329" i="3" s="1"/>
  <c r="R260" i="3"/>
  <c r="S260" i="3" s="1"/>
  <c r="V260" i="3" s="1"/>
  <c r="R264" i="3"/>
  <c r="S264" i="3" s="1"/>
  <c r="V264" i="3" s="1"/>
  <c r="R78" i="3"/>
  <c r="S78" i="3" s="1"/>
  <c r="V78" i="3" s="1"/>
  <c r="R272" i="3"/>
  <c r="S272" i="3" s="1"/>
  <c r="V272" i="3" s="1"/>
  <c r="R594" i="3"/>
  <c r="S594" i="3" s="1"/>
  <c r="V594" i="3" s="1"/>
  <c r="R343" i="3"/>
  <c r="S343" i="3" s="1"/>
  <c r="V343" i="3" s="1"/>
  <c r="R11" i="3"/>
  <c r="S11" i="3" s="1"/>
  <c r="V11" i="3" s="1"/>
  <c r="R146" i="3"/>
  <c r="S146" i="3" s="1"/>
  <c r="V146" i="3" s="1"/>
  <c r="R238" i="3"/>
  <c r="S238" i="3" s="1"/>
  <c r="V238" i="3" s="1"/>
  <c r="R359" i="3"/>
  <c r="S359" i="3" s="1"/>
  <c r="V359" i="3" s="1"/>
  <c r="R502" i="3"/>
  <c r="S502" i="3" s="1"/>
  <c r="V502" i="3" s="1"/>
  <c r="R199" i="3"/>
  <c r="S199" i="3" s="1"/>
  <c r="V199" i="3" s="1"/>
  <c r="R54" i="3"/>
  <c r="S54" i="3" s="1"/>
  <c r="V54" i="3" s="1"/>
  <c r="R212" i="3"/>
  <c r="S212" i="3" s="1"/>
  <c r="V212" i="3" s="1"/>
  <c r="R285" i="3"/>
  <c r="S285" i="3" s="1"/>
  <c r="V285" i="3" s="1"/>
  <c r="R20" i="3"/>
  <c r="S20" i="3" s="1"/>
  <c r="V20" i="3" s="1"/>
  <c r="R268" i="3"/>
  <c r="S268" i="3" s="1"/>
  <c r="V268" i="3" s="1"/>
  <c r="R6" i="3"/>
  <c r="S6" i="3" s="1"/>
  <c r="V6" i="3" s="1"/>
  <c r="R276" i="3"/>
  <c r="S276" i="3" s="1"/>
  <c r="V276" i="3" s="1"/>
  <c r="R114" i="3"/>
  <c r="S114" i="3" s="1"/>
  <c r="V114" i="3" s="1"/>
  <c r="R162" i="3"/>
  <c r="S162" i="3" s="1"/>
  <c r="V162" i="3" s="1"/>
  <c r="R575" i="3"/>
  <c r="S575" i="3" s="1"/>
  <c r="V575" i="3" s="1"/>
  <c r="R69" i="3"/>
  <c r="S69" i="3" s="1"/>
  <c r="V69" i="3" s="1"/>
  <c r="R516" i="3"/>
  <c r="S516" i="3" s="1"/>
  <c r="V516" i="3" s="1"/>
  <c r="R498" i="3"/>
  <c r="S498" i="3" s="1"/>
  <c r="V498" i="3" s="1"/>
  <c r="R463" i="3"/>
  <c r="S463" i="3" s="1"/>
  <c r="V463" i="3" s="1"/>
  <c r="R348" i="3"/>
  <c r="S348" i="3" s="1"/>
  <c r="V348" i="3" s="1"/>
  <c r="R174" i="3"/>
  <c r="S174" i="3" s="1"/>
  <c r="V174" i="3" s="1"/>
  <c r="R197" i="3"/>
  <c r="S197" i="3" s="1"/>
  <c r="V197" i="3" s="1"/>
  <c r="R99" i="3"/>
  <c r="S99" i="3" s="1"/>
  <c r="V99" i="3" s="1"/>
  <c r="R355" i="3"/>
  <c r="S355" i="3" s="1"/>
  <c r="V355" i="3" s="1"/>
  <c r="R126" i="3"/>
  <c r="S126" i="3" s="1"/>
  <c r="V126" i="3" s="1"/>
  <c r="R466" i="3"/>
  <c r="S466" i="3" s="1"/>
  <c r="V466" i="3" s="1"/>
  <c r="R29" i="3"/>
  <c r="S29" i="3" s="1"/>
  <c r="V29" i="3" s="1"/>
  <c r="R500" i="3"/>
  <c r="S500" i="3" s="1"/>
  <c r="V500" i="3" s="1"/>
  <c r="R487" i="3"/>
  <c r="S487" i="3" s="1"/>
  <c r="V487" i="3" s="1"/>
  <c r="R255" i="3"/>
  <c r="S255" i="3" s="1"/>
  <c r="V255" i="3" s="1"/>
  <c r="R117" i="3"/>
  <c r="S117" i="3" s="1"/>
  <c r="V117" i="3" s="1"/>
  <c r="R159" i="3"/>
  <c r="S159" i="3" s="1"/>
  <c r="V159" i="3" s="1"/>
  <c r="R514" i="3"/>
  <c r="S514" i="3" s="1"/>
  <c r="V514" i="3" s="1"/>
  <c r="R283" i="3"/>
  <c r="S283" i="3" s="1"/>
  <c r="V283" i="3" s="1"/>
  <c r="R591" i="3"/>
  <c r="S591" i="3" s="1"/>
  <c r="V591" i="3" s="1"/>
  <c r="R131" i="3"/>
  <c r="S131" i="3" s="1"/>
  <c r="V131" i="3" s="1"/>
  <c r="R253" i="3"/>
  <c r="S253" i="3" s="1"/>
  <c r="V253" i="3" s="1"/>
  <c r="R507" i="3"/>
  <c r="S507" i="3" s="1"/>
  <c r="V507" i="3" s="1"/>
  <c r="R60" i="3"/>
  <c r="S60" i="3" s="1"/>
  <c r="V60" i="3" s="1"/>
  <c r="R266" i="3"/>
  <c r="S266" i="3" s="1"/>
  <c r="V266" i="3" s="1"/>
  <c r="R125" i="3"/>
  <c r="S125" i="3" s="1"/>
  <c r="V125" i="3" s="1"/>
  <c r="R109" i="3"/>
  <c r="S109" i="3" s="1"/>
  <c r="V109" i="3" s="1"/>
  <c r="R234" i="3"/>
  <c r="S234" i="3" s="1"/>
  <c r="V234" i="3" s="1"/>
  <c r="R21" i="3"/>
  <c r="S21" i="3" s="1"/>
  <c r="V21" i="3" s="1"/>
  <c r="R200" i="3"/>
  <c r="S200" i="3" s="1"/>
  <c r="V200" i="3" s="1"/>
  <c r="R311" i="3"/>
  <c r="S311" i="3" s="1"/>
  <c r="V311" i="3" s="1"/>
  <c r="R244" i="3"/>
  <c r="S244" i="3" s="1"/>
  <c r="V244" i="3" s="1"/>
  <c r="R535" i="3"/>
  <c r="S535" i="3" s="1"/>
  <c r="V535" i="3" s="1"/>
  <c r="R453" i="3"/>
  <c r="S453" i="3" s="1"/>
  <c r="V453" i="3" s="1"/>
  <c r="R406" i="3"/>
  <c r="S406" i="3" s="1"/>
  <c r="V406" i="3" s="1"/>
  <c r="R495" i="3"/>
  <c r="S495" i="3" s="1"/>
  <c r="V495" i="3" s="1"/>
  <c r="R90" i="3"/>
  <c r="S90" i="3" s="1"/>
  <c r="V90" i="3" s="1"/>
  <c r="R523" i="3"/>
  <c r="S523" i="3" s="1"/>
  <c r="V523" i="3" s="1"/>
  <c r="R375" i="3"/>
  <c r="S375" i="3" s="1"/>
  <c r="V375" i="3" s="1"/>
  <c r="R339" i="3"/>
  <c r="S339" i="3" s="1"/>
  <c r="V339" i="3" s="1"/>
  <c r="R423" i="3"/>
  <c r="S423" i="3" s="1"/>
  <c r="V423" i="3" s="1"/>
  <c r="R438" i="3"/>
  <c r="S438" i="3" s="1"/>
  <c r="V438" i="3" s="1"/>
  <c r="R308" i="3"/>
  <c r="S308" i="3" s="1"/>
  <c r="V308" i="3" s="1"/>
  <c r="R347" i="3"/>
  <c r="S347" i="3" s="1"/>
  <c r="V347" i="3" s="1"/>
  <c r="R245" i="3"/>
  <c r="S245" i="3" s="1"/>
  <c r="V245" i="3" s="1"/>
  <c r="R181" i="3"/>
  <c r="S181" i="3" s="1"/>
  <c r="V181" i="3" s="1"/>
  <c r="R91" i="3"/>
  <c r="S91" i="3" s="1"/>
  <c r="V91" i="3" s="1"/>
  <c r="R225" i="3"/>
  <c r="S225" i="3" s="1"/>
  <c r="V225" i="3" s="1"/>
  <c r="R602" i="3"/>
  <c r="S602" i="3" s="1"/>
  <c r="V602" i="3" s="1"/>
  <c r="R563" i="3"/>
  <c r="S563" i="3" s="1"/>
  <c r="V563" i="3" s="1"/>
  <c r="R581" i="3"/>
  <c r="S581" i="3" s="1"/>
  <c r="V581" i="3" s="1"/>
  <c r="R582" i="3"/>
  <c r="S582" i="3" s="1"/>
  <c r="V582" i="3" s="1"/>
  <c r="Q301" i="3"/>
  <c r="Q399" i="3"/>
  <c r="Q47" i="3"/>
  <c r="R47" i="3"/>
  <c r="S47" i="3" s="1"/>
  <c r="V47" i="3" s="1"/>
  <c r="R133" i="3"/>
  <c r="S133" i="3" s="1"/>
  <c r="V133" i="3" s="1"/>
  <c r="R391" i="3"/>
  <c r="S391" i="3" s="1"/>
  <c r="V391" i="3" s="1"/>
  <c r="R505" i="3"/>
  <c r="S505" i="3" s="1"/>
  <c r="V505" i="3" s="1"/>
  <c r="R130" i="3"/>
  <c r="S130" i="3" s="1"/>
  <c r="V130" i="3" s="1"/>
  <c r="R7" i="3"/>
  <c r="S7" i="3" s="1"/>
  <c r="V7" i="3" s="1"/>
  <c r="Q363" i="3"/>
  <c r="Q559" i="3"/>
  <c r="Q564" i="3"/>
  <c r="Q30" i="3"/>
  <c r="Q198" i="3"/>
  <c r="Q429" i="3"/>
  <c r="Q70" i="3"/>
  <c r="R259" i="3"/>
  <c r="S259" i="3" s="1"/>
  <c r="V259" i="3" s="1"/>
  <c r="R492" i="3"/>
  <c r="S492" i="3" s="1"/>
  <c r="V492" i="3" s="1"/>
  <c r="R322" i="3"/>
  <c r="S322" i="3" s="1"/>
  <c r="V322" i="3" s="1"/>
  <c r="R571" i="3"/>
  <c r="S571" i="3" s="1"/>
  <c r="V571" i="3" s="1"/>
  <c r="R574" i="3"/>
  <c r="S574" i="3" s="1"/>
  <c r="V574" i="3" s="1"/>
  <c r="R451" i="3"/>
  <c r="S451" i="3" s="1"/>
  <c r="V451" i="3" s="1"/>
  <c r="R533" i="3"/>
  <c r="S533" i="3" s="1"/>
  <c r="V533" i="3" s="1"/>
  <c r="R176" i="3"/>
  <c r="S176" i="3" s="1"/>
  <c r="V176" i="3" s="1"/>
  <c r="R395" i="3"/>
  <c r="S395" i="3" s="1"/>
  <c r="V395" i="3" s="1"/>
  <c r="R63" i="3"/>
  <c r="S63" i="3" s="1"/>
  <c r="V63" i="3" s="1"/>
  <c r="R68" i="3"/>
  <c r="S68" i="3" s="1"/>
  <c r="V68" i="3" s="1"/>
  <c r="R378" i="3"/>
  <c r="S378" i="3" s="1"/>
  <c r="V378" i="3" s="1"/>
  <c r="R43" i="3"/>
  <c r="S43" i="3" s="1"/>
  <c r="V43" i="3" s="1"/>
  <c r="R455" i="3"/>
  <c r="S455" i="3" s="1"/>
  <c r="V455" i="3" s="1"/>
  <c r="R206" i="3"/>
  <c r="S206" i="3" s="1"/>
  <c r="V206" i="3" s="1"/>
  <c r="R116" i="3"/>
  <c r="S116" i="3" s="1"/>
  <c r="V116" i="3" s="1"/>
  <c r="R446" i="3"/>
  <c r="S446" i="3" s="1"/>
  <c r="V446" i="3" s="1"/>
  <c r="R501" i="3"/>
  <c r="S501" i="3" s="1"/>
  <c r="V501" i="3" s="1"/>
  <c r="R566" i="3"/>
  <c r="S566" i="3" s="1"/>
  <c r="V566" i="3" s="1"/>
  <c r="R427" i="3"/>
  <c r="S427" i="3" s="1"/>
  <c r="V427" i="3" s="1"/>
  <c r="R461" i="3"/>
  <c r="S461" i="3" s="1"/>
  <c r="V461" i="3" s="1"/>
  <c r="R242" i="3"/>
  <c r="S242" i="3" s="1"/>
  <c r="V242" i="3" s="1"/>
  <c r="R261" i="3"/>
  <c r="S261" i="3" s="1"/>
  <c r="V261" i="3" s="1"/>
  <c r="R513" i="3"/>
  <c r="S513" i="3" s="1"/>
  <c r="V513" i="3" s="1"/>
  <c r="R503" i="3"/>
  <c r="S503" i="3" s="1"/>
  <c r="V503" i="3" s="1"/>
  <c r="R223" i="3"/>
  <c r="S223" i="3" s="1"/>
  <c r="V223" i="3" s="1"/>
  <c r="R402" i="3"/>
  <c r="S402" i="3" s="1"/>
  <c r="V402" i="3" s="1"/>
  <c r="R172" i="3"/>
  <c r="S172" i="3" s="1"/>
  <c r="V172" i="3" s="1"/>
  <c r="R491" i="3"/>
  <c r="S491" i="3" s="1"/>
  <c r="V491" i="3" s="1"/>
  <c r="Q55" i="3"/>
  <c r="Q412" i="3"/>
  <c r="Q525" i="3"/>
  <c r="Q195" i="3"/>
  <c r="Q85" i="3"/>
  <c r="Q331" i="3"/>
  <c r="Q222" i="3"/>
  <c r="Q493" i="3"/>
  <c r="Q587" i="3"/>
  <c r="R587" i="3"/>
  <c r="S587" i="3" s="1"/>
  <c r="V587" i="3" s="1"/>
  <c r="R589" i="3"/>
  <c r="S589" i="3" s="1"/>
  <c r="V589" i="3" s="1"/>
  <c r="R138" i="3"/>
  <c r="S138" i="3" s="1"/>
  <c r="V138" i="3" s="1"/>
  <c r="R220" i="3"/>
  <c r="S220" i="3" s="1"/>
  <c r="V220" i="3" s="1"/>
  <c r="R323" i="3"/>
  <c r="S323" i="3" s="1"/>
  <c r="V323" i="3" s="1"/>
  <c r="R267" i="3"/>
  <c r="S267" i="3" s="1"/>
  <c r="V267" i="3" s="1"/>
  <c r="R421" i="3"/>
  <c r="S421" i="3" s="1"/>
  <c r="V421" i="3" s="1"/>
  <c r="R515" i="3"/>
  <c r="S515" i="3" s="1"/>
  <c r="V515" i="3" s="1"/>
  <c r="R187" i="3"/>
  <c r="S187" i="3" s="1"/>
  <c r="V187" i="3" s="1"/>
  <c r="R557" i="3"/>
  <c r="S557" i="3" s="1"/>
  <c r="V557" i="3" s="1"/>
  <c r="R583" i="3"/>
  <c r="S583" i="3" s="1"/>
  <c r="V583" i="3" s="1"/>
  <c r="R227" i="3"/>
  <c r="S227" i="3" s="1"/>
  <c r="V227" i="3" s="1"/>
  <c r="R170" i="3"/>
  <c r="S170" i="3" s="1"/>
  <c r="V170" i="3" s="1"/>
  <c r="R108" i="3"/>
  <c r="S108" i="3" s="1"/>
  <c r="V108" i="3" s="1"/>
  <c r="R555" i="3"/>
  <c r="S555" i="3" s="1"/>
  <c r="V555" i="3" s="1"/>
  <c r="R389" i="3"/>
  <c r="S389" i="3" s="1"/>
  <c r="V389" i="3" s="1"/>
  <c r="R218" i="3"/>
  <c r="S218" i="3" s="1"/>
  <c r="V218" i="3" s="1"/>
  <c r="R257" i="3"/>
  <c r="S257" i="3" s="1"/>
  <c r="V257" i="3" s="1"/>
  <c r="R372" i="3"/>
  <c r="S372" i="3" s="1"/>
  <c r="V372" i="3" s="1"/>
  <c r="R482" i="3"/>
  <c r="S482" i="3" s="1"/>
  <c r="V482" i="3" s="1"/>
  <c r="R31" i="3"/>
  <c r="S31" i="3" s="1"/>
  <c r="V31" i="3" s="1"/>
  <c r="R96" i="3"/>
  <c r="S96" i="3" s="1"/>
  <c r="V96" i="3" s="1"/>
  <c r="R161" i="3"/>
  <c r="S161" i="3" s="1"/>
  <c r="V161" i="3" s="1"/>
  <c r="R163" i="3"/>
  <c r="S163" i="3" s="1"/>
  <c r="V163" i="3" s="1"/>
  <c r="R335" i="3"/>
  <c r="S335" i="3" s="1"/>
  <c r="V335" i="3" s="1"/>
  <c r="R186" i="3"/>
  <c r="S186" i="3" s="1"/>
  <c r="V186" i="3" s="1"/>
  <c r="R164" i="3"/>
  <c r="S164" i="3" s="1"/>
  <c r="V164" i="3" s="1"/>
  <c r="R476" i="3"/>
  <c r="S476" i="3" s="1"/>
  <c r="V476" i="3" s="1"/>
  <c r="R160" i="3"/>
  <c r="S160" i="3" s="1"/>
  <c r="V160" i="3" s="1"/>
  <c r="T426" i="3"/>
  <c r="T424" i="3"/>
  <c r="T55" i="3"/>
  <c r="T254" i="3"/>
  <c r="T412" i="3"/>
  <c r="T525" i="3"/>
  <c r="T195" i="3"/>
  <c r="T579" i="3"/>
  <c r="T230" i="3"/>
  <c r="T85" i="3"/>
  <c r="T331" i="3"/>
  <c r="T222" i="3"/>
  <c r="T77" i="3"/>
  <c r="T50" i="3"/>
  <c r="T452" i="3"/>
  <c r="T493" i="3"/>
  <c r="T362" i="3"/>
  <c r="T522" i="3"/>
  <c r="T592" i="3"/>
  <c r="T384" i="3"/>
  <c r="T317" i="3"/>
  <c r="T37" i="3"/>
  <c r="T315" i="3"/>
  <c r="T166" i="3"/>
  <c r="T271" i="3"/>
  <c r="T119" i="3"/>
  <c r="T158" i="3"/>
  <c r="T252" i="3"/>
  <c r="T239" i="3"/>
  <c r="T61" i="3"/>
  <c r="T554" i="3"/>
  <c r="T360" i="3"/>
  <c r="T584" i="3"/>
  <c r="T586" i="3"/>
  <c r="T552" i="3"/>
  <c r="T490" i="3"/>
  <c r="T576" i="3"/>
  <c r="T336" i="3"/>
  <c r="T312" i="3"/>
  <c r="T270" i="3"/>
  <c r="T18" i="3"/>
  <c r="T102" i="3"/>
  <c r="T134" i="3"/>
  <c r="T243" i="3"/>
  <c r="T94" i="3"/>
  <c r="T179" i="3"/>
  <c r="T485" i="3"/>
  <c r="T301" i="3"/>
  <c r="T399" i="3"/>
  <c r="T458" i="3"/>
  <c r="T528" i="3"/>
  <c r="T544" i="3"/>
  <c r="T560" i="3"/>
  <c r="T363" i="3"/>
  <c r="T573" i="3"/>
  <c r="T62" i="3"/>
  <c r="T368" i="3"/>
  <c r="T269" i="3"/>
  <c r="T221" i="3"/>
  <c r="T387" i="3"/>
  <c r="T559" i="3"/>
  <c r="T38" i="3"/>
  <c r="T448" i="3"/>
  <c r="T564" i="3"/>
  <c r="T30" i="3"/>
  <c r="T198" i="3"/>
  <c r="T429" i="3"/>
  <c r="T70" i="3"/>
  <c r="S593" i="3"/>
  <c r="V593" i="3" s="1"/>
  <c r="S440" i="3"/>
  <c r="V440" i="3" s="1"/>
  <c r="S420" i="3"/>
  <c r="V420" i="3" s="1"/>
  <c r="S521" i="3"/>
  <c r="V521" i="3" s="1"/>
  <c r="S201" i="3"/>
  <c r="V201" i="3" s="1"/>
  <c r="S478" i="3"/>
  <c r="V478" i="3" s="1"/>
  <c r="S537" i="3"/>
  <c r="V537" i="3" s="1"/>
  <c r="S289" i="3"/>
  <c r="V289" i="3" s="1"/>
  <c r="S545" i="3"/>
  <c r="V545" i="3" s="1"/>
  <c r="S150" i="3"/>
  <c r="V150" i="3" s="1"/>
  <c r="S442" i="3"/>
  <c r="V442" i="3" s="1"/>
  <c r="S228" i="3"/>
  <c r="V228" i="3" s="1"/>
  <c r="S346" i="3"/>
  <c r="V346" i="3" s="1"/>
  <c r="S390" i="3"/>
  <c r="V390" i="3" s="1"/>
  <c r="S81" i="3"/>
  <c r="V81" i="3" s="1"/>
  <c r="S530" i="3"/>
  <c r="V530" i="3" s="1"/>
  <c r="S341" i="3"/>
  <c r="V341" i="3" s="1"/>
  <c r="S34" i="3"/>
  <c r="V34" i="3" s="1"/>
  <c r="S192" i="3"/>
  <c r="V192" i="3" s="1"/>
  <c r="S56" i="3"/>
  <c r="V56" i="3" s="1"/>
  <c r="S410" i="3"/>
  <c r="V410" i="3" s="1"/>
  <c r="S121" i="3"/>
  <c r="V121" i="3" s="1"/>
  <c r="S433" i="3"/>
  <c r="V433" i="3" s="1"/>
  <c r="S177" i="3"/>
  <c r="V177" i="3" s="1"/>
  <c r="S74" i="3"/>
  <c r="V74" i="3" s="1"/>
  <c r="S248" i="3"/>
  <c r="V248" i="3" s="1"/>
  <c r="S400" i="3"/>
  <c r="V400" i="3" s="1"/>
  <c r="S224" i="3"/>
  <c r="V224" i="3" s="1"/>
  <c r="S369" i="3"/>
  <c r="V369" i="3" s="1"/>
  <c r="S185" i="3"/>
  <c r="V185" i="3" s="1"/>
  <c r="S401" i="3"/>
  <c r="V401" i="3" s="1"/>
  <c r="S113" i="3"/>
  <c r="V113" i="3" s="1"/>
  <c r="S334" i="3"/>
  <c r="V334" i="3" s="1"/>
  <c r="S542" i="3"/>
  <c r="V542" i="3" s="1"/>
  <c r="S345" i="3"/>
  <c r="V345" i="3" s="1"/>
  <c r="S434" i="3"/>
  <c r="V434" i="3" s="1"/>
  <c r="S393" i="3"/>
  <c r="V393" i="3" s="1"/>
  <c r="S385" i="3"/>
  <c r="V385" i="3" s="1"/>
  <c r="S361" i="3"/>
  <c r="V361" i="3" s="1"/>
  <c r="S33" i="3"/>
  <c r="V33" i="3" s="1"/>
  <c r="S344" i="3"/>
  <c r="V344" i="3" s="1"/>
  <c r="S480" i="3"/>
  <c r="V480" i="3" s="1"/>
  <c r="S578" i="3"/>
  <c r="V578" i="3" s="1"/>
  <c r="S249" i="3"/>
  <c r="V249" i="3" s="1"/>
  <c r="S392" i="3"/>
  <c r="V392" i="3" s="1"/>
  <c r="S454" i="3"/>
  <c r="V454" i="3" s="1"/>
  <c r="S321" i="3"/>
  <c r="V321" i="3" s="1"/>
  <c r="S394" i="3"/>
  <c r="V394" i="3" s="1"/>
  <c r="S352" i="3"/>
  <c r="V352" i="3" s="1"/>
  <c r="S456" i="3"/>
  <c r="V456" i="3" s="1"/>
  <c r="S464" i="3"/>
  <c r="V464" i="3" s="1"/>
  <c r="S184" i="3"/>
  <c r="V184" i="3" s="1"/>
  <c r="S470" i="3"/>
  <c r="V470" i="3" s="1"/>
  <c r="S193" i="3"/>
  <c r="V193" i="3" s="1"/>
  <c r="S210" i="3"/>
  <c r="V210" i="3" s="1"/>
  <c r="S97" i="3"/>
  <c r="V97" i="3" s="1"/>
  <c r="S152" i="3"/>
  <c r="V152" i="3" s="1"/>
  <c r="S416" i="3"/>
  <c r="V416" i="3" s="1"/>
  <c r="S72" i="3"/>
  <c r="V72" i="3" s="1"/>
  <c r="S144" i="3"/>
  <c r="V144" i="3" s="1"/>
  <c r="S241" i="3"/>
  <c r="V241" i="3" s="1"/>
  <c r="S310" i="3"/>
  <c r="V310" i="3" s="1"/>
  <c r="S506" i="3"/>
  <c r="V506" i="3" s="1"/>
  <c r="S409" i="3"/>
  <c r="V409" i="3" s="1"/>
  <c r="S178" i="3"/>
  <c r="V178" i="3" s="1"/>
  <c r="S145" i="3"/>
  <c r="V145" i="3" s="1"/>
  <c r="S22" i="3"/>
  <c r="V22" i="3" s="1"/>
  <c r="S41" i="3"/>
  <c r="V41" i="3" s="1"/>
  <c r="S366" i="3"/>
  <c r="V366" i="3" s="1"/>
  <c r="S14" i="3"/>
  <c r="V14" i="3" s="1"/>
  <c r="S457" i="3"/>
  <c r="V457" i="3" s="1"/>
  <c r="S240" i="3"/>
  <c r="V240" i="3" s="1"/>
  <c r="S320" i="3"/>
  <c r="V320" i="3" s="1"/>
  <c r="S313" i="3"/>
  <c r="V313" i="3" s="1"/>
  <c r="S569" i="3"/>
  <c r="V569" i="3" s="1"/>
  <c r="S265" i="3"/>
  <c r="V265" i="3" s="1"/>
  <c r="S290" i="3"/>
  <c r="V290" i="3" s="1"/>
  <c r="S328" i="3"/>
  <c r="V328" i="3" s="1"/>
  <c r="S32" i="3"/>
  <c r="V32" i="3" s="1"/>
  <c r="S280" i="3"/>
  <c r="V280" i="3" s="1"/>
  <c r="S64" i="3"/>
  <c r="V64" i="3" s="1"/>
  <c r="S449" i="3"/>
  <c r="V449" i="3" s="1"/>
  <c r="S10" i="3"/>
  <c r="V10" i="3" s="1"/>
  <c r="S486" i="3"/>
  <c r="V486" i="3" s="1"/>
  <c r="S26" i="3"/>
  <c r="V26" i="3" s="1"/>
  <c r="S305" i="3"/>
  <c r="V305" i="3" s="1"/>
  <c r="S561" i="3"/>
  <c r="V561" i="3" s="1"/>
  <c r="S136" i="3"/>
  <c r="V136" i="3" s="1"/>
  <c r="S16" i="3"/>
  <c r="V16" i="3" s="1"/>
  <c r="S358" i="3"/>
  <c r="V358" i="3" s="1"/>
  <c r="S512" i="3"/>
  <c r="V512" i="3" s="1"/>
  <c r="S342" i="3"/>
  <c r="V342" i="3" s="1"/>
  <c r="S273" i="3"/>
  <c r="V273" i="3" s="1"/>
  <c r="S529" i="3"/>
  <c r="V529" i="3" s="1"/>
  <c r="S306" i="3"/>
  <c r="V306" i="3" s="1"/>
  <c r="S432" i="3"/>
  <c r="V432" i="3" s="1"/>
  <c r="S73" i="3"/>
  <c r="V73" i="3" s="1"/>
  <c r="S414" i="3"/>
  <c r="V414" i="3" s="1"/>
  <c r="S314" i="3"/>
  <c r="V314" i="3" s="1"/>
  <c r="S51" i="3"/>
  <c r="V51" i="3" s="1"/>
  <c r="S89" i="3"/>
  <c r="V89" i="3" s="1"/>
  <c r="S481" i="3"/>
  <c r="V481" i="3" s="1"/>
  <c r="S214" i="3"/>
  <c r="V214" i="3" s="1"/>
  <c r="S386" i="3"/>
  <c r="V386" i="3" s="1"/>
  <c r="S489" i="3"/>
  <c r="V489" i="3" s="1"/>
  <c r="S377" i="3"/>
  <c r="V377" i="3" s="1"/>
  <c r="S65" i="3"/>
  <c r="V65" i="3" s="1"/>
  <c r="S118" i="3"/>
  <c r="V118" i="3" s="1"/>
  <c r="S570" i="3"/>
  <c r="V570" i="3" s="1"/>
  <c r="S330" i="3"/>
  <c r="V330" i="3" s="1"/>
  <c r="S520" i="3"/>
  <c r="V520" i="3" s="1"/>
  <c r="S488" i="3"/>
  <c r="V488" i="3" s="1"/>
  <c r="T2" i="3" l="1"/>
  <c r="T4" i="3"/>
  <c r="T126" i="3"/>
  <c r="T445" i="3"/>
  <c r="T428" i="3"/>
  <c r="T367" i="3"/>
  <c r="T82" i="3"/>
  <c r="T139" i="3"/>
  <c r="T443" i="3"/>
  <c r="T47" i="3"/>
  <c r="T190" i="3"/>
  <c r="V190" i="3"/>
  <c r="T251" i="3"/>
  <c r="V251" i="3"/>
  <c r="T115" i="3"/>
  <c r="V115" i="3"/>
  <c r="T587" i="3"/>
  <c r="T589" i="3"/>
  <c r="T116" i="3"/>
  <c r="T432" i="3"/>
  <c r="T96" i="3"/>
  <c r="T279" i="3"/>
  <c r="T144" i="3"/>
  <c r="T464" i="3"/>
  <c r="T327" i="3"/>
  <c r="T492" i="3"/>
  <c r="T256" i="3"/>
  <c r="T237" i="3"/>
  <c r="T247" i="3"/>
  <c r="T75" i="3"/>
  <c r="T602" i="3"/>
  <c r="T532" i="3"/>
  <c r="T565" i="3"/>
  <c r="T206" i="3"/>
  <c r="T526" i="3"/>
  <c r="T293" i="3"/>
  <c r="T473" i="3"/>
  <c r="T306" i="3"/>
  <c r="T491" i="3"/>
  <c r="T512" i="3"/>
  <c r="T499" i="3"/>
  <c r="T568" i="3"/>
  <c r="T26" i="3"/>
  <c r="T216" i="3"/>
  <c r="T280" i="3"/>
  <c r="T534" i="3"/>
  <c r="T32" i="3"/>
  <c r="T290" i="3"/>
  <c r="T461" i="3"/>
  <c r="T9" i="3"/>
  <c r="T501" i="3"/>
  <c r="T425" i="3"/>
  <c r="T5" i="3"/>
  <c r="T135" i="3"/>
  <c r="T375" i="3"/>
  <c r="T465" i="3"/>
  <c r="T326" i="3"/>
  <c r="T416" i="3"/>
  <c r="T164" i="3"/>
  <c r="T6" i="3"/>
  <c r="T227" i="3"/>
  <c r="T403" i="3"/>
  <c r="T550" i="3"/>
  <c r="T307" i="3"/>
  <c r="T352" i="3"/>
  <c r="T454" i="3"/>
  <c r="T536" i="3"/>
  <c r="T112" i="3"/>
  <c r="T480" i="3"/>
  <c r="T558" i="3"/>
  <c r="T69" i="3"/>
  <c r="T444" i="3"/>
  <c r="T345" i="3"/>
  <c r="T334" i="3"/>
  <c r="T103" i="3"/>
  <c r="T597" i="3"/>
  <c r="T12" i="3"/>
  <c r="T44" i="3"/>
  <c r="T93" i="3"/>
  <c r="T107" i="3"/>
  <c r="T523" i="3"/>
  <c r="T259" i="3"/>
  <c r="T34" i="3"/>
  <c r="T11" i="3"/>
  <c r="T25" i="3"/>
  <c r="T282" i="3"/>
  <c r="T438" i="3"/>
  <c r="T600" i="3"/>
  <c r="T442" i="3"/>
  <c r="T511" i="3"/>
  <c r="T487" i="3"/>
  <c r="T478" i="3"/>
  <c r="T440" i="3"/>
  <c r="T539" i="3"/>
  <c r="T374" i="3"/>
  <c r="T261" i="3"/>
  <c r="T182" i="3"/>
  <c r="T409" i="3"/>
  <c r="T193" i="3"/>
  <c r="T287" i="3"/>
  <c r="T601" i="3"/>
  <c r="T551" i="3"/>
  <c r="T413" i="3"/>
  <c r="T148" i="3"/>
  <c r="T245" i="3"/>
  <c r="T572" i="3"/>
  <c r="T439" i="3"/>
  <c r="T529" i="3"/>
  <c r="T594" i="3"/>
  <c r="T422" i="3"/>
  <c r="T382" i="3"/>
  <c r="T561" i="3"/>
  <c r="T264" i="3"/>
  <c r="T467" i="3"/>
  <c r="T395" i="3"/>
  <c r="T533" i="3"/>
  <c r="T598" i="3"/>
  <c r="T513" i="3"/>
  <c r="T265" i="3"/>
  <c r="T468" i="3"/>
  <c r="T120" i="3"/>
  <c r="T391" i="3"/>
  <c r="T22" i="3"/>
  <c r="T178" i="3"/>
  <c r="T63" i="3"/>
  <c r="T278" i="3"/>
  <c r="T563" i="3"/>
  <c r="T27" i="3"/>
  <c r="T173" i="3"/>
  <c r="T274" i="3"/>
  <c r="T557" i="3"/>
  <c r="T3" i="3"/>
  <c r="T59" i="3"/>
  <c r="T8" i="3"/>
  <c r="T215" i="3"/>
  <c r="T153" i="3"/>
  <c r="T505" i="3"/>
  <c r="T335" i="3"/>
  <c r="T244" i="3"/>
  <c r="T302" i="3"/>
  <c r="T86" i="3"/>
  <c r="T304" i="3"/>
  <c r="T567" i="3"/>
  <c r="T204" i="3"/>
  <c r="T482" i="3"/>
  <c r="T400" i="3"/>
  <c r="T147" i="3"/>
  <c r="T338" i="3"/>
  <c r="T35" i="3"/>
  <c r="T124" i="3"/>
  <c r="T373" i="3"/>
  <c r="T318" i="3"/>
  <c r="T149" i="3"/>
  <c r="T220" i="3"/>
  <c r="T389" i="3"/>
  <c r="T441" i="3"/>
  <c r="T309" i="3"/>
  <c r="T553" i="3"/>
  <c r="T13" i="3"/>
  <c r="T255" i="3"/>
  <c r="T484" i="3"/>
  <c r="T201" i="3"/>
  <c r="T593" i="3"/>
  <c r="T137" i="3"/>
  <c r="T187" i="3"/>
  <c r="T141" i="3"/>
  <c r="T508" i="3"/>
  <c r="T300" i="3"/>
  <c r="T456" i="3"/>
  <c r="T294" i="3"/>
  <c r="T410" i="3"/>
  <c r="T390" i="3"/>
  <c r="T21" i="3"/>
  <c r="T214" i="3"/>
  <c r="T273" i="3"/>
  <c r="T358" i="3"/>
  <c r="T292" i="3"/>
  <c r="T305" i="3"/>
  <c r="T104" i="3"/>
  <c r="T449" i="3"/>
  <c r="T29" i="3"/>
  <c r="T277" i="3"/>
  <c r="T515" i="3"/>
  <c r="T351" i="3"/>
  <c r="T100" i="3"/>
  <c r="T183" i="3"/>
  <c r="T483" i="3"/>
  <c r="T366" i="3"/>
  <c r="T402" i="3"/>
  <c r="T378" i="3"/>
  <c r="T350" i="3"/>
  <c r="T556" i="3"/>
  <c r="T108" i="3"/>
  <c r="T160" i="3"/>
  <c r="T509" i="3"/>
  <c r="T497" i="3"/>
  <c r="T411" i="3"/>
  <c r="T333" i="3"/>
  <c r="T48" i="3"/>
  <c r="T253" i="3"/>
  <c r="T394" i="3"/>
  <c r="T476" i="3"/>
  <c r="T249" i="3"/>
  <c r="T502" i="3"/>
  <c r="T78" i="3"/>
  <c r="T580" i="3"/>
  <c r="T376" i="3"/>
  <c r="T474" i="3"/>
  <c r="T311" i="3"/>
  <c r="T466" i="3"/>
  <c r="T325" i="3"/>
  <c r="T248" i="3"/>
  <c r="T128" i="3"/>
  <c r="T177" i="3"/>
  <c r="T52" i="3"/>
  <c r="T133" i="3"/>
  <c r="T123" i="3"/>
  <c r="T397" i="3"/>
  <c r="T431" i="3"/>
  <c r="T54" i="3"/>
  <c r="T346" i="3"/>
  <c r="T407" i="3"/>
  <c r="T332" i="3"/>
  <c r="T297" i="3"/>
  <c r="T423" i="3"/>
  <c r="T217" i="3"/>
  <c r="T196" i="3"/>
  <c r="T436" i="3"/>
  <c r="T337" i="3"/>
  <c r="T284" i="3"/>
  <c r="T172" i="3"/>
  <c r="T235" i="3"/>
  <c r="T88" i="3"/>
  <c r="T60" i="3"/>
  <c r="T200" i="3"/>
  <c r="T142" i="3"/>
  <c r="T266" i="3"/>
  <c r="T524" i="3"/>
  <c r="T455" i="3"/>
  <c r="T354" i="3"/>
  <c r="T475" i="3"/>
  <c r="T585" i="3"/>
  <c r="T562" i="3"/>
  <c r="T457" i="3"/>
  <c r="T145" i="3"/>
  <c r="T298" i="3"/>
  <c r="T159" i="3"/>
  <c r="T231" i="3"/>
  <c r="T170" i="3"/>
  <c r="T404" i="3"/>
  <c r="T246" i="3"/>
  <c r="T66" i="3"/>
  <c r="T541" i="3"/>
  <c r="T470" i="3"/>
  <c r="T496" i="3"/>
  <c r="T7" i="3"/>
  <c r="T71" i="3"/>
  <c r="T471" i="3"/>
  <c r="T437" i="3"/>
  <c r="T344" i="3"/>
  <c r="T260" i="3"/>
  <c r="T17" i="3"/>
  <c r="T393" i="3"/>
  <c r="T542" i="3"/>
  <c r="T113" i="3"/>
  <c r="T40" i="3"/>
  <c r="T74" i="3"/>
  <c r="T58" i="3"/>
  <c r="T433" i="3"/>
  <c r="T125" i="3"/>
  <c r="T421" i="3"/>
  <c r="T495" i="3"/>
  <c r="T581" i="3"/>
  <c r="T341" i="3"/>
  <c r="T530" i="3"/>
  <c r="T202" i="3"/>
  <c r="T340" i="3"/>
  <c r="T143" i="3"/>
  <c r="T519" i="3"/>
  <c r="T356" i="3"/>
  <c r="T191" i="3"/>
  <c r="T408" i="3"/>
  <c r="T162" i="3"/>
  <c r="T106" i="3"/>
  <c r="T570" i="3"/>
  <c r="T314" i="3"/>
  <c r="T303" i="3"/>
  <c r="T161" i="3"/>
  <c r="T435" i="3"/>
  <c r="T53" i="3"/>
  <c r="T371" i="3"/>
  <c r="T516" i="3"/>
  <c r="T118" i="3"/>
  <c r="T188" i="3"/>
  <c r="T489" i="3"/>
  <c r="T288" i="3"/>
  <c r="T91" i="3"/>
  <c r="T258" i="3"/>
  <c r="T342" i="3"/>
  <c r="T203" i="3"/>
  <c r="T268" i="3"/>
  <c r="T19" i="3"/>
  <c r="T451" i="3"/>
  <c r="T518" i="3"/>
  <c r="T320" i="3"/>
  <c r="T324" i="3"/>
  <c r="T92" i="3"/>
  <c r="T520" i="3"/>
  <c r="T415" i="3"/>
  <c r="T377" i="3"/>
  <c r="T181" i="3"/>
  <c r="T291" i="3"/>
  <c r="T154" i="3"/>
  <c r="T481" i="3"/>
  <c r="T590" i="3"/>
  <c r="T73" i="3"/>
  <c r="T127" i="3"/>
  <c r="T99" i="3"/>
  <c r="T16" i="3"/>
  <c r="T136" i="3"/>
  <c r="T446" i="3"/>
  <c r="T486" i="3"/>
  <c r="T205" i="3"/>
  <c r="T140" i="3"/>
  <c r="T189" i="3"/>
  <c r="T548" i="3"/>
  <c r="T540" i="3"/>
  <c r="T569" i="3"/>
  <c r="T219" i="3"/>
  <c r="T180" i="3"/>
  <c r="T194" i="3"/>
  <c r="T417" i="3"/>
  <c r="T169" i="3"/>
  <c r="T506" i="3"/>
  <c r="T538" i="3"/>
  <c r="T283" i="3"/>
  <c r="T229" i="3"/>
  <c r="T175" i="3"/>
  <c r="T460" i="3"/>
  <c r="T357" i="3"/>
  <c r="T285" i="3"/>
  <c r="T469" i="3"/>
  <c r="T388" i="3"/>
  <c r="T209" i="3"/>
  <c r="T114" i="3"/>
  <c r="T186" i="3"/>
  <c r="T272" i="3"/>
  <c r="T33" i="3"/>
  <c r="T385" i="3"/>
  <c r="T353" i="3"/>
  <c r="T514" i="3"/>
  <c r="T286" i="3"/>
  <c r="T401" i="3"/>
  <c r="T369" i="3"/>
  <c r="T24" i="3"/>
  <c r="T381" i="3"/>
  <c r="T121" i="3"/>
  <c r="T365" i="3"/>
  <c r="T339" i="3"/>
  <c r="T406" i="3"/>
  <c r="T49" i="3"/>
  <c r="T129" i="3"/>
  <c r="T81" i="3"/>
  <c r="T67" i="3"/>
  <c r="T226" i="3"/>
  <c r="T355" i="3"/>
  <c r="T263" i="3"/>
  <c r="T150" i="3"/>
  <c r="T380" i="3"/>
  <c r="T537" i="3"/>
  <c r="T156" i="3"/>
  <c r="T57" i="3"/>
  <c r="T386" i="3"/>
  <c r="T45" i="3"/>
  <c r="T10" i="3"/>
  <c r="T546" i="3"/>
  <c r="T241" i="3"/>
  <c r="T267" i="3"/>
  <c r="T359" i="3"/>
  <c r="T238" i="3"/>
  <c r="T84" i="3"/>
  <c r="T218" i="3"/>
  <c r="T289" i="3"/>
  <c r="T588" i="3"/>
  <c r="T225" i="3"/>
  <c r="T36" i="3"/>
  <c r="T122" i="3"/>
  <c r="T577" i="3"/>
  <c r="T547" i="3"/>
  <c r="T414" i="3"/>
  <c r="T109" i="3"/>
  <c r="T599" i="3"/>
  <c r="T430" i="3"/>
  <c r="T308" i="3"/>
  <c r="T262" i="3"/>
  <c r="T571" i="3"/>
  <c r="T83" i="3"/>
  <c r="T213" i="3"/>
  <c r="T197" i="3"/>
  <c r="T328" i="3"/>
  <c r="T199" i="3"/>
  <c r="T313" i="3"/>
  <c r="T240" i="3"/>
  <c r="T14" i="3"/>
  <c r="T472" i="3"/>
  <c r="T383" i="3"/>
  <c r="T68" i="3"/>
  <c r="T310" i="3"/>
  <c r="T23" i="3"/>
  <c r="T171" i="3"/>
  <c r="T453" i="3"/>
  <c r="T299" i="3"/>
  <c r="T167" i="3"/>
  <c r="T168" i="3"/>
  <c r="T500" i="3"/>
  <c r="T184" i="3"/>
  <c r="T208" i="3"/>
  <c r="T321" i="3"/>
  <c r="T392" i="3"/>
  <c r="T296" i="3"/>
  <c r="T419" i="3"/>
  <c r="T361" i="3"/>
  <c r="T329" i="3"/>
  <c r="T575" i="3"/>
  <c r="T132" i="3"/>
  <c r="T450" i="3"/>
  <c r="T234" i="3"/>
  <c r="T224" i="3"/>
  <c r="T348" i="3"/>
  <c r="T596" i="3"/>
  <c r="T396" i="3"/>
  <c r="T111" i="3"/>
  <c r="T211" i="3"/>
  <c r="T405" i="3"/>
  <c r="T379" i="3"/>
  <c r="T28" i="3"/>
  <c r="T257" i="3"/>
  <c r="T398" i="3"/>
  <c r="T131" i="3"/>
  <c r="T76" i="3"/>
  <c r="T494" i="3"/>
  <c r="T322" i="3"/>
  <c r="T31" i="3"/>
  <c r="T281" i="3"/>
  <c r="T521" i="3"/>
  <c r="T364" i="3"/>
  <c r="T89" i="3"/>
  <c r="T349" i="3"/>
  <c r="T566" i="3"/>
  <c r="T236" i="3"/>
  <c r="T130" i="3"/>
  <c r="T531" i="3"/>
  <c r="T591" i="3"/>
  <c r="T276" i="3"/>
  <c r="T504" i="3"/>
  <c r="T98" i="3"/>
  <c r="T316" i="3"/>
  <c r="T488" i="3"/>
  <c r="T65" i="3"/>
  <c r="T110" i="3"/>
  <c r="T507" i="3"/>
  <c r="T330" i="3"/>
  <c r="T582" i="3"/>
  <c r="T527" i="3"/>
  <c r="T498" i="3"/>
  <c r="T447" i="3"/>
  <c r="T87" i="3"/>
  <c r="T146" i="3"/>
  <c r="T157" i="3"/>
  <c r="T427" i="3"/>
  <c r="T64" i="3"/>
  <c r="T174" i="3"/>
  <c r="T15" i="3"/>
  <c r="T343" i="3"/>
  <c r="T42" i="3"/>
  <c r="T95" i="3"/>
  <c r="T105" i="3"/>
  <c r="T138" i="3"/>
  <c r="T51" i="3"/>
  <c r="T20" i="3"/>
  <c r="T372" i="3"/>
  <c r="T275" i="3"/>
  <c r="T517" i="3"/>
  <c r="T46" i="3"/>
  <c r="T163" i="3"/>
  <c r="T80" i="3"/>
  <c r="T79" i="3"/>
  <c r="T176" i="3"/>
  <c r="T510" i="3"/>
  <c r="T165" i="3"/>
  <c r="T242" i="3"/>
  <c r="T535" i="3"/>
  <c r="T463" i="3"/>
  <c r="T370" i="3"/>
  <c r="T41" i="3"/>
  <c r="T223" i="3"/>
  <c r="T250" i="3"/>
  <c r="T90" i="3"/>
  <c r="T101" i="3"/>
  <c r="T72" i="3"/>
  <c r="T152" i="3"/>
  <c r="T97" i="3"/>
  <c r="T210" i="3"/>
  <c r="T549" i="3"/>
  <c r="T595" i="3"/>
  <c r="T323" i="3"/>
  <c r="T459" i="3"/>
  <c r="T543" i="3"/>
  <c r="T295" i="3"/>
  <c r="T578" i="3"/>
  <c r="T155" i="3"/>
  <c r="T583" i="3"/>
  <c r="T43" i="3"/>
  <c r="T319" i="3"/>
  <c r="T434" i="3"/>
  <c r="T151" i="3"/>
  <c r="T185" i="3"/>
  <c r="T232" i="3"/>
  <c r="T207" i="3"/>
  <c r="T555" i="3"/>
  <c r="T39" i="3"/>
  <c r="T347" i="3"/>
  <c r="T477" i="3"/>
  <c r="T56" i="3"/>
  <c r="T192" i="3"/>
  <c r="T212" i="3"/>
  <c r="T479" i="3"/>
  <c r="T228" i="3"/>
  <c r="T117" i="3"/>
  <c r="T462" i="3"/>
  <c r="T233" i="3"/>
  <c r="T545" i="3"/>
  <c r="T418" i="3"/>
  <c r="T503" i="3"/>
  <c r="T420" i="3"/>
  <c r="T574" i="3"/>
  <c r="W2" i="3" l="1"/>
  <c r="W3" i="3"/>
  <c r="U3" i="3"/>
  <c r="U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<sst xmlns="http://schemas.openxmlformats.org/spreadsheetml/2006/main" count="95" uniqueCount="83">
  <si>
    <t>Point</t>
  </si>
  <si>
    <t>Bit</t>
  </si>
  <si>
    <t>D_out</t>
  </si>
  <si>
    <t>VDD</t>
  </si>
  <si>
    <t>GND</t>
  </si>
  <si>
    <t>Offset Error</t>
  </si>
  <si>
    <t>LSB</t>
  </si>
  <si>
    <t>LSB/V</t>
  </si>
  <si>
    <t>SPS</t>
  </si>
  <si>
    <t>Resolution</t>
  </si>
  <si>
    <t>dB</t>
  </si>
  <si>
    <t>raw_zero_25</t>
  </si>
  <si>
    <t>raw_full_25</t>
  </si>
  <si>
    <t>raw_zero_20</t>
  </si>
  <si>
    <t>raw_full_20</t>
  </si>
  <si>
    <t>raw_zero_50</t>
  </si>
  <si>
    <t>raw_full_50</t>
  </si>
  <si>
    <t>raw_zero_80</t>
  </si>
  <si>
    <t>raw_full_80</t>
  </si>
  <si>
    <t>Error</t>
  </si>
  <si>
    <t>T_s</t>
  </si>
  <si>
    <t>V_i</t>
  </si>
  <si>
    <t>V</t>
  </si>
  <si>
    <t>%</t>
  </si>
  <si>
    <t>Requirement</t>
  </si>
  <si>
    <t>ERROR</t>
  </si>
  <si>
    <t>ADC</t>
  </si>
  <si>
    <t>Min</t>
  </si>
  <si>
    <t>Typ</t>
  </si>
  <si>
    <t>Max</t>
  </si>
  <si>
    <t>Analog_In_V_to_GND</t>
  </si>
  <si>
    <t>Temperature</t>
  </si>
  <si>
    <t>độ C</t>
  </si>
  <si>
    <t>PGA (program gain amplifier)</t>
  </si>
  <si>
    <t>FS (Full-Scale)</t>
  </si>
  <si>
    <t>Unit</t>
  </si>
  <si>
    <t>Common-Mode Input Impedance</t>
  </si>
  <si>
    <t>Ohm</t>
  </si>
  <si>
    <t>DR (Data Rate)</t>
  </si>
  <si>
    <t>Range_Temperature</t>
  </si>
  <si>
    <t>Gain Drift</t>
  </si>
  <si>
    <t>%/độ C</t>
  </si>
  <si>
    <t>Common Mode Rejection</t>
  </si>
  <si>
    <t>Tại FS = 6.144</t>
  </si>
  <si>
    <t>Digital Input/Output</t>
  </si>
  <si>
    <t>V_IH</t>
  </si>
  <si>
    <t>V_IL</t>
  </si>
  <si>
    <t>Offset Voltage</t>
  </si>
  <si>
    <t>Gain Error</t>
  </si>
  <si>
    <t>INL _vs_VoltageSupply</t>
  </si>
  <si>
    <t>INL_vs_Temperature</t>
  </si>
  <si>
    <t>Offset_Vol</t>
  </si>
  <si>
    <t>Gain_Error</t>
  </si>
  <si>
    <t>Calibration</t>
  </si>
  <si>
    <t>Value_Standard</t>
  </si>
  <si>
    <t>Value_Measurement</t>
  </si>
  <si>
    <t>V_i_ADC</t>
  </si>
  <si>
    <t>G_E</t>
  </si>
  <si>
    <t>Error_V_i_ADC</t>
  </si>
  <si>
    <t>Digtal output</t>
  </si>
  <si>
    <t>Input Signal (V_i)</t>
  </si>
  <si>
    <t>&gt;= FS(2^15-1)/(2^15)</t>
  </si>
  <si>
    <t>Offset Drift</t>
  </si>
  <si>
    <t>LSB/độ C</t>
  </si>
  <si>
    <t>FS = 6.144V</t>
  </si>
  <si>
    <t>Offset power supply rejection</t>
  </si>
  <si>
    <t>VDD = 5.5V</t>
  </si>
  <si>
    <t>D_cal_error</t>
  </si>
  <si>
    <t>BIN</t>
  </si>
  <si>
    <t>Cal_V</t>
  </si>
  <si>
    <t>Cal_Temp</t>
  </si>
  <si>
    <t>T_standard</t>
  </si>
  <si>
    <t>V_standard</t>
  </si>
  <si>
    <t>T_cal</t>
  </si>
  <si>
    <t>Error_Temperature</t>
  </si>
  <si>
    <t>Error_Voltage</t>
  </si>
  <si>
    <t>Max_E_T</t>
  </si>
  <si>
    <t>Min_E_T</t>
  </si>
  <si>
    <t>Max_E_V</t>
  </si>
  <si>
    <t>Min_E_V</t>
  </si>
  <si>
    <t xml:space="preserve">INL </t>
  </si>
  <si>
    <t>Error_re</t>
  </si>
  <si>
    <t>Error_ab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</si>
</sst>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%"/>
    <numFmt numFmtId="165" formatCode="0.000000"/>
    <numFmt numFmtId="166" formatCode="0.000000%"/>
    <numFmt numFmtId="167" formatCode="0.000000000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006100"/>
      <name val="Aptos Narrow"/>
      <family val="2"/>
      <scheme val="minor"/>
    </font>
    <font>
      <b/>
      <sz val="11"/>
      <color rgb="FFFA7D00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theme="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A5A5A5"/>
      </patternFill>
    </fill>
    <fill>
      <patternFill patternType="solid">
        <fgColor rgb="FFC6EFCE"/>
      </patternFill>
    </fill>
    <fill>
      <patternFill patternType="solid">
        <fgColor rgb="FFF2F2F2"/>
      </patternFill>
    </fill>
  </fills>
  <borders count="3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6">
    <xf numFmtId="0" fontId="0" fillId="0" borderId="0"/>
    <xf numFmtId="9" fontId="1" fillId="0" borderId="0" applyFont="0" applyFill="0" applyBorder="0" applyAlignment="0" applyProtection="0"/>
    <xf numFmtId="0" fontId="2" fillId="2" borderId="0" applyNumberFormat="0" applyBorder="0" applyAlignment="0" applyProtection="0"/>
    <xf numFmtId="0" fontId="4" fillId="6" borderId="2" applyNumberFormat="0" applyAlignment="0" applyProtection="0"/>
    <xf numFmtId="0" fontId="5" fillId="7" borderId="0" applyNumberFormat="0" applyBorder="0" applyAlignment="0" applyProtection="0"/>
    <xf numFmtId="0" fontId="6" fillId="8" borderId="1" applyNumberFormat="0" applyAlignment="0" applyProtection="0"/>
  </cellStyleXfs>
  <cellXfs count="26">
    <xf numFmtId="0" fontId="0" fillId="0" borderId="0" xfId="0"/>
    <xf numFmtId="9" fontId="0" fillId="0" borderId="0" xfId="1" applyFont="1"/>
    <xf numFmtId="164" fontId="0" fillId="0" borderId="0" xfId="1" applyNumberFormat="1" applyFont="1"/>
    <xf numFmtId="9" fontId="0" fillId="0" borderId="0" xfId="0" applyNumberFormat="1"/>
    <xf numFmtId="165" fontId="0" fillId="0" borderId="0" xfId="0" applyNumberFormat="1"/>
    <xf numFmtId="0" fontId="2" fillId="2" borderId="0" xfId="2"/>
    <xf numFmtId="0" fontId="0" fillId="3" borderId="0" xfId="0" applyFill="1"/>
    <xf numFmtId="10" fontId="0" fillId="0" borderId="0" xfId="0" applyNumberFormat="1"/>
    <xf numFmtId="166" fontId="0" fillId="0" borderId="0" xfId="0" applyNumberFormat="1"/>
    <xf numFmtId="166" fontId="0" fillId="0" borderId="0" xfId="1" applyNumberFormat="1" applyFont="1"/>
    <xf numFmtId="0" fontId="0" fillId="4" borderId="0" xfId="0" applyFill="1"/>
    <xf numFmtId="0" fontId="0" fillId="5" borderId="0" xfId="0" applyFill="1"/>
    <xf numFmtId="0" fontId="0" fillId="0" borderId="0" xfId="0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4" fillId="6" borderId="2" xfId="3"/>
    <xf numFmtId="167" fontId="0" fillId="0" borderId="0" xfId="0" applyNumberFormat="1"/>
    <xf numFmtId="164" fontId="5" fillId="7" borderId="0" xfId="4" applyNumberFormat="1"/>
    <xf numFmtId="0" fontId="5" fillId="7" borderId="0" xfId="4"/>
    <xf numFmtId="0" fontId="6" fillId="8" borderId="1" xfId="5"/>
    <xf numFmtId="164" fontId="6" fillId="8" borderId="1" xfId="5" applyNumberFormat="1"/>
    <xf numFmtId="167" fontId="2" fillId="2" borderId="0" xfId="2" applyNumberFormat="1"/>
    <xf numFmtId="0" fontId="0" fillId="4" borderId="0" xfId="0" applyFill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 applyAlignment="1">
      <alignment horizontal="center"/>
    </xf>
    <xf numFmtId="0" fontId="0" fillId="0" borderId="0" xfId="0" applyAlignment="1">
      <alignment horizontal="center" vertical="center"/>
    </xf>
  </cellXfs>
  <cellStyles count="6">
    <cellStyle name="Calculation" xfId="5" builtinId="22"/>
    <cellStyle name="Check Cell" xfId="3" builtinId="23"/>
    <cellStyle name="Good" xfId="4" builtinId="26"/>
    <cellStyle name="Neutral" xfId="2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Cal_Error!$F$1</c:f>
              <c:strCache>
                <c:ptCount val="1"/>
                <c:pt idx="0">
                  <c:v>Error_Temperature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Cal_Error!$B$2:$B$602</c:f>
              <c:numCache>
                <c:formatCode>General</c:formatCode>
                <c:ptCount val="601"/>
                <c:pt idx="0">
                  <c:v>20</c:v>
                </c:pt>
                <c:pt idx="1">
                  <c:v>20.100000000000001</c:v>
                </c:pt>
                <c:pt idx="2">
                  <c:v>20.2</c:v>
                </c:pt>
                <c:pt idx="3">
                  <c:v>20.3</c:v>
                </c:pt>
                <c:pt idx="4">
                  <c:v>20.399999999999999</c:v>
                </c:pt>
                <c:pt idx="5">
                  <c:v>20.5</c:v>
                </c:pt>
                <c:pt idx="6">
                  <c:v>20.6</c:v>
                </c:pt>
                <c:pt idx="7">
                  <c:v>20.7</c:v>
                </c:pt>
                <c:pt idx="8">
                  <c:v>20.8</c:v>
                </c:pt>
                <c:pt idx="9">
                  <c:v>20.9</c:v>
                </c:pt>
                <c:pt idx="10">
                  <c:v>21</c:v>
                </c:pt>
                <c:pt idx="11">
                  <c:v>21.1</c:v>
                </c:pt>
                <c:pt idx="12">
                  <c:v>21.2</c:v>
                </c:pt>
                <c:pt idx="13">
                  <c:v>21.3</c:v>
                </c:pt>
                <c:pt idx="14">
                  <c:v>21.4</c:v>
                </c:pt>
                <c:pt idx="15">
                  <c:v>21.5</c:v>
                </c:pt>
                <c:pt idx="16">
                  <c:v>21.6</c:v>
                </c:pt>
                <c:pt idx="17">
                  <c:v>21.7</c:v>
                </c:pt>
                <c:pt idx="18">
                  <c:v>21.8</c:v>
                </c:pt>
                <c:pt idx="19">
                  <c:v>21.9</c:v>
                </c:pt>
                <c:pt idx="20">
                  <c:v>22</c:v>
                </c:pt>
                <c:pt idx="21">
                  <c:v>22.1</c:v>
                </c:pt>
                <c:pt idx="22">
                  <c:v>22.2</c:v>
                </c:pt>
                <c:pt idx="23">
                  <c:v>22.3</c:v>
                </c:pt>
                <c:pt idx="24">
                  <c:v>22.4</c:v>
                </c:pt>
                <c:pt idx="25">
                  <c:v>22.5</c:v>
                </c:pt>
                <c:pt idx="26">
                  <c:v>22.6</c:v>
                </c:pt>
                <c:pt idx="27">
                  <c:v>22.7</c:v>
                </c:pt>
                <c:pt idx="28">
                  <c:v>22.8</c:v>
                </c:pt>
                <c:pt idx="29">
                  <c:v>22.9</c:v>
                </c:pt>
                <c:pt idx="30">
                  <c:v>23</c:v>
                </c:pt>
                <c:pt idx="31">
                  <c:v>23.1</c:v>
                </c:pt>
                <c:pt idx="32">
                  <c:v>23.2</c:v>
                </c:pt>
                <c:pt idx="33">
                  <c:v>23.3</c:v>
                </c:pt>
                <c:pt idx="34">
                  <c:v>23.4</c:v>
                </c:pt>
                <c:pt idx="35">
                  <c:v>23.5</c:v>
                </c:pt>
                <c:pt idx="36">
                  <c:v>23.6</c:v>
                </c:pt>
                <c:pt idx="37">
                  <c:v>23.7</c:v>
                </c:pt>
                <c:pt idx="38">
                  <c:v>23.8</c:v>
                </c:pt>
                <c:pt idx="39">
                  <c:v>23.9</c:v>
                </c:pt>
                <c:pt idx="40">
                  <c:v>24</c:v>
                </c:pt>
                <c:pt idx="41">
                  <c:v>24.1</c:v>
                </c:pt>
                <c:pt idx="42">
                  <c:v>24.2</c:v>
                </c:pt>
                <c:pt idx="43">
                  <c:v>24.3</c:v>
                </c:pt>
                <c:pt idx="44">
                  <c:v>24.4</c:v>
                </c:pt>
                <c:pt idx="45">
                  <c:v>24.5</c:v>
                </c:pt>
                <c:pt idx="46">
                  <c:v>24.6</c:v>
                </c:pt>
                <c:pt idx="47">
                  <c:v>24.7</c:v>
                </c:pt>
                <c:pt idx="48">
                  <c:v>24.8</c:v>
                </c:pt>
                <c:pt idx="49">
                  <c:v>24.9</c:v>
                </c:pt>
                <c:pt idx="50">
                  <c:v>25</c:v>
                </c:pt>
                <c:pt idx="51">
                  <c:v>25.1</c:v>
                </c:pt>
                <c:pt idx="52">
                  <c:v>25.2</c:v>
                </c:pt>
                <c:pt idx="53">
                  <c:v>25.3</c:v>
                </c:pt>
                <c:pt idx="54">
                  <c:v>25.4</c:v>
                </c:pt>
                <c:pt idx="55">
                  <c:v>25.5</c:v>
                </c:pt>
                <c:pt idx="56">
                  <c:v>25.6</c:v>
                </c:pt>
                <c:pt idx="57">
                  <c:v>25.7</c:v>
                </c:pt>
                <c:pt idx="58">
                  <c:v>25.8</c:v>
                </c:pt>
                <c:pt idx="59">
                  <c:v>25.9</c:v>
                </c:pt>
                <c:pt idx="60">
                  <c:v>26</c:v>
                </c:pt>
                <c:pt idx="61">
                  <c:v>26.1</c:v>
                </c:pt>
                <c:pt idx="62">
                  <c:v>26.2</c:v>
                </c:pt>
                <c:pt idx="63">
                  <c:v>26.3</c:v>
                </c:pt>
                <c:pt idx="64">
                  <c:v>26.4</c:v>
                </c:pt>
                <c:pt idx="65">
                  <c:v>26.5</c:v>
                </c:pt>
                <c:pt idx="66">
                  <c:v>26.6</c:v>
                </c:pt>
                <c:pt idx="67">
                  <c:v>26.7</c:v>
                </c:pt>
                <c:pt idx="68">
                  <c:v>26.8</c:v>
                </c:pt>
                <c:pt idx="69">
                  <c:v>26.9</c:v>
                </c:pt>
                <c:pt idx="70">
                  <c:v>27</c:v>
                </c:pt>
                <c:pt idx="71">
                  <c:v>27.1</c:v>
                </c:pt>
                <c:pt idx="72">
                  <c:v>27.2</c:v>
                </c:pt>
                <c:pt idx="73">
                  <c:v>27.3</c:v>
                </c:pt>
                <c:pt idx="74">
                  <c:v>27.4</c:v>
                </c:pt>
                <c:pt idx="75">
                  <c:v>27.5</c:v>
                </c:pt>
                <c:pt idx="76">
                  <c:v>27.6</c:v>
                </c:pt>
                <c:pt idx="77">
                  <c:v>27.7</c:v>
                </c:pt>
                <c:pt idx="78">
                  <c:v>27.8</c:v>
                </c:pt>
                <c:pt idx="79">
                  <c:v>27.9</c:v>
                </c:pt>
                <c:pt idx="80">
                  <c:v>28</c:v>
                </c:pt>
                <c:pt idx="81">
                  <c:v>28.1</c:v>
                </c:pt>
                <c:pt idx="82">
                  <c:v>28.200000000000003</c:v>
                </c:pt>
                <c:pt idx="83">
                  <c:v>28.3</c:v>
                </c:pt>
                <c:pt idx="84">
                  <c:v>28.4</c:v>
                </c:pt>
                <c:pt idx="85">
                  <c:v>28.5</c:v>
                </c:pt>
                <c:pt idx="86">
                  <c:v>28.6</c:v>
                </c:pt>
                <c:pt idx="87">
                  <c:v>28.700000000000003</c:v>
                </c:pt>
                <c:pt idx="88">
                  <c:v>28.8</c:v>
                </c:pt>
                <c:pt idx="89">
                  <c:v>28.9</c:v>
                </c:pt>
                <c:pt idx="90">
                  <c:v>29</c:v>
                </c:pt>
                <c:pt idx="91">
                  <c:v>29.1</c:v>
                </c:pt>
                <c:pt idx="92">
                  <c:v>29.200000000000003</c:v>
                </c:pt>
                <c:pt idx="93">
                  <c:v>29.3</c:v>
                </c:pt>
                <c:pt idx="94">
                  <c:v>29.4</c:v>
                </c:pt>
                <c:pt idx="95">
                  <c:v>29.5</c:v>
                </c:pt>
                <c:pt idx="96">
                  <c:v>29.6</c:v>
                </c:pt>
                <c:pt idx="97">
                  <c:v>29.700000000000003</c:v>
                </c:pt>
                <c:pt idx="98">
                  <c:v>29.8</c:v>
                </c:pt>
                <c:pt idx="99">
                  <c:v>29.9</c:v>
                </c:pt>
                <c:pt idx="100">
                  <c:v>30</c:v>
                </c:pt>
                <c:pt idx="101">
                  <c:v>30.1</c:v>
                </c:pt>
                <c:pt idx="102">
                  <c:v>30.200000000000003</c:v>
                </c:pt>
                <c:pt idx="103">
                  <c:v>30.3</c:v>
                </c:pt>
                <c:pt idx="104">
                  <c:v>30.4</c:v>
                </c:pt>
                <c:pt idx="105">
                  <c:v>30.5</c:v>
                </c:pt>
                <c:pt idx="106">
                  <c:v>30.6</c:v>
                </c:pt>
                <c:pt idx="107">
                  <c:v>30.700000000000003</c:v>
                </c:pt>
                <c:pt idx="108">
                  <c:v>30.8</c:v>
                </c:pt>
                <c:pt idx="109">
                  <c:v>30.9</c:v>
                </c:pt>
                <c:pt idx="110">
                  <c:v>31</c:v>
                </c:pt>
                <c:pt idx="111">
                  <c:v>31.1</c:v>
                </c:pt>
                <c:pt idx="112">
                  <c:v>31.200000000000003</c:v>
                </c:pt>
                <c:pt idx="113">
                  <c:v>31.3</c:v>
                </c:pt>
                <c:pt idx="114">
                  <c:v>31.4</c:v>
                </c:pt>
                <c:pt idx="115">
                  <c:v>31.5</c:v>
                </c:pt>
                <c:pt idx="116">
                  <c:v>31.6</c:v>
                </c:pt>
                <c:pt idx="117">
                  <c:v>31.700000000000003</c:v>
                </c:pt>
                <c:pt idx="118">
                  <c:v>31.8</c:v>
                </c:pt>
                <c:pt idx="119">
                  <c:v>31.9</c:v>
                </c:pt>
                <c:pt idx="120">
                  <c:v>32</c:v>
                </c:pt>
                <c:pt idx="121">
                  <c:v>32.1</c:v>
                </c:pt>
                <c:pt idx="122">
                  <c:v>32.200000000000003</c:v>
                </c:pt>
                <c:pt idx="123">
                  <c:v>32.299999999999997</c:v>
                </c:pt>
                <c:pt idx="124">
                  <c:v>32.4</c:v>
                </c:pt>
                <c:pt idx="125">
                  <c:v>32.5</c:v>
                </c:pt>
                <c:pt idx="126">
                  <c:v>32.6</c:v>
                </c:pt>
                <c:pt idx="127">
                  <c:v>32.700000000000003</c:v>
                </c:pt>
                <c:pt idx="128">
                  <c:v>32.799999999999997</c:v>
                </c:pt>
                <c:pt idx="129">
                  <c:v>32.9</c:v>
                </c:pt>
                <c:pt idx="130">
                  <c:v>33</c:v>
                </c:pt>
                <c:pt idx="131">
                  <c:v>33.1</c:v>
                </c:pt>
                <c:pt idx="132">
                  <c:v>33.200000000000003</c:v>
                </c:pt>
                <c:pt idx="133">
                  <c:v>33.299999999999997</c:v>
                </c:pt>
                <c:pt idx="134">
                  <c:v>33.4</c:v>
                </c:pt>
                <c:pt idx="135">
                  <c:v>33.5</c:v>
                </c:pt>
                <c:pt idx="136">
                  <c:v>33.6</c:v>
                </c:pt>
                <c:pt idx="137">
                  <c:v>33.700000000000003</c:v>
                </c:pt>
                <c:pt idx="138">
                  <c:v>33.799999999999997</c:v>
                </c:pt>
                <c:pt idx="139">
                  <c:v>33.9</c:v>
                </c:pt>
                <c:pt idx="140">
                  <c:v>34</c:v>
                </c:pt>
                <c:pt idx="141">
                  <c:v>34.1</c:v>
                </c:pt>
                <c:pt idx="142">
                  <c:v>34.200000000000003</c:v>
                </c:pt>
                <c:pt idx="143">
                  <c:v>34.299999999999997</c:v>
                </c:pt>
                <c:pt idx="144">
                  <c:v>34.4</c:v>
                </c:pt>
                <c:pt idx="145">
                  <c:v>34.5</c:v>
                </c:pt>
                <c:pt idx="146">
                  <c:v>34.6</c:v>
                </c:pt>
                <c:pt idx="147">
                  <c:v>34.700000000000003</c:v>
                </c:pt>
                <c:pt idx="148">
                  <c:v>34.799999999999997</c:v>
                </c:pt>
                <c:pt idx="149">
                  <c:v>34.9</c:v>
                </c:pt>
                <c:pt idx="150">
                  <c:v>35</c:v>
                </c:pt>
                <c:pt idx="151">
                  <c:v>35.1</c:v>
                </c:pt>
                <c:pt idx="152">
                  <c:v>35.200000000000003</c:v>
                </c:pt>
                <c:pt idx="153">
                  <c:v>35.299999999999997</c:v>
                </c:pt>
                <c:pt idx="154">
                  <c:v>35.4</c:v>
                </c:pt>
                <c:pt idx="155">
                  <c:v>35.5</c:v>
                </c:pt>
                <c:pt idx="156">
                  <c:v>35.6</c:v>
                </c:pt>
                <c:pt idx="157">
                  <c:v>35.700000000000003</c:v>
                </c:pt>
                <c:pt idx="158">
                  <c:v>35.799999999999997</c:v>
                </c:pt>
                <c:pt idx="159">
                  <c:v>35.9</c:v>
                </c:pt>
                <c:pt idx="160">
                  <c:v>36</c:v>
                </c:pt>
                <c:pt idx="161">
                  <c:v>36.1</c:v>
                </c:pt>
                <c:pt idx="162">
                  <c:v>36.200000000000003</c:v>
                </c:pt>
                <c:pt idx="163">
                  <c:v>36.299999999999997</c:v>
                </c:pt>
                <c:pt idx="164">
                  <c:v>36.400000000000006</c:v>
                </c:pt>
                <c:pt idx="165">
                  <c:v>36.5</c:v>
                </c:pt>
                <c:pt idx="166">
                  <c:v>36.6</c:v>
                </c:pt>
                <c:pt idx="167">
                  <c:v>36.700000000000003</c:v>
                </c:pt>
                <c:pt idx="168">
                  <c:v>36.799999999999997</c:v>
                </c:pt>
                <c:pt idx="169">
                  <c:v>36.900000000000006</c:v>
                </c:pt>
                <c:pt idx="170">
                  <c:v>37</c:v>
                </c:pt>
                <c:pt idx="171">
                  <c:v>37.1</c:v>
                </c:pt>
                <c:pt idx="172">
                  <c:v>37.200000000000003</c:v>
                </c:pt>
                <c:pt idx="173">
                  <c:v>37.299999999999997</c:v>
                </c:pt>
                <c:pt idx="174">
                  <c:v>37.400000000000006</c:v>
                </c:pt>
                <c:pt idx="175">
                  <c:v>37.5</c:v>
                </c:pt>
                <c:pt idx="176">
                  <c:v>37.6</c:v>
                </c:pt>
                <c:pt idx="177">
                  <c:v>37.700000000000003</c:v>
                </c:pt>
                <c:pt idx="178">
                  <c:v>37.799999999999997</c:v>
                </c:pt>
                <c:pt idx="179">
                  <c:v>37.900000000000006</c:v>
                </c:pt>
                <c:pt idx="180">
                  <c:v>38</c:v>
                </c:pt>
                <c:pt idx="181">
                  <c:v>38.1</c:v>
                </c:pt>
                <c:pt idx="182">
                  <c:v>38.200000000000003</c:v>
                </c:pt>
                <c:pt idx="183">
                  <c:v>38.299999999999997</c:v>
                </c:pt>
                <c:pt idx="184">
                  <c:v>38.400000000000006</c:v>
                </c:pt>
                <c:pt idx="185">
                  <c:v>38.5</c:v>
                </c:pt>
                <c:pt idx="186">
                  <c:v>38.6</c:v>
                </c:pt>
                <c:pt idx="187">
                  <c:v>38.700000000000003</c:v>
                </c:pt>
                <c:pt idx="188">
                  <c:v>38.799999999999997</c:v>
                </c:pt>
                <c:pt idx="189">
                  <c:v>38.900000000000006</c:v>
                </c:pt>
                <c:pt idx="190">
                  <c:v>39</c:v>
                </c:pt>
                <c:pt idx="191">
                  <c:v>39.1</c:v>
                </c:pt>
                <c:pt idx="192">
                  <c:v>39.200000000000003</c:v>
                </c:pt>
                <c:pt idx="193">
                  <c:v>39.299999999999997</c:v>
                </c:pt>
                <c:pt idx="194">
                  <c:v>39.400000000000006</c:v>
                </c:pt>
                <c:pt idx="195">
                  <c:v>39.5</c:v>
                </c:pt>
                <c:pt idx="196">
                  <c:v>39.6</c:v>
                </c:pt>
                <c:pt idx="197">
                  <c:v>39.700000000000003</c:v>
                </c:pt>
                <c:pt idx="198">
                  <c:v>39.799999999999997</c:v>
                </c:pt>
                <c:pt idx="199">
                  <c:v>39.900000000000006</c:v>
                </c:pt>
                <c:pt idx="200">
                  <c:v>40</c:v>
                </c:pt>
                <c:pt idx="201">
                  <c:v>40.1</c:v>
                </c:pt>
                <c:pt idx="202">
                  <c:v>40.200000000000003</c:v>
                </c:pt>
                <c:pt idx="203">
                  <c:v>40.299999999999997</c:v>
                </c:pt>
                <c:pt idx="204">
                  <c:v>40.400000000000006</c:v>
                </c:pt>
                <c:pt idx="205">
                  <c:v>40.5</c:v>
                </c:pt>
                <c:pt idx="206">
                  <c:v>40.6</c:v>
                </c:pt>
                <c:pt idx="207">
                  <c:v>40.700000000000003</c:v>
                </c:pt>
                <c:pt idx="208">
                  <c:v>40.799999999999997</c:v>
                </c:pt>
                <c:pt idx="209">
                  <c:v>40.900000000000006</c:v>
                </c:pt>
                <c:pt idx="210">
                  <c:v>41</c:v>
                </c:pt>
                <c:pt idx="211">
                  <c:v>41.1</c:v>
                </c:pt>
                <c:pt idx="212">
                  <c:v>41.2</c:v>
                </c:pt>
                <c:pt idx="213">
                  <c:v>41.3</c:v>
                </c:pt>
                <c:pt idx="214">
                  <c:v>41.400000000000006</c:v>
                </c:pt>
                <c:pt idx="215">
                  <c:v>41.5</c:v>
                </c:pt>
                <c:pt idx="216">
                  <c:v>41.6</c:v>
                </c:pt>
                <c:pt idx="217">
                  <c:v>41.7</c:v>
                </c:pt>
                <c:pt idx="218">
                  <c:v>41.8</c:v>
                </c:pt>
                <c:pt idx="219">
                  <c:v>41.900000000000006</c:v>
                </c:pt>
                <c:pt idx="220">
                  <c:v>42</c:v>
                </c:pt>
                <c:pt idx="221">
                  <c:v>42.1</c:v>
                </c:pt>
                <c:pt idx="222">
                  <c:v>42.2</c:v>
                </c:pt>
                <c:pt idx="223">
                  <c:v>42.3</c:v>
                </c:pt>
                <c:pt idx="224">
                  <c:v>42.400000000000006</c:v>
                </c:pt>
                <c:pt idx="225">
                  <c:v>42.5</c:v>
                </c:pt>
                <c:pt idx="226">
                  <c:v>42.6</c:v>
                </c:pt>
                <c:pt idx="227">
                  <c:v>42.7</c:v>
                </c:pt>
                <c:pt idx="228">
                  <c:v>42.8</c:v>
                </c:pt>
                <c:pt idx="229">
                  <c:v>42.900000000000006</c:v>
                </c:pt>
                <c:pt idx="230">
                  <c:v>43</c:v>
                </c:pt>
                <c:pt idx="231">
                  <c:v>43.1</c:v>
                </c:pt>
                <c:pt idx="232">
                  <c:v>43.2</c:v>
                </c:pt>
                <c:pt idx="233">
                  <c:v>43.3</c:v>
                </c:pt>
                <c:pt idx="234">
                  <c:v>43.400000000000006</c:v>
                </c:pt>
                <c:pt idx="235">
                  <c:v>43.5</c:v>
                </c:pt>
                <c:pt idx="236">
                  <c:v>43.6</c:v>
                </c:pt>
                <c:pt idx="237">
                  <c:v>43.7</c:v>
                </c:pt>
                <c:pt idx="238">
                  <c:v>43.8</c:v>
                </c:pt>
                <c:pt idx="239">
                  <c:v>43.900000000000006</c:v>
                </c:pt>
                <c:pt idx="240">
                  <c:v>44</c:v>
                </c:pt>
                <c:pt idx="241">
                  <c:v>44.1</c:v>
                </c:pt>
                <c:pt idx="242">
                  <c:v>44.2</c:v>
                </c:pt>
                <c:pt idx="243">
                  <c:v>44.3</c:v>
                </c:pt>
                <c:pt idx="244">
                  <c:v>44.400000000000006</c:v>
                </c:pt>
                <c:pt idx="245">
                  <c:v>44.5</c:v>
                </c:pt>
                <c:pt idx="246">
                  <c:v>44.6</c:v>
                </c:pt>
                <c:pt idx="247">
                  <c:v>44.7</c:v>
                </c:pt>
                <c:pt idx="248">
                  <c:v>44.8</c:v>
                </c:pt>
                <c:pt idx="249">
                  <c:v>44.900000000000006</c:v>
                </c:pt>
                <c:pt idx="250">
                  <c:v>45</c:v>
                </c:pt>
                <c:pt idx="251">
                  <c:v>45.1</c:v>
                </c:pt>
                <c:pt idx="252">
                  <c:v>45.2</c:v>
                </c:pt>
                <c:pt idx="253">
                  <c:v>45.3</c:v>
                </c:pt>
                <c:pt idx="254">
                  <c:v>45.400000000000006</c:v>
                </c:pt>
                <c:pt idx="255">
                  <c:v>45.5</c:v>
                </c:pt>
                <c:pt idx="256">
                  <c:v>45.6</c:v>
                </c:pt>
                <c:pt idx="257">
                  <c:v>45.7</c:v>
                </c:pt>
                <c:pt idx="258">
                  <c:v>45.8</c:v>
                </c:pt>
                <c:pt idx="259">
                  <c:v>45.900000000000006</c:v>
                </c:pt>
                <c:pt idx="260">
                  <c:v>46</c:v>
                </c:pt>
                <c:pt idx="261">
                  <c:v>46.1</c:v>
                </c:pt>
                <c:pt idx="262">
                  <c:v>46.2</c:v>
                </c:pt>
                <c:pt idx="263">
                  <c:v>46.3</c:v>
                </c:pt>
                <c:pt idx="264">
                  <c:v>46.400000000000006</c:v>
                </c:pt>
                <c:pt idx="265">
                  <c:v>46.5</c:v>
                </c:pt>
                <c:pt idx="266">
                  <c:v>46.6</c:v>
                </c:pt>
                <c:pt idx="267">
                  <c:v>46.7</c:v>
                </c:pt>
                <c:pt idx="268">
                  <c:v>46.8</c:v>
                </c:pt>
                <c:pt idx="269">
                  <c:v>46.900000000000006</c:v>
                </c:pt>
                <c:pt idx="270">
                  <c:v>47</c:v>
                </c:pt>
                <c:pt idx="271">
                  <c:v>47.1</c:v>
                </c:pt>
                <c:pt idx="272">
                  <c:v>47.2</c:v>
                </c:pt>
                <c:pt idx="273">
                  <c:v>47.3</c:v>
                </c:pt>
                <c:pt idx="274">
                  <c:v>47.400000000000006</c:v>
                </c:pt>
                <c:pt idx="275">
                  <c:v>47.5</c:v>
                </c:pt>
                <c:pt idx="276">
                  <c:v>47.6</c:v>
                </c:pt>
                <c:pt idx="277">
                  <c:v>47.7</c:v>
                </c:pt>
                <c:pt idx="278">
                  <c:v>47.8</c:v>
                </c:pt>
                <c:pt idx="279">
                  <c:v>47.900000000000006</c:v>
                </c:pt>
                <c:pt idx="280">
                  <c:v>48</c:v>
                </c:pt>
                <c:pt idx="281">
                  <c:v>48.1</c:v>
                </c:pt>
                <c:pt idx="282">
                  <c:v>48.2</c:v>
                </c:pt>
                <c:pt idx="283">
                  <c:v>48.3</c:v>
                </c:pt>
                <c:pt idx="284">
                  <c:v>48.400000000000006</c:v>
                </c:pt>
                <c:pt idx="285">
                  <c:v>48.5</c:v>
                </c:pt>
                <c:pt idx="286">
                  <c:v>48.6</c:v>
                </c:pt>
                <c:pt idx="287">
                  <c:v>48.7</c:v>
                </c:pt>
                <c:pt idx="288">
                  <c:v>48.8</c:v>
                </c:pt>
                <c:pt idx="289">
                  <c:v>48.900000000000006</c:v>
                </c:pt>
                <c:pt idx="290">
                  <c:v>49</c:v>
                </c:pt>
                <c:pt idx="291">
                  <c:v>49.1</c:v>
                </c:pt>
                <c:pt idx="292">
                  <c:v>49.2</c:v>
                </c:pt>
                <c:pt idx="293">
                  <c:v>49.3</c:v>
                </c:pt>
                <c:pt idx="294">
                  <c:v>49.400000000000006</c:v>
                </c:pt>
                <c:pt idx="295">
                  <c:v>49.5</c:v>
                </c:pt>
                <c:pt idx="296">
                  <c:v>49.6</c:v>
                </c:pt>
                <c:pt idx="297">
                  <c:v>49.7</c:v>
                </c:pt>
                <c:pt idx="298">
                  <c:v>49.8</c:v>
                </c:pt>
                <c:pt idx="299">
                  <c:v>49.900000000000006</c:v>
                </c:pt>
                <c:pt idx="300">
                  <c:v>50</c:v>
                </c:pt>
                <c:pt idx="301">
                  <c:v>50.1</c:v>
                </c:pt>
                <c:pt idx="302">
                  <c:v>50.2</c:v>
                </c:pt>
                <c:pt idx="303">
                  <c:v>50.3</c:v>
                </c:pt>
                <c:pt idx="304">
                  <c:v>50.400000000000006</c:v>
                </c:pt>
                <c:pt idx="305">
                  <c:v>50.5</c:v>
                </c:pt>
                <c:pt idx="306">
                  <c:v>50.6</c:v>
                </c:pt>
                <c:pt idx="307">
                  <c:v>50.7</c:v>
                </c:pt>
                <c:pt idx="308">
                  <c:v>50.8</c:v>
                </c:pt>
                <c:pt idx="309">
                  <c:v>50.900000000000006</c:v>
                </c:pt>
                <c:pt idx="310">
                  <c:v>51</c:v>
                </c:pt>
                <c:pt idx="311">
                  <c:v>51.1</c:v>
                </c:pt>
                <c:pt idx="312">
                  <c:v>51.2</c:v>
                </c:pt>
                <c:pt idx="313">
                  <c:v>51.3</c:v>
                </c:pt>
                <c:pt idx="314">
                  <c:v>51.400000000000006</c:v>
                </c:pt>
                <c:pt idx="315">
                  <c:v>51.5</c:v>
                </c:pt>
                <c:pt idx="316">
                  <c:v>51.6</c:v>
                </c:pt>
                <c:pt idx="317">
                  <c:v>51.7</c:v>
                </c:pt>
                <c:pt idx="318">
                  <c:v>51.8</c:v>
                </c:pt>
                <c:pt idx="319">
                  <c:v>51.900000000000006</c:v>
                </c:pt>
                <c:pt idx="320">
                  <c:v>52</c:v>
                </c:pt>
                <c:pt idx="321">
                  <c:v>52.1</c:v>
                </c:pt>
                <c:pt idx="322">
                  <c:v>52.2</c:v>
                </c:pt>
                <c:pt idx="323">
                  <c:v>52.300000000000004</c:v>
                </c:pt>
                <c:pt idx="324">
                  <c:v>52.4</c:v>
                </c:pt>
                <c:pt idx="325">
                  <c:v>52.5</c:v>
                </c:pt>
                <c:pt idx="326">
                  <c:v>52.6</c:v>
                </c:pt>
                <c:pt idx="327">
                  <c:v>52.7</c:v>
                </c:pt>
                <c:pt idx="328">
                  <c:v>52.800000000000004</c:v>
                </c:pt>
                <c:pt idx="329">
                  <c:v>52.9</c:v>
                </c:pt>
                <c:pt idx="330">
                  <c:v>53</c:v>
                </c:pt>
                <c:pt idx="331">
                  <c:v>53.1</c:v>
                </c:pt>
                <c:pt idx="332">
                  <c:v>53.2</c:v>
                </c:pt>
                <c:pt idx="333">
                  <c:v>53.300000000000004</c:v>
                </c:pt>
                <c:pt idx="334">
                  <c:v>53.4</c:v>
                </c:pt>
                <c:pt idx="335">
                  <c:v>53.5</c:v>
                </c:pt>
                <c:pt idx="336">
                  <c:v>53.6</c:v>
                </c:pt>
                <c:pt idx="337">
                  <c:v>53.7</c:v>
                </c:pt>
                <c:pt idx="338">
                  <c:v>53.800000000000004</c:v>
                </c:pt>
                <c:pt idx="339">
                  <c:v>53.9</c:v>
                </c:pt>
                <c:pt idx="340">
                  <c:v>54</c:v>
                </c:pt>
                <c:pt idx="341">
                  <c:v>54.1</c:v>
                </c:pt>
                <c:pt idx="342">
                  <c:v>54.2</c:v>
                </c:pt>
                <c:pt idx="343">
                  <c:v>54.300000000000004</c:v>
                </c:pt>
                <c:pt idx="344">
                  <c:v>54.4</c:v>
                </c:pt>
                <c:pt idx="345">
                  <c:v>54.5</c:v>
                </c:pt>
                <c:pt idx="346">
                  <c:v>54.6</c:v>
                </c:pt>
                <c:pt idx="347">
                  <c:v>54.7</c:v>
                </c:pt>
                <c:pt idx="348">
                  <c:v>54.800000000000004</c:v>
                </c:pt>
                <c:pt idx="349">
                  <c:v>54.9</c:v>
                </c:pt>
                <c:pt idx="350">
                  <c:v>55</c:v>
                </c:pt>
                <c:pt idx="351">
                  <c:v>55.1</c:v>
                </c:pt>
                <c:pt idx="352">
                  <c:v>55.2</c:v>
                </c:pt>
                <c:pt idx="353">
                  <c:v>55.300000000000004</c:v>
                </c:pt>
                <c:pt idx="354">
                  <c:v>55.4</c:v>
                </c:pt>
                <c:pt idx="355">
                  <c:v>55.5</c:v>
                </c:pt>
                <c:pt idx="356">
                  <c:v>55.6</c:v>
                </c:pt>
                <c:pt idx="357">
                  <c:v>55.7</c:v>
                </c:pt>
                <c:pt idx="358">
                  <c:v>55.800000000000004</c:v>
                </c:pt>
                <c:pt idx="359">
                  <c:v>55.9</c:v>
                </c:pt>
                <c:pt idx="360">
                  <c:v>56</c:v>
                </c:pt>
                <c:pt idx="361">
                  <c:v>56.1</c:v>
                </c:pt>
                <c:pt idx="362">
                  <c:v>56.2</c:v>
                </c:pt>
                <c:pt idx="363">
                  <c:v>56.300000000000004</c:v>
                </c:pt>
                <c:pt idx="364">
                  <c:v>56.4</c:v>
                </c:pt>
                <c:pt idx="365">
                  <c:v>56.5</c:v>
                </c:pt>
                <c:pt idx="366">
                  <c:v>56.6</c:v>
                </c:pt>
                <c:pt idx="367">
                  <c:v>56.7</c:v>
                </c:pt>
                <c:pt idx="368">
                  <c:v>56.800000000000004</c:v>
                </c:pt>
                <c:pt idx="369">
                  <c:v>56.9</c:v>
                </c:pt>
                <c:pt idx="370">
                  <c:v>57</c:v>
                </c:pt>
                <c:pt idx="371">
                  <c:v>57.1</c:v>
                </c:pt>
                <c:pt idx="372">
                  <c:v>57.2</c:v>
                </c:pt>
                <c:pt idx="373">
                  <c:v>57.300000000000004</c:v>
                </c:pt>
                <c:pt idx="374">
                  <c:v>57.4</c:v>
                </c:pt>
                <c:pt idx="375">
                  <c:v>57.5</c:v>
                </c:pt>
                <c:pt idx="376">
                  <c:v>57.6</c:v>
                </c:pt>
                <c:pt idx="377">
                  <c:v>57.7</c:v>
                </c:pt>
                <c:pt idx="378">
                  <c:v>57.800000000000004</c:v>
                </c:pt>
                <c:pt idx="379">
                  <c:v>57.9</c:v>
                </c:pt>
                <c:pt idx="380">
                  <c:v>58</c:v>
                </c:pt>
                <c:pt idx="381">
                  <c:v>58.1</c:v>
                </c:pt>
                <c:pt idx="382">
                  <c:v>58.2</c:v>
                </c:pt>
                <c:pt idx="383">
                  <c:v>58.300000000000004</c:v>
                </c:pt>
                <c:pt idx="384">
                  <c:v>58.400000000000006</c:v>
                </c:pt>
                <c:pt idx="385">
                  <c:v>58.5</c:v>
                </c:pt>
                <c:pt idx="386">
                  <c:v>58.6</c:v>
                </c:pt>
                <c:pt idx="387">
                  <c:v>58.7</c:v>
                </c:pt>
                <c:pt idx="388">
                  <c:v>58.800000000000004</c:v>
                </c:pt>
                <c:pt idx="389">
                  <c:v>58.900000000000006</c:v>
                </c:pt>
                <c:pt idx="390">
                  <c:v>59</c:v>
                </c:pt>
                <c:pt idx="391">
                  <c:v>59.1</c:v>
                </c:pt>
                <c:pt idx="392">
                  <c:v>59.2</c:v>
                </c:pt>
                <c:pt idx="393">
                  <c:v>59.300000000000004</c:v>
                </c:pt>
                <c:pt idx="394">
                  <c:v>59.400000000000006</c:v>
                </c:pt>
                <c:pt idx="395">
                  <c:v>59.5</c:v>
                </c:pt>
                <c:pt idx="396">
                  <c:v>59.6</c:v>
                </c:pt>
                <c:pt idx="397">
                  <c:v>59.7</c:v>
                </c:pt>
                <c:pt idx="398">
                  <c:v>59.800000000000004</c:v>
                </c:pt>
                <c:pt idx="399">
                  <c:v>59.900000000000006</c:v>
                </c:pt>
                <c:pt idx="400">
                  <c:v>60</c:v>
                </c:pt>
                <c:pt idx="401">
                  <c:v>60.1</c:v>
                </c:pt>
                <c:pt idx="402">
                  <c:v>60.2</c:v>
                </c:pt>
                <c:pt idx="403">
                  <c:v>60.300000000000004</c:v>
                </c:pt>
                <c:pt idx="404">
                  <c:v>60.400000000000006</c:v>
                </c:pt>
                <c:pt idx="405">
                  <c:v>60.5</c:v>
                </c:pt>
                <c:pt idx="406">
                  <c:v>60.6</c:v>
                </c:pt>
                <c:pt idx="407">
                  <c:v>60.7</c:v>
                </c:pt>
                <c:pt idx="408">
                  <c:v>60.800000000000004</c:v>
                </c:pt>
                <c:pt idx="409">
                  <c:v>60.900000000000006</c:v>
                </c:pt>
                <c:pt idx="410">
                  <c:v>61</c:v>
                </c:pt>
                <c:pt idx="411">
                  <c:v>61.1</c:v>
                </c:pt>
                <c:pt idx="412">
                  <c:v>61.2</c:v>
                </c:pt>
                <c:pt idx="413">
                  <c:v>61.300000000000004</c:v>
                </c:pt>
                <c:pt idx="414">
                  <c:v>61.400000000000006</c:v>
                </c:pt>
                <c:pt idx="415">
                  <c:v>61.5</c:v>
                </c:pt>
                <c:pt idx="416">
                  <c:v>61.6</c:v>
                </c:pt>
                <c:pt idx="417">
                  <c:v>61.7</c:v>
                </c:pt>
                <c:pt idx="418">
                  <c:v>61.800000000000004</c:v>
                </c:pt>
                <c:pt idx="419">
                  <c:v>61.900000000000006</c:v>
                </c:pt>
                <c:pt idx="420">
                  <c:v>62</c:v>
                </c:pt>
                <c:pt idx="421">
                  <c:v>62.1</c:v>
                </c:pt>
                <c:pt idx="422">
                  <c:v>62.2</c:v>
                </c:pt>
                <c:pt idx="423">
                  <c:v>62.300000000000004</c:v>
                </c:pt>
                <c:pt idx="424">
                  <c:v>62.400000000000006</c:v>
                </c:pt>
                <c:pt idx="425">
                  <c:v>62.5</c:v>
                </c:pt>
                <c:pt idx="426">
                  <c:v>62.6</c:v>
                </c:pt>
                <c:pt idx="427">
                  <c:v>62.7</c:v>
                </c:pt>
                <c:pt idx="428">
                  <c:v>62.800000000000004</c:v>
                </c:pt>
                <c:pt idx="429">
                  <c:v>62.900000000000006</c:v>
                </c:pt>
                <c:pt idx="430">
                  <c:v>63</c:v>
                </c:pt>
                <c:pt idx="431">
                  <c:v>63.1</c:v>
                </c:pt>
                <c:pt idx="432">
                  <c:v>63.2</c:v>
                </c:pt>
                <c:pt idx="433">
                  <c:v>63.300000000000004</c:v>
                </c:pt>
                <c:pt idx="434">
                  <c:v>63.400000000000006</c:v>
                </c:pt>
                <c:pt idx="435">
                  <c:v>63.5</c:v>
                </c:pt>
                <c:pt idx="436">
                  <c:v>63.6</c:v>
                </c:pt>
                <c:pt idx="437">
                  <c:v>63.7</c:v>
                </c:pt>
                <c:pt idx="438">
                  <c:v>63.800000000000004</c:v>
                </c:pt>
                <c:pt idx="439">
                  <c:v>63.900000000000006</c:v>
                </c:pt>
                <c:pt idx="440">
                  <c:v>64</c:v>
                </c:pt>
                <c:pt idx="441">
                  <c:v>64.099999999999994</c:v>
                </c:pt>
                <c:pt idx="442">
                  <c:v>64.2</c:v>
                </c:pt>
                <c:pt idx="443">
                  <c:v>64.300000000000011</c:v>
                </c:pt>
                <c:pt idx="444">
                  <c:v>64.400000000000006</c:v>
                </c:pt>
                <c:pt idx="445">
                  <c:v>64.5</c:v>
                </c:pt>
                <c:pt idx="446">
                  <c:v>64.599999999999994</c:v>
                </c:pt>
                <c:pt idx="447">
                  <c:v>64.7</c:v>
                </c:pt>
                <c:pt idx="448">
                  <c:v>64.800000000000011</c:v>
                </c:pt>
                <c:pt idx="449">
                  <c:v>64.900000000000006</c:v>
                </c:pt>
                <c:pt idx="450">
                  <c:v>65</c:v>
                </c:pt>
                <c:pt idx="451">
                  <c:v>65.099999999999994</c:v>
                </c:pt>
                <c:pt idx="452">
                  <c:v>65.2</c:v>
                </c:pt>
                <c:pt idx="453">
                  <c:v>65.300000000000011</c:v>
                </c:pt>
                <c:pt idx="454">
                  <c:v>65.400000000000006</c:v>
                </c:pt>
                <c:pt idx="455">
                  <c:v>65.5</c:v>
                </c:pt>
                <c:pt idx="456">
                  <c:v>65.599999999999994</c:v>
                </c:pt>
                <c:pt idx="457">
                  <c:v>65.7</c:v>
                </c:pt>
                <c:pt idx="458">
                  <c:v>65.800000000000011</c:v>
                </c:pt>
                <c:pt idx="459">
                  <c:v>65.900000000000006</c:v>
                </c:pt>
                <c:pt idx="460">
                  <c:v>66</c:v>
                </c:pt>
                <c:pt idx="461">
                  <c:v>66.099999999999994</c:v>
                </c:pt>
                <c:pt idx="462">
                  <c:v>66.2</c:v>
                </c:pt>
                <c:pt idx="463">
                  <c:v>66.300000000000011</c:v>
                </c:pt>
                <c:pt idx="464">
                  <c:v>66.400000000000006</c:v>
                </c:pt>
                <c:pt idx="465">
                  <c:v>66.5</c:v>
                </c:pt>
                <c:pt idx="466">
                  <c:v>66.599999999999994</c:v>
                </c:pt>
                <c:pt idx="467">
                  <c:v>66.7</c:v>
                </c:pt>
                <c:pt idx="468">
                  <c:v>66.800000000000011</c:v>
                </c:pt>
                <c:pt idx="469">
                  <c:v>66.900000000000006</c:v>
                </c:pt>
                <c:pt idx="470">
                  <c:v>67</c:v>
                </c:pt>
                <c:pt idx="471">
                  <c:v>67.099999999999994</c:v>
                </c:pt>
                <c:pt idx="472">
                  <c:v>67.2</c:v>
                </c:pt>
                <c:pt idx="473">
                  <c:v>67.300000000000011</c:v>
                </c:pt>
                <c:pt idx="474">
                  <c:v>67.400000000000006</c:v>
                </c:pt>
                <c:pt idx="475">
                  <c:v>67.5</c:v>
                </c:pt>
                <c:pt idx="476">
                  <c:v>67.599999999999994</c:v>
                </c:pt>
                <c:pt idx="477">
                  <c:v>67.7</c:v>
                </c:pt>
                <c:pt idx="478">
                  <c:v>67.800000000000011</c:v>
                </c:pt>
                <c:pt idx="479">
                  <c:v>67.900000000000006</c:v>
                </c:pt>
                <c:pt idx="480">
                  <c:v>68</c:v>
                </c:pt>
                <c:pt idx="481">
                  <c:v>68.099999999999994</c:v>
                </c:pt>
                <c:pt idx="482">
                  <c:v>68.2</c:v>
                </c:pt>
                <c:pt idx="483">
                  <c:v>68.300000000000011</c:v>
                </c:pt>
                <c:pt idx="484">
                  <c:v>68.400000000000006</c:v>
                </c:pt>
                <c:pt idx="485">
                  <c:v>68.5</c:v>
                </c:pt>
                <c:pt idx="486">
                  <c:v>68.599999999999994</c:v>
                </c:pt>
                <c:pt idx="487">
                  <c:v>68.7</c:v>
                </c:pt>
                <c:pt idx="488">
                  <c:v>68.800000000000011</c:v>
                </c:pt>
                <c:pt idx="489">
                  <c:v>68.900000000000006</c:v>
                </c:pt>
                <c:pt idx="490">
                  <c:v>69</c:v>
                </c:pt>
                <c:pt idx="491">
                  <c:v>69.099999999999994</c:v>
                </c:pt>
                <c:pt idx="492">
                  <c:v>69.2</c:v>
                </c:pt>
                <c:pt idx="493">
                  <c:v>69.300000000000011</c:v>
                </c:pt>
                <c:pt idx="494">
                  <c:v>69.400000000000006</c:v>
                </c:pt>
                <c:pt idx="495">
                  <c:v>69.5</c:v>
                </c:pt>
                <c:pt idx="496">
                  <c:v>69.599999999999994</c:v>
                </c:pt>
                <c:pt idx="497">
                  <c:v>69.7</c:v>
                </c:pt>
                <c:pt idx="498">
                  <c:v>69.800000000000011</c:v>
                </c:pt>
                <c:pt idx="499">
                  <c:v>69.900000000000006</c:v>
                </c:pt>
                <c:pt idx="500">
                  <c:v>70</c:v>
                </c:pt>
                <c:pt idx="501">
                  <c:v>70.099999999999994</c:v>
                </c:pt>
                <c:pt idx="502">
                  <c:v>70.2</c:v>
                </c:pt>
                <c:pt idx="503">
                  <c:v>70.300000000000011</c:v>
                </c:pt>
                <c:pt idx="504">
                  <c:v>70.400000000000006</c:v>
                </c:pt>
                <c:pt idx="505">
                  <c:v>70.5</c:v>
                </c:pt>
                <c:pt idx="506">
                  <c:v>70.599999999999994</c:v>
                </c:pt>
                <c:pt idx="507">
                  <c:v>70.7</c:v>
                </c:pt>
                <c:pt idx="508">
                  <c:v>70.800000000000011</c:v>
                </c:pt>
                <c:pt idx="509">
                  <c:v>70.900000000000006</c:v>
                </c:pt>
                <c:pt idx="510">
                  <c:v>71</c:v>
                </c:pt>
                <c:pt idx="511">
                  <c:v>71.099999999999994</c:v>
                </c:pt>
                <c:pt idx="512">
                  <c:v>71.2</c:v>
                </c:pt>
                <c:pt idx="513">
                  <c:v>71.300000000000011</c:v>
                </c:pt>
                <c:pt idx="514">
                  <c:v>71.400000000000006</c:v>
                </c:pt>
                <c:pt idx="515">
                  <c:v>71.5</c:v>
                </c:pt>
                <c:pt idx="516">
                  <c:v>71.599999999999994</c:v>
                </c:pt>
                <c:pt idx="517">
                  <c:v>71.7</c:v>
                </c:pt>
                <c:pt idx="518">
                  <c:v>71.800000000000011</c:v>
                </c:pt>
                <c:pt idx="519">
                  <c:v>71.900000000000006</c:v>
                </c:pt>
                <c:pt idx="520">
                  <c:v>72</c:v>
                </c:pt>
                <c:pt idx="521">
                  <c:v>72.099999999999994</c:v>
                </c:pt>
                <c:pt idx="522">
                  <c:v>72.2</c:v>
                </c:pt>
                <c:pt idx="523">
                  <c:v>72.300000000000011</c:v>
                </c:pt>
                <c:pt idx="524">
                  <c:v>72.400000000000006</c:v>
                </c:pt>
                <c:pt idx="525">
                  <c:v>72.5</c:v>
                </c:pt>
                <c:pt idx="526">
                  <c:v>72.599999999999994</c:v>
                </c:pt>
                <c:pt idx="527">
                  <c:v>72.7</c:v>
                </c:pt>
                <c:pt idx="528">
                  <c:v>72.800000000000011</c:v>
                </c:pt>
                <c:pt idx="529">
                  <c:v>72.900000000000006</c:v>
                </c:pt>
                <c:pt idx="530">
                  <c:v>73</c:v>
                </c:pt>
                <c:pt idx="531">
                  <c:v>73.099999999999994</c:v>
                </c:pt>
                <c:pt idx="532">
                  <c:v>73.2</c:v>
                </c:pt>
                <c:pt idx="533">
                  <c:v>73.300000000000011</c:v>
                </c:pt>
                <c:pt idx="534">
                  <c:v>73.400000000000006</c:v>
                </c:pt>
                <c:pt idx="535">
                  <c:v>73.5</c:v>
                </c:pt>
                <c:pt idx="536">
                  <c:v>73.599999999999994</c:v>
                </c:pt>
                <c:pt idx="537">
                  <c:v>73.7</c:v>
                </c:pt>
                <c:pt idx="538">
                  <c:v>73.800000000000011</c:v>
                </c:pt>
                <c:pt idx="539">
                  <c:v>73.900000000000006</c:v>
                </c:pt>
                <c:pt idx="540">
                  <c:v>74</c:v>
                </c:pt>
                <c:pt idx="541">
                  <c:v>74.099999999999994</c:v>
                </c:pt>
                <c:pt idx="542">
                  <c:v>74.2</c:v>
                </c:pt>
                <c:pt idx="543">
                  <c:v>74.300000000000011</c:v>
                </c:pt>
                <c:pt idx="544">
                  <c:v>74.400000000000006</c:v>
                </c:pt>
                <c:pt idx="545">
                  <c:v>74.5</c:v>
                </c:pt>
                <c:pt idx="546">
                  <c:v>74.599999999999994</c:v>
                </c:pt>
                <c:pt idx="547">
                  <c:v>74.7</c:v>
                </c:pt>
                <c:pt idx="548">
                  <c:v>74.800000000000011</c:v>
                </c:pt>
                <c:pt idx="549">
                  <c:v>74.900000000000006</c:v>
                </c:pt>
                <c:pt idx="550">
                  <c:v>75</c:v>
                </c:pt>
                <c:pt idx="551">
                  <c:v>75.099999999999994</c:v>
                </c:pt>
                <c:pt idx="552">
                  <c:v>75.2</c:v>
                </c:pt>
                <c:pt idx="553">
                  <c:v>75.300000000000011</c:v>
                </c:pt>
                <c:pt idx="554">
                  <c:v>75.400000000000006</c:v>
                </c:pt>
                <c:pt idx="555">
                  <c:v>75.5</c:v>
                </c:pt>
                <c:pt idx="556">
                  <c:v>75.599999999999994</c:v>
                </c:pt>
                <c:pt idx="557">
                  <c:v>75.7</c:v>
                </c:pt>
                <c:pt idx="558">
                  <c:v>75.800000000000011</c:v>
                </c:pt>
                <c:pt idx="559">
                  <c:v>75.900000000000006</c:v>
                </c:pt>
                <c:pt idx="560">
                  <c:v>76</c:v>
                </c:pt>
                <c:pt idx="561">
                  <c:v>76.099999999999994</c:v>
                </c:pt>
                <c:pt idx="562">
                  <c:v>76.2</c:v>
                </c:pt>
                <c:pt idx="563">
                  <c:v>76.300000000000011</c:v>
                </c:pt>
                <c:pt idx="564">
                  <c:v>76.400000000000006</c:v>
                </c:pt>
                <c:pt idx="565">
                  <c:v>76.5</c:v>
                </c:pt>
                <c:pt idx="566">
                  <c:v>76.599999999999994</c:v>
                </c:pt>
                <c:pt idx="567">
                  <c:v>76.7</c:v>
                </c:pt>
                <c:pt idx="568">
                  <c:v>76.800000000000011</c:v>
                </c:pt>
                <c:pt idx="569">
                  <c:v>76.900000000000006</c:v>
                </c:pt>
                <c:pt idx="570">
                  <c:v>77</c:v>
                </c:pt>
                <c:pt idx="571">
                  <c:v>77.099999999999994</c:v>
                </c:pt>
                <c:pt idx="572">
                  <c:v>77.2</c:v>
                </c:pt>
                <c:pt idx="573">
                  <c:v>77.300000000000011</c:v>
                </c:pt>
                <c:pt idx="574">
                  <c:v>77.400000000000006</c:v>
                </c:pt>
                <c:pt idx="575">
                  <c:v>77.5</c:v>
                </c:pt>
                <c:pt idx="576">
                  <c:v>77.599999999999994</c:v>
                </c:pt>
                <c:pt idx="577">
                  <c:v>77.7</c:v>
                </c:pt>
                <c:pt idx="578">
                  <c:v>77.800000000000011</c:v>
                </c:pt>
                <c:pt idx="579">
                  <c:v>77.900000000000006</c:v>
                </c:pt>
                <c:pt idx="580">
                  <c:v>78</c:v>
                </c:pt>
                <c:pt idx="581">
                  <c:v>78.099999999999994</c:v>
                </c:pt>
                <c:pt idx="582">
                  <c:v>78.2</c:v>
                </c:pt>
                <c:pt idx="583">
                  <c:v>78.300000000000011</c:v>
                </c:pt>
                <c:pt idx="584">
                  <c:v>78.400000000000006</c:v>
                </c:pt>
                <c:pt idx="585">
                  <c:v>78.5</c:v>
                </c:pt>
                <c:pt idx="586">
                  <c:v>78.599999999999994</c:v>
                </c:pt>
                <c:pt idx="587">
                  <c:v>78.7</c:v>
                </c:pt>
                <c:pt idx="588">
                  <c:v>78.800000000000011</c:v>
                </c:pt>
                <c:pt idx="589">
                  <c:v>78.900000000000006</c:v>
                </c:pt>
                <c:pt idx="590">
                  <c:v>79</c:v>
                </c:pt>
                <c:pt idx="591">
                  <c:v>79.099999999999994</c:v>
                </c:pt>
                <c:pt idx="592">
                  <c:v>79.2</c:v>
                </c:pt>
                <c:pt idx="593">
                  <c:v>79.300000000000011</c:v>
                </c:pt>
                <c:pt idx="594">
                  <c:v>79.400000000000006</c:v>
                </c:pt>
                <c:pt idx="595">
                  <c:v>79.5</c:v>
                </c:pt>
                <c:pt idx="596">
                  <c:v>79.599999999999994</c:v>
                </c:pt>
                <c:pt idx="597">
                  <c:v>79.7</c:v>
                </c:pt>
                <c:pt idx="598">
                  <c:v>79.800000000000011</c:v>
                </c:pt>
                <c:pt idx="599">
                  <c:v>79.900000000000006</c:v>
                </c:pt>
                <c:pt idx="600">
                  <c:v>80</c:v>
                </c:pt>
              </c:numCache>
            </c:numRef>
          </c:xVal>
          <c:yVal>
            <c:numRef>
              <c:f>Cal_Error!$F$2:$F$602</c:f>
              <c:numCache>
                <c:formatCode>0.0000%</c:formatCode>
                <c:ptCount val="601"/>
                <c:pt idx="0">
                  <c:v>7.9923726105947772E-3</c:v>
                </c:pt>
                <c:pt idx="1">
                  <c:v>6.938118586359442E-3</c:v>
                </c:pt>
                <c:pt idx="2">
                  <c:v>5.3321197214791817E-3</c:v>
                </c:pt>
                <c:pt idx="3">
                  <c:v>4.3334438068776838E-3</c:v>
                </c:pt>
                <c:pt idx="4">
                  <c:v>2.7888202938172028E-3</c:v>
                </c:pt>
                <c:pt idx="5">
                  <c:v>1.8440558320373186E-3</c:v>
                </c:pt>
                <c:pt idx="6">
                  <c:v>9.2402907365734383E-4</c:v>
                </c:pt>
                <c:pt idx="7">
                  <c:v>2.8376795132122363E-5</c:v>
                </c:pt>
                <c:pt idx="8">
                  <c:v>8.4325759453282784E-4</c:v>
                </c:pt>
                <c:pt idx="9">
                  <c:v>1.6912238783244348E-3</c:v>
                </c:pt>
                <c:pt idx="10">
                  <c:v>2.5158658251506999E-3</c:v>
                </c:pt>
                <c:pt idx="11">
                  <c:v>3.8668176340656605E-3</c:v>
                </c:pt>
                <c:pt idx="12">
                  <c:v>4.6427655842709737E-3</c:v>
                </c:pt>
                <c:pt idx="13">
                  <c:v>5.3964105926627755E-3</c:v>
                </c:pt>
                <c:pt idx="14">
                  <c:v>6.1280718600092736E-3</c:v>
                </c:pt>
                <c:pt idx="15">
                  <c:v>6.8380627134471258E-3</c:v>
                </c:pt>
                <c:pt idx="16">
                  <c:v>8.0610034445122766E-3</c:v>
                </c:pt>
                <c:pt idx="17">
                  <c:v>8.7256550627776378E-3</c:v>
                </c:pt>
                <c:pt idx="18">
                  <c:v>9.3695696724446602E-3</c:v>
                </c:pt>
                <c:pt idx="19">
                  <c:v>9.9930388036703049E-3</c:v>
                </c:pt>
                <c:pt idx="20">
                  <c:v>1.1119146346706349E-2</c:v>
                </c:pt>
                <c:pt idx="21">
                  <c:v>1.1699763952892657E-2</c:v>
                </c:pt>
                <c:pt idx="22">
                  <c:v>1.2260805624276373E-2</c:v>
                </c:pt>
                <c:pt idx="23">
                  <c:v>1.3316965344105149E-2</c:v>
                </c:pt>
                <c:pt idx="24">
                  <c:v>1.3836922885620393E-2</c:v>
                </c:pt>
                <c:pt idx="25">
                  <c:v>1.4338130201984711E-2</c:v>
                </c:pt>
                <c:pt idx="26">
                  <c:v>1.5327105128858307E-2</c:v>
                </c:pt>
                <c:pt idx="27">
                  <c:v>1.5788907167671982E-2</c:v>
                </c:pt>
                <c:pt idx="28">
                  <c:v>1.6232742814312827E-2</c:v>
                </c:pt>
                <c:pt idx="29">
                  <c:v>1.7157161163260562E-2</c:v>
                </c:pt>
                <c:pt idx="30">
                  <c:v>1.7563187836707381E-2</c:v>
                </c:pt>
                <c:pt idx="31">
                  <c:v>1.8445103313505906E-2</c:v>
                </c:pt>
                <c:pt idx="32">
                  <c:v>1.8814356328391721E-2</c:v>
                </c:pt>
                <c:pt idx="33">
                  <c:v>1.9654873215467279E-2</c:v>
                </c:pt>
                <c:pt idx="34">
                  <c:v>1.9988353971993573E-2</c:v>
                </c:pt>
                <c:pt idx="35">
                  <c:v>2.030556509223325E-2</c:v>
                </c:pt>
                <c:pt idx="36">
                  <c:v>2.1087219361597898E-2</c:v>
                </c:pt>
                <c:pt idx="37">
                  <c:v>2.1370080390956791E-2</c:v>
                </c:pt>
                <c:pt idx="38">
                  <c:v>2.2112926572216016E-2</c:v>
                </c:pt>
                <c:pt idx="39">
                  <c:v>2.236236151856736E-2</c:v>
                </c:pt>
                <c:pt idx="40">
                  <c:v>2.3067387673513906E-2</c:v>
                </c:pt>
                <c:pt idx="41">
                  <c:v>2.3752672369822161E-2</c:v>
                </c:pt>
                <c:pt idx="42">
                  <c:v>2.4418470508196691E-2</c:v>
                </c:pt>
                <c:pt idx="43">
                  <c:v>2.5065032577907084E-2</c:v>
                </c:pt>
                <c:pt idx="44">
                  <c:v>2.5231266635851891E-2</c:v>
                </c:pt>
                <c:pt idx="45">
                  <c:v>2.5842404163336025E-2</c:v>
                </c:pt>
                <c:pt idx="46">
                  <c:v>2.6435017092704224E-2</c:v>
                </c:pt>
                <c:pt idx="47">
                  <c:v>2.6554879475914849E-2</c:v>
                </c:pt>
                <c:pt idx="48">
                  <c:v>2.7113404670929139E-2</c:v>
                </c:pt>
                <c:pt idx="49">
                  <c:v>2.76540852879174E-2</c:v>
                </c:pt>
                <c:pt idx="50">
                  <c:v>2.7729404048451159E-2</c:v>
                </c:pt>
                <c:pt idx="51">
                  <c:v>2.8237274929741835E-2</c:v>
                </c:pt>
                <c:pt idx="52">
                  <c:v>2.8727951351259249E-2</c:v>
                </c:pt>
                <c:pt idx="53">
                  <c:v>2.8760473991982675E-2</c:v>
                </c:pt>
                <c:pt idx="54">
                  <c:v>2.9219563398391681E-2</c:v>
                </c:pt>
                <c:pt idx="55">
                  <c:v>2.9662080791514209E-2</c:v>
                </c:pt>
                <c:pt idx="56">
                  <c:v>3.0088233413654158E-2</c:v>
                </c:pt>
                <c:pt idx="57">
                  <c:v>3.0065578429681095E-2</c:v>
                </c:pt>
                <c:pt idx="58">
                  <c:v>3.0461703367347766E-2</c:v>
                </c:pt>
                <c:pt idx="59">
                  <c:v>3.084205119409187E-2</c:v>
                </c:pt>
                <c:pt idx="60">
                  <c:v>3.1206817355956727E-2</c:v>
                </c:pt>
                <c:pt idx="61">
                  <c:v>3.1556194691605248E-2</c:v>
                </c:pt>
                <c:pt idx="62">
                  <c:v>3.1468038642873709E-2</c:v>
                </c:pt>
                <c:pt idx="63">
                  <c:v>3.1789223790749291E-2</c:v>
                </c:pt>
                <c:pt idx="64">
                  <c:v>3.2095567758315444E-2</c:v>
                </c:pt>
                <c:pt idx="65">
                  <c:v>3.2387253026104026E-2</c:v>
                </c:pt>
                <c:pt idx="66">
                  <c:v>3.266445947497814E-2</c:v>
                </c:pt>
                <c:pt idx="67">
                  <c:v>3.2927364513276922E-2</c:v>
                </c:pt>
                <c:pt idx="68">
                  <c:v>3.3176143292294916E-2</c:v>
                </c:pt>
                <c:pt idx="69">
                  <c:v>3.3410968242032817E-2</c:v>
                </c:pt>
                <c:pt idx="70">
                  <c:v>3.3632009884563274E-2</c:v>
                </c:pt>
                <c:pt idx="71">
                  <c:v>3.3839435993128837E-2</c:v>
                </c:pt>
                <c:pt idx="72">
                  <c:v>3.4033412618227017E-2</c:v>
                </c:pt>
                <c:pt idx="73">
                  <c:v>3.4214103223930939E-2</c:v>
                </c:pt>
                <c:pt idx="74">
                  <c:v>3.4780715911684287E-2</c:v>
                </c:pt>
                <c:pt idx="75">
                  <c:v>3.4933463158355431E-2</c:v>
                </c:pt>
                <c:pt idx="76">
                  <c:v>3.5073415066285966E-2</c:v>
                </c:pt>
                <c:pt idx="77">
                  <c:v>3.5200726650247455E-2</c:v>
                </c:pt>
                <c:pt idx="78">
                  <c:v>3.5315551008588013E-2</c:v>
                </c:pt>
                <c:pt idx="79">
                  <c:v>3.5418039132293924E-2</c:v>
                </c:pt>
                <c:pt idx="80">
                  <c:v>3.5508340129673854E-2</c:v>
                </c:pt>
                <c:pt idx="81">
                  <c:v>3.5586601098342392E-2</c:v>
                </c:pt>
                <c:pt idx="82">
                  <c:v>3.6037535231204114E-2</c:v>
                </c:pt>
                <c:pt idx="83">
                  <c:v>3.6090395501841954E-2</c:v>
                </c:pt>
                <c:pt idx="84">
                  <c:v>3.6131657997350755E-2</c:v>
                </c:pt>
                <c:pt idx="85">
                  <c:v>3.6161462686481856E-2</c:v>
                </c:pt>
                <c:pt idx="86">
                  <c:v>3.6179947421682741E-2</c:v>
                </c:pt>
                <c:pt idx="87">
                  <c:v>3.65631557988862E-2</c:v>
                </c:pt>
                <c:pt idx="88">
                  <c:v>3.655771051382558E-2</c:v>
                </c:pt>
                <c:pt idx="89">
                  <c:v>3.654136070867816E-2</c:v>
                </c:pt>
                <c:pt idx="90">
                  <c:v>3.6514237525868534E-2</c:v>
                </c:pt>
                <c:pt idx="91">
                  <c:v>3.6845651814503291E-2</c:v>
                </c:pt>
                <c:pt idx="92">
                  <c:v>3.6795715312766243E-2</c:v>
                </c:pt>
                <c:pt idx="93">
                  <c:v>3.673540066510373E-2</c:v>
                </c:pt>
                <c:pt idx="94">
                  <c:v>3.7029083012109283E-2</c:v>
                </c:pt>
                <c:pt idx="95">
                  <c:v>3.6946762743020993E-2</c:v>
                </c:pt>
                <c:pt idx="96">
                  <c:v>3.6854445142610139E-2</c:v>
                </c:pt>
                <c:pt idx="97">
                  <c:v>3.711166424479314E-2</c:v>
                </c:pt>
                <c:pt idx="98">
                  <c:v>3.6998120067252983E-2</c:v>
                </c:pt>
                <c:pt idx="99">
                  <c:v>3.7231185714339594E-2</c:v>
                </c:pt>
                <c:pt idx="100">
                  <c:v>3.7096925830406843E-2</c:v>
                </c:pt>
                <c:pt idx="101">
                  <c:v>3.7306382967229372E-2</c:v>
                </c:pt>
                <c:pt idx="102">
                  <c:v>3.7503459687253153E-2</c:v>
                </c:pt>
                <c:pt idx="103">
                  <c:v>3.7338286454833634E-2</c:v>
                </c:pt>
                <c:pt idx="104">
                  <c:v>3.7512557814290443E-2</c:v>
                </c:pt>
                <c:pt idx="105">
                  <c:v>3.767485794817315E-2</c:v>
                </c:pt>
                <c:pt idx="106">
                  <c:v>3.7479883189436125E-2</c:v>
                </c:pt>
                <c:pt idx="107">
                  <c:v>3.7620153586633578E-2</c:v>
                </c:pt>
                <c:pt idx="108">
                  <c:v>3.7406408153050172E-2</c:v>
                </c:pt>
                <c:pt idx="109">
                  <c:v>3.7525145160477141E-2</c:v>
                </c:pt>
                <c:pt idx="110">
                  <c:v>3.7293083151611894E-2</c:v>
                </c:pt>
                <c:pt idx="111">
                  <c:v>3.7390772022367784E-2</c:v>
                </c:pt>
                <c:pt idx="112">
                  <c:v>3.74773856304026E-2</c:v>
                </c:pt>
                <c:pt idx="113">
                  <c:v>3.7217952583678375E-2</c:v>
                </c:pt>
                <c:pt idx="114">
                  <c:v>3.72842348386054E-2</c:v>
                </c:pt>
                <c:pt idx="115">
                  <c:v>3.7339807293485079E-2</c:v>
                </c:pt>
                <c:pt idx="116">
                  <c:v>3.6723196797648072E-2</c:v>
                </c:pt>
                <c:pt idx="117">
                  <c:v>3.6760547795353468E-2</c:v>
                </c:pt>
                <c:pt idx="118">
                  <c:v>3.6787534297656362E-2</c:v>
                </c:pt>
                <c:pt idx="119">
                  <c:v>3.6804274594689858E-2</c:v>
                </c:pt>
                <c:pt idx="120">
                  <c:v>3.6485703070171183E-2</c:v>
                </c:pt>
                <c:pt idx="121">
                  <c:v>3.6483683860216901E-2</c:v>
                </c:pt>
                <c:pt idx="122">
                  <c:v>3.647175726245331E-2</c:v>
                </c:pt>
                <c:pt idx="123">
                  <c:v>3.6450036559194043E-2</c:v>
                </c:pt>
                <c:pt idx="124">
                  <c:v>3.6418633882057419E-2</c:v>
                </c:pt>
                <c:pt idx="125">
                  <c:v>3.6059313979288715E-2</c:v>
                </c:pt>
                <c:pt idx="126">
                  <c:v>3.6010222270318026E-2</c:v>
                </c:pt>
                <c:pt idx="127">
                  <c:v>3.626743647885862E-2</c:v>
                </c:pt>
                <c:pt idx="128">
                  <c:v>3.6198402538845591E-2</c:v>
                </c:pt>
                <c:pt idx="129">
                  <c:v>3.6120229424552452E-2</c:v>
                </c:pt>
                <c:pt idx="130">
                  <c:v>3.6033021941522622E-2</c:v>
                </c:pt>
                <c:pt idx="131">
                  <c:v>3.5936884409352214E-2</c:v>
                </c:pt>
                <c:pt idx="132">
                  <c:v>3.5831919754065474E-2</c:v>
                </c:pt>
                <c:pt idx="133">
                  <c:v>3.5718229979889729E-2</c:v>
                </c:pt>
                <c:pt idx="134">
                  <c:v>3.5595915670835844E-2</c:v>
                </c:pt>
                <c:pt idx="135">
                  <c:v>3.5465076929065691E-2</c:v>
                </c:pt>
                <c:pt idx="136">
                  <c:v>3.5325812498785518E-2</c:v>
                </c:pt>
                <c:pt idx="137">
                  <c:v>3.5178220159386049E-2</c:v>
                </c:pt>
                <c:pt idx="138">
                  <c:v>3.5022396812016403E-2</c:v>
                </c:pt>
                <c:pt idx="139">
                  <c:v>3.4858438441048675E-2</c:v>
                </c:pt>
                <c:pt idx="140">
                  <c:v>3.4985413473292391E-2</c:v>
                </c:pt>
                <c:pt idx="141">
                  <c:v>3.4804234224648838E-2</c:v>
                </c:pt>
                <c:pt idx="142">
                  <c:v>3.4615208669355316E-2</c:v>
                </c:pt>
                <c:pt idx="143">
                  <c:v>3.4418428674159375E-2</c:v>
                </c:pt>
                <c:pt idx="144">
                  <c:v>3.4213985453755855E-2</c:v>
                </c:pt>
                <c:pt idx="145">
                  <c:v>3.4001969276591743E-2</c:v>
                </c:pt>
                <c:pt idx="146">
                  <c:v>3.4074137769842222E-2</c:v>
                </c:pt>
                <c:pt idx="147">
                  <c:v>3.3846048735956945E-2</c:v>
                </c:pt>
                <c:pt idx="148">
                  <c:v>3.3610658740645061E-2</c:v>
                </c:pt>
                <c:pt idx="149">
                  <c:v>3.3656158556574278E-2</c:v>
                </c:pt>
                <c:pt idx="150">
                  <c:v>3.3405251056748242E-2</c:v>
                </c:pt>
                <c:pt idx="151">
                  <c:v>3.3433066372062295E-2</c:v>
                </c:pt>
                <c:pt idx="152">
                  <c:v>3.3451603347224801E-2</c:v>
                </c:pt>
                <c:pt idx="153">
                  <c:v>3.3177524733807452E-2</c:v>
                </c:pt>
                <c:pt idx="154">
                  <c:v>3.2896671928206646E-2</c:v>
                </c:pt>
                <c:pt idx="155">
                  <c:v>3.2890272184951122E-2</c:v>
                </c:pt>
                <c:pt idx="156">
                  <c:v>3.2594977715441537E-2</c:v>
                </c:pt>
                <c:pt idx="157">
                  <c:v>3.2572032987727338E-2</c:v>
                </c:pt>
                <c:pt idx="158">
                  <c:v>3.2262641763517334E-2</c:v>
                </c:pt>
                <c:pt idx="159">
                  <c:v>3.222351777410936E-2</c:v>
                </c:pt>
                <c:pt idx="160">
                  <c:v>3.1900368252514966E-2</c:v>
                </c:pt>
                <c:pt idx="161">
                  <c:v>3.1845423875041037E-2</c:v>
                </c:pt>
                <c:pt idx="162">
                  <c:v>3.1508848057534379E-2</c:v>
                </c:pt>
                <c:pt idx="163">
                  <c:v>3.1438435532946757E-2</c:v>
                </c:pt>
                <c:pt idx="164">
                  <c:v>3.1088759584248601E-2</c:v>
                </c:pt>
                <c:pt idx="165">
                  <c:v>3.1003224652518972E-2</c:v>
                </c:pt>
                <c:pt idx="166">
                  <c:v>3.0909716039619409E-2</c:v>
                </c:pt>
                <c:pt idx="167">
                  <c:v>3.0540450518511838E-2</c:v>
                </c:pt>
                <c:pt idx="168">
                  <c:v>3.0432332024642027E-2</c:v>
                </c:pt>
                <c:pt idx="169">
                  <c:v>3.031650072149477E-2</c:v>
                </c:pt>
                <c:pt idx="170">
                  <c:v>2.9928362592971627E-2</c:v>
                </c:pt>
                <c:pt idx="171">
                  <c:v>2.9798419930277157E-2</c:v>
                </c:pt>
                <c:pt idx="172">
                  <c:v>2.9923599355501991E-2</c:v>
                </c:pt>
                <c:pt idx="173">
                  <c:v>2.9777781908434078E-2</c:v>
                </c:pt>
                <c:pt idx="174">
                  <c:v>2.9364179283139422E-2</c:v>
                </c:pt>
                <c:pt idx="175">
                  <c:v>2.9204908689926583E-2</c:v>
                </c:pt>
                <c:pt idx="176">
                  <c:v>2.9038514531571063E-2</c:v>
                </c:pt>
                <c:pt idx="177">
                  <c:v>2.8865078917351582E-2</c:v>
                </c:pt>
                <c:pt idx="178">
                  <c:v>2.8428278105178444E-2</c:v>
                </c:pt>
                <c:pt idx="179">
                  <c:v>2.8242013717747899E-2</c:v>
                </c:pt>
                <c:pt idx="180">
                  <c:v>2.8048944125684466E-2</c:v>
                </c:pt>
                <c:pt idx="181">
                  <c:v>2.7849148610157554E-2</c:v>
                </c:pt>
                <c:pt idx="182">
                  <c:v>2.7390315355481486E-2</c:v>
                </c:pt>
                <c:pt idx="183">
                  <c:v>2.7178293678272805E-2</c:v>
                </c:pt>
                <c:pt idx="184">
                  <c:v>2.6959774366591506E-2</c:v>
                </c:pt>
                <c:pt idx="185">
                  <c:v>2.6734833571952603E-2</c:v>
                </c:pt>
                <c:pt idx="186">
                  <c:v>2.6503547253737905E-2</c:v>
                </c:pt>
                <c:pt idx="187">
                  <c:v>2.6513471621255658E-2</c:v>
                </c:pt>
                <c:pt idx="188">
                  <c:v>2.6268751387598935E-2</c:v>
                </c:pt>
                <c:pt idx="189">
                  <c:v>2.6017913494441058E-2</c:v>
                </c:pt>
                <c:pt idx="190">
                  <c:v>2.5761031143104036E-2</c:v>
                </c:pt>
                <c:pt idx="191">
                  <c:v>2.5498176893217411E-2</c:v>
                </c:pt>
                <c:pt idx="192">
                  <c:v>2.5472113358912266E-2</c:v>
                </c:pt>
                <c:pt idx="193">
                  <c:v>2.519658618903646E-2</c:v>
                </c:pt>
                <c:pt idx="194">
                  <c:v>2.5156112088915786E-2</c:v>
                </c:pt>
                <c:pt idx="195">
                  <c:v>2.4868212811567664E-2</c:v>
                </c:pt>
                <c:pt idx="196">
                  <c:v>2.4574704096405928E-2</c:v>
                </c:pt>
                <c:pt idx="197">
                  <c:v>2.4275654541298798E-2</c:v>
                </c:pt>
                <c:pt idx="198">
                  <c:v>2.4208225268775953E-2</c:v>
                </c:pt>
                <c:pt idx="199">
                  <c:v>2.3897381345960686E-2</c:v>
                </c:pt>
                <c:pt idx="200">
                  <c:v>2.3581204001185085E-2</c:v>
                </c:pt>
                <c:pt idx="201">
                  <c:v>2.349411348177189E-2</c:v>
                </c:pt>
                <c:pt idx="202">
                  <c:v>2.3166564484753811E-2</c:v>
                </c:pt>
                <c:pt idx="203">
                  <c:v>2.283388440344044E-2</c:v>
                </c:pt>
                <c:pt idx="204">
                  <c:v>2.2727791262213644E-2</c:v>
                </c:pt>
                <c:pt idx="205">
                  <c:v>2.238415164365376E-2</c:v>
                </c:pt>
                <c:pt idx="206">
                  <c:v>2.2265451897122993E-2</c:v>
                </c:pt>
                <c:pt idx="207">
                  <c:v>2.1911124766837549E-2</c:v>
                </c:pt>
                <c:pt idx="208">
                  <c:v>2.1780104878245003E-2</c:v>
                </c:pt>
                <c:pt idx="209">
                  <c:v>2.1415357614230471E-2</c:v>
                </c:pt>
                <c:pt idx="210">
                  <c:v>2.127229934693986E-2</c:v>
                </c:pt>
                <c:pt idx="211">
                  <c:v>2.0897395018001679E-2</c:v>
                </c:pt>
                <c:pt idx="212">
                  <c:v>2.0967209514465603E-2</c:v>
                </c:pt>
                <c:pt idx="213">
                  <c:v>2.0805322880356778E-2</c:v>
                </c:pt>
                <c:pt idx="214">
                  <c:v>2.0414384679440109E-2</c:v>
                </c:pt>
                <c:pt idx="215">
                  <c:v>2.0241156028436319E-2</c:v>
                </c:pt>
                <c:pt idx="216">
                  <c:v>2.0061932619316238E-2</c:v>
                </c:pt>
                <c:pt idx="217">
                  <c:v>1.9656406877422913E-2</c:v>
                </c:pt>
                <c:pt idx="218">
                  <c:v>1.9466242672036341E-2</c:v>
                </c:pt>
                <c:pt idx="219">
                  <c:v>1.90515852717397E-2</c:v>
                </c:pt>
                <c:pt idx="220">
                  <c:v>1.8850739913932251E-2</c:v>
                </c:pt>
                <c:pt idx="221">
                  <c:v>1.8644235921244885E-2</c:v>
                </c:pt>
                <c:pt idx="222">
                  <c:v>1.8215922048623857E-2</c:v>
                </c:pt>
                <c:pt idx="223">
                  <c:v>1.7999122381868897E-2</c:v>
                </c:pt>
                <c:pt idx="224">
                  <c:v>1.7776860047707722E-2</c:v>
                </c:pt>
                <c:pt idx="225">
                  <c:v>1.7549200598456844E-2</c:v>
                </c:pt>
                <c:pt idx="226">
                  <c:v>1.7316209229086575E-2</c:v>
                </c:pt>
                <c:pt idx="227">
                  <c:v>1.7077950413457461E-2</c:v>
                </c:pt>
                <c:pt idx="228">
                  <c:v>1.6834488059579756E-2</c:v>
                </c:pt>
                <c:pt idx="229">
                  <c:v>1.6585885752239952E-2</c:v>
                </c:pt>
                <c:pt idx="230">
                  <c:v>1.6541961596530708E-2</c:v>
                </c:pt>
                <c:pt idx="231">
                  <c:v>1.6282476189209843E-2</c:v>
                </c:pt>
                <c:pt idx="232">
                  <c:v>1.601804179064702E-2</c:v>
                </c:pt>
                <c:pt idx="233">
                  <c:v>1.5748720045887572E-2</c:v>
                </c:pt>
                <c:pt idx="234">
                  <c:v>1.5474571806559336E-2</c:v>
                </c:pt>
                <c:pt idx="235">
                  <c:v>1.5195657705867031E-2</c:v>
                </c:pt>
                <c:pt idx="236">
                  <c:v>1.5117095218821661E-2</c:v>
                </c:pt>
                <c:pt idx="237">
                  <c:v>1.4828058383280164E-2</c:v>
                </c:pt>
                <c:pt idx="238">
                  <c:v>1.4534437896528404E-2</c:v>
                </c:pt>
                <c:pt idx="239">
                  <c:v>1.4236292398511879E-2</c:v>
                </c:pt>
                <c:pt idx="240">
                  <c:v>1.4135674375230294E-2</c:v>
                </c:pt>
                <c:pt idx="241">
                  <c:v>1.3827895752633958E-2</c:v>
                </c:pt>
                <c:pt idx="242">
                  <c:v>1.3515768759036872E-2</c:v>
                </c:pt>
                <c:pt idx="243">
                  <c:v>1.339908210573632E-2</c:v>
                </c:pt>
                <c:pt idx="244">
                  <c:v>1.3077680993393324E-2</c:v>
                </c:pt>
                <c:pt idx="245">
                  <c:v>1.2752103867342636E-2</c:v>
                </c:pt>
                <c:pt idx="246">
                  <c:v>1.2619905560188242E-2</c:v>
                </c:pt>
                <c:pt idx="247">
                  <c:v>1.2482166172800985E-2</c:v>
                </c:pt>
                <c:pt idx="248">
                  <c:v>1.2338949995407571E-2</c:v>
                </c:pt>
                <c:pt idx="249">
                  <c:v>1.1995026532774459E-2</c:v>
                </c:pt>
                <c:pt idx="250">
                  <c:v>1.1841776301527003E-2</c:v>
                </c:pt>
                <c:pt idx="251">
                  <c:v>1.1295553686774921E-2</c:v>
                </c:pt>
                <c:pt idx="252">
                  <c:v>1.1133230364207556E-2</c:v>
                </c:pt>
                <c:pt idx="253">
                  <c:v>1.0773334468112366E-2</c:v>
                </c:pt>
                <c:pt idx="254">
                  <c:v>1.0601444794989229E-2</c:v>
                </c:pt>
                <c:pt idx="255">
                  <c:v>1.0424502384708958E-2</c:v>
                </c:pt>
                <c:pt idx="256">
                  <c:v>1.0052305766074958E-2</c:v>
                </c:pt>
                <c:pt idx="257">
                  <c:v>9.866146133444692E-3</c:v>
                </c:pt>
                <c:pt idx="258">
                  <c:v>9.6751109950472276E-3</c:v>
                </c:pt>
                <c:pt idx="259">
                  <c:v>9.2911086506782623E-3</c:v>
                </c:pt>
                <c:pt idx="260">
                  <c:v>9.0911975774959769E-3</c:v>
                </c:pt>
                <c:pt idx="261">
                  <c:v>8.8865842531128166E-3</c:v>
                </c:pt>
                <c:pt idx="262">
                  <c:v>8.6773265664556211E-3</c:v>
                </c:pt>
                <c:pt idx="263">
                  <c:v>8.4634819478072668E-3</c:v>
                </c:pt>
                <c:pt idx="264">
                  <c:v>8.4297984733794334E-3</c:v>
                </c:pt>
                <c:pt idx="265">
                  <c:v>8.0222593607802099E-3</c:v>
                </c:pt>
                <c:pt idx="266">
                  <c:v>7.7949941275931829E-3</c:v>
                </c:pt>
                <c:pt idx="267">
                  <c:v>7.563367351542157E-3</c:v>
                </c:pt>
                <c:pt idx="268">
                  <c:v>7.3274343012518202E-3</c:v>
                </c:pt>
                <c:pt idx="269">
                  <c:v>7.0872498744746111E-3</c:v>
                </c:pt>
                <c:pt idx="270">
                  <c:v>6.8428685797506869E-3</c:v>
                </c:pt>
                <c:pt idx="271">
                  <c:v>6.5943444627111058E-3</c:v>
                </c:pt>
                <c:pt idx="272">
                  <c:v>6.3417311590485501E-3</c:v>
                </c:pt>
                <c:pt idx="273">
                  <c:v>6.2637270139997417E-3</c:v>
                </c:pt>
                <c:pt idx="274">
                  <c:v>6.0024369971392912E-3</c:v>
                </c:pt>
                <c:pt idx="275">
                  <c:v>5.73721911566676E-3</c:v>
                </c:pt>
                <c:pt idx="276">
                  <c:v>5.4681254015107204E-3</c:v>
                </c:pt>
                <c:pt idx="277">
                  <c:v>5.0191770936473578E-3</c:v>
                </c:pt>
                <c:pt idx="278">
                  <c:v>4.9185169553473572E-3</c:v>
                </c:pt>
                <c:pt idx="279">
                  <c:v>4.638104482366498E-3</c:v>
                </c:pt>
                <c:pt idx="280">
                  <c:v>4.3540205210731804E-3</c:v>
                </c:pt>
                <c:pt idx="281">
                  <c:v>4.2397738833371409E-3</c:v>
                </c:pt>
                <c:pt idx="282">
                  <c:v>4.120682929158505E-3</c:v>
                </c:pt>
                <c:pt idx="283">
                  <c:v>3.8246170404728935E-3</c:v>
                </c:pt>
                <c:pt idx="284">
                  <c:v>3.6966401975333991E-3</c:v>
                </c:pt>
                <c:pt idx="285">
                  <c:v>3.3930590332859412E-3</c:v>
                </c:pt>
                <c:pt idx="286">
                  <c:v>3.2564118479264112E-3</c:v>
                </c:pt>
                <c:pt idx="287">
                  <c:v>2.9455188869383373E-3</c:v>
                </c:pt>
                <c:pt idx="288">
                  <c:v>2.8004135719762258E-3</c:v>
                </c:pt>
                <c:pt idx="289">
                  <c:v>2.482409299754536E-3</c:v>
                </c:pt>
                <c:pt idx="290">
                  <c:v>2.3290551117987508E-3</c:v>
                </c:pt>
                <c:pt idx="291">
                  <c:v>2.0041370245345463E-3</c:v>
                </c:pt>
                <c:pt idx="292">
                  <c:v>1.8427400402553742E-3</c:v>
                </c:pt>
                <c:pt idx="293">
                  <c:v>1.6770937582825179E-3</c:v>
                </c:pt>
                <c:pt idx="294">
                  <c:v>1.3418661367705757E-3</c:v>
                </c:pt>
                <c:pt idx="295">
                  <c:v>1.1684831741646487E-3</c:v>
                </c:pt>
                <c:pt idx="296">
                  <c:v>9.9100595007148209E-4</c:v>
                </c:pt>
                <c:pt idx="297">
                  <c:v>9.7306784648281959E-4</c:v>
                </c:pt>
                <c:pt idx="298">
                  <c:v>6.2397556906875666E-4</c:v>
                </c:pt>
                <c:pt idx="299">
                  <c:v>2.7213279776869216E-4</c:v>
                </c:pt>
                <c:pt idx="300">
                  <c:v>7.9383920356406181E-5</c:v>
                </c:pt>
                <c:pt idx="301">
                  <c:v>1.172066141431126E-4</c:v>
                </c:pt>
                <c:pt idx="302">
                  <c:v>3.1758880840655762E-4</c:v>
                </c:pt>
                <c:pt idx="303">
                  <c:v>5.2171326400845955E-4</c:v>
                </c:pt>
                <c:pt idx="304">
                  <c:v>7.2953066628634645E-4</c:v>
                </c:pt>
                <c:pt idx="305">
                  <c:v>9.4099233318487594E-4</c:v>
                </c:pt>
                <c:pt idx="306">
                  <c:v>1.1560498018719331E-3</c:v>
                </c:pt>
                <c:pt idx="307">
                  <c:v>1.3746548128121779E-3</c:v>
                </c:pt>
                <c:pt idx="308">
                  <c:v>1.5967597476491137E-3</c:v>
                </c:pt>
                <c:pt idx="309">
                  <c:v>1.8223171804535221E-3</c:v>
                </c:pt>
                <c:pt idx="310">
                  <c:v>2.051280084645371E-3</c:v>
                </c:pt>
                <c:pt idx="311">
                  <c:v>2.2836016890253803E-3</c:v>
                </c:pt>
                <c:pt idx="312">
                  <c:v>2.3643494392515396E-3</c:v>
                </c:pt>
                <c:pt idx="313">
                  <c:v>2.4494865767089023E-3</c:v>
                </c:pt>
                <c:pt idx="314">
                  <c:v>2.6927255953562556E-3</c:v>
                </c:pt>
                <c:pt idx="315">
                  <c:v>2.7859273056148287E-3</c:v>
                </c:pt>
                <c:pt idx="316">
                  <c:v>3.036017584645384E-3</c:v>
                </c:pt>
                <c:pt idx="317">
                  <c:v>3.2891867049556489E-3</c:v>
                </c:pt>
                <c:pt idx="318">
                  <c:v>3.5453904359164612E-3</c:v>
                </c:pt>
                <c:pt idx="319">
                  <c:v>3.8045847364201256E-3</c:v>
                </c:pt>
                <c:pt idx="320">
                  <c:v>4.0667258235537783E-3</c:v>
                </c:pt>
                <c:pt idx="321">
                  <c:v>4.1818575017002124E-3</c:v>
                </c:pt>
                <c:pt idx="322">
                  <c:v>4.4503040952855021E-3</c:v>
                </c:pt>
                <c:pt idx="323">
                  <c:v>4.5727346642148396E-3</c:v>
                </c:pt>
                <c:pt idx="324">
                  <c:v>4.6990132241299352E-3</c:v>
                </c:pt>
                <c:pt idx="325">
                  <c:v>4.9768497047798137E-3</c:v>
                </c:pt>
                <c:pt idx="326">
                  <c:v>5.1101459446881974E-3</c:v>
                </c:pt>
                <c:pt idx="327">
                  <c:v>5.2471479363795171E-3</c:v>
                </c:pt>
                <c:pt idx="328">
                  <c:v>5.3878082091266908E-3</c:v>
                </c:pt>
                <c:pt idx="329">
                  <c:v>5.53207981945602E-3</c:v>
                </c:pt>
                <c:pt idx="330">
                  <c:v>5.6799158422033685E-3</c:v>
                </c:pt>
                <c:pt idx="331">
                  <c:v>5.831269916106557E-3</c:v>
                </c:pt>
                <c:pt idx="332">
                  <c:v>6.1301641137066643E-3</c:v>
                </c:pt>
                <c:pt idx="333">
                  <c:v>6.287897399594543E-3</c:v>
                </c:pt>
                <c:pt idx="334">
                  <c:v>6.449013424112332E-3</c:v>
                </c:pt>
                <c:pt idx="335">
                  <c:v>6.755984952202059E-3</c:v>
                </c:pt>
                <c:pt idx="336">
                  <c:v>6.9232186764156215E-3</c:v>
                </c:pt>
                <c:pt idx="337">
                  <c:v>7.0937028588015571E-3</c:v>
                </c:pt>
                <c:pt idx="338">
                  <c:v>7.2673932940379351E-3</c:v>
                </c:pt>
                <c:pt idx="339">
                  <c:v>7.4442462408948534E-3</c:v>
                </c:pt>
                <c:pt idx="340">
                  <c:v>7.6242180946387616E-3</c:v>
                </c:pt>
                <c:pt idx="341">
                  <c:v>7.8072657633335291E-3</c:v>
                </c:pt>
                <c:pt idx="342">
                  <c:v>7.9933462089315736E-3</c:v>
                </c:pt>
                <c:pt idx="343">
                  <c:v>7.9054772233236904E-3</c:v>
                </c:pt>
                <c:pt idx="344">
                  <c:v>8.0984902740118894E-3</c:v>
                </c:pt>
                <c:pt idx="345">
                  <c:v>8.2944055442019243E-3</c:v>
                </c:pt>
                <c:pt idx="346">
                  <c:v>8.4931813576970064E-3</c:v>
                </c:pt>
                <c:pt idx="347">
                  <c:v>8.5582842150025706E-3</c:v>
                </c:pt>
                <c:pt idx="348">
                  <c:v>8.7631469029715893E-3</c:v>
                </c:pt>
                <c:pt idx="349">
                  <c:v>8.970745184037841E-3</c:v>
                </c:pt>
                <c:pt idx="350">
                  <c:v>9.1810385971480852E-3</c:v>
                </c:pt>
                <c:pt idx="351">
                  <c:v>9.3939869749764641E-3</c:v>
                </c:pt>
                <c:pt idx="352">
                  <c:v>9.4754871771348774E-3</c:v>
                </c:pt>
                <c:pt idx="353">
                  <c:v>9.6941064075857595E-3</c:v>
                </c:pt>
                <c:pt idx="354">
                  <c:v>9.782155490196091E-3</c:v>
                </c:pt>
                <c:pt idx="355">
                  <c:v>1.000628108477594E-2</c:v>
                </c:pt>
                <c:pt idx="356">
                  <c:v>1.0100708426085053E-2</c:v>
                </c:pt>
                <c:pt idx="357">
                  <c:v>1.0330178319954839E-2</c:v>
                </c:pt>
                <c:pt idx="358">
                  <c:v>1.0299606795669547E-2</c:v>
                </c:pt>
                <c:pt idx="359">
                  <c:v>1.0403991123510715E-2</c:v>
                </c:pt>
                <c:pt idx="360">
                  <c:v>1.0511608059864588E-2</c:v>
                </c:pt>
                <c:pt idx="361">
                  <c:v>1.0752220719369654E-2</c:v>
                </c:pt>
                <c:pt idx="362">
                  <c:v>1.0865711294305778E-2</c:v>
                </c:pt>
                <c:pt idx="363">
                  <c:v>1.1111188899026963E-2</c:v>
                </c:pt>
                <c:pt idx="364">
                  <c:v>1.1230392087040433E-2</c:v>
                </c:pt>
                <c:pt idx="365">
                  <c:v>1.1352621229978752E-2</c:v>
                </c:pt>
                <c:pt idx="366">
                  <c:v>1.1477835375922528E-2</c:v>
                </c:pt>
                <c:pt idx="367">
                  <c:v>1.1605993523165638E-2</c:v>
                </c:pt>
                <c:pt idx="368">
                  <c:v>1.1737055124717267E-2</c:v>
                </c:pt>
                <c:pt idx="369">
                  <c:v>1.1870979998399684E-2</c:v>
                </c:pt>
                <c:pt idx="370">
                  <c:v>1.2007728095472521E-2</c:v>
                </c:pt>
                <c:pt idx="371">
                  <c:v>1.2147259792975972E-2</c:v>
                </c:pt>
                <c:pt idx="372">
                  <c:v>1.2289535664147642E-2</c:v>
                </c:pt>
                <c:pt idx="373">
                  <c:v>1.2310164334729267E-2</c:v>
                </c:pt>
                <c:pt idx="374">
                  <c:v>1.2458254782973898E-2</c:v>
                </c:pt>
                <c:pt idx="375">
                  <c:v>1.2485504239562998E-2</c:v>
                </c:pt>
                <c:pt idx="376">
                  <c:v>1.2762275500381757E-2</c:v>
                </c:pt>
                <c:pt idx="377">
                  <c:v>1.2918129441597728E-2</c:v>
                </c:pt>
                <c:pt idx="378">
                  <c:v>1.2954343213935817E-2</c:v>
                </c:pt>
                <c:pt idx="379">
                  <c:v>1.3115618799154268E-2</c:v>
                </c:pt>
                <c:pt idx="380">
                  <c:v>1.3279330244198181E-2</c:v>
                </c:pt>
                <c:pt idx="381">
                  <c:v>1.3324588547373327E-2</c:v>
                </c:pt>
                <c:pt idx="382">
                  <c:v>1.3493491283562711E-2</c:v>
                </c:pt>
                <c:pt idx="383">
                  <c:v>1.3544725015795737E-2</c:v>
                </c:pt>
                <c:pt idx="384">
                  <c:v>1.3599100900157299E-2</c:v>
                </c:pt>
                <c:pt idx="385">
                  <c:v>1.3775719017454441E-2</c:v>
                </c:pt>
                <c:pt idx="386">
                  <c:v>1.3835833647758221E-2</c:v>
                </c:pt>
                <c:pt idx="387">
                  <c:v>1.4135561119013955E-2</c:v>
                </c:pt>
                <c:pt idx="388">
                  <c:v>1.4082965365251795E-2</c:v>
                </c:pt>
                <c:pt idx="389">
                  <c:v>1.4151609853610577E-2</c:v>
                </c:pt>
                <c:pt idx="390">
                  <c:v>1.4223160029286879E-2</c:v>
                </c:pt>
                <c:pt idx="391">
                  <c:v>1.4414199003224333E-2</c:v>
                </c:pt>
                <c:pt idx="392">
                  <c:v>1.4491029714345717E-2</c:v>
                </c:pt>
                <c:pt idx="393">
                  <c:v>1.4570651673044594E-2</c:v>
                </c:pt>
                <c:pt idx="394">
                  <c:v>1.4653026796304177E-2</c:v>
                </c:pt>
                <c:pt idx="395">
                  <c:v>1.4738117258595017E-2</c:v>
                </c:pt>
                <c:pt idx="396">
                  <c:v>1.482588540477045E-2</c:v>
                </c:pt>
                <c:pt idx="397">
                  <c:v>1.4916294022054789E-2</c:v>
                </c:pt>
                <c:pt idx="398">
                  <c:v>1.5123060260013225E-2</c:v>
                </c:pt>
                <c:pt idx="399">
                  <c:v>1.5218235326007256E-2</c:v>
                </c:pt>
                <c:pt idx="400">
                  <c:v>1.5202993409577915E-2</c:v>
                </c:pt>
                <c:pt idx="401">
                  <c:v>1.5303596007545335E-2</c:v>
                </c:pt>
                <c:pt idx="402">
                  <c:v>1.5406656603236906E-2</c:v>
                </c:pt>
                <c:pt idx="403">
                  <c:v>1.5400388334048498E-2</c:v>
                </c:pt>
                <c:pt idx="404">
                  <c:v>1.5397299244007007E-2</c:v>
                </c:pt>
                <c:pt idx="405">
                  <c:v>1.5508309498842944E-2</c:v>
                </c:pt>
                <c:pt idx="406">
                  <c:v>1.5621633466235081E-2</c:v>
                </c:pt>
                <c:pt idx="407">
                  <c:v>1.5627061408018585E-2</c:v>
                </c:pt>
                <c:pt idx="408">
                  <c:v>1.5855084039494836E-2</c:v>
                </c:pt>
                <c:pt idx="409">
                  <c:v>1.5865745849740306E-2</c:v>
                </c:pt>
                <c:pt idx="410">
                  <c:v>1.5988367617887866E-2</c:v>
                </c:pt>
                <c:pt idx="411">
                  <c:v>1.6004508028168395E-2</c:v>
                </c:pt>
                <c:pt idx="412">
                  <c:v>1.6131763601833903E-2</c:v>
                </c:pt>
                <c:pt idx="413">
                  <c:v>1.6153237430862326E-2</c:v>
                </c:pt>
                <c:pt idx="414">
                  <c:v>1.6177515013783655E-2</c:v>
                </c:pt>
                <c:pt idx="415">
                  <c:v>1.6311652495799276E-2</c:v>
                </c:pt>
                <c:pt idx="416">
                  <c:v>1.6341048186468501E-2</c:v>
                </c:pt>
                <c:pt idx="417">
                  <c:v>1.6479475853539212E-2</c:v>
                </c:pt>
                <c:pt idx="418">
                  <c:v>1.6407888920494947E-2</c:v>
                </c:pt>
                <c:pt idx="419">
                  <c:v>1.6445261982739986E-2</c:v>
                </c:pt>
                <c:pt idx="420">
                  <c:v>1.6485222488374609E-2</c:v>
                </c:pt>
                <c:pt idx="421">
                  <c:v>1.663257568594851E-2</c:v>
                </c:pt>
                <c:pt idx="422">
                  <c:v>1.6677234751991277E-2</c:v>
                </c:pt>
                <c:pt idx="423">
                  <c:v>1.6620276465391846E-2</c:v>
                </c:pt>
                <c:pt idx="424">
                  <c:v>1.6670235657818382E-2</c:v>
                </c:pt>
                <c:pt idx="425">
                  <c:v>1.672260799713797E-2</c:v>
                </c:pt>
                <c:pt idx="426">
                  <c:v>1.6880360785610733E-2</c:v>
                </c:pt>
                <c:pt idx="427">
                  <c:v>1.6937093532425188E-2</c:v>
                </c:pt>
                <c:pt idx="428">
                  <c:v>1.6996139180891545E-2</c:v>
                </c:pt>
                <c:pt idx="429">
                  <c:v>1.6955549899814137E-2</c:v>
                </c:pt>
                <c:pt idx="430">
                  <c:v>1.7019481051336459E-2</c:v>
                </c:pt>
                <c:pt idx="431">
                  <c:v>1.7085624269444488E-2</c:v>
                </c:pt>
                <c:pt idx="432">
                  <c:v>1.6952269297786243E-2</c:v>
                </c:pt>
                <c:pt idx="433">
                  <c:v>1.7023450435328342E-2</c:v>
                </c:pt>
                <c:pt idx="434">
                  <c:v>1.7196872386933397E-2</c:v>
                </c:pt>
                <c:pt idx="435">
                  <c:v>1.7172117438059867E-2</c:v>
                </c:pt>
                <c:pt idx="436">
                  <c:v>1.7150116220874492E-2</c:v>
                </c:pt>
                <c:pt idx="437">
                  <c:v>1.7229906144233725E-2</c:v>
                </c:pt>
                <c:pt idx="438">
                  <c:v>1.7212957037049781E-2</c:v>
                </c:pt>
                <c:pt idx="439">
                  <c:v>1.7297033118045008E-2</c:v>
                </c:pt>
                <c:pt idx="440">
                  <c:v>1.7285001897029639E-2</c:v>
                </c:pt>
                <c:pt idx="441">
                  <c:v>1.7275552550194809E-2</c:v>
                </c:pt>
                <c:pt idx="442">
                  <c:v>1.7365990143440396E-2</c:v>
                </c:pt>
                <c:pt idx="443">
                  <c:v>1.7361259546658733E-2</c:v>
                </c:pt>
                <c:pt idx="444">
                  <c:v>1.7455665090186274E-2</c:v>
                </c:pt>
                <c:pt idx="445">
                  <c:v>1.7455523683046321E-2</c:v>
                </c:pt>
                <c:pt idx="446">
                  <c:v>1.7457798557586911E-2</c:v>
                </c:pt>
                <c:pt idx="447">
                  <c:v>1.7366819850462237E-2</c:v>
                </c:pt>
                <c:pt idx="448">
                  <c:v>1.7374165378120591E-2</c:v>
                </c:pt>
                <c:pt idx="449">
                  <c:v>1.7383827818336171E-2</c:v>
                </c:pt>
                <c:pt idx="450">
                  <c:v>1.7395775037756449E-2</c:v>
                </c:pt>
                <c:pt idx="451">
                  <c:v>1.7409974994539928E-2</c:v>
                </c:pt>
                <c:pt idx="452">
                  <c:v>1.742639592776507E-2</c:v>
                </c:pt>
                <c:pt idx="453">
                  <c:v>1.7445006394048407E-2</c:v>
                </c:pt>
                <c:pt idx="454">
                  <c:v>1.7372469582225224E-2</c:v>
                </c:pt>
                <c:pt idx="455">
                  <c:v>1.7395693563286643E-2</c:v>
                </c:pt>
                <c:pt idx="456">
                  <c:v>1.7421012637100917E-2</c:v>
                </c:pt>
                <c:pt idx="457">
                  <c:v>1.7448396373654928E-2</c:v>
                </c:pt>
                <c:pt idx="458">
                  <c:v>1.7477814244028608E-2</c:v>
                </c:pt>
                <c:pt idx="459">
                  <c:v>1.741755944077816E-2</c:v>
                </c:pt>
                <c:pt idx="460">
                  <c:v>1.7451277638830798E-2</c:v>
                </c:pt>
                <c:pt idx="461">
                  <c:v>1.7395905623787546E-2</c:v>
                </c:pt>
                <c:pt idx="462">
                  <c:v>1.7252374020018012E-2</c:v>
                </c:pt>
                <c:pt idx="463">
                  <c:v>1.7292789402551273E-2</c:v>
                </c:pt>
                <c:pt idx="464">
                  <c:v>1.7335056895834425E-2</c:v>
                </c:pt>
                <c:pt idx="465">
                  <c:v>1.7289386798274166E-2</c:v>
                </c:pt>
                <c:pt idx="466">
                  <c:v>1.7246141626840926E-2</c:v>
                </c:pt>
                <c:pt idx="467">
                  <c:v>1.7294420857672646E-2</c:v>
                </c:pt>
                <c:pt idx="468">
                  <c:v>1.7255617316241912E-2</c:v>
                </c:pt>
                <c:pt idx="469">
                  <c:v>1.7219145019984086E-2</c:v>
                </c:pt>
                <c:pt idx="470">
                  <c:v>1.7273168821074252E-2</c:v>
                </c:pt>
                <c:pt idx="471">
                  <c:v>1.7240956152718308E-2</c:v>
                </c:pt>
                <c:pt idx="472">
                  <c:v>1.7210983082204732E-2</c:v>
                </c:pt>
                <c:pt idx="473">
                  <c:v>1.7183219018861606E-2</c:v>
                </c:pt>
                <c:pt idx="474">
                  <c:v>1.7070669085777718E-2</c:v>
                </c:pt>
                <c:pt idx="475">
                  <c:v>1.7047537557602431E-2</c:v>
                </c:pt>
                <c:pt idx="476">
                  <c:v>1.702652376017209E-2</c:v>
                </c:pt>
                <c:pt idx="477">
                  <c:v>1.7093651153425801E-2</c:v>
                </c:pt>
                <c:pt idx="478">
                  <c:v>1.6904980289711938E-2</c:v>
                </c:pt>
                <c:pt idx="479">
                  <c:v>1.6890443597613984E-2</c:v>
                </c:pt>
                <c:pt idx="480">
                  <c:v>1.6792755691977343E-2</c:v>
                </c:pt>
                <c:pt idx="481">
                  <c:v>1.6782487643071671E-2</c:v>
                </c:pt>
                <c:pt idx="482">
                  <c:v>1.6689605874411172E-2</c:v>
                </c:pt>
                <c:pt idx="483">
                  <c:v>1.6767746721518102E-2</c:v>
                </c:pt>
                <c:pt idx="484">
                  <c:v>1.6679253727056417E-2</c:v>
                </c:pt>
                <c:pt idx="485">
                  <c:v>1.6676875280050348E-2</c:v>
                </c:pt>
                <c:pt idx="486">
                  <c:v>1.6592948379848003E-2</c:v>
                </c:pt>
                <c:pt idx="487">
                  <c:v>1.6511406011396723E-2</c:v>
                </c:pt>
                <c:pt idx="488">
                  <c:v>1.6432217725569791E-2</c:v>
                </c:pt>
                <c:pt idx="489">
                  <c:v>1.64378566299078E-2</c:v>
                </c:pt>
                <c:pt idx="490">
                  <c:v>1.6445211757740545E-2</c:v>
                </c:pt>
                <c:pt idx="491">
                  <c:v>1.6372329230039135E-2</c:v>
                </c:pt>
                <c:pt idx="492">
                  <c:v>1.6301683127164294E-2</c:v>
                </c:pt>
                <c:pt idx="493">
                  <c:v>1.6151889516785041E-2</c:v>
                </c:pt>
                <c:pt idx="494">
                  <c:v>1.6085912865391572E-2</c:v>
                </c:pt>
                <c:pt idx="495">
                  <c:v>1.6022084049096861E-2</c:v>
                </c:pt>
                <c:pt idx="496">
                  <c:v>1.5960374248623507E-2</c:v>
                </c:pt>
                <c:pt idx="497">
                  <c:v>1.5900754951603209E-2</c:v>
                </c:pt>
                <c:pt idx="498">
                  <c:v>1.5843197772169082E-2</c:v>
                </c:pt>
                <c:pt idx="499">
                  <c:v>1.5708012904803784E-2</c:v>
                </c:pt>
                <c:pt idx="500">
                  <c:v>1.5734157614098521E-2</c:v>
                </c:pt>
                <c:pt idx="501">
                  <c:v>1.5682618991520365E-2</c:v>
                </c:pt>
                <c:pt idx="502">
                  <c:v>1.5554201718002425E-2</c:v>
                </c:pt>
                <c:pt idx="503">
                  <c:v>1.5506812915745079E-2</c:v>
                </c:pt>
                <c:pt idx="504">
                  <c:v>1.5383040127547673E-2</c:v>
                </c:pt>
                <c:pt idx="505">
                  <c:v>1.5339688708079249E-2</c:v>
                </c:pt>
                <c:pt idx="506">
                  <c:v>1.5298178116774671E-2</c:v>
                </c:pt>
                <c:pt idx="507">
                  <c:v>1.5181019882012869E-2</c:v>
                </c:pt>
                <c:pt idx="508">
                  <c:v>1.4988999592016675E-2</c:v>
                </c:pt>
                <c:pt idx="509">
                  <c:v>1.4953661580711155E-2</c:v>
                </c:pt>
                <c:pt idx="510">
                  <c:v>1.4920056622337786E-2</c:v>
                </c:pt>
                <c:pt idx="511">
                  <c:v>1.4811773411369416E-2</c:v>
                </c:pt>
                <c:pt idx="512">
                  <c:v>1.4705705206609413E-2</c:v>
                </c:pt>
                <c:pt idx="513">
                  <c:v>1.4601823794682552E-2</c:v>
                </c:pt>
                <c:pt idx="514">
                  <c:v>1.4500101100096302E-2</c:v>
                </c:pt>
                <c:pt idx="515">
                  <c:v>1.4475834054741874E-2</c:v>
                </c:pt>
                <c:pt idx="516">
                  <c:v>1.4378082711080041E-2</c:v>
                </c:pt>
                <c:pt idx="517">
                  <c:v>1.4207608084241475E-2</c:v>
                </c:pt>
                <c:pt idx="518">
                  <c:v>1.4114243988424709E-2</c:v>
                </c:pt>
                <c:pt idx="519">
                  <c:v>1.4022901514112306E-2</c:v>
                </c:pt>
                <c:pt idx="520">
                  <c:v>1.4007574071699835E-2</c:v>
                </c:pt>
                <c:pt idx="521">
                  <c:v>1.3846174146590196E-2</c:v>
                </c:pt>
                <c:pt idx="522">
                  <c:v>1.3760736208032974E-2</c:v>
                </c:pt>
                <c:pt idx="523">
                  <c:v>1.3603964900907393E-2</c:v>
                </c:pt>
                <c:pt idx="524">
                  <c:v>1.3522587051557719E-2</c:v>
                </c:pt>
                <c:pt idx="525">
                  <c:v>1.3370332664260527E-2</c:v>
                </c:pt>
                <c:pt idx="526">
                  <c:v>1.329290774891659E-2</c:v>
                </c:pt>
                <c:pt idx="527">
                  <c:v>1.314506022373042E-2</c:v>
                </c:pt>
                <c:pt idx="528">
                  <c:v>1.2999501225526122E-2</c:v>
                </c:pt>
                <c:pt idx="529">
                  <c:v>1.2927933529286643E-2</c:v>
                </c:pt>
                <c:pt idx="530">
                  <c:v>1.2858099330451693E-2</c:v>
                </c:pt>
                <c:pt idx="531">
                  <c:v>1.2718741669928727E-2</c:v>
                </c:pt>
                <c:pt idx="532">
                  <c:v>1.2581564142952969E-2</c:v>
                </c:pt>
                <c:pt idx="533">
                  <c:v>1.2517276822220251E-2</c:v>
                </c:pt>
                <c:pt idx="534">
                  <c:v>1.2384132422551632E-2</c:v>
                </c:pt>
                <c:pt idx="535">
                  <c:v>1.2253088541496839E-2</c:v>
                </c:pt>
                <c:pt idx="536">
                  <c:v>1.2124118643128776E-2</c:v>
                </c:pt>
                <c:pt idx="537">
                  <c:v>1.1927438981351669E-2</c:v>
                </c:pt>
                <c:pt idx="538">
                  <c:v>1.1872296040804182E-2</c:v>
                </c:pt>
                <c:pt idx="539">
                  <c:v>1.1749391358553036E-2</c:v>
                </c:pt>
                <c:pt idx="540">
                  <c:v>1.1490392519779737E-2</c:v>
                </c:pt>
                <c:pt idx="541">
                  <c:v>1.1371882455656054E-2</c:v>
                </c:pt>
                <c:pt idx="542">
                  <c:v>1.1323842809190869E-2</c:v>
                </c:pt>
                <c:pt idx="543">
                  <c:v>1.1140589713088893E-2</c:v>
                </c:pt>
                <c:pt idx="544">
                  <c:v>1.1027756945719617E-2</c:v>
                </c:pt>
                <c:pt idx="545">
                  <c:v>1.0848926272034603E-2</c:v>
                </c:pt>
                <c:pt idx="546">
                  <c:v>1.0739989909698029E-2</c:v>
                </c:pt>
                <c:pt idx="547">
                  <c:v>1.0632846377917612E-2</c:v>
                </c:pt>
                <c:pt idx="548">
                  <c:v>1.0460335463424645E-2</c:v>
                </c:pt>
                <c:pt idx="549">
                  <c:v>1.0290035482615568E-2</c:v>
                </c:pt>
                <c:pt idx="550">
                  <c:v>1.018859038407129E-2</c:v>
                </c:pt>
                <c:pt idx="551">
                  <c:v>1.0022401714532034E-2</c:v>
                </c:pt>
                <c:pt idx="552">
                  <c:v>9.8583462104933593E-3</c:v>
                </c:pt>
                <c:pt idx="553">
                  <c:v>9.69639801863207E-3</c:v>
                </c:pt>
                <c:pt idx="554">
                  <c:v>9.6022808560013162E-3</c:v>
                </c:pt>
                <c:pt idx="555">
                  <c:v>9.4442423667593454E-3</c:v>
                </c:pt>
                <c:pt idx="556">
                  <c:v>9.2882356565542543E-3</c:v>
                </c:pt>
                <c:pt idx="557">
                  <c:v>9.0691683743410155E-3</c:v>
                </c:pt>
                <c:pt idx="558">
                  <c:v>8.9173758248560723E-3</c:v>
                </c:pt>
                <c:pt idx="559">
                  <c:v>8.7675394967372013E-3</c:v>
                </c:pt>
                <c:pt idx="560">
                  <c:v>8.5552424825410724E-3</c:v>
                </c:pt>
                <c:pt idx="561">
                  <c:v>8.473637554275203E-3</c:v>
                </c:pt>
                <c:pt idx="562">
                  <c:v>8.3295233788504962E-3</c:v>
                </c:pt>
                <c:pt idx="563">
                  <c:v>8.1235432233161837E-3</c:v>
                </c:pt>
                <c:pt idx="564">
                  <c:v>7.9198401973537037E-3</c:v>
                </c:pt>
                <c:pt idx="565">
                  <c:v>7.8449562882338779E-3</c:v>
                </c:pt>
                <c:pt idx="566">
                  <c:v>7.6452906861391289E-3</c:v>
                </c:pt>
                <c:pt idx="567">
                  <c:v>7.4478261600766675E-3</c:v>
                </c:pt>
                <c:pt idx="568">
                  <c:v>7.3151657874429921E-3</c:v>
                </c:pt>
                <c:pt idx="569">
                  <c:v>7.1218100494354125E-3</c:v>
                </c:pt>
                <c:pt idx="570">
                  <c:v>6.9305801920939809E-3</c:v>
                </c:pt>
                <c:pt idx="571">
                  <c:v>6.7414512202449645E-3</c:v>
                </c:pt>
                <c:pt idx="572">
                  <c:v>6.6161639544661949E-3</c:v>
                </c:pt>
                <c:pt idx="573">
                  <c:v>6.4309487528554582E-3</c:v>
                </c:pt>
                <c:pt idx="574">
                  <c:v>6.1864227100872516E-3</c:v>
                </c:pt>
                <c:pt idx="575">
                  <c:v>6.066577682130511E-3</c:v>
                </c:pt>
                <c:pt idx="576">
                  <c:v>5.8873734688895812E-3</c:v>
                </c:pt>
                <c:pt idx="577">
                  <c:v>5.6494206503208506E-3</c:v>
                </c:pt>
                <c:pt idx="578">
                  <c:v>5.4743139062171054E-3</c:v>
                </c:pt>
                <c:pt idx="579">
                  <c:v>5.3011147454870046E-3</c:v>
                </c:pt>
                <c:pt idx="580">
                  <c:v>5.1297997888987918E-3</c:v>
                </c:pt>
                <c:pt idx="581">
                  <c:v>4.9004769949577472E-3</c:v>
                </c:pt>
                <c:pt idx="582">
                  <c:v>4.7927298630257983E-3</c:v>
                </c:pt>
                <c:pt idx="583">
                  <c:v>4.5674731796212387E-3</c:v>
                </c:pt>
                <c:pt idx="584">
                  <c:v>4.3444198796317689E-3</c:v>
                </c:pt>
                <c:pt idx="585">
                  <c:v>4.1825906004892841E-3</c:v>
                </c:pt>
                <c:pt idx="586">
                  <c:v>4.0225073661125134E-3</c:v>
                </c:pt>
                <c:pt idx="587">
                  <c:v>3.805509580209877E-3</c:v>
                </c:pt>
                <c:pt idx="588">
                  <c:v>3.6490544420422072E-3</c:v>
                </c:pt>
                <c:pt idx="589">
                  <c:v>3.4360443932569158E-3</c:v>
                </c:pt>
                <c:pt idx="590">
                  <c:v>3.2250939145440851E-3</c:v>
                </c:pt>
                <c:pt idx="591">
                  <c:v>2.9583467944107569E-3</c:v>
                </c:pt>
                <c:pt idx="592">
                  <c:v>2.7516440994067009E-3</c:v>
                </c:pt>
                <c:pt idx="593">
                  <c:v>2.5469295758951348E-3</c:v>
                </c:pt>
                <c:pt idx="594">
                  <c:v>2.4014157959382034E-3</c:v>
                </c:pt>
                <c:pt idx="595">
                  <c:v>2.1433723640040436E-3</c:v>
                </c:pt>
                <c:pt idx="596">
                  <c:v>1.9444837585848149E-3</c:v>
                </c:pt>
                <c:pt idx="597">
                  <c:v>1.747491492636291E-3</c:v>
                </c:pt>
                <c:pt idx="598">
                  <c:v>1.552373014703433E-3</c:v>
                </c:pt>
                <c:pt idx="599">
                  <c:v>1.302850411561937E-3</c:v>
                </c:pt>
                <c:pt idx="600">
                  <c:v>3.4015339491109129E-4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BE5-4B19-A772-4170242697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84612128"/>
        <c:axId val="284613088"/>
      </c:scatterChart>
      <c:valAx>
        <c:axId val="2846121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4613088"/>
        <c:crosses val="autoZero"/>
        <c:crossBetween val="midCat"/>
      </c:valAx>
      <c:valAx>
        <c:axId val="2846130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461212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Cal_Error!$I$1</c:f>
              <c:strCache>
                <c:ptCount val="1"/>
                <c:pt idx="0">
                  <c:v>Error_Voltage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Cal_Error!$C$2:$C$602</c:f>
              <c:numCache>
                <c:formatCode>0.000000000</c:formatCode>
                <c:ptCount val="601"/>
                <c:pt idx="0">
                  <c:v>0</c:v>
                </c:pt>
                <c:pt idx="1">
                  <c:v>8.3330000000000001E-3</c:v>
                </c:pt>
                <c:pt idx="2">
                  <c:v>1.6667000000000001E-2</c:v>
                </c:pt>
                <c:pt idx="3">
                  <c:v>2.5000000000000001E-2</c:v>
                </c:pt>
                <c:pt idx="4">
                  <c:v>3.3333000000000002E-2</c:v>
                </c:pt>
                <c:pt idx="5">
                  <c:v>4.1667000000000003E-2</c:v>
                </c:pt>
                <c:pt idx="6">
                  <c:v>0.05</c:v>
                </c:pt>
                <c:pt idx="7">
                  <c:v>5.8333000000000003E-2</c:v>
                </c:pt>
                <c:pt idx="8">
                  <c:v>6.6667000000000004E-2</c:v>
                </c:pt>
                <c:pt idx="9">
                  <c:v>7.4999999999999997E-2</c:v>
                </c:pt>
                <c:pt idx="10">
                  <c:v>8.3333000000000004E-2</c:v>
                </c:pt>
                <c:pt idx="11">
                  <c:v>9.1666999999999998E-2</c:v>
                </c:pt>
                <c:pt idx="12">
                  <c:v>0.1</c:v>
                </c:pt>
                <c:pt idx="13">
                  <c:v>0.108333</c:v>
                </c:pt>
                <c:pt idx="14">
                  <c:v>0.11666700000000001</c:v>
                </c:pt>
                <c:pt idx="15">
                  <c:v>0.125</c:v>
                </c:pt>
                <c:pt idx="16">
                  <c:v>0.13333300000000001</c:v>
                </c:pt>
                <c:pt idx="17">
                  <c:v>0.14166699999999999</c:v>
                </c:pt>
                <c:pt idx="18">
                  <c:v>0.15</c:v>
                </c:pt>
                <c:pt idx="19">
                  <c:v>0.158333</c:v>
                </c:pt>
                <c:pt idx="20">
                  <c:v>0.16666700000000001</c:v>
                </c:pt>
                <c:pt idx="21">
                  <c:v>0.17499999999999999</c:v>
                </c:pt>
                <c:pt idx="22">
                  <c:v>0.183333</c:v>
                </c:pt>
                <c:pt idx="23">
                  <c:v>0.191667</c:v>
                </c:pt>
                <c:pt idx="24">
                  <c:v>0.2</c:v>
                </c:pt>
                <c:pt idx="25">
                  <c:v>0.20833299999999999</c:v>
                </c:pt>
                <c:pt idx="26">
                  <c:v>0.216667</c:v>
                </c:pt>
                <c:pt idx="27">
                  <c:v>0.22500000000000001</c:v>
                </c:pt>
                <c:pt idx="28">
                  <c:v>0.23333300000000001</c:v>
                </c:pt>
                <c:pt idx="29">
                  <c:v>0.24166699999999999</c:v>
                </c:pt>
                <c:pt idx="30">
                  <c:v>0.25</c:v>
                </c:pt>
                <c:pt idx="31">
                  <c:v>0.25833299999999998</c:v>
                </c:pt>
                <c:pt idx="32">
                  <c:v>0.26666699999999999</c:v>
                </c:pt>
                <c:pt idx="33">
                  <c:v>0.27500000000000002</c:v>
                </c:pt>
                <c:pt idx="34">
                  <c:v>0.283333</c:v>
                </c:pt>
                <c:pt idx="35">
                  <c:v>0.29166700000000001</c:v>
                </c:pt>
                <c:pt idx="36">
                  <c:v>0.3</c:v>
                </c:pt>
                <c:pt idx="37">
                  <c:v>0.30833300000000002</c:v>
                </c:pt>
                <c:pt idx="38">
                  <c:v>0.31666699999999998</c:v>
                </c:pt>
                <c:pt idx="39">
                  <c:v>0.32500000000000001</c:v>
                </c:pt>
                <c:pt idx="40">
                  <c:v>0.33333299999999999</c:v>
                </c:pt>
                <c:pt idx="41">
                  <c:v>0.341667</c:v>
                </c:pt>
                <c:pt idx="42">
                  <c:v>0.35</c:v>
                </c:pt>
                <c:pt idx="43">
                  <c:v>0.35833300000000001</c:v>
                </c:pt>
                <c:pt idx="44">
                  <c:v>0.36666700000000002</c:v>
                </c:pt>
                <c:pt idx="45">
                  <c:v>0.375</c:v>
                </c:pt>
                <c:pt idx="46">
                  <c:v>0.38333299999999998</c:v>
                </c:pt>
                <c:pt idx="47">
                  <c:v>0.39166699999999999</c:v>
                </c:pt>
                <c:pt idx="48">
                  <c:v>0.4</c:v>
                </c:pt>
                <c:pt idx="49">
                  <c:v>0.408333</c:v>
                </c:pt>
                <c:pt idx="50">
                  <c:v>0.41666700000000001</c:v>
                </c:pt>
                <c:pt idx="51">
                  <c:v>0.42499999999999999</c:v>
                </c:pt>
                <c:pt idx="52">
                  <c:v>0.43333300000000002</c:v>
                </c:pt>
                <c:pt idx="53">
                  <c:v>0.44166699999999998</c:v>
                </c:pt>
                <c:pt idx="54">
                  <c:v>0.45</c:v>
                </c:pt>
                <c:pt idx="55">
                  <c:v>0.45833299999999999</c:v>
                </c:pt>
                <c:pt idx="56">
                  <c:v>0.466667</c:v>
                </c:pt>
                <c:pt idx="57">
                  <c:v>0.47499999999999998</c:v>
                </c:pt>
                <c:pt idx="58">
                  <c:v>0.48333300000000001</c:v>
                </c:pt>
                <c:pt idx="59">
                  <c:v>0.49166700000000002</c:v>
                </c:pt>
                <c:pt idx="60">
                  <c:v>0.5</c:v>
                </c:pt>
                <c:pt idx="61">
                  <c:v>0.50833300000000003</c:v>
                </c:pt>
                <c:pt idx="62">
                  <c:v>0.51666699999999999</c:v>
                </c:pt>
                <c:pt idx="63">
                  <c:v>0.52500000000000002</c:v>
                </c:pt>
                <c:pt idx="64">
                  <c:v>0.53333299999999995</c:v>
                </c:pt>
                <c:pt idx="65">
                  <c:v>0.54166700000000001</c:v>
                </c:pt>
                <c:pt idx="66">
                  <c:v>0.55000000000000004</c:v>
                </c:pt>
                <c:pt idx="67">
                  <c:v>0.55833299999999997</c:v>
                </c:pt>
                <c:pt idx="68">
                  <c:v>0.56666700000000003</c:v>
                </c:pt>
                <c:pt idx="69">
                  <c:v>0.57499999999999996</c:v>
                </c:pt>
                <c:pt idx="70">
                  <c:v>0.58333299999999999</c:v>
                </c:pt>
                <c:pt idx="71">
                  <c:v>0.59166700000000005</c:v>
                </c:pt>
                <c:pt idx="72">
                  <c:v>0.6</c:v>
                </c:pt>
                <c:pt idx="73">
                  <c:v>0.60833300000000001</c:v>
                </c:pt>
                <c:pt idx="74">
                  <c:v>0.61666699999999997</c:v>
                </c:pt>
                <c:pt idx="75">
                  <c:v>0.625</c:v>
                </c:pt>
                <c:pt idx="76">
                  <c:v>0.63333300000000003</c:v>
                </c:pt>
                <c:pt idx="77">
                  <c:v>0.64166699999999999</c:v>
                </c:pt>
                <c:pt idx="78">
                  <c:v>0.65</c:v>
                </c:pt>
                <c:pt idx="79">
                  <c:v>0.65833299999999995</c:v>
                </c:pt>
                <c:pt idx="80">
                  <c:v>0.66666700000000001</c:v>
                </c:pt>
                <c:pt idx="81">
                  <c:v>0.67500000000000004</c:v>
                </c:pt>
                <c:pt idx="82">
                  <c:v>0.68333299999999997</c:v>
                </c:pt>
                <c:pt idx="83">
                  <c:v>0.69166700000000003</c:v>
                </c:pt>
                <c:pt idx="84">
                  <c:v>0.7</c:v>
                </c:pt>
                <c:pt idx="85">
                  <c:v>0.70833299999999999</c:v>
                </c:pt>
                <c:pt idx="86">
                  <c:v>0.71666700000000005</c:v>
                </c:pt>
                <c:pt idx="87">
                  <c:v>0.72499999999999998</c:v>
                </c:pt>
                <c:pt idx="88">
                  <c:v>0.73333300000000001</c:v>
                </c:pt>
                <c:pt idx="89">
                  <c:v>0.74166699999999997</c:v>
                </c:pt>
                <c:pt idx="90">
                  <c:v>0.75</c:v>
                </c:pt>
                <c:pt idx="91">
                  <c:v>0.75833300000000003</c:v>
                </c:pt>
                <c:pt idx="92">
                  <c:v>0.76666699999999999</c:v>
                </c:pt>
                <c:pt idx="93">
                  <c:v>0.77500000000000002</c:v>
                </c:pt>
                <c:pt idx="94">
                  <c:v>0.78333299999999995</c:v>
                </c:pt>
                <c:pt idx="95">
                  <c:v>0.79166700000000001</c:v>
                </c:pt>
                <c:pt idx="96">
                  <c:v>0.8</c:v>
                </c:pt>
                <c:pt idx="97">
                  <c:v>0.80833299999999997</c:v>
                </c:pt>
                <c:pt idx="98">
                  <c:v>0.81666700000000003</c:v>
                </c:pt>
                <c:pt idx="99">
                  <c:v>0.82499999999999996</c:v>
                </c:pt>
                <c:pt idx="100">
                  <c:v>0.83333299999999999</c:v>
                </c:pt>
                <c:pt idx="101">
                  <c:v>0.84166700000000005</c:v>
                </c:pt>
                <c:pt idx="102">
                  <c:v>0.85</c:v>
                </c:pt>
                <c:pt idx="103">
                  <c:v>0.85833300000000001</c:v>
                </c:pt>
                <c:pt idx="104">
                  <c:v>0.86666699999999997</c:v>
                </c:pt>
                <c:pt idx="105">
                  <c:v>0.875</c:v>
                </c:pt>
                <c:pt idx="106">
                  <c:v>0.88333300000000003</c:v>
                </c:pt>
                <c:pt idx="107">
                  <c:v>0.89166699999999999</c:v>
                </c:pt>
                <c:pt idx="108">
                  <c:v>0.9</c:v>
                </c:pt>
                <c:pt idx="109">
                  <c:v>0.90833299999999995</c:v>
                </c:pt>
                <c:pt idx="110">
                  <c:v>0.91666700000000001</c:v>
                </c:pt>
                <c:pt idx="111">
                  <c:v>0.92500000000000004</c:v>
                </c:pt>
                <c:pt idx="112">
                  <c:v>0.93333299999999997</c:v>
                </c:pt>
                <c:pt idx="113">
                  <c:v>0.94166700000000003</c:v>
                </c:pt>
                <c:pt idx="114">
                  <c:v>0.95</c:v>
                </c:pt>
                <c:pt idx="115">
                  <c:v>0.95833299999999999</c:v>
                </c:pt>
                <c:pt idx="116">
                  <c:v>0.96666700000000005</c:v>
                </c:pt>
                <c:pt idx="117">
                  <c:v>0.97499999999999998</c:v>
                </c:pt>
                <c:pt idx="118">
                  <c:v>0.98333300000000001</c:v>
                </c:pt>
                <c:pt idx="119">
                  <c:v>0.99166699999999997</c:v>
                </c:pt>
                <c:pt idx="120">
                  <c:v>1</c:v>
                </c:pt>
                <c:pt idx="121">
                  <c:v>1.0083329999999999</c:v>
                </c:pt>
                <c:pt idx="122">
                  <c:v>1.016667</c:v>
                </c:pt>
                <c:pt idx="123">
                  <c:v>1.0249999999999999</c:v>
                </c:pt>
                <c:pt idx="124">
                  <c:v>1.0333330000000001</c:v>
                </c:pt>
                <c:pt idx="125">
                  <c:v>1.0416669999999999</c:v>
                </c:pt>
                <c:pt idx="126">
                  <c:v>1.05</c:v>
                </c:pt>
                <c:pt idx="127">
                  <c:v>1.058333</c:v>
                </c:pt>
                <c:pt idx="128">
                  <c:v>1.066667</c:v>
                </c:pt>
                <c:pt idx="129">
                  <c:v>1.075</c:v>
                </c:pt>
                <c:pt idx="130">
                  <c:v>1.0833330000000001</c:v>
                </c:pt>
                <c:pt idx="131">
                  <c:v>1.0916669999999999</c:v>
                </c:pt>
                <c:pt idx="132">
                  <c:v>1.1000000000000001</c:v>
                </c:pt>
                <c:pt idx="133">
                  <c:v>1.108333</c:v>
                </c:pt>
                <c:pt idx="134">
                  <c:v>1.1166670000000001</c:v>
                </c:pt>
                <c:pt idx="135">
                  <c:v>1.125</c:v>
                </c:pt>
                <c:pt idx="136">
                  <c:v>1.1333329999999999</c:v>
                </c:pt>
                <c:pt idx="137">
                  <c:v>1.141667</c:v>
                </c:pt>
                <c:pt idx="138">
                  <c:v>1.1499999999999999</c:v>
                </c:pt>
                <c:pt idx="139">
                  <c:v>1.1583330000000001</c:v>
                </c:pt>
                <c:pt idx="140">
                  <c:v>1.1666669999999999</c:v>
                </c:pt>
                <c:pt idx="141">
                  <c:v>1.175</c:v>
                </c:pt>
                <c:pt idx="142">
                  <c:v>1.183333</c:v>
                </c:pt>
                <c:pt idx="143">
                  <c:v>1.191667</c:v>
                </c:pt>
                <c:pt idx="144">
                  <c:v>1.2</c:v>
                </c:pt>
                <c:pt idx="145">
                  <c:v>1.2083330000000001</c:v>
                </c:pt>
                <c:pt idx="146">
                  <c:v>1.2166669999999999</c:v>
                </c:pt>
                <c:pt idx="147">
                  <c:v>1.2250000000000001</c:v>
                </c:pt>
                <c:pt idx="148">
                  <c:v>1.233333</c:v>
                </c:pt>
                <c:pt idx="149">
                  <c:v>1.2416670000000001</c:v>
                </c:pt>
                <c:pt idx="150">
                  <c:v>1.25</c:v>
                </c:pt>
                <c:pt idx="151">
                  <c:v>1.2583329999999999</c:v>
                </c:pt>
                <c:pt idx="152">
                  <c:v>1.266667</c:v>
                </c:pt>
                <c:pt idx="153">
                  <c:v>1.2749999999999999</c:v>
                </c:pt>
                <c:pt idx="154">
                  <c:v>1.2833330000000001</c:v>
                </c:pt>
                <c:pt idx="155">
                  <c:v>1.2916669999999999</c:v>
                </c:pt>
                <c:pt idx="156">
                  <c:v>1.3</c:v>
                </c:pt>
                <c:pt idx="157">
                  <c:v>1.308333</c:v>
                </c:pt>
                <c:pt idx="158">
                  <c:v>1.316667</c:v>
                </c:pt>
                <c:pt idx="159">
                  <c:v>1.325</c:v>
                </c:pt>
                <c:pt idx="160">
                  <c:v>1.3333330000000001</c:v>
                </c:pt>
                <c:pt idx="161">
                  <c:v>1.3416669999999999</c:v>
                </c:pt>
                <c:pt idx="162">
                  <c:v>1.35</c:v>
                </c:pt>
                <c:pt idx="163">
                  <c:v>1.358333</c:v>
                </c:pt>
                <c:pt idx="164">
                  <c:v>1.3666670000000001</c:v>
                </c:pt>
                <c:pt idx="165">
                  <c:v>1.375</c:v>
                </c:pt>
                <c:pt idx="166">
                  <c:v>1.3833329999999999</c:v>
                </c:pt>
                <c:pt idx="167">
                  <c:v>1.391667</c:v>
                </c:pt>
                <c:pt idx="168">
                  <c:v>1.4</c:v>
                </c:pt>
                <c:pt idx="169">
                  <c:v>1.4083330000000001</c:v>
                </c:pt>
                <c:pt idx="170">
                  <c:v>1.4166669999999999</c:v>
                </c:pt>
                <c:pt idx="171">
                  <c:v>1.425</c:v>
                </c:pt>
                <c:pt idx="172">
                  <c:v>1.433333</c:v>
                </c:pt>
                <c:pt idx="173">
                  <c:v>1.441667</c:v>
                </c:pt>
                <c:pt idx="174">
                  <c:v>1.45</c:v>
                </c:pt>
                <c:pt idx="175">
                  <c:v>1.4583330000000001</c:v>
                </c:pt>
                <c:pt idx="176">
                  <c:v>1.4666669999999999</c:v>
                </c:pt>
                <c:pt idx="177">
                  <c:v>1.4750000000000001</c:v>
                </c:pt>
                <c:pt idx="178">
                  <c:v>1.483333</c:v>
                </c:pt>
                <c:pt idx="179">
                  <c:v>1.4916670000000001</c:v>
                </c:pt>
                <c:pt idx="180">
                  <c:v>1.5</c:v>
                </c:pt>
                <c:pt idx="181">
                  <c:v>1.5083329999999999</c:v>
                </c:pt>
                <c:pt idx="182">
                  <c:v>1.516667</c:v>
                </c:pt>
                <c:pt idx="183">
                  <c:v>1.5249999999999999</c:v>
                </c:pt>
                <c:pt idx="184">
                  <c:v>1.5333330000000001</c:v>
                </c:pt>
                <c:pt idx="185">
                  <c:v>1.5416669999999999</c:v>
                </c:pt>
                <c:pt idx="186">
                  <c:v>1.55</c:v>
                </c:pt>
                <c:pt idx="187">
                  <c:v>1.558333</c:v>
                </c:pt>
                <c:pt idx="188">
                  <c:v>1.566667</c:v>
                </c:pt>
                <c:pt idx="189">
                  <c:v>1.575</c:v>
                </c:pt>
                <c:pt idx="190">
                  <c:v>1.5833330000000001</c:v>
                </c:pt>
                <c:pt idx="191">
                  <c:v>1.5916669999999999</c:v>
                </c:pt>
                <c:pt idx="192">
                  <c:v>1.6</c:v>
                </c:pt>
                <c:pt idx="193">
                  <c:v>1.608333</c:v>
                </c:pt>
                <c:pt idx="194">
                  <c:v>1.6166670000000001</c:v>
                </c:pt>
                <c:pt idx="195">
                  <c:v>1.625</c:v>
                </c:pt>
                <c:pt idx="196">
                  <c:v>1.6333329999999999</c:v>
                </c:pt>
                <c:pt idx="197">
                  <c:v>1.641667</c:v>
                </c:pt>
                <c:pt idx="198">
                  <c:v>1.65</c:v>
                </c:pt>
                <c:pt idx="199">
                  <c:v>1.6583330000000001</c:v>
                </c:pt>
                <c:pt idx="200">
                  <c:v>1.6666669999999999</c:v>
                </c:pt>
                <c:pt idx="201">
                  <c:v>1.675</c:v>
                </c:pt>
                <c:pt idx="202">
                  <c:v>1.683333</c:v>
                </c:pt>
                <c:pt idx="203">
                  <c:v>1.691667</c:v>
                </c:pt>
                <c:pt idx="204">
                  <c:v>1.7</c:v>
                </c:pt>
                <c:pt idx="205">
                  <c:v>1.7083330000000001</c:v>
                </c:pt>
                <c:pt idx="206">
                  <c:v>1.7166669999999999</c:v>
                </c:pt>
                <c:pt idx="207">
                  <c:v>1.7250000000000001</c:v>
                </c:pt>
                <c:pt idx="208">
                  <c:v>1.733333</c:v>
                </c:pt>
                <c:pt idx="209">
                  <c:v>1.7416670000000001</c:v>
                </c:pt>
                <c:pt idx="210">
                  <c:v>1.75</c:v>
                </c:pt>
                <c:pt idx="211">
                  <c:v>1.7583329999999999</c:v>
                </c:pt>
                <c:pt idx="212">
                  <c:v>1.766667</c:v>
                </c:pt>
                <c:pt idx="213">
                  <c:v>1.7749999999999999</c:v>
                </c:pt>
                <c:pt idx="214">
                  <c:v>1.7833330000000001</c:v>
                </c:pt>
                <c:pt idx="215">
                  <c:v>1.7916669999999999</c:v>
                </c:pt>
                <c:pt idx="216">
                  <c:v>1.8</c:v>
                </c:pt>
                <c:pt idx="217">
                  <c:v>1.808333</c:v>
                </c:pt>
                <c:pt idx="218">
                  <c:v>1.816667</c:v>
                </c:pt>
                <c:pt idx="219">
                  <c:v>1.825</c:v>
                </c:pt>
                <c:pt idx="220">
                  <c:v>1.8333330000000001</c:v>
                </c:pt>
                <c:pt idx="221">
                  <c:v>1.8416669999999999</c:v>
                </c:pt>
                <c:pt idx="222">
                  <c:v>1.85</c:v>
                </c:pt>
                <c:pt idx="223">
                  <c:v>1.858333</c:v>
                </c:pt>
                <c:pt idx="224">
                  <c:v>1.8666670000000001</c:v>
                </c:pt>
                <c:pt idx="225">
                  <c:v>1.875</c:v>
                </c:pt>
                <c:pt idx="226">
                  <c:v>1.8833329999999999</c:v>
                </c:pt>
                <c:pt idx="227">
                  <c:v>1.891667</c:v>
                </c:pt>
                <c:pt idx="228">
                  <c:v>1.9</c:v>
                </c:pt>
                <c:pt idx="229">
                  <c:v>1.9083330000000001</c:v>
                </c:pt>
                <c:pt idx="230">
                  <c:v>1.9166669999999999</c:v>
                </c:pt>
                <c:pt idx="231">
                  <c:v>1.925</c:v>
                </c:pt>
                <c:pt idx="232">
                  <c:v>1.933333</c:v>
                </c:pt>
                <c:pt idx="233">
                  <c:v>1.941667</c:v>
                </c:pt>
                <c:pt idx="234">
                  <c:v>1.95</c:v>
                </c:pt>
                <c:pt idx="235">
                  <c:v>1.9583330000000001</c:v>
                </c:pt>
                <c:pt idx="236">
                  <c:v>1.9666669999999999</c:v>
                </c:pt>
                <c:pt idx="237">
                  <c:v>1.9750000000000001</c:v>
                </c:pt>
                <c:pt idx="238">
                  <c:v>1.983333</c:v>
                </c:pt>
                <c:pt idx="239">
                  <c:v>1.9916670000000001</c:v>
                </c:pt>
                <c:pt idx="240">
                  <c:v>2</c:v>
                </c:pt>
                <c:pt idx="241">
                  <c:v>2.0083329999999999</c:v>
                </c:pt>
                <c:pt idx="242">
                  <c:v>2.016667</c:v>
                </c:pt>
                <c:pt idx="243">
                  <c:v>2.0249999999999999</c:v>
                </c:pt>
                <c:pt idx="244">
                  <c:v>2.0333329999999998</c:v>
                </c:pt>
                <c:pt idx="245">
                  <c:v>2.0416669999999999</c:v>
                </c:pt>
                <c:pt idx="246">
                  <c:v>2.0499999999999998</c:v>
                </c:pt>
                <c:pt idx="247">
                  <c:v>2.0583330000000002</c:v>
                </c:pt>
                <c:pt idx="248">
                  <c:v>2.0666669999999998</c:v>
                </c:pt>
                <c:pt idx="249">
                  <c:v>2.0750000000000002</c:v>
                </c:pt>
                <c:pt idx="250">
                  <c:v>2.0833330000000001</c:v>
                </c:pt>
                <c:pt idx="251">
                  <c:v>2.0916670000000002</c:v>
                </c:pt>
                <c:pt idx="252">
                  <c:v>2.1</c:v>
                </c:pt>
                <c:pt idx="253">
                  <c:v>2.108333</c:v>
                </c:pt>
                <c:pt idx="254">
                  <c:v>2.1166670000000001</c:v>
                </c:pt>
                <c:pt idx="255">
                  <c:v>2.125</c:v>
                </c:pt>
                <c:pt idx="256">
                  <c:v>2.1333329999999999</c:v>
                </c:pt>
                <c:pt idx="257">
                  <c:v>2.141667</c:v>
                </c:pt>
                <c:pt idx="258">
                  <c:v>2.15</c:v>
                </c:pt>
                <c:pt idx="259">
                  <c:v>2.1583329999999998</c:v>
                </c:pt>
                <c:pt idx="260">
                  <c:v>2.1666669999999999</c:v>
                </c:pt>
                <c:pt idx="261">
                  <c:v>2.1749999999999998</c:v>
                </c:pt>
                <c:pt idx="262">
                  <c:v>2.1833330000000002</c:v>
                </c:pt>
                <c:pt idx="263">
                  <c:v>2.1916669999999998</c:v>
                </c:pt>
                <c:pt idx="264">
                  <c:v>2.2000000000000002</c:v>
                </c:pt>
                <c:pt idx="265">
                  <c:v>2.2083330000000001</c:v>
                </c:pt>
                <c:pt idx="266">
                  <c:v>2.2166670000000002</c:v>
                </c:pt>
                <c:pt idx="267">
                  <c:v>2.2250000000000001</c:v>
                </c:pt>
                <c:pt idx="268">
                  <c:v>2.233333</c:v>
                </c:pt>
                <c:pt idx="269">
                  <c:v>2.2416670000000001</c:v>
                </c:pt>
                <c:pt idx="270">
                  <c:v>2.25</c:v>
                </c:pt>
                <c:pt idx="271">
                  <c:v>2.2583329999999999</c:v>
                </c:pt>
                <c:pt idx="272">
                  <c:v>2.266667</c:v>
                </c:pt>
                <c:pt idx="273">
                  <c:v>2.2749999999999999</c:v>
                </c:pt>
                <c:pt idx="274">
                  <c:v>2.2833329999999998</c:v>
                </c:pt>
                <c:pt idx="275">
                  <c:v>2.2916669999999999</c:v>
                </c:pt>
                <c:pt idx="276">
                  <c:v>2.2999999999999998</c:v>
                </c:pt>
                <c:pt idx="277">
                  <c:v>2.3083330000000002</c:v>
                </c:pt>
                <c:pt idx="278">
                  <c:v>2.3166669999999998</c:v>
                </c:pt>
                <c:pt idx="279">
                  <c:v>2.3250000000000002</c:v>
                </c:pt>
                <c:pt idx="280">
                  <c:v>2.3333330000000001</c:v>
                </c:pt>
                <c:pt idx="281">
                  <c:v>2.3416670000000002</c:v>
                </c:pt>
                <c:pt idx="282">
                  <c:v>2.35</c:v>
                </c:pt>
                <c:pt idx="283">
                  <c:v>2.358333</c:v>
                </c:pt>
                <c:pt idx="284">
                  <c:v>2.3666670000000001</c:v>
                </c:pt>
                <c:pt idx="285">
                  <c:v>2.375</c:v>
                </c:pt>
                <c:pt idx="286">
                  <c:v>2.3833329999999999</c:v>
                </c:pt>
                <c:pt idx="287">
                  <c:v>2.391667</c:v>
                </c:pt>
                <c:pt idx="288">
                  <c:v>2.4</c:v>
                </c:pt>
                <c:pt idx="289">
                  <c:v>2.4083329999999998</c:v>
                </c:pt>
                <c:pt idx="290">
                  <c:v>2.4166669999999999</c:v>
                </c:pt>
                <c:pt idx="291">
                  <c:v>2.4249999999999998</c:v>
                </c:pt>
                <c:pt idx="292">
                  <c:v>2.4333330000000002</c:v>
                </c:pt>
                <c:pt idx="293">
                  <c:v>2.4416669999999998</c:v>
                </c:pt>
                <c:pt idx="294">
                  <c:v>2.4500000000000002</c:v>
                </c:pt>
                <c:pt idx="295">
                  <c:v>2.4583330000000001</c:v>
                </c:pt>
                <c:pt idx="296">
                  <c:v>2.4666670000000002</c:v>
                </c:pt>
                <c:pt idx="297">
                  <c:v>2.4750000000000001</c:v>
                </c:pt>
                <c:pt idx="298">
                  <c:v>2.483333</c:v>
                </c:pt>
                <c:pt idx="299">
                  <c:v>2.4916670000000001</c:v>
                </c:pt>
                <c:pt idx="300">
                  <c:v>2.5</c:v>
                </c:pt>
                <c:pt idx="301">
                  <c:v>2.5083329999999999</c:v>
                </c:pt>
                <c:pt idx="302">
                  <c:v>2.516667</c:v>
                </c:pt>
                <c:pt idx="303">
                  <c:v>2.5249999999999999</c:v>
                </c:pt>
                <c:pt idx="304">
                  <c:v>2.5333329999999998</c:v>
                </c:pt>
                <c:pt idx="305">
                  <c:v>2.5416669999999999</c:v>
                </c:pt>
                <c:pt idx="306">
                  <c:v>2.5499999999999998</c:v>
                </c:pt>
                <c:pt idx="307">
                  <c:v>2.5583330000000002</c:v>
                </c:pt>
                <c:pt idx="308">
                  <c:v>2.5666669999999998</c:v>
                </c:pt>
                <c:pt idx="309">
                  <c:v>2.5750000000000002</c:v>
                </c:pt>
                <c:pt idx="310">
                  <c:v>2.5833330000000001</c:v>
                </c:pt>
                <c:pt idx="311">
                  <c:v>2.5916670000000002</c:v>
                </c:pt>
                <c:pt idx="312">
                  <c:v>2.6</c:v>
                </c:pt>
                <c:pt idx="313">
                  <c:v>2.608333</c:v>
                </c:pt>
                <c:pt idx="314">
                  <c:v>2.6166670000000001</c:v>
                </c:pt>
                <c:pt idx="315">
                  <c:v>2.625</c:v>
                </c:pt>
                <c:pt idx="316">
                  <c:v>2.6333329999999999</c:v>
                </c:pt>
                <c:pt idx="317">
                  <c:v>2.641667</c:v>
                </c:pt>
                <c:pt idx="318">
                  <c:v>2.65</c:v>
                </c:pt>
                <c:pt idx="319">
                  <c:v>2.6583329999999998</c:v>
                </c:pt>
                <c:pt idx="320">
                  <c:v>2.6666669999999999</c:v>
                </c:pt>
                <c:pt idx="321">
                  <c:v>2.6749999999999998</c:v>
                </c:pt>
                <c:pt idx="322">
                  <c:v>2.6833330000000002</c:v>
                </c:pt>
                <c:pt idx="323">
                  <c:v>2.6916669999999998</c:v>
                </c:pt>
                <c:pt idx="324">
                  <c:v>2.7</c:v>
                </c:pt>
                <c:pt idx="325">
                  <c:v>2.7083330000000001</c:v>
                </c:pt>
                <c:pt idx="326">
                  <c:v>2.7166670000000002</c:v>
                </c:pt>
                <c:pt idx="327">
                  <c:v>2.7250000000000001</c:v>
                </c:pt>
                <c:pt idx="328">
                  <c:v>2.733333</c:v>
                </c:pt>
                <c:pt idx="329">
                  <c:v>2.7416670000000001</c:v>
                </c:pt>
                <c:pt idx="330">
                  <c:v>2.75</c:v>
                </c:pt>
                <c:pt idx="331">
                  <c:v>2.7583329999999999</c:v>
                </c:pt>
                <c:pt idx="332">
                  <c:v>2.766667</c:v>
                </c:pt>
                <c:pt idx="333">
                  <c:v>2.7749999999999999</c:v>
                </c:pt>
                <c:pt idx="334">
                  <c:v>2.7833329999999998</c:v>
                </c:pt>
                <c:pt idx="335">
                  <c:v>2.7916669999999999</c:v>
                </c:pt>
                <c:pt idx="336">
                  <c:v>2.8</c:v>
                </c:pt>
                <c:pt idx="337">
                  <c:v>2.8083330000000002</c:v>
                </c:pt>
                <c:pt idx="338">
                  <c:v>2.8166669999999998</c:v>
                </c:pt>
                <c:pt idx="339">
                  <c:v>2.8250000000000002</c:v>
                </c:pt>
                <c:pt idx="340">
                  <c:v>2.8333330000000001</c:v>
                </c:pt>
                <c:pt idx="341">
                  <c:v>2.8416670000000002</c:v>
                </c:pt>
                <c:pt idx="342">
                  <c:v>2.85</c:v>
                </c:pt>
                <c:pt idx="343">
                  <c:v>2.858333</c:v>
                </c:pt>
                <c:pt idx="344">
                  <c:v>2.8666670000000001</c:v>
                </c:pt>
                <c:pt idx="345">
                  <c:v>2.875</c:v>
                </c:pt>
                <c:pt idx="346">
                  <c:v>2.8833329999999999</c:v>
                </c:pt>
                <c:pt idx="347">
                  <c:v>2.891667</c:v>
                </c:pt>
                <c:pt idx="348">
                  <c:v>2.9</c:v>
                </c:pt>
                <c:pt idx="349">
                  <c:v>2.9083329999999998</c:v>
                </c:pt>
                <c:pt idx="350">
                  <c:v>2.9166669999999999</c:v>
                </c:pt>
                <c:pt idx="351">
                  <c:v>2.9249999999999998</c:v>
                </c:pt>
                <c:pt idx="352">
                  <c:v>2.9333330000000002</c:v>
                </c:pt>
                <c:pt idx="353">
                  <c:v>2.9416669999999998</c:v>
                </c:pt>
                <c:pt idx="354">
                  <c:v>2.95</c:v>
                </c:pt>
                <c:pt idx="355">
                  <c:v>2.9583330000000001</c:v>
                </c:pt>
                <c:pt idx="356">
                  <c:v>2.9666670000000002</c:v>
                </c:pt>
                <c:pt idx="357">
                  <c:v>2.9750000000000001</c:v>
                </c:pt>
                <c:pt idx="358">
                  <c:v>2.983333</c:v>
                </c:pt>
                <c:pt idx="359">
                  <c:v>2.9916670000000001</c:v>
                </c:pt>
                <c:pt idx="360">
                  <c:v>3</c:v>
                </c:pt>
                <c:pt idx="361">
                  <c:v>3.0083329999999999</c:v>
                </c:pt>
                <c:pt idx="362">
                  <c:v>3.016667</c:v>
                </c:pt>
                <c:pt idx="363">
                  <c:v>3.0249999999999999</c:v>
                </c:pt>
                <c:pt idx="364">
                  <c:v>3.0333329999999998</c:v>
                </c:pt>
                <c:pt idx="365">
                  <c:v>3.0416669999999999</c:v>
                </c:pt>
                <c:pt idx="366">
                  <c:v>3.05</c:v>
                </c:pt>
                <c:pt idx="367">
                  <c:v>3.0583330000000002</c:v>
                </c:pt>
                <c:pt idx="368">
                  <c:v>3.0666669999999998</c:v>
                </c:pt>
                <c:pt idx="369">
                  <c:v>3.0750000000000002</c:v>
                </c:pt>
                <c:pt idx="370">
                  <c:v>3.0833330000000001</c:v>
                </c:pt>
                <c:pt idx="371">
                  <c:v>3.0916670000000002</c:v>
                </c:pt>
                <c:pt idx="372">
                  <c:v>3.1</c:v>
                </c:pt>
                <c:pt idx="373">
                  <c:v>3.108333</c:v>
                </c:pt>
                <c:pt idx="374">
                  <c:v>3.1166670000000001</c:v>
                </c:pt>
                <c:pt idx="375">
                  <c:v>3.125</c:v>
                </c:pt>
                <c:pt idx="376">
                  <c:v>3.1333329999999999</c:v>
                </c:pt>
                <c:pt idx="377">
                  <c:v>3.141667</c:v>
                </c:pt>
                <c:pt idx="378">
                  <c:v>3.15</c:v>
                </c:pt>
                <c:pt idx="379">
                  <c:v>3.1583329999999998</c:v>
                </c:pt>
                <c:pt idx="380">
                  <c:v>3.1666669999999999</c:v>
                </c:pt>
                <c:pt idx="381">
                  <c:v>3.1749999999999998</c:v>
                </c:pt>
                <c:pt idx="382">
                  <c:v>3.1833330000000002</c:v>
                </c:pt>
                <c:pt idx="383">
                  <c:v>3.1916669999999998</c:v>
                </c:pt>
                <c:pt idx="384">
                  <c:v>3.2</c:v>
                </c:pt>
                <c:pt idx="385">
                  <c:v>3.2083330000000001</c:v>
                </c:pt>
                <c:pt idx="386">
                  <c:v>3.2166670000000002</c:v>
                </c:pt>
                <c:pt idx="387">
                  <c:v>3.2250000000000001</c:v>
                </c:pt>
                <c:pt idx="388">
                  <c:v>3.233333</c:v>
                </c:pt>
                <c:pt idx="389">
                  <c:v>3.2416670000000001</c:v>
                </c:pt>
                <c:pt idx="390">
                  <c:v>3.25</c:v>
                </c:pt>
                <c:pt idx="391">
                  <c:v>3.2583329999999999</c:v>
                </c:pt>
                <c:pt idx="392">
                  <c:v>3.266667</c:v>
                </c:pt>
                <c:pt idx="393">
                  <c:v>3.2749999999999999</c:v>
                </c:pt>
                <c:pt idx="394">
                  <c:v>3.2833329999999998</c:v>
                </c:pt>
                <c:pt idx="395">
                  <c:v>3.2916669999999999</c:v>
                </c:pt>
                <c:pt idx="396">
                  <c:v>3.3</c:v>
                </c:pt>
                <c:pt idx="397">
                  <c:v>3.3083330000000002</c:v>
                </c:pt>
                <c:pt idx="398">
                  <c:v>3.3166669999999998</c:v>
                </c:pt>
                <c:pt idx="399">
                  <c:v>3.3250000000000002</c:v>
                </c:pt>
                <c:pt idx="400">
                  <c:v>3.3333330000000001</c:v>
                </c:pt>
                <c:pt idx="401">
                  <c:v>3.3416670000000002</c:v>
                </c:pt>
                <c:pt idx="402">
                  <c:v>3.35</c:v>
                </c:pt>
                <c:pt idx="403">
                  <c:v>3.358333</c:v>
                </c:pt>
                <c:pt idx="404">
                  <c:v>3.3666670000000001</c:v>
                </c:pt>
                <c:pt idx="405">
                  <c:v>3.375</c:v>
                </c:pt>
                <c:pt idx="406">
                  <c:v>3.3833329999999999</c:v>
                </c:pt>
                <c:pt idx="407">
                  <c:v>3.391667</c:v>
                </c:pt>
                <c:pt idx="408">
                  <c:v>3.4</c:v>
                </c:pt>
                <c:pt idx="409">
                  <c:v>3.4083329999999998</c:v>
                </c:pt>
                <c:pt idx="410">
                  <c:v>3.4166669999999999</c:v>
                </c:pt>
                <c:pt idx="411">
                  <c:v>3.4249999999999998</c:v>
                </c:pt>
                <c:pt idx="412">
                  <c:v>3.4333330000000002</c:v>
                </c:pt>
                <c:pt idx="413">
                  <c:v>3.4416669999999998</c:v>
                </c:pt>
                <c:pt idx="414">
                  <c:v>3.45</c:v>
                </c:pt>
                <c:pt idx="415">
                  <c:v>3.4583330000000001</c:v>
                </c:pt>
                <c:pt idx="416">
                  <c:v>3.4666670000000002</c:v>
                </c:pt>
                <c:pt idx="417">
                  <c:v>3.4750000000000001</c:v>
                </c:pt>
                <c:pt idx="418">
                  <c:v>3.483333</c:v>
                </c:pt>
                <c:pt idx="419">
                  <c:v>3.4916670000000001</c:v>
                </c:pt>
                <c:pt idx="420">
                  <c:v>3.5</c:v>
                </c:pt>
                <c:pt idx="421">
                  <c:v>3.5083329999999999</c:v>
                </c:pt>
                <c:pt idx="422">
                  <c:v>3.516667</c:v>
                </c:pt>
                <c:pt idx="423">
                  <c:v>3.5249999999999999</c:v>
                </c:pt>
                <c:pt idx="424">
                  <c:v>3.5333329999999998</c:v>
                </c:pt>
                <c:pt idx="425">
                  <c:v>3.5416669999999999</c:v>
                </c:pt>
                <c:pt idx="426">
                  <c:v>3.55</c:v>
                </c:pt>
                <c:pt idx="427">
                  <c:v>3.5583330000000002</c:v>
                </c:pt>
                <c:pt idx="428">
                  <c:v>3.5666669999999998</c:v>
                </c:pt>
                <c:pt idx="429">
                  <c:v>3.5750000000000002</c:v>
                </c:pt>
                <c:pt idx="430">
                  <c:v>3.5833330000000001</c:v>
                </c:pt>
                <c:pt idx="431">
                  <c:v>3.5916670000000002</c:v>
                </c:pt>
                <c:pt idx="432">
                  <c:v>3.6</c:v>
                </c:pt>
                <c:pt idx="433">
                  <c:v>3.608333</c:v>
                </c:pt>
                <c:pt idx="434">
                  <c:v>3.6166670000000001</c:v>
                </c:pt>
                <c:pt idx="435">
                  <c:v>3.625</c:v>
                </c:pt>
                <c:pt idx="436">
                  <c:v>3.6333329999999999</c:v>
                </c:pt>
                <c:pt idx="437">
                  <c:v>3.641667</c:v>
                </c:pt>
                <c:pt idx="438">
                  <c:v>3.65</c:v>
                </c:pt>
                <c:pt idx="439">
                  <c:v>3.6583329999999998</c:v>
                </c:pt>
                <c:pt idx="440">
                  <c:v>3.6666669999999999</c:v>
                </c:pt>
                <c:pt idx="441">
                  <c:v>3.6749999999999998</c:v>
                </c:pt>
                <c:pt idx="442">
                  <c:v>3.6833330000000002</c:v>
                </c:pt>
                <c:pt idx="443">
                  <c:v>3.6916669999999998</c:v>
                </c:pt>
                <c:pt idx="444">
                  <c:v>3.7</c:v>
                </c:pt>
                <c:pt idx="445">
                  <c:v>3.7083330000000001</c:v>
                </c:pt>
                <c:pt idx="446">
                  <c:v>3.7166670000000002</c:v>
                </c:pt>
                <c:pt idx="447">
                  <c:v>3.7250000000000001</c:v>
                </c:pt>
                <c:pt idx="448">
                  <c:v>3.733333</c:v>
                </c:pt>
                <c:pt idx="449">
                  <c:v>3.7416670000000001</c:v>
                </c:pt>
                <c:pt idx="450">
                  <c:v>3.75</c:v>
                </c:pt>
                <c:pt idx="451">
                  <c:v>3.7583329999999999</c:v>
                </c:pt>
                <c:pt idx="452">
                  <c:v>3.766667</c:v>
                </c:pt>
                <c:pt idx="453">
                  <c:v>3.7749999999999999</c:v>
                </c:pt>
                <c:pt idx="454">
                  <c:v>3.7833329999999998</c:v>
                </c:pt>
                <c:pt idx="455">
                  <c:v>3.7916669999999999</c:v>
                </c:pt>
                <c:pt idx="456">
                  <c:v>3.8</c:v>
                </c:pt>
                <c:pt idx="457">
                  <c:v>3.8083330000000002</c:v>
                </c:pt>
                <c:pt idx="458">
                  <c:v>3.8166669999999998</c:v>
                </c:pt>
                <c:pt idx="459">
                  <c:v>3.8250000000000002</c:v>
                </c:pt>
                <c:pt idx="460">
                  <c:v>3.8333330000000001</c:v>
                </c:pt>
                <c:pt idx="461">
                  <c:v>3.8416670000000002</c:v>
                </c:pt>
                <c:pt idx="462">
                  <c:v>3.85</c:v>
                </c:pt>
                <c:pt idx="463">
                  <c:v>3.858333</c:v>
                </c:pt>
                <c:pt idx="464">
                  <c:v>3.8666670000000001</c:v>
                </c:pt>
                <c:pt idx="465">
                  <c:v>3.875</c:v>
                </c:pt>
                <c:pt idx="466">
                  <c:v>3.8833329999999999</c:v>
                </c:pt>
                <c:pt idx="467">
                  <c:v>3.891667</c:v>
                </c:pt>
                <c:pt idx="468">
                  <c:v>3.9</c:v>
                </c:pt>
                <c:pt idx="469">
                  <c:v>3.9083329999999998</c:v>
                </c:pt>
                <c:pt idx="470">
                  <c:v>3.9166669999999999</c:v>
                </c:pt>
                <c:pt idx="471">
                  <c:v>3.9249999999999998</c:v>
                </c:pt>
                <c:pt idx="472">
                  <c:v>3.9333330000000002</c:v>
                </c:pt>
                <c:pt idx="473">
                  <c:v>3.9416669999999998</c:v>
                </c:pt>
                <c:pt idx="474">
                  <c:v>3.95</c:v>
                </c:pt>
                <c:pt idx="475">
                  <c:v>3.9583330000000001</c:v>
                </c:pt>
                <c:pt idx="476">
                  <c:v>3.9666670000000002</c:v>
                </c:pt>
                <c:pt idx="477">
                  <c:v>3.9750000000000001</c:v>
                </c:pt>
                <c:pt idx="478">
                  <c:v>3.983333</c:v>
                </c:pt>
                <c:pt idx="479">
                  <c:v>3.9916670000000001</c:v>
                </c:pt>
                <c:pt idx="480">
                  <c:v>4</c:v>
                </c:pt>
                <c:pt idx="481">
                  <c:v>4.0083330000000004</c:v>
                </c:pt>
                <c:pt idx="482">
                  <c:v>4.016667</c:v>
                </c:pt>
                <c:pt idx="483">
                  <c:v>4.0250000000000004</c:v>
                </c:pt>
                <c:pt idx="484">
                  <c:v>4.0333329999999998</c:v>
                </c:pt>
                <c:pt idx="485">
                  <c:v>4.0416670000000003</c:v>
                </c:pt>
                <c:pt idx="486">
                  <c:v>4.05</c:v>
                </c:pt>
                <c:pt idx="487">
                  <c:v>4.0583330000000002</c:v>
                </c:pt>
                <c:pt idx="488">
                  <c:v>4.0666669999999998</c:v>
                </c:pt>
                <c:pt idx="489">
                  <c:v>4.0750000000000002</c:v>
                </c:pt>
                <c:pt idx="490">
                  <c:v>4.0833329999999997</c:v>
                </c:pt>
                <c:pt idx="491">
                  <c:v>4.0916670000000002</c:v>
                </c:pt>
                <c:pt idx="492">
                  <c:v>4.0999999999999996</c:v>
                </c:pt>
                <c:pt idx="493">
                  <c:v>4.108333</c:v>
                </c:pt>
                <c:pt idx="494">
                  <c:v>4.1166669999999996</c:v>
                </c:pt>
                <c:pt idx="495">
                  <c:v>4.125</c:v>
                </c:pt>
                <c:pt idx="496">
                  <c:v>4.1333330000000004</c:v>
                </c:pt>
                <c:pt idx="497">
                  <c:v>4.141667</c:v>
                </c:pt>
                <c:pt idx="498">
                  <c:v>4.1500000000000004</c:v>
                </c:pt>
                <c:pt idx="499">
                  <c:v>4.1583329999999998</c:v>
                </c:pt>
                <c:pt idx="500">
                  <c:v>4.1666670000000003</c:v>
                </c:pt>
                <c:pt idx="501">
                  <c:v>4.1749999999999998</c:v>
                </c:pt>
                <c:pt idx="502">
                  <c:v>4.1833330000000002</c:v>
                </c:pt>
                <c:pt idx="503">
                  <c:v>4.1916669999999998</c:v>
                </c:pt>
                <c:pt idx="504">
                  <c:v>4.2</c:v>
                </c:pt>
                <c:pt idx="505">
                  <c:v>4.2083329999999997</c:v>
                </c:pt>
                <c:pt idx="506">
                  <c:v>4.2166670000000002</c:v>
                </c:pt>
                <c:pt idx="507">
                  <c:v>4.2249999999999996</c:v>
                </c:pt>
                <c:pt idx="508">
                  <c:v>4.233333</c:v>
                </c:pt>
                <c:pt idx="509">
                  <c:v>4.2416669999999996</c:v>
                </c:pt>
                <c:pt idx="510">
                  <c:v>4.25</c:v>
                </c:pt>
                <c:pt idx="511">
                  <c:v>4.2583330000000004</c:v>
                </c:pt>
                <c:pt idx="512">
                  <c:v>4.266667</c:v>
                </c:pt>
                <c:pt idx="513">
                  <c:v>4.2750000000000004</c:v>
                </c:pt>
                <c:pt idx="514">
                  <c:v>4.2833329999999998</c:v>
                </c:pt>
                <c:pt idx="515">
                  <c:v>4.2916670000000003</c:v>
                </c:pt>
                <c:pt idx="516">
                  <c:v>4.3</c:v>
                </c:pt>
                <c:pt idx="517">
                  <c:v>4.3083330000000002</c:v>
                </c:pt>
                <c:pt idx="518">
                  <c:v>4.3166669999999998</c:v>
                </c:pt>
                <c:pt idx="519">
                  <c:v>4.3250000000000002</c:v>
                </c:pt>
                <c:pt idx="520">
                  <c:v>4.3333329999999997</c:v>
                </c:pt>
                <c:pt idx="521">
                  <c:v>4.3416670000000002</c:v>
                </c:pt>
                <c:pt idx="522">
                  <c:v>4.3499999999999996</c:v>
                </c:pt>
                <c:pt idx="523">
                  <c:v>4.358333</c:v>
                </c:pt>
                <c:pt idx="524">
                  <c:v>4.3666669999999996</c:v>
                </c:pt>
                <c:pt idx="525">
                  <c:v>4.375</c:v>
                </c:pt>
                <c:pt idx="526">
                  <c:v>4.3833330000000004</c:v>
                </c:pt>
                <c:pt idx="527">
                  <c:v>4.391667</c:v>
                </c:pt>
                <c:pt idx="528">
                  <c:v>4.4000000000000004</c:v>
                </c:pt>
                <c:pt idx="529">
                  <c:v>4.4083329999999998</c:v>
                </c:pt>
                <c:pt idx="530">
                  <c:v>4.4166670000000003</c:v>
                </c:pt>
                <c:pt idx="531">
                  <c:v>4.4249999999999998</c:v>
                </c:pt>
                <c:pt idx="532">
                  <c:v>4.4333330000000002</c:v>
                </c:pt>
                <c:pt idx="533">
                  <c:v>4.4416669999999998</c:v>
                </c:pt>
                <c:pt idx="534">
                  <c:v>4.45</c:v>
                </c:pt>
                <c:pt idx="535">
                  <c:v>4.4583329999999997</c:v>
                </c:pt>
                <c:pt idx="536">
                  <c:v>4.4666670000000002</c:v>
                </c:pt>
                <c:pt idx="537">
                  <c:v>4.4749999999999996</c:v>
                </c:pt>
                <c:pt idx="538">
                  <c:v>4.483333</c:v>
                </c:pt>
                <c:pt idx="539">
                  <c:v>4.4916669999999996</c:v>
                </c:pt>
                <c:pt idx="540">
                  <c:v>4.5</c:v>
                </c:pt>
                <c:pt idx="541">
                  <c:v>4.5083330000000004</c:v>
                </c:pt>
                <c:pt idx="542">
                  <c:v>4.516667</c:v>
                </c:pt>
                <c:pt idx="543">
                  <c:v>4.5250000000000004</c:v>
                </c:pt>
                <c:pt idx="544">
                  <c:v>4.5333329999999998</c:v>
                </c:pt>
                <c:pt idx="545">
                  <c:v>4.5416670000000003</c:v>
                </c:pt>
                <c:pt idx="546">
                  <c:v>4.55</c:v>
                </c:pt>
                <c:pt idx="547">
                  <c:v>4.5583330000000002</c:v>
                </c:pt>
                <c:pt idx="548">
                  <c:v>4.5666669999999998</c:v>
                </c:pt>
                <c:pt idx="549">
                  <c:v>4.5750000000000002</c:v>
                </c:pt>
                <c:pt idx="550">
                  <c:v>4.5833329999999997</c:v>
                </c:pt>
                <c:pt idx="551">
                  <c:v>4.5916670000000002</c:v>
                </c:pt>
                <c:pt idx="552">
                  <c:v>4.5999999999999996</c:v>
                </c:pt>
                <c:pt idx="553">
                  <c:v>4.608333</c:v>
                </c:pt>
                <c:pt idx="554">
                  <c:v>4.6166669999999996</c:v>
                </c:pt>
                <c:pt idx="555">
                  <c:v>4.625</c:v>
                </c:pt>
                <c:pt idx="556">
                  <c:v>4.6333330000000004</c:v>
                </c:pt>
                <c:pt idx="557">
                  <c:v>4.641667</c:v>
                </c:pt>
                <c:pt idx="558">
                  <c:v>4.6500000000000004</c:v>
                </c:pt>
                <c:pt idx="559">
                  <c:v>4.6583329999999998</c:v>
                </c:pt>
                <c:pt idx="560">
                  <c:v>4.6666670000000003</c:v>
                </c:pt>
                <c:pt idx="561">
                  <c:v>4.6749999999999998</c:v>
                </c:pt>
                <c:pt idx="562">
                  <c:v>4.6833330000000002</c:v>
                </c:pt>
                <c:pt idx="563">
                  <c:v>4.6916669999999998</c:v>
                </c:pt>
                <c:pt idx="564">
                  <c:v>4.7</c:v>
                </c:pt>
                <c:pt idx="565">
                  <c:v>4.7083329999999997</c:v>
                </c:pt>
                <c:pt idx="566">
                  <c:v>4.7166670000000002</c:v>
                </c:pt>
                <c:pt idx="567">
                  <c:v>4.7249999999999996</c:v>
                </c:pt>
                <c:pt idx="568">
                  <c:v>4.733333</c:v>
                </c:pt>
                <c:pt idx="569">
                  <c:v>4.7416669999999996</c:v>
                </c:pt>
                <c:pt idx="570">
                  <c:v>4.75</c:v>
                </c:pt>
                <c:pt idx="571">
                  <c:v>4.7583330000000004</c:v>
                </c:pt>
                <c:pt idx="572">
                  <c:v>4.766667</c:v>
                </c:pt>
                <c:pt idx="573">
                  <c:v>4.7750000000000004</c:v>
                </c:pt>
                <c:pt idx="574">
                  <c:v>4.7833329999999998</c:v>
                </c:pt>
                <c:pt idx="575">
                  <c:v>4.7916670000000003</c:v>
                </c:pt>
                <c:pt idx="576">
                  <c:v>4.8</c:v>
                </c:pt>
                <c:pt idx="577">
                  <c:v>4.8083330000000002</c:v>
                </c:pt>
                <c:pt idx="578">
                  <c:v>4.8166669999999998</c:v>
                </c:pt>
                <c:pt idx="579">
                  <c:v>4.8250000000000002</c:v>
                </c:pt>
                <c:pt idx="580">
                  <c:v>4.8333329999999997</c:v>
                </c:pt>
                <c:pt idx="581">
                  <c:v>4.8416670000000002</c:v>
                </c:pt>
                <c:pt idx="582">
                  <c:v>4.8499999999999996</c:v>
                </c:pt>
                <c:pt idx="583">
                  <c:v>4.858333</c:v>
                </c:pt>
                <c:pt idx="584">
                  <c:v>4.8666669999999996</c:v>
                </c:pt>
                <c:pt idx="585">
                  <c:v>4.875</c:v>
                </c:pt>
                <c:pt idx="586">
                  <c:v>4.8833330000000004</c:v>
                </c:pt>
                <c:pt idx="587">
                  <c:v>4.891667</c:v>
                </c:pt>
                <c:pt idx="588">
                  <c:v>4.9000000000000004</c:v>
                </c:pt>
                <c:pt idx="589">
                  <c:v>4.9083329999999998</c:v>
                </c:pt>
                <c:pt idx="590">
                  <c:v>4.9166670000000003</c:v>
                </c:pt>
                <c:pt idx="591">
                  <c:v>4.9249999999999998</c:v>
                </c:pt>
                <c:pt idx="592">
                  <c:v>4.9333330000000002</c:v>
                </c:pt>
                <c:pt idx="593">
                  <c:v>4.9416669999999998</c:v>
                </c:pt>
                <c:pt idx="594">
                  <c:v>4.95</c:v>
                </c:pt>
                <c:pt idx="595">
                  <c:v>4.9583329999999997</c:v>
                </c:pt>
                <c:pt idx="596">
                  <c:v>4.9666670000000002</c:v>
                </c:pt>
                <c:pt idx="597">
                  <c:v>4.9749999999999996</c:v>
                </c:pt>
                <c:pt idx="598">
                  <c:v>4.983333</c:v>
                </c:pt>
                <c:pt idx="599">
                  <c:v>4.9916669999999996</c:v>
                </c:pt>
                <c:pt idx="600">
                  <c:v>5</c:v>
                </c:pt>
              </c:numCache>
            </c:numRef>
          </c:xVal>
          <c:yVal>
            <c:numRef>
              <c:f>Cal_Error!$I$2:$I$602</c:f>
              <c:numCache>
                <c:formatCode>General</c:formatCode>
                <c:ptCount val="601"/>
                <c:pt idx="0">
                  <c:v>1.3320621017657727E-2</c:v>
                </c:pt>
                <c:pt idx="1">
                  <c:v>1.162168196548553E-2</c:v>
                </c:pt>
                <c:pt idx="2">
                  <c:v>8.9754015311565745E-3</c:v>
                </c:pt>
                <c:pt idx="3">
                  <c:v>7.3307424399679383E-3</c:v>
                </c:pt>
                <c:pt idx="4">
                  <c:v>4.7413278328223424E-3</c:v>
                </c:pt>
                <c:pt idx="5">
                  <c:v>3.1499287130634934E-3</c:v>
                </c:pt>
                <c:pt idx="6">
                  <c:v>1.5862499097782506E-3</c:v>
                </c:pt>
                <c:pt idx="7">
                  <c:v>4.9283304936184602E-5</c:v>
                </c:pt>
                <c:pt idx="8">
                  <c:v>1.4619798305237353E-3</c:v>
                </c:pt>
                <c:pt idx="9">
                  <c:v>2.9455482547488393E-3</c:v>
                </c:pt>
                <c:pt idx="10">
                  <c:v>4.4024318606803725E-3</c:v>
                </c:pt>
                <c:pt idx="11">
                  <c:v>6.7994876732319909E-3</c:v>
                </c:pt>
                <c:pt idx="12">
                  <c:v>8.2022191988789239E-3</c:v>
                </c:pt>
                <c:pt idx="13">
                  <c:v>9.5782954686431665E-3</c:v>
                </c:pt>
                <c:pt idx="14">
                  <c:v>1.0928728150350175E-2</c:v>
                </c:pt>
                <c:pt idx="15">
                  <c:v>1.2251529028259669E-2</c:v>
                </c:pt>
                <c:pt idx="16">
                  <c:v>1.4509472866788761E-2</c:v>
                </c:pt>
                <c:pt idx="17">
                  <c:v>1.5779226238523236E-2</c:v>
                </c:pt>
                <c:pt idx="18">
                  <c:v>1.70213849049414E-2</c:v>
                </c:pt>
                <c:pt idx="19">
                  <c:v>1.8236962483365232E-2</c:v>
                </c:pt>
                <c:pt idx="20">
                  <c:v>2.0385434968961835E-2</c:v>
                </c:pt>
                <c:pt idx="21">
                  <c:v>2.154706527991071E-2</c:v>
                </c:pt>
                <c:pt idx="22">
                  <c:v>2.2682157071578279E-2</c:v>
                </c:pt>
                <c:pt idx="23">
                  <c:v>2.4747693931128772E-2</c:v>
                </c:pt>
                <c:pt idx="24">
                  <c:v>2.5828922719824982E-2</c:v>
                </c:pt>
                <c:pt idx="25">
                  <c:v>2.6883660795388037E-2</c:v>
                </c:pt>
                <c:pt idx="26">
                  <c:v>2.886638132601646E-2</c:v>
                </c:pt>
                <c:pt idx="27">
                  <c:v>2.9867349392179776E-2</c:v>
                </c:pt>
                <c:pt idx="28">
                  <c:v>3.0841878013861124E-2</c:v>
                </c:pt>
                <c:pt idx="29">
                  <c:v>3.2741915886555784E-2</c:v>
                </c:pt>
                <c:pt idx="30">
                  <c:v>3.36627766870225E-2</c:v>
                </c:pt>
                <c:pt idx="31">
                  <c:v>3.5506490545165387E-2</c:v>
                </c:pt>
                <c:pt idx="32">
                  <c:v>3.6374755568224421E-2</c:v>
                </c:pt>
                <c:pt idx="33">
                  <c:v>3.8163212160032434E-2</c:v>
                </c:pt>
                <c:pt idx="34">
                  <c:v>3.8976956912054217E-2</c:v>
                </c:pt>
                <c:pt idx="35">
                  <c:v>3.9765398305623534E-2</c:v>
                </c:pt>
                <c:pt idx="36">
                  <c:v>4.1471531411142737E-2</c:v>
                </c:pt>
                <c:pt idx="37">
                  <c:v>4.2205575438806486E-2</c:v>
                </c:pt>
                <c:pt idx="38">
                  <c:v>4.3857637701561925E-2</c:v>
                </c:pt>
                <c:pt idx="39">
                  <c:v>4.45383700244803E-2</c:v>
                </c:pt>
                <c:pt idx="40">
                  <c:v>4.6134442013694599E-2</c:v>
                </c:pt>
                <c:pt idx="41">
                  <c:v>4.7703617009393073E-2</c:v>
                </c:pt>
                <c:pt idx="42">
                  <c:v>4.9243915524863457E-2</c:v>
                </c:pt>
                <c:pt idx="43">
                  <c:v>5.0756357636928817E-2</c:v>
                </c:pt>
                <c:pt idx="44">
                  <c:v>5.1303908826232536E-2</c:v>
                </c:pt>
                <c:pt idx="45">
                  <c:v>5.2761575166811292E-2</c:v>
                </c:pt>
                <c:pt idx="46">
                  <c:v>5.4191451706710525E-2</c:v>
                </c:pt>
                <c:pt idx="47">
                  <c:v>5.4659126921258294E-2</c:v>
                </c:pt>
                <c:pt idx="48">
                  <c:v>5.603436965325348E-2</c:v>
                </c:pt>
                <c:pt idx="49">
                  <c:v>5.7381893639095349E-2</c:v>
                </c:pt>
                <c:pt idx="50">
                  <c:v>5.7769925100940089E-2</c:v>
                </c:pt>
                <c:pt idx="51">
                  <c:v>5.906296672804312E-2</c:v>
                </c:pt>
                <c:pt idx="52">
                  <c:v>6.032836450431156E-2</c:v>
                </c:pt>
                <c:pt idx="53">
                  <c:v>6.0636999333097019E-2</c:v>
                </c:pt>
                <c:pt idx="54">
                  <c:v>6.1848075859929241E-2</c:v>
                </c:pt>
                <c:pt idx="55">
                  <c:v>6.3031588348634204E-2</c:v>
                </c:pt>
                <c:pt idx="56">
                  <c:v>6.4188564615795751E-2</c:v>
                </c:pt>
                <c:pt idx="57">
                  <c:v>6.4390447136900286E-2</c:v>
                </c:pt>
                <c:pt idx="58">
                  <c:v>6.5492328906464503E-2</c:v>
                </c:pt>
                <c:pt idx="59">
                  <c:v>6.6567760493914996E-2</c:v>
                </c:pt>
                <c:pt idx="60">
                  <c:v>6.7614770937906354E-2</c:v>
                </c:pt>
                <c:pt idx="61">
                  <c:v>6.8634390120908217E-2</c:v>
                </c:pt>
                <c:pt idx="62">
                  <c:v>6.8705551036941148E-2</c:v>
                </c:pt>
                <c:pt idx="63">
                  <c:v>6.9671382141392457E-2</c:v>
                </c:pt>
                <c:pt idx="64">
                  <c:v>7.0609915734960893E-2</c:v>
                </c:pt>
                <c:pt idx="65">
                  <c:v>7.1522183765979852E-2</c:v>
                </c:pt>
                <c:pt idx="66">
                  <c:v>7.2406218502868047E-2</c:v>
                </c:pt>
                <c:pt idx="67">
                  <c:v>7.326305270870781E-2</c:v>
                </c:pt>
                <c:pt idx="68">
                  <c:v>7.4093720019458853E-2</c:v>
                </c:pt>
                <c:pt idx="69">
                  <c:v>7.4896253809223823E-2</c:v>
                </c:pt>
                <c:pt idx="70">
                  <c:v>7.5671688906933876E-2</c:v>
                </c:pt>
                <c:pt idx="71">
                  <c:v>7.64210596178162E-2</c:v>
                </c:pt>
                <c:pt idx="72">
                  <c:v>7.7142401934648053E-2</c:v>
                </c:pt>
                <c:pt idx="73">
                  <c:v>7.783675150110958E-2</c:v>
                </c:pt>
                <c:pt idx="74">
                  <c:v>7.941630133167954E-2</c:v>
                </c:pt>
                <c:pt idx="75">
                  <c:v>8.0055853071231531E-2</c:v>
                </c:pt>
                <c:pt idx="76">
                  <c:v>8.0668521319124276E-2</c:v>
                </c:pt>
                <c:pt idx="77">
                  <c:v>8.1255344017654552E-2</c:v>
                </c:pt>
                <c:pt idx="78">
                  <c:v>8.1814359836562156E-2</c:v>
                </c:pt>
                <c:pt idx="79">
                  <c:v>8.2346607649249948E-2</c:v>
                </c:pt>
                <c:pt idx="80">
                  <c:v>8.2853126969238966E-2</c:v>
                </c:pt>
                <c:pt idx="81">
                  <c:v>8.3331957571951776E-2</c:v>
                </c:pt>
                <c:pt idx="82">
                  <c:v>8.468787445999626E-2</c:v>
                </c:pt>
                <c:pt idx="83">
                  <c:v>8.5113516058510696E-2</c:v>
                </c:pt>
                <c:pt idx="84">
                  <c:v>8.5511590593730369E-2</c:v>
                </c:pt>
                <c:pt idx="85">
                  <c:v>8.5883140547061032E-2</c:v>
                </c:pt>
                <c:pt idx="86">
                  <c:v>8.6229208021677106E-2</c:v>
                </c:pt>
                <c:pt idx="87">
                  <c:v>8.744688095233577E-2</c:v>
                </c:pt>
                <c:pt idx="88">
                  <c:v>8.7738171899848338E-2</c:v>
                </c:pt>
                <c:pt idx="89">
                  <c:v>8.8004110373400279E-2</c:v>
                </c:pt>
                <c:pt idx="90">
                  <c:v>8.8242740687515586E-2</c:v>
                </c:pt>
                <c:pt idx="91">
                  <c:v>8.9350372316837179E-2</c:v>
                </c:pt>
                <c:pt idx="92">
                  <c:v>8.9536573927731289E-2</c:v>
                </c:pt>
                <c:pt idx="93">
                  <c:v>8.969560329062809E-2</c:v>
                </c:pt>
                <c:pt idx="94">
                  <c:v>9.0720920046334586E-2</c:v>
                </c:pt>
                <c:pt idx="95">
                  <c:v>9.0827791743260278E-2</c:v>
                </c:pt>
                <c:pt idx="96">
                  <c:v>9.0907631351771712E-2</c:v>
                </c:pt>
                <c:pt idx="97">
                  <c:v>9.1851035672529502E-2</c:v>
                </c:pt>
                <c:pt idx="98">
                  <c:v>9.1878998167011838E-2</c:v>
                </c:pt>
                <c:pt idx="99">
                  <c:v>9.2767704404896345E-2</c:v>
                </c:pt>
                <c:pt idx="100">
                  <c:v>9.2741981242683735E-2</c:v>
                </c:pt>
                <c:pt idx="101">
                  <c:v>9.3577177276133683E-2</c:v>
                </c:pt>
                <c:pt idx="102">
                  <c:v>9.438370687958697E-2</c:v>
                </c:pt>
                <c:pt idx="103">
                  <c:v>9.4278839965121652E-2</c:v>
                </c:pt>
                <c:pt idx="104">
                  <c:v>9.5032146462869505E-2</c:v>
                </c:pt>
                <c:pt idx="105">
                  <c:v>9.5756930618273395E-2</c:v>
                </c:pt>
                <c:pt idx="106">
                  <c:v>9.5573368799728664E-2</c:v>
                </c:pt>
                <c:pt idx="107">
                  <c:v>9.6245226259137673E-2</c:v>
                </c:pt>
                <c:pt idx="108">
                  <c:v>9.6009780926162192E-2</c:v>
                </c:pt>
                <c:pt idx="109">
                  <c:v>9.6626915454895657E-2</c:v>
                </c:pt>
                <c:pt idx="110">
                  <c:v>9.6340798141664186E-2</c:v>
                </c:pt>
                <c:pt idx="111">
                  <c:v>9.6904417491303407E-2</c:v>
                </c:pt>
                <c:pt idx="112">
                  <c:v>9.7440869305713496E-2</c:v>
                </c:pt>
                <c:pt idx="113">
                  <c:v>9.7077159655761358E-2</c:v>
                </c:pt>
                <c:pt idx="114">
                  <c:v>9.7560414494351155E-2</c:v>
                </c:pt>
                <c:pt idx="115">
                  <c:v>9.8016660812064949E-2</c:v>
                </c:pt>
                <c:pt idx="116">
                  <c:v>9.670475156714009E-2</c:v>
                </c:pt>
                <c:pt idx="117">
                  <c:v>9.7109113759391907E-2</c:v>
                </c:pt>
                <c:pt idx="118">
                  <c:v>9.7486632555456088E-2</c:v>
                </c:pt>
                <c:pt idx="119">
                  <c:v>9.7838363297550468E-2</c:v>
                </c:pt>
                <c:pt idx="120">
                  <c:v>9.729520818712345E-2</c:v>
                </c:pt>
                <c:pt idx="121">
                  <c:v>9.7593520992746985E-2</c:v>
                </c:pt>
                <c:pt idx="122">
                  <c:v>9.7866215320916439E-2</c:v>
                </c:pt>
                <c:pt idx="123">
                  <c:v>9.8111348405164445E-2</c:v>
                </c:pt>
                <c:pt idx="124">
                  <c:v>9.8329978148222197E-2</c:v>
                </c:pt>
                <c:pt idx="125">
                  <c:v>9.7660975360573832E-2</c:v>
                </c:pt>
                <c:pt idx="126">
                  <c:v>9.7827770501030864E-2</c:v>
                </c:pt>
                <c:pt idx="127">
                  <c:v>9.8828431071556255E-2</c:v>
                </c:pt>
                <c:pt idx="128">
                  <c:v>9.8942633606178165E-2</c:v>
                </c:pt>
                <c:pt idx="129">
                  <c:v>9.9029629005648379E-2</c:v>
                </c:pt>
                <c:pt idx="130">
                  <c:v>9.9090477005854161E-2</c:v>
                </c:pt>
                <c:pt idx="131">
                  <c:v>9.9126239495796464E-2</c:v>
                </c:pt>
                <c:pt idx="132">
                  <c:v>9.9134977986247819E-2</c:v>
                </c:pt>
                <c:pt idx="133">
                  <c:v>9.9117754860861274E-2</c:v>
                </c:pt>
                <c:pt idx="134">
                  <c:v>9.9075631950493515E-2</c:v>
                </c:pt>
                <c:pt idx="135">
                  <c:v>9.9006673093642084E-2</c:v>
                </c:pt>
                <c:pt idx="136">
                  <c:v>9.8911941663266223E-2</c:v>
                </c:pt>
                <c:pt idx="137">
                  <c:v>9.8792501614275663E-2</c:v>
                </c:pt>
                <c:pt idx="138">
                  <c:v>9.8646417687179966E-2</c:v>
                </c:pt>
                <c:pt idx="139">
                  <c:v>9.8474755262629943E-2</c:v>
                </c:pt>
                <c:pt idx="140">
                  <c:v>9.9125671507661828E-2</c:v>
                </c:pt>
                <c:pt idx="141">
                  <c:v>9.8902032255044237E-2</c:v>
                </c:pt>
                <c:pt idx="142">
                  <c:v>9.8653011374328914E-2</c:v>
                </c:pt>
                <c:pt idx="143">
                  <c:v>9.8379675293639224E-2</c:v>
                </c:pt>
                <c:pt idx="144">
                  <c:v>9.8080091634100031E-2</c:v>
                </c:pt>
                <c:pt idx="145">
                  <c:v>9.7755328336868175E-2</c:v>
                </c:pt>
                <c:pt idx="146">
                  <c:v>9.8247430569711414E-2</c:v>
                </c:pt>
                <c:pt idx="147">
                  <c:v>9.7871490928142624E-2</c:v>
                </c:pt>
                <c:pt idx="148">
                  <c:v>9.7470577014537652E-2</c:v>
                </c:pt>
                <c:pt idx="149">
                  <c:v>9.7883661135370614E-2</c:v>
                </c:pt>
                <c:pt idx="150">
                  <c:v>9.7431982248849192E-2</c:v>
                </c:pt>
                <c:pt idx="151">
                  <c:v>9.7791385804948838E-2</c:v>
                </c:pt>
                <c:pt idx="152">
                  <c:v>9.8125036485192663E-2</c:v>
                </c:pt>
                <c:pt idx="153">
                  <c:v>9.7597218591950252E-2</c:v>
                </c:pt>
                <c:pt idx="154">
                  <c:v>9.704484885487652E-2</c:v>
                </c:pt>
                <c:pt idx="155">
                  <c:v>9.7300721880480889E-2</c:v>
                </c:pt>
                <c:pt idx="156">
                  <c:v>9.6698433889143454E-2</c:v>
                </c:pt>
                <c:pt idx="157">
                  <c:v>9.6901464805155602E-2</c:v>
                </c:pt>
                <c:pt idx="158">
                  <c:v>9.6250547927827501E-2</c:v>
                </c:pt>
                <c:pt idx="159">
                  <c:v>9.6402024007544052E-2</c:v>
                </c:pt>
                <c:pt idx="160">
                  <c:v>9.5700771424211517E-2</c:v>
                </c:pt>
                <c:pt idx="161">
                  <c:v>9.5801983490748865E-2</c:v>
                </c:pt>
                <c:pt idx="162">
                  <c:v>9.5051691640229086E-2</c:v>
                </c:pt>
                <c:pt idx="163">
                  <c:v>9.510093415383114E-2</c:v>
                </c:pt>
                <c:pt idx="164">
                  <c:v>9.4302904072220972E-2</c:v>
                </c:pt>
                <c:pt idx="165">
                  <c:v>9.4301474984745726E-2</c:v>
                </c:pt>
                <c:pt idx="166">
                  <c:v>9.4274300587505744E-2</c:v>
                </c:pt>
                <c:pt idx="167">
                  <c:v>9.3403211169115652E-2</c:v>
                </c:pt>
                <c:pt idx="168">
                  <c:v>9.3325818208902955E-2</c:v>
                </c:pt>
                <c:pt idx="169">
                  <c:v>9.3222906385263204E-2</c:v>
                </c:pt>
                <c:pt idx="170">
                  <c:v>9.2279451328329598E-2</c:v>
                </c:pt>
                <c:pt idx="171">
                  <c:v>9.2126781617773768E-2</c:v>
                </c:pt>
                <c:pt idx="172">
                  <c:v>9.2762824668722876E-2</c:v>
                </c:pt>
                <c:pt idx="173">
                  <c:v>9.2559605432050107E-2</c:v>
                </c:pt>
                <c:pt idx="174">
                  <c:v>9.1518358765784402E-2</c:v>
                </c:pt>
                <c:pt idx="175">
                  <c:v>9.1265006322687858E-2</c:v>
                </c:pt>
                <c:pt idx="176">
                  <c:v>9.0987678865589006E-2</c:v>
                </c:pt>
                <c:pt idx="177">
                  <c:v>9.0684456265345936E-2</c:v>
                </c:pt>
                <c:pt idx="178">
                  <c:v>8.95487426979793E-2</c:v>
                </c:pt>
                <c:pt idx="179">
                  <c:v>8.9198026658553697E-2</c:v>
                </c:pt>
                <c:pt idx="180">
                  <c:v>8.8821656398001103E-2</c:v>
                </c:pt>
                <c:pt idx="181">
                  <c:v>8.8420713503916559E-2</c:v>
                </c:pt>
                <c:pt idx="182">
                  <c:v>8.7192837214949748E-2</c:v>
                </c:pt>
                <c:pt idx="183">
                  <c:v>8.6744053989821435E-2</c:v>
                </c:pt>
                <c:pt idx="184">
                  <c:v>8.6270944639758929E-2</c:v>
                </c:pt>
                <c:pt idx="185">
                  <c:v>8.5774591043348059E-2</c:v>
                </c:pt>
                <c:pt idx="186">
                  <c:v>8.5253076999523891E-2</c:v>
                </c:pt>
                <c:pt idx="187">
                  <c:v>8.5505612645216056E-2</c:v>
                </c:pt>
                <c:pt idx="188">
                  <c:v>8.4935962819903787E-2</c:v>
                </c:pt>
                <c:pt idx="189">
                  <c:v>8.434140291114578E-2</c:v>
                </c:pt>
                <c:pt idx="190">
                  <c:v>8.3723017881755402E-2</c:v>
                </c:pt>
                <c:pt idx="191">
                  <c:v>8.308189304373359E-2</c:v>
                </c:pt>
                <c:pt idx="192">
                  <c:v>8.3208903639113485E-2</c:v>
                </c:pt>
                <c:pt idx="193">
                  <c:v>8.251848643576154E-2</c:v>
                </c:pt>
                <c:pt idx="194">
                  <c:v>8.2596234691939996E-2</c:v>
                </c:pt>
                <c:pt idx="195">
                  <c:v>8.1857867171410525E-2</c:v>
                </c:pt>
                <c:pt idx="196">
                  <c:v>8.1096190184806405E-2</c:v>
                </c:pt>
                <c:pt idx="197">
                  <c:v>8.0312290440797129E-2</c:v>
                </c:pt>
                <c:pt idx="198">
                  <c:v>8.0290613808107203E-2</c:v>
                </c:pt>
                <c:pt idx="199">
                  <c:v>7.9458459641985391E-2</c:v>
                </c:pt>
                <c:pt idx="200">
                  <c:v>7.8604346670616998E-2</c:v>
                </c:pt>
                <c:pt idx="201">
                  <c:v>7.8509495884921066E-2</c:v>
                </c:pt>
                <c:pt idx="202">
                  <c:v>7.7607657690592191E-2</c:v>
                </c:pt>
                <c:pt idx="203">
                  <c:v>7.6684128454888034E-2</c:v>
                </c:pt>
                <c:pt idx="204">
                  <c:v>7.651689724945232E-2</c:v>
                </c:pt>
                <c:pt idx="205">
                  <c:v>7.5546178463998359E-2</c:v>
                </c:pt>
                <c:pt idx="206">
                  <c:v>7.5331778918599879E-2</c:v>
                </c:pt>
                <c:pt idx="207">
                  <c:v>7.431523150085706E-2</c:v>
                </c:pt>
                <c:pt idx="208">
                  <c:v>7.4052023252699772E-2</c:v>
                </c:pt>
                <c:pt idx="209">
                  <c:v>7.2991010535168765E-2</c:v>
                </c:pt>
                <c:pt idx="210">
                  <c:v>7.2680356102044374E-2</c:v>
                </c:pt>
                <c:pt idx="211">
                  <c:v>7.1573244603322372E-2</c:v>
                </c:pt>
                <c:pt idx="212">
                  <c:v>7.1987752666331728E-2</c:v>
                </c:pt>
                <c:pt idx="213">
                  <c:v>7.1604986246561753E-2</c:v>
                </c:pt>
                <c:pt idx="214">
                  <c:v>7.0429293810734928E-2</c:v>
                </c:pt>
                <c:pt idx="215">
                  <c:v>7.0000997931675579E-2</c:v>
                </c:pt>
                <c:pt idx="216">
                  <c:v>6.9548033080296445E-2</c:v>
                </c:pt>
                <c:pt idx="217">
                  <c:v>6.8305680565711624E-2</c:v>
                </c:pt>
                <c:pt idx="218">
                  <c:v>6.7807745307593592E-2</c:v>
                </c:pt>
                <c:pt idx="219">
                  <c:v>6.6521785240490461E-2</c:v>
                </c:pt>
                <c:pt idx="220">
                  <c:v>6.597725636543017E-2</c:v>
                </c:pt>
                <c:pt idx="221">
                  <c:v>6.5410527690367593E-2</c:v>
                </c:pt>
                <c:pt idx="222">
                  <c:v>6.4059325870994055E-2</c:v>
                </c:pt>
                <c:pt idx="223">
                  <c:v>6.3446573062754918E-2</c:v>
                </c:pt>
                <c:pt idx="224">
                  <c:v>6.28119055019003E-2</c:v>
                </c:pt>
                <c:pt idx="225">
                  <c:v>6.215341878620162E-2</c:v>
                </c:pt>
                <c:pt idx="226">
                  <c:v>6.1472209429924041E-2</c:v>
                </c:pt>
                <c:pt idx="227">
                  <c:v>6.0769373554553141E-2</c:v>
                </c:pt>
                <c:pt idx="228">
                  <c:v>6.0043007412501792E-2</c:v>
                </c:pt>
                <c:pt idx="229">
                  <c:v>5.9294208230924239E-2</c:v>
                </c:pt>
                <c:pt idx="230">
                  <c:v>5.9275695720902188E-2</c:v>
                </c:pt>
                <c:pt idx="231">
                  <c:v>5.8481226979579137E-2</c:v>
                </c:pt>
                <c:pt idx="232">
                  <c:v>5.7664617112995753E-2</c:v>
                </c:pt>
                <c:pt idx="233">
                  <c:v>5.6826964832244808E-2</c:v>
                </c:pt>
                <c:pt idx="234">
                  <c:v>5.5966368033722569E-2</c:v>
                </c:pt>
                <c:pt idx="235">
                  <c:v>5.5083925850434978E-2</c:v>
                </c:pt>
                <c:pt idx="236">
                  <c:v>5.4925779295051935E-2</c:v>
                </c:pt>
                <c:pt idx="237">
                  <c:v>5.3998845945778973E-2</c:v>
                </c:pt>
                <c:pt idx="238">
                  <c:v>5.3050364988996179E-2</c:v>
                </c:pt>
                <c:pt idx="239">
                  <c:v>5.2081436357888755E-2</c:v>
                </c:pt>
                <c:pt idx="240">
                  <c:v>5.1830806042511668E-2</c:v>
                </c:pt>
                <c:pt idx="241">
                  <c:v>5.0817183557596124E-2</c:v>
                </c:pt>
                <c:pt idx="242">
                  <c:v>4.9783414929119196E-2</c:v>
                </c:pt>
                <c:pt idx="243">
                  <c:v>4.9464944773677244E-2</c:v>
                </c:pt>
                <c:pt idx="244">
                  <c:v>4.8387086342221552E-2</c:v>
                </c:pt>
                <c:pt idx="245">
                  <c:v>4.7289385174729137E-2</c:v>
                </c:pt>
                <c:pt idx="246">
                  <c:v>4.6903982332032523E-2</c:v>
                </c:pt>
                <c:pt idx="247">
                  <c:v>4.6495735660350146E-2</c:v>
                </c:pt>
                <c:pt idx="248">
                  <c:v>4.6065746649522232E-2</c:v>
                </c:pt>
                <c:pt idx="249">
                  <c:v>4.4881390943464439E-2</c:v>
                </c:pt>
                <c:pt idx="250">
                  <c:v>4.4406327797393175E-2</c:v>
                </c:pt>
                <c:pt idx="251">
                  <c:v>4.2452789272796387E-2</c:v>
                </c:pt>
                <c:pt idx="252">
                  <c:v>4.1935167705182241E-2</c:v>
                </c:pt>
                <c:pt idx="253">
                  <c:v>4.0669004283790944E-2</c:v>
                </c:pt>
                <c:pt idx="254">
                  <c:v>4.0109132807709447E-2</c:v>
                </c:pt>
                <c:pt idx="255">
                  <c:v>3.9526238208688724E-2</c:v>
                </c:pt>
                <c:pt idx="256">
                  <c:v>3.8198428577751908E-2</c:v>
                </c:pt>
                <c:pt idx="257">
                  <c:v>3.7573906524868139E-2</c:v>
                </c:pt>
                <c:pt idx="258">
                  <c:v>3.6926673631097362E-2</c:v>
                </c:pt>
                <c:pt idx="259">
                  <c:v>3.5538157255510239E-2</c:v>
                </c:pt>
                <c:pt idx="260">
                  <c:v>3.484992404706766E-2</c:v>
                </c:pt>
                <c:pt idx="261">
                  <c:v>3.4139294505707962E-2</c:v>
                </c:pt>
                <c:pt idx="262">
                  <c:v>3.3407373947521357E-2</c:v>
                </c:pt>
                <c:pt idx="263">
                  <c:v>3.2655267848623382E-2</c:v>
                </c:pt>
                <c:pt idx="264">
                  <c:v>3.2595220763733668E-2</c:v>
                </c:pt>
                <c:pt idx="265">
                  <c:v>3.1085921689690377E-2</c:v>
                </c:pt>
                <c:pt idx="266">
                  <c:v>3.0270893862153425E-2</c:v>
                </c:pt>
                <c:pt idx="267">
                  <c:v>2.943410460975171E-2</c:v>
                </c:pt>
                <c:pt idx="268">
                  <c:v>2.8576660441549606E-2</c:v>
                </c:pt>
                <c:pt idx="269">
                  <c:v>2.7699668259404397E-2</c:v>
                </c:pt>
                <c:pt idx="270">
                  <c:v>2.6801235270690338E-2</c:v>
                </c:pt>
                <c:pt idx="271">
                  <c:v>2.5882468682807858E-2</c:v>
                </c:pt>
                <c:pt idx="272">
                  <c:v>2.4944475892257234E-2</c:v>
                </c:pt>
                <c:pt idx="273">
                  <c:v>2.4689523980182315E-2</c:v>
                </c:pt>
                <c:pt idx="274">
                  <c:v>2.3709292805366822E-2</c:v>
                </c:pt>
                <c:pt idx="275">
                  <c:v>2.2710158999514451E-2</c:v>
                </c:pt>
                <c:pt idx="276">
                  <c:v>2.1690230759325857E-2</c:v>
                </c:pt>
                <c:pt idx="277">
                  <c:v>1.9950895613914721E-2</c:v>
                </c:pt>
                <c:pt idx="278">
                  <c:v>1.9592425872133834E-2</c:v>
                </c:pt>
                <c:pt idx="279">
                  <c:v>1.8513767058779163E-2</c:v>
                </c:pt>
                <c:pt idx="280">
                  <c:v>1.7415748750960081E-2</c:v>
                </c:pt>
                <c:pt idx="281">
                  <c:v>1.69947603157099E-2</c:v>
                </c:pt>
                <c:pt idx="282">
                  <c:v>1.6551409765453329E-2</c:v>
                </c:pt>
                <c:pt idx="283">
                  <c:v>1.539375025457046E-2</c:v>
                </c:pt>
                <c:pt idx="284">
                  <c:v>1.491011546338461E-2</c:v>
                </c:pt>
                <c:pt idx="285">
                  <c:v>1.371361359286416E-2</c:v>
                </c:pt>
                <c:pt idx="286">
                  <c:v>1.3188134650768735E-2</c:v>
                </c:pt>
                <c:pt idx="287">
                  <c:v>1.1954230816157985E-2</c:v>
                </c:pt>
                <c:pt idx="288">
                  <c:v>1.1388348526037095E-2</c:v>
                </c:pt>
                <c:pt idx="289">
                  <c:v>1.0115484563166355E-2</c:v>
                </c:pt>
                <c:pt idx="290">
                  <c:v>9.5106417065116133E-3</c:v>
                </c:pt>
                <c:pt idx="291">
                  <c:v>8.2002606587203708E-3</c:v>
                </c:pt>
                <c:pt idx="292">
                  <c:v>7.554900831713951E-3</c:v>
                </c:pt>
                <c:pt idx="293">
                  <c:v>6.8903935236113156E-3</c:v>
                </c:pt>
                <c:pt idx="294">
                  <c:v>5.5240155963720561E-3</c:v>
                </c:pt>
                <c:pt idx="295">
                  <c:v>4.8196597600957958E-3</c:v>
                </c:pt>
                <c:pt idx="296">
                  <c:v>4.0964912602956538E-3</c:v>
                </c:pt>
                <c:pt idx="297">
                  <c:v>4.0301226641834553E-3</c:v>
                </c:pt>
                <c:pt idx="298">
                  <c:v>2.589165278302108E-3</c:v>
                </c:pt>
                <c:pt idx="299">
                  <c:v>1.1319522173875995E-3</c:v>
                </c:pt>
                <c:pt idx="300">
                  <c:v>3.3076633481865514E-4</c:v>
                </c:pt>
                <c:pt idx="301">
                  <c:v>4.8967094738072703E-4</c:v>
                </c:pt>
                <c:pt idx="302">
                  <c:v>1.3282465151673861E-3</c:v>
                </c:pt>
                <c:pt idx="303">
                  <c:v>2.1868480983018301E-3</c:v>
                </c:pt>
                <c:pt idx="304">
                  <c:v>3.0643621317367753E-3</c:v>
                </c:pt>
                <c:pt idx="305">
                  <c:v>3.9596760688196397E-3</c:v>
                </c:pt>
                <c:pt idx="306">
                  <c:v>4.8746766645604289E-3</c:v>
                </c:pt>
                <c:pt idx="307">
                  <c:v>5.8082499174649804E-3</c:v>
                </c:pt>
                <c:pt idx="308">
                  <c:v>6.7592829317142389E-3</c:v>
                </c:pt>
                <c:pt idx="309">
                  <c:v>7.7296620404241345E-3</c:v>
                </c:pt>
                <c:pt idx="310">
                  <c:v>8.7182736930762061E-3</c:v>
                </c:pt>
                <c:pt idx="311">
                  <c:v>9.7240038590991063E-3</c:v>
                </c:pt>
                <c:pt idx="312">
                  <c:v>1.0087890940806421E-2</c:v>
                </c:pt>
                <c:pt idx="313">
                  <c:v>1.0471888448763789E-2</c:v>
                </c:pt>
                <c:pt idx="314">
                  <c:v>1.1533507966775769E-2</c:v>
                </c:pt>
                <c:pt idx="315">
                  <c:v>1.1956271353263048E-2</c:v>
                </c:pt>
                <c:pt idx="316">
                  <c:v>1.3055208947308383E-2</c:v>
                </c:pt>
                <c:pt idx="317">
                  <c:v>1.4170579387184024E-2</c:v>
                </c:pt>
                <c:pt idx="318">
                  <c:v>1.5304268715038649E-2</c:v>
                </c:pt>
                <c:pt idx="319">
                  <c:v>1.6455162318350425E-2</c:v>
                </c:pt>
                <c:pt idx="320">
                  <c:v>1.7622145235399511E-2</c:v>
                </c:pt>
                <c:pt idx="321">
                  <c:v>1.8156231319881755E-2</c:v>
                </c:pt>
                <c:pt idx="322">
                  <c:v>1.9359156147825018E-2</c:v>
                </c:pt>
                <c:pt idx="323">
                  <c:v>1.9929168578203704E-2</c:v>
                </c:pt>
                <c:pt idx="324">
                  <c:v>2.0519024412033904E-2</c:v>
                </c:pt>
                <c:pt idx="325">
                  <c:v>2.1774050791744326E-2</c:v>
                </c:pt>
                <c:pt idx="326">
                  <c:v>2.2399139724216255E-2</c:v>
                </c:pt>
                <c:pt idx="327">
                  <c:v>2.3043724687267009E-2</c:v>
                </c:pt>
                <c:pt idx="328">
                  <c:v>2.370668945349097E-2</c:v>
                </c:pt>
                <c:pt idx="329">
                  <c:v>2.4386918537434799E-2</c:v>
                </c:pt>
                <c:pt idx="330">
                  <c:v>2.5086294969731693E-2</c:v>
                </c:pt>
                <c:pt idx="331">
                  <c:v>2.5803702712105192E-2</c:v>
                </c:pt>
                <c:pt idx="332">
                  <c:v>2.7176727570766168E-2</c:v>
                </c:pt>
                <c:pt idx="333">
                  <c:v>2.7928744283199247E-2</c:v>
                </c:pt>
                <c:pt idx="334">
                  <c:v>2.8698443070632962E-2</c:v>
                </c:pt>
                <c:pt idx="335">
                  <c:v>3.0120099578567761E-2</c:v>
                </c:pt>
                <c:pt idx="336">
                  <c:v>3.0923710087990219E-2</c:v>
                </c:pt>
                <c:pt idx="337">
                  <c:v>3.1744653626470054E-2</c:v>
                </c:pt>
                <c:pt idx="338">
                  <c:v>3.2581813268270032E-2</c:v>
                </c:pt>
                <c:pt idx="339">
                  <c:v>3.3437072698685455E-2</c:v>
                </c:pt>
                <c:pt idx="340">
                  <c:v>3.4309314759207066E-2</c:v>
                </c:pt>
                <c:pt idx="341">
                  <c:v>3.5197423149694984E-2</c:v>
                </c:pt>
                <c:pt idx="342">
                  <c:v>3.6103280377007607E-2</c:v>
                </c:pt>
                <c:pt idx="343">
                  <c:v>3.5772617768873083E-2</c:v>
                </c:pt>
                <c:pt idx="344">
                  <c:v>3.6712822575519777E-2</c:v>
                </c:pt>
                <c:pt idx="345">
                  <c:v>3.7670425179916922E-2</c:v>
                </c:pt>
                <c:pt idx="346">
                  <c:v>3.8644308510854763E-2</c:v>
                </c:pt>
                <c:pt idx="347">
                  <c:v>3.9011178880053787E-2</c:v>
                </c:pt>
                <c:pt idx="348">
                  <c:v>4.0018370856904184E-2</c:v>
                </c:pt>
                <c:pt idx="349">
                  <c:v>4.1041492550306202E-2</c:v>
                </c:pt>
                <c:pt idx="350">
                  <c:v>4.2079426903594896E-2</c:v>
                </c:pt>
                <c:pt idx="351">
                  <c:v>4.3134056860099967E-2</c:v>
                </c:pt>
                <c:pt idx="352">
                  <c:v>4.3587574348153524E-2</c:v>
                </c:pt>
                <c:pt idx="353">
                  <c:v>4.4673340361625069E-2</c:v>
                </c:pt>
                <c:pt idx="354">
                  <c:v>4.5160951179737729E-2</c:v>
                </c:pt>
                <c:pt idx="355">
                  <c:v>4.627938335042181E-2</c:v>
                </c:pt>
                <c:pt idx="356">
                  <c:v>4.679961570752722E-2</c:v>
                </c:pt>
                <c:pt idx="357">
                  <c:v>4.7949244368457045E-2</c:v>
                </c:pt>
                <c:pt idx="358">
                  <c:v>4.7893504933197217E-2</c:v>
                </c:pt>
                <c:pt idx="359">
                  <c:v>4.8464925317020402E-2</c:v>
                </c:pt>
                <c:pt idx="360">
                  <c:v>4.9054170946034148E-2</c:v>
                </c:pt>
                <c:pt idx="361">
                  <c:v>5.0266965196386515E-2</c:v>
                </c:pt>
                <c:pt idx="362">
                  <c:v>5.0887414561665345E-2</c:v>
                </c:pt>
                <c:pt idx="363">
                  <c:v>5.2129994584601658E-2</c:v>
                </c:pt>
                <c:pt idx="364">
                  <c:v>5.2783176142423116E-2</c:v>
                </c:pt>
                <c:pt idx="365">
                  <c:v>5.3451591624483097E-2</c:v>
                </c:pt>
                <c:pt idx="366">
                  <c:v>5.4137123523100961E-2</c:v>
                </c:pt>
                <c:pt idx="367">
                  <c:v>5.4838652730290871E-2</c:v>
                </c:pt>
                <c:pt idx="368">
                  <c:v>5.5555060923661692E-2</c:v>
                </c:pt>
                <c:pt idx="369">
                  <c:v>5.6288230159078356E-2</c:v>
                </c:pt>
                <c:pt idx="370">
                  <c:v>5.7037041786827114E-2</c:v>
                </c:pt>
                <c:pt idx="371">
                  <c:v>5.7800377848243656E-2</c:v>
                </c:pt>
                <c:pt idx="372">
                  <c:v>5.8580119999104063E-2</c:v>
                </c:pt>
                <c:pt idx="373">
                  <c:v>5.8781368031665338E-2</c:v>
                </c:pt>
                <c:pt idx="374">
                  <c:v>5.9591652045224652E-2</c:v>
                </c:pt>
                <c:pt idx="375">
                  <c:v>5.9826374481239508E-2</c:v>
                </c:pt>
                <c:pt idx="376">
                  <c:v>6.1259255735165663E-2</c:v>
                </c:pt>
                <c:pt idx="377">
                  <c:v>6.2114339065015844E-2</c:v>
                </c:pt>
                <c:pt idx="378">
                  <c:v>6.239675314712434E-2</c:v>
                </c:pt>
                <c:pt idx="379">
                  <c:v>6.3283194039252422E-2</c:v>
                </c:pt>
                <c:pt idx="380">
                  <c:v>6.4183096180290722E-2</c:v>
                </c:pt>
                <c:pt idx="381">
                  <c:v>6.4513216216866009E-2</c:v>
                </c:pt>
                <c:pt idx="382">
                  <c:v>6.5443766058612685E-2</c:v>
                </c:pt>
                <c:pt idx="383">
                  <c:v>6.5804455701741205E-2</c:v>
                </c:pt>
                <c:pt idx="384">
                  <c:v>6.6182291047431896E-2</c:v>
                </c:pt>
                <c:pt idx="385">
                  <c:v>6.7156963543423487E-2</c:v>
                </c:pt>
                <c:pt idx="386">
                  <c:v>6.7564654313219119E-2</c:v>
                </c:pt>
                <c:pt idx="387">
                  <c:v>6.9146453140509934E-2</c:v>
                </c:pt>
                <c:pt idx="388">
                  <c:v>6.9006863623067627E-2</c:v>
                </c:pt>
                <c:pt idx="389">
                  <c:v>6.946048503147173E-2</c:v>
                </c:pt>
                <c:pt idx="390">
                  <c:v>6.9930536810660193E-2</c:v>
                </c:pt>
                <c:pt idx="391">
                  <c:v>7.0990263424212774E-2</c:v>
                </c:pt>
                <c:pt idx="392">
                  <c:v>7.1488746590771868E-2</c:v>
                </c:pt>
                <c:pt idx="393">
                  <c:v>7.2003303684295528E-2</c:v>
                </c:pt>
                <c:pt idx="394">
                  <c:v>7.2532815975039799E-2</c:v>
                </c:pt>
                <c:pt idx="395">
                  <c:v>7.3076164740533578E-2</c:v>
                </c:pt>
                <c:pt idx="396">
                  <c:v>7.3635230843693389E-2</c:v>
                </c:pt>
                <c:pt idx="397">
                  <c:v>7.4208896093055365E-2</c:v>
                </c:pt>
                <c:pt idx="398">
                  <c:v>7.536291696239994E-2</c:v>
                </c:pt>
                <c:pt idx="399">
                  <c:v>7.5964358002319265E-2</c:v>
                </c:pt>
                <c:pt idx="400">
                  <c:v>7.6015300381222506E-2</c:v>
                </c:pt>
                <c:pt idx="401">
                  <c:v>7.664517667112225E-2</c:v>
                </c:pt>
                <c:pt idx="402">
                  <c:v>7.7290060626238333E-2</c:v>
                </c:pt>
                <c:pt idx="403">
                  <c:v>7.7387284711926796E-2</c:v>
                </c:pt>
                <c:pt idx="404">
                  <c:v>7.749940619483553E-2</c:v>
                </c:pt>
                <c:pt idx="405">
                  <c:v>7.8187727056666656E-2</c:v>
                </c:pt>
                <c:pt idx="406">
                  <c:v>7.8889582337820396E-2</c:v>
                </c:pt>
                <c:pt idx="407">
                  <c:v>7.9046552288894123E-2</c:v>
                </c:pt>
                <c:pt idx="408">
                  <c:v>8.0332425800107021E-2</c:v>
                </c:pt>
                <c:pt idx="409">
                  <c:v>8.0518993520766191E-2</c:v>
                </c:pt>
                <c:pt idx="410">
                  <c:v>8.1273868724263565E-2</c:v>
                </c:pt>
                <c:pt idx="411">
                  <c:v>8.1489620043424082E-2</c:v>
                </c:pt>
                <c:pt idx="412">
                  <c:v>8.2272327702685999E-2</c:v>
                </c:pt>
                <c:pt idx="413">
                  <c:v>8.2515787875988789E-2</c:v>
                </c:pt>
                <c:pt idx="414">
                  <c:v>8.2774951820526521E-2</c:v>
                </c:pt>
                <c:pt idx="415">
                  <c:v>8.3597552374304662E-2</c:v>
                </c:pt>
                <c:pt idx="416">
                  <c:v>8.3883714023871292E-2</c:v>
                </c:pt>
                <c:pt idx="417">
                  <c:v>8.4731971680280349E-2</c:v>
                </c:pt>
                <c:pt idx="418">
                  <c:v>8.4500961273882069E-2</c:v>
                </c:pt>
                <c:pt idx="419">
                  <c:v>8.4829809727633876E-2</c:v>
                </c:pt>
                <c:pt idx="420">
                  <c:v>8.5173649523268669E-2</c:v>
                </c:pt>
                <c:pt idx="421">
                  <c:v>8.6073912508116912E-2</c:v>
                </c:pt>
                <c:pt idx="422">
                  <c:v>8.644333346448807E-2</c:v>
                </c:pt>
                <c:pt idx="423">
                  <c:v>8.6286935316159497E-2</c:v>
                </c:pt>
                <c:pt idx="424">
                  <c:v>8.6685558753988978E-2</c:v>
                </c:pt>
                <c:pt idx="425">
                  <c:v>8.7096583318426735E-2</c:v>
                </c:pt>
                <c:pt idx="426">
                  <c:v>8.8059215431603111E-2</c:v>
                </c:pt>
                <c:pt idx="427">
                  <c:v>8.8496647040254839E-2</c:v>
                </c:pt>
                <c:pt idx="428">
                  <c:v>8.8946128379999045E-2</c:v>
                </c:pt>
                <c:pt idx="429">
                  <c:v>8.8875340724859253E-2</c:v>
                </c:pt>
                <c:pt idx="430">
                  <c:v>8.9352608852849791E-2</c:v>
                </c:pt>
                <c:pt idx="431">
                  <c:v>8.9841574283495262E-2</c:v>
                </c:pt>
                <c:pt idx="432">
                  <c:v>8.928195163500785E-2</c:v>
                </c:pt>
                <c:pt idx="433">
                  <c:v>8.979903437969039E-2</c:v>
                </c:pt>
                <c:pt idx="434">
                  <c:v>9.0856475777630674E-2</c:v>
                </c:pt>
                <c:pt idx="435">
                  <c:v>9.0869121443066359E-2</c:v>
                </c:pt>
                <c:pt idx="436">
                  <c:v>9.0895949303968493E-2</c:v>
                </c:pt>
                <c:pt idx="437">
                  <c:v>9.1461751782307754E-2</c:v>
                </c:pt>
                <c:pt idx="438">
                  <c:v>9.1515554913648156E-2</c:v>
                </c:pt>
                <c:pt idx="439">
                  <c:v>9.2107034686923495E-2</c:v>
                </c:pt>
                <c:pt idx="440">
                  <c:v>9.2186343450824548E-2</c:v>
                </c:pt>
                <c:pt idx="441">
                  <c:v>9.2280243205622892E-2</c:v>
                </c:pt>
                <c:pt idx="442">
                  <c:v>9.290838060073936E-2</c:v>
                </c:pt>
                <c:pt idx="443">
                  <c:v>9.3027082404181005E-2</c:v>
                </c:pt>
                <c:pt idx="444">
                  <c:v>9.3678735983998784E-2</c:v>
                </c:pt>
                <c:pt idx="445">
                  <c:v>9.3823773129706911E-2</c:v>
                </c:pt>
                <c:pt idx="446">
                  <c:v>9.398081556834148E-2</c:v>
                </c:pt>
                <c:pt idx="447">
                  <c:v>9.3636103693741202E-2</c:v>
                </c:pt>
                <c:pt idx="448">
                  <c:v>9.3820826375184296E-2</c:v>
                </c:pt>
                <c:pt idx="449">
                  <c:v>9.4017202117501419E-2</c:v>
                </c:pt>
                <c:pt idx="450">
                  <c:v>9.4227114787846844E-2</c:v>
                </c:pt>
                <c:pt idx="451">
                  <c:v>9.444944767871144E-2</c:v>
                </c:pt>
                <c:pt idx="452">
                  <c:v>9.4683084540856832E-2</c:v>
                </c:pt>
                <c:pt idx="453">
                  <c:v>9.4929909794280398E-2</c:v>
                </c:pt>
                <c:pt idx="454">
                  <c:v>9.4680292556460266E-2</c:v>
                </c:pt>
                <c:pt idx="455">
                  <c:v>9.4951160699605186E-2</c:v>
                </c:pt>
                <c:pt idx="456">
                  <c:v>9.5234869082817308E-2</c:v>
                </c:pt>
                <c:pt idx="457">
                  <c:v>9.5530303479093526E-2</c:v>
                </c:pt>
                <c:pt idx="458">
                  <c:v>9.5836348104758162E-2</c:v>
                </c:pt>
                <c:pt idx="459">
                  <c:v>9.5651430595606879E-2</c:v>
                </c:pt>
                <c:pt idx="460">
                  <c:v>9.5982360346902329E-2</c:v>
                </c:pt>
                <c:pt idx="461">
                  <c:v>9.5822113477695314E-2</c:v>
                </c:pt>
                <c:pt idx="462">
                  <c:v>9.5175596677098628E-2</c:v>
                </c:pt>
                <c:pt idx="463">
                  <c:v>9.5542994782428892E-2</c:v>
                </c:pt>
                <c:pt idx="464">
                  <c:v>9.5920314823616959E-2</c:v>
                </c:pt>
                <c:pt idx="465">
                  <c:v>9.5812018507102525E-2</c:v>
                </c:pt>
                <c:pt idx="466">
                  <c:v>9.5716419362299465E-2</c:v>
                </c:pt>
                <c:pt idx="467">
                  <c:v>9.6127822600563739E-2</c:v>
                </c:pt>
                <c:pt idx="468">
                  <c:v>9.605626972708059E-2</c:v>
                </c:pt>
                <c:pt idx="469">
                  <c:v>9.5997066819744958E-2</c:v>
                </c:pt>
                <c:pt idx="470">
                  <c:v>9.6441525917664084E-2</c:v>
                </c:pt>
                <c:pt idx="471">
                  <c:v>9.6405679820615653E-2</c:v>
                </c:pt>
                <c:pt idx="472">
                  <c:v>9.6381838593678992E-2</c:v>
                </c:pt>
                <c:pt idx="473">
                  <c:v>9.636888666411636E-2</c:v>
                </c:pt>
                <c:pt idx="474">
                  <c:v>9.5880258031784571E-2</c:v>
                </c:pt>
                <c:pt idx="475">
                  <c:v>9.5892732094845723E-2</c:v>
                </c:pt>
                <c:pt idx="476">
                  <c:v>9.5915750515635168E-2</c:v>
                </c:pt>
                <c:pt idx="477">
                  <c:v>9.6436681923909529E-2</c:v>
                </c:pt>
                <c:pt idx="478">
                  <c:v>9.5513471970206432E-2</c:v>
                </c:pt>
                <c:pt idx="479">
                  <c:v>9.5571426689831984E-2</c:v>
                </c:pt>
                <c:pt idx="480">
                  <c:v>9.5158948921204356E-2</c:v>
                </c:pt>
                <c:pt idx="481">
                  <c:v>9.5240950707763616E-2</c:v>
                </c:pt>
                <c:pt idx="482">
                  <c:v>9.4852260052903148E-2</c:v>
                </c:pt>
                <c:pt idx="483">
                  <c:v>9.5436425089973298E-2</c:v>
                </c:pt>
                <c:pt idx="484">
                  <c:v>9.5072079577555257E-2</c:v>
                </c:pt>
                <c:pt idx="485">
                  <c:v>9.5196829723620091E-2</c:v>
                </c:pt>
                <c:pt idx="486">
                  <c:v>9.485635490479627E-2</c:v>
                </c:pt>
                <c:pt idx="487">
                  <c:v>9.4528132748578741E-2</c:v>
                </c:pt>
                <c:pt idx="488">
                  <c:v>9.4211048293266764E-2</c:v>
                </c:pt>
                <c:pt idx="489">
                  <c:v>9.4380693483386402E-2</c:v>
                </c:pt>
                <c:pt idx="490">
                  <c:v>9.4560300940341513E-2</c:v>
                </c:pt>
                <c:pt idx="491">
                  <c:v>9.4276995816307441E-2</c:v>
                </c:pt>
                <c:pt idx="492">
                  <c:v>9.4006372699980467E-2</c:v>
                </c:pt>
                <c:pt idx="493">
                  <c:v>9.3277495292767298E-2</c:v>
                </c:pt>
                <c:pt idx="494">
                  <c:v>9.3029862738181812E-2</c:v>
                </c:pt>
                <c:pt idx="495">
                  <c:v>9.2794570117685105E-2</c:v>
                </c:pt>
                <c:pt idx="496">
                  <c:v>9.257050397534794E-2</c:v>
                </c:pt>
                <c:pt idx="497">
                  <c:v>9.2356551677228005E-2</c:v>
                </c:pt>
                <c:pt idx="498">
                  <c:v>9.2154600374783513E-2</c:v>
                </c:pt>
                <c:pt idx="499">
                  <c:v>9.149950850381483E-2</c:v>
                </c:pt>
                <c:pt idx="500">
                  <c:v>9.1782252748907389E-2</c:v>
                </c:pt>
                <c:pt idx="501">
                  <c:v>9.1612632608796929E-2</c:v>
                </c:pt>
                <c:pt idx="502">
                  <c:v>9.0992413383647275E-2</c:v>
                </c:pt>
                <c:pt idx="503">
                  <c:v>9.0843745664740183E-2</c:v>
                </c:pt>
                <c:pt idx="504">
                  <c:v>9.0247168748279094E-2</c:v>
                </c:pt>
                <c:pt idx="505">
                  <c:v>9.0121004493298074E-2</c:v>
                </c:pt>
                <c:pt idx="506">
                  <c:v>9.0003947920356708E-2</c:v>
                </c:pt>
                <c:pt idx="507">
                  <c:v>8.9441508804858572E-2</c:v>
                </c:pt>
                <c:pt idx="508">
                  <c:v>8.8435430926232073E-2</c:v>
                </c:pt>
                <c:pt idx="509">
                  <c:v>8.8350883839368066E-2</c:v>
                </c:pt>
                <c:pt idx="510">
                  <c:v>8.8277001682164347E-2</c:v>
                </c:pt>
                <c:pt idx="511">
                  <c:v>8.7760090795695689E-2</c:v>
                </c:pt>
                <c:pt idx="512">
                  <c:v>8.725351755921551E-2</c:v>
                </c:pt>
                <c:pt idx="513">
                  <c:v>8.6759169713404916E-2</c:v>
                </c:pt>
                <c:pt idx="514">
                  <c:v>8.6275934878906391E-2</c:v>
                </c:pt>
                <c:pt idx="515">
                  <c:v>8.6251511242835477E-2</c:v>
                </c:pt>
                <c:pt idx="516">
                  <c:v>8.5789226842776678E-2</c:v>
                </c:pt>
                <c:pt idx="517">
                  <c:v>8.4890791636675011E-2</c:v>
                </c:pt>
                <c:pt idx="518">
                  <c:v>8.4449893197408699E-2</c:v>
                </c:pt>
                <c:pt idx="519">
                  <c:v>8.4020551572055346E-2</c:v>
                </c:pt>
                <c:pt idx="520">
                  <c:v>8.4045777763532392E-2</c:v>
                </c:pt>
                <c:pt idx="521">
                  <c:v>8.3192096330761522E-2</c:v>
                </c:pt>
                <c:pt idx="522">
                  <c:v>8.2793762851665065E-2</c:v>
                </c:pt>
                <c:pt idx="523">
                  <c:v>8.1964221861300146E-2</c:v>
                </c:pt>
                <c:pt idx="524">
                  <c:v>8.1585941877731827E-2</c:v>
                </c:pt>
                <c:pt idx="525">
                  <c:v>8.077909317990617E-2</c:v>
                </c:pt>
                <c:pt idx="526">
                  <c:v>8.042242521427756E-2</c:v>
                </c:pt>
                <c:pt idx="527">
                  <c:v>7.9636823188766748E-2</c:v>
                </c:pt>
                <c:pt idx="528">
                  <c:v>7.8863640768191523E-2</c:v>
                </c:pt>
                <c:pt idx="529">
                  <c:v>7.8537529523750038E-2</c:v>
                </c:pt>
                <c:pt idx="530">
                  <c:v>7.8219770926913235E-2</c:v>
                </c:pt>
                <c:pt idx="531">
                  <c:v>7.7478334672647975E-2</c:v>
                </c:pt>
                <c:pt idx="532">
                  <c:v>7.6747874605345601E-2</c:v>
                </c:pt>
                <c:pt idx="533">
                  <c:v>7.6459365922396216E-2</c:v>
                </c:pt>
                <c:pt idx="534">
                  <c:v>7.5749609984606892E-2</c:v>
                </c:pt>
                <c:pt idx="535">
                  <c:v>7.5050500650000629E-2</c:v>
                </c:pt>
                <c:pt idx="536">
                  <c:v>7.436092767785496E-2</c:v>
                </c:pt>
                <c:pt idx="537">
                  <c:v>7.3254354410468459E-2</c:v>
                </c:pt>
                <c:pt idx="538">
                  <c:v>7.3014953984279707E-2</c:v>
                </c:pt>
                <c:pt idx="539">
                  <c:v>7.2356335116422699E-2</c:v>
                </c:pt>
                <c:pt idx="540">
                  <c:v>7.0857420538640525E-2</c:v>
                </c:pt>
                <c:pt idx="541">
                  <c:v>7.0221707497007735E-2</c:v>
                </c:pt>
                <c:pt idx="542">
                  <c:v>7.0018761370162608E-2</c:v>
                </c:pt>
                <c:pt idx="543">
                  <c:v>6.8978817973541773E-2</c:v>
                </c:pt>
                <c:pt idx="544">
                  <c:v>6.8372426396794417E-2</c:v>
                </c:pt>
                <c:pt idx="545">
                  <c:v>6.7353417272213889E-2</c:v>
                </c:pt>
                <c:pt idx="546">
                  <c:v>6.6766937271954596E-2</c:v>
                </c:pt>
                <c:pt idx="547">
                  <c:v>6.6189802035869327E-2</c:v>
                </c:pt>
                <c:pt idx="548">
                  <c:v>6.5202424388680846E-2</c:v>
                </c:pt>
                <c:pt idx="549">
                  <c:v>6.4226971470658256E-2</c:v>
                </c:pt>
                <c:pt idx="550">
                  <c:v>6.3679023233778942E-2</c:v>
                </c:pt>
                <c:pt idx="551">
                  <c:v>6.2723197396778119E-2</c:v>
                </c:pt>
                <c:pt idx="552">
                  <c:v>6.1778969585758681E-2</c:v>
                </c:pt>
                <c:pt idx="553">
                  <c:v>6.0845230900249625E-2</c:v>
                </c:pt>
                <c:pt idx="554">
                  <c:v>6.0333998045208226E-2</c:v>
                </c:pt>
                <c:pt idx="555">
                  <c:v>5.942002489086029E-2</c:v>
                </c:pt>
                <c:pt idx="556">
                  <c:v>5.8516217969623696E-2</c:v>
                </c:pt>
                <c:pt idx="557">
                  <c:v>5.7211003828133933E-2</c:v>
                </c:pt>
                <c:pt idx="558">
                  <c:v>5.6328090627007832E-2</c:v>
                </c:pt>
                <c:pt idx="559">
                  <c:v>5.5455020650196474E-2</c:v>
                </c:pt>
                <c:pt idx="560">
                  <c:v>5.4182869056092819E-2</c:v>
                </c:pt>
                <c:pt idx="561">
                  <c:v>5.3736984823360423E-2</c:v>
                </c:pt>
                <c:pt idx="562">
                  <c:v>5.2892806789033742E-2</c:v>
                </c:pt>
                <c:pt idx="563">
                  <c:v>5.1651862328252918E-2</c:v>
                </c:pt>
                <c:pt idx="564">
                  <c:v>5.0422982589818588E-2</c:v>
                </c:pt>
                <c:pt idx="565">
                  <c:v>5.0011929670824351E-2</c:v>
                </c:pt>
                <c:pt idx="566">
                  <c:v>4.8802105546520202E-2</c:v>
                </c:pt>
                <c:pt idx="567">
                  <c:v>4.7604022206489738E-2</c:v>
                </c:pt>
                <c:pt idx="568">
                  <c:v>4.6817394372968835E-2</c:v>
                </c:pt>
                <c:pt idx="569">
                  <c:v>4.5638599400132485E-2</c:v>
                </c:pt>
                <c:pt idx="570">
                  <c:v>4.4471222899269414E-2</c:v>
                </c:pt>
                <c:pt idx="571">
                  <c:v>4.3314157423405497E-2</c:v>
                </c:pt>
                <c:pt idx="572">
                  <c:v>4.2563654773731585E-2</c:v>
                </c:pt>
                <c:pt idx="573">
                  <c:v>4.1426028216310584E-2</c:v>
                </c:pt>
                <c:pt idx="574">
                  <c:v>3.9902759813395861E-2</c:v>
                </c:pt>
                <c:pt idx="575">
                  <c:v>3.9179647530424688E-2</c:v>
                </c:pt>
                <c:pt idx="576">
                  <c:v>3.8071681765484477E-2</c:v>
                </c:pt>
                <c:pt idx="577">
                  <c:v>3.6580332044160002E-2</c:v>
                </c:pt>
                <c:pt idx="578">
                  <c:v>3.5491468491974487E-2</c:v>
                </c:pt>
                <c:pt idx="579">
                  <c:v>3.4413069889452252E-2</c:v>
                </c:pt>
                <c:pt idx="580">
                  <c:v>3.3344031961175524E-2</c:v>
                </c:pt>
                <c:pt idx="581">
                  <c:v>3.1893604442181811E-2</c:v>
                </c:pt>
                <c:pt idx="582">
                  <c:v>3.1232622940717825E-2</c:v>
                </c:pt>
                <c:pt idx="583">
                  <c:v>2.9803095830362558E-2</c:v>
                </c:pt>
                <c:pt idx="584">
                  <c:v>2.838320988026144E-2</c:v>
                </c:pt>
                <c:pt idx="585">
                  <c:v>2.7361113511533475E-2</c:v>
                </c:pt>
                <c:pt idx="586">
                  <c:v>2.6347756581368564E-2</c:v>
                </c:pt>
                <c:pt idx="587">
                  <c:v>2.495746699687551E-2</c:v>
                </c:pt>
                <c:pt idx="588">
                  <c:v>2.3962124169409904E-2</c:v>
                </c:pt>
                <c:pt idx="589">
                  <c:v>2.2592325218997011E-2</c:v>
                </c:pt>
                <c:pt idx="590">
                  <c:v>2.1231534937413699E-2</c:v>
                </c:pt>
                <c:pt idx="591">
                  <c:v>1.950043595315698E-2</c:v>
                </c:pt>
                <c:pt idx="592">
                  <c:v>1.8161184389416718E-2</c:v>
                </c:pt>
                <c:pt idx="593">
                  <c:v>1.6830626280707861E-2</c:v>
                </c:pt>
                <c:pt idx="594">
                  <c:v>1.5889367849791114E-2</c:v>
                </c:pt>
                <c:pt idx="595">
                  <c:v>1.4200175244859281E-2</c:v>
                </c:pt>
                <c:pt idx="596">
                  <c:v>1.2898075598610781E-2</c:v>
                </c:pt>
                <c:pt idx="597">
                  <c:v>1.1606255996925441E-2</c:v>
                </c:pt>
                <c:pt idx="598">
                  <c:v>1.0323613881110916E-2</c:v>
                </c:pt>
                <c:pt idx="599">
                  <c:v>8.674478990316814E-3</c:v>
                </c:pt>
                <c:pt idx="600">
                  <c:v>2.2676892994066833E-3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494-4BD7-A0B3-B59481ABF3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63806112"/>
        <c:axId val="2063805632"/>
      </c:scatterChart>
      <c:valAx>
        <c:axId val="20638061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63805632"/>
        <c:crosses val="autoZero"/>
        <c:crossBetween val="midCat"/>
      </c:valAx>
      <c:valAx>
        <c:axId val="2063805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638061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val>
            <c:numRef>
              <c:f>Cal_Error!#REF!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Cal_Error!#REF!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0-8667-4728-AFF2-45B39A3C8B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63808032"/>
        <c:axId val="2063807552"/>
      </c:lineChart>
      <c:catAx>
        <c:axId val="206380803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63807552"/>
        <c:crosses val="autoZero"/>
        <c:auto val="1"/>
        <c:lblAlgn val="ctr"/>
        <c:lblOffset val="100"/>
        <c:noMultiLvlLbl val="0"/>
      </c:catAx>
      <c:valAx>
        <c:axId val="2063807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6380803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23812</xdr:colOff>
      <xdr:row>1</xdr:row>
      <xdr:rowOff>14287</xdr:rowOff>
    </xdr:from>
    <xdr:to>
      <xdr:col>19</xdr:col>
      <xdr:colOff>328612</xdr:colOff>
      <xdr:row>14</xdr:row>
      <xdr:rowOff>33337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137B5BF-FF63-F3AC-BFFB-6E7BC4D0739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28575</xdr:colOff>
      <xdr:row>14</xdr:row>
      <xdr:rowOff>61912</xdr:rowOff>
    </xdr:from>
    <xdr:to>
      <xdr:col>19</xdr:col>
      <xdr:colOff>333375</xdr:colOff>
      <xdr:row>27</xdr:row>
      <xdr:rowOff>80962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B6B6A5D-B0CF-8194-2515-6ADB0F532D5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38100</xdr:colOff>
      <xdr:row>28</xdr:row>
      <xdr:rowOff>23812</xdr:rowOff>
    </xdr:from>
    <xdr:to>
      <xdr:col>19</xdr:col>
      <xdr:colOff>342900</xdr:colOff>
      <xdr:row>41</xdr:row>
      <xdr:rowOff>42862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CDFA0159-7B79-4646-F474-F06CC91B693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E900C0-C6A9-4B21-A2F5-AAE16FDD1C6A}">
  <dimension ref="A1"/>
  <sheetViews>
    <sheetView workbookViewId="0"/>
  </sheetViews>
  <sheetFormatPr defaultRowHeight="15" x14ac:dyDescent="0.25"/>
  <sheetData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11A383-ED84-4AD0-97EF-5ABAC74CC455}">
  <dimension ref="A1:K602"/>
  <sheetViews>
    <sheetView tabSelected="1" workbookViewId="0">
      <pane ySplit="1" topLeftCell="A2" activePane="bottomLeft" state="frozen"/>
      <selection pane="bottomLeft" activeCell="K17" sqref="K17"/>
    </sheetView>
  </sheetViews>
  <sheetFormatPr defaultRowHeight="15" x14ac:dyDescent="0.25"/>
  <cols>
    <col min="1" max="1" width="9.140625" style="5"/>
    <col min="2" max="2" width="14.28515625" style="5" customWidth="1"/>
    <col min="3" max="3" width="11.42578125" style="5" customWidth="1"/>
    <col min="4" max="4" width="11.42578125" customWidth="1"/>
    <col min="5" max="5" width="9.140625" style="19"/>
    <col min="6" max="6" width="18.42578125" style="19" customWidth="1"/>
    <col min="7" max="8" width="18.42578125" customWidth="1"/>
    <col min="9" max="9" width="14.85546875" style="19" customWidth="1"/>
    <col min="10" max="10" width="16.5703125" customWidth="1"/>
    <col min="11" max="11" width="13.5703125" customWidth="1"/>
  </cols>
  <sheetData>
    <row r="1" spans="1:11" x14ac:dyDescent="0.25">
      <c r="A1" s="5" t="s">
        <v>0</v>
      </c>
      <c r="B1" s="5" t="s">
        <v>71</v>
      </c>
      <c r="C1" s="5" t="s">
        <v>72</v>
      </c>
      <c r="E1" s="19" t="s">
        <v>73</v>
      </c>
      <c r="F1" s="19" t="s">
        <v>74</v>
      </c>
      <c r="I1" s="19" t="s">
        <v>75</v>
      </c>
    </row>
    <row r="2" spans="1:11" x14ac:dyDescent="0.25">
      <c r="A2" s="5" cm="1">
        <f t="array" ref="A2:A602">_xlfn.SEQUENCE(601,1,0,1)</f>
        <v>0</v>
      </c>
      <c r="B2" s="5">
        <f>0.1*A2+20</f>
        <v>20</v>
      </c>
      <c r="C2" s="21">
        <f>ROUND(1/12*B2-5/3,6)</f>
        <v>0</v>
      </c>
      <c r="D2" s="16"/>
      <c r="E2" s="19">
        <f>(ADC!I2+5/3)/(1/12)</f>
        <v>20.159847452211896</v>
      </c>
      <c r="F2" s="20">
        <f>ABS(B2-E2)/B2</f>
        <v>7.9923726105947772E-3</v>
      </c>
      <c r="G2" s="17" t="s">
        <v>76</v>
      </c>
      <c r="H2" s="17">
        <f>MAX(F:F)</f>
        <v>3.767485794817315E-2</v>
      </c>
      <c r="I2" s="19">
        <f>ABS(C2-ADC!I2)</f>
        <v>1.3320621017657727E-2</v>
      </c>
      <c r="J2" s="18" t="s">
        <v>78</v>
      </c>
      <c r="K2" s="18">
        <f>MAX(I:I)</f>
        <v>9.9134977986247819E-2</v>
      </c>
    </row>
    <row r="3" spans="1:11" x14ac:dyDescent="0.25">
      <c r="A3" s="5">
        <v>1</v>
      </c>
      <c r="B3" s="5">
        <f t="shared" ref="B3:B66" si="0">0.1*A3+20</f>
        <v>20.100000000000001</v>
      </c>
      <c r="C3" s="21">
        <f t="shared" ref="C3:C66" si="1">ROUND(1/12*B3-5/3,6)</f>
        <v>8.3330000000000001E-3</v>
      </c>
      <c r="D3" s="16"/>
      <c r="E3" s="19">
        <f>(ADC!I3+5/3)/(1/12)</f>
        <v>20.239456183585826</v>
      </c>
      <c r="F3" s="20">
        <f>ABS(B3-E3)/B3</f>
        <v>6.938118586359442E-3</v>
      </c>
      <c r="G3" s="17" t="s">
        <v>77</v>
      </c>
      <c r="H3" s="17">
        <f>MIN(F:F)</f>
        <v>2.8376795132122363E-5</v>
      </c>
      <c r="I3" s="19">
        <f>ABS(C3-ADC!I3)</f>
        <v>1.162168196548553E-2</v>
      </c>
      <c r="J3" s="18" t="s">
        <v>79</v>
      </c>
      <c r="K3" s="18">
        <f>MIN(I:I)</f>
        <v>4.9283304936184602E-5</v>
      </c>
    </row>
    <row r="4" spans="1:11" x14ac:dyDescent="0.25">
      <c r="A4" s="5">
        <v>2</v>
      </c>
      <c r="B4" s="5">
        <f t="shared" si="0"/>
        <v>20.2</v>
      </c>
      <c r="C4" s="21">
        <f t="shared" si="1"/>
        <v>1.6667000000000001E-2</v>
      </c>
      <c r="D4" s="16"/>
      <c r="E4" s="19">
        <f>(ADC!I4+5/3)/(1/12)</f>
        <v>20.307708818373879</v>
      </c>
      <c r="F4" s="20">
        <f>ABS(B4-E4)/B4</f>
        <v>5.3321197214791817E-3</v>
      </c>
      <c r="G4" s="2"/>
      <c r="H4" s="2"/>
      <c r="I4" s="19">
        <f>ABS(C4-ADC!I4)</f>
        <v>8.9754015311565745E-3</v>
      </c>
    </row>
    <row r="5" spans="1:11" x14ac:dyDescent="0.25">
      <c r="A5" s="5">
        <v>3</v>
      </c>
      <c r="B5" s="5">
        <f t="shared" si="0"/>
        <v>20.3</v>
      </c>
      <c r="C5" s="21">
        <f t="shared" si="1"/>
        <v>2.5000000000000001E-2</v>
      </c>
      <c r="D5" s="16"/>
      <c r="E5" s="19">
        <f>(ADC!I5+5/3)/(1/12)</f>
        <v>20.387968909279618</v>
      </c>
      <c r="F5" s="20">
        <f>ABS(B5-E5)/B5</f>
        <v>4.3334438068776838E-3</v>
      </c>
      <c r="G5" s="2"/>
      <c r="H5" s="2"/>
      <c r="I5" s="19">
        <f>ABS(C5-ADC!I5)</f>
        <v>7.3307424399679383E-3</v>
      </c>
    </row>
    <row r="6" spans="1:11" x14ac:dyDescent="0.25">
      <c r="A6" s="5">
        <v>4</v>
      </c>
      <c r="B6" s="5">
        <f t="shared" si="0"/>
        <v>20.399999999999999</v>
      </c>
      <c r="C6" s="21">
        <f t="shared" si="1"/>
        <v>3.3333000000000002E-2</v>
      </c>
      <c r="D6" s="16"/>
      <c r="E6" s="19">
        <f>(ADC!I6+5/3)/(1/12)</f>
        <v>20.45689193399387</v>
      </c>
      <c r="F6" s="20">
        <f>ABS(B6-E6)/B6</f>
        <v>2.7888202938172028E-3</v>
      </c>
      <c r="G6" s="2"/>
      <c r="H6" s="2"/>
      <c r="I6" s="19">
        <f>ABS(C6-ADC!I6)</f>
        <v>4.7413278328223424E-3</v>
      </c>
    </row>
    <row r="7" spans="1:11" x14ac:dyDescent="0.25">
      <c r="A7" s="5">
        <v>5</v>
      </c>
      <c r="B7" s="5">
        <f t="shared" si="0"/>
        <v>20.5</v>
      </c>
      <c r="C7" s="21">
        <f t="shared" si="1"/>
        <v>4.1667000000000003E-2</v>
      </c>
      <c r="D7" s="16"/>
      <c r="E7" s="19">
        <f>(ADC!I7+5/3)/(1/12)</f>
        <v>20.537803144556765</v>
      </c>
      <c r="F7" s="20">
        <f>ABS(B7-E7)/B7</f>
        <v>1.8440558320373186E-3</v>
      </c>
      <c r="G7" s="2"/>
      <c r="H7" s="2"/>
      <c r="I7" s="19">
        <f>ABS(C7-ADC!I7)</f>
        <v>3.1499287130634934E-3</v>
      </c>
    </row>
    <row r="8" spans="1:11" x14ac:dyDescent="0.25">
      <c r="A8" s="5">
        <v>6</v>
      </c>
      <c r="B8" s="5">
        <f t="shared" si="0"/>
        <v>20.6</v>
      </c>
      <c r="C8" s="21">
        <f t="shared" si="1"/>
        <v>0.05</v>
      </c>
      <c r="D8" s="16"/>
      <c r="E8" s="19">
        <f>(ADC!I8+5/3)/(1/12)</f>
        <v>20.619034998917343</v>
      </c>
      <c r="F8" s="20">
        <f>ABS(B8-E8)/B8</f>
        <v>9.2402907365734383E-4</v>
      </c>
      <c r="G8" s="2"/>
      <c r="H8" s="2"/>
      <c r="I8" s="19">
        <f>ABS(C8-ADC!I8)</f>
        <v>1.5862499097782506E-3</v>
      </c>
    </row>
    <row r="9" spans="1:11" x14ac:dyDescent="0.25">
      <c r="A9" s="5">
        <v>7</v>
      </c>
      <c r="B9" s="5">
        <f t="shared" si="0"/>
        <v>20.7</v>
      </c>
      <c r="C9" s="21">
        <f t="shared" si="1"/>
        <v>5.8333000000000003E-2</v>
      </c>
      <c r="D9" s="16"/>
      <c r="E9" s="19">
        <f>(ADC!I9+5/3)/(1/12)</f>
        <v>20.700587399659234</v>
      </c>
      <c r="F9" s="20">
        <f>ABS(B9-E9)/B9</f>
        <v>2.8376795132122363E-5</v>
      </c>
      <c r="G9" s="2"/>
      <c r="H9" s="2"/>
      <c r="I9" s="19">
        <f>ABS(C9-ADC!I9)</f>
        <v>4.9283304936184602E-5</v>
      </c>
    </row>
    <row r="10" spans="1:11" x14ac:dyDescent="0.25">
      <c r="A10" s="5">
        <v>8</v>
      </c>
      <c r="B10" s="5">
        <f t="shared" si="0"/>
        <v>20.8</v>
      </c>
      <c r="C10" s="21">
        <f t="shared" si="1"/>
        <v>6.6667000000000004E-2</v>
      </c>
      <c r="D10" s="16"/>
      <c r="E10" s="19">
        <f>(ADC!I10+5/3)/(1/12)</f>
        <v>20.782460242033718</v>
      </c>
      <c r="F10" s="20">
        <f>ABS(B10-E10)/B10</f>
        <v>8.4325759453282784E-4</v>
      </c>
      <c r="G10" s="2"/>
      <c r="H10" s="2"/>
      <c r="I10" s="19">
        <f>ABS(C10-ADC!I10)</f>
        <v>1.4619798305237353E-3</v>
      </c>
    </row>
    <row r="11" spans="1:11" x14ac:dyDescent="0.25">
      <c r="A11" s="5">
        <v>9</v>
      </c>
      <c r="B11" s="5">
        <f t="shared" si="0"/>
        <v>20.9</v>
      </c>
      <c r="C11" s="21">
        <f t="shared" si="1"/>
        <v>7.4999999999999997E-2</v>
      </c>
      <c r="D11" s="16"/>
      <c r="E11" s="19">
        <f>(ADC!I11+5/3)/(1/12)</f>
        <v>20.864653420943018</v>
      </c>
      <c r="F11" s="20">
        <f>ABS(B11-E11)/B11</f>
        <v>1.6912238783244348E-3</v>
      </c>
      <c r="G11" s="2"/>
      <c r="H11" s="2"/>
      <c r="I11" s="19">
        <f>ABS(C11-ADC!I11)</f>
        <v>2.9455482547488393E-3</v>
      </c>
    </row>
    <row r="12" spans="1:11" x14ac:dyDescent="0.25">
      <c r="A12" s="5">
        <v>10</v>
      </c>
      <c r="B12" s="5">
        <f t="shared" si="0"/>
        <v>21</v>
      </c>
      <c r="C12" s="21">
        <f t="shared" si="1"/>
        <v>8.3333000000000004E-2</v>
      </c>
      <c r="D12" s="16"/>
      <c r="E12" s="19">
        <f>(ADC!I12+5/3)/(1/12)</f>
        <v>20.947166817671835</v>
      </c>
      <c r="F12" s="20">
        <f>ABS(B12-E12)/B12</f>
        <v>2.5158658251506999E-3</v>
      </c>
      <c r="G12" s="2"/>
      <c r="H12" s="2"/>
      <c r="I12" s="19">
        <f>ABS(C12-ADC!I12)</f>
        <v>4.4024318606803725E-3</v>
      </c>
    </row>
    <row r="13" spans="1:11" x14ac:dyDescent="0.25">
      <c r="A13" s="5">
        <v>11</v>
      </c>
      <c r="B13" s="5">
        <f t="shared" si="0"/>
        <v>21.1</v>
      </c>
      <c r="C13" s="21">
        <f t="shared" si="1"/>
        <v>9.1666999999999998E-2</v>
      </c>
      <c r="D13" s="16"/>
      <c r="E13" s="19">
        <f>(ADC!I13+5/3)/(1/12)</f>
        <v>21.018410147921216</v>
      </c>
      <c r="F13" s="20">
        <f>ABS(B13-E13)/B13</f>
        <v>3.8668176340656605E-3</v>
      </c>
      <c r="G13" s="2"/>
      <c r="H13" s="2"/>
      <c r="I13" s="19">
        <f>ABS(C13-ADC!I13)</f>
        <v>6.7994876732319909E-3</v>
      </c>
    </row>
    <row r="14" spans="1:11" x14ac:dyDescent="0.25">
      <c r="A14" s="5">
        <v>12</v>
      </c>
      <c r="B14" s="5">
        <f t="shared" si="0"/>
        <v>21.2</v>
      </c>
      <c r="C14" s="21">
        <f t="shared" si="1"/>
        <v>0.1</v>
      </c>
      <c r="D14" s="16"/>
      <c r="E14" s="19">
        <f>(ADC!I14+5/3)/(1/12)</f>
        <v>21.101573369613455</v>
      </c>
      <c r="F14" s="20">
        <f>ABS(B14-E14)/B14</f>
        <v>4.6427655842709737E-3</v>
      </c>
      <c r="G14" s="2"/>
      <c r="H14" s="2"/>
      <c r="I14" s="19">
        <f>ABS(C14-ADC!I14)</f>
        <v>8.2022191988789239E-3</v>
      </c>
    </row>
    <row r="15" spans="1:11" x14ac:dyDescent="0.25">
      <c r="A15" s="5">
        <v>13</v>
      </c>
      <c r="B15" s="5">
        <f t="shared" si="0"/>
        <v>21.3</v>
      </c>
      <c r="C15" s="21">
        <f t="shared" si="1"/>
        <v>0.108333</v>
      </c>
      <c r="D15" s="16"/>
      <c r="E15" s="19">
        <f>(ADC!I15+5/3)/(1/12)</f>
        <v>21.185056454376284</v>
      </c>
      <c r="F15" s="20">
        <f>ABS(B15-E15)/B15</f>
        <v>5.3964105926627755E-3</v>
      </c>
      <c r="G15" s="2"/>
      <c r="H15" s="2"/>
      <c r="I15" s="19">
        <f>ABS(C15-ADC!I15)</f>
        <v>9.5782954686431665E-3</v>
      </c>
    </row>
    <row r="16" spans="1:11" x14ac:dyDescent="0.25">
      <c r="A16" s="5">
        <v>14</v>
      </c>
      <c r="B16" s="5">
        <f t="shared" si="0"/>
        <v>21.4</v>
      </c>
      <c r="C16" s="21">
        <f t="shared" si="1"/>
        <v>0.11666700000000001</v>
      </c>
      <c r="D16" s="16"/>
      <c r="E16" s="19">
        <f>(ADC!I16+5/3)/(1/12)</f>
        <v>21.2688592621958</v>
      </c>
      <c r="F16" s="20">
        <f>ABS(B16-E16)/B16</f>
        <v>6.1280718600092736E-3</v>
      </c>
      <c r="G16" s="2"/>
      <c r="H16" s="2"/>
      <c r="I16" s="19">
        <f>ABS(C16-ADC!I16)</f>
        <v>1.0928728150350175E-2</v>
      </c>
    </row>
    <row r="17" spans="1:9" x14ac:dyDescent="0.25">
      <c r="A17" s="5">
        <v>15</v>
      </c>
      <c r="B17" s="5">
        <f t="shared" si="0"/>
        <v>21.5</v>
      </c>
      <c r="C17" s="21">
        <f t="shared" si="1"/>
        <v>0.125</v>
      </c>
      <c r="D17" s="16"/>
      <c r="E17" s="19">
        <f>(ADC!I17+5/3)/(1/12)</f>
        <v>21.352981651660887</v>
      </c>
      <c r="F17" s="20">
        <f>ABS(B17-E17)/B17</f>
        <v>6.8380627134471258E-3</v>
      </c>
      <c r="G17" s="2"/>
      <c r="H17" s="2"/>
      <c r="I17" s="19">
        <f>ABS(C17-ADC!I17)</f>
        <v>1.2251529028259669E-2</v>
      </c>
    </row>
    <row r="18" spans="1:9" x14ac:dyDescent="0.25">
      <c r="A18" s="5">
        <v>16</v>
      </c>
      <c r="B18" s="5">
        <f t="shared" si="0"/>
        <v>21.6</v>
      </c>
      <c r="C18" s="21">
        <f t="shared" si="1"/>
        <v>0.13333300000000001</v>
      </c>
      <c r="D18" s="16"/>
      <c r="E18" s="19">
        <f>(ADC!I18+5/3)/(1/12)</f>
        <v>21.425882325598536</v>
      </c>
      <c r="F18" s="20">
        <f>ABS(B18-E18)/B18</f>
        <v>8.0610034445122766E-3</v>
      </c>
      <c r="G18" s="2"/>
      <c r="H18" s="2"/>
      <c r="I18" s="19">
        <f>ABS(C18-ADC!I18)</f>
        <v>1.4509472866788761E-2</v>
      </c>
    </row>
    <row r="19" spans="1:9" x14ac:dyDescent="0.25">
      <c r="A19" s="5">
        <v>17</v>
      </c>
      <c r="B19" s="5">
        <f t="shared" si="0"/>
        <v>21.7</v>
      </c>
      <c r="C19" s="21">
        <f t="shared" si="1"/>
        <v>0.14166699999999999</v>
      </c>
      <c r="D19" s="16"/>
      <c r="E19" s="19">
        <f>(ADC!I19+5/3)/(1/12)</f>
        <v>21.510653285137725</v>
      </c>
      <c r="F19" s="20">
        <f>ABS(B19-E19)/B19</f>
        <v>8.7256550627776378E-3</v>
      </c>
      <c r="G19" s="2"/>
      <c r="H19" s="2"/>
      <c r="I19" s="19">
        <f>ABS(C19-ADC!I19)</f>
        <v>1.5779226238523236E-2</v>
      </c>
    </row>
    <row r="20" spans="1:9" x14ac:dyDescent="0.25">
      <c r="A20" s="5">
        <v>18</v>
      </c>
      <c r="B20" s="5">
        <f t="shared" si="0"/>
        <v>21.8</v>
      </c>
      <c r="C20" s="21">
        <f t="shared" si="1"/>
        <v>0.15</v>
      </c>
      <c r="D20" s="16"/>
      <c r="E20" s="19">
        <f>(ADC!I20+5/3)/(1/12)</f>
        <v>21.595743381140707</v>
      </c>
      <c r="F20" s="20">
        <f>ABS(B20-E20)/B20</f>
        <v>9.3695696724446602E-3</v>
      </c>
      <c r="G20" s="2"/>
      <c r="H20" s="2"/>
      <c r="I20" s="19">
        <f>ABS(C20-ADC!I20)</f>
        <v>1.70213849049414E-2</v>
      </c>
    </row>
    <row r="21" spans="1:9" x14ac:dyDescent="0.25">
      <c r="A21" s="5">
        <v>19</v>
      </c>
      <c r="B21" s="5">
        <f t="shared" si="0"/>
        <v>21.9</v>
      </c>
      <c r="C21" s="21">
        <f t="shared" si="1"/>
        <v>0.158333</v>
      </c>
      <c r="D21" s="16"/>
      <c r="E21" s="19">
        <f>(ADC!I21+5/3)/(1/12)</f>
        <v>21.681152450199619</v>
      </c>
      <c r="F21" s="20">
        <f>ABS(B21-E21)/B21</f>
        <v>9.9930388036703049E-3</v>
      </c>
      <c r="G21" s="2"/>
      <c r="H21" s="2"/>
      <c r="I21" s="19">
        <f>ABS(C21-ADC!I21)</f>
        <v>1.8236962483365232E-2</v>
      </c>
    </row>
    <row r="22" spans="1:9" x14ac:dyDescent="0.25">
      <c r="A22" s="5">
        <v>20</v>
      </c>
      <c r="B22" s="5">
        <f t="shared" si="0"/>
        <v>22</v>
      </c>
      <c r="C22" s="21">
        <f t="shared" si="1"/>
        <v>0.16666700000000001</v>
      </c>
      <c r="D22" s="16"/>
      <c r="E22" s="19">
        <f>(ADC!I22+5/3)/(1/12)</f>
        <v>21.75537878037246</v>
      </c>
      <c r="F22" s="20">
        <f>ABS(B22-E22)/B22</f>
        <v>1.1119146346706349E-2</v>
      </c>
      <c r="G22" s="2"/>
      <c r="H22" s="2"/>
      <c r="I22" s="19">
        <f>ABS(C22-ADC!I22)</f>
        <v>2.0385434968961835E-2</v>
      </c>
    </row>
    <row r="23" spans="1:9" x14ac:dyDescent="0.25">
      <c r="A23" s="5">
        <v>21</v>
      </c>
      <c r="B23" s="5">
        <f t="shared" si="0"/>
        <v>22.1</v>
      </c>
      <c r="C23" s="21">
        <f t="shared" si="1"/>
        <v>0.17499999999999999</v>
      </c>
      <c r="D23" s="16"/>
      <c r="E23" s="19">
        <f>(ADC!I23+5/3)/(1/12)</f>
        <v>21.841435216641074</v>
      </c>
      <c r="F23" s="20">
        <f>ABS(B23-E23)/B23</f>
        <v>1.1699763952892657E-2</v>
      </c>
      <c r="G23" s="2"/>
      <c r="H23" s="2"/>
      <c r="I23" s="19">
        <f>ABS(C23-ADC!I23)</f>
        <v>2.154706527991071E-2</v>
      </c>
    </row>
    <row r="24" spans="1:9" x14ac:dyDescent="0.25">
      <c r="A24" s="5">
        <v>22</v>
      </c>
      <c r="B24" s="5">
        <f t="shared" si="0"/>
        <v>22.2</v>
      </c>
      <c r="C24" s="21">
        <f t="shared" si="1"/>
        <v>0.183333</v>
      </c>
      <c r="D24" s="16"/>
      <c r="E24" s="19">
        <f>(ADC!I24+5/3)/(1/12)</f>
        <v>21.927810115141064</v>
      </c>
      <c r="F24" s="20">
        <f>ABS(B24-E24)/B24</f>
        <v>1.2260805624276373E-2</v>
      </c>
      <c r="G24" s="2"/>
      <c r="H24" s="2"/>
      <c r="I24" s="19">
        <f>ABS(C24-ADC!I24)</f>
        <v>2.2682157071578279E-2</v>
      </c>
    </row>
    <row r="25" spans="1:9" x14ac:dyDescent="0.25">
      <c r="A25" s="5">
        <v>23</v>
      </c>
      <c r="B25" s="5">
        <f t="shared" si="0"/>
        <v>22.3</v>
      </c>
      <c r="C25" s="21">
        <f t="shared" si="1"/>
        <v>0.191667</v>
      </c>
      <c r="D25" s="16"/>
      <c r="E25" s="19">
        <f>(ADC!I25+5/3)/(1/12)</f>
        <v>22.003031672826456</v>
      </c>
      <c r="F25" s="20">
        <f>ABS(B25-E25)/B25</f>
        <v>1.3316965344105149E-2</v>
      </c>
      <c r="G25" s="2"/>
      <c r="H25" s="2"/>
      <c r="I25" s="19">
        <f>ABS(C25-ADC!I25)</f>
        <v>2.4747693931128772E-2</v>
      </c>
    </row>
    <row r="26" spans="1:9" x14ac:dyDescent="0.25">
      <c r="A26" s="5">
        <v>24</v>
      </c>
      <c r="B26" s="5">
        <f t="shared" si="0"/>
        <v>22.4</v>
      </c>
      <c r="C26" s="21">
        <f t="shared" si="1"/>
        <v>0.2</v>
      </c>
      <c r="D26" s="16"/>
      <c r="E26" s="19">
        <f>(ADC!I26+5/3)/(1/12)</f>
        <v>22.090052927362102</v>
      </c>
      <c r="F26" s="20">
        <f>ABS(B26-E26)/B26</f>
        <v>1.3836922885620393E-2</v>
      </c>
      <c r="G26" s="2"/>
      <c r="H26" s="2"/>
      <c r="I26" s="19">
        <f>ABS(C26-ADC!I26)</f>
        <v>2.5828922719824982E-2</v>
      </c>
    </row>
    <row r="27" spans="1:9" x14ac:dyDescent="0.25">
      <c r="A27" s="5">
        <v>25</v>
      </c>
      <c r="B27" s="5">
        <f t="shared" si="0"/>
        <v>22.5</v>
      </c>
      <c r="C27" s="21">
        <f t="shared" si="1"/>
        <v>0.20833299999999999</v>
      </c>
      <c r="D27" s="16"/>
      <c r="E27" s="19">
        <f>(ADC!I27+5/3)/(1/12)</f>
        <v>22.177392070455344</v>
      </c>
      <c r="F27" s="20">
        <f>ABS(B27-E27)/B27</f>
        <v>1.4338130201984711E-2</v>
      </c>
      <c r="G27" s="2"/>
      <c r="H27" s="2"/>
      <c r="I27" s="19">
        <f>ABS(C27-ADC!I27)</f>
        <v>2.6883660795388037E-2</v>
      </c>
    </row>
    <row r="28" spans="1:9" x14ac:dyDescent="0.25">
      <c r="A28" s="5">
        <v>26</v>
      </c>
      <c r="B28" s="5">
        <f t="shared" si="0"/>
        <v>22.6</v>
      </c>
      <c r="C28" s="21">
        <f t="shared" si="1"/>
        <v>0.216667</v>
      </c>
      <c r="D28" s="16"/>
      <c r="E28" s="19">
        <f>(ADC!I28+5/3)/(1/12)</f>
        <v>22.253607424087804</v>
      </c>
      <c r="F28" s="20">
        <f>ABS(B28-E28)/B28</f>
        <v>1.5327105128858307E-2</v>
      </c>
      <c r="G28" s="2"/>
      <c r="H28" s="2"/>
      <c r="I28" s="19">
        <f>ABS(C28-ADC!I28)</f>
        <v>2.886638132601646E-2</v>
      </c>
    </row>
    <row r="29" spans="1:9" x14ac:dyDescent="0.25">
      <c r="A29" s="5">
        <v>27</v>
      </c>
      <c r="B29" s="5">
        <f t="shared" si="0"/>
        <v>22.7</v>
      </c>
      <c r="C29" s="21">
        <f t="shared" si="1"/>
        <v>0.22500000000000001</v>
      </c>
      <c r="D29" s="16"/>
      <c r="E29" s="19">
        <f>(ADC!I29+5/3)/(1/12)</f>
        <v>22.341591807293845</v>
      </c>
      <c r="F29" s="20">
        <f>ABS(B29-E29)/B29</f>
        <v>1.5788907167671982E-2</v>
      </c>
      <c r="G29" s="2"/>
      <c r="H29" s="2"/>
      <c r="I29" s="19">
        <f>ABS(C29-ADC!I29)</f>
        <v>2.9867349392179776E-2</v>
      </c>
    </row>
    <row r="30" spans="1:9" x14ac:dyDescent="0.25">
      <c r="A30" s="5">
        <v>28</v>
      </c>
      <c r="B30" s="5">
        <f t="shared" si="0"/>
        <v>22.8</v>
      </c>
      <c r="C30" s="21">
        <f t="shared" si="1"/>
        <v>0.23333300000000001</v>
      </c>
      <c r="D30" s="16"/>
      <c r="E30" s="19">
        <f>(ADC!I30+5/3)/(1/12)</f>
        <v>22.429893463833668</v>
      </c>
      <c r="F30" s="20">
        <f>ABS(B30-E30)/B30</f>
        <v>1.6232742814312827E-2</v>
      </c>
      <c r="G30" s="2"/>
      <c r="H30" s="2"/>
      <c r="I30" s="19">
        <f>ABS(C30-ADC!I30)</f>
        <v>3.0841878013861124E-2</v>
      </c>
    </row>
    <row r="31" spans="1:9" x14ac:dyDescent="0.25">
      <c r="A31" s="5">
        <v>29</v>
      </c>
      <c r="B31" s="5">
        <f t="shared" si="0"/>
        <v>22.9</v>
      </c>
      <c r="C31" s="21">
        <f t="shared" si="1"/>
        <v>0.24166699999999999</v>
      </c>
      <c r="D31" s="16"/>
      <c r="E31" s="19">
        <f>(ADC!I31+5/3)/(1/12)</f>
        <v>22.507101009361332</v>
      </c>
      <c r="F31" s="20">
        <f>ABS(B31-E31)/B31</f>
        <v>1.7157161163260562E-2</v>
      </c>
      <c r="G31" s="2"/>
      <c r="H31" s="2"/>
      <c r="I31" s="19">
        <f>ABS(C31-ADC!I31)</f>
        <v>3.2741915886555784E-2</v>
      </c>
    </row>
    <row r="32" spans="1:9" x14ac:dyDescent="0.25">
      <c r="A32" s="5">
        <v>30</v>
      </c>
      <c r="B32" s="5">
        <f t="shared" si="0"/>
        <v>23</v>
      </c>
      <c r="C32" s="21">
        <f t="shared" si="1"/>
        <v>0.25</v>
      </c>
      <c r="D32" s="16"/>
      <c r="E32" s="19">
        <f>(ADC!I32+5/3)/(1/12)</f>
        <v>22.59604667975573</v>
      </c>
      <c r="F32" s="20">
        <f>ABS(B32-E32)/B32</f>
        <v>1.7563187836707381E-2</v>
      </c>
      <c r="G32" s="2"/>
      <c r="H32" s="2"/>
      <c r="I32" s="19">
        <f>ABS(C32-ADC!I32)</f>
        <v>3.36627766870225E-2</v>
      </c>
    </row>
    <row r="33" spans="1:9" x14ac:dyDescent="0.25">
      <c r="A33" s="5">
        <v>31</v>
      </c>
      <c r="B33" s="5">
        <f t="shared" si="0"/>
        <v>23.1</v>
      </c>
      <c r="C33" s="21">
        <f t="shared" si="1"/>
        <v>0.25833299999999998</v>
      </c>
      <c r="D33" s="16"/>
      <c r="E33" s="19">
        <f>(ADC!I33+5/3)/(1/12)</f>
        <v>22.673918113458015</v>
      </c>
      <c r="F33" s="20">
        <f>ABS(B33-E33)/B33</f>
        <v>1.8445103313505906E-2</v>
      </c>
      <c r="G33" s="2"/>
      <c r="H33" s="2"/>
      <c r="I33" s="19">
        <f>ABS(C33-ADC!I33)</f>
        <v>3.5506490545165387E-2</v>
      </c>
    </row>
    <row r="34" spans="1:9" x14ac:dyDescent="0.25">
      <c r="A34" s="5">
        <v>32</v>
      </c>
      <c r="B34" s="5">
        <f t="shared" si="0"/>
        <v>23.2</v>
      </c>
      <c r="C34" s="21">
        <f t="shared" si="1"/>
        <v>0.26666699999999999</v>
      </c>
      <c r="D34" s="16"/>
      <c r="E34" s="19">
        <f>(ADC!I34+5/3)/(1/12)</f>
        <v>22.763506933181311</v>
      </c>
      <c r="F34" s="20">
        <f>ABS(B34-E34)/B34</f>
        <v>1.8814356328391721E-2</v>
      </c>
      <c r="G34" s="2"/>
      <c r="H34" s="2"/>
      <c r="I34" s="19">
        <f>ABS(C34-ADC!I34)</f>
        <v>3.6374755568224421E-2</v>
      </c>
    </row>
    <row r="35" spans="1:9" x14ac:dyDescent="0.25">
      <c r="A35" s="5">
        <v>33</v>
      </c>
      <c r="B35" s="5">
        <f t="shared" si="0"/>
        <v>23.3</v>
      </c>
      <c r="C35" s="21">
        <f t="shared" si="1"/>
        <v>0.27500000000000002</v>
      </c>
      <c r="D35" s="16"/>
      <c r="E35" s="19">
        <f>(ADC!I35+5/3)/(1/12)</f>
        <v>22.842041454079613</v>
      </c>
      <c r="F35" s="20">
        <f>ABS(B35-E35)/B35</f>
        <v>1.9654873215467279E-2</v>
      </c>
      <c r="G35" s="2"/>
      <c r="H35" s="2"/>
      <c r="I35" s="19">
        <f>ABS(C35-ADC!I35)</f>
        <v>3.8163212160032434E-2</v>
      </c>
    </row>
    <row r="36" spans="1:9" x14ac:dyDescent="0.25">
      <c r="A36" s="5">
        <v>34</v>
      </c>
      <c r="B36" s="5">
        <f t="shared" si="0"/>
        <v>23.4</v>
      </c>
      <c r="C36" s="21">
        <f t="shared" si="1"/>
        <v>0.283333</v>
      </c>
      <c r="D36" s="16"/>
      <c r="E36" s="19">
        <f>(ADC!I36+5/3)/(1/12)</f>
        <v>22.932272517055349</v>
      </c>
      <c r="F36" s="20">
        <f>ABS(B36-E36)/B36</f>
        <v>1.9988353971993573E-2</v>
      </c>
      <c r="G36" s="2"/>
      <c r="H36" s="2"/>
      <c r="I36" s="19">
        <f>ABS(C36-ADC!I36)</f>
        <v>3.8976956912054217E-2</v>
      </c>
    </row>
    <row r="37" spans="1:9" x14ac:dyDescent="0.25">
      <c r="A37" s="5">
        <v>35</v>
      </c>
      <c r="B37" s="5">
        <f t="shared" si="0"/>
        <v>23.5</v>
      </c>
      <c r="C37" s="21">
        <f t="shared" si="1"/>
        <v>0.29166700000000001</v>
      </c>
      <c r="D37" s="16"/>
      <c r="E37" s="19">
        <f>(ADC!I37+5/3)/(1/12)</f>
        <v>23.022819220332519</v>
      </c>
      <c r="F37" s="20">
        <f>ABS(B37-E37)/B37</f>
        <v>2.030556509223325E-2</v>
      </c>
      <c r="G37" s="2"/>
      <c r="H37" s="2"/>
      <c r="I37" s="19">
        <f>ABS(C37-ADC!I37)</f>
        <v>3.9765398305623534E-2</v>
      </c>
    </row>
    <row r="38" spans="1:9" x14ac:dyDescent="0.25">
      <c r="A38" s="5">
        <v>36</v>
      </c>
      <c r="B38" s="5">
        <f t="shared" si="0"/>
        <v>23.6</v>
      </c>
      <c r="C38" s="21">
        <f t="shared" si="1"/>
        <v>0.3</v>
      </c>
      <c r="D38" s="16"/>
      <c r="E38" s="19">
        <f>(ADC!I38+5/3)/(1/12)</f>
        <v>23.102341623066291</v>
      </c>
      <c r="F38" s="20">
        <f>ABS(B38-E38)/B38</f>
        <v>2.1087219361597898E-2</v>
      </c>
      <c r="G38" s="2"/>
      <c r="H38" s="2"/>
      <c r="I38" s="19">
        <f>ABS(C38-ADC!I38)</f>
        <v>4.1471531411142737E-2</v>
      </c>
    </row>
    <row r="39" spans="1:9" x14ac:dyDescent="0.25">
      <c r="A39" s="5">
        <v>37</v>
      </c>
      <c r="B39" s="5">
        <f t="shared" si="0"/>
        <v>23.7</v>
      </c>
      <c r="C39" s="21">
        <f t="shared" si="1"/>
        <v>0.30833300000000002</v>
      </c>
      <c r="D39" s="16"/>
      <c r="E39" s="19">
        <f>(ADC!I39+5/3)/(1/12)</f>
        <v>23.193529094734323</v>
      </c>
      <c r="F39" s="20">
        <f>ABS(B39-E39)/B39</f>
        <v>2.1370080390956791E-2</v>
      </c>
      <c r="G39" s="2"/>
      <c r="H39" s="2"/>
      <c r="I39" s="19">
        <f>ABS(C39-ADC!I39)</f>
        <v>4.2205575438806486E-2</v>
      </c>
    </row>
    <row r="40" spans="1:9" x14ac:dyDescent="0.25">
      <c r="A40" s="5">
        <v>38</v>
      </c>
      <c r="B40" s="5">
        <f t="shared" si="0"/>
        <v>23.8</v>
      </c>
      <c r="C40" s="21">
        <f t="shared" si="1"/>
        <v>0.31666699999999998</v>
      </c>
      <c r="D40" s="16"/>
      <c r="E40" s="19">
        <f>(ADC!I40+5/3)/(1/12)</f>
        <v>23.27371234758126</v>
      </c>
      <c r="F40" s="20">
        <f>ABS(B40-E40)/B40</f>
        <v>2.2112926572216016E-2</v>
      </c>
      <c r="G40" s="2"/>
      <c r="H40" s="2"/>
      <c r="I40" s="19">
        <f>ABS(C40-ADC!I40)</f>
        <v>4.3857637701561925E-2</v>
      </c>
    </row>
    <row r="41" spans="1:9" x14ac:dyDescent="0.25">
      <c r="A41" s="5">
        <v>39</v>
      </c>
      <c r="B41" s="5">
        <f t="shared" si="0"/>
        <v>23.9</v>
      </c>
      <c r="C41" s="21">
        <f t="shared" si="1"/>
        <v>0.32500000000000001</v>
      </c>
      <c r="D41" s="16"/>
      <c r="E41" s="19">
        <f>(ADC!I41+5/3)/(1/12)</f>
        <v>23.365539559706239</v>
      </c>
      <c r="F41" s="20">
        <f>ABS(B41-E41)/B41</f>
        <v>2.236236151856736E-2</v>
      </c>
      <c r="G41" s="2"/>
      <c r="H41" s="2"/>
      <c r="I41" s="19">
        <f>ABS(C41-ADC!I41)</f>
        <v>4.45383700244803E-2</v>
      </c>
    </row>
    <row r="42" spans="1:9" x14ac:dyDescent="0.25">
      <c r="A42" s="5">
        <v>40</v>
      </c>
      <c r="B42" s="5">
        <f t="shared" si="0"/>
        <v>24</v>
      </c>
      <c r="C42" s="21">
        <f t="shared" si="1"/>
        <v>0.33333299999999999</v>
      </c>
      <c r="D42" s="16"/>
      <c r="E42" s="19">
        <f>(ADC!I42+5/3)/(1/12)</f>
        <v>23.446382695835666</v>
      </c>
      <c r="F42" s="20">
        <f>ABS(B42-E42)/B42</f>
        <v>2.3067387673513906E-2</v>
      </c>
      <c r="G42" s="2"/>
      <c r="H42" s="2"/>
      <c r="I42" s="19">
        <f>ABS(C42-ADC!I42)</f>
        <v>4.6134442013694599E-2</v>
      </c>
    </row>
    <row r="43" spans="1:9" x14ac:dyDescent="0.25">
      <c r="A43" s="5">
        <v>41</v>
      </c>
      <c r="B43" s="5">
        <f t="shared" si="0"/>
        <v>24.1</v>
      </c>
      <c r="C43" s="21">
        <f t="shared" si="1"/>
        <v>0.341667</v>
      </c>
      <c r="D43" s="16"/>
      <c r="E43" s="19">
        <f>(ADC!I43+5/3)/(1/12)</f>
        <v>23.527560595887287</v>
      </c>
      <c r="F43" s="20">
        <f>ABS(B43-E43)/B43</f>
        <v>2.3752672369822161E-2</v>
      </c>
      <c r="G43" s="2"/>
      <c r="H43" s="2"/>
      <c r="I43" s="19">
        <f>ABS(C43-ADC!I43)</f>
        <v>4.7703617009393073E-2</v>
      </c>
    </row>
    <row r="44" spans="1:9" x14ac:dyDescent="0.25">
      <c r="A44" s="5">
        <v>42</v>
      </c>
      <c r="B44" s="5">
        <f t="shared" si="0"/>
        <v>24.2</v>
      </c>
      <c r="C44" s="21">
        <f t="shared" si="1"/>
        <v>0.35</v>
      </c>
      <c r="D44" s="16"/>
      <c r="E44" s="19">
        <f>(ADC!I44+5/3)/(1/12)</f>
        <v>23.609073013701639</v>
      </c>
      <c r="F44" s="20">
        <f>ABS(B44-E44)/B44</f>
        <v>2.4418470508196691E-2</v>
      </c>
      <c r="G44" s="2"/>
      <c r="H44" s="2"/>
      <c r="I44" s="19">
        <f>ABS(C44-ADC!I44)</f>
        <v>4.9243915524863457E-2</v>
      </c>
    </row>
    <row r="45" spans="1:9" x14ac:dyDescent="0.25">
      <c r="A45" s="5">
        <v>43</v>
      </c>
      <c r="B45" s="5">
        <f t="shared" si="0"/>
        <v>24.3</v>
      </c>
      <c r="C45" s="21">
        <f t="shared" si="1"/>
        <v>0.35833300000000001</v>
      </c>
      <c r="D45" s="16"/>
      <c r="E45" s="19">
        <f>(ADC!I45+5/3)/(1/12)</f>
        <v>23.690919708356859</v>
      </c>
      <c r="F45" s="20">
        <f>ABS(B45-E45)/B45</f>
        <v>2.5065032577907084E-2</v>
      </c>
      <c r="G45" s="2"/>
      <c r="H45" s="2"/>
      <c r="I45" s="19">
        <f>ABS(C45-ADC!I45)</f>
        <v>5.0756357636928817E-2</v>
      </c>
    </row>
    <row r="46" spans="1:9" x14ac:dyDescent="0.25">
      <c r="A46" s="5">
        <v>44</v>
      </c>
      <c r="B46" s="5">
        <f t="shared" si="0"/>
        <v>24.4</v>
      </c>
      <c r="C46" s="21">
        <f t="shared" si="1"/>
        <v>0.36666700000000002</v>
      </c>
      <c r="D46" s="16"/>
      <c r="E46" s="19">
        <f>(ADC!I46+5/3)/(1/12)</f>
        <v>23.784357094085212</v>
      </c>
      <c r="F46" s="20">
        <f>ABS(B46-E46)/B46</f>
        <v>2.5231266635851891E-2</v>
      </c>
      <c r="G46" s="2"/>
      <c r="H46" s="2"/>
      <c r="I46" s="19">
        <f>ABS(C46-ADC!I46)</f>
        <v>5.1303908826232536E-2</v>
      </c>
    </row>
    <row r="47" spans="1:9" x14ac:dyDescent="0.25">
      <c r="A47" s="5">
        <v>45</v>
      </c>
      <c r="B47" s="5">
        <f t="shared" si="0"/>
        <v>24.5</v>
      </c>
      <c r="C47" s="21">
        <f t="shared" si="1"/>
        <v>0.375</v>
      </c>
      <c r="D47" s="16"/>
      <c r="E47" s="19">
        <f>(ADC!I47+5/3)/(1/12)</f>
        <v>23.866861097998267</v>
      </c>
      <c r="F47" s="20">
        <f>ABS(B47-E47)/B47</f>
        <v>2.5842404163336025E-2</v>
      </c>
      <c r="G47" s="2"/>
      <c r="H47" s="2"/>
      <c r="I47" s="19">
        <f>ABS(C47-ADC!I47)</f>
        <v>5.2761575166811292E-2</v>
      </c>
    </row>
    <row r="48" spans="1:9" x14ac:dyDescent="0.25">
      <c r="A48" s="5">
        <v>46</v>
      </c>
      <c r="B48" s="5">
        <f t="shared" si="0"/>
        <v>24.6</v>
      </c>
      <c r="C48" s="21">
        <f t="shared" si="1"/>
        <v>0.38333299999999998</v>
      </c>
      <c r="D48" s="16"/>
      <c r="E48" s="19">
        <f>(ADC!I48+5/3)/(1/12)</f>
        <v>23.949698579519477</v>
      </c>
      <c r="F48" s="20">
        <f>ABS(B48-E48)/B48</f>
        <v>2.6435017092704224E-2</v>
      </c>
      <c r="G48" s="2"/>
      <c r="H48" s="2"/>
      <c r="I48" s="19">
        <f>ABS(C48-ADC!I48)</f>
        <v>5.4191451706710525E-2</v>
      </c>
    </row>
    <row r="49" spans="1:9" x14ac:dyDescent="0.25">
      <c r="A49" s="5">
        <v>47</v>
      </c>
      <c r="B49" s="5">
        <f t="shared" si="0"/>
        <v>24.7</v>
      </c>
      <c r="C49" s="21">
        <f t="shared" si="1"/>
        <v>0.39166699999999999</v>
      </c>
      <c r="D49" s="16"/>
      <c r="E49" s="19">
        <f>(ADC!I49+5/3)/(1/12)</f>
        <v>24.044094476944903</v>
      </c>
      <c r="F49" s="20">
        <f>ABS(B49-E49)/B49</f>
        <v>2.6554879475914849E-2</v>
      </c>
      <c r="G49" s="2"/>
      <c r="H49" s="2"/>
      <c r="I49" s="19">
        <f>ABS(C49-ADC!I49)</f>
        <v>5.4659126921258294E-2</v>
      </c>
    </row>
    <row r="50" spans="1:9" x14ac:dyDescent="0.25">
      <c r="A50" s="5">
        <v>48</v>
      </c>
      <c r="B50" s="5">
        <f t="shared" si="0"/>
        <v>24.8</v>
      </c>
      <c r="C50" s="21">
        <f t="shared" si="1"/>
        <v>0.4</v>
      </c>
      <c r="D50" s="16"/>
      <c r="E50" s="19">
        <f>(ADC!I50+5/3)/(1/12)</f>
        <v>24.127587564160958</v>
      </c>
      <c r="F50" s="20">
        <f>ABS(B50-E50)/B50</f>
        <v>2.7113404670929139E-2</v>
      </c>
      <c r="G50" s="2"/>
      <c r="H50" s="2"/>
      <c r="I50" s="19">
        <f>ABS(C50-ADC!I50)</f>
        <v>5.603436965325348E-2</v>
      </c>
    </row>
    <row r="51" spans="1:9" x14ac:dyDescent="0.25">
      <c r="A51" s="5">
        <v>49</v>
      </c>
      <c r="B51" s="5">
        <f t="shared" si="0"/>
        <v>24.9</v>
      </c>
      <c r="C51" s="21">
        <f t="shared" si="1"/>
        <v>0.408333</v>
      </c>
      <c r="D51" s="16"/>
      <c r="E51" s="19">
        <f>(ADC!I51+5/3)/(1/12)</f>
        <v>24.211413276330855</v>
      </c>
      <c r="F51" s="20">
        <f>ABS(B51-E51)/B51</f>
        <v>2.76540852879174E-2</v>
      </c>
      <c r="G51" s="2"/>
      <c r="H51" s="2"/>
      <c r="I51" s="19">
        <f>ABS(C51-ADC!I51)</f>
        <v>5.7381893639095349E-2</v>
      </c>
    </row>
    <row r="52" spans="1:9" x14ac:dyDescent="0.25">
      <c r="A52" s="5">
        <v>50</v>
      </c>
      <c r="B52" s="5">
        <f t="shared" si="0"/>
        <v>25</v>
      </c>
      <c r="C52" s="21">
        <f t="shared" si="1"/>
        <v>0.41666700000000001</v>
      </c>
      <c r="D52" s="16"/>
      <c r="E52" s="19">
        <f>(ADC!I52+5/3)/(1/12)</f>
        <v>24.306764898788721</v>
      </c>
      <c r="F52" s="20">
        <f>ABS(B52-E52)/B52</f>
        <v>2.7729404048451159E-2</v>
      </c>
      <c r="G52" s="2"/>
      <c r="H52" s="2"/>
      <c r="I52" s="19">
        <f>ABS(C52-ADC!I52)</f>
        <v>5.7769925100940089E-2</v>
      </c>
    </row>
    <row r="53" spans="1:9" x14ac:dyDescent="0.25">
      <c r="A53" s="5">
        <v>51</v>
      </c>
      <c r="B53" s="5">
        <f t="shared" si="0"/>
        <v>25.1</v>
      </c>
      <c r="C53" s="21">
        <f t="shared" si="1"/>
        <v>0.42499999999999999</v>
      </c>
      <c r="D53" s="16"/>
      <c r="E53" s="19">
        <f>(ADC!I53+5/3)/(1/12)</f>
        <v>24.391244399263481</v>
      </c>
      <c r="F53" s="20">
        <f>ABS(B53-E53)/B53</f>
        <v>2.8237274929741835E-2</v>
      </c>
      <c r="G53" s="2"/>
      <c r="H53" s="2"/>
      <c r="I53" s="19">
        <f>ABS(C53-ADC!I53)</f>
        <v>5.906296672804312E-2</v>
      </c>
    </row>
    <row r="54" spans="1:9" x14ac:dyDescent="0.25">
      <c r="A54" s="5">
        <v>52</v>
      </c>
      <c r="B54" s="5">
        <f t="shared" si="0"/>
        <v>25.2</v>
      </c>
      <c r="C54" s="21">
        <f t="shared" si="1"/>
        <v>0.43333300000000002</v>
      </c>
      <c r="D54" s="16"/>
      <c r="E54" s="19">
        <f>(ADC!I54+5/3)/(1/12)</f>
        <v>24.476055625948266</v>
      </c>
      <c r="F54" s="20">
        <f>ABS(B54-E54)/B54</f>
        <v>2.8727951351259249E-2</v>
      </c>
      <c r="G54" s="2"/>
      <c r="H54" s="2"/>
      <c r="I54" s="19">
        <f>ABS(C54-ADC!I54)</f>
        <v>6.032836450431156E-2</v>
      </c>
    </row>
    <row r="55" spans="1:9" x14ac:dyDescent="0.25">
      <c r="A55" s="5">
        <v>53</v>
      </c>
      <c r="B55" s="5">
        <f t="shared" si="0"/>
        <v>25.3</v>
      </c>
      <c r="C55" s="21">
        <f t="shared" si="1"/>
        <v>0.44166699999999998</v>
      </c>
      <c r="D55" s="16"/>
      <c r="E55" s="19">
        <f>(ADC!I55+5/3)/(1/12)</f>
        <v>24.572360008002839</v>
      </c>
      <c r="F55" s="20">
        <f>ABS(B55-E55)/B55</f>
        <v>2.8760473991982675E-2</v>
      </c>
      <c r="G55" s="2"/>
      <c r="H55" s="2"/>
      <c r="I55" s="19">
        <f>ABS(C55-ADC!I55)</f>
        <v>6.0636999333097019E-2</v>
      </c>
    </row>
    <row r="56" spans="1:9" x14ac:dyDescent="0.25">
      <c r="A56" s="5">
        <v>54</v>
      </c>
      <c r="B56" s="5">
        <f t="shared" si="0"/>
        <v>25.4</v>
      </c>
      <c r="C56" s="21">
        <f t="shared" si="1"/>
        <v>0.45</v>
      </c>
      <c r="D56" s="16"/>
      <c r="E56" s="19">
        <f>(ADC!I56+5/3)/(1/12)</f>
        <v>24.65782308968085</v>
      </c>
      <c r="F56" s="20">
        <f>ABS(B56-E56)/B56</f>
        <v>2.9219563398391681E-2</v>
      </c>
      <c r="G56" s="2"/>
      <c r="H56" s="2"/>
      <c r="I56" s="19">
        <f>ABS(C56-ADC!I56)</f>
        <v>6.1848075859929241E-2</v>
      </c>
    </row>
    <row r="57" spans="1:9" x14ac:dyDescent="0.25">
      <c r="A57" s="5">
        <v>55</v>
      </c>
      <c r="B57" s="5">
        <f t="shared" si="0"/>
        <v>25.5</v>
      </c>
      <c r="C57" s="21">
        <f t="shared" si="1"/>
        <v>0.45833299999999999</v>
      </c>
      <c r="D57" s="16"/>
      <c r="E57" s="19">
        <f>(ADC!I57+5/3)/(1/12)</f>
        <v>24.743616939816388</v>
      </c>
      <c r="F57" s="20">
        <f>ABS(B57-E57)/B57</f>
        <v>2.9662080791514209E-2</v>
      </c>
      <c r="G57" s="2"/>
      <c r="H57" s="2"/>
      <c r="I57" s="19">
        <f>ABS(C57-ADC!I57)</f>
        <v>6.3031588348634204E-2</v>
      </c>
    </row>
    <row r="58" spans="1:9" x14ac:dyDescent="0.25">
      <c r="A58" s="5">
        <v>56</v>
      </c>
      <c r="B58" s="5">
        <f t="shared" si="0"/>
        <v>25.6</v>
      </c>
      <c r="C58" s="21">
        <f t="shared" si="1"/>
        <v>0.466667</v>
      </c>
      <c r="D58" s="16"/>
      <c r="E58" s="19">
        <f>(ADC!I58+5/3)/(1/12)</f>
        <v>24.829741224610455</v>
      </c>
      <c r="F58" s="20">
        <f>ABS(B58-E58)/B58</f>
        <v>3.0088233413654158E-2</v>
      </c>
      <c r="G58" s="2"/>
      <c r="H58" s="2"/>
      <c r="I58" s="19">
        <f>ABS(C58-ADC!I58)</f>
        <v>6.4188564615795751E-2</v>
      </c>
    </row>
    <row r="59" spans="1:9" x14ac:dyDescent="0.25">
      <c r="A59" s="5">
        <v>57</v>
      </c>
      <c r="B59" s="5">
        <f t="shared" si="0"/>
        <v>25.7</v>
      </c>
      <c r="C59" s="21">
        <f t="shared" si="1"/>
        <v>0.47499999999999998</v>
      </c>
      <c r="D59" s="16"/>
      <c r="E59" s="19">
        <f>(ADC!I59+5/3)/(1/12)</f>
        <v>24.927314634357195</v>
      </c>
      <c r="F59" s="20">
        <f>ABS(B59-E59)/B59</f>
        <v>3.0065578429681095E-2</v>
      </c>
      <c r="G59" s="2"/>
      <c r="H59" s="2"/>
      <c r="I59" s="19">
        <f>ABS(C59-ADC!I59)</f>
        <v>6.4390447136900286E-2</v>
      </c>
    </row>
    <row r="60" spans="1:9" x14ac:dyDescent="0.25">
      <c r="A60" s="5">
        <v>58</v>
      </c>
      <c r="B60" s="5">
        <f t="shared" si="0"/>
        <v>25.8</v>
      </c>
      <c r="C60" s="21">
        <f t="shared" si="1"/>
        <v>0.48333300000000001</v>
      </c>
      <c r="D60" s="16"/>
      <c r="E60" s="19">
        <f>(ADC!I60+5/3)/(1/12)</f>
        <v>25.014088053122428</v>
      </c>
      <c r="F60" s="20">
        <f>ABS(B60-E60)/B60</f>
        <v>3.0461703367347766E-2</v>
      </c>
      <c r="G60" s="2"/>
      <c r="H60" s="2"/>
      <c r="I60" s="19">
        <f>ABS(C60-ADC!I60)</f>
        <v>6.5492328906464503E-2</v>
      </c>
    </row>
    <row r="61" spans="1:9" x14ac:dyDescent="0.25">
      <c r="A61" s="5">
        <v>59</v>
      </c>
      <c r="B61" s="5">
        <f t="shared" si="0"/>
        <v>25.9</v>
      </c>
      <c r="C61" s="21">
        <f t="shared" si="1"/>
        <v>0.49166700000000002</v>
      </c>
      <c r="D61" s="16"/>
      <c r="E61" s="19">
        <f>(ADC!I61+5/3)/(1/12)</f>
        <v>25.101190874073019</v>
      </c>
      <c r="F61" s="20">
        <f>ABS(B61-E61)/B61</f>
        <v>3.084205119409187E-2</v>
      </c>
      <c r="G61" s="2"/>
      <c r="H61" s="2"/>
      <c r="I61" s="19">
        <f>ABS(C61-ADC!I61)</f>
        <v>6.6567760493914996E-2</v>
      </c>
    </row>
    <row r="62" spans="1:9" x14ac:dyDescent="0.25">
      <c r="A62" s="5">
        <v>60</v>
      </c>
      <c r="B62" s="5">
        <f t="shared" si="0"/>
        <v>26</v>
      </c>
      <c r="C62" s="21">
        <f t="shared" si="1"/>
        <v>0.5</v>
      </c>
      <c r="D62" s="16"/>
      <c r="E62" s="19">
        <f>(ADC!I62+5/3)/(1/12)</f>
        <v>25.188622748745125</v>
      </c>
      <c r="F62" s="20">
        <f>ABS(B62-E62)/B62</f>
        <v>3.1206817355956727E-2</v>
      </c>
      <c r="G62" s="2"/>
      <c r="H62" s="2"/>
      <c r="I62" s="19">
        <f>ABS(C62-ADC!I62)</f>
        <v>6.7614770937906354E-2</v>
      </c>
    </row>
    <row r="63" spans="1:9" x14ac:dyDescent="0.25">
      <c r="A63" s="5">
        <v>61</v>
      </c>
      <c r="B63" s="5">
        <f t="shared" si="0"/>
        <v>26.1</v>
      </c>
      <c r="C63" s="21">
        <f t="shared" si="1"/>
        <v>0.50833300000000003</v>
      </c>
      <c r="D63" s="16"/>
      <c r="E63" s="19">
        <f>(ADC!I63+5/3)/(1/12)</f>
        <v>25.276383318549104</v>
      </c>
      <c r="F63" s="20">
        <f>ABS(B63-E63)/B63</f>
        <v>3.1556194691605248E-2</v>
      </c>
      <c r="G63" s="2"/>
      <c r="H63" s="2"/>
      <c r="I63" s="19">
        <f>ABS(C63-ADC!I63)</f>
        <v>6.8634390120908217E-2</v>
      </c>
    </row>
    <row r="64" spans="1:9" x14ac:dyDescent="0.25">
      <c r="A64" s="5">
        <v>62</v>
      </c>
      <c r="B64" s="5">
        <f t="shared" si="0"/>
        <v>26.2</v>
      </c>
      <c r="C64" s="21">
        <f t="shared" si="1"/>
        <v>0.51666699999999999</v>
      </c>
      <c r="D64" s="16"/>
      <c r="E64" s="19">
        <f>(ADC!I64+5/3)/(1/12)</f>
        <v>25.375537387556708</v>
      </c>
      <c r="F64" s="20">
        <f>ABS(B64-E64)/B64</f>
        <v>3.1468038642873709E-2</v>
      </c>
      <c r="G64" s="2"/>
      <c r="H64" s="2"/>
      <c r="I64" s="19">
        <f>ABS(C64-ADC!I64)</f>
        <v>6.8705551036941148E-2</v>
      </c>
    </row>
    <row r="65" spans="1:9" x14ac:dyDescent="0.25">
      <c r="A65" s="5">
        <v>63</v>
      </c>
      <c r="B65" s="5">
        <f t="shared" si="0"/>
        <v>26.3</v>
      </c>
      <c r="C65" s="21">
        <f t="shared" si="1"/>
        <v>0.52500000000000002</v>
      </c>
      <c r="D65" s="16"/>
      <c r="E65" s="19">
        <f>(ADC!I65+5/3)/(1/12)</f>
        <v>25.463943414303294</v>
      </c>
      <c r="F65" s="20">
        <f>ABS(B65-E65)/B65</f>
        <v>3.1789223790749291E-2</v>
      </c>
      <c r="G65" s="2"/>
      <c r="H65" s="2"/>
      <c r="I65" s="19">
        <f>ABS(C65-ADC!I65)</f>
        <v>6.9671382141392457E-2</v>
      </c>
    </row>
    <row r="66" spans="1:9" x14ac:dyDescent="0.25">
      <c r="A66" s="5">
        <v>64</v>
      </c>
      <c r="B66" s="5">
        <f t="shared" si="0"/>
        <v>26.4</v>
      </c>
      <c r="C66" s="21">
        <f t="shared" si="1"/>
        <v>0.53333299999999995</v>
      </c>
      <c r="D66" s="16"/>
      <c r="E66" s="19">
        <f>(ADC!I66+5/3)/(1/12)</f>
        <v>25.552677011180471</v>
      </c>
      <c r="F66" s="20">
        <f>ABS(B66-E66)/B66</f>
        <v>3.2095567758315444E-2</v>
      </c>
      <c r="G66" s="2"/>
      <c r="H66" s="2"/>
      <c r="I66" s="19">
        <f>ABS(C66-ADC!I66)</f>
        <v>7.0609915734960893E-2</v>
      </c>
    </row>
    <row r="67" spans="1:9" x14ac:dyDescent="0.25">
      <c r="A67" s="5">
        <v>65</v>
      </c>
      <c r="B67" s="5">
        <f t="shared" ref="B67:B130" si="2">0.1*A67+20</f>
        <v>26.5</v>
      </c>
      <c r="C67" s="21">
        <f t="shared" ref="C67:C130" si="3">ROUND(1/12*B67-5/3,6)</f>
        <v>0.54166700000000001</v>
      </c>
      <c r="D67" s="16"/>
      <c r="E67" s="19">
        <f>(ADC!I67+5/3)/(1/12)</f>
        <v>25.641737794808243</v>
      </c>
      <c r="F67" s="20">
        <f>ABS(B67-E67)/B67</f>
        <v>3.2387253026104026E-2</v>
      </c>
      <c r="G67" s="2"/>
      <c r="H67" s="2"/>
      <c r="I67" s="19">
        <f>ABS(C67-ADC!I67)</f>
        <v>7.1522183765979852E-2</v>
      </c>
    </row>
    <row r="68" spans="1:9" x14ac:dyDescent="0.25">
      <c r="A68" s="5">
        <v>66</v>
      </c>
      <c r="B68" s="5">
        <f t="shared" si="2"/>
        <v>26.6</v>
      </c>
      <c r="C68" s="21">
        <f t="shared" si="3"/>
        <v>0.55000000000000004</v>
      </c>
      <c r="D68" s="16"/>
      <c r="E68" s="19">
        <f>(ADC!I68+5/3)/(1/12)</f>
        <v>25.731125377965583</v>
      </c>
      <c r="F68" s="20">
        <f>ABS(B68-E68)/B68</f>
        <v>3.266445947497814E-2</v>
      </c>
      <c r="G68" s="2"/>
      <c r="H68" s="2"/>
      <c r="I68" s="19">
        <f>ABS(C68-ADC!I68)</f>
        <v>7.2406218502868047E-2</v>
      </c>
    </row>
    <row r="69" spans="1:9" x14ac:dyDescent="0.25">
      <c r="A69" s="5">
        <v>67</v>
      </c>
      <c r="B69" s="5">
        <f t="shared" si="2"/>
        <v>26.7</v>
      </c>
      <c r="C69" s="21">
        <f t="shared" si="3"/>
        <v>0.55833299999999997</v>
      </c>
      <c r="D69" s="16"/>
      <c r="E69" s="19">
        <f>(ADC!I69+5/3)/(1/12)</f>
        <v>25.820839367495505</v>
      </c>
      <c r="F69" s="20">
        <f>ABS(B69-E69)/B69</f>
        <v>3.2927364513276922E-2</v>
      </c>
      <c r="G69" s="2"/>
      <c r="H69" s="2"/>
      <c r="I69" s="19">
        <f>ABS(C69-ADC!I69)</f>
        <v>7.326305270870781E-2</v>
      </c>
    </row>
    <row r="70" spans="1:9" x14ac:dyDescent="0.25">
      <c r="A70" s="5">
        <v>68</v>
      </c>
      <c r="B70" s="5">
        <f t="shared" si="2"/>
        <v>26.8</v>
      </c>
      <c r="C70" s="21">
        <f t="shared" si="3"/>
        <v>0.56666700000000003</v>
      </c>
      <c r="D70" s="16"/>
      <c r="E70" s="19">
        <f>(ADC!I70+5/3)/(1/12)</f>
        <v>25.910879359766497</v>
      </c>
      <c r="F70" s="20">
        <f>ABS(B70-E70)/B70</f>
        <v>3.3176143292294916E-2</v>
      </c>
      <c r="G70" s="2"/>
      <c r="H70" s="2"/>
      <c r="I70" s="19">
        <f>ABS(C70-ADC!I70)</f>
        <v>7.4093720019458853E-2</v>
      </c>
    </row>
    <row r="71" spans="1:9" x14ac:dyDescent="0.25">
      <c r="A71" s="5">
        <v>69</v>
      </c>
      <c r="B71" s="5">
        <f t="shared" si="2"/>
        <v>26.9</v>
      </c>
      <c r="C71" s="21">
        <f t="shared" si="3"/>
        <v>0.57499999999999996</v>
      </c>
      <c r="D71" s="16"/>
      <c r="E71" s="19">
        <f>(ADC!I71+5/3)/(1/12)</f>
        <v>26.001244954289316</v>
      </c>
      <c r="F71" s="20">
        <f>ABS(B71-E71)/B71</f>
        <v>3.3410968242032817E-2</v>
      </c>
      <c r="G71" s="2"/>
      <c r="H71" s="2"/>
      <c r="I71" s="19">
        <f>ABS(C71-ADC!I71)</f>
        <v>7.4896253809223823E-2</v>
      </c>
    </row>
    <row r="72" spans="1:9" x14ac:dyDescent="0.25">
      <c r="A72" s="5">
        <v>70</v>
      </c>
      <c r="B72" s="5">
        <f t="shared" si="2"/>
        <v>27</v>
      </c>
      <c r="C72" s="21">
        <f t="shared" si="3"/>
        <v>0.58333299999999999</v>
      </c>
      <c r="D72" s="16"/>
      <c r="E72" s="19">
        <f>(ADC!I72+5/3)/(1/12)</f>
        <v>26.091935733116792</v>
      </c>
      <c r="F72" s="20">
        <f>ABS(B72-E72)/B72</f>
        <v>3.3632009884563274E-2</v>
      </c>
      <c r="G72" s="2"/>
      <c r="H72" s="2"/>
      <c r="I72" s="19">
        <f>ABS(C72-ADC!I72)</f>
        <v>7.5671688906933876E-2</v>
      </c>
    </row>
    <row r="73" spans="1:9" x14ac:dyDescent="0.25">
      <c r="A73" s="5">
        <v>71</v>
      </c>
      <c r="B73" s="5">
        <f t="shared" si="2"/>
        <v>27.1</v>
      </c>
      <c r="C73" s="21">
        <f t="shared" si="3"/>
        <v>0.59166700000000005</v>
      </c>
      <c r="D73" s="16"/>
      <c r="E73" s="19">
        <f>(ADC!I73+5/3)/(1/12)</f>
        <v>26.18295128458621</v>
      </c>
      <c r="F73" s="20">
        <f>ABS(B73-E73)/B73</f>
        <v>3.3839435993128837E-2</v>
      </c>
      <c r="G73" s="2"/>
      <c r="H73" s="2"/>
      <c r="I73" s="19">
        <f>ABS(C73-ADC!I73)</f>
        <v>7.64210596178162E-2</v>
      </c>
    </row>
    <row r="74" spans="1:9" x14ac:dyDescent="0.25">
      <c r="A74" s="5">
        <v>72</v>
      </c>
      <c r="B74" s="5">
        <f t="shared" si="2"/>
        <v>27.2</v>
      </c>
      <c r="C74" s="21">
        <f t="shared" si="3"/>
        <v>0.6</v>
      </c>
      <c r="D74" s="16"/>
      <c r="E74" s="19">
        <f>(ADC!I74+5/3)/(1/12)</f>
        <v>26.274291176784224</v>
      </c>
      <c r="F74" s="20">
        <f>ABS(B74-E74)/B74</f>
        <v>3.4033412618227017E-2</v>
      </c>
      <c r="G74" s="2"/>
      <c r="H74" s="2"/>
      <c r="I74" s="19">
        <f>ABS(C74-ADC!I74)</f>
        <v>7.7142401934648053E-2</v>
      </c>
    </row>
    <row r="75" spans="1:9" x14ac:dyDescent="0.25">
      <c r="A75" s="5">
        <v>73</v>
      </c>
      <c r="B75" s="5">
        <f t="shared" si="2"/>
        <v>27.3</v>
      </c>
      <c r="C75" s="21">
        <f t="shared" si="3"/>
        <v>0.60833300000000001</v>
      </c>
      <c r="D75" s="16"/>
      <c r="E75" s="19">
        <f>(ADC!I75+5/3)/(1/12)</f>
        <v>26.365954981986686</v>
      </c>
      <c r="F75" s="20">
        <f>ABS(B75-E75)/B75</f>
        <v>3.4214103223930939E-2</v>
      </c>
      <c r="G75" s="2"/>
      <c r="H75" s="2"/>
      <c r="I75" s="19">
        <f>ABS(C75-ADC!I75)</f>
        <v>7.783675150110958E-2</v>
      </c>
    </row>
    <row r="76" spans="1:9" x14ac:dyDescent="0.25">
      <c r="A76" s="5">
        <v>74</v>
      </c>
      <c r="B76" s="5">
        <f t="shared" si="2"/>
        <v>27.4</v>
      </c>
      <c r="C76" s="21">
        <f t="shared" si="3"/>
        <v>0.61666699999999997</v>
      </c>
      <c r="D76" s="16"/>
      <c r="E76" s="19">
        <f>(ADC!I76+5/3)/(1/12)</f>
        <v>26.447008384019849</v>
      </c>
      <c r="F76" s="20">
        <f>ABS(B76-E76)/B76</f>
        <v>3.4780715911684287E-2</v>
      </c>
      <c r="G76" s="2"/>
      <c r="H76" s="2"/>
      <c r="I76" s="19">
        <f>ABS(C76-ADC!I76)</f>
        <v>7.941630133167954E-2</v>
      </c>
    </row>
    <row r="77" spans="1:9" x14ac:dyDescent="0.25">
      <c r="A77" s="5">
        <v>75</v>
      </c>
      <c r="B77" s="5">
        <f t="shared" si="2"/>
        <v>27.5</v>
      </c>
      <c r="C77" s="21">
        <f t="shared" si="3"/>
        <v>0.625</v>
      </c>
      <c r="D77" s="16"/>
      <c r="E77" s="19">
        <f>(ADC!I77+5/3)/(1/12)</f>
        <v>26.539329763145226</v>
      </c>
      <c r="F77" s="20">
        <f>ABS(B77-E77)/B77</f>
        <v>3.4933463158355431E-2</v>
      </c>
      <c r="G77" s="2"/>
      <c r="H77" s="2"/>
      <c r="I77" s="19">
        <f>ABS(C77-ADC!I77)</f>
        <v>8.0055853071231531E-2</v>
      </c>
    </row>
    <row r="78" spans="1:9" x14ac:dyDescent="0.25">
      <c r="A78" s="5">
        <v>76</v>
      </c>
      <c r="B78" s="5">
        <f t="shared" si="2"/>
        <v>27.6</v>
      </c>
      <c r="C78" s="21">
        <f t="shared" si="3"/>
        <v>0.63333300000000003</v>
      </c>
      <c r="D78" s="16"/>
      <c r="E78" s="19">
        <f>(ADC!I78+5/3)/(1/12)</f>
        <v>26.631973744170509</v>
      </c>
      <c r="F78" s="20">
        <f>ABS(B78-E78)/B78</f>
        <v>3.5073415066285966E-2</v>
      </c>
      <c r="G78" s="2"/>
      <c r="H78" s="2"/>
      <c r="I78" s="19">
        <f>ABS(C78-ADC!I78)</f>
        <v>8.0668521319124276E-2</v>
      </c>
    </row>
    <row r="79" spans="1:9" x14ac:dyDescent="0.25">
      <c r="A79" s="5">
        <v>77</v>
      </c>
      <c r="B79" s="5">
        <f t="shared" si="2"/>
        <v>27.7</v>
      </c>
      <c r="C79" s="21">
        <f t="shared" si="3"/>
        <v>0.64166699999999999</v>
      </c>
      <c r="D79" s="16"/>
      <c r="E79" s="19">
        <f>(ADC!I79+5/3)/(1/12)</f>
        <v>26.724939871788145</v>
      </c>
      <c r="F79" s="20">
        <f>ABS(B79-E79)/B79</f>
        <v>3.5200726650247455E-2</v>
      </c>
      <c r="G79" s="2"/>
      <c r="H79" s="2"/>
      <c r="I79" s="19">
        <f>ABS(C79-ADC!I79)</f>
        <v>8.1255344017654552E-2</v>
      </c>
    </row>
    <row r="80" spans="1:9" x14ac:dyDescent="0.25">
      <c r="A80" s="5">
        <v>78</v>
      </c>
      <c r="B80" s="5">
        <f t="shared" si="2"/>
        <v>27.8</v>
      </c>
      <c r="C80" s="21">
        <f t="shared" si="3"/>
        <v>0.65</v>
      </c>
      <c r="D80" s="16"/>
      <c r="E80" s="19">
        <f>(ADC!I80+5/3)/(1/12)</f>
        <v>26.818227681961254</v>
      </c>
      <c r="F80" s="20">
        <f>ABS(B80-E80)/B80</f>
        <v>3.5315551008588013E-2</v>
      </c>
      <c r="G80" s="2"/>
      <c r="H80" s="2"/>
      <c r="I80" s="19">
        <f>ABS(C80-ADC!I80)</f>
        <v>8.1814359836562156E-2</v>
      </c>
    </row>
    <row r="81" spans="1:9" x14ac:dyDescent="0.25">
      <c r="A81" s="5">
        <v>79</v>
      </c>
      <c r="B81" s="5">
        <f t="shared" si="2"/>
        <v>27.9</v>
      </c>
      <c r="C81" s="21">
        <f t="shared" si="3"/>
        <v>0.65833299999999995</v>
      </c>
      <c r="D81" s="16"/>
      <c r="E81" s="19">
        <f>(ADC!I81+5/3)/(1/12)</f>
        <v>26.911836708208998</v>
      </c>
      <c r="F81" s="20">
        <f>ABS(B81-E81)/B81</f>
        <v>3.5418039132293924E-2</v>
      </c>
      <c r="G81" s="2"/>
      <c r="H81" s="2"/>
      <c r="I81" s="19">
        <f>ABS(C81-ADC!I81)</f>
        <v>8.2346607649249948E-2</v>
      </c>
    </row>
    <row r="82" spans="1:9" x14ac:dyDescent="0.25">
      <c r="A82" s="5">
        <v>80</v>
      </c>
      <c r="B82" s="5">
        <f t="shared" si="2"/>
        <v>28</v>
      </c>
      <c r="C82" s="21">
        <f t="shared" si="3"/>
        <v>0.66666700000000001</v>
      </c>
      <c r="D82" s="16"/>
      <c r="E82" s="19">
        <f>(ADC!I82+5/3)/(1/12)</f>
        <v>27.005766476369132</v>
      </c>
      <c r="F82" s="20">
        <f>ABS(B82-E82)/B82</f>
        <v>3.5508340129673854E-2</v>
      </c>
      <c r="G82" s="2"/>
      <c r="H82" s="2"/>
      <c r="I82" s="19">
        <f>ABS(C82-ADC!I82)</f>
        <v>8.2853126969238966E-2</v>
      </c>
    </row>
    <row r="83" spans="1:9" x14ac:dyDescent="0.25">
      <c r="A83" s="5">
        <v>81</v>
      </c>
      <c r="B83" s="5">
        <f t="shared" si="2"/>
        <v>28.1</v>
      </c>
      <c r="C83" s="21">
        <f t="shared" si="3"/>
        <v>0.67500000000000004</v>
      </c>
      <c r="D83" s="16"/>
      <c r="E83" s="19">
        <f>(ADC!I83+5/3)/(1/12)</f>
        <v>27.10001650913658</v>
      </c>
      <c r="F83" s="20">
        <f>ABS(B83-E83)/B83</f>
        <v>3.5586601098342392E-2</v>
      </c>
      <c r="G83" s="2"/>
      <c r="H83" s="2"/>
      <c r="I83" s="19">
        <f>ABS(C83-ADC!I83)</f>
        <v>8.3331957571951776E-2</v>
      </c>
    </row>
    <row r="84" spans="1:9" x14ac:dyDescent="0.25">
      <c r="A84" s="5">
        <v>82</v>
      </c>
      <c r="B84" s="5">
        <f t="shared" si="2"/>
        <v>28.200000000000003</v>
      </c>
      <c r="C84" s="21">
        <f t="shared" si="3"/>
        <v>0.68333299999999997</v>
      </c>
      <c r="D84" s="16"/>
      <c r="E84" s="19">
        <f>(ADC!I84+5/3)/(1/12)</f>
        <v>27.183741506480047</v>
      </c>
      <c r="F84" s="20">
        <f>ABS(B84-E84)/B84</f>
        <v>3.6037535231204114E-2</v>
      </c>
      <c r="G84" s="2"/>
      <c r="H84" s="2"/>
      <c r="I84" s="19">
        <f>ABS(C84-ADC!I84)</f>
        <v>8.468787445999626E-2</v>
      </c>
    </row>
    <row r="85" spans="1:9" x14ac:dyDescent="0.25">
      <c r="A85" s="5">
        <v>83</v>
      </c>
      <c r="B85" s="5">
        <f t="shared" si="2"/>
        <v>28.3</v>
      </c>
      <c r="C85" s="21">
        <f t="shared" si="3"/>
        <v>0.69166700000000003</v>
      </c>
      <c r="D85" s="16"/>
      <c r="E85" s="19">
        <f>(ADC!I85+5/3)/(1/12)</f>
        <v>27.278641807297873</v>
      </c>
      <c r="F85" s="20">
        <f>ABS(B85-E85)/B85</f>
        <v>3.6090395501841954E-2</v>
      </c>
      <c r="G85" s="2"/>
      <c r="H85" s="2"/>
      <c r="I85" s="19">
        <f>ABS(C85-ADC!I85)</f>
        <v>8.5113516058510696E-2</v>
      </c>
    </row>
    <row r="86" spans="1:9" x14ac:dyDescent="0.25">
      <c r="A86" s="5">
        <v>84</v>
      </c>
      <c r="B86" s="5">
        <f t="shared" si="2"/>
        <v>28.4</v>
      </c>
      <c r="C86" s="21">
        <f t="shared" si="3"/>
        <v>0.7</v>
      </c>
      <c r="D86" s="16"/>
      <c r="E86" s="19">
        <f>(ADC!I86+5/3)/(1/12)</f>
        <v>27.373860912875237</v>
      </c>
      <c r="F86" s="20">
        <f>ABS(B86-E86)/B86</f>
        <v>3.6131657997350755E-2</v>
      </c>
      <c r="G86" s="2"/>
      <c r="H86" s="2"/>
      <c r="I86" s="19">
        <f>ABS(C86-ADC!I86)</f>
        <v>8.5511590593730369E-2</v>
      </c>
    </row>
    <row r="87" spans="1:9" x14ac:dyDescent="0.25">
      <c r="A87" s="5">
        <v>85</v>
      </c>
      <c r="B87" s="5">
        <f t="shared" si="2"/>
        <v>28.5</v>
      </c>
      <c r="C87" s="21">
        <f t="shared" si="3"/>
        <v>0.70833299999999999</v>
      </c>
      <c r="D87" s="16"/>
      <c r="E87" s="19">
        <f>(ADC!I87+5/3)/(1/12)</f>
        <v>27.469398313435267</v>
      </c>
      <c r="F87" s="20">
        <f>ABS(B87-E87)/B87</f>
        <v>3.6161462686481856E-2</v>
      </c>
      <c r="G87" s="2"/>
      <c r="H87" s="2"/>
      <c r="I87" s="19">
        <f>ABS(C87-ADC!I87)</f>
        <v>8.5883140547061032E-2</v>
      </c>
    </row>
    <row r="88" spans="1:9" x14ac:dyDescent="0.25">
      <c r="A88" s="5">
        <v>86</v>
      </c>
      <c r="B88" s="5">
        <f t="shared" si="2"/>
        <v>28.6</v>
      </c>
      <c r="C88" s="21">
        <f t="shared" si="3"/>
        <v>0.71666700000000005</v>
      </c>
      <c r="D88" s="16"/>
      <c r="E88" s="19">
        <f>(ADC!I88+5/3)/(1/12)</f>
        <v>27.565253503739875</v>
      </c>
      <c r="F88" s="20">
        <f>ABS(B88-E88)/B88</f>
        <v>3.6179947421682741E-2</v>
      </c>
      <c r="G88" s="2"/>
      <c r="H88" s="2"/>
      <c r="I88" s="19">
        <f>ABS(C88-ADC!I88)</f>
        <v>8.6229208021677106E-2</v>
      </c>
    </row>
    <row r="89" spans="1:9" x14ac:dyDescent="0.25">
      <c r="A89" s="5">
        <v>87</v>
      </c>
      <c r="B89" s="5">
        <f t="shared" si="2"/>
        <v>28.700000000000003</v>
      </c>
      <c r="C89" s="21">
        <f t="shared" si="3"/>
        <v>0.72499999999999998</v>
      </c>
      <c r="D89" s="16"/>
      <c r="E89" s="19">
        <f>(ADC!I89+5/3)/(1/12)</f>
        <v>27.650637428571969</v>
      </c>
      <c r="F89" s="20">
        <f>ABS(B89-E89)/B89</f>
        <v>3.65631557988862E-2</v>
      </c>
      <c r="G89" s="2"/>
      <c r="H89" s="2"/>
      <c r="I89" s="19">
        <f>ABS(C89-ADC!I89)</f>
        <v>8.744688095233577E-2</v>
      </c>
    </row>
    <row r="90" spans="1:9" x14ac:dyDescent="0.25">
      <c r="A90" s="5">
        <v>88</v>
      </c>
      <c r="B90" s="5">
        <f t="shared" si="2"/>
        <v>28.8</v>
      </c>
      <c r="C90" s="21">
        <f t="shared" si="3"/>
        <v>0.73333300000000001</v>
      </c>
      <c r="D90" s="16"/>
      <c r="E90" s="19">
        <f>(ADC!I90+5/3)/(1/12)</f>
        <v>27.747137937201824</v>
      </c>
      <c r="F90" s="20">
        <f>ABS(B90-E90)/B90</f>
        <v>3.655771051382558E-2</v>
      </c>
      <c r="G90" s="2"/>
      <c r="H90" s="2"/>
      <c r="I90" s="19">
        <f>ABS(C90-ADC!I90)</f>
        <v>8.7738171899848338E-2</v>
      </c>
    </row>
    <row r="91" spans="1:9" x14ac:dyDescent="0.25">
      <c r="A91" s="5">
        <v>89</v>
      </c>
      <c r="B91" s="5">
        <f t="shared" si="2"/>
        <v>28.9</v>
      </c>
      <c r="C91" s="21">
        <f t="shared" si="3"/>
        <v>0.74166699999999997</v>
      </c>
      <c r="D91" s="16"/>
      <c r="E91" s="19">
        <f>(ADC!I91+5/3)/(1/12)</f>
        <v>27.8439546755192</v>
      </c>
      <c r="F91" s="20">
        <f>ABS(B91-E91)/B91</f>
        <v>3.654136070867816E-2</v>
      </c>
      <c r="G91" s="2"/>
      <c r="H91" s="2"/>
      <c r="I91" s="19">
        <f>ABS(C91-ADC!I91)</f>
        <v>8.8004110373400279E-2</v>
      </c>
    </row>
    <row r="92" spans="1:9" x14ac:dyDescent="0.25">
      <c r="A92" s="5">
        <v>90</v>
      </c>
      <c r="B92" s="5">
        <f t="shared" si="2"/>
        <v>29</v>
      </c>
      <c r="C92" s="21">
        <f t="shared" si="3"/>
        <v>0.75</v>
      </c>
      <c r="D92" s="16"/>
      <c r="E92" s="19">
        <f>(ADC!I92+5/3)/(1/12)</f>
        <v>27.941087111749813</v>
      </c>
      <c r="F92" s="20">
        <f>ABS(B92-E92)/B92</f>
        <v>3.6514237525868534E-2</v>
      </c>
      <c r="G92" s="2"/>
      <c r="H92" s="2"/>
      <c r="I92" s="19">
        <f>ABS(C92-ADC!I92)</f>
        <v>8.8242740687515586E-2</v>
      </c>
    </row>
    <row r="93" spans="1:9" x14ac:dyDescent="0.25">
      <c r="A93" s="5">
        <v>91</v>
      </c>
      <c r="B93" s="5">
        <f t="shared" si="2"/>
        <v>29.1</v>
      </c>
      <c r="C93" s="21">
        <f t="shared" si="3"/>
        <v>0.75833300000000003</v>
      </c>
      <c r="D93" s="16"/>
      <c r="E93" s="19">
        <f>(ADC!I93+5/3)/(1/12)</f>
        <v>28.027791532197956</v>
      </c>
      <c r="F93" s="20">
        <f>ABS(B93-E93)/B93</f>
        <v>3.6845651814503291E-2</v>
      </c>
      <c r="G93" s="2"/>
      <c r="H93" s="2"/>
      <c r="I93" s="19">
        <f>ABS(C93-ADC!I93)</f>
        <v>8.9350372316837179E-2</v>
      </c>
    </row>
    <row r="94" spans="1:9" x14ac:dyDescent="0.25">
      <c r="A94" s="5">
        <v>92</v>
      </c>
      <c r="B94" s="5">
        <f t="shared" si="2"/>
        <v>29.200000000000003</v>
      </c>
      <c r="C94" s="21">
        <f t="shared" si="3"/>
        <v>0.76666699999999999</v>
      </c>
      <c r="D94" s="16"/>
      <c r="E94" s="19">
        <f>(ADC!I94+5/3)/(1/12)</f>
        <v>28.125565112867228</v>
      </c>
      <c r="F94" s="20">
        <f>ABS(B94-E94)/B94</f>
        <v>3.6795715312766243E-2</v>
      </c>
      <c r="G94" s="2"/>
      <c r="H94" s="2"/>
      <c r="I94" s="19">
        <f>ABS(C94-ADC!I94)</f>
        <v>8.9536573927731289E-2</v>
      </c>
    </row>
    <row r="95" spans="1:9" x14ac:dyDescent="0.25">
      <c r="A95" s="5">
        <v>93</v>
      </c>
      <c r="B95" s="5">
        <f t="shared" si="2"/>
        <v>29.3</v>
      </c>
      <c r="C95" s="21">
        <f t="shared" si="3"/>
        <v>0.77500000000000002</v>
      </c>
      <c r="D95" s="16"/>
      <c r="E95" s="19">
        <f>(ADC!I95+5/3)/(1/12)</f>
        <v>28.223652760512461</v>
      </c>
      <c r="F95" s="20">
        <f>ABS(B95-E95)/B95</f>
        <v>3.673540066510373E-2</v>
      </c>
      <c r="G95" s="2"/>
      <c r="H95" s="2"/>
      <c r="I95" s="19">
        <f>ABS(C95-ADC!I95)</f>
        <v>8.969560329062809E-2</v>
      </c>
    </row>
    <row r="96" spans="1:9" x14ac:dyDescent="0.25">
      <c r="A96" s="5">
        <v>94</v>
      </c>
      <c r="B96" s="5">
        <f t="shared" si="2"/>
        <v>29.4</v>
      </c>
      <c r="C96" s="21">
        <f t="shared" si="3"/>
        <v>0.78333299999999995</v>
      </c>
      <c r="D96" s="16"/>
      <c r="E96" s="19">
        <f>(ADC!I96+5/3)/(1/12)</f>
        <v>28.311344959443986</v>
      </c>
      <c r="F96" s="20">
        <f>ABS(B96-E96)/B96</f>
        <v>3.7029083012109283E-2</v>
      </c>
      <c r="G96" s="2"/>
      <c r="H96" s="2"/>
      <c r="I96" s="19">
        <f>ABS(C96-ADC!I96)</f>
        <v>9.0720920046334586E-2</v>
      </c>
    </row>
    <row r="97" spans="1:9" x14ac:dyDescent="0.25">
      <c r="A97" s="5">
        <v>95</v>
      </c>
      <c r="B97" s="5">
        <f t="shared" si="2"/>
        <v>29.5</v>
      </c>
      <c r="C97" s="21">
        <f t="shared" si="3"/>
        <v>0.79166700000000001</v>
      </c>
      <c r="D97" s="16"/>
      <c r="E97" s="19">
        <f>(ADC!I97+5/3)/(1/12)</f>
        <v>28.410070499080881</v>
      </c>
      <c r="F97" s="20">
        <f>ABS(B97-E97)/B97</f>
        <v>3.6946762743020993E-2</v>
      </c>
      <c r="G97" s="2"/>
      <c r="H97" s="2"/>
      <c r="I97" s="19">
        <f>ABS(C97-ADC!I97)</f>
        <v>9.0827791743260278E-2</v>
      </c>
    </row>
    <row r="98" spans="1:9" x14ac:dyDescent="0.25">
      <c r="A98" s="5">
        <v>96</v>
      </c>
      <c r="B98" s="5">
        <f t="shared" si="2"/>
        <v>29.6</v>
      </c>
      <c r="C98" s="21">
        <f t="shared" si="3"/>
        <v>0.8</v>
      </c>
      <c r="D98" s="16"/>
      <c r="E98" s="19">
        <f>(ADC!I98+5/3)/(1/12)</f>
        <v>28.509108423778741</v>
      </c>
      <c r="F98" s="20">
        <f>ABS(B98-E98)/B98</f>
        <v>3.6854445142610139E-2</v>
      </c>
      <c r="G98" s="2"/>
      <c r="H98" s="2"/>
      <c r="I98" s="19">
        <f>ABS(C98-ADC!I98)</f>
        <v>9.0907631351771712E-2</v>
      </c>
    </row>
    <row r="99" spans="1:9" x14ac:dyDescent="0.25">
      <c r="A99" s="5">
        <v>97</v>
      </c>
      <c r="B99" s="5">
        <f t="shared" si="2"/>
        <v>29.700000000000003</v>
      </c>
      <c r="C99" s="21">
        <f t="shared" si="3"/>
        <v>0.80833299999999997</v>
      </c>
      <c r="D99" s="16"/>
      <c r="E99" s="19">
        <f>(ADC!I99+5/3)/(1/12)</f>
        <v>28.597783571929646</v>
      </c>
      <c r="F99" s="20">
        <f>ABS(B99-E99)/B99</f>
        <v>3.711166424479314E-2</v>
      </c>
      <c r="G99" s="2"/>
      <c r="H99" s="2"/>
      <c r="I99" s="19">
        <f>ABS(C99-ADC!I99)</f>
        <v>9.1851035672529502E-2</v>
      </c>
    </row>
    <row r="100" spans="1:9" x14ac:dyDescent="0.25">
      <c r="A100" s="5">
        <v>98</v>
      </c>
      <c r="B100" s="5">
        <f t="shared" si="2"/>
        <v>29.8</v>
      </c>
      <c r="C100" s="21">
        <f t="shared" si="3"/>
        <v>0.81666700000000003</v>
      </c>
      <c r="D100" s="16"/>
      <c r="E100" s="19">
        <f>(ADC!I100+5/3)/(1/12)</f>
        <v>28.697456021995862</v>
      </c>
      <c r="F100" s="20">
        <f>ABS(B100-E100)/B100</f>
        <v>3.6998120067252983E-2</v>
      </c>
      <c r="G100" s="2"/>
      <c r="H100" s="2"/>
      <c r="I100" s="19">
        <f>ABS(C100-ADC!I100)</f>
        <v>9.1878998167011838E-2</v>
      </c>
    </row>
    <row r="101" spans="1:9" x14ac:dyDescent="0.25">
      <c r="A101" s="5">
        <v>99</v>
      </c>
      <c r="B101" s="5">
        <f t="shared" si="2"/>
        <v>29.9</v>
      </c>
      <c r="C101" s="21">
        <f t="shared" si="3"/>
        <v>0.82499999999999996</v>
      </c>
      <c r="D101" s="16"/>
      <c r="E101" s="19">
        <f>(ADC!I101+5/3)/(1/12)</f>
        <v>28.786787547141245</v>
      </c>
      <c r="F101" s="20">
        <f>ABS(B101-E101)/B101</f>
        <v>3.7231185714339594E-2</v>
      </c>
      <c r="G101" s="2"/>
      <c r="H101" s="2"/>
      <c r="I101" s="19">
        <f>ABS(C101-ADC!I101)</f>
        <v>9.2767704404896345E-2</v>
      </c>
    </row>
    <row r="102" spans="1:9" x14ac:dyDescent="0.25">
      <c r="A102" s="5">
        <v>100</v>
      </c>
      <c r="B102" s="5">
        <f t="shared" si="2"/>
        <v>30</v>
      </c>
      <c r="C102" s="21">
        <f t="shared" si="3"/>
        <v>0.83333299999999999</v>
      </c>
      <c r="D102" s="16"/>
      <c r="E102" s="19">
        <f>(ADC!I102+5/3)/(1/12)</f>
        <v>28.887092225087795</v>
      </c>
      <c r="F102" s="20">
        <f>ABS(B102-E102)/B102</f>
        <v>3.7096925830406843E-2</v>
      </c>
      <c r="G102" s="2"/>
      <c r="H102" s="2"/>
      <c r="I102" s="19">
        <f>ABS(C102-ADC!I102)</f>
        <v>9.2741981242683735E-2</v>
      </c>
    </row>
    <row r="103" spans="1:9" x14ac:dyDescent="0.25">
      <c r="A103" s="5">
        <v>101</v>
      </c>
      <c r="B103" s="5">
        <f t="shared" si="2"/>
        <v>30.1</v>
      </c>
      <c r="C103" s="21">
        <f t="shared" si="3"/>
        <v>0.84166700000000005</v>
      </c>
      <c r="D103" s="16"/>
      <c r="E103" s="19">
        <f>(ADC!I103+5/3)/(1/12)</f>
        <v>28.977077872686397</v>
      </c>
      <c r="F103" s="20">
        <f>ABS(B103-E103)/B103</f>
        <v>3.7306382967229372E-2</v>
      </c>
      <c r="G103" s="2"/>
      <c r="H103" s="2"/>
      <c r="I103" s="19">
        <f>ABS(C103-ADC!I103)</f>
        <v>9.3577177276133683E-2</v>
      </c>
    </row>
    <row r="104" spans="1:9" x14ac:dyDescent="0.25">
      <c r="A104" s="5">
        <v>102</v>
      </c>
      <c r="B104" s="5">
        <f t="shared" si="2"/>
        <v>30.200000000000003</v>
      </c>
      <c r="C104" s="21">
        <f t="shared" si="3"/>
        <v>0.85</v>
      </c>
      <c r="D104" s="16"/>
      <c r="E104" s="19">
        <f>(ADC!I104+5/3)/(1/12)</f>
        <v>29.067395517444957</v>
      </c>
      <c r="F104" s="20">
        <f>ABS(B104-E104)/B104</f>
        <v>3.7503459687253153E-2</v>
      </c>
      <c r="G104" s="2"/>
      <c r="H104" s="2"/>
      <c r="I104" s="19">
        <f>ABS(C104-ADC!I104)</f>
        <v>9.438370687958697E-2</v>
      </c>
    </row>
    <row r="105" spans="1:9" x14ac:dyDescent="0.25">
      <c r="A105" s="5">
        <v>103</v>
      </c>
      <c r="B105" s="5">
        <f t="shared" si="2"/>
        <v>30.3</v>
      </c>
      <c r="C105" s="21">
        <f t="shared" si="3"/>
        <v>0.85833300000000001</v>
      </c>
      <c r="D105" s="16"/>
      <c r="E105" s="19">
        <f>(ADC!I105+5/3)/(1/12)</f>
        <v>29.168649920418542</v>
      </c>
      <c r="F105" s="20">
        <f>ABS(B105-E105)/B105</f>
        <v>3.7338286454833634E-2</v>
      </c>
      <c r="G105" s="2"/>
      <c r="H105" s="2"/>
      <c r="I105" s="19">
        <f>ABS(C105-ADC!I105)</f>
        <v>9.4278839965121652E-2</v>
      </c>
    </row>
    <row r="106" spans="1:9" x14ac:dyDescent="0.25">
      <c r="A106" s="5">
        <v>104</v>
      </c>
      <c r="B106" s="5">
        <f t="shared" si="2"/>
        <v>30.4</v>
      </c>
      <c r="C106" s="21">
        <f t="shared" si="3"/>
        <v>0.86666699999999997</v>
      </c>
      <c r="D106" s="16"/>
      <c r="E106" s="19">
        <f>(ADC!I106+5/3)/(1/12)</f>
        <v>29.259618242445569</v>
      </c>
      <c r="F106" s="20">
        <f>ABS(B106-E106)/B106</f>
        <v>3.7512557814290443E-2</v>
      </c>
      <c r="G106" s="2"/>
      <c r="H106" s="2"/>
      <c r="I106" s="19">
        <f>ABS(C106-ADC!I106)</f>
        <v>9.5032146462869505E-2</v>
      </c>
    </row>
    <row r="107" spans="1:9" x14ac:dyDescent="0.25">
      <c r="A107" s="5">
        <v>105</v>
      </c>
      <c r="B107" s="5">
        <f t="shared" si="2"/>
        <v>30.5</v>
      </c>
      <c r="C107" s="21">
        <f t="shared" si="3"/>
        <v>0.875</v>
      </c>
      <c r="D107" s="16"/>
      <c r="E107" s="19">
        <f>(ADC!I107+5/3)/(1/12)</f>
        <v>29.350916832580719</v>
      </c>
      <c r="F107" s="20">
        <f>ABS(B107-E107)/B107</f>
        <v>3.767485794817315E-2</v>
      </c>
      <c r="G107" s="2"/>
      <c r="H107" s="2"/>
      <c r="I107" s="19">
        <f>ABS(C107-ADC!I107)</f>
        <v>9.5756930618273395E-2</v>
      </c>
    </row>
    <row r="108" spans="1:9" x14ac:dyDescent="0.25">
      <c r="A108" s="5">
        <v>106</v>
      </c>
      <c r="B108" s="5">
        <f t="shared" si="2"/>
        <v>30.6</v>
      </c>
      <c r="C108" s="21">
        <f t="shared" si="3"/>
        <v>0.88333300000000003</v>
      </c>
      <c r="D108" s="16"/>
      <c r="E108" s="19">
        <f>(ADC!I108+5/3)/(1/12)</f>
        <v>29.453115574403256</v>
      </c>
      <c r="F108" s="20">
        <f>ABS(B108-E108)/B108</f>
        <v>3.7479883189436125E-2</v>
      </c>
      <c r="G108" s="2"/>
      <c r="H108" s="2"/>
      <c r="I108" s="19">
        <f>ABS(C108-ADC!I108)</f>
        <v>9.5573368799728664E-2</v>
      </c>
    </row>
    <row r="109" spans="1:9" x14ac:dyDescent="0.25">
      <c r="A109" s="5">
        <v>107</v>
      </c>
      <c r="B109" s="5">
        <f t="shared" si="2"/>
        <v>30.700000000000003</v>
      </c>
      <c r="C109" s="21">
        <f t="shared" si="3"/>
        <v>0.89166699999999999</v>
      </c>
      <c r="D109" s="16"/>
      <c r="E109" s="19">
        <f>(ADC!I109+5/3)/(1/12)</f>
        <v>29.545061284890352</v>
      </c>
      <c r="F109" s="20">
        <f>ABS(B109-E109)/B109</f>
        <v>3.7620153586633578E-2</v>
      </c>
      <c r="G109" s="2"/>
      <c r="H109" s="2"/>
      <c r="I109" s="19">
        <f>ABS(C109-ADC!I109)</f>
        <v>9.6245226259137673E-2</v>
      </c>
    </row>
    <row r="110" spans="1:9" x14ac:dyDescent="0.25">
      <c r="A110" s="5">
        <v>108</v>
      </c>
      <c r="B110" s="5">
        <f t="shared" si="2"/>
        <v>30.8</v>
      </c>
      <c r="C110" s="21">
        <f t="shared" si="3"/>
        <v>0.9</v>
      </c>
      <c r="D110" s="16"/>
      <c r="E110" s="19">
        <f>(ADC!I110+5/3)/(1/12)</f>
        <v>29.647882628886055</v>
      </c>
      <c r="F110" s="20">
        <f>ABS(B110-E110)/B110</f>
        <v>3.7406408153050172E-2</v>
      </c>
      <c r="G110" s="2"/>
      <c r="H110" s="2"/>
      <c r="I110" s="19">
        <f>ABS(C110-ADC!I110)</f>
        <v>9.6009780926162192E-2</v>
      </c>
    </row>
    <row r="111" spans="1:9" x14ac:dyDescent="0.25">
      <c r="A111" s="5">
        <v>109</v>
      </c>
      <c r="B111" s="5">
        <f t="shared" si="2"/>
        <v>30.9</v>
      </c>
      <c r="C111" s="21">
        <f t="shared" si="3"/>
        <v>0.90833299999999995</v>
      </c>
      <c r="D111" s="16"/>
      <c r="E111" s="19">
        <f>(ADC!I111+5/3)/(1/12)</f>
        <v>29.740473014541255</v>
      </c>
      <c r="F111" s="20">
        <f>ABS(B111-E111)/B111</f>
        <v>3.7525145160477141E-2</v>
      </c>
      <c r="G111" s="2"/>
      <c r="H111" s="2"/>
      <c r="I111" s="19">
        <f>ABS(C111-ADC!I111)</f>
        <v>9.6626915454895657E-2</v>
      </c>
    </row>
    <row r="112" spans="1:9" x14ac:dyDescent="0.25">
      <c r="A112" s="5">
        <v>110</v>
      </c>
      <c r="B112" s="5">
        <f t="shared" si="2"/>
        <v>31</v>
      </c>
      <c r="C112" s="21">
        <f t="shared" si="3"/>
        <v>0.91666700000000001</v>
      </c>
      <c r="D112" s="16"/>
      <c r="E112" s="19">
        <f>(ADC!I112+5/3)/(1/12)</f>
        <v>29.843914422300031</v>
      </c>
      <c r="F112" s="20">
        <f>ABS(B112-E112)/B112</f>
        <v>3.7293083151611894E-2</v>
      </c>
      <c r="G112" s="2"/>
      <c r="H112" s="2"/>
      <c r="I112" s="19">
        <f>ABS(C112-ADC!I112)</f>
        <v>9.6340798141664186E-2</v>
      </c>
    </row>
    <row r="113" spans="1:9" x14ac:dyDescent="0.25">
      <c r="A113" s="5">
        <v>111</v>
      </c>
      <c r="B113" s="5">
        <f t="shared" si="2"/>
        <v>31.1</v>
      </c>
      <c r="C113" s="21">
        <f t="shared" si="3"/>
        <v>0.92500000000000004</v>
      </c>
      <c r="D113" s="16"/>
      <c r="E113" s="19">
        <f>(ADC!I113+5/3)/(1/12)</f>
        <v>29.937146990104363</v>
      </c>
      <c r="F113" s="20">
        <f>ABS(B113-E113)/B113</f>
        <v>3.7390772022367784E-2</v>
      </c>
      <c r="G113" s="2"/>
      <c r="H113" s="2"/>
      <c r="I113" s="19">
        <f>ABS(C113-ADC!I113)</f>
        <v>9.6904417491303407E-2</v>
      </c>
    </row>
    <row r="114" spans="1:9" x14ac:dyDescent="0.25">
      <c r="A114" s="5">
        <v>112</v>
      </c>
      <c r="B114" s="5">
        <f t="shared" si="2"/>
        <v>31.200000000000003</v>
      </c>
      <c r="C114" s="21">
        <f t="shared" si="3"/>
        <v>0.93333299999999997</v>
      </c>
      <c r="D114" s="16"/>
      <c r="E114" s="19">
        <f>(ADC!I114+5/3)/(1/12)</f>
        <v>30.030705568331442</v>
      </c>
      <c r="F114" s="20">
        <f>ABS(B114-E114)/B114</f>
        <v>3.74773856304026E-2</v>
      </c>
      <c r="G114" s="2"/>
      <c r="H114" s="2"/>
      <c r="I114" s="19">
        <f>ABS(C114-ADC!I114)</f>
        <v>9.7440869305713496E-2</v>
      </c>
    </row>
    <row r="115" spans="1:9" x14ac:dyDescent="0.25">
      <c r="A115" s="5">
        <v>113</v>
      </c>
      <c r="B115" s="5">
        <f t="shared" si="2"/>
        <v>31.3</v>
      </c>
      <c r="C115" s="21">
        <f t="shared" si="3"/>
        <v>0.94166700000000003</v>
      </c>
      <c r="D115" s="16"/>
      <c r="E115" s="19">
        <f>(ADC!I115+5/3)/(1/12)</f>
        <v>30.135078084130868</v>
      </c>
      <c r="F115" s="20">
        <f>ABS(B115-E115)/B115</f>
        <v>3.7217952583678375E-2</v>
      </c>
      <c r="G115" s="2"/>
      <c r="H115" s="2"/>
      <c r="I115" s="19">
        <f>ABS(C115-ADC!I115)</f>
        <v>9.7077159655761358E-2</v>
      </c>
    </row>
    <row r="116" spans="1:9" x14ac:dyDescent="0.25">
      <c r="A116" s="5">
        <v>114</v>
      </c>
      <c r="B116" s="5">
        <f t="shared" si="2"/>
        <v>31.4</v>
      </c>
      <c r="C116" s="21">
        <f t="shared" si="3"/>
        <v>0.95</v>
      </c>
      <c r="D116" s="16"/>
      <c r="E116" s="19">
        <f>(ADC!I116+5/3)/(1/12)</f>
        <v>30.229275026067789</v>
      </c>
      <c r="F116" s="20">
        <f>ABS(B116-E116)/B116</f>
        <v>3.72842348386054E-2</v>
      </c>
      <c r="G116" s="2"/>
      <c r="H116" s="2"/>
      <c r="I116" s="19">
        <f>ABS(C116-ADC!I116)</f>
        <v>9.7560414494351155E-2</v>
      </c>
    </row>
    <row r="117" spans="1:9" x14ac:dyDescent="0.25">
      <c r="A117" s="5">
        <v>115</v>
      </c>
      <c r="B117" s="5">
        <f t="shared" si="2"/>
        <v>31.5</v>
      </c>
      <c r="C117" s="21">
        <f t="shared" si="3"/>
        <v>0.95833299999999999</v>
      </c>
      <c r="D117" s="16"/>
      <c r="E117" s="19">
        <f>(ADC!I117+5/3)/(1/12)</f>
        <v>30.32379607025522</v>
      </c>
      <c r="F117" s="20">
        <f>ABS(B117-E117)/B117</f>
        <v>3.7339807293485079E-2</v>
      </c>
      <c r="G117" s="2"/>
      <c r="H117" s="2"/>
      <c r="I117" s="19">
        <f>ABS(C117-ADC!I117)</f>
        <v>9.8016660812064949E-2</v>
      </c>
    </row>
    <row r="118" spans="1:9" x14ac:dyDescent="0.25">
      <c r="A118" s="5">
        <v>116</v>
      </c>
      <c r="B118" s="5">
        <f t="shared" si="2"/>
        <v>31.6</v>
      </c>
      <c r="C118" s="21">
        <f t="shared" si="3"/>
        <v>0.96666700000000005</v>
      </c>
      <c r="D118" s="16"/>
      <c r="E118" s="19">
        <f>(ADC!I118+5/3)/(1/12)</f>
        <v>30.439546981194322</v>
      </c>
      <c r="F118" s="20">
        <f>ABS(B118-E118)/B118</f>
        <v>3.6723196797648072E-2</v>
      </c>
      <c r="G118" s="2"/>
      <c r="H118" s="2"/>
      <c r="I118" s="19">
        <f>ABS(C118-ADC!I118)</f>
        <v>9.670475156714009E-2</v>
      </c>
    </row>
    <row r="119" spans="1:9" x14ac:dyDescent="0.25">
      <c r="A119" s="5">
        <v>117</v>
      </c>
      <c r="B119" s="5">
        <f t="shared" si="2"/>
        <v>31.700000000000003</v>
      </c>
      <c r="C119" s="21">
        <f t="shared" si="3"/>
        <v>0.97499999999999998</v>
      </c>
      <c r="D119" s="16"/>
      <c r="E119" s="19">
        <f>(ADC!I119+5/3)/(1/12)</f>
        <v>30.534690634887298</v>
      </c>
      <c r="F119" s="20">
        <f>ABS(B119-E119)/B119</f>
        <v>3.6760547795353468E-2</v>
      </c>
      <c r="G119" s="2"/>
      <c r="H119" s="2"/>
      <c r="I119" s="19">
        <f>ABS(C119-ADC!I119)</f>
        <v>9.7109113759391907E-2</v>
      </c>
    </row>
    <row r="120" spans="1:9" x14ac:dyDescent="0.25">
      <c r="A120" s="5">
        <v>118</v>
      </c>
      <c r="B120" s="5">
        <f t="shared" si="2"/>
        <v>31.8</v>
      </c>
      <c r="C120" s="21">
        <f t="shared" si="3"/>
        <v>0.98333300000000001</v>
      </c>
      <c r="D120" s="16"/>
      <c r="E120" s="19">
        <f>(ADC!I120+5/3)/(1/12)</f>
        <v>30.630156409334528</v>
      </c>
      <c r="F120" s="20">
        <f>ABS(B120-E120)/B120</f>
        <v>3.6787534297656362E-2</v>
      </c>
      <c r="G120" s="2"/>
      <c r="H120" s="2"/>
      <c r="I120" s="19">
        <f>ABS(C120-ADC!I120)</f>
        <v>9.7486632555456088E-2</v>
      </c>
    </row>
    <row r="121" spans="1:9" x14ac:dyDescent="0.25">
      <c r="A121" s="5">
        <v>119</v>
      </c>
      <c r="B121" s="5">
        <f t="shared" si="2"/>
        <v>31.9</v>
      </c>
      <c r="C121" s="21">
        <f t="shared" si="3"/>
        <v>0.99166699999999997</v>
      </c>
      <c r="D121" s="16"/>
      <c r="E121" s="19">
        <f>(ADC!I121+5/3)/(1/12)</f>
        <v>30.725943640429392</v>
      </c>
      <c r="F121" s="20">
        <f>ABS(B121-E121)/B121</f>
        <v>3.6804274594689858E-2</v>
      </c>
      <c r="G121" s="2"/>
      <c r="H121" s="2"/>
      <c r="I121" s="19">
        <f>ABS(C121-ADC!I121)</f>
        <v>9.7838363297550468E-2</v>
      </c>
    </row>
    <row r="122" spans="1:9" x14ac:dyDescent="0.25">
      <c r="A122" s="5">
        <v>120</v>
      </c>
      <c r="B122" s="5">
        <f t="shared" si="2"/>
        <v>32</v>
      </c>
      <c r="C122" s="21">
        <f t="shared" si="3"/>
        <v>1</v>
      </c>
      <c r="D122" s="16"/>
      <c r="E122" s="19">
        <f>(ADC!I122+5/3)/(1/12)</f>
        <v>30.832457501754522</v>
      </c>
      <c r="F122" s="20">
        <f>ABS(B122-E122)/B122</f>
        <v>3.6485703070171183E-2</v>
      </c>
      <c r="G122" s="2"/>
      <c r="H122" s="2"/>
      <c r="I122" s="19">
        <f>ABS(C122-ADC!I122)</f>
        <v>9.729520818712345E-2</v>
      </c>
    </row>
    <row r="123" spans="1:9" x14ac:dyDescent="0.25">
      <c r="A123" s="5">
        <v>121</v>
      </c>
      <c r="B123" s="5">
        <f t="shared" si="2"/>
        <v>32.1</v>
      </c>
      <c r="C123" s="21">
        <f t="shared" si="3"/>
        <v>1.0083329999999999</v>
      </c>
      <c r="D123" s="16"/>
      <c r="E123" s="19">
        <f>(ADC!I123+5/3)/(1/12)</f>
        <v>30.928873748087039</v>
      </c>
      <c r="F123" s="20">
        <f>ABS(B123-E123)/B123</f>
        <v>3.6483683860216901E-2</v>
      </c>
      <c r="G123" s="2"/>
      <c r="H123" s="2"/>
      <c r="I123" s="19">
        <f>ABS(C123-ADC!I123)</f>
        <v>9.7593520992746985E-2</v>
      </c>
    </row>
    <row r="124" spans="1:9" x14ac:dyDescent="0.25">
      <c r="A124" s="5">
        <v>122</v>
      </c>
      <c r="B124" s="5">
        <f t="shared" si="2"/>
        <v>32.200000000000003</v>
      </c>
      <c r="C124" s="21">
        <f t="shared" si="3"/>
        <v>1.016667</v>
      </c>
      <c r="D124" s="16"/>
      <c r="E124" s="19">
        <f>(ADC!I124+5/3)/(1/12)</f>
        <v>31.025609416149006</v>
      </c>
      <c r="F124" s="20">
        <f>ABS(B124-E124)/B124</f>
        <v>3.647175726245331E-2</v>
      </c>
      <c r="G124" s="2"/>
      <c r="H124" s="2"/>
      <c r="I124" s="19">
        <f>ABS(C124-ADC!I124)</f>
        <v>9.7866215320916439E-2</v>
      </c>
    </row>
    <row r="125" spans="1:9" x14ac:dyDescent="0.25">
      <c r="A125" s="5">
        <v>123</v>
      </c>
      <c r="B125" s="5">
        <f t="shared" si="2"/>
        <v>32.299999999999997</v>
      </c>
      <c r="C125" s="21">
        <f t="shared" si="3"/>
        <v>1.0249999999999999</v>
      </c>
      <c r="D125" s="16"/>
      <c r="E125" s="19">
        <f>(ADC!I125+5/3)/(1/12)</f>
        <v>31.12266381913803</v>
      </c>
      <c r="F125" s="20">
        <f>ABS(B125-E125)/B125</f>
        <v>3.6450036559194043E-2</v>
      </c>
      <c r="G125" s="2"/>
      <c r="H125" s="2"/>
      <c r="I125" s="19">
        <f>ABS(C125-ADC!I125)</f>
        <v>9.8111348405164445E-2</v>
      </c>
    </row>
    <row r="126" spans="1:9" x14ac:dyDescent="0.25">
      <c r="A126" s="5">
        <v>124</v>
      </c>
      <c r="B126" s="5">
        <f t="shared" si="2"/>
        <v>32.4</v>
      </c>
      <c r="C126" s="21">
        <f t="shared" si="3"/>
        <v>1.0333330000000001</v>
      </c>
      <c r="D126" s="16"/>
      <c r="E126" s="19">
        <f>(ADC!I126+5/3)/(1/12)</f>
        <v>31.220036262221338</v>
      </c>
      <c r="F126" s="20">
        <f>ABS(B126-E126)/B126</f>
        <v>3.6418633882057419E-2</v>
      </c>
      <c r="G126" s="2"/>
      <c r="H126" s="2"/>
      <c r="I126" s="19">
        <f>ABS(C126-ADC!I126)</f>
        <v>9.8329978148222197E-2</v>
      </c>
    </row>
    <row r="127" spans="1:9" x14ac:dyDescent="0.25">
      <c r="A127" s="5">
        <v>125</v>
      </c>
      <c r="B127" s="5">
        <f t="shared" si="2"/>
        <v>32.5</v>
      </c>
      <c r="C127" s="21">
        <f t="shared" si="3"/>
        <v>1.0416669999999999</v>
      </c>
      <c r="D127" s="16"/>
      <c r="E127" s="19">
        <f>(ADC!I127+5/3)/(1/12)</f>
        <v>31.328072295673117</v>
      </c>
      <c r="F127" s="20">
        <f>ABS(B127-E127)/B127</f>
        <v>3.6059313979288715E-2</v>
      </c>
      <c r="G127" s="2"/>
      <c r="H127" s="2"/>
      <c r="I127" s="19">
        <f>ABS(C127-ADC!I127)</f>
        <v>9.7660975360573832E-2</v>
      </c>
    </row>
    <row r="128" spans="1:9" x14ac:dyDescent="0.25">
      <c r="A128" s="5">
        <v>126</v>
      </c>
      <c r="B128" s="5">
        <f t="shared" si="2"/>
        <v>32.6</v>
      </c>
      <c r="C128" s="21">
        <f t="shared" si="3"/>
        <v>1.05</v>
      </c>
      <c r="D128" s="16"/>
      <c r="E128" s="19">
        <f>(ADC!I128+5/3)/(1/12)</f>
        <v>31.426066753987634</v>
      </c>
      <c r="F128" s="20">
        <f>ABS(B128-E128)/B128</f>
        <v>3.6010222270318026E-2</v>
      </c>
      <c r="G128" s="2"/>
      <c r="H128" s="2"/>
      <c r="I128" s="19">
        <f>ABS(C128-ADC!I128)</f>
        <v>9.7827770501030864E-2</v>
      </c>
    </row>
    <row r="129" spans="1:9" x14ac:dyDescent="0.25">
      <c r="A129" s="5">
        <v>127</v>
      </c>
      <c r="B129" s="5">
        <f t="shared" si="2"/>
        <v>32.700000000000003</v>
      </c>
      <c r="C129" s="21">
        <f t="shared" si="3"/>
        <v>1.058333</v>
      </c>
      <c r="D129" s="16"/>
      <c r="E129" s="19">
        <f>(ADC!I129+5/3)/(1/12)</f>
        <v>31.514054827141326</v>
      </c>
      <c r="F129" s="20">
        <f>ABS(B129-E129)/B129</f>
        <v>3.626743647885862E-2</v>
      </c>
      <c r="G129" s="2"/>
      <c r="H129" s="2"/>
      <c r="I129" s="19">
        <f>ABS(C129-ADC!I129)</f>
        <v>9.8828431071556255E-2</v>
      </c>
    </row>
    <row r="130" spans="1:9" x14ac:dyDescent="0.25">
      <c r="A130" s="5">
        <v>128</v>
      </c>
      <c r="B130" s="5">
        <f t="shared" si="2"/>
        <v>32.799999999999997</v>
      </c>
      <c r="C130" s="21">
        <f t="shared" si="3"/>
        <v>1.066667</v>
      </c>
      <c r="D130" s="16"/>
      <c r="E130" s="19">
        <f>(ADC!I130+5/3)/(1/12)</f>
        <v>31.612692396725862</v>
      </c>
      <c r="F130" s="20">
        <f>ABS(B130-E130)/B130</f>
        <v>3.6198402538845591E-2</v>
      </c>
      <c r="G130" s="2"/>
      <c r="H130" s="2"/>
      <c r="I130" s="19">
        <f>ABS(C130-ADC!I130)</f>
        <v>9.8942633606178165E-2</v>
      </c>
    </row>
    <row r="131" spans="1:9" x14ac:dyDescent="0.25">
      <c r="A131" s="5">
        <v>129</v>
      </c>
      <c r="B131" s="5">
        <f t="shared" ref="B131:B194" si="4">0.1*A131+20</f>
        <v>32.9</v>
      </c>
      <c r="C131" s="21">
        <f t="shared" ref="C131:C194" si="5">ROUND(1/12*B131-5/3,6)</f>
        <v>1.075</v>
      </c>
      <c r="D131" s="16"/>
      <c r="E131" s="19">
        <f>(ADC!I131+5/3)/(1/12)</f>
        <v>31.711644451932223</v>
      </c>
      <c r="F131" s="20">
        <f>ABS(B131-E131)/B131</f>
        <v>3.6120229424552452E-2</v>
      </c>
      <c r="G131" s="2"/>
      <c r="H131" s="2"/>
      <c r="I131" s="19">
        <f>ABS(C131-ADC!I131)</f>
        <v>9.9029629005648379E-2</v>
      </c>
    </row>
    <row r="132" spans="1:9" x14ac:dyDescent="0.25">
      <c r="A132" s="5">
        <v>130</v>
      </c>
      <c r="B132" s="5">
        <f t="shared" si="4"/>
        <v>33</v>
      </c>
      <c r="C132" s="21">
        <f t="shared" si="5"/>
        <v>1.0833330000000001</v>
      </c>
      <c r="D132" s="16"/>
      <c r="E132" s="19">
        <f>(ADC!I132+5/3)/(1/12)</f>
        <v>31.810910275929754</v>
      </c>
      <c r="F132" s="20">
        <f>ABS(B132-E132)/B132</f>
        <v>3.6033021941522622E-2</v>
      </c>
      <c r="G132" s="2"/>
      <c r="H132" s="2"/>
      <c r="I132" s="19">
        <f>ABS(C132-ADC!I132)</f>
        <v>9.9090477005854161E-2</v>
      </c>
    </row>
    <row r="133" spans="1:9" x14ac:dyDescent="0.25">
      <c r="A133" s="5">
        <v>131</v>
      </c>
      <c r="B133" s="5">
        <f t="shared" si="4"/>
        <v>33.1</v>
      </c>
      <c r="C133" s="21">
        <f t="shared" si="5"/>
        <v>1.0916669999999999</v>
      </c>
      <c r="D133" s="16"/>
      <c r="E133" s="19">
        <f>(ADC!I133+5/3)/(1/12)</f>
        <v>31.910489126050443</v>
      </c>
      <c r="F133" s="20">
        <f>ABS(B133-E133)/B133</f>
        <v>3.5936884409352214E-2</v>
      </c>
      <c r="G133" s="2"/>
      <c r="H133" s="2"/>
      <c r="I133" s="19">
        <f>ABS(C133-ADC!I133)</f>
        <v>9.9126239495796464E-2</v>
      </c>
    </row>
    <row r="134" spans="1:9" x14ac:dyDescent="0.25">
      <c r="A134" s="5">
        <v>132</v>
      </c>
      <c r="B134" s="5">
        <f t="shared" si="4"/>
        <v>33.200000000000003</v>
      </c>
      <c r="C134" s="21">
        <f t="shared" si="5"/>
        <v>1.1000000000000001</v>
      </c>
      <c r="D134" s="16"/>
      <c r="E134" s="19">
        <f>(ADC!I134+5/3)/(1/12)</f>
        <v>32.010380264165029</v>
      </c>
      <c r="F134" s="20">
        <f>ABS(B134-E134)/B134</f>
        <v>3.5831919754065474E-2</v>
      </c>
      <c r="G134" s="2"/>
      <c r="H134" s="2"/>
      <c r="I134" s="19">
        <f>ABS(C134-ADC!I134)</f>
        <v>9.9134977986247819E-2</v>
      </c>
    </row>
    <row r="135" spans="1:9" x14ac:dyDescent="0.25">
      <c r="A135" s="5">
        <v>133</v>
      </c>
      <c r="B135" s="5">
        <f t="shared" si="4"/>
        <v>33.299999999999997</v>
      </c>
      <c r="C135" s="21">
        <f t="shared" si="5"/>
        <v>1.108333</v>
      </c>
      <c r="D135" s="16"/>
      <c r="E135" s="19">
        <f>(ADC!I135+5/3)/(1/12)</f>
        <v>32.110582941669669</v>
      </c>
      <c r="F135" s="20">
        <f>ABS(B135-E135)/B135</f>
        <v>3.5718229979889729E-2</v>
      </c>
      <c r="G135" s="2"/>
      <c r="H135" s="2"/>
      <c r="I135" s="19">
        <f>ABS(C135-ADC!I135)</f>
        <v>9.9117754860861274E-2</v>
      </c>
    </row>
    <row r="136" spans="1:9" x14ac:dyDescent="0.25">
      <c r="A136" s="5">
        <v>134</v>
      </c>
      <c r="B136" s="5">
        <f t="shared" si="4"/>
        <v>33.4</v>
      </c>
      <c r="C136" s="21">
        <f t="shared" si="5"/>
        <v>1.1166670000000001</v>
      </c>
      <c r="D136" s="16"/>
      <c r="E136" s="19">
        <f>(ADC!I136+5/3)/(1/12)</f>
        <v>32.211096416594081</v>
      </c>
      <c r="F136" s="20">
        <f>ABS(B136-E136)/B136</f>
        <v>3.5595915670835844E-2</v>
      </c>
      <c r="G136" s="2"/>
      <c r="H136" s="2"/>
      <c r="I136" s="19">
        <f>ABS(C136-ADC!I136)</f>
        <v>9.9075631950493515E-2</v>
      </c>
    </row>
    <row r="137" spans="1:9" x14ac:dyDescent="0.25">
      <c r="A137" s="5">
        <v>135</v>
      </c>
      <c r="B137" s="5">
        <f t="shared" si="4"/>
        <v>33.5</v>
      </c>
      <c r="C137" s="21">
        <f t="shared" si="5"/>
        <v>1.125</v>
      </c>
      <c r="D137" s="16"/>
      <c r="E137" s="19">
        <f>(ADC!I137+5/3)/(1/12)</f>
        <v>32.311919922876299</v>
      </c>
      <c r="F137" s="20">
        <f>ABS(B137-E137)/B137</f>
        <v>3.5465076929065691E-2</v>
      </c>
      <c r="G137" s="2"/>
      <c r="H137" s="2"/>
      <c r="I137" s="19">
        <f>ABS(C137-ADC!I137)</f>
        <v>9.9006673093642084E-2</v>
      </c>
    </row>
    <row r="138" spans="1:9" x14ac:dyDescent="0.25">
      <c r="A138" s="5">
        <v>136</v>
      </c>
      <c r="B138" s="5">
        <f t="shared" si="4"/>
        <v>33.6</v>
      </c>
      <c r="C138" s="21">
        <f t="shared" si="5"/>
        <v>1.1333329999999999</v>
      </c>
      <c r="D138" s="16"/>
      <c r="E138" s="19">
        <f>(ADC!I138+5/3)/(1/12)</f>
        <v>32.413052700040808</v>
      </c>
      <c r="F138" s="20">
        <f>ABS(B138-E138)/B138</f>
        <v>3.5325812498785518E-2</v>
      </c>
      <c r="G138" s="2"/>
      <c r="H138" s="2"/>
      <c r="I138" s="19">
        <f>ABS(C138-ADC!I138)</f>
        <v>9.8911941663266223E-2</v>
      </c>
    </row>
    <row r="139" spans="1:9" x14ac:dyDescent="0.25">
      <c r="A139" s="5">
        <v>137</v>
      </c>
      <c r="B139" s="5">
        <f t="shared" si="4"/>
        <v>33.700000000000003</v>
      </c>
      <c r="C139" s="21">
        <f t="shared" si="5"/>
        <v>1.141667</v>
      </c>
      <c r="D139" s="16"/>
      <c r="E139" s="19">
        <f>(ADC!I139+5/3)/(1/12)</f>
        <v>32.514493980628693</v>
      </c>
      <c r="F139" s="20">
        <f>ABS(B139-E139)/B139</f>
        <v>3.5178220159386049E-2</v>
      </c>
      <c r="G139" s="2"/>
      <c r="H139" s="2"/>
      <c r="I139" s="19">
        <f>ABS(C139-ADC!I139)</f>
        <v>9.8792501614275663E-2</v>
      </c>
    </row>
    <row r="140" spans="1:9" x14ac:dyDescent="0.25">
      <c r="A140" s="5">
        <v>138</v>
      </c>
      <c r="B140" s="5">
        <f t="shared" si="4"/>
        <v>33.799999999999997</v>
      </c>
      <c r="C140" s="21">
        <f t="shared" si="5"/>
        <v>1.1499999999999999</v>
      </c>
      <c r="D140" s="16"/>
      <c r="E140" s="19">
        <f>(ADC!I140+5/3)/(1/12)</f>
        <v>32.616242987753843</v>
      </c>
      <c r="F140" s="20">
        <f>ABS(B140-E140)/B140</f>
        <v>3.5022396812016403E-2</v>
      </c>
      <c r="G140" s="2"/>
      <c r="H140" s="2"/>
      <c r="I140" s="19">
        <f>ABS(C140-ADC!I140)</f>
        <v>9.8646417687179966E-2</v>
      </c>
    </row>
    <row r="141" spans="1:9" x14ac:dyDescent="0.25">
      <c r="A141" s="5">
        <v>139</v>
      </c>
      <c r="B141" s="5">
        <f t="shared" si="4"/>
        <v>33.9</v>
      </c>
      <c r="C141" s="21">
        <f t="shared" si="5"/>
        <v>1.1583330000000001</v>
      </c>
      <c r="D141" s="16"/>
      <c r="E141" s="19">
        <f>(ADC!I141+5/3)/(1/12)</f>
        <v>32.718298936848448</v>
      </c>
      <c r="F141" s="20">
        <f>ABS(B141-E141)/B141</f>
        <v>3.4858438441048675E-2</v>
      </c>
      <c r="G141" s="2"/>
      <c r="H141" s="2"/>
      <c r="I141" s="19">
        <f>ABS(C141-ADC!I141)</f>
        <v>9.8474755262629943E-2</v>
      </c>
    </row>
    <row r="142" spans="1:9" x14ac:dyDescent="0.25">
      <c r="A142" s="5">
        <v>140</v>
      </c>
      <c r="B142" s="5">
        <f t="shared" si="4"/>
        <v>34</v>
      </c>
      <c r="C142" s="21">
        <f t="shared" si="5"/>
        <v>1.1666669999999999</v>
      </c>
      <c r="D142" s="16"/>
      <c r="E142" s="19">
        <f>(ADC!I142+5/3)/(1/12)</f>
        <v>32.810495941908059</v>
      </c>
      <c r="F142" s="20">
        <f>ABS(B142-E142)/B142</f>
        <v>3.4985413473292391E-2</v>
      </c>
      <c r="G142" s="2"/>
      <c r="H142" s="2"/>
      <c r="I142" s="19">
        <f>ABS(C142-ADC!I142)</f>
        <v>9.9125671507661828E-2</v>
      </c>
    </row>
    <row r="143" spans="1:9" x14ac:dyDescent="0.25">
      <c r="A143" s="5">
        <v>141</v>
      </c>
      <c r="B143" s="5">
        <f t="shared" si="4"/>
        <v>34.1</v>
      </c>
      <c r="C143" s="21">
        <f t="shared" si="5"/>
        <v>1.175</v>
      </c>
      <c r="D143" s="16"/>
      <c r="E143" s="19">
        <f>(ADC!I143+5/3)/(1/12)</f>
        <v>32.913175612939476</v>
      </c>
      <c r="F143" s="20">
        <f>ABS(B143-E143)/B143</f>
        <v>3.4804234224648838E-2</v>
      </c>
      <c r="G143" s="2"/>
      <c r="H143" s="2"/>
      <c r="I143" s="19">
        <f>ABS(C143-ADC!I143)</f>
        <v>9.8902032255044237E-2</v>
      </c>
    </row>
    <row r="144" spans="1:9" x14ac:dyDescent="0.25">
      <c r="A144" s="5">
        <v>142</v>
      </c>
      <c r="B144" s="5">
        <f t="shared" si="4"/>
        <v>34.200000000000003</v>
      </c>
      <c r="C144" s="21">
        <f t="shared" si="5"/>
        <v>1.183333</v>
      </c>
      <c r="D144" s="16"/>
      <c r="E144" s="19">
        <f>(ADC!I144+5/3)/(1/12)</f>
        <v>33.016159863508051</v>
      </c>
      <c r="F144" s="20">
        <f>ABS(B144-E144)/B144</f>
        <v>3.4615208669355316E-2</v>
      </c>
      <c r="G144" s="2"/>
      <c r="H144" s="2"/>
      <c r="I144" s="19">
        <f>ABS(C144-ADC!I144)</f>
        <v>9.8653011374328914E-2</v>
      </c>
    </row>
    <row r="145" spans="1:9" x14ac:dyDescent="0.25">
      <c r="A145" s="5">
        <v>143</v>
      </c>
      <c r="B145" s="5">
        <f t="shared" si="4"/>
        <v>34.299999999999997</v>
      </c>
      <c r="C145" s="21">
        <f t="shared" si="5"/>
        <v>1.191667</v>
      </c>
      <c r="D145" s="16"/>
      <c r="E145" s="19">
        <f>(ADC!I145+5/3)/(1/12)</f>
        <v>33.119447896476331</v>
      </c>
      <c r="F145" s="20">
        <f>ABS(B145-E145)/B145</f>
        <v>3.4418428674159375E-2</v>
      </c>
      <c r="G145" s="2"/>
      <c r="H145" s="2"/>
      <c r="I145" s="19">
        <f>ABS(C145-ADC!I145)</f>
        <v>9.8379675293639224E-2</v>
      </c>
    </row>
    <row r="146" spans="1:9" x14ac:dyDescent="0.25">
      <c r="A146" s="5">
        <v>144</v>
      </c>
      <c r="B146" s="5">
        <f t="shared" si="4"/>
        <v>34.4</v>
      </c>
      <c r="C146" s="21">
        <f t="shared" si="5"/>
        <v>1.2</v>
      </c>
      <c r="D146" s="16"/>
      <c r="E146" s="19">
        <f>(ADC!I146+5/3)/(1/12)</f>
        <v>33.223038900390797</v>
      </c>
      <c r="F146" s="20">
        <f>ABS(B146-E146)/B146</f>
        <v>3.4213985453755855E-2</v>
      </c>
      <c r="G146" s="2"/>
      <c r="H146" s="2"/>
      <c r="I146" s="19">
        <f>ABS(C146-ADC!I146)</f>
        <v>9.8080091634100031E-2</v>
      </c>
    </row>
    <row r="147" spans="1:9" x14ac:dyDescent="0.25">
      <c r="A147" s="5">
        <v>145</v>
      </c>
      <c r="B147" s="5">
        <f t="shared" si="4"/>
        <v>34.5</v>
      </c>
      <c r="C147" s="21">
        <f t="shared" si="5"/>
        <v>1.2083330000000001</v>
      </c>
      <c r="D147" s="16"/>
      <c r="E147" s="19">
        <f>(ADC!I147+5/3)/(1/12)</f>
        <v>33.326932059957585</v>
      </c>
      <c r="F147" s="20">
        <f>ABS(B147-E147)/B147</f>
        <v>3.4001969276591743E-2</v>
      </c>
      <c r="G147" s="2"/>
      <c r="H147" s="2"/>
      <c r="I147" s="19">
        <f>ABS(C147-ADC!I147)</f>
        <v>9.7755328336868175E-2</v>
      </c>
    </row>
    <row r="148" spans="1:9" x14ac:dyDescent="0.25">
      <c r="A148" s="5">
        <v>146</v>
      </c>
      <c r="B148" s="5">
        <f t="shared" si="4"/>
        <v>34.6</v>
      </c>
      <c r="C148" s="21">
        <f t="shared" si="5"/>
        <v>1.2166669999999999</v>
      </c>
      <c r="D148" s="16"/>
      <c r="E148" s="19">
        <f>(ADC!I148+5/3)/(1/12)</f>
        <v>33.421034833163461</v>
      </c>
      <c r="F148" s="20">
        <f>ABS(B148-E148)/B148</f>
        <v>3.4074137769842222E-2</v>
      </c>
      <c r="G148" s="2"/>
      <c r="H148" s="2"/>
      <c r="I148" s="19">
        <f>ABS(C148-ADC!I148)</f>
        <v>9.8247430569711414E-2</v>
      </c>
    </row>
    <row r="149" spans="1:9" x14ac:dyDescent="0.25">
      <c r="A149" s="5">
        <v>147</v>
      </c>
      <c r="B149" s="5">
        <f t="shared" si="4"/>
        <v>34.700000000000003</v>
      </c>
      <c r="C149" s="21">
        <f t="shared" si="5"/>
        <v>1.2250000000000001</v>
      </c>
      <c r="D149" s="16"/>
      <c r="E149" s="19">
        <f>(ADC!I149+5/3)/(1/12)</f>
        <v>33.525542108862297</v>
      </c>
      <c r="F149" s="20">
        <f>ABS(B149-E149)/B149</f>
        <v>3.3846048735956945E-2</v>
      </c>
      <c r="G149" s="2"/>
      <c r="H149" s="2"/>
      <c r="I149" s="19">
        <f>ABS(C149-ADC!I149)</f>
        <v>9.7871490928142624E-2</v>
      </c>
    </row>
    <row r="150" spans="1:9" x14ac:dyDescent="0.25">
      <c r="A150" s="5">
        <v>148</v>
      </c>
      <c r="B150" s="5">
        <f t="shared" si="4"/>
        <v>34.799999999999997</v>
      </c>
      <c r="C150" s="21">
        <f t="shared" si="5"/>
        <v>1.233333</v>
      </c>
      <c r="D150" s="16"/>
      <c r="E150" s="19">
        <f>(ADC!I150+5/3)/(1/12)</f>
        <v>33.630349075825549</v>
      </c>
      <c r="F150" s="20">
        <f>ABS(B150-E150)/B150</f>
        <v>3.3610658740645061E-2</v>
      </c>
      <c r="G150" s="2"/>
      <c r="H150" s="2"/>
      <c r="I150" s="19">
        <f>ABS(C150-ADC!I150)</f>
        <v>9.7470577014537652E-2</v>
      </c>
    </row>
    <row r="151" spans="1:9" x14ac:dyDescent="0.25">
      <c r="A151" s="5">
        <v>149</v>
      </c>
      <c r="B151" s="5">
        <f t="shared" si="4"/>
        <v>34.9</v>
      </c>
      <c r="C151" s="21">
        <f t="shared" si="5"/>
        <v>1.2416670000000001</v>
      </c>
      <c r="D151" s="16"/>
      <c r="E151" s="19">
        <f>(ADC!I151+5/3)/(1/12)</f>
        <v>33.725400066375556</v>
      </c>
      <c r="F151" s="20">
        <f>ABS(B151-E151)/B151</f>
        <v>3.3656158556574278E-2</v>
      </c>
      <c r="G151" s="2"/>
      <c r="H151" s="2"/>
      <c r="I151" s="19">
        <f>ABS(C151-ADC!I151)</f>
        <v>9.7883661135370614E-2</v>
      </c>
    </row>
    <row r="152" spans="1:9" x14ac:dyDescent="0.25">
      <c r="A152" s="5">
        <v>150</v>
      </c>
      <c r="B152" s="5">
        <f t="shared" si="4"/>
        <v>35</v>
      </c>
      <c r="C152" s="21">
        <f t="shared" si="5"/>
        <v>1.25</v>
      </c>
      <c r="D152" s="16"/>
      <c r="E152" s="19">
        <f>(ADC!I152+5/3)/(1/12)</f>
        <v>33.830816213013811</v>
      </c>
      <c r="F152" s="20">
        <f>ABS(B152-E152)/B152</f>
        <v>3.3405251056748242E-2</v>
      </c>
      <c r="G152" s="2"/>
      <c r="H152" s="2"/>
      <c r="I152" s="19">
        <f>ABS(C152-ADC!I152)</f>
        <v>9.7431982248849192E-2</v>
      </c>
    </row>
    <row r="153" spans="1:9" x14ac:dyDescent="0.25">
      <c r="A153" s="5">
        <v>151</v>
      </c>
      <c r="B153" s="5">
        <f t="shared" si="4"/>
        <v>35.1</v>
      </c>
      <c r="C153" s="21">
        <f t="shared" si="5"/>
        <v>1.2583329999999999</v>
      </c>
      <c r="D153" s="16"/>
      <c r="E153" s="19">
        <f>(ADC!I153+5/3)/(1/12)</f>
        <v>33.926499370340615</v>
      </c>
      <c r="F153" s="20">
        <f>ABS(B153-E153)/B153</f>
        <v>3.3433066372062295E-2</v>
      </c>
      <c r="G153" s="2"/>
      <c r="H153" s="2"/>
      <c r="I153" s="19">
        <f>ABS(C153-ADC!I153)</f>
        <v>9.7791385804948838E-2</v>
      </c>
    </row>
    <row r="154" spans="1:9" x14ac:dyDescent="0.25">
      <c r="A154" s="5">
        <v>152</v>
      </c>
      <c r="B154" s="5">
        <f t="shared" si="4"/>
        <v>35.200000000000003</v>
      </c>
      <c r="C154" s="21">
        <f t="shared" si="5"/>
        <v>1.266667</v>
      </c>
      <c r="D154" s="16"/>
      <c r="E154" s="19">
        <f>(ADC!I154+5/3)/(1/12)</f>
        <v>34.02250356217769</v>
      </c>
      <c r="F154" s="20">
        <f>ABS(B154-E154)/B154</f>
        <v>3.3451603347224801E-2</v>
      </c>
      <c r="G154" s="2"/>
      <c r="H154" s="2"/>
      <c r="I154" s="19">
        <f>ABS(C154-ADC!I154)</f>
        <v>9.8125036485192663E-2</v>
      </c>
    </row>
    <row r="155" spans="1:9" x14ac:dyDescent="0.25">
      <c r="A155" s="5">
        <v>153</v>
      </c>
      <c r="B155" s="5">
        <f t="shared" si="4"/>
        <v>35.299999999999997</v>
      </c>
      <c r="C155" s="21">
        <f t="shared" si="5"/>
        <v>1.2749999999999999</v>
      </c>
      <c r="D155" s="16"/>
      <c r="E155" s="19">
        <f>(ADC!I155+5/3)/(1/12)</f>
        <v>34.128833376896594</v>
      </c>
      <c r="F155" s="20">
        <f>ABS(B155-E155)/B155</f>
        <v>3.3177524733807452E-2</v>
      </c>
      <c r="G155" s="2"/>
      <c r="H155" s="2"/>
      <c r="I155" s="19">
        <f>ABS(C155-ADC!I155)</f>
        <v>9.7597218591950252E-2</v>
      </c>
    </row>
    <row r="156" spans="1:9" x14ac:dyDescent="0.25">
      <c r="A156" s="5">
        <v>154</v>
      </c>
      <c r="B156" s="5">
        <f t="shared" si="4"/>
        <v>35.4</v>
      </c>
      <c r="C156" s="21">
        <f t="shared" si="5"/>
        <v>1.2833330000000001</v>
      </c>
      <c r="D156" s="16"/>
      <c r="E156" s="19">
        <f>(ADC!I156+5/3)/(1/12)</f>
        <v>34.235457813741483</v>
      </c>
      <c r="F156" s="20">
        <f>ABS(B156-E156)/B156</f>
        <v>3.2896671928206646E-2</v>
      </c>
      <c r="G156" s="2"/>
      <c r="H156" s="2"/>
      <c r="I156" s="19">
        <f>ABS(C156-ADC!I156)</f>
        <v>9.704484885487652E-2</v>
      </c>
    </row>
    <row r="157" spans="1:9" x14ac:dyDescent="0.25">
      <c r="A157" s="5">
        <v>155</v>
      </c>
      <c r="B157" s="5">
        <f t="shared" si="4"/>
        <v>35.5</v>
      </c>
      <c r="C157" s="21">
        <f t="shared" si="5"/>
        <v>1.2916669999999999</v>
      </c>
      <c r="D157" s="16"/>
      <c r="E157" s="19">
        <f>(ADC!I157+5/3)/(1/12)</f>
        <v>34.332395337434235</v>
      </c>
      <c r="F157" s="20">
        <f>ABS(B157-E157)/B157</f>
        <v>3.2890272184951122E-2</v>
      </c>
      <c r="G157" s="2"/>
      <c r="H157" s="2"/>
      <c r="I157" s="19">
        <f>ABS(C157-ADC!I157)</f>
        <v>9.7300721880480889E-2</v>
      </c>
    </row>
    <row r="158" spans="1:9" x14ac:dyDescent="0.25">
      <c r="A158" s="5">
        <v>156</v>
      </c>
      <c r="B158" s="5">
        <f t="shared" si="4"/>
        <v>35.6</v>
      </c>
      <c r="C158" s="21">
        <f t="shared" si="5"/>
        <v>1.3</v>
      </c>
      <c r="D158" s="16"/>
      <c r="E158" s="19">
        <f>(ADC!I158+5/3)/(1/12)</f>
        <v>34.439618793330283</v>
      </c>
      <c r="F158" s="20">
        <f>ABS(B158-E158)/B158</f>
        <v>3.2594977715441537E-2</v>
      </c>
      <c r="G158" s="2"/>
      <c r="H158" s="2"/>
      <c r="I158" s="19">
        <f>ABS(C158-ADC!I158)</f>
        <v>9.6698433889143454E-2</v>
      </c>
    </row>
    <row r="159" spans="1:9" x14ac:dyDescent="0.25">
      <c r="A159" s="5">
        <v>157</v>
      </c>
      <c r="B159" s="5">
        <f t="shared" si="4"/>
        <v>35.700000000000003</v>
      </c>
      <c r="C159" s="21">
        <f t="shared" si="5"/>
        <v>1.308333</v>
      </c>
      <c r="D159" s="16"/>
      <c r="E159" s="19">
        <f>(ADC!I159+5/3)/(1/12)</f>
        <v>34.537178422338137</v>
      </c>
      <c r="F159" s="20">
        <f>ABS(B159-E159)/B159</f>
        <v>3.2572032987727338E-2</v>
      </c>
      <c r="G159" s="2"/>
      <c r="H159" s="2"/>
      <c r="I159" s="19">
        <f>ABS(C159-ADC!I159)</f>
        <v>9.6901464805155602E-2</v>
      </c>
    </row>
    <row r="160" spans="1:9" x14ac:dyDescent="0.25">
      <c r="A160" s="5">
        <v>158</v>
      </c>
      <c r="B160" s="5">
        <f t="shared" si="4"/>
        <v>35.799999999999997</v>
      </c>
      <c r="C160" s="21">
        <f t="shared" si="5"/>
        <v>1.316667</v>
      </c>
      <c r="D160" s="16"/>
      <c r="E160" s="19">
        <f>(ADC!I160+5/3)/(1/12)</f>
        <v>34.644997424866077</v>
      </c>
      <c r="F160" s="20">
        <f>ABS(B160-E160)/B160</f>
        <v>3.2262641763517334E-2</v>
      </c>
      <c r="G160" s="2"/>
      <c r="H160" s="2"/>
      <c r="I160" s="19">
        <f>ABS(C160-ADC!I160)</f>
        <v>9.6250547927827501E-2</v>
      </c>
    </row>
    <row r="161" spans="1:9" x14ac:dyDescent="0.25">
      <c r="A161" s="5">
        <v>159</v>
      </c>
      <c r="B161" s="5">
        <f t="shared" si="4"/>
        <v>35.9</v>
      </c>
      <c r="C161" s="21">
        <f t="shared" si="5"/>
        <v>1.325</v>
      </c>
      <c r="D161" s="16"/>
      <c r="E161" s="19">
        <f>(ADC!I161+5/3)/(1/12)</f>
        <v>34.743175711909473</v>
      </c>
      <c r="F161" s="20">
        <f>ABS(B161-E161)/B161</f>
        <v>3.222351777410936E-2</v>
      </c>
      <c r="G161" s="2"/>
      <c r="H161" s="2"/>
      <c r="I161" s="19">
        <f>ABS(C161-ADC!I161)</f>
        <v>9.6402024007544052E-2</v>
      </c>
    </row>
    <row r="162" spans="1:9" x14ac:dyDescent="0.25">
      <c r="A162" s="5">
        <v>160</v>
      </c>
      <c r="B162" s="5">
        <f t="shared" si="4"/>
        <v>36</v>
      </c>
      <c r="C162" s="21">
        <f t="shared" si="5"/>
        <v>1.3333330000000001</v>
      </c>
      <c r="D162" s="16"/>
      <c r="E162" s="19">
        <f>(ADC!I162+5/3)/(1/12)</f>
        <v>34.851586742909461</v>
      </c>
      <c r="F162" s="20">
        <f>ABS(B162-E162)/B162</f>
        <v>3.1900368252514966E-2</v>
      </c>
      <c r="G162" s="2"/>
      <c r="H162" s="2"/>
      <c r="I162" s="19">
        <f>ABS(C162-ADC!I162)</f>
        <v>9.5700771424211517E-2</v>
      </c>
    </row>
    <row r="163" spans="1:9" x14ac:dyDescent="0.25">
      <c r="A163" s="5">
        <v>161</v>
      </c>
      <c r="B163" s="5">
        <f t="shared" si="4"/>
        <v>36.1</v>
      </c>
      <c r="C163" s="21">
        <f t="shared" si="5"/>
        <v>1.3416669999999999</v>
      </c>
      <c r="D163" s="16"/>
      <c r="E163" s="19">
        <f>(ADC!I163+5/3)/(1/12)</f>
        <v>34.95038019811102</v>
      </c>
      <c r="F163" s="20">
        <f>ABS(B163-E163)/B163</f>
        <v>3.1845423875041037E-2</v>
      </c>
      <c r="G163" s="2"/>
      <c r="H163" s="2"/>
      <c r="I163" s="19">
        <f>ABS(C163-ADC!I163)</f>
        <v>9.5801983490748865E-2</v>
      </c>
    </row>
    <row r="164" spans="1:9" x14ac:dyDescent="0.25">
      <c r="A164" s="5">
        <v>162</v>
      </c>
      <c r="B164" s="5">
        <f t="shared" si="4"/>
        <v>36.200000000000003</v>
      </c>
      <c r="C164" s="21">
        <f t="shared" si="5"/>
        <v>1.35</v>
      </c>
      <c r="D164" s="16"/>
      <c r="E164" s="19">
        <f>(ADC!I164+5/3)/(1/12)</f>
        <v>35.059379700317258</v>
      </c>
      <c r="F164" s="20">
        <f>ABS(B164-E164)/B164</f>
        <v>3.1508848057534379E-2</v>
      </c>
      <c r="G164" s="2"/>
      <c r="H164" s="2"/>
      <c r="I164" s="19">
        <f>ABS(C164-ADC!I164)</f>
        <v>9.5051691640229086E-2</v>
      </c>
    </row>
    <row r="165" spans="1:9" x14ac:dyDescent="0.25">
      <c r="A165" s="5">
        <v>163</v>
      </c>
      <c r="B165" s="5">
        <f t="shared" si="4"/>
        <v>36.299999999999997</v>
      </c>
      <c r="C165" s="21">
        <f t="shared" si="5"/>
        <v>1.358333</v>
      </c>
      <c r="D165" s="16"/>
      <c r="E165" s="19">
        <f>(ADC!I165+5/3)/(1/12)</f>
        <v>35.15878479015403</v>
      </c>
      <c r="F165" s="20">
        <f>ABS(B165-E165)/B165</f>
        <v>3.1438435532946757E-2</v>
      </c>
      <c r="G165" s="2"/>
      <c r="H165" s="2"/>
      <c r="I165" s="19">
        <f>ABS(C165-ADC!I165)</f>
        <v>9.510093415383114E-2</v>
      </c>
    </row>
    <row r="166" spans="1:9" x14ac:dyDescent="0.25">
      <c r="A166" s="5">
        <v>164</v>
      </c>
      <c r="B166" s="5">
        <f t="shared" si="4"/>
        <v>36.400000000000006</v>
      </c>
      <c r="C166" s="21">
        <f t="shared" si="5"/>
        <v>1.3666670000000001</v>
      </c>
      <c r="D166" s="16"/>
      <c r="E166" s="19">
        <f>(ADC!I166+5/3)/(1/12)</f>
        <v>35.268369151133356</v>
      </c>
      <c r="F166" s="20">
        <f>ABS(B166-E166)/B166</f>
        <v>3.1088759584248601E-2</v>
      </c>
      <c r="G166" s="2"/>
      <c r="H166" s="2"/>
      <c r="I166" s="19">
        <f>ABS(C166-ADC!I166)</f>
        <v>9.4302904072220972E-2</v>
      </c>
    </row>
    <row r="167" spans="1:9" x14ac:dyDescent="0.25">
      <c r="A167" s="5">
        <v>165</v>
      </c>
      <c r="B167" s="5">
        <f t="shared" si="4"/>
        <v>36.5</v>
      </c>
      <c r="C167" s="21">
        <f t="shared" si="5"/>
        <v>1.375</v>
      </c>
      <c r="D167" s="16"/>
      <c r="E167" s="19">
        <f>(ADC!I167+5/3)/(1/12)</f>
        <v>35.368382300183058</v>
      </c>
      <c r="F167" s="20">
        <f>ABS(B167-E167)/B167</f>
        <v>3.1003224652518972E-2</v>
      </c>
      <c r="G167" s="2"/>
      <c r="H167" s="2"/>
      <c r="I167" s="19">
        <f>ABS(C167-ADC!I167)</f>
        <v>9.4301474984745726E-2</v>
      </c>
    </row>
    <row r="168" spans="1:9" x14ac:dyDescent="0.25">
      <c r="A168" s="5">
        <v>166</v>
      </c>
      <c r="B168" s="5">
        <f t="shared" si="4"/>
        <v>36.6</v>
      </c>
      <c r="C168" s="21">
        <f t="shared" si="5"/>
        <v>1.3833329999999999</v>
      </c>
      <c r="D168" s="16"/>
      <c r="E168" s="19">
        <f>(ADC!I168+5/3)/(1/12)</f>
        <v>35.468704392949931</v>
      </c>
      <c r="F168" s="20">
        <f>ABS(B168-E168)/B168</f>
        <v>3.0909716039619409E-2</v>
      </c>
      <c r="G168" s="2"/>
      <c r="H168" s="2"/>
      <c r="I168" s="19">
        <f>ABS(C168-ADC!I168)</f>
        <v>9.4274300587505744E-2</v>
      </c>
    </row>
    <row r="169" spans="1:9" x14ac:dyDescent="0.25">
      <c r="A169" s="5">
        <v>167</v>
      </c>
      <c r="B169" s="5">
        <f t="shared" si="4"/>
        <v>36.700000000000003</v>
      </c>
      <c r="C169" s="21">
        <f t="shared" si="5"/>
        <v>1.391667</v>
      </c>
      <c r="D169" s="16"/>
      <c r="E169" s="19">
        <f>(ADC!I169+5/3)/(1/12)</f>
        <v>35.579165465970618</v>
      </c>
      <c r="F169" s="20">
        <f>ABS(B169-E169)/B169</f>
        <v>3.0540450518511838E-2</v>
      </c>
      <c r="G169" s="2"/>
      <c r="H169" s="2"/>
      <c r="I169" s="19">
        <f>ABS(C169-ADC!I169)</f>
        <v>9.3403211169115652E-2</v>
      </c>
    </row>
    <row r="170" spans="1:9" x14ac:dyDescent="0.25">
      <c r="A170" s="5">
        <v>168</v>
      </c>
      <c r="B170" s="5">
        <f t="shared" si="4"/>
        <v>36.799999999999997</v>
      </c>
      <c r="C170" s="21">
        <f t="shared" si="5"/>
        <v>1.4</v>
      </c>
      <c r="D170" s="16"/>
      <c r="E170" s="19">
        <f>(ADC!I170+5/3)/(1/12)</f>
        <v>35.680090181493171</v>
      </c>
      <c r="F170" s="20">
        <f>ABS(B170-E170)/B170</f>
        <v>3.0432332024642027E-2</v>
      </c>
      <c r="G170" s="2"/>
      <c r="H170" s="2"/>
      <c r="I170" s="19">
        <f>ABS(C170-ADC!I170)</f>
        <v>9.3325818208902955E-2</v>
      </c>
    </row>
    <row r="171" spans="1:9" x14ac:dyDescent="0.25">
      <c r="A171" s="5">
        <v>169</v>
      </c>
      <c r="B171" s="5">
        <f t="shared" si="4"/>
        <v>36.900000000000006</v>
      </c>
      <c r="C171" s="21">
        <f t="shared" si="5"/>
        <v>1.4083330000000001</v>
      </c>
      <c r="D171" s="16"/>
      <c r="E171" s="19">
        <f>(ADC!I171+5/3)/(1/12)</f>
        <v>35.781321123376848</v>
      </c>
      <c r="F171" s="20">
        <f>ABS(B171-E171)/B171</f>
        <v>3.031650072149477E-2</v>
      </c>
      <c r="G171" s="2"/>
      <c r="H171" s="2"/>
      <c r="I171" s="19">
        <f>ABS(C171-ADC!I171)</f>
        <v>9.3222906385263204E-2</v>
      </c>
    </row>
    <row r="172" spans="1:9" x14ac:dyDescent="0.25">
      <c r="A172" s="5">
        <v>170</v>
      </c>
      <c r="B172" s="5">
        <f t="shared" si="4"/>
        <v>37</v>
      </c>
      <c r="C172" s="21">
        <f t="shared" si="5"/>
        <v>1.4166669999999999</v>
      </c>
      <c r="D172" s="16"/>
      <c r="E172" s="19">
        <f>(ADC!I172+5/3)/(1/12)</f>
        <v>35.89265058406005</v>
      </c>
      <c r="F172" s="20">
        <f>ABS(B172-E172)/B172</f>
        <v>2.9928362592971627E-2</v>
      </c>
      <c r="G172" s="2"/>
      <c r="H172" s="2"/>
      <c r="I172" s="19">
        <f>ABS(C172-ADC!I172)</f>
        <v>9.2279451328329598E-2</v>
      </c>
    </row>
    <row r="173" spans="1:9" x14ac:dyDescent="0.25">
      <c r="A173" s="5">
        <v>171</v>
      </c>
      <c r="B173" s="5">
        <f t="shared" si="4"/>
        <v>37.1</v>
      </c>
      <c r="C173" s="21">
        <f t="shared" si="5"/>
        <v>1.425</v>
      </c>
      <c r="D173" s="16"/>
      <c r="E173" s="19">
        <f>(ADC!I173+5/3)/(1/12)</f>
        <v>35.994478620586719</v>
      </c>
      <c r="F173" s="20">
        <f>ABS(B173-E173)/B173</f>
        <v>2.9798419930277157E-2</v>
      </c>
      <c r="G173" s="2"/>
      <c r="H173" s="2"/>
      <c r="I173" s="19">
        <f>ABS(C173-ADC!I173)</f>
        <v>9.2126781617773768E-2</v>
      </c>
    </row>
    <row r="174" spans="1:9" x14ac:dyDescent="0.25">
      <c r="A174" s="5">
        <v>172</v>
      </c>
      <c r="B174" s="5">
        <f t="shared" si="4"/>
        <v>37.200000000000003</v>
      </c>
      <c r="C174" s="21">
        <f t="shared" si="5"/>
        <v>1.433333</v>
      </c>
      <c r="D174" s="16"/>
      <c r="E174" s="19">
        <f>(ADC!I174+5/3)/(1/12)</f>
        <v>36.086842103975329</v>
      </c>
      <c r="F174" s="20">
        <f>ABS(B174-E174)/B174</f>
        <v>2.9923599355501991E-2</v>
      </c>
      <c r="G174" s="2"/>
      <c r="H174" s="2"/>
      <c r="I174" s="19">
        <f>ABS(C174-ADC!I174)</f>
        <v>9.2762824668722876E-2</v>
      </c>
    </row>
    <row r="175" spans="1:9" x14ac:dyDescent="0.25">
      <c r="A175" s="5">
        <v>173</v>
      </c>
      <c r="B175" s="5">
        <f t="shared" si="4"/>
        <v>37.299999999999997</v>
      </c>
      <c r="C175" s="21">
        <f t="shared" si="5"/>
        <v>1.441667</v>
      </c>
      <c r="D175" s="16"/>
      <c r="E175" s="19">
        <f>(ADC!I175+5/3)/(1/12)</f>
        <v>36.189288734815406</v>
      </c>
      <c r="F175" s="20">
        <f>ABS(B175-E175)/B175</f>
        <v>2.9777781908434078E-2</v>
      </c>
      <c r="G175" s="2"/>
      <c r="H175" s="2"/>
      <c r="I175" s="19">
        <f>ABS(C175-ADC!I175)</f>
        <v>9.2559605432050107E-2</v>
      </c>
    </row>
    <row r="176" spans="1:9" x14ac:dyDescent="0.25">
      <c r="A176" s="5">
        <v>174</v>
      </c>
      <c r="B176" s="5">
        <f t="shared" si="4"/>
        <v>37.400000000000006</v>
      </c>
      <c r="C176" s="21">
        <f t="shared" si="5"/>
        <v>1.45</v>
      </c>
      <c r="D176" s="16"/>
      <c r="E176" s="19">
        <f>(ADC!I176+5/3)/(1/12)</f>
        <v>36.301779694810591</v>
      </c>
      <c r="F176" s="20">
        <f>ABS(B176-E176)/B176</f>
        <v>2.9364179283139422E-2</v>
      </c>
      <c r="G176" s="2"/>
      <c r="H176" s="2"/>
      <c r="I176" s="19">
        <f>ABS(C176-ADC!I176)</f>
        <v>9.1518358765784402E-2</v>
      </c>
    </row>
    <row r="177" spans="1:9" x14ac:dyDescent="0.25">
      <c r="A177" s="5">
        <v>175</v>
      </c>
      <c r="B177" s="5">
        <f t="shared" si="4"/>
        <v>37.5</v>
      </c>
      <c r="C177" s="21">
        <f t="shared" si="5"/>
        <v>1.4583330000000001</v>
      </c>
      <c r="D177" s="16"/>
      <c r="E177" s="19">
        <f>(ADC!I177+5/3)/(1/12)</f>
        <v>36.404815924127753</v>
      </c>
      <c r="F177" s="20">
        <f>ABS(B177-E177)/B177</f>
        <v>2.9204908689926583E-2</v>
      </c>
      <c r="G177" s="2"/>
      <c r="H177" s="2"/>
      <c r="I177" s="19">
        <f>ABS(C177-ADC!I177)</f>
        <v>9.1265006322687858E-2</v>
      </c>
    </row>
    <row r="178" spans="1:9" x14ac:dyDescent="0.25">
      <c r="A178" s="5">
        <v>176</v>
      </c>
      <c r="B178" s="5">
        <f t="shared" si="4"/>
        <v>37.6</v>
      </c>
      <c r="C178" s="21">
        <f t="shared" si="5"/>
        <v>1.4666669999999999</v>
      </c>
      <c r="D178" s="16"/>
      <c r="E178" s="19">
        <f>(ADC!I178+5/3)/(1/12)</f>
        <v>36.508151853612929</v>
      </c>
      <c r="F178" s="20">
        <f>ABS(B178-E178)/B178</f>
        <v>2.9038514531571063E-2</v>
      </c>
      <c r="G178" s="2"/>
      <c r="H178" s="2"/>
      <c r="I178" s="19">
        <f>ABS(C178-ADC!I178)</f>
        <v>9.0987678865589006E-2</v>
      </c>
    </row>
    <row r="179" spans="1:9" x14ac:dyDescent="0.25">
      <c r="A179" s="5">
        <v>177</v>
      </c>
      <c r="B179" s="5">
        <f t="shared" si="4"/>
        <v>37.700000000000003</v>
      </c>
      <c r="C179" s="21">
        <f t="shared" si="5"/>
        <v>1.4750000000000001</v>
      </c>
      <c r="D179" s="16"/>
      <c r="E179" s="19">
        <f>(ADC!I179+5/3)/(1/12)</f>
        <v>36.611786524815848</v>
      </c>
      <c r="F179" s="20">
        <f>ABS(B179-E179)/B179</f>
        <v>2.8865078917351582E-2</v>
      </c>
      <c r="G179" s="2"/>
      <c r="H179" s="2"/>
      <c r="I179" s="19">
        <f>ABS(C179-ADC!I179)</f>
        <v>9.0684456265345936E-2</v>
      </c>
    </row>
    <row r="180" spans="1:9" x14ac:dyDescent="0.25">
      <c r="A180" s="5">
        <v>178</v>
      </c>
      <c r="B180" s="5">
        <f t="shared" si="4"/>
        <v>37.799999999999997</v>
      </c>
      <c r="C180" s="21">
        <f t="shared" si="5"/>
        <v>1.483333</v>
      </c>
      <c r="D180" s="16"/>
      <c r="E180" s="19">
        <f>(ADC!I180+5/3)/(1/12)</f>
        <v>36.725411087624252</v>
      </c>
      <c r="F180" s="20">
        <f>ABS(B180-E180)/B180</f>
        <v>2.8428278105178444E-2</v>
      </c>
      <c r="G180" s="2"/>
      <c r="H180" s="2"/>
      <c r="I180" s="19">
        <f>ABS(C180-ADC!I180)</f>
        <v>8.95487426979793E-2</v>
      </c>
    </row>
    <row r="181" spans="1:9" x14ac:dyDescent="0.25">
      <c r="A181" s="5">
        <v>179</v>
      </c>
      <c r="B181" s="5">
        <f t="shared" si="4"/>
        <v>37.900000000000006</v>
      </c>
      <c r="C181" s="21">
        <f t="shared" si="5"/>
        <v>1.4916670000000001</v>
      </c>
      <c r="D181" s="16"/>
      <c r="E181" s="19">
        <f>(ADC!I181+5/3)/(1/12)</f>
        <v>36.82962768009736</v>
      </c>
      <c r="F181" s="20">
        <f>ABS(B181-E181)/B181</f>
        <v>2.8242013717747899E-2</v>
      </c>
      <c r="G181" s="2"/>
      <c r="H181" s="2"/>
      <c r="I181" s="19">
        <f>ABS(C181-ADC!I181)</f>
        <v>8.9198026658553697E-2</v>
      </c>
    </row>
    <row r="182" spans="1:9" x14ac:dyDescent="0.25">
      <c r="A182" s="5">
        <v>180</v>
      </c>
      <c r="B182" s="5">
        <f t="shared" si="4"/>
        <v>38</v>
      </c>
      <c r="C182" s="21">
        <f t="shared" si="5"/>
        <v>1.5</v>
      </c>
      <c r="D182" s="16"/>
      <c r="E182" s="19">
        <f>(ADC!I182+5/3)/(1/12)</f>
        <v>36.93414012322399</v>
      </c>
      <c r="F182" s="20">
        <f>ABS(B182-E182)/B182</f>
        <v>2.8048944125684466E-2</v>
      </c>
      <c r="G182" s="2"/>
      <c r="H182" s="2"/>
      <c r="I182" s="19">
        <f>ABS(C182-ADC!I182)</f>
        <v>8.8821656398001103E-2</v>
      </c>
    </row>
    <row r="183" spans="1:9" x14ac:dyDescent="0.25">
      <c r="A183" s="5">
        <v>181</v>
      </c>
      <c r="B183" s="5">
        <f t="shared" si="4"/>
        <v>38.1</v>
      </c>
      <c r="C183" s="21">
        <f t="shared" si="5"/>
        <v>1.5083329999999999</v>
      </c>
      <c r="D183" s="16"/>
      <c r="E183" s="19">
        <f>(ADC!I183+5/3)/(1/12)</f>
        <v>37.038947437952999</v>
      </c>
      <c r="F183" s="20">
        <f>ABS(B183-E183)/B183</f>
        <v>2.7849148610157554E-2</v>
      </c>
      <c r="G183" s="2"/>
      <c r="H183" s="2"/>
      <c r="I183" s="19">
        <f>ABS(C183-ADC!I183)</f>
        <v>8.8420713503916559E-2</v>
      </c>
    </row>
    <row r="184" spans="1:9" x14ac:dyDescent="0.25">
      <c r="A184" s="5">
        <v>182</v>
      </c>
      <c r="B184" s="5">
        <f t="shared" si="4"/>
        <v>38.200000000000003</v>
      </c>
      <c r="C184" s="21">
        <f t="shared" si="5"/>
        <v>1.516667</v>
      </c>
      <c r="D184" s="16"/>
      <c r="E184" s="19">
        <f>(ADC!I184+5/3)/(1/12)</f>
        <v>37.15368995342061</v>
      </c>
      <c r="F184" s="20">
        <f>ABS(B184-E184)/B184</f>
        <v>2.7390315355481486E-2</v>
      </c>
      <c r="G184" s="2"/>
      <c r="H184" s="2"/>
      <c r="I184" s="19">
        <f>ABS(C184-ADC!I184)</f>
        <v>8.7192837214949748E-2</v>
      </c>
    </row>
    <row r="185" spans="1:9" x14ac:dyDescent="0.25">
      <c r="A185" s="5">
        <v>183</v>
      </c>
      <c r="B185" s="5">
        <f t="shared" si="4"/>
        <v>38.299999999999997</v>
      </c>
      <c r="C185" s="21">
        <f t="shared" si="5"/>
        <v>1.5249999999999999</v>
      </c>
      <c r="D185" s="16"/>
      <c r="E185" s="19">
        <f>(ADC!I185+5/3)/(1/12)</f>
        <v>37.259071352122149</v>
      </c>
      <c r="F185" s="20">
        <f>ABS(B185-E185)/B185</f>
        <v>2.7178293678272805E-2</v>
      </c>
      <c r="G185" s="2"/>
      <c r="H185" s="2"/>
      <c r="I185" s="19">
        <f>ABS(C185-ADC!I185)</f>
        <v>8.6744053989821435E-2</v>
      </c>
    </row>
    <row r="186" spans="1:9" x14ac:dyDescent="0.25">
      <c r="A186" s="5">
        <v>184</v>
      </c>
      <c r="B186" s="5">
        <f t="shared" si="4"/>
        <v>38.400000000000006</v>
      </c>
      <c r="C186" s="21">
        <f t="shared" si="5"/>
        <v>1.5333330000000001</v>
      </c>
      <c r="D186" s="16"/>
      <c r="E186" s="19">
        <f>(ADC!I186+5/3)/(1/12)</f>
        <v>37.364744664322892</v>
      </c>
      <c r="F186" s="20">
        <f>ABS(B186-E186)/B186</f>
        <v>2.6959774366591506E-2</v>
      </c>
      <c r="G186" s="2"/>
      <c r="H186" s="2"/>
      <c r="I186" s="19">
        <f>ABS(C186-ADC!I186)</f>
        <v>8.6270944639758929E-2</v>
      </c>
    </row>
    <row r="187" spans="1:9" x14ac:dyDescent="0.25">
      <c r="A187" s="5">
        <v>185</v>
      </c>
      <c r="B187" s="5">
        <f t="shared" si="4"/>
        <v>38.5</v>
      </c>
      <c r="C187" s="21">
        <f t="shared" si="5"/>
        <v>1.5416669999999999</v>
      </c>
      <c r="D187" s="16"/>
      <c r="E187" s="19">
        <f>(ADC!I187+5/3)/(1/12)</f>
        <v>37.470708907479825</v>
      </c>
      <c r="F187" s="20">
        <f>ABS(B187-E187)/B187</f>
        <v>2.6734833571952603E-2</v>
      </c>
      <c r="G187" s="2"/>
      <c r="H187" s="2"/>
      <c r="I187" s="19">
        <f>ABS(C187-ADC!I187)</f>
        <v>8.5774591043348059E-2</v>
      </c>
    </row>
    <row r="188" spans="1:9" x14ac:dyDescent="0.25">
      <c r="A188" s="5">
        <v>186</v>
      </c>
      <c r="B188" s="5">
        <f t="shared" si="4"/>
        <v>38.6</v>
      </c>
      <c r="C188" s="21">
        <f t="shared" si="5"/>
        <v>1.55</v>
      </c>
      <c r="D188" s="16"/>
      <c r="E188" s="19">
        <f>(ADC!I188+5/3)/(1/12)</f>
        <v>37.576963076005718</v>
      </c>
      <c r="F188" s="20">
        <f>ABS(B188-E188)/B188</f>
        <v>2.6503547253737905E-2</v>
      </c>
      <c r="G188" s="2"/>
      <c r="H188" s="2"/>
      <c r="I188" s="19">
        <f>ABS(C188-ADC!I188)</f>
        <v>8.5253076999523891E-2</v>
      </c>
    </row>
    <row r="189" spans="1:9" x14ac:dyDescent="0.25">
      <c r="A189" s="5">
        <v>187</v>
      </c>
      <c r="B189" s="5">
        <f t="shared" si="4"/>
        <v>38.700000000000003</v>
      </c>
      <c r="C189" s="21">
        <f t="shared" si="5"/>
        <v>1.558333</v>
      </c>
      <c r="D189" s="16"/>
      <c r="E189" s="19">
        <f>(ADC!I189+5/3)/(1/12)</f>
        <v>37.673928648257409</v>
      </c>
      <c r="F189" s="20">
        <f>ABS(B189-E189)/B189</f>
        <v>2.6513471621255658E-2</v>
      </c>
      <c r="G189" s="2"/>
      <c r="H189" s="2"/>
      <c r="I189" s="19">
        <f>ABS(C189-ADC!I189)</f>
        <v>8.5505612645216056E-2</v>
      </c>
    </row>
    <row r="190" spans="1:9" x14ac:dyDescent="0.25">
      <c r="A190" s="5">
        <v>188</v>
      </c>
      <c r="B190" s="5">
        <f t="shared" si="4"/>
        <v>38.799999999999997</v>
      </c>
      <c r="C190" s="21">
        <f t="shared" si="5"/>
        <v>1.566667</v>
      </c>
      <c r="D190" s="16"/>
      <c r="E190" s="19">
        <f>(ADC!I190+5/3)/(1/12)</f>
        <v>37.780772446161158</v>
      </c>
      <c r="F190" s="20">
        <f>ABS(B190-E190)/B190</f>
        <v>2.6268751387598935E-2</v>
      </c>
      <c r="G190" s="2"/>
      <c r="H190" s="2"/>
      <c r="I190" s="19">
        <f>ABS(C190-ADC!I190)</f>
        <v>8.4935962819903787E-2</v>
      </c>
    </row>
    <row r="191" spans="1:9" x14ac:dyDescent="0.25">
      <c r="A191" s="5">
        <v>189</v>
      </c>
      <c r="B191" s="5">
        <f t="shared" si="4"/>
        <v>38.900000000000006</v>
      </c>
      <c r="C191" s="21">
        <f t="shared" si="5"/>
        <v>1.575</v>
      </c>
      <c r="D191" s="16"/>
      <c r="E191" s="19">
        <f>(ADC!I191+5/3)/(1/12)</f>
        <v>37.887903165066248</v>
      </c>
      <c r="F191" s="20">
        <f>ABS(B191-E191)/B191</f>
        <v>2.6017913494441058E-2</v>
      </c>
      <c r="G191" s="2"/>
      <c r="H191" s="2"/>
      <c r="I191" s="19">
        <f>ABS(C191-ADC!I191)</f>
        <v>8.434140291114578E-2</v>
      </c>
    </row>
    <row r="192" spans="1:9" x14ac:dyDescent="0.25">
      <c r="A192" s="5">
        <v>190</v>
      </c>
      <c r="B192" s="5">
        <f t="shared" si="4"/>
        <v>39</v>
      </c>
      <c r="C192" s="21">
        <f t="shared" si="5"/>
        <v>1.5833330000000001</v>
      </c>
      <c r="D192" s="16"/>
      <c r="E192" s="19">
        <f>(ADC!I192+5/3)/(1/12)</f>
        <v>37.995319785418943</v>
      </c>
      <c r="F192" s="20">
        <f>ABS(B192-E192)/B192</f>
        <v>2.5761031143104036E-2</v>
      </c>
      <c r="G192" s="2"/>
      <c r="H192" s="2"/>
      <c r="I192" s="19">
        <f>ABS(C192-ADC!I192)</f>
        <v>8.3723017881755402E-2</v>
      </c>
    </row>
    <row r="193" spans="1:9" x14ac:dyDescent="0.25">
      <c r="A193" s="5">
        <v>191</v>
      </c>
      <c r="B193" s="5">
        <f t="shared" si="4"/>
        <v>39.1</v>
      </c>
      <c r="C193" s="21">
        <f t="shared" si="5"/>
        <v>1.5916669999999999</v>
      </c>
      <c r="D193" s="16"/>
      <c r="E193" s="19">
        <f>(ADC!I193+5/3)/(1/12)</f>
        <v>38.103021283475201</v>
      </c>
      <c r="F193" s="20">
        <f>ABS(B193-E193)/B193</f>
        <v>2.5498176893217411E-2</v>
      </c>
      <c r="G193" s="2"/>
      <c r="H193" s="2"/>
      <c r="I193" s="19">
        <f>ABS(C193-ADC!I193)</f>
        <v>8.308189304373359E-2</v>
      </c>
    </row>
    <row r="194" spans="1:9" x14ac:dyDescent="0.25">
      <c r="A194" s="5">
        <v>192</v>
      </c>
      <c r="B194" s="5">
        <f t="shared" si="4"/>
        <v>39.200000000000003</v>
      </c>
      <c r="C194" s="21">
        <f t="shared" si="5"/>
        <v>1.6</v>
      </c>
      <c r="D194" s="16"/>
      <c r="E194" s="19">
        <f>(ADC!I194+5/3)/(1/12)</f>
        <v>38.201493156330642</v>
      </c>
      <c r="F194" s="20">
        <f>ABS(B194-E194)/B194</f>
        <v>2.5472113358912266E-2</v>
      </c>
      <c r="G194" s="2"/>
      <c r="H194" s="2"/>
      <c r="I194" s="19">
        <f>ABS(C194-ADC!I194)</f>
        <v>8.3208903639113485E-2</v>
      </c>
    </row>
    <row r="195" spans="1:9" x14ac:dyDescent="0.25">
      <c r="A195" s="5">
        <v>193</v>
      </c>
      <c r="B195" s="5">
        <f t="shared" ref="B195:B258" si="6">0.1*A195+20</f>
        <v>39.299999999999997</v>
      </c>
      <c r="C195" s="21">
        <f t="shared" ref="C195:C258" si="7">ROUND(1/12*B195-5/3,6)</f>
        <v>1.608333</v>
      </c>
      <c r="D195" s="16"/>
      <c r="E195" s="19">
        <f>(ADC!I195+5/3)/(1/12)</f>
        <v>38.309774162770864</v>
      </c>
      <c r="F195" s="20">
        <f>ABS(B195-E195)/B195</f>
        <v>2.519658618903646E-2</v>
      </c>
      <c r="G195" s="2"/>
      <c r="H195" s="2"/>
      <c r="I195" s="19">
        <f>ABS(C195-ADC!I195)</f>
        <v>8.251848643576154E-2</v>
      </c>
    </row>
    <row r="196" spans="1:9" x14ac:dyDescent="0.25">
      <c r="A196" s="5">
        <v>194</v>
      </c>
      <c r="B196" s="5">
        <f t="shared" si="6"/>
        <v>39.400000000000006</v>
      </c>
      <c r="C196" s="21">
        <f t="shared" si="7"/>
        <v>1.6166670000000001</v>
      </c>
      <c r="D196" s="16"/>
      <c r="E196" s="19">
        <f>(ADC!I196+5/3)/(1/12)</f>
        <v>38.408849183696724</v>
      </c>
      <c r="F196" s="20">
        <f>ABS(B196-E196)/B196</f>
        <v>2.5156112088915786E-2</v>
      </c>
      <c r="G196" s="2"/>
      <c r="H196" s="2"/>
      <c r="I196" s="19">
        <f>ABS(C196-ADC!I196)</f>
        <v>8.2596234691939996E-2</v>
      </c>
    </row>
    <row r="197" spans="1:9" x14ac:dyDescent="0.25">
      <c r="A197" s="5">
        <v>195</v>
      </c>
      <c r="B197" s="5">
        <f t="shared" si="6"/>
        <v>39.5</v>
      </c>
      <c r="C197" s="21">
        <f t="shared" si="7"/>
        <v>1.625</v>
      </c>
      <c r="D197" s="16"/>
      <c r="E197" s="19">
        <f>(ADC!I197+5/3)/(1/12)</f>
        <v>38.517705593943077</v>
      </c>
      <c r="F197" s="20">
        <f>ABS(B197-E197)/B197</f>
        <v>2.4868212811567664E-2</v>
      </c>
      <c r="G197" s="2"/>
      <c r="H197" s="2"/>
      <c r="I197" s="19">
        <f>ABS(C197-ADC!I197)</f>
        <v>8.1857867171410525E-2</v>
      </c>
    </row>
    <row r="198" spans="1:9" x14ac:dyDescent="0.25">
      <c r="A198" s="5">
        <v>196</v>
      </c>
      <c r="B198" s="5">
        <f t="shared" si="6"/>
        <v>39.6</v>
      </c>
      <c r="C198" s="21">
        <f t="shared" si="7"/>
        <v>1.6333329999999999</v>
      </c>
      <c r="D198" s="16"/>
      <c r="E198" s="19">
        <f>(ADC!I198+5/3)/(1/12)</f>
        <v>38.626841717782327</v>
      </c>
      <c r="F198" s="20">
        <f>ABS(B198-E198)/B198</f>
        <v>2.4574704096405928E-2</v>
      </c>
      <c r="G198" s="2"/>
      <c r="H198" s="2"/>
      <c r="I198" s="19">
        <f>ABS(C198-ADC!I198)</f>
        <v>8.1096190184806405E-2</v>
      </c>
    </row>
    <row r="199" spans="1:9" x14ac:dyDescent="0.25">
      <c r="A199" s="5">
        <v>197</v>
      </c>
      <c r="B199" s="5">
        <f t="shared" si="6"/>
        <v>39.700000000000003</v>
      </c>
      <c r="C199" s="21">
        <f t="shared" si="7"/>
        <v>1.641667</v>
      </c>
      <c r="D199" s="16"/>
      <c r="E199" s="19">
        <f>(ADC!I199+5/3)/(1/12)</f>
        <v>38.736256514710441</v>
      </c>
      <c r="F199" s="20">
        <f>ABS(B199-E199)/B199</f>
        <v>2.4275654541298798E-2</v>
      </c>
      <c r="G199" s="2"/>
      <c r="H199" s="2"/>
      <c r="I199" s="19">
        <f>ABS(C199-ADC!I199)</f>
        <v>8.0312290440797129E-2</v>
      </c>
    </row>
    <row r="200" spans="1:9" x14ac:dyDescent="0.25">
      <c r="A200" s="5">
        <v>198</v>
      </c>
      <c r="B200" s="5">
        <f t="shared" si="6"/>
        <v>39.799999999999997</v>
      </c>
      <c r="C200" s="21">
        <f t="shared" si="7"/>
        <v>1.65</v>
      </c>
      <c r="D200" s="16"/>
      <c r="E200" s="19">
        <f>(ADC!I200+5/3)/(1/12)</f>
        <v>38.836512634302714</v>
      </c>
      <c r="F200" s="20">
        <f>ABS(B200-E200)/B200</f>
        <v>2.4208225268775953E-2</v>
      </c>
      <c r="G200" s="2"/>
      <c r="H200" s="2"/>
      <c r="I200" s="19">
        <f>ABS(C200-ADC!I200)</f>
        <v>8.0290613808107203E-2</v>
      </c>
    </row>
    <row r="201" spans="1:9" x14ac:dyDescent="0.25">
      <c r="A201" s="5">
        <v>199</v>
      </c>
      <c r="B201" s="5">
        <f t="shared" si="6"/>
        <v>39.900000000000006</v>
      </c>
      <c r="C201" s="21">
        <f t="shared" si="7"/>
        <v>1.6583330000000001</v>
      </c>
      <c r="D201" s="16"/>
      <c r="E201" s="19">
        <f>(ADC!I201+5/3)/(1/12)</f>
        <v>38.946494484296174</v>
      </c>
      <c r="F201" s="20">
        <f>ABS(B201-E201)/B201</f>
        <v>2.3897381345960686E-2</v>
      </c>
      <c r="G201" s="2"/>
      <c r="H201" s="2"/>
      <c r="I201" s="19">
        <f>ABS(C201-ADC!I201)</f>
        <v>7.9458459641985391E-2</v>
      </c>
    </row>
    <row r="202" spans="1:9" x14ac:dyDescent="0.25">
      <c r="A202" s="5">
        <v>200</v>
      </c>
      <c r="B202" s="5">
        <f t="shared" si="6"/>
        <v>40</v>
      </c>
      <c r="C202" s="21">
        <f t="shared" si="7"/>
        <v>1.6666669999999999</v>
      </c>
      <c r="D202" s="16"/>
      <c r="E202" s="19">
        <f>(ADC!I202+5/3)/(1/12)</f>
        <v>39.056751839952597</v>
      </c>
      <c r="F202" s="20">
        <f>ABS(B202-E202)/B202</f>
        <v>2.3581204001185085E-2</v>
      </c>
      <c r="G202" s="2"/>
      <c r="H202" s="2"/>
      <c r="I202" s="19">
        <f>ABS(C202-ADC!I202)</f>
        <v>7.8604346670616998E-2</v>
      </c>
    </row>
    <row r="203" spans="1:9" x14ac:dyDescent="0.25">
      <c r="A203" s="5">
        <v>201</v>
      </c>
      <c r="B203" s="5">
        <f t="shared" si="6"/>
        <v>40.1</v>
      </c>
      <c r="C203" s="21">
        <f t="shared" si="7"/>
        <v>1.675</v>
      </c>
      <c r="D203" s="16"/>
      <c r="E203" s="19">
        <f>(ADC!I203+5/3)/(1/12)</f>
        <v>39.157886049380949</v>
      </c>
      <c r="F203" s="20">
        <f>ABS(B203-E203)/B203</f>
        <v>2.349411348177189E-2</v>
      </c>
      <c r="G203" s="2"/>
      <c r="H203" s="2"/>
      <c r="I203" s="19">
        <f>ABS(C203-ADC!I203)</f>
        <v>7.8509495884921066E-2</v>
      </c>
    </row>
    <row r="204" spans="1:9" x14ac:dyDescent="0.25">
      <c r="A204" s="5">
        <v>202</v>
      </c>
      <c r="B204" s="5">
        <f t="shared" si="6"/>
        <v>40.200000000000003</v>
      </c>
      <c r="C204" s="21">
        <f t="shared" si="7"/>
        <v>1.683333</v>
      </c>
      <c r="D204" s="16"/>
      <c r="E204" s="19">
        <f>(ADC!I204+5/3)/(1/12)</f>
        <v>39.2687041077129</v>
      </c>
      <c r="F204" s="20">
        <f>ABS(B204-E204)/B204</f>
        <v>2.3166564484753811E-2</v>
      </c>
      <c r="G204" s="2"/>
      <c r="H204" s="2"/>
      <c r="I204" s="19">
        <f>ABS(C204-ADC!I204)</f>
        <v>7.7607657690592191E-2</v>
      </c>
    </row>
    <row r="205" spans="1:9" x14ac:dyDescent="0.25">
      <c r="A205" s="5">
        <v>203</v>
      </c>
      <c r="B205" s="5">
        <f t="shared" si="6"/>
        <v>40.299999999999997</v>
      </c>
      <c r="C205" s="21">
        <f t="shared" si="7"/>
        <v>1.691667</v>
      </c>
      <c r="D205" s="16"/>
      <c r="E205" s="19">
        <f>(ADC!I205+5/3)/(1/12)</f>
        <v>39.379794458541348</v>
      </c>
      <c r="F205" s="20">
        <f>ABS(B205-E205)/B205</f>
        <v>2.283388440344044E-2</v>
      </c>
      <c r="G205" s="2"/>
      <c r="H205" s="2"/>
      <c r="I205" s="19">
        <f>ABS(C205-ADC!I205)</f>
        <v>7.6684128454888034E-2</v>
      </c>
    </row>
    <row r="206" spans="1:9" x14ac:dyDescent="0.25">
      <c r="A206" s="5">
        <v>204</v>
      </c>
      <c r="B206" s="5">
        <f t="shared" si="6"/>
        <v>40.400000000000006</v>
      </c>
      <c r="C206" s="21">
        <f t="shared" si="7"/>
        <v>1.7</v>
      </c>
      <c r="D206" s="16"/>
      <c r="E206" s="19">
        <f>(ADC!I206+5/3)/(1/12)</f>
        <v>39.481797233006574</v>
      </c>
      <c r="F206" s="20">
        <f>ABS(B206-E206)/B206</f>
        <v>2.2727791262213644E-2</v>
      </c>
      <c r="G206" s="2"/>
      <c r="H206" s="2"/>
      <c r="I206" s="19">
        <f>ABS(C206-ADC!I206)</f>
        <v>7.651689724945232E-2</v>
      </c>
    </row>
    <row r="207" spans="1:9" x14ac:dyDescent="0.25">
      <c r="A207" s="5">
        <v>205</v>
      </c>
      <c r="B207" s="5">
        <f t="shared" si="6"/>
        <v>40.5</v>
      </c>
      <c r="C207" s="21">
        <f t="shared" si="7"/>
        <v>1.7083330000000001</v>
      </c>
      <c r="D207" s="16"/>
      <c r="E207" s="19">
        <f>(ADC!I207+5/3)/(1/12)</f>
        <v>39.593441858432023</v>
      </c>
      <c r="F207" s="20">
        <f>ABS(B207-E207)/B207</f>
        <v>2.238415164365376E-2</v>
      </c>
      <c r="G207" s="2"/>
      <c r="H207" s="2"/>
      <c r="I207" s="19">
        <f>ABS(C207-ADC!I207)</f>
        <v>7.5546178463998359E-2</v>
      </c>
    </row>
    <row r="208" spans="1:9" x14ac:dyDescent="0.25">
      <c r="A208" s="5">
        <v>206</v>
      </c>
      <c r="B208" s="5">
        <f t="shared" si="6"/>
        <v>40.6</v>
      </c>
      <c r="C208" s="21">
        <f t="shared" si="7"/>
        <v>1.7166669999999999</v>
      </c>
      <c r="D208" s="16"/>
      <c r="E208" s="19">
        <f>(ADC!I208+5/3)/(1/12)</f>
        <v>39.696022652976808</v>
      </c>
      <c r="F208" s="20">
        <f>ABS(B208-E208)/B208</f>
        <v>2.2265451897122993E-2</v>
      </c>
      <c r="G208" s="2"/>
      <c r="H208" s="2"/>
      <c r="I208" s="19">
        <f>ABS(C208-ADC!I208)</f>
        <v>7.5331778918599879E-2</v>
      </c>
    </row>
    <row r="209" spans="1:9" x14ac:dyDescent="0.25">
      <c r="A209" s="5">
        <v>207</v>
      </c>
      <c r="B209" s="5">
        <f t="shared" si="6"/>
        <v>40.700000000000003</v>
      </c>
      <c r="C209" s="21">
        <f t="shared" si="7"/>
        <v>1.7250000000000001</v>
      </c>
      <c r="D209" s="16"/>
      <c r="E209" s="19">
        <f>(ADC!I209+5/3)/(1/12)</f>
        <v>39.808217221989715</v>
      </c>
      <c r="F209" s="20">
        <f>ABS(B209-E209)/B209</f>
        <v>2.1911124766837549E-2</v>
      </c>
      <c r="G209" s="2"/>
      <c r="H209" s="2"/>
      <c r="I209" s="19">
        <f>ABS(C209-ADC!I209)</f>
        <v>7.431523150085706E-2</v>
      </c>
    </row>
    <row r="210" spans="1:9" x14ac:dyDescent="0.25">
      <c r="A210" s="5">
        <v>208</v>
      </c>
      <c r="B210" s="5">
        <f t="shared" si="6"/>
        <v>40.799999999999997</v>
      </c>
      <c r="C210" s="21">
        <f t="shared" si="7"/>
        <v>1.733333</v>
      </c>
      <c r="D210" s="16"/>
      <c r="E210" s="19">
        <f>(ADC!I210+5/3)/(1/12)</f>
        <v>39.911371720967601</v>
      </c>
      <c r="F210" s="20">
        <f>ABS(B210-E210)/B210</f>
        <v>2.1780104878245003E-2</v>
      </c>
      <c r="G210" s="2"/>
      <c r="H210" s="2"/>
      <c r="I210" s="19">
        <f>ABS(C210-ADC!I210)</f>
        <v>7.4052023252699772E-2</v>
      </c>
    </row>
    <row r="211" spans="1:9" x14ac:dyDescent="0.25">
      <c r="A211" s="5">
        <v>209</v>
      </c>
      <c r="B211" s="5">
        <f t="shared" si="6"/>
        <v>40.900000000000006</v>
      </c>
      <c r="C211" s="21">
        <f t="shared" si="7"/>
        <v>1.7416670000000001</v>
      </c>
      <c r="D211" s="16"/>
      <c r="E211" s="19">
        <f>(ADC!I211+5/3)/(1/12)</f>
        <v>40.024111873577979</v>
      </c>
      <c r="F211" s="20">
        <f>ABS(B211-E211)/B211</f>
        <v>2.1415357614230471E-2</v>
      </c>
      <c r="G211" s="2"/>
      <c r="H211" s="2"/>
      <c r="I211" s="19">
        <f>ABS(C211-ADC!I211)</f>
        <v>7.2991010535168765E-2</v>
      </c>
    </row>
    <row r="212" spans="1:9" x14ac:dyDescent="0.25">
      <c r="A212" s="5">
        <v>210</v>
      </c>
      <c r="B212" s="5">
        <f t="shared" si="6"/>
        <v>41</v>
      </c>
      <c r="C212" s="21">
        <f t="shared" si="7"/>
        <v>1.75</v>
      </c>
      <c r="D212" s="16"/>
      <c r="E212" s="19">
        <f>(ADC!I212+5/3)/(1/12)</f>
        <v>40.127835726775466</v>
      </c>
      <c r="F212" s="20">
        <f>ABS(B212-E212)/B212</f>
        <v>2.127229934693986E-2</v>
      </c>
      <c r="G212" s="2"/>
      <c r="H212" s="2"/>
      <c r="I212" s="19">
        <f>ABS(C212-ADC!I212)</f>
        <v>7.2680356102044374E-2</v>
      </c>
    </row>
    <row r="213" spans="1:9" x14ac:dyDescent="0.25">
      <c r="A213" s="5">
        <v>211</v>
      </c>
      <c r="B213" s="5">
        <f t="shared" si="6"/>
        <v>41.1</v>
      </c>
      <c r="C213" s="21">
        <f t="shared" si="7"/>
        <v>1.7583329999999999</v>
      </c>
      <c r="D213" s="16"/>
      <c r="E213" s="19">
        <f>(ADC!I213+5/3)/(1/12)</f>
        <v>40.241117064760132</v>
      </c>
      <c r="F213" s="20">
        <f>ABS(B213-E213)/B213</f>
        <v>2.0897395018001679E-2</v>
      </c>
      <c r="G213" s="2"/>
      <c r="H213" s="2"/>
      <c r="I213" s="19">
        <f>ABS(C213-ADC!I213)</f>
        <v>7.1573244603322372E-2</v>
      </c>
    </row>
    <row r="214" spans="1:9" x14ac:dyDescent="0.25">
      <c r="A214" s="5">
        <v>212</v>
      </c>
      <c r="B214" s="5">
        <f t="shared" si="6"/>
        <v>41.2</v>
      </c>
      <c r="C214" s="21">
        <f t="shared" si="7"/>
        <v>1.766667</v>
      </c>
      <c r="D214" s="16"/>
      <c r="E214" s="19">
        <f>(ADC!I214+5/3)/(1/12)</f>
        <v>40.33615096800402</v>
      </c>
      <c r="F214" s="20">
        <f>ABS(B214-E214)/B214</f>
        <v>2.0967209514465603E-2</v>
      </c>
      <c r="G214" s="2"/>
      <c r="H214" s="2"/>
      <c r="I214" s="19">
        <f>ABS(C214-ADC!I214)</f>
        <v>7.1987752666331728E-2</v>
      </c>
    </row>
    <row r="215" spans="1:9" x14ac:dyDescent="0.25">
      <c r="A215" s="5">
        <v>213</v>
      </c>
      <c r="B215" s="5">
        <f t="shared" si="6"/>
        <v>41.3</v>
      </c>
      <c r="C215" s="21">
        <f t="shared" si="7"/>
        <v>1.7749999999999999</v>
      </c>
      <c r="D215" s="16"/>
      <c r="E215" s="19">
        <f>(ADC!I215+5/3)/(1/12)</f>
        <v>40.440740165041262</v>
      </c>
      <c r="F215" s="20">
        <f>ABS(B215-E215)/B215</f>
        <v>2.0805322880356778E-2</v>
      </c>
      <c r="G215" s="2"/>
      <c r="H215" s="2"/>
      <c r="I215" s="19">
        <f>ABS(C215-ADC!I215)</f>
        <v>7.1604986246561753E-2</v>
      </c>
    </row>
    <row r="216" spans="1:9" x14ac:dyDescent="0.25">
      <c r="A216" s="5">
        <v>214</v>
      </c>
      <c r="B216" s="5">
        <f t="shared" si="6"/>
        <v>41.400000000000006</v>
      </c>
      <c r="C216" s="21">
        <f t="shared" si="7"/>
        <v>1.7833330000000001</v>
      </c>
      <c r="D216" s="16"/>
      <c r="E216" s="19">
        <f>(ADC!I216+5/3)/(1/12)</f>
        <v>40.554844474271185</v>
      </c>
      <c r="F216" s="20">
        <f>ABS(B216-E216)/B216</f>
        <v>2.0414384679440109E-2</v>
      </c>
      <c r="G216" s="2"/>
      <c r="H216" s="2"/>
      <c r="I216" s="19">
        <f>ABS(C216-ADC!I216)</f>
        <v>7.0429293810734928E-2</v>
      </c>
    </row>
    <row r="217" spans="1:9" x14ac:dyDescent="0.25">
      <c r="A217" s="5">
        <v>215</v>
      </c>
      <c r="B217" s="5">
        <f t="shared" si="6"/>
        <v>41.5</v>
      </c>
      <c r="C217" s="21">
        <f t="shared" si="7"/>
        <v>1.7916669999999999</v>
      </c>
      <c r="D217" s="16"/>
      <c r="E217" s="19">
        <f>(ADC!I217+5/3)/(1/12)</f>
        <v>40.659992024819893</v>
      </c>
      <c r="F217" s="20">
        <f>ABS(B217-E217)/B217</f>
        <v>2.0241156028436319E-2</v>
      </c>
      <c r="G217" s="2"/>
      <c r="H217" s="2"/>
      <c r="I217" s="19">
        <f>ABS(C217-ADC!I217)</f>
        <v>7.0000997931675579E-2</v>
      </c>
    </row>
    <row r="218" spans="1:9" x14ac:dyDescent="0.25">
      <c r="A218" s="5">
        <v>216</v>
      </c>
      <c r="B218" s="5">
        <f t="shared" si="6"/>
        <v>41.6</v>
      </c>
      <c r="C218" s="21">
        <f t="shared" si="7"/>
        <v>1.8</v>
      </c>
      <c r="D218" s="16"/>
      <c r="E218" s="19">
        <f>(ADC!I218+5/3)/(1/12)</f>
        <v>40.765423603036446</v>
      </c>
      <c r="F218" s="20">
        <f>ABS(B218-E218)/B218</f>
        <v>2.0061932619316238E-2</v>
      </c>
      <c r="G218" s="2"/>
      <c r="H218" s="2"/>
      <c r="I218" s="19">
        <f>ABS(C218-ADC!I218)</f>
        <v>6.9548033080296445E-2</v>
      </c>
    </row>
    <row r="219" spans="1:9" x14ac:dyDescent="0.25">
      <c r="A219" s="5">
        <v>217</v>
      </c>
      <c r="B219" s="5">
        <f t="shared" si="6"/>
        <v>41.7</v>
      </c>
      <c r="C219" s="21">
        <f t="shared" si="7"/>
        <v>1.808333</v>
      </c>
      <c r="D219" s="16"/>
      <c r="E219" s="19">
        <f>(ADC!I219+5/3)/(1/12)</f>
        <v>40.880327833211467</v>
      </c>
      <c r="F219" s="20">
        <f>ABS(B219-E219)/B219</f>
        <v>1.9656406877422913E-2</v>
      </c>
      <c r="G219" s="2"/>
      <c r="H219" s="2"/>
      <c r="I219" s="19">
        <f>ABS(C219-ADC!I219)</f>
        <v>6.8305680565711624E-2</v>
      </c>
    </row>
    <row r="220" spans="1:9" x14ac:dyDescent="0.25">
      <c r="A220" s="5">
        <v>218</v>
      </c>
      <c r="B220" s="5">
        <f t="shared" si="6"/>
        <v>41.8</v>
      </c>
      <c r="C220" s="21">
        <f t="shared" si="7"/>
        <v>1.816667</v>
      </c>
      <c r="D220" s="16"/>
      <c r="E220" s="19">
        <f>(ADC!I220+5/3)/(1/12)</f>
        <v>40.986311056308878</v>
      </c>
      <c r="F220" s="20">
        <f>ABS(B220-E220)/B220</f>
        <v>1.9466242672036341E-2</v>
      </c>
      <c r="G220" s="2"/>
      <c r="H220" s="2"/>
      <c r="I220" s="19">
        <f>ABS(C220-ADC!I220)</f>
        <v>6.7807745307593592E-2</v>
      </c>
    </row>
    <row r="221" spans="1:9" x14ac:dyDescent="0.25">
      <c r="A221" s="5">
        <v>219</v>
      </c>
      <c r="B221" s="5">
        <f t="shared" si="6"/>
        <v>41.900000000000006</v>
      </c>
      <c r="C221" s="21">
        <f t="shared" si="7"/>
        <v>1.825</v>
      </c>
      <c r="D221" s="16"/>
      <c r="E221" s="19">
        <f>(ADC!I221+5/3)/(1/12)</f>
        <v>41.101738577114112</v>
      </c>
      <c r="F221" s="20">
        <f>ABS(B221-E221)/B221</f>
        <v>1.90515852717397E-2</v>
      </c>
      <c r="G221" s="2"/>
      <c r="H221" s="2"/>
      <c r="I221" s="19">
        <f>ABS(C221-ADC!I221)</f>
        <v>6.6521785240490461E-2</v>
      </c>
    </row>
    <row r="222" spans="1:9" x14ac:dyDescent="0.25">
      <c r="A222" s="5">
        <v>220</v>
      </c>
      <c r="B222" s="5">
        <f t="shared" si="6"/>
        <v>42</v>
      </c>
      <c r="C222" s="21">
        <f t="shared" si="7"/>
        <v>1.8333330000000001</v>
      </c>
      <c r="D222" s="16"/>
      <c r="E222" s="19">
        <f>(ADC!I222+5/3)/(1/12)</f>
        <v>41.208268923614845</v>
      </c>
      <c r="F222" s="20">
        <f>ABS(B222-E222)/B222</f>
        <v>1.8850739913932251E-2</v>
      </c>
      <c r="G222" s="2"/>
      <c r="H222" s="2"/>
      <c r="I222" s="19">
        <f>ABS(C222-ADC!I222)</f>
        <v>6.597725636543017E-2</v>
      </c>
    </row>
    <row r="223" spans="1:9" x14ac:dyDescent="0.25">
      <c r="A223" s="5">
        <v>221</v>
      </c>
      <c r="B223" s="5">
        <f t="shared" si="6"/>
        <v>42.1</v>
      </c>
      <c r="C223" s="21">
        <f t="shared" si="7"/>
        <v>1.8416669999999999</v>
      </c>
      <c r="D223" s="16"/>
      <c r="E223" s="19">
        <f>(ADC!I223+5/3)/(1/12)</f>
        <v>41.315077667715592</v>
      </c>
      <c r="F223" s="20">
        <f>ABS(B223-E223)/B223</f>
        <v>1.8644235921244885E-2</v>
      </c>
      <c r="G223" s="2"/>
      <c r="H223" s="2"/>
      <c r="I223" s="19">
        <f>ABS(C223-ADC!I223)</f>
        <v>6.5410527690367593E-2</v>
      </c>
    </row>
    <row r="224" spans="1:9" x14ac:dyDescent="0.25">
      <c r="A224" s="5">
        <v>222</v>
      </c>
      <c r="B224" s="5">
        <f t="shared" si="6"/>
        <v>42.2</v>
      </c>
      <c r="C224" s="21">
        <f t="shared" si="7"/>
        <v>1.85</v>
      </c>
      <c r="D224" s="16"/>
      <c r="E224" s="19">
        <f>(ADC!I224+5/3)/(1/12)</f>
        <v>41.431288089548076</v>
      </c>
      <c r="F224" s="20">
        <f>ABS(B224-E224)/B224</f>
        <v>1.8215922048623857E-2</v>
      </c>
      <c r="G224" s="2"/>
      <c r="H224" s="2"/>
      <c r="I224" s="19">
        <f>ABS(C224-ADC!I224)</f>
        <v>6.4059325870994055E-2</v>
      </c>
    </row>
    <row r="225" spans="1:9" x14ac:dyDescent="0.25">
      <c r="A225" s="5">
        <v>223</v>
      </c>
      <c r="B225" s="5">
        <f t="shared" si="6"/>
        <v>42.3</v>
      </c>
      <c r="C225" s="21">
        <f t="shared" si="7"/>
        <v>1.858333</v>
      </c>
      <c r="D225" s="16"/>
      <c r="E225" s="19">
        <f>(ADC!I225+5/3)/(1/12)</f>
        <v>41.538637123246943</v>
      </c>
      <c r="F225" s="20">
        <f>ABS(B225-E225)/B225</f>
        <v>1.7999122381868897E-2</v>
      </c>
      <c r="G225" s="2"/>
      <c r="H225" s="2"/>
      <c r="I225" s="19">
        <f>ABS(C225-ADC!I225)</f>
        <v>6.3446573062754918E-2</v>
      </c>
    </row>
    <row r="226" spans="1:9" x14ac:dyDescent="0.25">
      <c r="A226" s="5">
        <v>224</v>
      </c>
      <c r="B226" s="5">
        <f t="shared" si="6"/>
        <v>42.400000000000006</v>
      </c>
      <c r="C226" s="21">
        <f t="shared" si="7"/>
        <v>1.8666670000000001</v>
      </c>
      <c r="D226" s="16"/>
      <c r="E226" s="19">
        <f>(ADC!I226+5/3)/(1/12)</f>
        <v>41.646261133977198</v>
      </c>
      <c r="F226" s="20">
        <f>ABS(B226-E226)/B226</f>
        <v>1.7776860047707722E-2</v>
      </c>
      <c r="G226" s="2"/>
      <c r="H226" s="2"/>
      <c r="I226" s="19">
        <f>ABS(C226-ADC!I226)</f>
        <v>6.28119055019003E-2</v>
      </c>
    </row>
    <row r="227" spans="1:9" x14ac:dyDescent="0.25">
      <c r="A227" s="5">
        <v>225</v>
      </c>
      <c r="B227" s="5">
        <f t="shared" si="6"/>
        <v>42.5</v>
      </c>
      <c r="C227" s="21">
        <f t="shared" si="7"/>
        <v>1.875</v>
      </c>
      <c r="D227" s="16"/>
      <c r="E227" s="19">
        <f>(ADC!I227+5/3)/(1/12)</f>
        <v>41.754158974565584</v>
      </c>
      <c r="F227" s="20">
        <f>ABS(B227-E227)/B227</f>
        <v>1.7549200598456844E-2</v>
      </c>
      <c r="G227" s="2"/>
      <c r="H227" s="2"/>
      <c r="I227" s="19">
        <f>ABS(C227-ADC!I227)</f>
        <v>6.215341878620162E-2</v>
      </c>
    </row>
    <row r="228" spans="1:9" x14ac:dyDescent="0.25">
      <c r="A228" s="5">
        <v>226</v>
      </c>
      <c r="B228" s="5">
        <f t="shared" si="6"/>
        <v>42.6</v>
      </c>
      <c r="C228" s="21">
        <f t="shared" si="7"/>
        <v>1.8833329999999999</v>
      </c>
      <c r="D228" s="16"/>
      <c r="E228" s="19">
        <f>(ADC!I228+5/3)/(1/12)</f>
        <v>41.862329486840913</v>
      </c>
      <c r="F228" s="20">
        <f>ABS(B228-E228)/B228</f>
        <v>1.7316209229086575E-2</v>
      </c>
      <c r="G228" s="2"/>
      <c r="H228" s="2"/>
      <c r="I228" s="19">
        <f>ABS(C228-ADC!I228)</f>
        <v>6.1472209429924041E-2</v>
      </c>
    </row>
    <row r="229" spans="1:9" x14ac:dyDescent="0.25">
      <c r="A229" s="5">
        <v>227</v>
      </c>
      <c r="B229" s="5">
        <f t="shared" si="6"/>
        <v>42.7</v>
      </c>
      <c r="C229" s="21">
        <f t="shared" si="7"/>
        <v>1.891667</v>
      </c>
      <c r="D229" s="16"/>
      <c r="E229" s="19">
        <f>(ADC!I229+5/3)/(1/12)</f>
        <v>41.970771517345369</v>
      </c>
      <c r="F229" s="20">
        <f>ABS(B229-E229)/B229</f>
        <v>1.7077950413457461E-2</v>
      </c>
      <c r="G229" s="2"/>
      <c r="H229" s="2"/>
      <c r="I229" s="19">
        <f>ABS(C229-ADC!I229)</f>
        <v>6.0769373554553141E-2</v>
      </c>
    </row>
    <row r="230" spans="1:9" x14ac:dyDescent="0.25">
      <c r="A230" s="5">
        <v>228</v>
      </c>
      <c r="B230" s="5">
        <f t="shared" si="6"/>
        <v>42.8</v>
      </c>
      <c r="C230" s="21">
        <f t="shared" si="7"/>
        <v>1.9</v>
      </c>
      <c r="D230" s="16"/>
      <c r="E230" s="19">
        <f>(ADC!I230+5/3)/(1/12)</f>
        <v>42.079483911049984</v>
      </c>
      <c r="F230" s="20">
        <f>ABS(B230-E230)/B230</f>
        <v>1.6834488059579756E-2</v>
      </c>
      <c r="G230" s="2"/>
      <c r="H230" s="2"/>
      <c r="I230" s="19">
        <f>ABS(C230-ADC!I230)</f>
        <v>6.0043007412501792E-2</v>
      </c>
    </row>
    <row r="231" spans="1:9" x14ac:dyDescent="0.25">
      <c r="A231" s="5">
        <v>229</v>
      </c>
      <c r="B231" s="5">
        <f t="shared" si="6"/>
        <v>42.900000000000006</v>
      </c>
      <c r="C231" s="21">
        <f t="shared" si="7"/>
        <v>1.9083330000000001</v>
      </c>
      <c r="D231" s="16"/>
      <c r="E231" s="19">
        <f>(ADC!I231+5/3)/(1/12)</f>
        <v>42.188465501228912</v>
      </c>
      <c r="F231" s="20">
        <f>ABS(B231-E231)/B231</f>
        <v>1.6585885752239952E-2</v>
      </c>
      <c r="G231" s="2"/>
      <c r="H231" s="2"/>
      <c r="I231" s="19">
        <f>ABS(C231-ADC!I231)</f>
        <v>5.9294208230924239E-2</v>
      </c>
    </row>
    <row r="232" spans="1:9" x14ac:dyDescent="0.25">
      <c r="A232" s="5">
        <v>230</v>
      </c>
      <c r="B232" s="5">
        <f t="shared" si="6"/>
        <v>43</v>
      </c>
      <c r="C232" s="21">
        <f t="shared" si="7"/>
        <v>1.9166669999999999</v>
      </c>
      <c r="D232" s="16"/>
      <c r="E232" s="19">
        <f>(ADC!I232+5/3)/(1/12)</f>
        <v>42.28869565134918</v>
      </c>
      <c r="F232" s="20">
        <f>ABS(B232-E232)/B232</f>
        <v>1.6541961596530708E-2</v>
      </c>
      <c r="G232" s="2"/>
      <c r="H232" s="2"/>
      <c r="I232" s="19">
        <f>ABS(C232-ADC!I232)</f>
        <v>5.9275695720902188E-2</v>
      </c>
    </row>
    <row r="233" spans="1:9" x14ac:dyDescent="0.25">
      <c r="A233" s="5">
        <v>231</v>
      </c>
      <c r="B233" s="5">
        <f t="shared" si="6"/>
        <v>43.1</v>
      </c>
      <c r="C233" s="21">
        <f t="shared" si="7"/>
        <v>1.925</v>
      </c>
      <c r="D233" s="16"/>
      <c r="E233" s="19">
        <f>(ADC!I233+5/3)/(1/12)</f>
        <v>42.398225276245057</v>
      </c>
      <c r="F233" s="20">
        <f>ABS(B233-E233)/B233</f>
        <v>1.6282476189209843E-2</v>
      </c>
      <c r="G233" s="2"/>
      <c r="H233" s="2"/>
      <c r="I233" s="19">
        <f>ABS(C233-ADC!I233)</f>
        <v>5.8481226979579137E-2</v>
      </c>
    </row>
    <row r="234" spans="1:9" x14ac:dyDescent="0.25">
      <c r="A234" s="5">
        <v>232</v>
      </c>
      <c r="B234" s="5">
        <f t="shared" si="6"/>
        <v>43.2</v>
      </c>
      <c r="C234" s="21">
        <f t="shared" si="7"/>
        <v>1.933333</v>
      </c>
      <c r="D234" s="16"/>
      <c r="E234" s="19">
        <f>(ADC!I234+5/3)/(1/12)</f>
        <v>42.508020594644051</v>
      </c>
      <c r="F234" s="20">
        <f>ABS(B234-E234)/B234</f>
        <v>1.601804179064702E-2</v>
      </c>
      <c r="G234" s="2"/>
      <c r="H234" s="2"/>
      <c r="I234" s="19">
        <f>ABS(C234-ADC!I234)</f>
        <v>5.7664617112995753E-2</v>
      </c>
    </row>
    <row r="235" spans="1:9" x14ac:dyDescent="0.25">
      <c r="A235" s="5">
        <v>233</v>
      </c>
      <c r="B235" s="5">
        <f t="shared" si="6"/>
        <v>43.3</v>
      </c>
      <c r="C235" s="21">
        <f t="shared" si="7"/>
        <v>1.941667</v>
      </c>
      <c r="D235" s="16"/>
      <c r="E235" s="19">
        <f>(ADC!I235+5/3)/(1/12)</f>
        <v>42.618080422013065</v>
      </c>
      <c r="F235" s="20">
        <f>ABS(B235-E235)/B235</f>
        <v>1.5748720045887572E-2</v>
      </c>
      <c r="G235" s="2"/>
      <c r="H235" s="2"/>
      <c r="I235" s="19">
        <f>ABS(C235-ADC!I235)</f>
        <v>5.6826964832244808E-2</v>
      </c>
    </row>
    <row r="236" spans="1:9" x14ac:dyDescent="0.25">
      <c r="A236" s="5">
        <v>234</v>
      </c>
      <c r="B236" s="5">
        <f t="shared" si="6"/>
        <v>43.400000000000006</v>
      </c>
      <c r="C236" s="21">
        <f t="shared" si="7"/>
        <v>1.95</v>
      </c>
      <c r="D236" s="16"/>
      <c r="E236" s="19">
        <f>(ADC!I236+5/3)/(1/12)</f>
        <v>42.72840358359533</v>
      </c>
      <c r="F236" s="20">
        <f>ABS(B236-E236)/B236</f>
        <v>1.5474571806559336E-2</v>
      </c>
      <c r="G236" s="2"/>
      <c r="H236" s="2"/>
      <c r="I236" s="19">
        <f>ABS(C236-ADC!I236)</f>
        <v>5.5966368033722569E-2</v>
      </c>
    </row>
    <row r="237" spans="1:9" x14ac:dyDescent="0.25">
      <c r="A237" s="5">
        <v>235</v>
      </c>
      <c r="B237" s="5">
        <f t="shared" si="6"/>
        <v>43.5</v>
      </c>
      <c r="C237" s="21">
        <f t="shared" si="7"/>
        <v>1.9583330000000001</v>
      </c>
      <c r="D237" s="16"/>
      <c r="E237" s="19">
        <f>(ADC!I237+5/3)/(1/12)</f>
        <v>42.838988889794784</v>
      </c>
      <c r="F237" s="20">
        <f>ABS(B237-E237)/B237</f>
        <v>1.5195657705867031E-2</v>
      </c>
      <c r="G237" s="2"/>
      <c r="H237" s="2"/>
      <c r="I237" s="19">
        <f>ABS(C237-ADC!I237)</f>
        <v>5.5083925850434978E-2</v>
      </c>
    </row>
    <row r="238" spans="1:9" x14ac:dyDescent="0.25">
      <c r="A238" s="5">
        <v>236</v>
      </c>
      <c r="B238" s="5">
        <f t="shared" si="6"/>
        <v>43.6</v>
      </c>
      <c r="C238" s="21">
        <f t="shared" si="7"/>
        <v>1.9666669999999999</v>
      </c>
      <c r="D238" s="16"/>
      <c r="E238" s="19">
        <f>(ADC!I238+5/3)/(1/12)</f>
        <v>42.940894648459377</v>
      </c>
      <c r="F238" s="20">
        <f>ABS(B238-E238)/B238</f>
        <v>1.5117095218821661E-2</v>
      </c>
      <c r="G238" s="2"/>
      <c r="H238" s="2"/>
      <c r="I238" s="19">
        <f>ABS(C238-ADC!I238)</f>
        <v>5.4925779295051935E-2</v>
      </c>
    </row>
    <row r="239" spans="1:9" x14ac:dyDescent="0.25">
      <c r="A239" s="5">
        <v>237</v>
      </c>
      <c r="B239" s="5">
        <f t="shared" si="6"/>
        <v>43.7</v>
      </c>
      <c r="C239" s="21">
        <f t="shared" si="7"/>
        <v>1.9750000000000001</v>
      </c>
      <c r="D239" s="16"/>
      <c r="E239" s="19">
        <f>(ADC!I239+5/3)/(1/12)</f>
        <v>43.05201384865066</v>
      </c>
      <c r="F239" s="20">
        <f>ABS(B239-E239)/B239</f>
        <v>1.4828058383280164E-2</v>
      </c>
      <c r="G239" s="2"/>
      <c r="H239" s="2"/>
      <c r="I239" s="19">
        <f>ABS(C239-ADC!I239)</f>
        <v>5.3998845945778973E-2</v>
      </c>
    </row>
    <row r="240" spans="1:9" x14ac:dyDescent="0.25">
      <c r="A240" s="5">
        <v>238</v>
      </c>
      <c r="B240" s="5">
        <f t="shared" si="6"/>
        <v>43.8</v>
      </c>
      <c r="C240" s="21">
        <f t="shared" si="7"/>
        <v>1.983333</v>
      </c>
      <c r="D240" s="16"/>
      <c r="E240" s="19">
        <f>(ADC!I240+5/3)/(1/12)</f>
        <v>43.163391620132053</v>
      </c>
      <c r="F240" s="20">
        <f>ABS(B240-E240)/B240</f>
        <v>1.4534437896528404E-2</v>
      </c>
      <c r="G240" s="2"/>
      <c r="H240" s="2"/>
      <c r="I240" s="19">
        <f>ABS(C240-ADC!I240)</f>
        <v>5.3050364988996179E-2</v>
      </c>
    </row>
    <row r="241" spans="1:9" x14ac:dyDescent="0.25">
      <c r="A241" s="5">
        <v>239</v>
      </c>
      <c r="B241" s="5">
        <f t="shared" si="6"/>
        <v>43.900000000000006</v>
      </c>
      <c r="C241" s="21">
        <f t="shared" si="7"/>
        <v>1.9916670000000001</v>
      </c>
      <c r="D241" s="16"/>
      <c r="E241" s="19">
        <f>(ADC!I241+5/3)/(1/12)</f>
        <v>43.275026763705334</v>
      </c>
      <c r="F241" s="20">
        <f>ABS(B241-E241)/B241</f>
        <v>1.4236292398511879E-2</v>
      </c>
      <c r="G241" s="2"/>
      <c r="H241" s="2"/>
      <c r="I241" s="19">
        <f>ABS(C241-ADC!I241)</f>
        <v>5.2081436357888755E-2</v>
      </c>
    </row>
    <row r="242" spans="1:9" x14ac:dyDescent="0.25">
      <c r="A242" s="5">
        <v>240</v>
      </c>
      <c r="B242" s="5">
        <f t="shared" si="6"/>
        <v>44</v>
      </c>
      <c r="C242" s="21">
        <f t="shared" si="7"/>
        <v>2</v>
      </c>
      <c r="D242" s="16"/>
      <c r="E242" s="19">
        <f>(ADC!I242+5/3)/(1/12)</f>
        <v>43.378030327489867</v>
      </c>
      <c r="F242" s="20">
        <f>ABS(B242-E242)/B242</f>
        <v>1.4135674375230294E-2</v>
      </c>
      <c r="G242" s="2"/>
      <c r="H242" s="2"/>
      <c r="I242" s="19">
        <f>ABS(C242-ADC!I242)</f>
        <v>5.1830806042511668E-2</v>
      </c>
    </row>
    <row r="243" spans="1:9" x14ac:dyDescent="0.25">
      <c r="A243" s="5">
        <v>241</v>
      </c>
      <c r="B243" s="5">
        <f t="shared" si="6"/>
        <v>44.1</v>
      </c>
      <c r="C243" s="21">
        <f t="shared" si="7"/>
        <v>2.0083329999999999</v>
      </c>
      <c r="D243" s="16"/>
      <c r="E243" s="19">
        <f>(ADC!I243+5/3)/(1/12)</f>
        <v>43.490189797308844</v>
      </c>
      <c r="F243" s="20">
        <f>ABS(B243-E243)/B243</f>
        <v>1.3827895752633958E-2</v>
      </c>
      <c r="G243" s="2"/>
      <c r="H243" s="2"/>
      <c r="I243" s="19">
        <f>ABS(C243-ADC!I243)</f>
        <v>5.0817183557596124E-2</v>
      </c>
    </row>
    <row r="244" spans="1:9" x14ac:dyDescent="0.25">
      <c r="A244" s="5">
        <v>242</v>
      </c>
      <c r="B244" s="5">
        <f t="shared" si="6"/>
        <v>44.2</v>
      </c>
      <c r="C244" s="21">
        <f t="shared" si="7"/>
        <v>2.016667</v>
      </c>
      <c r="D244" s="16"/>
      <c r="E244" s="19">
        <f>(ADC!I244+5/3)/(1/12)</f>
        <v>43.602603020850573</v>
      </c>
      <c r="F244" s="20">
        <f>ABS(B244-E244)/B244</f>
        <v>1.3515768759036872E-2</v>
      </c>
      <c r="G244" s="2"/>
      <c r="H244" s="2"/>
      <c r="I244" s="19">
        <f>ABS(C244-ADC!I244)</f>
        <v>4.9783414929119196E-2</v>
      </c>
    </row>
    <row r="245" spans="1:9" x14ac:dyDescent="0.25">
      <c r="A245" s="5">
        <v>243</v>
      </c>
      <c r="B245" s="5">
        <f t="shared" si="6"/>
        <v>44.3</v>
      </c>
      <c r="C245" s="21">
        <f t="shared" si="7"/>
        <v>2.0249999999999999</v>
      </c>
      <c r="D245" s="16"/>
      <c r="E245" s="19">
        <f>(ADC!I245+5/3)/(1/12)</f>
        <v>43.706420662715878</v>
      </c>
      <c r="F245" s="20">
        <f>ABS(B245-E245)/B245</f>
        <v>1.339908210573632E-2</v>
      </c>
      <c r="G245" s="2"/>
      <c r="H245" s="2"/>
      <c r="I245" s="19">
        <f>ABS(C245-ADC!I245)</f>
        <v>4.9464944773677244E-2</v>
      </c>
    </row>
    <row r="246" spans="1:9" x14ac:dyDescent="0.25">
      <c r="A246" s="5">
        <v>244</v>
      </c>
      <c r="B246" s="5">
        <f t="shared" si="6"/>
        <v>44.400000000000006</v>
      </c>
      <c r="C246" s="21">
        <f t="shared" si="7"/>
        <v>2.0333329999999998</v>
      </c>
      <c r="D246" s="16"/>
      <c r="E246" s="19">
        <f>(ADC!I246+5/3)/(1/12)</f>
        <v>43.819350963893342</v>
      </c>
      <c r="F246" s="20">
        <f>ABS(B246-E246)/B246</f>
        <v>1.3077680993393324E-2</v>
      </c>
      <c r="G246" s="2"/>
      <c r="H246" s="2"/>
      <c r="I246" s="19">
        <f>ABS(C246-ADC!I246)</f>
        <v>4.8387086342221552E-2</v>
      </c>
    </row>
    <row r="247" spans="1:9" x14ac:dyDescent="0.25">
      <c r="A247" s="5">
        <v>245</v>
      </c>
      <c r="B247" s="5">
        <f t="shared" si="6"/>
        <v>44.5</v>
      </c>
      <c r="C247" s="21">
        <f t="shared" si="7"/>
        <v>2.0416669999999999</v>
      </c>
      <c r="D247" s="16"/>
      <c r="E247" s="19">
        <f>(ADC!I247+5/3)/(1/12)</f>
        <v>43.932531377903253</v>
      </c>
      <c r="F247" s="20">
        <f>ABS(B247-E247)/B247</f>
        <v>1.2752103867342636E-2</v>
      </c>
      <c r="G247" s="2"/>
      <c r="H247" s="2"/>
      <c r="I247" s="19">
        <f>ABS(C247-ADC!I247)</f>
        <v>4.7289385174729137E-2</v>
      </c>
    </row>
    <row r="248" spans="1:9" x14ac:dyDescent="0.25">
      <c r="A248" s="5">
        <v>246</v>
      </c>
      <c r="B248" s="5">
        <f t="shared" si="6"/>
        <v>44.6</v>
      </c>
      <c r="C248" s="21">
        <f t="shared" si="7"/>
        <v>2.0499999999999998</v>
      </c>
      <c r="D248" s="16"/>
      <c r="E248" s="19">
        <f>(ADC!I248+5/3)/(1/12)</f>
        <v>44.037152212015606</v>
      </c>
      <c r="F248" s="20">
        <f>ABS(B248-E248)/B248</f>
        <v>1.2619905560188242E-2</v>
      </c>
      <c r="G248" s="2"/>
      <c r="H248" s="2"/>
      <c r="I248" s="19">
        <f>ABS(C248-ADC!I248)</f>
        <v>4.6903982332032523E-2</v>
      </c>
    </row>
    <row r="249" spans="1:9" x14ac:dyDescent="0.25">
      <c r="A249" s="5">
        <v>247</v>
      </c>
      <c r="B249" s="5">
        <f t="shared" si="6"/>
        <v>44.7</v>
      </c>
      <c r="C249" s="21">
        <f t="shared" si="7"/>
        <v>2.0583330000000002</v>
      </c>
      <c r="D249" s="16"/>
      <c r="E249" s="19">
        <f>(ADC!I249+5/3)/(1/12)</f>
        <v>44.142047172075799</v>
      </c>
      <c r="F249" s="20">
        <f>ABS(B249-E249)/B249</f>
        <v>1.2482166172800985E-2</v>
      </c>
      <c r="G249" s="2"/>
      <c r="H249" s="2"/>
      <c r="I249" s="19">
        <f>ABS(C249-ADC!I249)</f>
        <v>4.6495735660350146E-2</v>
      </c>
    </row>
    <row r="250" spans="1:9" x14ac:dyDescent="0.25">
      <c r="A250" s="5">
        <v>248</v>
      </c>
      <c r="B250" s="5">
        <f t="shared" si="6"/>
        <v>44.8</v>
      </c>
      <c r="C250" s="21">
        <f t="shared" si="7"/>
        <v>2.0666669999999998</v>
      </c>
      <c r="D250" s="16"/>
      <c r="E250" s="19">
        <f>(ADC!I250+5/3)/(1/12)</f>
        <v>44.247215040205738</v>
      </c>
      <c r="F250" s="20">
        <f>ABS(B250-E250)/B250</f>
        <v>1.2338949995407571E-2</v>
      </c>
      <c r="G250" s="2"/>
      <c r="H250" s="2"/>
      <c r="I250" s="19">
        <f>ABS(C250-ADC!I250)</f>
        <v>4.6065746649522232E-2</v>
      </c>
    </row>
    <row r="251" spans="1:9" x14ac:dyDescent="0.25">
      <c r="A251" s="5">
        <v>249</v>
      </c>
      <c r="B251" s="5">
        <f t="shared" si="6"/>
        <v>44.900000000000006</v>
      </c>
      <c r="C251" s="21">
        <f t="shared" si="7"/>
        <v>2.0750000000000002</v>
      </c>
      <c r="D251" s="16"/>
      <c r="E251" s="19">
        <f>(ADC!I251+5/3)/(1/12)</f>
        <v>44.361423308678432</v>
      </c>
      <c r="F251" s="20">
        <f>ABS(B251-E251)/B251</f>
        <v>1.1995026532774459E-2</v>
      </c>
      <c r="G251" s="2"/>
      <c r="H251" s="2"/>
      <c r="I251" s="19">
        <f>ABS(C251-ADC!I251)</f>
        <v>4.4881390943464439E-2</v>
      </c>
    </row>
    <row r="252" spans="1:9" x14ac:dyDescent="0.25">
      <c r="A252" s="5">
        <v>250</v>
      </c>
      <c r="B252" s="5">
        <f t="shared" si="6"/>
        <v>45</v>
      </c>
      <c r="C252" s="21">
        <f t="shared" si="7"/>
        <v>2.0833330000000001</v>
      </c>
      <c r="D252" s="16"/>
      <c r="E252" s="19">
        <f>(ADC!I252+5/3)/(1/12)</f>
        <v>44.467120066431285</v>
      </c>
      <c r="F252" s="20">
        <f>ABS(B252-E252)/B252</f>
        <v>1.1841776301527003E-2</v>
      </c>
      <c r="G252" s="2"/>
      <c r="H252" s="2"/>
      <c r="I252" s="19">
        <f>ABS(C252-ADC!I252)</f>
        <v>4.4406327797393175E-2</v>
      </c>
    </row>
    <row r="253" spans="1:9" x14ac:dyDescent="0.25">
      <c r="A253" s="5">
        <v>251</v>
      </c>
      <c r="B253" s="5">
        <f t="shared" si="6"/>
        <v>45.1</v>
      </c>
      <c r="C253" s="21">
        <f t="shared" si="7"/>
        <v>2.0916670000000002</v>
      </c>
      <c r="D253" s="16"/>
      <c r="E253" s="19">
        <f>(ADC!I253+5/3)/(1/12)</f>
        <v>44.590570528726452</v>
      </c>
      <c r="F253" s="20">
        <f>ABS(B253-E253)/B253</f>
        <v>1.1295553686774921E-2</v>
      </c>
      <c r="G253" s="2"/>
      <c r="H253" s="2"/>
      <c r="I253" s="19">
        <f>ABS(C253-ADC!I253)</f>
        <v>4.2452789272796387E-2</v>
      </c>
    </row>
    <row r="254" spans="1:9" x14ac:dyDescent="0.25">
      <c r="A254" s="5">
        <v>252</v>
      </c>
      <c r="B254" s="5">
        <f t="shared" si="6"/>
        <v>45.2</v>
      </c>
      <c r="C254" s="21">
        <f t="shared" si="7"/>
        <v>2.1</v>
      </c>
      <c r="D254" s="16"/>
      <c r="E254" s="19">
        <f>(ADC!I254+5/3)/(1/12)</f>
        <v>44.696777987537821</v>
      </c>
      <c r="F254" s="20">
        <f>ABS(B254-E254)/B254</f>
        <v>1.1133230364207556E-2</v>
      </c>
      <c r="G254" s="2"/>
      <c r="H254" s="2"/>
      <c r="I254" s="19">
        <f>ABS(C254-ADC!I254)</f>
        <v>4.1935167705182241E-2</v>
      </c>
    </row>
    <row r="255" spans="1:9" x14ac:dyDescent="0.25">
      <c r="A255" s="5">
        <v>253</v>
      </c>
      <c r="B255" s="5">
        <f t="shared" si="6"/>
        <v>45.3</v>
      </c>
      <c r="C255" s="21">
        <f t="shared" si="7"/>
        <v>2.108333</v>
      </c>
      <c r="D255" s="16"/>
      <c r="E255" s="19">
        <f>(ADC!I255+5/3)/(1/12)</f>
        <v>44.811967948594507</v>
      </c>
      <c r="F255" s="20">
        <f>ABS(B255-E255)/B255</f>
        <v>1.0773334468112366E-2</v>
      </c>
      <c r="G255" s="2"/>
      <c r="H255" s="2"/>
      <c r="I255" s="19">
        <f>ABS(C255-ADC!I255)</f>
        <v>4.0669004283790944E-2</v>
      </c>
    </row>
    <row r="256" spans="1:9" x14ac:dyDescent="0.25">
      <c r="A256" s="5">
        <v>254</v>
      </c>
      <c r="B256" s="5">
        <f t="shared" si="6"/>
        <v>45.400000000000006</v>
      </c>
      <c r="C256" s="21">
        <f t="shared" si="7"/>
        <v>2.1166670000000001</v>
      </c>
      <c r="D256" s="16"/>
      <c r="E256" s="19">
        <f>(ADC!I256+5/3)/(1/12)</f>
        <v>44.918694406307495</v>
      </c>
      <c r="F256" s="20">
        <f>ABS(B256-E256)/B256</f>
        <v>1.0601444794989229E-2</v>
      </c>
      <c r="G256" s="2"/>
      <c r="H256" s="2"/>
      <c r="I256" s="19">
        <f>ABS(C256-ADC!I256)</f>
        <v>4.0109132807709447E-2</v>
      </c>
    </row>
    <row r="257" spans="1:9" x14ac:dyDescent="0.25">
      <c r="A257" s="5">
        <v>255</v>
      </c>
      <c r="B257" s="5">
        <f t="shared" si="6"/>
        <v>45.5</v>
      </c>
      <c r="C257" s="21">
        <f t="shared" si="7"/>
        <v>2.125</v>
      </c>
      <c r="D257" s="16"/>
      <c r="E257" s="19">
        <f>(ADC!I257+5/3)/(1/12)</f>
        <v>45.025685141495742</v>
      </c>
      <c r="F257" s="20">
        <f>ABS(B257-E257)/B257</f>
        <v>1.0424502384708958E-2</v>
      </c>
      <c r="G257" s="2"/>
      <c r="H257" s="2"/>
      <c r="I257" s="19">
        <f>ABS(C257-ADC!I257)</f>
        <v>3.9526238208688724E-2</v>
      </c>
    </row>
    <row r="258" spans="1:9" x14ac:dyDescent="0.25">
      <c r="A258" s="5">
        <v>256</v>
      </c>
      <c r="B258" s="5">
        <f t="shared" si="6"/>
        <v>45.6</v>
      </c>
      <c r="C258" s="21">
        <f t="shared" si="7"/>
        <v>2.1333329999999999</v>
      </c>
      <c r="D258" s="16"/>
      <c r="E258" s="19">
        <f>(ADC!I258+5/3)/(1/12)</f>
        <v>45.141614857066983</v>
      </c>
      <c r="F258" s="20">
        <f>ABS(B258-E258)/B258</f>
        <v>1.0052305766074958E-2</v>
      </c>
      <c r="G258" s="2"/>
      <c r="H258" s="2"/>
      <c r="I258" s="19">
        <f>ABS(C258-ADC!I258)</f>
        <v>3.8198428577751908E-2</v>
      </c>
    </row>
    <row r="259" spans="1:9" x14ac:dyDescent="0.25">
      <c r="A259" s="5">
        <v>257</v>
      </c>
      <c r="B259" s="5">
        <f t="shared" ref="B259:B322" si="8">0.1*A259+20</f>
        <v>45.7</v>
      </c>
      <c r="C259" s="21">
        <f t="shared" ref="C259:C322" si="9">ROUND(1/12*B259-5/3,6)</f>
        <v>2.141667</v>
      </c>
      <c r="D259" s="16"/>
      <c r="E259" s="19">
        <f>(ADC!I259+5/3)/(1/12)</f>
        <v>45.24911712170158</v>
      </c>
      <c r="F259" s="20">
        <f>ABS(B259-E259)/B259</f>
        <v>9.866146133444692E-3</v>
      </c>
      <c r="G259" s="2"/>
      <c r="H259" s="2"/>
      <c r="I259" s="19">
        <f>ABS(C259-ADC!I259)</f>
        <v>3.7573906524868139E-2</v>
      </c>
    </row>
    <row r="260" spans="1:9" x14ac:dyDescent="0.25">
      <c r="A260" s="5">
        <v>258</v>
      </c>
      <c r="B260" s="5">
        <f t="shared" si="8"/>
        <v>45.8</v>
      </c>
      <c r="C260" s="21">
        <f t="shared" si="9"/>
        <v>2.15</v>
      </c>
      <c r="D260" s="16"/>
      <c r="E260" s="19">
        <f>(ADC!I260+5/3)/(1/12)</f>
        <v>45.356879916426834</v>
      </c>
      <c r="F260" s="20">
        <f>ABS(B260-E260)/B260</f>
        <v>9.6751109950472276E-3</v>
      </c>
      <c r="G260" s="2"/>
      <c r="H260" s="2"/>
      <c r="I260" s="19">
        <f>ABS(C260-ADC!I260)</f>
        <v>3.6926673631097362E-2</v>
      </c>
    </row>
    <row r="261" spans="1:9" x14ac:dyDescent="0.25">
      <c r="A261" s="5">
        <v>259</v>
      </c>
      <c r="B261" s="5">
        <f t="shared" si="8"/>
        <v>45.900000000000006</v>
      </c>
      <c r="C261" s="21">
        <f t="shared" si="9"/>
        <v>2.1583329999999998</v>
      </c>
      <c r="D261" s="16"/>
      <c r="E261" s="19">
        <f>(ADC!I261+5/3)/(1/12)</f>
        <v>45.473538112933873</v>
      </c>
      <c r="F261" s="20">
        <f>ABS(B261-E261)/B261</f>
        <v>9.2911086506782623E-3</v>
      </c>
      <c r="G261" s="2"/>
      <c r="H261" s="2"/>
      <c r="I261" s="19">
        <f>ABS(C261-ADC!I261)</f>
        <v>3.5538157255510239E-2</v>
      </c>
    </row>
    <row r="262" spans="1:9" x14ac:dyDescent="0.25">
      <c r="A262" s="5">
        <v>260</v>
      </c>
      <c r="B262" s="5">
        <f t="shared" si="8"/>
        <v>46</v>
      </c>
      <c r="C262" s="21">
        <f t="shared" si="9"/>
        <v>2.1666669999999999</v>
      </c>
      <c r="D262" s="16"/>
      <c r="E262" s="19">
        <f>(ADC!I262+5/3)/(1/12)</f>
        <v>45.581804911435185</v>
      </c>
      <c r="F262" s="20">
        <f>ABS(B262-E262)/B262</f>
        <v>9.0911975774959769E-3</v>
      </c>
      <c r="G262" s="2"/>
      <c r="H262" s="2"/>
      <c r="I262" s="19">
        <f>ABS(C262-ADC!I262)</f>
        <v>3.484992404706766E-2</v>
      </c>
    </row>
    <row r="263" spans="1:9" x14ac:dyDescent="0.25">
      <c r="A263" s="5">
        <v>261</v>
      </c>
      <c r="B263" s="5">
        <f t="shared" si="8"/>
        <v>46.1</v>
      </c>
      <c r="C263" s="21">
        <f t="shared" si="9"/>
        <v>2.1749999999999998</v>
      </c>
      <c r="D263" s="16"/>
      <c r="E263" s="19">
        <f>(ADC!I263+5/3)/(1/12)</f>
        <v>45.690328465931501</v>
      </c>
      <c r="F263" s="20">
        <f>ABS(B263-E263)/B263</f>
        <v>8.8865842531128166E-3</v>
      </c>
      <c r="G263" s="2"/>
      <c r="H263" s="2"/>
      <c r="I263" s="19">
        <f>ABS(C263-ADC!I263)</f>
        <v>3.4139294505707962E-2</v>
      </c>
    </row>
    <row r="264" spans="1:9" x14ac:dyDescent="0.25">
      <c r="A264" s="5">
        <v>262</v>
      </c>
      <c r="B264" s="5">
        <f t="shared" si="8"/>
        <v>46.2</v>
      </c>
      <c r="C264" s="21">
        <f t="shared" si="9"/>
        <v>2.1833330000000002</v>
      </c>
      <c r="D264" s="16"/>
      <c r="E264" s="19">
        <f>(ADC!I264+5/3)/(1/12)</f>
        <v>45.799107512629753</v>
      </c>
      <c r="F264" s="20">
        <f>ABS(B264-E264)/B264</f>
        <v>8.6773265664556211E-3</v>
      </c>
      <c r="G264" s="2"/>
      <c r="H264" s="2"/>
      <c r="I264" s="19">
        <f>ABS(C264-ADC!I264)</f>
        <v>3.3407373947521357E-2</v>
      </c>
    </row>
    <row r="265" spans="1:9" x14ac:dyDescent="0.25">
      <c r="A265" s="5">
        <v>263</v>
      </c>
      <c r="B265" s="5">
        <f t="shared" si="8"/>
        <v>46.3</v>
      </c>
      <c r="C265" s="21">
        <f t="shared" si="9"/>
        <v>2.1916669999999998</v>
      </c>
      <c r="D265" s="16"/>
      <c r="E265" s="19">
        <f>(ADC!I265+5/3)/(1/12)</f>
        <v>45.908140785816521</v>
      </c>
      <c r="F265" s="20">
        <f>ABS(B265-E265)/B265</f>
        <v>8.4634819478072668E-3</v>
      </c>
      <c r="G265" s="2"/>
      <c r="H265" s="2"/>
      <c r="I265" s="19">
        <f>ABS(C265-ADC!I265)</f>
        <v>3.2655267848623382E-2</v>
      </c>
    </row>
    <row r="266" spans="1:9" x14ac:dyDescent="0.25">
      <c r="A266" s="5">
        <v>264</v>
      </c>
      <c r="B266" s="5">
        <f t="shared" si="8"/>
        <v>46.400000000000006</v>
      </c>
      <c r="C266" s="21">
        <f t="shared" si="9"/>
        <v>2.2000000000000002</v>
      </c>
      <c r="D266" s="16"/>
      <c r="E266" s="19">
        <f>(ADC!I266+5/3)/(1/12)</f>
        <v>46.0088573508352</v>
      </c>
      <c r="F266" s="20">
        <f>ABS(B266-E266)/B266</f>
        <v>8.4297984733794334E-3</v>
      </c>
      <c r="G266" s="2"/>
      <c r="H266" s="2"/>
      <c r="I266" s="19">
        <f>ABS(C266-ADC!I266)</f>
        <v>3.2595220763733668E-2</v>
      </c>
    </row>
    <row r="267" spans="1:9" x14ac:dyDescent="0.25">
      <c r="A267" s="5">
        <v>265</v>
      </c>
      <c r="B267" s="5">
        <f t="shared" si="8"/>
        <v>46.5</v>
      </c>
      <c r="C267" s="21">
        <f t="shared" si="9"/>
        <v>2.2083330000000001</v>
      </c>
      <c r="D267" s="16"/>
      <c r="E267" s="19">
        <f>(ADC!I267+5/3)/(1/12)</f>
        <v>46.12696493972372</v>
      </c>
      <c r="F267" s="20">
        <f>ABS(B267-E267)/B267</f>
        <v>8.0222593607802099E-3</v>
      </c>
      <c r="G267" s="2"/>
      <c r="H267" s="2"/>
      <c r="I267" s="19">
        <f>ABS(C267-ADC!I267)</f>
        <v>3.1085921689690377E-2</v>
      </c>
    </row>
    <row r="268" spans="1:9" x14ac:dyDescent="0.25">
      <c r="A268" s="5">
        <v>266</v>
      </c>
      <c r="B268" s="5">
        <f t="shared" si="8"/>
        <v>46.6</v>
      </c>
      <c r="C268" s="21">
        <f t="shared" si="9"/>
        <v>2.2166670000000002</v>
      </c>
      <c r="D268" s="16"/>
      <c r="E268" s="19">
        <f>(ADC!I268+5/3)/(1/12)</f>
        <v>46.236753273654159</v>
      </c>
      <c r="F268" s="20">
        <f>ABS(B268-E268)/B268</f>
        <v>7.7949941275931829E-3</v>
      </c>
      <c r="G268" s="2"/>
      <c r="H268" s="2"/>
      <c r="I268" s="19">
        <f>ABS(C268-ADC!I268)</f>
        <v>3.0270893862153425E-2</v>
      </c>
    </row>
    <row r="269" spans="1:9" x14ac:dyDescent="0.25">
      <c r="A269" s="5">
        <v>267</v>
      </c>
      <c r="B269" s="5">
        <f t="shared" si="8"/>
        <v>46.7</v>
      </c>
      <c r="C269" s="21">
        <f t="shared" si="9"/>
        <v>2.2250000000000001</v>
      </c>
      <c r="D269" s="16"/>
      <c r="E269" s="19">
        <f>(ADC!I269+5/3)/(1/12)</f>
        <v>46.346790744682984</v>
      </c>
      <c r="F269" s="20">
        <f>ABS(B269-E269)/B269</f>
        <v>7.563367351542157E-3</v>
      </c>
      <c r="G269" s="2"/>
      <c r="H269" s="2"/>
      <c r="I269" s="19">
        <f>ABS(C269-ADC!I269)</f>
        <v>2.943410460975171E-2</v>
      </c>
    </row>
    <row r="270" spans="1:9" x14ac:dyDescent="0.25">
      <c r="A270" s="5">
        <v>268</v>
      </c>
      <c r="B270" s="5">
        <f t="shared" si="8"/>
        <v>46.8</v>
      </c>
      <c r="C270" s="21">
        <f t="shared" si="9"/>
        <v>2.233333</v>
      </c>
      <c r="D270" s="16"/>
      <c r="E270" s="19">
        <f>(ADC!I270+5/3)/(1/12)</f>
        <v>46.457076074701412</v>
      </c>
      <c r="F270" s="20">
        <f>ABS(B270-E270)/B270</f>
        <v>7.3274343012518202E-3</v>
      </c>
      <c r="G270" s="2"/>
      <c r="H270" s="2"/>
      <c r="I270" s="19">
        <f>ABS(C270-ADC!I270)</f>
        <v>2.8576660441549606E-2</v>
      </c>
    </row>
    <row r="271" spans="1:9" x14ac:dyDescent="0.25">
      <c r="A271" s="5">
        <v>269</v>
      </c>
      <c r="B271" s="5">
        <f t="shared" si="8"/>
        <v>46.900000000000006</v>
      </c>
      <c r="C271" s="21">
        <f t="shared" si="9"/>
        <v>2.2416670000000001</v>
      </c>
      <c r="D271" s="16"/>
      <c r="E271" s="19">
        <f>(ADC!I271+5/3)/(1/12)</f>
        <v>46.567607980887146</v>
      </c>
      <c r="F271" s="20">
        <f>ABS(B271-E271)/B271</f>
        <v>7.0872498744746111E-3</v>
      </c>
      <c r="G271" s="2"/>
      <c r="H271" s="2"/>
      <c r="I271" s="19">
        <f>ABS(C271-ADC!I271)</f>
        <v>2.7699668259404397E-2</v>
      </c>
    </row>
    <row r="272" spans="1:9" x14ac:dyDescent="0.25">
      <c r="A272" s="5">
        <v>270</v>
      </c>
      <c r="B272" s="5">
        <f t="shared" si="8"/>
        <v>47</v>
      </c>
      <c r="C272" s="21">
        <f t="shared" si="9"/>
        <v>2.25</v>
      </c>
      <c r="D272" s="16"/>
      <c r="E272" s="19">
        <f>(ADC!I272+5/3)/(1/12)</f>
        <v>46.678385176751718</v>
      </c>
      <c r="F272" s="20">
        <f>ABS(B272-E272)/B272</f>
        <v>6.8428685797506869E-3</v>
      </c>
      <c r="G272" s="2"/>
      <c r="H272" s="2"/>
      <c r="I272" s="19">
        <f>ABS(C272-ADC!I272)</f>
        <v>2.6801235270690338E-2</v>
      </c>
    </row>
    <row r="273" spans="1:9" x14ac:dyDescent="0.25">
      <c r="A273" s="5">
        <v>271</v>
      </c>
      <c r="B273" s="5">
        <f t="shared" si="8"/>
        <v>47.1</v>
      </c>
      <c r="C273" s="21">
        <f t="shared" si="9"/>
        <v>2.2583329999999999</v>
      </c>
      <c r="D273" s="16"/>
      <c r="E273" s="19">
        <f>(ADC!I273+5/3)/(1/12)</f>
        <v>46.789406375806308</v>
      </c>
      <c r="F273" s="20">
        <f>ABS(B273-E273)/B273</f>
        <v>6.5943444627111058E-3</v>
      </c>
      <c r="G273" s="2"/>
      <c r="H273" s="2"/>
      <c r="I273" s="19">
        <f>ABS(C273-ADC!I273)</f>
        <v>2.5882468682807858E-2</v>
      </c>
    </row>
    <row r="274" spans="1:9" x14ac:dyDescent="0.25">
      <c r="A274" s="5">
        <v>272</v>
      </c>
      <c r="B274" s="5">
        <f t="shared" si="8"/>
        <v>47.2</v>
      </c>
      <c r="C274" s="21">
        <f t="shared" si="9"/>
        <v>2.266667</v>
      </c>
      <c r="D274" s="16"/>
      <c r="E274" s="19">
        <f>(ADC!I274+5/3)/(1/12)</f>
        <v>46.900670289292911</v>
      </c>
      <c r="F274" s="20">
        <f>ABS(B274-E274)/B274</f>
        <v>6.3417311590485501E-3</v>
      </c>
      <c r="G274" s="2"/>
      <c r="H274" s="2"/>
      <c r="I274" s="19">
        <f>ABS(C274-ADC!I274)</f>
        <v>2.4944475892257234E-2</v>
      </c>
    </row>
    <row r="275" spans="1:9" x14ac:dyDescent="0.25">
      <c r="A275" s="5">
        <v>273</v>
      </c>
      <c r="B275" s="5">
        <f t="shared" si="8"/>
        <v>47.3</v>
      </c>
      <c r="C275" s="21">
        <f t="shared" si="9"/>
        <v>2.2749999999999999</v>
      </c>
      <c r="D275" s="16"/>
      <c r="E275" s="19">
        <f>(ADC!I275+5/3)/(1/12)</f>
        <v>47.003725712237809</v>
      </c>
      <c r="F275" s="20">
        <f>ABS(B275-E275)/B275</f>
        <v>6.2637270139997417E-3</v>
      </c>
      <c r="G275" s="2"/>
      <c r="H275" s="2"/>
      <c r="I275" s="19">
        <f>ABS(C275-ADC!I275)</f>
        <v>2.4689523980182315E-2</v>
      </c>
    </row>
    <row r="276" spans="1:9" x14ac:dyDescent="0.25">
      <c r="A276" s="5">
        <v>274</v>
      </c>
      <c r="B276" s="5">
        <f t="shared" si="8"/>
        <v>47.400000000000006</v>
      </c>
      <c r="C276" s="21">
        <f t="shared" si="9"/>
        <v>2.2833329999999998</v>
      </c>
      <c r="D276" s="16"/>
      <c r="E276" s="19">
        <f>(ADC!I276+5/3)/(1/12)</f>
        <v>47.115484486335603</v>
      </c>
      <c r="F276" s="20">
        <f>ABS(B276-E276)/B276</f>
        <v>6.0024369971392912E-3</v>
      </c>
      <c r="G276" s="2"/>
      <c r="H276" s="2"/>
      <c r="I276" s="19">
        <f>ABS(C276-ADC!I276)</f>
        <v>2.3709292805366822E-2</v>
      </c>
    </row>
    <row r="277" spans="1:9" x14ac:dyDescent="0.25">
      <c r="A277" s="5">
        <v>275</v>
      </c>
      <c r="B277" s="5">
        <f t="shared" si="8"/>
        <v>47.5</v>
      </c>
      <c r="C277" s="21">
        <f t="shared" si="9"/>
        <v>2.2916669999999999</v>
      </c>
      <c r="D277" s="16"/>
      <c r="E277" s="19">
        <f>(ADC!I277+5/3)/(1/12)</f>
        <v>47.227482092005829</v>
      </c>
      <c r="F277" s="20">
        <f>ABS(B277-E277)/B277</f>
        <v>5.73721911566676E-3</v>
      </c>
      <c r="G277" s="2"/>
      <c r="H277" s="2"/>
      <c r="I277" s="19">
        <f>ABS(C277-ADC!I277)</f>
        <v>2.2710158999514451E-2</v>
      </c>
    </row>
    <row r="278" spans="1:9" x14ac:dyDescent="0.25">
      <c r="A278" s="5">
        <v>276</v>
      </c>
      <c r="B278" s="5">
        <f t="shared" si="8"/>
        <v>47.6</v>
      </c>
      <c r="C278" s="21">
        <f t="shared" si="9"/>
        <v>2.2999999999999998</v>
      </c>
      <c r="D278" s="16"/>
      <c r="E278" s="19">
        <f>(ADC!I278+5/3)/(1/12)</f>
        <v>47.339717230888091</v>
      </c>
      <c r="F278" s="20">
        <f>ABS(B278-E278)/B278</f>
        <v>5.4681254015107204E-3</v>
      </c>
      <c r="G278" s="2"/>
      <c r="H278" s="2"/>
      <c r="I278" s="19">
        <f>ABS(C278-ADC!I278)</f>
        <v>2.1690230759325857E-2</v>
      </c>
    </row>
    <row r="279" spans="1:9" x14ac:dyDescent="0.25">
      <c r="A279" s="5">
        <v>277</v>
      </c>
      <c r="B279" s="5">
        <f t="shared" si="8"/>
        <v>47.7</v>
      </c>
      <c r="C279" s="21">
        <f t="shared" si="9"/>
        <v>2.3083330000000002</v>
      </c>
      <c r="D279" s="16"/>
      <c r="E279" s="19">
        <f>(ADC!I279+5/3)/(1/12)</f>
        <v>47.460585252633024</v>
      </c>
      <c r="F279" s="20">
        <f>ABS(B279-E279)/B279</f>
        <v>5.0191770936473578E-3</v>
      </c>
      <c r="G279" s="2"/>
      <c r="H279" s="2"/>
      <c r="I279" s="19">
        <f>ABS(C279-ADC!I279)</f>
        <v>1.9950895613914721E-2</v>
      </c>
    </row>
    <row r="280" spans="1:9" x14ac:dyDescent="0.25">
      <c r="A280" s="5">
        <v>278</v>
      </c>
      <c r="B280" s="5">
        <f t="shared" si="8"/>
        <v>47.8</v>
      </c>
      <c r="C280" s="21">
        <f t="shared" si="9"/>
        <v>2.3166669999999998</v>
      </c>
      <c r="D280" s="16"/>
      <c r="E280" s="19">
        <f>(ADC!I280+5/3)/(1/12)</f>
        <v>47.564894889534393</v>
      </c>
      <c r="F280" s="20">
        <f>ABS(B280-E280)/B280</f>
        <v>4.9185169553473572E-3</v>
      </c>
      <c r="G280" s="2"/>
      <c r="H280" s="2"/>
      <c r="I280" s="19">
        <f>ABS(C280-ADC!I280)</f>
        <v>1.9592425872133834E-2</v>
      </c>
    </row>
    <row r="281" spans="1:9" x14ac:dyDescent="0.25">
      <c r="A281" s="5">
        <v>279</v>
      </c>
      <c r="B281" s="5">
        <f t="shared" si="8"/>
        <v>47.900000000000006</v>
      </c>
      <c r="C281" s="21">
        <f t="shared" si="9"/>
        <v>2.3250000000000002</v>
      </c>
      <c r="D281" s="16"/>
      <c r="E281" s="19">
        <f>(ADC!I281+5/3)/(1/12)</f>
        <v>47.67783479529465</v>
      </c>
      <c r="F281" s="20">
        <f>ABS(B281-E281)/B281</f>
        <v>4.638104482366498E-3</v>
      </c>
      <c r="G281" s="2"/>
      <c r="H281" s="2"/>
      <c r="I281" s="19">
        <f>ABS(C281-ADC!I281)</f>
        <v>1.8513767058779163E-2</v>
      </c>
    </row>
    <row r="282" spans="1:9" x14ac:dyDescent="0.25">
      <c r="A282" s="5">
        <v>280</v>
      </c>
      <c r="B282" s="5">
        <f t="shared" si="8"/>
        <v>48</v>
      </c>
      <c r="C282" s="21">
        <f t="shared" si="9"/>
        <v>2.3333330000000001</v>
      </c>
      <c r="D282" s="16"/>
      <c r="E282" s="19">
        <f>(ADC!I282+5/3)/(1/12)</f>
        <v>47.791007014988487</v>
      </c>
      <c r="F282" s="20">
        <f>ABS(B282-E282)/B282</f>
        <v>4.3540205210731804E-3</v>
      </c>
      <c r="G282" s="2"/>
      <c r="H282" s="2"/>
      <c r="I282" s="19">
        <f>ABS(C282-ADC!I282)</f>
        <v>1.7415748750960081E-2</v>
      </c>
    </row>
    <row r="283" spans="1:9" x14ac:dyDescent="0.25">
      <c r="A283" s="5">
        <v>281</v>
      </c>
      <c r="B283" s="5">
        <f t="shared" si="8"/>
        <v>48.1</v>
      </c>
      <c r="C283" s="21">
        <f t="shared" si="9"/>
        <v>2.3416670000000002</v>
      </c>
      <c r="D283" s="16"/>
      <c r="E283" s="19">
        <f>(ADC!I283+5/3)/(1/12)</f>
        <v>47.896066876211485</v>
      </c>
      <c r="F283" s="20">
        <f>ABS(B283-E283)/B283</f>
        <v>4.2397738833371409E-3</v>
      </c>
      <c r="G283" s="2"/>
      <c r="H283" s="2"/>
      <c r="I283" s="19">
        <f>ABS(C283-ADC!I283)</f>
        <v>1.69947603157099E-2</v>
      </c>
    </row>
    <row r="284" spans="1:9" x14ac:dyDescent="0.25">
      <c r="A284" s="5">
        <v>282</v>
      </c>
      <c r="B284" s="5">
        <f t="shared" si="8"/>
        <v>48.2</v>
      </c>
      <c r="C284" s="21">
        <f t="shared" si="9"/>
        <v>2.35</v>
      </c>
      <c r="D284" s="16"/>
      <c r="E284" s="19">
        <f>(ADC!I284+5/3)/(1/12)</f>
        <v>48.001383082814563</v>
      </c>
      <c r="F284" s="20">
        <f>ABS(B284-E284)/B284</f>
        <v>4.120682929158505E-3</v>
      </c>
      <c r="G284" s="2"/>
      <c r="H284" s="2"/>
      <c r="I284" s="19">
        <f>ABS(C284-ADC!I284)</f>
        <v>1.6551409765453329E-2</v>
      </c>
    </row>
    <row r="285" spans="1:9" x14ac:dyDescent="0.25">
      <c r="A285" s="5">
        <v>283</v>
      </c>
      <c r="B285" s="5">
        <f t="shared" si="8"/>
        <v>48.3</v>
      </c>
      <c r="C285" s="21">
        <f t="shared" si="9"/>
        <v>2.358333</v>
      </c>
      <c r="D285" s="16"/>
      <c r="E285" s="19">
        <f>(ADC!I285+5/3)/(1/12)</f>
        <v>48.115270996945156</v>
      </c>
      <c r="F285" s="20">
        <f>ABS(B285-E285)/B285</f>
        <v>3.8246170404728935E-3</v>
      </c>
      <c r="G285" s="2"/>
      <c r="H285" s="2"/>
      <c r="I285" s="19">
        <f>ABS(C285-ADC!I285)</f>
        <v>1.539375025457046E-2</v>
      </c>
    </row>
    <row r="286" spans="1:9" x14ac:dyDescent="0.25">
      <c r="A286" s="5">
        <v>284</v>
      </c>
      <c r="B286" s="5">
        <f t="shared" si="8"/>
        <v>48.400000000000006</v>
      </c>
      <c r="C286" s="21">
        <f t="shared" si="9"/>
        <v>2.3666670000000001</v>
      </c>
      <c r="D286" s="16"/>
      <c r="E286" s="19">
        <f>(ADC!I286+5/3)/(1/12)</f>
        <v>48.221082614439389</v>
      </c>
      <c r="F286" s="20">
        <f>ABS(B286-E286)/B286</f>
        <v>3.6966401975333991E-3</v>
      </c>
      <c r="G286" s="2"/>
      <c r="H286" s="2"/>
      <c r="I286" s="19">
        <f>ABS(C286-ADC!I286)</f>
        <v>1.491011546338461E-2</v>
      </c>
    </row>
    <row r="287" spans="1:9" x14ac:dyDescent="0.25">
      <c r="A287" s="5">
        <v>285</v>
      </c>
      <c r="B287" s="5">
        <f t="shared" si="8"/>
        <v>48.5</v>
      </c>
      <c r="C287" s="21">
        <f t="shared" si="9"/>
        <v>2.375</v>
      </c>
      <c r="D287" s="16"/>
      <c r="E287" s="19">
        <f>(ADC!I287+5/3)/(1/12)</f>
        <v>48.335436636885632</v>
      </c>
      <c r="F287" s="20">
        <f>ABS(B287-E287)/B287</f>
        <v>3.3930590332859412E-3</v>
      </c>
      <c r="G287" s="2"/>
      <c r="H287" s="2"/>
      <c r="I287" s="19">
        <f>ABS(C287-ADC!I287)</f>
        <v>1.371361359286416E-2</v>
      </c>
    </row>
    <row r="288" spans="1:9" x14ac:dyDescent="0.25">
      <c r="A288" s="5">
        <v>286</v>
      </c>
      <c r="B288" s="5">
        <f t="shared" si="8"/>
        <v>48.6</v>
      </c>
      <c r="C288" s="21">
        <f t="shared" si="9"/>
        <v>2.3833329999999999</v>
      </c>
      <c r="D288" s="16"/>
      <c r="E288" s="19">
        <f>(ADC!I288+5/3)/(1/12)</f>
        <v>48.441738384190778</v>
      </c>
      <c r="F288" s="20">
        <f>ABS(B288-E288)/B288</f>
        <v>3.2564118479264112E-3</v>
      </c>
      <c r="G288" s="2"/>
      <c r="H288" s="2"/>
      <c r="I288" s="19">
        <f>ABS(C288-ADC!I288)</f>
        <v>1.3188134650768735E-2</v>
      </c>
    </row>
    <row r="289" spans="1:9" x14ac:dyDescent="0.25">
      <c r="A289" s="5">
        <v>287</v>
      </c>
      <c r="B289" s="5">
        <f t="shared" si="8"/>
        <v>48.7</v>
      </c>
      <c r="C289" s="21">
        <f t="shared" si="9"/>
        <v>2.391667</v>
      </c>
      <c r="D289" s="16"/>
      <c r="E289" s="19">
        <f>(ADC!I289+5/3)/(1/12)</f>
        <v>48.556553230206106</v>
      </c>
      <c r="F289" s="20">
        <f>ABS(B289-E289)/B289</f>
        <v>2.9455188869383373E-3</v>
      </c>
      <c r="G289" s="2"/>
      <c r="H289" s="2"/>
      <c r="I289" s="19">
        <f>ABS(C289-ADC!I289)</f>
        <v>1.1954230816157985E-2</v>
      </c>
    </row>
    <row r="290" spans="1:9" x14ac:dyDescent="0.25">
      <c r="A290" s="5">
        <v>288</v>
      </c>
      <c r="B290" s="5">
        <f t="shared" si="8"/>
        <v>48.8</v>
      </c>
      <c r="C290" s="21">
        <f t="shared" si="9"/>
        <v>2.4</v>
      </c>
      <c r="D290" s="16"/>
      <c r="E290" s="19">
        <f>(ADC!I290+5/3)/(1/12)</f>
        <v>48.663339817687557</v>
      </c>
      <c r="F290" s="20">
        <f>ABS(B290-E290)/B290</f>
        <v>2.8004135719762258E-3</v>
      </c>
      <c r="G290" s="2"/>
      <c r="H290" s="2"/>
      <c r="I290" s="19">
        <f>ABS(C290-ADC!I290)</f>
        <v>1.1388348526037095E-2</v>
      </c>
    </row>
    <row r="291" spans="1:9" x14ac:dyDescent="0.25">
      <c r="A291" s="5">
        <v>289</v>
      </c>
      <c r="B291" s="5">
        <f t="shared" si="8"/>
        <v>48.900000000000006</v>
      </c>
      <c r="C291" s="21">
        <f t="shared" si="9"/>
        <v>2.4083329999999998</v>
      </c>
      <c r="D291" s="16"/>
      <c r="E291" s="19">
        <f>(ADC!I291+5/3)/(1/12)</f>
        <v>48.778610185242009</v>
      </c>
      <c r="F291" s="20">
        <f>ABS(B291-E291)/B291</f>
        <v>2.482409299754536E-3</v>
      </c>
      <c r="G291" s="2"/>
      <c r="H291" s="2"/>
      <c r="I291" s="19">
        <f>ABS(C291-ADC!I291)</f>
        <v>1.0115484563166355E-2</v>
      </c>
    </row>
    <row r="292" spans="1:9" x14ac:dyDescent="0.25">
      <c r="A292" s="5">
        <v>290</v>
      </c>
      <c r="B292" s="5">
        <f t="shared" si="8"/>
        <v>49</v>
      </c>
      <c r="C292" s="21">
        <f t="shared" si="9"/>
        <v>2.4166669999999999</v>
      </c>
      <c r="D292" s="16"/>
      <c r="E292" s="19">
        <f>(ADC!I292+5/3)/(1/12)</f>
        <v>48.885876299521861</v>
      </c>
      <c r="F292" s="20">
        <f>ABS(B292-E292)/B292</f>
        <v>2.3290551117987508E-3</v>
      </c>
      <c r="G292" s="2"/>
      <c r="H292" s="2"/>
      <c r="I292" s="19">
        <f>ABS(C292-ADC!I292)</f>
        <v>9.5106417065116133E-3</v>
      </c>
    </row>
    <row r="293" spans="1:9" x14ac:dyDescent="0.25">
      <c r="A293" s="5">
        <v>291</v>
      </c>
      <c r="B293" s="5">
        <f t="shared" si="8"/>
        <v>49.1</v>
      </c>
      <c r="C293" s="21">
        <f t="shared" si="9"/>
        <v>2.4249999999999998</v>
      </c>
      <c r="D293" s="16"/>
      <c r="E293" s="19">
        <f>(ADC!I293+5/3)/(1/12)</f>
        <v>49.001596872095355</v>
      </c>
      <c r="F293" s="20">
        <f>ABS(B293-E293)/B293</f>
        <v>2.0041370245345463E-3</v>
      </c>
      <c r="G293" s="2"/>
      <c r="H293" s="2"/>
      <c r="I293" s="19">
        <f>ABS(C293-ADC!I293)</f>
        <v>8.2002606587203708E-3</v>
      </c>
    </row>
    <row r="294" spans="1:9" x14ac:dyDescent="0.25">
      <c r="A294" s="5">
        <v>292</v>
      </c>
      <c r="B294" s="5">
        <f t="shared" si="8"/>
        <v>49.2</v>
      </c>
      <c r="C294" s="21">
        <f t="shared" si="9"/>
        <v>2.4333330000000002</v>
      </c>
      <c r="D294" s="16"/>
      <c r="E294" s="19">
        <f>(ADC!I294+5/3)/(1/12)</f>
        <v>49.109337190019438</v>
      </c>
      <c r="F294" s="20">
        <f>ABS(B294-E294)/B294</f>
        <v>1.8427400402553742E-3</v>
      </c>
      <c r="G294" s="2"/>
      <c r="H294" s="2"/>
      <c r="I294" s="19">
        <f>ABS(C294-ADC!I294)</f>
        <v>7.554900831713951E-3</v>
      </c>
    </row>
    <row r="295" spans="1:9" x14ac:dyDescent="0.25">
      <c r="A295" s="5">
        <v>293</v>
      </c>
      <c r="B295" s="5">
        <f t="shared" si="8"/>
        <v>49.3</v>
      </c>
      <c r="C295" s="21">
        <f t="shared" si="9"/>
        <v>2.4416669999999998</v>
      </c>
      <c r="D295" s="16"/>
      <c r="E295" s="19">
        <f>(ADC!I295+5/3)/(1/12)</f>
        <v>49.217319277716669</v>
      </c>
      <c r="F295" s="20">
        <f>ABS(B295-E295)/B295</f>
        <v>1.6770937582825179E-3</v>
      </c>
      <c r="G295" s="2"/>
      <c r="H295" s="2"/>
      <c r="I295" s="19">
        <f>ABS(C295-ADC!I295)</f>
        <v>6.8903935236113156E-3</v>
      </c>
    </row>
    <row r="296" spans="1:9" x14ac:dyDescent="0.25">
      <c r="A296" s="5">
        <v>294</v>
      </c>
      <c r="B296" s="5">
        <f t="shared" si="8"/>
        <v>49.400000000000006</v>
      </c>
      <c r="C296" s="21">
        <f t="shared" si="9"/>
        <v>2.4500000000000002</v>
      </c>
      <c r="D296" s="16"/>
      <c r="E296" s="19">
        <f>(ADC!I296+5/3)/(1/12)</f>
        <v>49.333711812843539</v>
      </c>
      <c r="F296" s="20">
        <f>ABS(B296-E296)/B296</f>
        <v>1.3418661367705757E-3</v>
      </c>
      <c r="G296" s="2"/>
      <c r="H296" s="2"/>
      <c r="I296" s="19">
        <f>ABS(C296-ADC!I296)</f>
        <v>5.5240155963720561E-3</v>
      </c>
    </row>
    <row r="297" spans="1:9" x14ac:dyDescent="0.25">
      <c r="A297" s="5">
        <v>295</v>
      </c>
      <c r="B297" s="5">
        <f t="shared" si="8"/>
        <v>49.5</v>
      </c>
      <c r="C297" s="21">
        <f t="shared" si="9"/>
        <v>2.4583330000000001</v>
      </c>
      <c r="D297" s="16"/>
      <c r="E297" s="19">
        <f>(ADC!I297+5/3)/(1/12)</f>
        <v>49.44216008287885</v>
      </c>
      <c r="F297" s="20">
        <f>ABS(B297-E297)/B297</f>
        <v>1.1684831741646487E-3</v>
      </c>
      <c r="G297" s="2"/>
      <c r="H297" s="2"/>
      <c r="I297" s="19">
        <f>ABS(C297-ADC!I297)</f>
        <v>4.8196597600957958E-3</v>
      </c>
    </row>
    <row r="298" spans="1:9" x14ac:dyDescent="0.25">
      <c r="A298" s="5">
        <v>296</v>
      </c>
      <c r="B298" s="5">
        <f t="shared" si="8"/>
        <v>49.6</v>
      </c>
      <c r="C298" s="21">
        <f t="shared" si="9"/>
        <v>2.4666670000000002</v>
      </c>
      <c r="D298" s="16"/>
      <c r="E298" s="19">
        <f>(ADC!I298+5/3)/(1/12)</f>
        <v>49.550846104876456</v>
      </c>
      <c r="F298" s="20">
        <f>ABS(B298-E298)/B298</f>
        <v>9.9100595007148209E-4</v>
      </c>
      <c r="G298" s="2"/>
      <c r="H298" s="2"/>
      <c r="I298" s="19">
        <f>ABS(C298-ADC!I298)</f>
        <v>4.0964912602956538E-3</v>
      </c>
    </row>
    <row r="299" spans="1:9" x14ac:dyDescent="0.25">
      <c r="A299" s="5">
        <v>297</v>
      </c>
      <c r="B299" s="5">
        <f t="shared" si="8"/>
        <v>49.7</v>
      </c>
      <c r="C299" s="21">
        <f t="shared" si="9"/>
        <v>2.4750000000000001</v>
      </c>
      <c r="D299" s="16"/>
      <c r="E299" s="19">
        <f>(ADC!I299+5/3)/(1/12)</f>
        <v>49.651638528029807</v>
      </c>
      <c r="F299" s="20">
        <f>ABS(B299-E299)/B299</f>
        <v>9.7306784648281959E-4</v>
      </c>
      <c r="G299" s="2"/>
      <c r="H299" s="2"/>
      <c r="I299" s="19">
        <f>ABS(C299-ADC!I299)</f>
        <v>4.0301226641834553E-3</v>
      </c>
    </row>
    <row r="300" spans="1:9" x14ac:dyDescent="0.25">
      <c r="A300" s="5">
        <v>298</v>
      </c>
      <c r="B300" s="5">
        <f t="shared" si="8"/>
        <v>49.8</v>
      </c>
      <c r="C300" s="21">
        <f t="shared" si="9"/>
        <v>2.483333</v>
      </c>
      <c r="D300" s="16"/>
      <c r="E300" s="19">
        <f>(ADC!I300+5/3)/(1/12)</f>
        <v>49.768926016660373</v>
      </c>
      <c r="F300" s="20">
        <f>ABS(B300-E300)/B300</f>
        <v>6.2397556906875666E-4</v>
      </c>
      <c r="G300" s="2"/>
      <c r="H300" s="2"/>
      <c r="I300" s="19">
        <f>ABS(C300-ADC!I300)</f>
        <v>2.589165278302108E-3</v>
      </c>
    </row>
    <row r="301" spans="1:9" x14ac:dyDescent="0.25">
      <c r="A301" s="5">
        <v>299</v>
      </c>
      <c r="B301" s="5">
        <f t="shared" si="8"/>
        <v>49.900000000000006</v>
      </c>
      <c r="C301" s="21">
        <f t="shared" si="9"/>
        <v>2.4916670000000001</v>
      </c>
      <c r="D301" s="16"/>
      <c r="E301" s="19">
        <f>(ADC!I301+5/3)/(1/12)</f>
        <v>49.886420573391348</v>
      </c>
      <c r="F301" s="20">
        <f>ABS(B301-E301)/B301</f>
        <v>2.7213279776869216E-4</v>
      </c>
      <c r="G301" s="2"/>
      <c r="H301" s="2"/>
      <c r="I301" s="19">
        <f>ABS(C301-ADC!I301)</f>
        <v>1.1319522173875995E-3</v>
      </c>
    </row>
    <row r="302" spans="1:9" x14ac:dyDescent="0.25">
      <c r="A302" s="5">
        <v>300</v>
      </c>
      <c r="B302" s="5">
        <f t="shared" si="8"/>
        <v>50</v>
      </c>
      <c r="C302" s="21">
        <f t="shared" si="9"/>
        <v>2.5</v>
      </c>
      <c r="D302" s="16"/>
      <c r="E302" s="19">
        <f>(ADC!I302+5/3)/(1/12)</f>
        <v>49.99603080398218</v>
      </c>
      <c r="F302" s="20">
        <f>ABS(B302-E302)/B302</f>
        <v>7.9383920356406181E-5</v>
      </c>
      <c r="G302" s="2"/>
      <c r="H302" s="2"/>
      <c r="I302" s="19">
        <f>ABS(C302-ADC!I302)</f>
        <v>3.3076633481865514E-4</v>
      </c>
    </row>
    <row r="303" spans="1:9" x14ac:dyDescent="0.25">
      <c r="A303" s="5">
        <v>301</v>
      </c>
      <c r="B303" s="5">
        <f t="shared" si="8"/>
        <v>50.1</v>
      </c>
      <c r="C303" s="21">
        <f t="shared" si="9"/>
        <v>2.5083329999999999</v>
      </c>
      <c r="D303" s="16"/>
      <c r="E303" s="19">
        <f>(ADC!I303+5/3)/(1/12)</f>
        <v>50.105872051368571</v>
      </c>
      <c r="F303" s="20">
        <f>ABS(B303-E303)/B303</f>
        <v>1.172066141431126E-4</v>
      </c>
      <c r="G303" s="2"/>
      <c r="H303" s="2"/>
      <c r="I303" s="19">
        <f>ABS(C303-ADC!I303)</f>
        <v>4.8967094738072703E-4</v>
      </c>
    </row>
    <row r="304" spans="1:9" x14ac:dyDescent="0.25">
      <c r="A304" s="5">
        <v>302</v>
      </c>
      <c r="B304" s="5">
        <f t="shared" si="8"/>
        <v>50.2</v>
      </c>
      <c r="C304" s="21">
        <f t="shared" si="9"/>
        <v>2.516667</v>
      </c>
      <c r="D304" s="16"/>
      <c r="E304" s="19">
        <f>(ADC!I304+5/3)/(1/12)</f>
        <v>50.215942958182012</v>
      </c>
      <c r="F304" s="20">
        <f>ABS(B304-E304)/B304</f>
        <v>3.1758880840655762E-4</v>
      </c>
      <c r="G304" s="2"/>
      <c r="H304" s="2"/>
      <c r="I304" s="19">
        <f>ABS(C304-ADC!I304)</f>
        <v>1.3282465151673861E-3</v>
      </c>
    </row>
    <row r="305" spans="1:9" x14ac:dyDescent="0.25">
      <c r="A305" s="5">
        <v>303</v>
      </c>
      <c r="B305" s="5">
        <f t="shared" si="8"/>
        <v>50.3</v>
      </c>
      <c r="C305" s="21">
        <f t="shared" si="9"/>
        <v>2.5249999999999999</v>
      </c>
      <c r="D305" s="16"/>
      <c r="E305" s="19">
        <f>(ADC!I305+5/3)/(1/12)</f>
        <v>50.326242177179623</v>
      </c>
      <c r="F305" s="20">
        <f>ABS(B305-E305)/B305</f>
        <v>5.2171326400845955E-4</v>
      </c>
      <c r="G305" s="2"/>
      <c r="H305" s="2"/>
      <c r="I305" s="19">
        <f>ABS(C305-ADC!I305)</f>
        <v>2.1868480983018301E-3</v>
      </c>
    </row>
    <row r="306" spans="1:9" x14ac:dyDescent="0.25">
      <c r="A306" s="5">
        <v>304</v>
      </c>
      <c r="B306" s="5">
        <f t="shared" si="8"/>
        <v>50.400000000000006</v>
      </c>
      <c r="C306" s="21">
        <f t="shared" si="9"/>
        <v>2.5333329999999998</v>
      </c>
      <c r="D306" s="16"/>
      <c r="E306" s="19">
        <f>(ADC!I306+5/3)/(1/12)</f>
        <v>50.436768345580838</v>
      </c>
      <c r="F306" s="20">
        <f>ABS(B306-E306)/B306</f>
        <v>7.2953066628634645E-4</v>
      </c>
      <c r="G306" s="2"/>
      <c r="H306" s="2"/>
      <c r="I306" s="19">
        <f>ABS(C306-ADC!I306)</f>
        <v>3.0643621317367753E-3</v>
      </c>
    </row>
    <row r="307" spans="1:9" x14ac:dyDescent="0.25">
      <c r="A307" s="5">
        <v>305</v>
      </c>
      <c r="B307" s="5">
        <f t="shared" si="8"/>
        <v>50.5</v>
      </c>
      <c r="C307" s="21">
        <f t="shared" si="9"/>
        <v>2.5416669999999999</v>
      </c>
      <c r="D307" s="16"/>
      <c r="E307" s="19">
        <f>(ADC!I307+5/3)/(1/12)</f>
        <v>50.547520112825836</v>
      </c>
      <c r="F307" s="20">
        <f>ABS(B307-E307)/B307</f>
        <v>9.4099233318487594E-4</v>
      </c>
      <c r="G307" s="2"/>
      <c r="H307" s="2"/>
      <c r="I307" s="19">
        <f>ABS(C307-ADC!I307)</f>
        <v>3.9596760688196397E-3</v>
      </c>
    </row>
    <row r="308" spans="1:9" x14ac:dyDescent="0.25">
      <c r="A308" s="5">
        <v>306</v>
      </c>
      <c r="B308" s="5">
        <f t="shared" si="8"/>
        <v>50.6</v>
      </c>
      <c r="C308" s="21">
        <f t="shared" si="9"/>
        <v>2.5499999999999998</v>
      </c>
      <c r="D308" s="16"/>
      <c r="E308" s="19">
        <f>(ADC!I308+5/3)/(1/12)</f>
        <v>50.658496119974721</v>
      </c>
      <c r="F308" s="20">
        <f>ABS(B308-E308)/B308</f>
        <v>1.1560498018719331E-3</v>
      </c>
      <c r="G308" s="2"/>
      <c r="H308" s="2"/>
      <c r="I308" s="19">
        <f>ABS(C308-ADC!I308)</f>
        <v>4.8746766645604289E-3</v>
      </c>
    </row>
    <row r="309" spans="1:9" x14ac:dyDescent="0.25">
      <c r="A309" s="5">
        <v>307</v>
      </c>
      <c r="B309" s="5">
        <f t="shared" si="8"/>
        <v>50.7</v>
      </c>
      <c r="C309" s="21">
        <f t="shared" si="9"/>
        <v>2.5583330000000002</v>
      </c>
      <c r="D309" s="16"/>
      <c r="E309" s="19">
        <f>(ADC!I309+5/3)/(1/12)</f>
        <v>50.76969499900958</v>
      </c>
      <c r="F309" s="20">
        <f>ABS(B309-E309)/B309</f>
        <v>1.3746548128121779E-3</v>
      </c>
      <c r="G309" s="2"/>
      <c r="H309" s="2"/>
      <c r="I309" s="19">
        <f>ABS(C309-ADC!I309)</f>
        <v>5.8082499174649804E-3</v>
      </c>
    </row>
    <row r="310" spans="1:9" x14ac:dyDescent="0.25">
      <c r="A310" s="5">
        <v>308</v>
      </c>
      <c r="B310" s="5">
        <f t="shared" si="8"/>
        <v>50.8</v>
      </c>
      <c r="C310" s="21">
        <f t="shared" si="9"/>
        <v>2.5666669999999998</v>
      </c>
      <c r="D310" s="16"/>
      <c r="E310" s="19">
        <f>(ADC!I310+5/3)/(1/12)</f>
        <v>50.881115395180572</v>
      </c>
      <c r="F310" s="20">
        <f>ABS(B310-E310)/B310</f>
        <v>1.5967597476491137E-3</v>
      </c>
      <c r="G310" s="2"/>
      <c r="H310" s="2"/>
      <c r="I310" s="19">
        <f>ABS(C310-ADC!I310)</f>
        <v>6.7592829317142389E-3</v>
      </c>
    </row>
    <row r="311" spans="1:9" x14ac:dyDescent="0.25">
      <c r="A311" s="5">
        <v>309</v>
      </c>
      <c r="B311" s="5">
        <f t="shared" si="8"/>
        <v>50.900000000000006</v>
      </c>
      <c r="C311" s="21">
        <f t="shared" si="9"/>
        <v>2.5750000000000002</v>
      </c>
      <c r="D311" s="16"/>
      <c r="E311" s="19">
        <f>(ADC!I311+5/3)/(1/12)</f>
        <v>50.99275594448509</v>
      </c>
      <c r="F311" s="20">
        <f>ABS(B311-E311)/B311</f>
        <v>1.8223171804535221E-3</v>
      </c>
      <c r="G311" s="2"/>
      <c r="H311" s="2"/>
      <c r="I311" s="19">
        <f>ABS(C311-ADC!I311)</f>
        <v>7.7296620404241345E-3</v>
      </c>
    </row>
    <row r="312" spans="1:9" x14ac:dyDescent="0.25">
      <c r="A312" s="5">
        <v>310</v>
      </c>
      <c r="B312" s="5">
        <f t="shared" si="8"/>
        <v>51</v>
      </c>
      <c r="C312" s="21">
        <f t="shared" si="9"/>
        <v>2.5833330000000001</v>
      </c>
      <c r="D312" s="16"/>
      <c r="E312" s="19">
        <f>(ADC!I312+5/3)/(1/12)</f>
        <v>51.104615284316914</v>
      </c>
      <c r="F312" s="20">
        <f>ABS(B312-E312)/B312</f>
        <v>2.051280084645371E-3</v>
      </c>
      <c r="G312" s="2"/>
      <c r="H312" s="2"/>
      <c r="I312" s="19">
        <f>ABS(C312-ADC!I312)</f>
        <v>8.7182736930762061E-3</v>
      </c>
    </row>
    <row r="313" spans="1:9" x14ac:dyDescent="0.25">
      <c r="A313" s="5">
        <v>311</v>
      </c>
      <c r="B313" s="5">
        <f t="shared" si="8"/>
        <v>51.1</v>
      </c>
      <c r="C313" s="21">
        <f t="shared" si="9"/>
        <v>2.5916670000000002</v>
      </c>
      <c r="D313" s="16"/>
      <c r="E313" s="19">
        <f>(ADC!I313+5/3)/(1/12)</f>
        <v>51.216692046309198</v>
      </c>
      <c r="F313" s="20">
        <f>ABS(B313-E313)/B313</f>
        <v>2.2836016890253803E-3</v>
      </c>
      <c r="G313" s="2"/>
      <c r="H313" s="2"/>
      <c r="I313" s="19">
        <f>ABS(C313-ADC!I313)</f>
        <v>9.7240038590991063E-3</v>
      </c>
    </row>
    <row r="314" spans="1:9" x14ac:dyDescent="0.25">
      <c r="A314" s="5">
        <v>312</v>
      </c>
      <c r="B314" s="5">
        <f t="shared" si="8"/>
        <v>51.2</v>
      </c>
      <c r="C314" s="21">
        <f t="shared" si="9"/>
        <v>2.6</v>
      </c>
      <c r="D314" s="16"/>
      <c r="E314" s="19">
        <f>(ADC!I314+5/3)/(1/12)</f>
        <v>51.321054691289682</v>
      </c>
      <c r="F314" s="20">
        <f>ABS(B314-E314)/B314</f>
        <v>2.3643494392515396E-3</v>
      </c>
      <c r="G314" s="2"/>
      <c r="H314" s="2"/>
      <c r="I314" s="19">
        <f>ABS(C314-ADC!I314)</f>
        <v>1.0087890940806421E-2</v>
      </c>
    </row>
    <row r="315" spans="1:9" x14ac:dyDescent="0.25">
      <c r="A315" s="5">
        <v>313</v>
      </c>
      <c r="B315" s="5">
        <f t="shared" si="8"/>
        <v>51.3</v>
      </c>
      <c r="C315" s="21">
        <f t="shared" si="9"/>
        <v>2.608333</v>
      </c>
      <c r="D315" s="16"/>
      <c r="E315" s="19">
        <f>(ADC!I315+5/3)/(1/12)</f>
        <v>51.425658661385164</v>
      </c>
      <c r="F315" s="20">
        <f>ABS(B315-E315)/B315</f>
        <v>2.4494865767089023E-3</v>
      </c>
      <c r="G315" s="2"/>
      <c r="H315" s="2"/>
      <c r="I315" s="19">
        <f>ABS(C315-ADC!I315)</f>
        <v>1.0471888448763789E-2</v>
      </c>
    </row>
    <row r="316" spans="1:9" x14ac:dyDescent="0.25">
      <c r="A316" s="5">
        <v>314</v>
      </c>
      <c r="B316" s="5">
        <f t="shared" si="8"/>
        <v>51.400000000000006</v>
      </c>
      <c r="C316" s="21">
        <f t="shared" si="9"/>
        <v>2.6166670000000001</v>
      </c>
      <c r="D316" s="16"/>
      <c r="E316" s="19">
        <f>(ADC!I316+5/3)/(1/12)</f>
        <v>51.538406095601317</v>
      </c>
      <c r="F316" s="20">
        <f>ABS(B316-E316)/B316</f>
        <v>2.6927255953562556E-3</v>
      </c>
      <c r="G316" s="2"/>
      <c r="H316" s="2"/>
      <c r="I316" s="19">
        <f>ABS(C316-ADC!I316)</f>
        <v>1.1533507966775769E-2</v>
      </c>
    </row>
    <row r="317" spans="1:9" x14ac:dyDescent="0.25">
      <c r="A317" s="5">
        <v>315</v>
      </c>
      <c r="B317" s="5">
        <f t="shared" si="8"/>
        <v>51.5</v>
      </c>
      <c r="C317" s="21">
        <f t="shared" si="9"/>
        <v>2.625</v>
      </c>
      <c r="D317" s="16"/>
      <c r="E317" s="19">
        <f>(ADC!I317+5/3)/(1/12)</f>
        <v>51.643475256239164</v>
      </c>
      <c r="F317" s="20">
        <f>ABS(B317-E317)/B317</f>
        <v>2.7859273056148287E-3</v>
      </c>
      <c r="G317" s="2"/>
      <c r="H317" s="2"/>
      <c r="I317" s="19">
        <f>ABS(C317-ADC!I317)</f>
        <v>1.1956271353263048E-2</v>
      </c>
    </row>
    <row r="318" spans="1:9" x14ac:dyDescent="0.25">
      <c r="A318" s="5">
        <v>316</v>
      </c>
      <c r="B318" s="5">
        <f t="shared" si="8"/>
        <v>51.6</v>
      </c>
      <c r="C318" s="21">
        <f t="shared" si="9"/>
        <v>2.6333329999999999</v>
      </c>
      <c r="D318" s="16"/>
      <c r="E318" s="19">
        <f>(ADC!I318+5/3)/(1/12)</f>
        <v>51.756658507367703</v>
      </c>
      <c r="F318" s="20">
        <f>ABS(B318-E318)/B318</f>
        <v>3.036017584645384E-3</v>
      </c>
      <c r="G318" s="2"/>
      <c r="H318" s="2"/>
      <c r="I318" s="19">
        <f>ABS(C318-ADC!I318)</f>
        <v>1.3055208947308383E-2</v>
      </c>
    </row>
    <row r="319" spans="1:9" x14ac:dyDescent="0.25">
      <c r="A319" s="5">
        <v>317</v>
      </c>
      <c r="B319" s="5">
        <f t="shared" si="8"/>
        <v>51.7</v>
      </c>
      <c r="C319" s="21">
        <f t="shared" si="9"/>
        <v>2.641667</v>
      </c>
      <c r="D319" s="16"/>
      <c r="E319" s="19">
        <f>(ADC!I319+5/3)/(1/12)</f>
        <v>51.87005095264621</v>
      </c>
      <c r="F319" s="20">
        <f>ABS(B319-E319)/B319</f>
        <v>3.2891867049556489E-3</v>
      </c>
      <c r="G319" s="2"/>
      <c r="H319" s="2"/>
      <c r="I319" s="19">
        <f>ABS(C319-ADC!I319)</f>
        <v>1.4170579387184024E-2</v>
      </c>
    </row>
    <row r="320" spans="1:9" x14ac:dyDescent="0.25">
      <c r="A320" s="5">
        <v>318</v>
      </c>
      <c r="B320" s="5">
        <f t="shared" si="8"/>
        <v>51.8</v>
      </c>
      <c r="C320" s="21">
        <f t="shared" si="9"/>
        <v>2.65</v>
      </c>
      <c r="D320" s="16"/>
      <c r="E320" s="19">
        <f>(ADC!I320+5/3)/(1/12)</f>
        <v>51.98365122458047</v>
      </c>
      <c r="F320" s="20">
        <f>ABS(B320-E320)/B320</f>
        <v>3.5453904359164612E-3</v>
      </c>
      <c r="G320" s="2"/>
      <c r="H320" s="2"/>
      <c r="I320" s="19">
        <f>ABS(C320-ADC!I320)</f>
        <v>1.5304268715038649E-2</v>
      </c>
    </row>
    <row r="321" spans="1:9" x14ac:dyDescent="0.25">
      <c r="A321" s="5">
        <v>319</v>
      </c>
      <c r="B321" s="5">
        <f t="shared" si="8"/>
        <v>51.900000000000006</v>
      </c>
      <c r="C321" s="21">
        <f t="shared" si="9"/>
        <v>2.6583329999999998</v>
      </c>
      <c r="D321" s="16"/>
      <c r="E321" s="19">
        <f>(ADC!I321+5/3)/(1/12)</f>
        <v>52.09745794782021</v>
      </c>
      <c r="F321" s="20">
        <f>ABS(B321-E321)/B321</f>
        <v>3.8045847364201256E-3</v>
      </c>
      <c r="G321" s="2"/>
      <c r="H321" s="2"/>
      <c r="I321" s="19">
        <f>ABS(C321-ADC!I321)</f>
        <v>1.6455162318350425E-2</v>
      </c>
    </row>
    <row r="322" spans="1:9" x14ac:dyDescent="0.25">
      <c r="A322" s="5">
        <v>320</v>
      </c>
      <c r="B322" s="5">
        <f t="shared" si="8"/>
        <v>52</v>
      </c>
      <c r="C322" s="21">
        <f t="shared" si="9"/>
        <v>2.6666669999999999</v>
      </c>
      <c r="D322" s="16"/>
      <c r="E322" s="19">
        <f>(ADC!I322+5/3)/(1/12)</f>
        <v>52.211469742824796</v>
      </c>
      <c r="F322" s="20">
        <f>ABS(B322-E322)/B322</f>
        <v>4.0667258235537783E-3</v>
      </c>
      <c r="G322" s="2"/>
      <c r="H322" s="2"/>
      <c r="I322" s="19">
        <f>ABS(C322-ADC!I322)</f>
        <v>1.7622145235399511E-2</v>
      </c>
    </row>
    <row r="323" spans="1:9" x14ac:dyDescent="0.25">
      <c r="A323" s="5">
        <v>321</v>
      </c>
      <c r="B323" s="5">
        <f t="shared" ref="B323:B386" si="10">0.1*A323+20</f>
        <v>52.1</v>
      </c>
      <c r="C323" s="21">
        <f t="shared" ref="C323:C386" si="11">ROUND(1/12*B323-5/3,6)</f>
        <v>2.6749999999999998</v>
      </c>
      <c r="D323" s="16"/>
      <c r="E323" s="19">
        <f>(ADC!I323+5/3)/(1/12)</f>
        <v>52.317874775838582</v>
      </c>
      <c r="F323" s="20">
        <f>ABS(B323-E323)/B323</f>
        <v>4.1818575017002124E-3</v>
      </c>
      <c r="G323" s="2"/>
      <c r="H323" s="2"/>
      <c r="I323" s="19">
        <f>ABS(C323-ADC!I323)</f>
        <v>1.8156231319881755E-2</v>
      </c>
    </row>
    <row r="324" spans="1:9" x14ac:dyDescent="0.25">
      <c r="A324" s="5">
        <v>322</v>
      </c>
      <c r="B324" s="5">
        <f t="shared" si="10"/>
        <v>52.2</v>
      </c>
      <c r="C324" s="21">
        <f t="shared" si="11"/>
        <v>2.6833330000000002</v>
      </c>
      <c r="D324" s="16"/>
      <c r="E324" s="19">
        <f>(ADC!I324+5/3)/(1/12)</f>
        <v>52.432305873773906</v>
      </c>
      <c r="F324" s="20">
        <f>ABS(B324-E324)/B324</f>
        <v>4.4503040952855021E-3</v>
      </c>
      <c r="G324" s="2"/>
      <c r="H324" s="2"/>
      <c r="I324" s="19">
        <f>ABS(C324-ADC!I324)</f>
        <v>1.9359156147825018E-2</v>
      </c>
    </row>
    <row r="325" spans="1:9" x14ac:dyDescent="0.25">
      <c r="A325" s="5">
        <v>323</v>
      </c>
      <c r="B325" s="5">
        <f t="shared" si="10"/>
        <v>52.300000000000004</v>
      </c>
      <c r="C325" s="21">
        <f t="shared" si="11"/>
        <v>2.6916669999999998</v>
      </c>
      <c r="D325" s="16"/>
      <c r="E325" s="19">
        <f>(ADC!I325+5/3)/(1/12)</f>
        <v>52.53915402293844</v>
      </c>
      <c r="F325" s="20">
        <f>ABS(B325-E325)/B325</f>
        <v>4.5727346642148396E-3</v>
      </c>
      <c r="G325" s="2"/>
      <c r="H325" s="2"/>
      <c r="I325" s="19">
        <f>ABS(C325-ADC!I325)</f>
        <v>1.9929168578203704E-2</v>
      </c>
    </row>
    <row r="326" spans="1:9" x14ac:dyDescent="0.25">
      <c r="A326" s="5">
        <v>324</v>
      </c>
      <c r="B326" s="5">
        <f t="shared" si="10"/>
        <v>52.4</v>
      </c>
      <c r="C326" s="21">
        <f t="shared" si="11"/>
        <v>2.7</v>
      </c>
      <c r="D326" s="16"/>
      <c r="E326" s="19">
        <f>(ADC!I326+5/3)/(1/12)</f>
        <v>52.646228292944407</v>
      </c>
      <c r="F326" s="20">
        <f>ABS(B326-E326)/B326</f>
        <v>4.6990132241299352E-3</v>
      </c>
      <c r="G326" s="2"/>
      <c r="H326" s="2"/>
      <c r="I326" s="19">
        <f>ABS(C326-ADC!I326)</f>
        <v>2.0519024412033904E-2</v>
      </c>
    </row>
    <row r="327" spans="1:9" x14ac:dyDescent="0.25">
      <c r="A327" s="5">
        <v>325</v>
      </c>
      <c r="B327" s="5">
        <f t="shared" si="10"/>
        <v>52.5</v>
      </c>
      <c r="C327" s="21">
        <f t="shared" si="11"/>
        <v>2.7083330000000001</v>
      </c>
      <c r="D327" s="16"/>
      <c r="E327" s="19">
        <f>(ADC!I327+5/3)/(1/12)</f>
        <v>52.76128460950094</v>
      </c>
      <c r="F327" s="20">
        <f>ABS(B327-E327)/B327</f>
        <v>4.9768497047798137E-3</v>
      </c>
      <c r="G327" s="2"/>
      <c r="H327" s="2"/>
      <c r="I327" s="19">
        <f>ABS(C327-ADC!I327)</f>
        <v>2.1774050791744326E-2</v>
      </c>
    </row>
    <row r="328" spans="1:9" x14ac:dyDescent="0.25">
      <c r="A328" s="5">
        <v>326</v>
      </c>
      <c r="B328" s="5">
        <f t="shared" si="10"/>
        <v>52.6</v>
      </c>
      <c r="C328" s="21">
        <f t="shared" si="11"/>
        <v>2.7166670000000002</v>
      </c>
      <c r="D328" s="16"/>
      <c r="E328" s="19">
        <f>(ADC!I328+5/3)/(1/12)</f>
        <v>52.868793676690601</v>
      </c>
      <c r="F328" s="20">
        <f>ABS(B328-E328)/B328</f>
        <v>5.1101459446881974E-3</v>
      </c>
      <c r="G328" s="2"/>
      <c r="H328" s="2"/>
      <c r="I328" s="19">
        <f>ABS(C328-ADC!I328)</f>
        <v>2.2399139724216255E-2</v>
      </c>
    </row>
    <row r="329" spans="1:9" x14ac:dyDescent="0.25">
      <c r="A329" s="5">
        <v>327</v>
      </c>
      <c r="B329" s="5">
        <f t="shared" si="10"/>
        <v>52.7</v>
      </c>
      <c r="C329" s="21">
        <f t="shared" si="11"/>
        <v>2.7250000000000001</v>
      </c>
      <c r="D329" s="16"/>
      <c r="E329" s="19">
        <f>(ADC!I329+5/3)/(1/12)</f>
        <v>52.976524696247203</v>
      </c>
      <c r="F329" s="20">
        <f>ABS(B329-E329)/B329</f>
        <v>5.2471479363795171E-3</v>
      </c>
      <c r="G329" s="2"/>
      <c r="H329" s="2"/>
      <c r="I329" s="19">
        <f>ABS(C329-ADC!I329)</f>
        <v>2.3043724687267009E-2</v>
      </c>
    </row>
    <row r="330" spans="1:9" x14ac:dyDescent="0.25">
      <c r="A330" s="5">
        <v>328</v>
      </c>
      <c r="B330" s="5">
        <f t="shared" si="10"/>
        <v>52.800000000000004</v>
      </c>
      <c r="C330" s="21">
        <f t="shared" si="11"/>
        <v>2.733333</v>
      </c>
      <c r="D330" s="16"/>
      <c r="E330" s="19">
        <f>(ADC!I330+5/3)/(1/12)</f>
        <v>53.084476273441894</v>
      </c>
      <c r="F330" s="20">
        <f>ABS(B330-E330)/B330</f>
        <v>5.3878082091266908E-3</v>
      </c>
      <c r="G330" s="2"/>
      <c r="H330" s="2"/>
      <c r="I330" s="19">
        <f>ABS(C330-ADC!I330)</f>
        <v>2.370668945349097E-2</v>
      </c>
    </row>
    <row r="331" spans="1:9" x14ac:dyDescent="0.25">
      <c r="A331" s="5">
        <v>329</v>
      </c>
      <c r="B331" s="5">
        <f t="shared" si="10"/>
        <v>52.9</v>
      </c>
      <c r="C331" s="21">
        <f t="shared" si="11"/>
        <v>2.7416670000000001</v>
      </c>
      <c r="D331" s="16"/>
      <c r="E331" s="19">
        <f>(ADC!I331+5/3)/(1/12)</f>
        <v>53.192647022449222</v>
      </c>
      <c r="F331" s="20">
        <f>ABS(B331-E331)/B331</f>
        <v>5.53207981945602E-3</v>
      </c>
      <c r="G331" s="2"/>
      <c r="H331" s="2"/>
      <c r="I331" s="19">
        <f>ABS(C331-ADC!I331)</f>
        <v>2.4386918537434799E-2</v>
      </c>
    </row>
    <row r="332" spans="1:9" x14ac:dyDescent="0.25">
      <c r="A332" s="5">
        <v>330</v>
      </c>
      <c r="B332" s="5">
        <f t="shared" si="10"/>
        <v>53</v>
      </c>
      <c r="C332" s="21">
        <f t="shared" si="11"/>
        <v>2.75</v>
      </c>
      <c r="D332" s="16"/>
      <c r="E332" s="19">
        <f>(ADC!I332+5/3)/(1/12)</f>
        <v>53.301035539636779</v>
      </c>
      <c r="F332" s="20">
        <f>ABS(B332-E332)/B332</f>
        <v>5.6799158422033685E-3</v>
      </c>
      <c r="G332" s="2"/>
      <c r="H332" s="2"/>
      <c r="I332" s="19">
        <f>ABS(C332-ADC!I332)</f>
        <v>2.5086294969731693E-2</v>
      </c>
    </row>
    <row r="333" spans="1:9" x14ac:dyDescent="0.25">
      <c r="A333" s="5">
        <v>331</v>
      </c>
      <c r="B333" s="5">
        <f t="shared" si="10"/>
        <v>53.1</v>
      </c>
      <c r="C333" s="21">
        <f t="shared" si="11"/>
        <v>2.7583329999999999</v>
      </c>
      <c r="D333" s="16"/>
      <c r="E333" s="19">
        <f>(ADC!I333+5/3)/(1/12)</f>
        <v>53.40964043254526</v>
      </c>
      <c r="F333" s="20">
        <f>ABS(B333-E333)/B333</f>
        <v>5.831269916106557E-3</v>
      </c>
      <c r="G333" s="2"/>
      <c r="H333" s="2"/>
      <c r="I333" s="19">
        <f>ABS(C333-ADC!I333)</f>
        <v>2.5803702712105192E-2</v>
      </c>
    </row>
    <row r="334" spans="1:9" x14ac:dyDescent="0.25">
      <c r="A334" s="5">
        <v>332</v>
      </c>
      <c r="B334" s="5">
        <f t="shared" si="10"/>
        <v>53.2</v>
      </c>
      <c r="C334" s="21">
        <f t="shared" si="11"/>
        <v>2.766667</v>
      </c>
      <c r="D334" s="16"/>
      <c r="E334" s="19">
        <f>(ADC!I334+5/3)/(1/12)</f>
        <v>53.526124730849197</v>
      </c>
      <c r="F334" s="20">
        <f>ABS(B334-E334)/B334</f>
        <v>6.1301641137066643E-3</v>
      </c>
      <c r="G334" s="2"/>
      <c r="H334" s="2"/>
      <c r="I334" s="19">
        <f>ABS(C334-ADC!I334)</f>
        <v>2.7176727570766168E-2</v>
      </c>
    </row>
    <row r="335" spans="1:9" x14ac:dyDescent="0.25">
      <c r="A335" s="5">
        <v>333</v>
      </c>
      <c r="B335" s="5">
        <f t="shared" si="10"/>
        <v>53.300000000000004</v>
      </c>
      <c r="C335" s="21">
        <f t="shared" si="11"/>
        <v>2.7749999999999999</v>
      </c>
      <c r="D335" s="16"/>
      <c r="E335" s="19">
        <f>(ADC!I335+5/3)/(1/12)</f>
        <v>53.635144931398393</v>
      </c>
      <c r="F335" s="20">
        <f>ABS(B335-E335)/B335</f>
        <v>6.287897399594543E-3</v>
      </c>
      <c r="G335" s="2"/>
      <c r="H335" s="2"/>
      <c r="I335" s="19">
        <f>ABS(C335-ADC!I335)</f>
        <v>2.7928744283199247E-2</v>
      </c>
    </row>
    <row r="336" spans="1:9" x14ac:dyDescent="0.25">
      <c r="A336" s="5">
        <v>334</v>
      </c>
      <c r="B336" s="5">
        <f t="shared" si="10"/>
        <v>53.4</v>
      </c>
      <c r="C336" s="21">
        <f t="shared" si="11"/>
        <v>2.7833329999999998</v>
      </c>
      <c r="D336" s="16"/>
      <c r="E336" s="19">
        <f>(ADC!I336+5/3)/(1/12)</f>
        <v>53.744377316847597</v>
      </c>
      <c r="F336" s="20">
        <f>ABS(B336-E336)/B336</f>
        <v>6.449013424112332E-3</v>
      </c>
      <c r="G336" s="2"/>
      <c r="H336" s="2"/>
      <c r="I336" s="19">
        <f>ABS(C336-ADC!I336)</f>
        <v>2.8698443070632962E-2</v>
      </c>
    </row>
    <row r="337" spans="1:9" x14ac:dyDescent="0.25">
      <c r="A337" s="5">
        <v>335</v>
      </c>
      <c r="B337" s="5">
        <f t="shared" si="10"/>
        <v>53.5</v>
      </c>
      <c r="C337" s="21">
        <f t="shared" si="11"/>
        <v>2.7916669999999999</v>
      </c>
      <c r="D337" s="16"/>
      <c r="E337" s="19">
        <f>(ADC!I337+5/3)/(1/12)</f>
        <v>53.86144519494281</v>
      </c>
      <c r="F337" s="20">
        <f>ABS(B337-E337)/B337</f>
        <v>6.755984952202059E-3</v>
      </c>
      <c r="G337" s="2"/>
      <c r="H337" s="2"/>
      <c r="I337" s="19">
        <f>ABS(C337-ADC!I337)</f>
        <v>3.0120099578567761E-2</v>
      </c>
    </row>
    <row r="338" spans="1:9" x14ac:dyDescent="0.25">
      <c r="A338" s="5">
        <v>336</v>
      </c>
      <c r="B338" s="5">
        <f t="shared" si="10"/>
        <v>53.6</v>
      </c>
      <c r="C338" s="21">
        <f t="shared" si="11"/>
        <v>2.8</v>
      </c>
      <c r="D338" s="16"/>
      <c r="E338" s="19">
        <f>(ADC!I338+5/3)/(1/12)</f>
        <v>53.971084521055879</v>
      </c>
      <c r="F338" s="20">
        <f>ABS(B338-E338)/B338</f>
        <v>6.9232186764156215E-3</v>
      </c>
      <c r="G338" s="2"/>
      <c r="H338" s="2"/>
      <c r="I338" s="19">
        <f>ABS(C338-ADC!I338)</f>
        <v>3.0923710087990219E-2</v>
      </c>
    </row>
    <row r="339" spans="1:9" x14ac:dyDescent="0.25">
      <c r="A339" s="5">
        <v>337</v>
      </c>
      <c r="B339" s="5">
        <f t="shared" si="10"/>
        <v>53.7</v>
      </c>
      <c r="C339" s="21">
        <f t="shared" si="11"/>
        <v>2.8083330000000002</v>
      </c>
      <c r="D339" s="16"/>
      <c r="E339" s="19">
        <f>(ADC!I339+5/3)/(1/12)</f>
        <v>54.080931843517646</v>
      </c>
      <c r="F339" s="20">
        <f>ABS(B339-E339)/B339</f>
        <v>7.0937028588015571E-3</v>
      </c>
      <c r="G339" s="2"/>
      <c r="H339" s="2"/>
      <c r="I339" s="19">
        <f>ABS(C339-ADC!I339)</f>
        <v>3.1744653626470054E-2</v>
      </c>
    </row>
    <row r="340" spans="1:9" x14ac:dyDescent="0.25">
      <c r="A340" s="5">
        <v>338</v>
      </c>
      <c r="B340" s="5">
        <f t="shared" si="10"/>
        <v>53.800000000000004</v>
      </c>
      <c r="C340" s="21">
        <f t="shared" si="11"/>
        <v>2.8166669999999998</v>
      </c>
      <c r="D340" s="16"/>
      <c r="E340" s="19">
        <f>(ADC!I340+5/3)/(1/12)</f>
        <v>54.190985759219245</v>
      </c>
      <c r="F340" s="20">
        <f>ABS(B340-E340)/B340</f>
        <v>7.2673932940379351E-3</v>
      </c>
      <c r="G340" s="2"/>
      <c r="H340" s="2"/>
      <c r="I340" s="19">
        <f>ABS(C340-ADC!I340)</f>
        <v>3.2581813268270032E-2</v>
      </c>
    </row>
    <row r="341" spans="1:9" x14ac:dyDescent="0.25">
      <c r="A341" s="5">
        <v>339</v>
      </c>
      <c r="B341" s="5">
        <f t="shared" si="10"/>
        <v>53.9</v>
      </c>
      <c r="C341" s="21">
        <f t="shared" si="11"/>
        <v>2.8250000000000002</v>
      </c>
      <c r="D341" s="16"/>
      <c r="E341" s="19">
        <f>(ADC!I341+5/3)/(1/12)</f>
        <v>54.301244872384231</v>
      </c>
      <c r="F341" s="20">
        <f>ABS(B341-E341)/B341</f>
        <v>7.4442462408948534E-3</v>
      </c>
      <c r="G341" s="2"/>
      <c r="H341" s="2"/>
      <c r="I341" s="19">
        <f>ABS(C341-ADC!I341)</f>
        <v>3.3437072698685455E-2</v>
      </c>
    </row>
    <row r="342" spans="1:9" x14ac:dyDescent="0.25">
      <c r="A342" s="5">
        <v>340</v>
      </c>
      <c r="B342" s="5">
        <f t="shared" si="10"/>
        <v>54</v>
      </c>
      <c r="C342" s="21">
        <f t="shared" si="11"/>
        <v>2.8333330000000001</v>
      </c>
      <c r="D342" s="16"/>
      <c r="E342" s="19">
        <f>(ADC!I342+5/3)/(1/12)</f>
        <v>54.411707777110493</v>
      </c>
      <c r="F342" s="20">
        <f>ABS(B342-E342)/B342</f>
        <v>7.6242180946387616E-3</v>
      </c>
      <c r="G342" s="2"/>
      <c r="H342" s="2"/>
      <c r="I342" s="19">
        <f>ABS(C342-ADC!I342)</f>
        <v>3.4309314759207066E-2</v>
      </c>
    </row>
    <row r="343" spans="1:9" x14ac:dyDescent="0.25">
      <c r="A343" s="5">
        <v>341</v>
      </c>
      <c r="B343" s="5">
        <f t="shared" si="10"/>
        <v>54.1</v>
      </c>
      <c r="C343" s="21">
        <f t="shared" si="11"/>
        <v>2.8416670000000002</v>
      </c>
      <c r="D343" s="16"/>
      <c r="E343" s="19">
        <f>(ADC!I343+5/3)/(1/12)</f>
        <v>54.522373077796345</v>
      </c>
      <c r="F343" s="20">
        <f>ABS(B343-E343)/B343</f>
        <v>7.8072657633335291E-3</v>
      </c>
      <c r="G343" s="2"/>
      <c r="H343" s="2"/>
      <c r="I343" s="19">
        <f>ABS(C343-ADC!I343)</f>
        <v>3.5197423149694984E-2</v>
      </c>
    </row>
    <row r="344" spans="1:9" x14ac:dyDescent="0.25">
      <c r="A344" s="5">
        <v>342</v>
      </c>
      <c r="B344" s="5">
        <f t="shared" si="10"/>
        <v>54.2</v>
      </c>
      <c r="C344" s="21">
        <f t="shared" si="11"/>
        <v>2.85</v>
      </c>
      <c r="D344" s="16"/>
      <c r="E344" s="19">
        <f>(ADC!I344+5/3)/(1/12)</f>
        <v>54.633239364524094</v>
      </c>
      <c r="F344" s="20">
        <f>ABS(B344-E344)/B344</f>
        <v>7.9933462089315736E-3</v>
      </c>
      <c r="G344" s="2"/>
      <c r="H344" s="2"/>
      <c r="I344" s="19">
        <f>ABS(C344-ADC!I344)</f>
        <v>3.6103280377007607E-2</v>
      </c>
    </row>
    <row r="345" spans="1:9" x14ac:dyDescent="0.25">
      <c r="A345" s="5">
        <v>343</v>
      </c>
      <c r="B345" s="5">
        <f t="shared" si="10"/>
        <v>54.300000000000004</v>
      </c>
      <c r="C345" s="21">
        <f t="shared" si="11"/>
        <v>2.858333</v>
      </c>
      <c r="D345" s="16"/>
      <c r="E345" s="19">
        <f>(ADC!I345+5/3)/(1/12)</f>
        <v>54.729267413226481</v>
      </c>
      <c r="F345" s="20">
        <f>ABS(B345-E345)/B345</f>
        <v>7.9054772233236904E-3</v>
      </c>
      <c r="G345" s="2"/>
      <c r="H345" s="2"/>
      <c r="I345" s="19">
        <f>ABS(C345-ADC!I345)</f>
        <v>3.5772617768873083E-2</v>
      </c>
    </row>
    <row r="346" spans="1:9" x14ac:dyDescent="0.25">
      <c r="A346" s="5">
        <v>344</v>
      </c>
      <c r="B346" s="5">
        <f t="shared" si="10"/>
        <v>54.4</v>
      </c>
      <c r="C346" s="21">
        <f t="shared" si="11"/>
        <v>2.8666670000000001</v>
      </c>
      <c r="D346" s="16"/>
      <c r="E346" s="19">
        <f>(ADC!I346+5/3)/(1/12)</f>
        <v>54.840557870906245</v>
      </c>
      <c r="F346" s="20">
        <f>ABS(B346-E346)/B346</f>
        <v>8.0984902740118894E-3</v>
      </c>
      <c r="G346" s="2"/>
      <c r="H346" s="2"/>
      <c r="I346" s="19">
        <f>ABS(C346-ADC!I346)</f>
        <v>3.6712822575519777E-2</v>
      </c>
    </row>
    <row r="347" spans="1:9" x14ac:dyDescent="0.25">
      <c r="A347" s="5">
        <v>345</v>
      </c>
      <c r="B347" s="5">
        <f t="shared" si="10"/>
        <v>54.5</v>
      </c>
      <c r="C347" s="21">
        <f t="shared" si="11"/>
        <v>2.875</v>
      </c>
      <c r="D347" s="16"/>
      <c r="E347" s="19">
        <f>(ADC!I347+5/3)/(1/12)</f>
        <v>54.952045102159005</v>
      </c>
      <c r="F347" s="20">
        <f>ABS(B347-E347)/B347</f>
        <v>8.2944055442019243E-3</v>
      </c>
      <c r="G347" s="2"/>
      <c r="H347" s="2"/>
      <c r="I347" s="19">
        <f>ABS(C347-ADC!I347)</f>
        <v>3.7670425179916922E-2</v>
      </c>
    </row>
    <row r="348" spans="1:9" x14ac:dyDescent="0.25">
      <c r="A348" s="5">
        <v>346</v>
      </c>
      <c r="B348" s="5">
        <f t="shared" si="10"/>
        <v>54.6</v>
      </c>
      <c r="C348" s="21">
        <f t="shared" si="11"/>
        <v>2.8833329999999999</v>
      </c>
      <c r="D348" s="16"/>
      <c r="E348" s="19">
        <f>(ADC!I348+5/3)/(1/12)</f>
        <v>55.063727702130258</v>
      </c>
      <c r="F348" s="20">
        <f>ABS(B348-E348)/B348</f>
        <v>8.4931813576970064E-3</v>
      </c>
      <c r="G348" s="2"/>
      <c r="H348" s="2"/>
      <c r="I348" s="19">
        <f>ABS(C348-ADC!I348)</f>
        <v>3.8644308510854763E-2</v>
      </c>
    </row>
    <row r="349" spans="1:9" x14ac:dyDescent="0.25">
      <c r="A349" s="5">
        <v>347</v>
      </c>
      <c r="B349" s="5">
        <f t="shared" si="10"/>
        <v>54.7</v>
      </c>
      <c r="C349" s="21">
        <f t="shared" si="11"/>
        <v>2.891667</v>
      </c>
      <c r="D349" s="16"/>
      <c r="E349" s="19">
        <f>(ADC!I349+5/3)/(1/12)</f>
        <v>55.168138146560644</v>
      </c>
      <c r="F349" s="20">
        <f>ABS(B349-E349)/B349</f>
        <v>8.5582842150025706E-3</v>
      </c>
      <c r="G349" s="2"/>
      <c r="H349" s="2"/>
      <c r="I349" s="19">
        <f>ABS(C349-ADC!I349)</f>
        <v>3.9011178880053787E-2</v>
      </c>
    </row>
    <row r="350" spans="1:9" x14ac:dyDescent="0.25">
      <c r="A350" s="5">
        <v>348</v>
      </c>
      <c r="B350" s="5">
        <f t="shared" si="10"/>
        <v>54.800000000000004</v>
      </c>
      <c r="C350" s="21">
        <f t="shared" si="11"/>
        <v>2.9</v>
      </c>
      <c r="D350" s="16"/>
      <c r="E350" s="19">
        <f>(ADC!I350+5/3)/(1/12)</f>
        <v>55.280220450282847</v>
      </c>
      <c r="F350" s="20">
        <f>ABS(B350-E350)/B350</f>
        <v>8.7631469029715893E-3</v>
      </c>
      <c r="G350" s="2"/>
      <c r="H350" s="2"/>
      <c r="I350" s="19">
        <f>ABS(C350-ADC!I350)</f>
        <v>4.0018370856904184E-2</v>
      </c>
    </row>
    <row r="351" spans="1:9" x14ac:dyDescent="0.25">
      <c r="A351" s="5">
        <v>349</v>
      </c>
      <c r="B351" s="5">
        <f t="shared" si="10"/>
        <v>54.9</v>
      </c>
      <c r="C351" s="21">
        <f t="shared" si="11"/>
        <v>2.9083329999999998</v>
      </c>
      <c r="D351" s="16"/>
      <c r="E351" s="19">
        <f>(ADC!I351+5/3)/(1/12)</f>
        <v>55.392493910603676</v>
      </c>
      <c r="F351" s="20">
        <f>ABS(B351-E351)/B351</f>
        <v>8.970745184037841E-3</v>
      </c>
      <c r="G351" s="2"/>
      <c r="H351" s="2"/>
      <c r="I351" s="19">
        <f>ABS(C351-ADC!I351)</f>
        <v>4.1041492550306202E-2</v>
      </c>
    </row>
    <row r="352" spans="1:9" x14ac:dyDescent="0.25">
      <c r="A352" s="5">
        <v>350</v>
      </c>
      <c r="B352" s="5">
        <f t="shared" si="10"/>
        <v>55</v>
      </c>
      <c r="C352" s="21">
        <f t="shared" si="11"/>
        <v>2.9166669999999999</v>
      </c>
      <c r="D352" s="16"/>
      <c r="E352" s="19">
        <f>(ADC!I352+5/3)/(1/12)</f>
        <v>55.504957122843145</v>
      </c>
      <c r="F352" s="20">
        <f>ABS(B352-E352)/B352</f>
        <v>9.1810385971480852E-3</v>
      </c>
      <c r="G352" s="2"/>
      <c r="H352" s="2"/>
      <c r="I352" s="19">
        <f>ABS(C352-ADC!I352)</f>
        <v>4.2079426903594896E-2</v>
      </c>
    </row>
    <row r="353" spans="1:9" x14ac:dyDescent="0.25">
      <c r="A353" s="5">
        <v>351</v>
      </c>
      <c r="B353" s="5">
        <f t="shared" si="10"/>
        <v>55.1</v>
      </c>
      <c r="C353" s="21">
        <f t="shared" si="11"/>
        <v>2.9249999999999998</v>
      </c>
      <c r="D353" s="16"/>
      <c r="E353" s="19">
        <f>(ADC!I353+5/3)/(1/12)</f>
        <v>55.617608682321205</v>
      </c>
      <c r="F353" s="20">
        <f>ABS(B353-E353)/B353</f>
        <v>9.3939869749764641E-3</v>
      </c>
      <c r="G353" s="2"/>
      <c r="H353" s="2"/>
      <c r="I353" s="19">
        <f>ABS(C353-ADC!I353)</f>
        <v>4.3134056860099967E-2</v>
      </c>
    </row>
    <row r="354" spans="1:9" x14ac:dyDescent="0.25">
      <c r="A354" s="5">
        <v>352</v>
      </c>
      <c r="B354" s="5">
        <f t="shared" si="10"/>
        <v>55.2</v>
      </c>
      <c r="C354" s="21">
        <f t="shared" si="11"/>
        <v>2.9333330000000002</v>
      </c>
      <c r="D354" s="16"/>
      <c r="E354" s="19">
        <f>(ADC!I354+5/3)/(1/12)</f>
        <v>55.723046892177848</v>
      </c>
      <c r="F354" s="20">
        <f>ABS(B354-E354)/B354</f>
        <v>9.4754871771348774E-3</v>
      </c>
      <c r="G354" s="2"/>
      <c r="H354" s="2"/>
      <c r="I354" s="19">
        <f>ABS(C354-ADC!I354)</f>
        <v>4.3587574348153524E-2</v>
      </c>
    </row>
    <row r="355" spans="1:9" x14ac:dyDescent="0.25">
      <c r="A355" s="5">
        <v>353</v>
      </c>
      <c r="B355" s="5">
        <f t="shared" si="10"/>
        <v>55.300000000000004</v>
      </c>
      <c r="C355" s="21">
        <f t="shared" si="11"/>
        <v>2.9416669999999998</v>
      </c>
      <c r="D355" s="16"/>
      <c r="E355" s="19">
        <f>(ADC!I355+5/3)/(1/12)</f>
        <v>55.836084084339497</v>
      </c>
      <c r="F355" s="20">
        <f>ABS(B355-E355)/B355</f>
        <v>9.6941064075857595E-3</v>
      </c>
      <c r="G355" s="2"/>
      <c r="H355" s="2"/>
      <c r="I355" s="19">
        <f>ABS(C355-ADC!I355)</f>
        <v>4.4673340361625069E-2</v>
      </c>
    </row>
    <row r="356" spans="1:9" x14ac:dyDescent="0.25">
      <c r="A356" s="5">
        <v>354</v>
      </c>
      <c r="B356" s="5">
        <f t="shared" si="10"/>
        <v>55.4</v>
      </c>
      <c r="C356" s="21">
        <f t="shared" si="11"/>
        <v>2.95</v>
      </c>
      <c r="D356" s="16"/>
      <c r="E356" s="19">
        <f>(ADC!I356+5/3)/(1/12)</f>
        <v>55.941931414156862</v>
      </c>
      <c r="F356" s="20">
        <f>ABS(B356-E356)/B356</f>
        <v>9.782155490196091E-3</v>
      </c>
      <c r="G356" s="2"/>
      <c r="H356" s="2"/>
      <c r="I356" s="19">
        <f>ABS(C356-ADC!I356)</f>
        <v>4.5160951179737729E-2</v>
      </c>
    </row>
    <row r="357" spans="1:9" x14ac:dyDescent="0.25">
      <c r="A357" s="5">
        <v>355</v>
      </c>
      <c r="B357" s="5">
        <f t="shared" si="10"/>
        <v>55.5</v>
      </c>
      <c r="C357" s="21">
        <f t="shared" si="11"/>
        <v>2.9583330000000001</v>
      </c>
      <c r="D357" s="16"/>
      <c r="E357" s="19">
        <f>(ADC!I357+5/3)/(1/12)</f>
        <v>56.055348600205065</v>
      </c>
      <c r="F357" s="20">
        <f>ABS(B357-E357)/B357</f>
        <v>1.000628108477594E-2</v>
      </c>
      <c r="G357" s="2"/>
      <c r="H357" s="2"/>
      <c r="I357" s="19">
        <f>ABS(C357-ADC!I357)</f>
        <v>4.627938335042181E-2</v>
      </c>
    </row>
    <row r="358" spans="1:9" x14ac:dyDescent="0.25">
      <c r="A358" s="5">
        <v>356</v>
      </c>
      <c r="B358" s="5">
        <f t="shared" si="10"/>
        <v>55.6</v>
      </c>
      <c r="C358" s="21">
        <f t="shared" si="11"/>
        <v>2.9666670000000002</v>
      </c>
      <c r="D358" s="16"/>
      <c r="E358" s="19">
        <f>(ADC!I358+5/3)/(1/12)</f>
        <v>56.16159938849033</v>
      </c>
      <c r="F358" s="20">
        <f>ABS(B358-E358)/B358</f>
        <v>1.0100708426085053E-2</v>
      </c>
      <c r="G358" s="2"/>
      <c r="H358" s="2"/>
      <c r="I358" s="19">
        <f>ABS(C358-ADC!I358)</f>
        <v>4.679961570752722E-2</v>
      </c>
    </row>
    <row r="359" spans="1:9" x14ac:dyDescent="0.25">
      <c r="A359" s="5">
        <v>357</v>
      </c>
      <c r="B359" s="5">
        <f t="shared" si="10"/>
        <v>55.7</v>
      </c>
      <c r="C359" s="21">
        <f t="shared" si="11"/>
        <v>2.9750000000000001</v>
      </c>
      <c r="D359" s="16"/>
      <c r="E359" s="19">
        <f>(ADC!I359+5/3)/(1/12)</f>
        <v>56.275390932421487</v>
      </c>
      <c r="F359" s="20">
        <f>ABS(B359-E359)/B359</f>
        <v>1.0330178319954839E-2</v>
      </c>
      <c r="G359" s="2"/>
      <c r="H359" s="2"/>
      <c r="I359" s="19">
        <f>ABS(C359-ADC!I359)</f>
        <v>4.7949244368457045E-2</v>
      </c>
    </row>
    <row r="360" spans="1:9" x14ac:dyDescent="0.25">
      <c r="A360" s="5">
        <v>358</v>
      </c>
      <c r="B360" s="5">
        <f t="shared" si="10"/>
        <v>55.800000000000004</v>
      </c>
      <c r="C360" s="21">
        <f t="shared" si="11"/>
        <v>2.983333</v>
      </c>
      <c r="D360" s="16"/>
      <c r="E360" s="19">
        <f>(ADC!I360+5/3)/(1/12)</f>
        <v>56.374718059198365</v>
      </c>
      <c r="F360" s="20">
        <f>ABS(B360-E360)/B360</f>
        <v>1.0299606795669547E-2</v>
      </c>
      <c r="G360" s="2"/>
      <c r="H360" s="2"/>
      <c r="I360" s="19">
        <f>ABS(C360-ADC!I360)</f>
        <v>4.7893504933197217E-2</v>
      </c>
    </row>
    <row r="361" spans="1:9" x14ac:dyDescent="0.25">
      <c r="A361" s="5">
        <v>359</v>
      </c>
      <c r="B361" s="5">
        <f t="shared" si="10"/>
        <v>55.9</v>
      </c>
      <c r="C361" s="21">
        <f t="shared" si="11"/>
        <v>2.9916670000000001</v>
      </c>
      <c r="D361" s="16"/>
      <c r="E361" s="19">
        <f>(ADC!I361+5/3)/(1/12)</f>
        <v>56.481583103804248</v>
      </c>
      <c r="F361" s="20">
        <f>ABS(B361-E361)/B361</f>
        <v>1.0403991123510715E-2</v>
      </c>
      <c r="G361" s="2"/>
      <c r="H361" s="2"/>
      <c r="I361" s="19">
        <f>ABS(C361-ADC!I361)</f>
        <v>4.8464925317020402E-2</v>
      </c>
    </row>
    <row r="362" spans="1:9" x14ac:dyDescent="0.25">
      <c r="A362" s="5">
        <v>360</v>
      </c>
      <c r="B362" s="5">
        <f t="shared" si="10"/>
        <v>56</v>
      </c>
      <c r="C362" s="21">
        <f t="shared" si="11"/>
        <v>3</v>
      </c>
      <c r="D362" s="16"/>
      <c r="E362" s="19">
        <f>(ADC!I362+5/3)/(1/12)</f>
        <v>56.588650051352417</v>
      </c>
      <c r="F362" s="20">
        <f>ABS(B362-E362)/B362</f>
        <v>1.0511608059864588E-2</v>
      </c>
      <c r="G362" s="2"/>
      <c r="H362" s="2"/>
      <c r="I362" s="19">
        <f>ABS(C362-ADC!I362)</f>
        <v>4.9054170946034148E-2</v>
      </c>
    </row>
    <row r="363" spans="1:9" x14ac:dyDescent="0.25">
      <c r="A363" s="5">
        <v>361</v>
      </c>
      <c r="B363" s="5">
        <f t="shared" si="10"/>
        <v>56.1</v>
      </c>
      <c r="C363" s="21">
        <f t="shared" si="11"/>
        <v>3.0083329999999999</v>
      </c>
      <c r="D363" s="16"/>
      <c r="E363" s="19">
        <f>(ADC!I363+5/3)/(1/12)</f>
        <v>56.703199582356639</v>
      </c>
      <c r="F363" s="20">
        <f>ABS(B363-E363)/B363</f>
        <v>1.0752220719369654E-2</v>
      </c>
      <c r="G363" s="2"/>
      <c r="H363" s="2"/>
      <c r="I363" s="19">
        <f>ABS(C363-ADC!I363)</f>
        <v>5.0266965196386515E-2</v>
      </c>
    </row>
    <row r="364" spans="1:9" x14ac:dyDescent="0.25">
      <c r="A364" s="5">
        <v>362</v>
      </c>
      <c r="B364" s="5">
        <f t="shared" si="10"/>
        <v>56.2</v>
      </c>
      <c r="C364" s="21">
        <f t="shared" si="11"/>
        <v>3.016667</v>
      </c>
      <c r="D364" s="16"/>
      <c r="E364" s="19">
        <f>(ADC!I364+5/3)/(1/12)</f>
        <v>56.810652974739988</v>
      </c>
      <c r="F364" s="20">
        <f>ABS(B364-E364)/B364</f>
        <v>1.0865711294305778E-2</v>
      </c>
      <c r="G364" s="2"/>
      <c r="H364" s="2"/>
      <c r="I364" s="19">
        <f>ABS(C364-ADC!I364)</f>
        <v>5.0887414561665345E-2</v>
      </c>
    </row>
    <row r="365" spans="1:9" x14ac:dyDescent="0.25">
      <c r="A365" s="5">
        <v>363</v>
      </c>
      <c r="B365" s="5">
        <f t="shared" si="10"/>
        <v>56.300000000000004</v>
      </c>
      <c r="C365" s="21">
        <f t="shared" si="11"/>
        <v>3.0249999999999999</v>
      </c>
      <c r="D365" s="16"/>
      <c r="E365" s="19">
        <f>(ADC!I365+5/3)/(1/12)</f>
        <v>56.925559935015222</v>
      </c>
      <c r="F365" s="20">
        <f>ABS(B365-E365)/B365</f>
        <v>1.1111188899026963E-2</v>
      </c>
      <c r="G365" s="2"/>
      <c r="H365" s="2"/>
      <c r="I365" s="19">
        <f>ABS(C365-ADC!I365)</f>
        <v>5.2129994584601658E-2</v>
      </c>
    </row>
    <row r="366" spans="1:9" x14ac:dyDescent="0.25">
      <c r="A366" s="5">
        <v>364</v>
      </c>
      <c r="B366" s="5">
        <f t="shared" si="10"/>
        <v>56.4</v>
      </c>
      <c r="C366" s="21">
        <f t="shared" si="11"/>
        <v>3.0333329999999998</v>
      </c>
      <c r="D366" s="16"/>
      <c r="E366" s="19">
        <f>(ADC!I366+5/3)/(1/12)</f>
        <v>57.033394113709079</v>
      </c>
      <c r="F366" s="20">
        <f>ABS(B366-E366)/B366</f>
        <v>1.1230392087040433E-2</v>
      </c>
      <c r="G366" s="2"/>
      <c r="H366" s="2"/>
      <c r="I366" s="19">
        <f>ABS(C366-ADC!I366)</f>
        <v>5.2783176142423116E-2</v>
      </c>
    </row>
    <row r="367" spans="1:9" x14ac:dyDescent="0.25">
      <c r="A367" s="5">
        <v>365</v>
      </c>
      <c r="B367" s="5">
        <f t="shared" si="10"/>
        <v>56.5</v>
      </c>
      <c r="C367" s="21">
        <f t="shared" si="11"/>
        <v>3.0416669999999999</v>
      </c>
      <c r="D367" s="16"/>
      <c r="E367" s="19">
        <f>(ADC!I367+5/3)/(1/12)</f>
        <v>57.141423099493799</v>
      </c>
      <c r="F367" s="20">
        <f>ABS(B367-E367)/B367</f>
        <v>1.1352621229978752E-2</v>
      </c>
      <c r="G367" s="2"/>
      <c r="H367" s="2"/>
      <c r="I367" s="19">
        <f>ABS(C367-ADC!I367)</f>
        <v>5.3451591624483097E-2</v>
      </c>
    </row>
    <row r="368" spans="1:9" x14ac:dyDescent="0.25">
      <c r="A368" s="5">
        <v>366</v>
      </c>
      <c r="B368" s="5">
        <f t="shared" si="10"/>
        <v>56.6</v>
      </c>
      <c r="C368" s="21">
        <f t="shared" si="11"/>
        <v>3.05</v>
      </c>
      <c r="D368" s="16"/>
      <c r="E368" s="19">
        <f>(ADC!I368+5/3)/(1/12)</f>
        <v>57.249645482277217</v>
      </c>
      <c r="F368" s="20">
        <f>ABS(B368-E368)/B368</f>
        <v>1.1477835375922528E-2</v>
      </c>
      <c r="G368" s="2"/>
      <c r="H368" s="2"/>
      <c r="I368" s="19">
        <f>ABS(C368-ADC!I368)</f>
        <v>5.4137123523100961E-2</v>
      </c>
    </row>
    <row r="369" spans="1:9" x14ac:dyDescent="0.25">
      <c r="A369" s="5">
        <v>367</v>
      </c>
      <c r="B369" s="5">
        <f t="shared" si="10"/>
        <v>56.7</v>
      </c>
      <c r="C369" s="21">
        <f t="shared" si="11"/>
        <v>3.0583330000000002</v>
      </c>
      <c r="D369" s="16"/>
      <c r="E369" s="19">
        <f>(ADC!I369+5/3)/(1/12)</f>
        <v>57.358059832763495</v>
      </c>
      <c r="F369" s="20">
        <f>ABS(B369-E369)/B369</f>
        <v>1.1605993523165638E-2</v>
      </c>
      <c r="G369" s="2"/>
      <c r="H369" s="2"/>
      <c r="I369" s="19">
        <f>ABS(C369-ADC!I369)</f>
        <v>5.4838652730290871E-2</v>
      </c>
    </row>
    <row r="370" spans="1:9" x14ac:dyDescent="0.25">
      <c r="A370" s="5">
        <v>368</v>
      </c>
      <c r="B370" s="5">
        <f t="shared" si="10"/>
        <v>56.800000000000004</v>
      </c>
      <c r="C370" s="21">
        <f t="shared" si="11"/>
        <v>3.0666669999999998</v>
      </c>
      <c r="D370" s="16"/>
      <c r="E370" s="19">
        <f>(ADC!I370+5/3)/(1/12)</f>
        <v>57.466664731083945</v>
      </c>
      <c r="F370" s="20">
        <f>ABS(B370-E370)/B370</f>
        <v>1.1737055124717267E-2</v>
      </c>
      <c r="G370" s="2"/>
      <c r="H370" s="2"/>
      <c r="I370" s="19">
        <f>ABS(C370-ADC!I370)</f>
        <v>5.5555060923661692E-2</v>
      </c>
    </row>
    <row r="371" spans="1:9" x14ac:dyDescent="0.25">
      <c r="A371" s="5">
        <v>369</v>
      </c>
      <c r="B371" s="5">
        <f t="shared" si="10"/>
        <v>56.9</v>
      </c>
      <c r="C371" s="21">
        <f t="shared" si="11"/>
        <v>3.0750000000000002</v>
      </c>
      <c r="D371" s="16"/>
      <c r="E371" s="19">
        <f>(ADC!I371+5/3)/(1/12)</f>
        <v>57.575458761908941</v>
      </c>
      <c r="F371" s="20">
        <f>ABS(B371-E371)/B371</f>
        <v>1.1870979998399684E-2</v>
      </c>
      <c r="G371" s="2"/>
      <c r="H371" s="2"/>
      <c r="I371" s="19">
        <f>ABS(C371-ADC!I371)</f>
        <v>5.6288230159078356E-2</v>
      </c>
    </row>
    <row r="372" spans="1:9" x14ac:dyDescent="0.25">
      <c r="A372" s="5">
        <v>370</v>
      </c>
      <c r="B372" s="5">
        <f t="shared" si="10"/>
        <v>57</v>
      </c>
      <c r="C372" s="21">
        <f t="shared" si="11"/>
        <v>3.0833330000000001</v>
      </c>
      <c r="D372" s="16"/>
      <c r="E372" s="19">
        <f>(ADC!I372+5/3)/(1/12)</f>
        <v>57.684440501441934</v>
      </c>
      <c r="F372" s="20">
        <f>ABS(B372-E372)/B372</f>
        <v>1.2007728095472521E-2</v>
      </c>
      <c r="G372" s="2"/>
      <c r="H372" s="2"/>
      <c r="I372" s="19">
        <f>ABS(C372-ADC!I372)</f>
        <v>5.7037041786827114E-2</v>
      </c>
    </row>
    <row r="373" spans="1:9" x14ac:dyDescent="0.25">
      <c r="A373" s="5">
        <v>371</v>
      </c>
      <c r="B373" s="5">
        <f t="shared" si="10"/>
        <v>57.1</v>
      </c>
      <c r="C373" s="21">
        <f t="shared" si="11"/>
        <v>3.0916670000000002</v>
      </c>
      <c r="D373" s="16"/>
      <c r="E373" s="19">
        <f>(ADC!I373+5/3)/(1/12)</f>
        <v>57.793608534178929</v>
      </c>
      <c r="F373" s="20">
        <f>ABS(B373-E373)/B373</f>
        <v>1.2147259792975972E-2</v>
      </c>
      <c r="G373" s="2"/>
      <c r="H373" s="2"/>
      <c r="I373" s="19">
        <f>ABS(C373-ADC!I373)</f>
        <v>5.7800377848243656E-2</v>
      </c>
    </row>
    <row r="374" spans="1:9" x14ac:dyDescent="0.25">
      <c r="A374" s="5">
        <v>372</v>
      </c>
      <c r="B374" s="5">
        <f t="shared" si="10"/>
        <v>57.2</v>
      </c>
      <c r="C374" s="21">
        <f t="shared" si="11"/>
        <v>3.1</v>
      </c>
      <c r="D374" s="16"/>
      <c r="E374" s="19">
        <f>(ADC!I374+5/3)/(1/12)</f>
        <v>57.902961439989248</v>
      </c>
      <c r="F374" s="20">
        <f>ABS(B374-E374)/B374</f>
        <v>1.2289535664147642E-2</v>
      </c>
      <c r="G374" s="2"/>
      <c r="H374" s="2"/>
      <c r="I374" s="19">
        <f>ABS(C374-ADC!I374)</f>
        <v>5.8580119999104063E-2</v>
      </c>
    </row>
    <row r="375" spans="1:9" x14ac:dyDescent="0.25">
      <c r="A375" s="5">
        <v>373</v>
      </c>
      <c r="B375" s="5">
        <f t="shared" si="10"/>
        <v>57.300000000000004</v>
      </c>
      <c r="C375" s="21">
        <f t="shared" si="11"/>
        <v>3.108333</v>
      </c>
      <c r="D375" s="16"/>
      <c r="E375" s="19">
        <f>(ADC!I375+5/3)/(1/12)</f>
        <v>58.005372416379991</v>
      </c>
      <c r="F375" s="20">
        <f>ABS(B375-E375)/B375</f>
        <v>1.2310164334729267E-2</v>
      </c>
      <c r="G375" s="2"/>
      <c r="H375" s="2"/>
      <c r="I375" s="19">
        <f>ABS(C375-ADC!I375)</f>
        <v>5.8781368031665338E-2</v>
      </c>
    </row>
    <row r="376" spans="1:9" x14ac:dyDescent="0.25">
      <c r="A376" s="5">
        <v>374</v>
      </c>
      <c r="B376" s="5">
        <f t="shared" si="10"/>
        <v>57.4</v>
      </c>
      <c r="C376" s="21">
        <f t="shared" si="11"/>
        <v>3.1166670000000001</v>
      </c>
      <c r="D376" s="16"/>
      <c r="E376" s="19">
        <f>(ADC!I376+5/3)/(1/12)</f>
        <v>58.1151038245427</v>
      </c>
      <c r="F376" s="20">
        <f>ABS(B376-E376)/B376</f>
        <v>1.2458254782973898E-2</v>
      </c>
      <c r="G376" s="2"/>
      <c r="H376" s="2"/>
      <c r="I376" s="19">
        <f>ABS(C376-ADC!I376)</f>
        <v>5.9591652045224652E-2</v>
      </c>
    </row>
    <row r="377" spans="1:9" x14ac:dyDescent="0.25">
      <c r="A377" s="5">
        <v>375</v>
      </c>
      <c r="B377" s="5">
        <f t="shared" si="10"/>
        <v>57.5</v>
      </c>
      <c r="C377" s="21">
        <f t="shared" si="11"/>
        <v>3.125</v>
      </c>
      <c r="D377" s="16"/>
      <c r="E377" s="19">
        <f>(ADC!I377+5/3)/(1/12)</f>
        <v>58.217916493774872</v>
      </c>
      <c r="F377" s="20">
        <f>ABS(B377-E377)/B377</f>
        <v>1.2485504239562998E-2</v>
      </c>
      <c r="G377" s="2"/>
      <c r="H377" s="2"/>
      <c r="I377" s="19">
        <f>ABS(C377-ADC!I377)</f>
        <v>5.9826374481239508E-2</v>
      </c>
    </row>
    <row r="378" spans="1:9" x14ac:dyDescent="0.25">
      <c r="A378" s="5">
        <v>376</v>
      </c>
      <c r="B378" s="5">
        <f t="shared" si="10"/>
        <v>57.6</v>
      </c>
      <c r="C378" s="21">
        <f t="shared" si="11"/>
        <v>3.1333329999999999</v>
      </c>
      <c r="D378" s="16"/>
      <c r="E378" s="19">
        <f>(ADC!I378+5/3)/(1/12)</f>
        <v>58.335107068821991</v>
      </c>
      <c r="F378" s="20">
        <f>ABS(B378-E378)/B378</f>
        <v>1.2762275500381757E-2</v>
      </c>
      <c r="G378" s="2"/>
      <c r="H378" s="2"/>
      <c r="I378" s="19">
        <f>ABS(C378-ADC!I378)</f>
        <v>6.1259255735165663E-2</v>
      </c>
    </row>
    <row r="379" spans="1:9" x14ac:dyDescent="0.25">
      <c r="A379" s="5">
        <v>377</v>
      </c>
      <c r="B379" s="5">
        <f t="shared" si="10"/>
        <v>57.7</v>
      </c>
      <c r="C379" s="21">
        <f t="shared" si="11"/>
        <v>3.141667</v>
      </c>
      <c r="D379" s="16"/>
      <c r="E379" s="19">
        <f>(ADC!I379+5/3)/(1/12)</f>
        <v>58.445376068780192</v>
      </c>
      <c r="F379" s="20">
        <f>ABS(B379-E379)/B379</f>
        <v>1.2918129441597728E-2</v>
      </c>
      <c r="G379" s="2"/>
      <c r="H379" s="2"/>
      <c r="I379" s="19">
        <f>ABS(C379-ADC!I379)</f>
        <v>6.2114339065015844E-2</v>
      </c>
    </row>
    <row r="380" spans="1:9" x14ac:dyDescent="0.25">
      <c r="A380" s="5">
        <v>378</v>
      </c>
      <c r="B380" s="5">
        <f t="shared" si="10"/>
        <v>57.800000000000004</v>
      </c>
      <c r="C380" s="21">
        <f t="shared" si="11"/>
        <v>3.15</v>
      </c>
      <c r="D380" s="16"/>
      <c r="E380" s="19">
        <f>(ADC!I380+5/3)/(1/12)</f>
        <v>58.548761037765495</v>
      </c>
      <c r="F380" s="20">
        <f>ABS(B380-E380)/B380</f>
        <v>1.2954343213935817E-2</v>
      </c>
      <c r="G380" s="2"/>
      <c r="H380" s="2"/>
      <c r="I380" s="19">
        <f>ABS(C380-ADC!I380)</f>
        <v>6.239675314712434E-2</v>
      </c>
    </row>
    <row r="381" spans="1:9" x14ac:dyDescent="0.25">
      <c r="A381" s="5">
        <v>379</v>
      </c>
      <c r="B381" s="5">
        <f t="shared" si="10"/>
        <v>57.9</v>
      </c>
      <c r="C381" s="21">
        <f t="shared" si="11"/>
        <v>3.1583329999999998</v>
      </c>
      <c r="D381" s="16"/>
      <c r="E381" s="19">
        <f>(ADC!I381+5/3)/(1/12)</f>
        <v>58.659394328471031</v>
      </c>
      <c r="F381" s="20">
        <f>ABS(B381-E381)/B381</f>
        <v>1.3115618799154268E-2</v>
      </c>
      <c r="G381" s="2"/>
      <c r="H381" s="2"/>
      <c r="I381" s="19">
        <f>ABS(C381-ADC!I381)</f>
        <v>6.3283194039252422E-2</v>
      </c>
    </row>
    <row r="382" spans="1:9" x14ac:dyDescent="0.25">
      <c r="A382" s="5">
        <v>380</v>
      </c>
      <c r="B382" s="5">
        <f t="shared" si="10"/>
        <v>58</v>
      </c>
      <c r="C382" s="21">
        <f t="shared" si="11"/>
        <v>3.1666669999999999</v>
      </c>
      <c r="D382" s="16"/>
      <c r="E382" s="19">
        <f>(ADC!I382+5/3)/(1/12)</f>
        <v>58.770201154163495</v>
      </c>
      <c r="F382" s="20">
        <f>ABS(B382-E382)/B382</f>
        <v>1.3279330244198181E-2</v>
      </c>
      <c r="G382" s="2"/>
      <c r="H382" s="2"/>
      <c r="I382" s="19">
        <f>ABS(C382-ADC!I382)</f>
        <v>6.4183096180290722E-2</v>
      </c>
    </row>
    <row r="383" spans="1:9" x14ac:dyDescent="0.25">
      <c r="A383" s="5">
        <v>381</v>
      </c>
      <c r="B383" s="5">
        <f t="shared" si="10"/>
        <v>58.1</v>
      </c>
      <c r="C383" s="21">
        <f t="shared" si="11"/>
        <v>3.1749999999999998</v>
      </c>
      <c r="D383" s="16"/>
      <c r="E383" s="19">
        <f>(ADC!I383+5/3)/(1/12)</f>
        <v>58.874158594602392</v>
      </c>
      <c r="F383" s="20">
        <f>ABS(B383-E383)/B383</f>
        <v>1.3324588547373327E-2</v>
      </c>
      <c r="G383" s="2"/>
      <c r="H383" s="2"/>
      <c r="I383" s="19">
        <f>ABS(C383-ADC!I383)</f>
        <v>6.4513216216866009E-2</v>
      </c>
    </row>
    <row r="384" spans="1:9" x14ac:dyDescent="0.25">
      <c r="A384" s="5">
        <v>382</v>
      </c>
      <c r="B384" s="5">
        <f t="shared" si="10"/>
        <v>58.2</v>
      </c>
      <c r="C384" s="21">
        <f t="shared" si="11"/>
        <v>3.1833330000000002</v>
      </c>
      <c r="D384" s="16"/>
      <c r="E384" s="19">
        <f>(ADC!I384+5/3)/(1/12)</f>
        <v>58.985321192703353</v>
      </c>
      <c r="F384" s="20">
        <f>ABS(B384-E384)/B384</f>
        <v>1.3493491283562711E-2</v>
      </c>
      <c r="G384" s="2"/>
      <c r="H384" s="2"/>
      <c r="I384" s="19">
        <f>ABS(C384-ADC!I384)</f>
        <v>6.5443766058612685E-2</v>
      </c>
    </row>
    <row r="385" spans="1:9" x14ac:dyDescent="0.25">
      <c r="A385" s="5">
        <v>383</v>
      </c>
      <c r="B385" s="5">
        <f t="shared" si="10"/>
        <v>58.300000000000004</v>
      </c>
      <c r="C385" s="21">
        <f t="shared" si="11"/>
        <v>3.1916669999999998</v>
      </c>
      <c r="D385" s="16"/>
      <c r="E385" s="19">
        <f>(ADC!I385+5/3)/(1/12)</f>
        <v>59.089657468420896</v>
      </c>
      <c r="F385" s="20">
        <f>ABS(B385-E385)/B385</f>
        <v>1.3544725015795737E-2</v>
      </c>
      <c r="G385" s="2"/>
      <c r="H385" s="2"/>
      <c r="I385" s="19">
        <f>ABS(C385-ADC!I385)</f>
        <v>6.5804455701741205E-2</v>
      </c>
    </row>
    <row r="386" spans="1:9" x14ac:dyDescent="0.25">
      <c r="A386" s="5">
        <v>384</v>
      </c>
      <c r="B386" s="5">
        <f t="shared" si="10"/>
        <v>58.400000000000006</v>
      </c>
      <c r="C386" s="21">
        <f t="shared" si="11"/>
        <v>3.2</v>
      </c>
      <c r="D386" s="16"/>
      <c r="E386" s="19">
        <f>(ADC!I386+5/3)/(1/12)</f>
        <v>59.194187492569192</v>
      </c>
      <c r="F386" s="20">
        <f>ABS(B386-E386)/B386</f>
        <v>1.3599100900157299E-2</v>
      </c>
      <c r="G386" s="2"/>
      <c r="H386" s="2"/>
      <c r="I386" s="19">
        <f>ABS(C386-ADC!I386)</f>
        <v>6.6182291047431896E-2</v>
      </c>
    </row>
    <row r="387" spans="1:9" x14ac:dyDescent="0.25">
      <c r="A387" s="5">
        <v>385</v>
      </c>
      <c r="B387" s="5">
        <f t="shared" ref="B387:B450" si="12">0.1*A387+20</f>
        <v>58.5</v>
      </c>
      <c r="C387" s="21">
        <f t="shared" ref="C387:C450" si="13">ROUND(1/12*B387-5/3,6)</f>
        <v>3.2083330000000001</v>
      </c>
      <c r="D387" s="16"/>
      <c r="E387" s="19">
        <f>(ADC!I387+5/3)/(1/12)</f>
        <v>59.305879562521085</v>
      </c>
      <c r="F387" s="20">
        <f>ABS(B387-E387)/B387</f>
        <v>1.3775719017454441E-2</v>
      </c>
      <c r="G387" s="2"/>
      <c r="H387" s="2"/>
      <c r="I387" s="19">
        <f>ABS(C387-ADC!I387)</f>
        <v>6.7156963543423487E-2</v>
      </c>
    </row>
    <row r="388" spans="1:9" x14ac:dyDescent="0.25">
      <c r="A388" s="5">
        <v>386</v>
      </c>
      <c r="B388" s="5">
        <f t="shared" si="12"/>
        <v>58.6</v>
      </c>
      <c r="C388" s="21">
        <f t="shared" si="13"/>
        <v>3.2166670000000002</v>
      </c>
      <c r="D388" s="16"/>
      <c r="E388" s="19">
        <f>(ADC!I388+5/3)/(1/12)</f>
        <v>59.410779851758633</v>
      </c>
      <c r="F388" s="20">
        <f>ABS(B388-E388)/B388</f>
        <v>1.3835833647758221E-2</v>
      </c>
      <c r="G388" s="2"/>
      <c r="H388" s="2"/>
      <c r="I388" s="19">
        <f>ABS(C388-ADC!I388)</f>
        <v>6.7564654313219119E-2</v>
      </c>
    </row>
    <row r="389" spans="1:9" x14ac:dyDescent="0.25">
      <c r="A389" s="5">
        <v>387</v>
      </c>
      <c r="B389" s="5">
        <f t="shared" si="12"/>
        <v>58.7</v>
      </c>
      <c r="C389" s="21">
        <f t="shared" si="13"/>
        <v>3.2250000000000001</v>
      </c>
      <c r="D389" s="16"/>
      <c r="E389" s="19">
        <f>(ADC!I389+5/3)/(1/12)</f>
        <v>59.529757437686122</v>
      </c>
      <c r="F389" s="20">
        <f>ABS(B389-E389)/B389</f>
        <v>1.4135561119013955E-2</v>
      </c>
      <c r="G389" s="2"/>
      <c r="H389" s="2"/>
      <c r="I389" s="19">
        <f>ABS(C389-ADC!I389)</f>
        <v>6.9146453140509934E-2</v>
      </c>
    </row>
    <row r="390" spans="1:9" x14ac:dyDescent="0.25">
      <c r="A390" s="5">
        <v>388</v>
      </c>
      <c r="B390" s="5">
        <f t="shared" si="12"/>
        <v>58.800000000000004</v>
      </c>
      <c r="C390" s="21">
        <f t="shared" si="13"/>
        <v>3.233333</v>
      </c>
      <c r="D390" s="16"/>
      <c r="E390" s="19">
        <f>(ADC!I390+5/3)/(1/12)</f>
        <v>59.62807836347681</v>
      </c>
      <c r="F390" s="20">
        <f>ABS(B390-E390)/B390</f>
        <v>1.4082965365251795E-2</v>
      </c>
      <c r="G390" s="2"/>
      <c r="H390" s="2"/>
      <c r="I390" s="19">
        <f>ABS(C390-ADC!I390)</f>
        <v>6.9006863623067627E-2</v>
      </c>
    </row>
    <row r="391" spans="1:9" x14ac:dyDescent="0.25">
      <c r="A391" s="5">
        <v>389</v>
      </c>
      <c r="B391" s="5">
        <f t="shared" si="12"/>
        <v>58.900000000000006</v>
      </c>
      <c r="C391" s="21">
        <f t="shared" si="13"/>
        <v>3.2416670000000001</v>
      </c>
      <c r="D391" s="16"/>
      <c r="E391" s="19">
        <f>(ADC!I391+5/3)/(1/12)</f>
        <v>59.733529820377669</v>
      </c>
      <c r="F391" s="20">
        <f>ABS(B391-E391)/B391</f>
        <v>1.4151609853610577E-2</v>
      </c>
      <c r="G391" s="2"/>
      <c r="H391" s="2"/>
      <c r="I391" s="19">
        <f>ABS(C391-ADC!I391)</f>
        <v>6.946048503147173E-2</v>
      </c>
    </row>
    <row r="392" spans="1:9" x14ac:dyDescent="0.25">
      <c r="A392" s="5">
        <v>390</v>
      </c>
      <c r="B392" s="5">
        <f t="shared" si="12"/>
        <v>59</v>
      </c>
      <c r="C392" s="21">
        <f t="shared" si="13"/>
        <v>3.25</v>
      </c>
      <c r="D392" s="16"/>
      <c r="E392" s="19">
        <f>(ADC!I392+5/3)/(1/12)</f>
        <v>59.839166441727926</v>
      </c>
      <c r="F392" s="20">
        <f>ABS(B392-E392)/B392</f>
        <v>1.4223160029286879E-2</v>
      </c>
      <c r="G392" s="2"/>
      <c r="H392" s="2"/>
      <c r="I392" s="19">
        <f>ABS(C392-ADC!I392)</f>
        <v>6.9930536810660193E-2</v>
      </c>
    </row>
    <row r="393" spans="1:9" x14ac:dyDescent="0.25">
      <c r="A393" s="5">
        <v>391</v>
      </c>
      <c r="B393" s="5">
        <f t="shared" si="12"/>
        <v>59.1</v>
      </c>
      <c r="C393" s="21">
        <f t="shared" si="13"/>
        <v>3.2583329999999999</v>
      </c>
      <c r="D393" s="16"/>
      <c r="E393" s="19">
        <f>(ADC!I393+5/3)/(1/12)</f>
        <v>59.951879161090559</v>
      </c>
      <c r="F393" s="20">
        <f>ABS(B393-E393)/B393</f>
        <v>1.4414199003224333E-2</v>
      </c>
      <c r="G393" s="2"/>
      <c r="H393" s="2"/>
      <c r="I393" s="19">
        <f>ABS(C393-ADC!I393)</f>
        <v>7.0990263424212774E-2</v>
      </c>
    </row>
    <row r="394" spans="1:9" x14ac:dyDescent="0.25">
      <c r="A394" s="5">
        <v>392</v>
      </c>
      <c r="B394" s="5">
        <f t="shared" si="12"/>
        <v>59.2</v>
      </c>
      <c r="C394" s="21">
        <f t="shared" si="13"/>
        <v>3.266667</v>
      </c>
      <c r="D394" s="16"/>
      <c r="E394" s="19">
        <f>(ADC!I394+5/3)/(1/12)</f>
        <v>60.057868959089269</v>
      </c>
      <c r="F394" s="20">
        <f>ABS(B394-E394)/B394</f>
        <v>1.4491029714345717E-2</v>
      </c>
      <c r="G394" s="2"/>
      <c r="H394" s="2"/>
      <c r="I394" s="19">
        <f>ABS(C394-ADC!I394)</f>
        <v>7.1488746590771868E-2</v>
      </c>
    </row>
    <row r="395" spans="1:9" x14ac:dyDescent="0.25">
      <c r="A395" s="5">
        <v>393</v>
      </c>
      <c r="B395" s="5">
        <f t="shared" si="12"/>
        <v>59.300000000000004</v>
      </c>
      <c r="C395" s="21">
        <f t="shared" si="13"/>
        <v>3.2749999999999999</v>
      </c>
      <c r="D395" s="16"/>
      <c r="E395" s="19">
        <f>(ADC!I395+5/3)/(1/12)</f>
        <v>60.164039644211549</v>
      </c>
      <c r="F395" s="20">
        <f>ABS(B395-E395)/B395</f>
        <v>1.4570651673044594E-2</v>
      </c>
      <c r="G395" s="2"/>
      <c r="H395" s="2"/>
      <c r="I395" s="19">
        <f>ABS(C395-ADC!I395)</f>
        <v>7.2003303684295528E-2</v>
      </c>
    </row>
    <row r="396" spans="1:9" x14ac:dyDescent="0.25">
      <c r="A396" s="5">
        <v>394</v>
      </c>
      <c r="B396" s="5">
        <f t="shared" si="12"/>
        <v>59.400000000000006</v>
      </c>
      <c r="C396" s="21">
        <f t="shared" si="13"/>
        <v>3.2833329999999998</v>
      </c>
      <c r="D396" s="16"/>
      <c r="E396" s="19">
        <f>(ADC!I396+5/3)/(1/12)</f>
        <v>60.270389791700474</v>
      </c>
      <c r="F396" s="20">
        <f>ABS(B396-E396)/B396</f>
        <v>1.4653026796304177E-2</v>
      </c>
      <c r="G396" s="2"/>
      <c r="H396" s="2"/>
      <c r="I396" s="19">
        <f>ABS(C396-ADC!I396)</f>
        <v>7.2532815975039799E-2</v>
      </c>
    </row>
    <row r="397" spans="1:9" x14ac:dyDescent="0.25">
      <c r="A397" s="5">
        <v>395</v>
      </c>
      <c r="B397" s="5">
        <f t="shared" si="12"/>
        <v>59.5</v>
      </c>
      <c r="C397" s="21">
        <f t="shared" si="13"/>
        <v>3.2916669999999999</v>
      </c>
      <c r="D397" s="16"/>
      <c r="E397" s="19">
        <f>(ADC!I397+5/3)/(1/12)</f>
        <v>60.376917976886403</v>
      </c>
      <c r="F397" s="20">
        <f>ABS(B397-E397)/B397</f>
        <v>1.4738117258595017E-2</v>
      </c>
      <c r="G397" s="2"/>
      <c r="H397" s="2"/>
      <c r="I397" s="19">
        <f>ABS(C397-ADC!I397)</f>
        <v>7.3076164740533578E-2</v>
      </c>
    </row>
    <row r="398" spans="1:9" x14ac:dyDescent="0.25">
      <c r="A398" s="5">
        <v>396</v>
      </c>
      <c r="B398" s="5">
        <f t="shared" si="12"/>
        <v>59.6</v>
      </c>
      <c r="C398" s="21">
        <f t="shared" si="13"/>
        <v>3.3</v>
      </c>
      <c r="D398" s="16"/>
      <c r="E398" s="19">
        <f>(ADC!I398+5/3)/(1/12)</f>
        <v>60.48362277012432</v>
      </c>
      <c r="F398" s="20">
        <f>ABS(B398-E398)/B398</f>
        <v>1.482588540477045E-2</v>
      </c>
      <c r="G398" s="2"/>
      <c r="H398" s="2"/>
      <c r="I398" s="19">
        <f>ABS(C398-ADC!I398)</f>
        <v>7.3635230843693389E-2</v>
      </c>
    </row>
    <row r="399" spans="1:9" x14ac:dyDescent="0.25">
      <c r="A399" s="5">
        <v>397</v>
      </c>
      <c r="B399" s="5">
        <f t="shared" si="12"/>
        <v>59.7</v>
      </c>
      <c r="C399" s="21">
        <f t="shared" si="13"/>
        <v>3.3083330000000002</v>
      </c>
      <c r="D399" s="16"/>
      <c r="E399" s="19">
        <f>(ADC!I399+5/3)/(1/12)</f>
        <v>60.590502753116674</v>
      </c>
      <c r="F399" s="20">
        <f>ABS(B399-E399)/B399</f>
        <v>1.4916294022054789E-2</v>
      </c>
      <c r="G399" s="2"/>
      <c r="H399" s="2"/>
      <c r="I399" s="19">
        <f>ABS(C399-ADC!I399)</f>
        <v>7.4208896093055365E-2</v>
      </c>
    </row>
    <row r="400" spans="1:9" x14ac:dyDescent="0.25">
      <c r="A400" s="5">
        <v>398</v>
      </c>
      <c r="B400" s="5">
        <f t="shared" si="12"/>
        <v>59.800000000000004</v>
      </c>
      <c r="C400" s="21">
        <f t="shared" si="13"/>
        <v>3.3166669999999998</v>
      </c>
      <c r="D400" s="16"/>
      <c r="E400" s="19">
        <f>(ADC!I400+5/3)/(1/12)</f>
        <v>60.704359003548795</v>
      </c>
      <c r="F400" s="20">
        <f>ABS(B400-E400)/B400</f>
        <v>1.5123060260013225E-2</v>
      </c>
      <c r="G400" s="2"/>
      <c r="H400" s="2"/>
      <c r="I400" s="19">
        <f>ABS(C400-ADC!I400)</f>
        <v>7.536291696239994E-2</v>
      </c>
    </row>
    <row r="401" spans="1:9" x14ac:dyDescent="0.25">
      <c r="A401" s="5">
        <v>399</v>
      </c>
      <c r="B401" s="5">
        <f t="shared" si="12"/>
        <v>59.900000000000006</v>
      </c>
      <c r="C401" s="21">
        <f t="shared" si="13"/>
        <v>3.3250000000000002</v>
      </c>
      <c r="D401" s="16"/>
      <c r="E401" s="19">
        <f>(ADC!I401+5/3)/(1/12)</f>
        <v>60.81157229602784</v>
      </c>
      <c r="F401" s="20">
        <f>ABS(B401-E401)/B401</f>
        <v>1.5218235326007256E-2</v>
      </c>
      <c r="G401" s="2"/>
      <c r="H401" s="2"/>
      <c r="I401" s="19">
        <f>ABS(C401-ADC!I401)</f>
        <v>7.5964358002319265E-2</v>
      </c>
    </row>
    <row r="402" spans="1:9" x14ac:dyDescent="0.25">
      <c r="A402" s="5">
        <v>400</v>
      </c>
      <c r="B402" s="5">
        <f t="shared" si="12"/>
        <v>60</v>
      </c>
      <c r="C402" s="21">
        <f t="shared" si="13"/>
        <v>3.3333330000000001</v>
      </c>
      <c r="D402" s="16"/>
      <c r="E402" s="19">
        <f>(ADC!I402+5/3)/(1/12)</f>
        <v>60.912179604574675</v>
      </c>
      <c r="F402" s="20">
        <f>ABS(B402-E402)/B402</f>
        <v>1.5202993409577915E-2</v>
      </c>
      <c r="G402" s="2"/>
      <c r="H402" s="2"/>
      <c r="I402" s="19">
        <f>ABS(C402-ADC!I402)</f>
        <v>7.6015300381222506E-2</v>
      </c>
    </row>
    <row r="403" spans="1:9" x14ac:dyDescent="0.25">
      <c r="A403" s="5">
        <v>401</v>
      </c>
      <c r="B403" s="5">
        <f t="shared" si="12"/>
        <v>60.1</v>
      </c>
      <c r="C403" s="21">
        <f t="shared" si="13"/>
        <v>3.3416670000000002</v>
      </c>
      <c r="D403" s="16"/>
      <c r="E403" s="19">
        <f>(ADC!I403+5/3)/(1/12)</f>
        <v>61.019746120053476</v>
      </c>
      <c r="F403" s="20">
        <f>ABS(B403-E403)/B403</f>
        <v>1.5303596007545335E-2</v>
      </c>
      <c r="G403" s="2"/>
      <c r="H403" s="2"/>
      <c r="I403" s="19">
        <f>ABS(C403-ADC!I403)</f>
        <v>7.664517667112225E-2</v>
      </c>
    </row>
    <row r="404" spans="1:9" x14ac:dyDescent="0.25">
      <c r="A404" s="5">
        <v>402</v>
      </c>
      <c r="B404" s="5">
        <f t="shared" si="12"/>
        <v>60.2</v>
      </c>
      <c r="C404" s="21">
        <f t="shared" si="13"/>
        <v>3.35</v>
      </c>
      <c r="D404" s="16"/>
      <c r="E404" s="19">
        <f>(ADC!I404+5/3)/(1/12)</f>
        <v>61.127480727514865</v>
      </c>
      <c r="F404" s="20">
        <f>ABS(B404-E404)/B404</f>
        <v>1.5406656603236906E-2</v>
      </c>
      <c r="G404" s="2"/>
      <c r="H404" s="2"/>
      <c r="I404" s="19">
        <f>ABS(C404-ADC!I404)</f>
        <v>7.7290060626238333E-2</v>
      </c>
    </row>
    <row r="405" spans="1:9" x14ac:dyDescent="0.25">
      <c r="A405" s="5">
        <v>403</v>
      </c>
      <c r="B405" s="5">
        <f t="shared" si="12"/>
        <v>60.300000000000004</v>
      </c>
      <c r="C405" s="21">
        <f t="shared" si="13"/>
        <v>3.358333</v>
      </c>
      <c r="D405" s="16"/>
      <c r="E405" s="19">
        <f>(ADC!I405+5/3)/(1/12)</f>
        <v>61.228643416543129</v>
      </c>
      <c r="F405" s="20">
        <f>ABS(B405-E405)/B405</f>
        <v>1.5400388334048498E-2</v>
      </c>
      <c r="G405" s="2"/>
      <c r="H405" s="2"/>
      <c r="I405" s="19">
        <f>ABS(C405-ADC!I405)</f>
        <v>7.7387284711926796E-2</v>
      </c>
    </row>
    <row r="406" spans="1:9" x14ac:dyDescent="0.25">
      <c r="A406" s="5">
        <v>404</v>
      </c>
      <c r="B406" s="5">
        <f t="shared" si="12"/>
        <v>60.400000000000006</v>
      </c>
      <c r="C406" s="21">
        <f t="shared" si="13"/>
        <v>3.3666670000000001</v>
      </c>
      <c r="D406" s="16"/>
      <c r="E406" s="19">
        <f>(ADC!I406+5/3)/(1/12)</f>
        <v>61.329996874338029</v>
      </c>
      <c r="F406" s="20">
        <f>ABS(B406-E406)/B406</f>
        <v>1.5397299244007007E-2</v>
      </c>
      <c r="G406" s="2"/>
      <c r="H406" s="2"/>
      <c r="I406" s="19">
        <f>ABS(C406-ADC!I406)</f>
        <v>7.749940619483553E-2</v>
      </c>
    </row>
    <row r="407" spans="1:9" x14ac:dyDescent="0.25">
      <c r="A407" s="5">
        <v>405</v>
      </c>
      <c r="B407" s="5">
        <f t="shared" si="12"/>
        <v>60.5</v>
      </c>
      <c r="C407" s="21">
        <f t="shared" si="13"/>
        <v>3.375</v>
      </c>
      <c r="D407" s="16"/>
      <c r="E407" s="19">
        <f>(ADC!I407+5/3)/(1/12)</f>
        <v>61.438252724679998</v>
      </c>
      <c r="F407" s="20">
        <f>ABS(B407-E407)/B407</f>
        <v>1.5508309498842944E-2</v>
      </c>
      <c r="G407" s="2"/>
      <c r="H407" s="2"/>
      <c r="I407" s="19">
        <f>ABS(C407-ADC!I407)</f>
        <v>7.8187727056666656E-2</v>
      </c>
    </row>
    <row r="408" spans="1:9" x14ac:dyDescent="0.25">
      <c r="A408" s="5">
        <v>406</v>
      </c>
      <c r="B408" s="5">
        <f t="shared" si="12"/>
        <v>60.6</v>
      </c>
      <c r="C408" s="21">
        <f t="shared" si="13"/>
        <v>3.3833329999999999</v>
      </c>
      <c r="D408" s="16"/>
      <c r="E408" s="19">
        <f>(ADC!I408+5/3)/(1/12)</f>
        <v>61.546670988053847</v>
      </c>
      <c r="F408" s="20">
        <f>ABS(B408-E408)/B408</f>
        <v>1.5621633466235081E-2</v>
      </c>
      <c r="G408" s="2"/>
      <c r="H408" s="2"/>
      <c r="I408" s="19">
        <f>ABS(C408-ADC!I408)</f>
        <v>7.8889582337820396E-2</v>
      </c>
    </row>
    <row r="409" spans="1:9" x14ac:dyDescent="0.25">
      <c r="A409" s="5">
        <v>407</v>
      </c>
      <c r="B409" s="5">
        <f t="shared" si="12"/>
        <v>60.7</v>
      </c>
      <c r="C409" s="21">
        <f t="shared" si="13"/>
        <v>3.391667</v>
      </c>
      <c r="D409" s="16"/>
      <c r="E409" s="19">
        <f>(ADC!I409+5/3)/(1/12)</f>
        <v>61.648562627466731</v>
      </c>
      <c r="F409" s="20">
        <f>ABS(B409-E409)/B409</f>
        <v>1.5627061408018585E-2</v>
      </c>
      <c r="G409" s="2"/>
      <c r="H409" s="2"/>
      <c r="I409" s="19">
        <f>ABS(C409-ADC!I409)</f>
        <v>7.9046552288894123E-2</v>
      </c>
    </row>
    <row r="410" spans="1:9" x14ac:dyDescent="0.25">
      <c r="A410" s="5">
        <v>408</v>
      </c>
      <c r="B410" s="5">
        <f t="shared" si="12"/>
        <v>60.800000000000004</v>
      </c>
      <c r="C410" s="21">
        <f t="shared" si="13"/>
        <v>3.4</v>
      </c>
      <c r="D410" s="16"/>
      <c r="E410" s="19">
        <f>(ADC!I410+5/3)/(1/12)</f>
        <v>61.76398910960129</v>
      </c>
      <c r="F410" s="20">
        <f>ABS(B410-E410)/B410</f>
        <v>1.5855084039494836E-2</v>
      </c>
      <c r="G410" s="2"/>
      <c r="H410" s="2"/>
      <c r="I410" s="19">
        <f>ABS(C410-ADC!I410)</f>
        <v>8.0332425800107021E-2</v>
      </c>
    </row>
    <row r="411" spans="1:9" x14ac:dyDescent="0.25">
      <c r="A411" s="5">
        <v>409</v>
      </c>
      <c r="B411" s="5">
        <f t="shared" si="12"/>
        <v>60.900000000000006</v>
      </c>
      <c r="C411" s="21">
        <f t="shared" si="13"/>
        <v>3.4083329999999998</v>
      </c>
      <c r="D411" s="16"/>
      <c r="E411" s="19">
        <f>(ADC!I411+5/3)/(1/12)</f>
        <v>61.866223922249191</v>
      </c>
      <c r="F411" s="20">
        <f>ABS(B411-E411)/B411</f>
        <v>1.5865745849740306E-2</v>
      </c>
      <c r="G411" s="2"/>
      <c r="H411" s="2"/>
      <c r="I411" s="19">
        <f>ABS(C411-ADC!I411)</f>
        <v>8.0518993520766191E-2</v>
      </c>
    </row>
    <row r="412" spans="1:9" x14ac:dyDescent="0.25">
      <c r="A412" s="5">
        <v>410</v>
      </c>
      <c r="B412" s="5">
        <f t="shared" si="12"/>
        <v>61</v>
      </c>
      <c r="C412" s="21">
        <f t="shared" si="13"/>
        <v>3.4166669999999999</v>
      </c>
      <c r="D412" s="16"/>
      <c r="E412" s="19">
        <f>(ADC!I412+5/3)/(1/12)</f>
        <v>61.97529042469116</v>
      </c>
      <c r="F412" s="20">
        <f>ABS(B412-E412)/B412</f>
        <v>1.5988367617887866E-2</v>
      </c>
      <c r="G412" s="2"/>
      <c r="H412" s="2"/>
      <c r="I412" s="19">
        <f>ABS(C412-ADC!I412)</f>
        <v>8.1273868724263565E-2</v>
      </c>
    </row>
    <row r="413" spans="1:9" x14ac:dyDescent="0.25">
      <c r="A413" s="5">
        <v>411</v>
      </c>
      <c r="B413" s="5">
        <f t="shared" si="12"/>
        <v>61.1</v>
      </c>
      <c r="C413" s="21">
        <f t="shared" si="13"/>
        <v>3.4249999999999998</v>
      </c>
      <c r="D413" s="16"/>
      <c r="E413" s="19">
        <f>(ADC!I413+5/3)/(1/12)</f>
        <v>62.07787544052109</v>
      </c>
      <c r="F413" s="20">
        <f>ABS(B413-E413)/B413</f>
        <v>1.6004508028168395E-2</v>
      </c>
      <c r="G413" s="2"/>
      <c r="H413" s="2"/>
      <c r="I413" s="19">
        <f>ABS(C413-ADC!I413)</f>
        <v>8.1489620043424082E-2</v>
      </c>
    </row>
    <row r="414" spans="1:9" x14ac:dyDescent="0.25">
      <c r="A414" s="5">
        <v>412</v>
      </c>
      <c r="B414" s="5">
        <f t="shared" si="12"/>
        <v>61.2</v>
      </c>
      <c r="C414" s="21">
        <f t="shared" si="13"/>
        <v>3.4333330000000002</v>
      </c>
      <c r="D414" s="16"/>
      <c r="E414" s="19">
        <f>(ADC!I414+5/3)/(1/12)</f>
        <v>62.187263932432238</v>
      </c>
      <c r="F414" s="20">
        <f>ABS(B414-E414)/B414</f>
        <v>1.6131763601833903E-2</v>
      </c>
      <c r="G414" s="2"/>
      <c r="H414" s="2"/>
      <c r="I414" s="19">
        <f>ABS(C414-ADC!I414)</f>
        <v>8.2272327702685999E-2</v>
      </c>
    </row>
    <row r="415" spans="1:9" x14ac:dyDescent="0.25">
      <c r="A415" s="5">
        <v>413</v>
      </c>
      <c r="B415" s="5">
        <f t="shared" si="12"/>
        <v>61.300000000000004</v>
      </c>
      <c r="C415" s="21">
        <f t="shared" si="13"/>
        <v>3.4416669999999998</v>
      </c>
      <c r="D415" s="16"/>
      <c r="E415" s="19">
        <f>(ADC!I415+5/3)/(1/12)</f>
        <v>62.290193454511865</v>
      </c>
      <c r="F415" s="20">
        <f>ABS(B415-E415)/B415</f>
        <v>1.6153237430862326E-2</v>
      </c>
      <c r="G415" s="2"/>
      <c r="H415" s="2"/>
      <c r="I415" s="19">
        <f>ABS(C415-ADC!I415)</f>
        <v>8.2515787875988789E-2</v>
      </c>
    </row>
    <row r="416" spans="1:9" x14ac:dyDescent="0.25">
      <c r="A416" s="5">
        <v>414</v>
      </c>
      <c r="B416" s="5">
        <f t="shared" si="12"/>
        <v>61.400000000000006</v>
      </c>
      <c r="C416" s="21">
        <f t="shared" si="13"/>
        <v>3.45</v>
      </c>
      <c r="D416" s="16"/>
      <c r="E416" s="19">
        <f>(ADC!I416+5/3)/(1/12)</f>
        <v>62.393299421846322</v>
      </c>
      <c r="F416" s="20">
        <f>ABS(B416-E416)/B416</f>
        <v>1.6177515013783655E-2</v>
      </c>
      <c r="G416" s="2"/>
      <c r="H416" s="2"/>
      <c r="I416" s="19">
        <f>ABS(C416-ADC!I416)</f>
        <v>8.2774951820526521E-2</v>
      </c>
    </row>
    <row r="417" spans="1:9" x14ac:dyDescent="0.25">
      <c r="A417" s="5">
        <v>415</v>
      </c>
      <c r="B417" s="5">
        <f t="shared" si="12"/>
        <v>61.5</v>
      </c>
      <c r="C417" s="21">
        <f t="shared" si="13"/>
        <v>3.4583330000000001</v>
      </c>
      <c r="D417" s="16"/>
      <c r="E417" s="19">
        <f>(ADC!I417+5/3)/(1/12)</f>
        <v>62.503166628491655</v>
      </c>
      <c r="F417" s="20">
        <f>ABS(B417-E417)/B417</f>
        <v>1.6311652495799276E-2</v>
      </c>
      <c r="G417" s="2"/>
      <c r="H417" s="2"/>
      <c r="I417" s="19">
        <f>ABS(C417-ADC!I417)</f>
        <v>8.3597552374304662E-2</v>
      </c>
    </row>
    <row r="418" spans="1:9" x14ac:dyDescent="0.25">
      <c r="A418" s="5">
        <v>416</v>
      </c>
      <c r="B418" s="5">
        <f t="shared" si="12"/>
        <v>61.6</v>
      </c>
      <c r="C418" s="21">
        <f t="shared" si="13"/>
        <v>3.4666670000000002</v>
      </c>
      <c r="D418" s="16"/>
      <c r="E418" s="19">
        <f>(ADC!I418+5/3)/(1/12)</f>
        <v>62.606608568286461</v>
      </c>
      <c r="F418" s="20">
        <f>ABS(B418-E418)/B418</f>
        <v>1.6341048186468501E-2</v>
      </c>
      <c r="G418" s="2"/>
      <c r="H418" s="2"/>
      <c r="I418" s="19">
        <f>ABS(C418-ADC!I418)</f>
        <v>8.3883714023871292E-2</v>
      </c>
    </row>
    <row r="419" spans="1:9" x14ac:dyDescent="0.25">
      <c r="A419" s="5">
        <v>417</v>
      </c>
      <c r="B419" s="5">
        <f t="shared" si="12"/>
        <v>61.7</v>
      </c>
      <c r="C419" s="21">
        <f t="shared" si="13"/>
        <v>3.4750000000000001</v>
      </c>
      <c r="D419" s="16"/>
      <c r="E419" s="19">
        <f>(ADC!I419+5/3)/(1/12)</f>
        <v>62.716783660163372</v>
      </c>
      <c r="F419" s="20">
        <f>ABS(B419-E419)/B419</f>
        <v>1.6479475853539212E-2</v>
      </c>
      <c r="G419" s="2"/>
      <c r="H419" s="2"/>
      <c r="I419" s="19">
        <f>ABS(C419-ADC!I419)</f>
        <v>8.4731971680280349E-2</v>
      </c>
    </row>
    <row r="420" spans="1:9" x14ac:dyDescent="0.25">
      <c r="A420" s="5">
        <v>418</v>
      </c>
      <c r="B420" s="5">
        <f t="shared" si="12"/>
        <v>61.800000000000004</v>
      </c>
      <c r="C420" s="21">
        <f t="shared" si="13"/>
        <v>3.483333</v>
      </c>
      <c r="D420" s="16"/>
      <c r="E420" s="19">
        <f>(ADC!I420+5/3)/(1/12)</f>
        <v>62.814007535286592</v>
      </c>
      <c r="F420" s="20">
        <f>ABS(B420-E420)/B420</f>
        <v>1.6407888920494947E-2</v>
      </c>
      <c r="G420" s="2"/>
      <c r="H420" s="2"/>
      <c r="I420" s="19">
        <f>ABS(C420-ADC!I420)</f>
        <v>8.4500961273882069E-2</v>
      </c>
    </row>
    <row r="421" spans="1:9" x14ac:dyDescent="0.25">
      <c r="A421" s="5">
        <v>419</v>
      </c>
      <c r="B421" s="5">
        <f t="shared" si="12"/>
        <v>61.900000000000006</v>
      </c>
      <c r="C421" s="21">
        <f t="shared" si="13"/>
        <v>3.4916670000000001</v>
      </c>
      <c r="D421" s="16"/>
      <c r="E421" s="19">
        <f>(ADC!I421+5/3)/(1/12)</f>
        <v>62.917961716731611</v>
      </c>
      <c r="F421" s="20">
        <f>ABS(B421-E421)/B421</f>
        <v>1.6445261982739986E-2</v>
      </c>
      <c r="G421" s="2"/>
      <c r="H421" s="2"/>
      <c r="I421" s="19">
        <f>ABS(C421-ADC!I421)</f>
        <v>8.4829809727633876E-2</v>
      </c>
    </row>
    <row r="422" spans="1:9" x14ac:dyDescent="0.25">
      <c r="A422" s="5">
        <v>420</v>
      </c>
      <c r="B422" s="5">
        <f t="shared" si="12"/>
        <v>62</v>
      </c>
      <c r="C422" s="21">
        <f t="shared" si="13"/>
        <v>3.5</v>
      </c>
      <c r="D422" s="16"/>
      <c r="E422" s="19">
        <f>(ADC!I422+5/3)/(1/12)</f>
        <v>63.022083794279226</v>
      </c>
      <c r="F422" s="20">
        <f>ABS(B422-E422)/B422</f>
        <v>1.6485222488374609E-2</v>
      </c>
      <c r="G422" s="2"/>
      <c r="H422" s="2"/>
      <c r="I422" s="19">
        <f>ABS(C422-ADC!I422)</f>
        <v>8.5173649523268669E-2</v>
      </c>
    </row>
    <row r="423" spans="1:9" x14ac:dyDescent="0.25">
      <c r="A423" s="5">
        <v>421</v>
      </c>
      <c r="B423" s="5">
        <f t="shared" si="12"/>
        <v>62.1</v>
      </c>
      <c r="C423" s="21">
        <f t="shared" si="13"/>
        <v>3.5083329999999999</v>
      </c>
      <c r="D423" s="16"/>
      <c r="E423" s="19">
        <f>(ADC!I423+5/3)/(1/12)</f>
        <v>63.132882950097404</v>
      </c>
      <c r="F423" s="20">
        <f>ABS(B423-E423)/B423</f>
        <v>1.663257568594851E-2</v>
      </c>
      <c r="G423" s="2"/>
      <c r="H423" s="2"/>
      <c r="I423" s="19">
        <f>ABS(C423-ADC!I423)</f>
        <v>8.6073912508116912E-2</v>
      </c>
    </row>
    <row r="424" spans="1:9" x14ac:dyDescent="0.25">
      <c r="A424" s="5">
        <v>422</v>
      </c>
      <c r="B424" s="5">
        <f t="shared" si="12"/>
        <v>62.2</v>
      </c>
      <c r="C424" s="21">
        <f t="shared" si="13"/>
        <v>3.516667</v>
      </c>
      <c r="D424" s="16"/>
      <c r="E424" s="19">
        <f>(ADC!I424+5/3)/(1/12)</f>
        <v>63.23732400157386</v>
      </c>
      <c r="F424" s="20">
        <f>ABS(B424-E424)/B424</f>
        <v>1.6677234751991277E-2</v>
      </c>
      <c r="G424" s="2"/>
      <c r="H424" s="2"/>
      <c r="I424" s="19">
        <f>ABS(C424-ADC!I424)</f>
        <v>8.644333346448807E-2</v>
      </c>
    </row>
    <row r="425" spans="1:9" x14ac:dyDescent="0.25">
      <c r="A425" s="5">
        <v>423</v>
      </c>
      <c r="B425" s="5">
        <f t="shared" si="12"/>
        <v>62.300000000000004</v>
      </c>
      <c r="C425" s="21">
        <f t="shared" si="13"/>
        <v>3.5249999999999999</v>
      </c>
      <c r="D425" s="16"/>
      <c r="E425" s="19">
        <f>(ADC!I425+5/3)/(1/12)</f>
        <v>63.335443223793916</v>
      </c>
      <c r="F425" s="20">
        <f>ABS(B425-E425)/B425</f>
        <v>1.6620276465391846E-2</v>
      </c>
      <c r="G425" s="2"/>
      <c r="H425" s="2"/>
      <c r="I425" s="19">
        <f>ABS(C425-ADC!I425)</f>
        <v>8.6286935316159497E-2</v>
      </c>
    </row>
    <row r="426" spans="1:9" x14ac:dyDescent="0.25">
      <c r="A426" s="5">
        <v>424</v>
      </c>
      <c r="B426" s="5">
        <f t="shared" si="12"/>
        <v>62.400000000000006</v>
      </c>
      <c r="C426" s="21">
        <f t="shared" si="13"/>
        <v>3.5333329999999998</v>
      </c>
      <c r="D426" s="16"/>
      <c r="E426" s="19">
        <f>(ADC!I426+5/3)/(1/12)</f>
        <v>63.440222705047873</v>
      </c>
      <c r="F426" s="20">
        <f>ABS(B426-E426)/B426</f>
        <v>1.6670235657818382E-2</v>
      </c>
      <c r="G426" s="2"/>
      <c r="H426" s="2"/>
      <c r="I426" s="19">
        <f>ABS(C426-ADC!I426)</f>
        <v>8.6685558753988978E-2</v>
      </c>
    </row>
    <row r="427" spans="1:9" x14ac:dyDescent="0.25">
      <c r="A427" s="5">
        <v>425</v>
      </c>
      <c r="B427" s="5">
        <f t="shared" si="12"/>
        <v>62.5</v>
      </c>
      <c r="C427" s="21">
        <f t="shared" si="13"/>
        <v>3.5416669999999999</v>
      </c>
      <c r="D427" s="16"/>
      <c r="E427" s="19">
        <f>(ADC!I427+5/3)/(1/12)</f>
        <v>63.545162999821123</v>
      </c>
      <c r="F427" s="20">
        <f>ABS(B427-E427)/B427</f>
        <v>1.672260799713797E-2</v>
      </c>
      <c r="G427" s="2"/>
      <c r="H427" s="2"/>
      <c r="I427" s="19">
        <f>ABS(C427-ADC!I427)</f>
        <v>8.7096583318426735E-2</v>
      </c>
    </row>
    <row r="428" spans="1:9" x14ac:dyDescent="0.25">
      <c r="A428" s="5">
        <v>426</v>
      </c>
      <c r="B428" s="5">
        <f t="shared" si="12"/>
        <v>62.6</v>
      </c>
      <c r="C428" s="21">
        <f t="shared" si="13"/>
        <v>3.55</v>
      </c>
      <c r="D428" s="16"/>
      <c r="E428" s="19">
        <f>(ADC!I428+5/3)/(1/12)</f>
        <v>63.656710585179233</v>
      </c>
      <c r="F428" s="20">
        <f>ABS(B428-E428)/B428</f>
        <v>1.6880360785610733E-2</v>
      </c>
      <c r="G428" s="2"/>
      <c r="H428" s="2"/>
      <c r="I428" s="19">
        <f>ABS(C428-ADC!I428)</f>
        <v>8.8059215431603111E-2</v>
      </c>
    </row>
    <row r="429" spans="1:9" x14ac:dyDescent="0.25">
      <c r="A429" s="5">
        <v>427</v>
      </c>
      <c r="B429" s="5">
        <f t="shared" si="12"/>
        <v>62.7</v>
      </c>
      <c r="C429" s="21">
        <f t="shared" si="13"/>
        <v>3.5583330000000002</v>
      </c>
      <c r="D429" s="16"/>
      <c r="E429" s="19">
        <f>(ADC!I429+5/3)/(1/12)</f>
        <v>63.761955764483062</v>
      </c>
      <c r="F429" s="20">
        <f>ABS(B429-E429)/B429</f>
        <v>1.6937093532425188E-2</v>
      </c>
      <c r="G429" s="2"/>
      <c r="H429" s="2"/>
      <c r="I429" s="19">
        <f>ABS(C429-ADC!I429)</f>
        <v>8.8496647040254839E-2</v>
      </c>
    </row>
    <row r="430" spans="1:9" x14ac:dyDescent="0.25">
      <c r="A430" s="5">
        <v>428</v>
      </c>
      <c r="B430" s="5">
        <f t="shared" si="12"/>
        <v>62.800000000000004</v>
      </c>
      <c r="C430" s="21">
        <f t="shared" si="13"/>
        <v>3.5666669999999998</v>
      </c>
      <c r="D430" s="16"/>
      <c r="E430" s="19">
        <f>(ADC!I430+5/3)/(1/12)</f>
        <v>63.867357540559993</v>
      </c>
      <c r="F430" s="20">
        <f>ABS(B430-E430)/B430</f>
        <v>1.6996139180891545E-2</v>
      </c>
      <c r="G430" s="2"/>
      <c r="H430" s="2"/>
      <c r="I430" s="19">
        <f>ABS(C430-ADC!I430)</f>
        <v>8.8946128379999045E-2</v>
      </c>
    </row>
    <row r="431" spans="1:9" x14ac:dyDescent="0.25">
      <c r="A431" s="5">
        <v>429</v>
      </c>
      <c r="B431" s="5">
        <f t="shared" si="12"/>
        <v>62.900000000000006</v>
      </c>
      <c r="C431" s="21">
        <f t="shared" si="13"/>
        <v>3.5750000000000002</v>
      </c>
      <c r="D431" s="16"/>
      <c r="E431" s="19">
        <f>(ADC!I431+5/3)/(1/12)</f>
        <v>63.966504088698315</v>
      </c>
      <c r="F431" s="20">
        <f>ABS(B431-E431)/B431</f>
        <v>1.6955549899814137E-2</v>
      </c>
      <c r="G431" s="2"/>
      <c r="H431" s="2"/>
      <c r="I431" s="19">
        <f>ABS(C431-ADC!I431)</f>
        <v>8.8875340724859253E-2</v>
      </c>
    </row>
    <row r="432" spans="1:9" x14ac:dyDescent="0.25">
      <c r="A432" s="5">
        <v>430</v>
      </c>
      <c r="B432" s="5">
        <f t="shared" si="12"/>
        <v>63</v>
      </c>
      <c r="C432" s="21">
        <f t="shared" si="13"/>
        <v>3.5833330000000001</v>
      </c>
      <c r="D432" s="16"/>
      <c r="E432" s="19">
        <f>(ADC!I432+5/3)/(1/12)</f>
        <v>64.072227306234197</v>
      </c>
      <c r="F432" s="20">
        <f>ABS(B432-E432)/B432</f>
        <v>1.7019481051336459E-2</v>
      </c>
      <c r="G432" s="2"/>
      <c r="H432" s="2"/>
      <c r="I432" s="19">
        <f>ABS(C432-ADC!I432)</f>
        <v>8.9352608852849791E-2</v>
      </c>
    </row>
    <row r="433" spans="1:9" x14ac:dyDescent="0.25">
      <c r="A433" s="5">
        <v>431</v>
      </c>
      <c r="B433" s="5">
        <f t="shared" si="12"/>
        <v>63.1</v>
      </c>
      <c r="C433" s="21">
        <f t="shared" si="13"/>
        <v>3.5916670000000002</v>
      </c>
      <c r="D433" s="16"/>
      <c r="E433" s="19">
        <f>(ADC!I433+5/3)/(1/12)</f>
        <v>64.178102891401949</v>
      </c>
      <c r="F433" s="20">
        <f>ABS(B433-E433)/B433</f>
        <v>1.7085624269444488E-2</v>
      </c>
      <c r="G433" s="2"/>
      <c r="H433" s="2"/>
      <c r="I433" s="19">
        <f>ABS(C433-ADC!I433)</f>
        <v>8.9841574283495262E-2</v>
      </c>
    </row>
    <row r="434" spans="1:9" x14ac:dyDescent="0.25">
      <c r="A434" s="5">
        <v>432</v>
      </c>
      <c r="B434" s="5">
        <f t="shared" si="12"/>
        <v>63.2</v>
      </c>
      <c r="C434" s="21">
        <f t="shared" si="13"/>
        <v>3.6</v>
      </c>
      <c r="D434" s="16"/>
      <c r="E434" s="19">
        <f>(ADC!I434+5/3)/(1/12)</f>
        <v>64.271383419620093</v>
      </c>
      <c r="F434" s="20">
        <f>ABS(B434-E434)/B434</f>
        <v>1.6952269297786243E-2</v>
      </c>
      <c r="G434" s="2"/>
      <c r="H434" s="2"/>
      <c r="I434" s="19">
        <f>ABS(C434-ADC!I434)</f>
        <v>8.928195163500785E-2</v>
      </c>
    </row>
    <row r="435" spans="1:9" x14ac:dyDescent="0.25">
      <c r="A435" s="5">
        <v>433</v>
      </c>
      <c r="B435" s="5">
        <f t="shared" si="12"/>
        <v>63.300000000000004</v>
      </c>
      <c r="C435" s="21">
        <f t="shared" si="13"/>
        <v>3.608333</v>
      </c>
      <c r="D435" s="16"/>
      <c r="E435" s="19">
        <f>(ADC!I435+5/3)/(1/12)</f>
        <v>64.377584412556288</v>
      </c>
      <c r="F435" s="20">
        <f>ABS(B435-E435)/B435</f>
        <v>1.7023450435328342E-2</v>
      </c>
      <c r="G435" s="2"/>
      <c r="H435" s="2"/>
      <c r="I435" s="19">
        <f>ABS(C435-ADC!I435)</f>
        <v>8.979903437969039E-2</v>
      </c>
    </row>
    <row r="436" spans="1:9" x14ac:dyDescent="0.25">
      <c r="A436" s="5">
        <v>434</v>
      </c>
      <c r="B436" s="5">
        <f t="shared" si="12"/>
        <v>63.400000000000006</v>
      </c>
      <c r="C436" s="21">
        <f t="shared" si="13"/>
        <v>3.6166670000000001</v>
      </c>
      <c r="D436" s="16"/>
      <c r="E436" s="19">
        <f>(ADC!I436+5/3)/(1/12)</f>
        <v>64.490281709331583</v>
      </c>
      <c r="F436" s="20">
        <f>ABS(B436-E436)/B436</f>
        <v>1.7196872386933397E-2</v>
      </c>
      <c r="G436" s="2"/>
      <c r="H436" s="2"/>
      <c r="I436" s="19">
        <f>ABS(C436-ADC!I436)</f>
        <v>9.0856475777630674E-2</v>
      </c>
    </row>
    <row r="437" spans="1:9" x14ac:dyDescent="0.25">
      <c r="A437" s="5">
        <v>435</v>
      </c>
      <c r="B437" s="5">
        <f t="shared" si="12"/>
        <v>63.5</v>
      </c>
      <c r="C437" s="21">
        <f t="shared" si="13"/>
        <v>3.625</v>
      </c>
      <c r="D437" s="16"/>
      <c r="E437" s="19">
        <f>(ADC!I437+5/3)/(1/12)</f>
        <v>64.590429457316802</v>
      </c>
      <c r="F437" s="20">
        <f>ABS(B437-E437)/B437</f>
        <v>1.7172117438059867E-2</v>
      </c>
      <c r="G437" s="2"/>
      <c r="H437" s="2"/>
      <c r="I437" s="19">
        <f>ABS(C437-ADC!I437)</f>
        <v>9.0869121443066359E-2</v>
      </c>
    </row>
    <row r="438" spans="1:9" x14ac:dyDescent="0.25">
      <c r="A438" s="5">
        <v>436</v>
      </c>
      <c r="B438" s="5">
        <f t="shared" si="12"/>
        <v>63.6</v>
      </c>
      <c r="C438" s="21">
        <f t="shared" si="13"/>
        <v>3.6333329999999999</v>
      </c>
      <c r="D438" s="16"/>
      <c r="E438" s="19">
        <f>(ADC!I438+5/3)/(1/12)</f>
        <v>64.690747391647619</v>
      </c>
      <c r="F438" s="20">
        <f>ABS(B438-E438)/B438</f>
        <v>1.7150116220874492E-2</v>
      </c>
      <c r="G438" s="2"/>
      <c r="H438" s="2"/>
      <c r="I438" s="19">
        <f>ABS(C438-ADC!I438)</f>
        <v>9.0895949303968493E-2</v>
      </c>
    </row>
    <row r="439" spans="1:9" x14ac:dyDescent="0.25">
      <c r="A439" s="5">
        <v>437</v>
      </c>
      <c r="B439" s="5">
        <f t="shared" si="12"/>
        <v>63.7</v>
      </c>
      <c r="C439" s="21">
        <f t="shared" si="13"/>
        <v>3.641667</v>
      </c>
      <c r="D439" s="16"/>
      <c r="E439" s="19">
        <f>(ADC!I439+5/3)/(1/12)</f>
        <v>64.797545021387691</v>
      </c>
      <c r="F439" s="20">
        <f>ABS(B439-E439)/B439</f>
        <v>1.7229906144233725E-2</v>
      </c>
      <c r="G439" s="2"/>
      <c r="H439" s="2"/>
      <c r="I439" s="19">
        <f>ABS(C439-ADC!I439)</f>
        <v>9.1461751782307754E-2</v>
      </c>
    </row>
    <row r="440" spans="1:9" x14ac:dyDescent="0.25">
      <c r="A440" s="5">
        <v>438</v>
      </c>
      <c r="B440" s="5">
        <f t="shared" si="12"/>
        <v>63.800000000000004</v>
      </c>
      <c r="C440" s="21">
        <f t="shared" si="13"/>
        <v>3.65</v>
      </c>
      <c r="D440" s="16"/>
      <c r="E440" s="19">
        <f>(ADC!I440+5/3)/(1/12)</f>
        <v>64.89818665896378</v>
      </c>
      <c r="F440" s="20">
        <f>ABS(B440-E440)/B440</f>
        <v>1.7212957037049781E-2</v>
      </c>
      <c r="G440" s="2"/>
      <c r="H440" s="2"/>
      <c r="I440" s="19">
        <f>ABS(C440-ADC!I440)</f>
        <v>9.1515554913648156E-2</v>
      </c>
    </row>
    <row r="441" spans="1:9" x14ac:dyDescent="0.25">
      <c r="A441" s="5">
        <v>439</v>
      </c>
      <c r="B441" s="5">
        <f t="shared" si="12"/>
        <v>63.900000000000006</v>
      </c>
      <c r="C441" s="21">
        <f t="shared" si="13"/>
        <v>3.6583329999999998</v>
      </c>
      <c r="D441" s="16"/>
      <c r="E441" s="19">
        <f>(ADC!I441+5/3)/(1/12)</f>
        <v>65.005280416243082</v>
      </c>
      <c r="F441" s="20">
        <f>ABS(B441-E441)/B441</f>
        <v>1.7297033118045008E-2</v>
      </c>
      <c r="G441" s="2"/>
      <c r="H441" s="2"/>
      <c r="I441" s="19">
        <f>ABS(C441-ADC!I441)</f>
        <v>9.2107034686923495E-2</v>
      </c>
    </row>
    <row r="442" spans="1:9" x14ac:dyDescent="0.25">
      <c r="A442" s="5">
        <v>440</v>
      </c>
      <c r="B442" s="5">
        <f t="shared" si="12"/>
        <v>64</v>
      </c>
      <c r="C442" s="21">
        <f t="shared" si="13"/>
        <v>3.6666669999999999</v>
      </c>
      <c r="D442" s="16"/>
      <c r="E442" s="19">
        <f>(ADC!I442+5/3)/(1/12)</f>
        <v>65.106240121409897</v>
      </c>
      <c r="F442" s="20">
        <f>ABS(B442-E442)/B442</f>
        <v>1.7285001897029639E-2</v>
      </c>
      <c r="G442" s="2"/>
      <c r="H442" s="2"/>
      <c r="I442" s="19">
        <f>ABS(C442-ADC!I442)</f>
        <v>9.2186343450824548E-2</v>
      </c>
    </row>
    <row r="443" spans="1:9" x14ac:dyDescent="0.25">
      <c r="A443" s="5">
        <v>441</v>
      </c>
      <c r="B443" s="5">
        <f t="shared" si="12"/>
        <v>64.099999999999994</v>
      </c>
      <c r="C443" s="21">
        <f t="shared" si="13"/>
        <v>3.6749999999999998</v>
      </c>
      <c r="D443" s="16"/>
      <c r="E443" s="19">
        <f>(ADC!I443+5/3)/(1/12)</f>
        <v>65.207362918467481</v>
      </c>
      <c r="F443" s="20">
        <f>ABS(B443-E443)/B443</f>
        <v>1.7275552550194809E-2</v>
      </c>
      <c r="G443" s="2"/>
      <c r="H443" s="2"/>
      <c r="I443" s="19">
        <f>ABS(C443-ADC!I443)</f>
        <v>9.2280243205622892E-2</v>
      </c>
    </row>
    <row r="444" spans="1:9" x14ac:dyDescent="0.25">
      <c r="A444" s="5">
        <v>442</v>
      </c>
      <c r="B444" s="5">
        <f t="shared" si="12"/>
        <v>64.2</v>
      </c>
      <c r="C444" s="21">
        <f t="shared" si="13"/>
        <v>3.6833330000000002</v>
      </c>
      <c r="D444" s="16"/>
      <c r="E444" s="19">
        <f>(ADC!I444+5/3)/(1/12)</f>
        <v>65.314896567208876</v>
      </c>
      <c r="F444" s="20">
        <f>ABS(B444-E444)/B444</f>
        <v>1.7365990143440396E-2</v>
      </c>
      <c r="G444" s="2"/>
      <c r="H444" s="2"/>
      <c r="I444" s="19">
        <f>ABS(C444-ADC!I444)</f>
        <v>9.290838060073936E-2</v>
      </c>
    </row>
    <row r="445" spans="1:9" x14ac:dyDescent="0.25">
      <c r="A445" s="5">
        <v>443</v>
      </c>
      <c r="B445" s="5">
        <f t="shared" si="12"/>
        <v>64.300000000000011</v>
      </c>
      <c r="C445" s="21">
        <f t="shared" si="13"/>
        <v>3.6916669999999998</v>
      </c>
      <c r="D445" s="16"/>
      <c r="E445" s="19">
        <f>(ADC!I445+5/3)/(1/12)</f>
        <v>65.416328988850168</v>
      </c>
      <c r="F445" s="20">
        <f>ABS(B445-E445)/B445</f>
        <v>1.7361259546658733E-2</v>
      </c>
      <c r="G445" s="2"/>
      <c r="H445" s="2"/>
      <c r="I445" s="19">
        <f>ABS(C445-ADC!I445)</f>
        <v>9.3027082404181005E-2</v>
      </c>
    </row>
    <row r="446" spans="1:9" x14ac:dyDescent="0.25">
      <c r="A446" s="5">
        <v>444</v>
      </c>
      <c r="B446" s="5">
        <f t="shared" si="12"/>
        <v>64.400000000000006</v>
      </c>
      <c r="C446" s="21">
        <f t="shared" si="13"/>
        <v>3.7</v>
      </c>
      <c r="D446" s="16"/>
      <c r="E446" s="19">
        <f>(ADC!I446+5/3)/(1/12)</f>
        <v>65.524144831808002</v>
      </c>
      <c r="F446" s="20">
        <f>ABS(B446-E446)/B446</f>
        <v>1.7455665090186274E-2</v>
      </c>
      <c r="G446" s="2"/>
      <c r="H446" s="2"/>
      <c r="I446" s="19">
        <f>ABS(C446-ADC!I446)</f>
        <v>9.3678735983998784E-2</v>
      </c>
    </row>
    <row r="447" spans="1:9" x14ac:dyDescent="0.25">
      <c r="A447" s="5">
        <v>445</v>
      </c>
      <c r="B447" s="5">
        <f t="shared" si="12"/>
        <v>64.5</v>
      </c>
      <c r="C447" s="21">
        <f t="shared" si="13"/>
        <v>3.7083330000000001</v>
      </c>
      <c r="D447" s="16"/>
      <c r="E447" s="19">
        <f>(ADC!I447+5/3)/(1/12)</f>
        <v>65.625881277556488</v>
      </c>
      <c r="F447" s="20">
        <f>ABS(B447-E447)/B447</f>
        <v>1.7455523683046321E-2</v>
      </c>
      <c r="G447" s="2"/>
      <c r="H447" s="2"/>
      <c r="I447" s="19">
        <f>ABS(C447-ADC!I447)</f>
        <v>9.3823773129706911E-2</v>
      </c>
    </row>
    <row r="448" spans="1:9" x14ac:dyDescent="0.25">
      <c r="A448" s="5">
        <v>446</v>
      </c>
      <c r="B448" s="5">
        <f t="shared" si="12"/>
        <v>64.599999999999994</v>
      </c>
      <c r="C448" s="21">
        <f t="shared" si="13"/>
        <v>3.7166670000000002</v>
      </c>
      <c r="D448" s="16"/>
      <c r="E448" s="19">
        <f>(ADC!I448+5/3)/(1/12)</f>
        <v>65.727773786820109</v>
      </c>
      <c r="F448" s="20">
        <f>ABS(B448-E448)/B448</f>
        <v>1.7457798557586911E-2</v>
      </c>
      <c r="G448" s="2"/>
      <c r="H448" s="2"/>
      <c r="I448" s="19">
        <f>ABS(C448-ADC!I448)</f>
        <v>9.398081556834148E-2</v>
      </c>
    </row>
    <row r="449" spans="1:9" x14ac:dyDescent="0.25">
      <c r="A449" s="5">
        <v>447</v>
      </c>
      <c r="B449" s="5">
        <f t="shared" si="12"/>
        <v>64.7</v>
      </c>
      <c r="C449" s="21">
        <f t="shared" si="13"/>
        <v>3.7250000000000001</v>
      </c>
      <c r="D449" s="16"/>
      <c r="E449" s="19">
        <f>(ADC!I449+5/3)/(1/12)</f>
        <v>65.82363324432491</v>
      </c>
      <c r="F449" s="20">
        <f>ABS(B449-E449)/B449</f>
        <v>1.7366819850462237E-2</v>
      </c>
      <c r="G449" s="2"/>
      <c r="H449" s="2"/>
      <c r="I449" s="19">
        <f>ABS(C449-ADC!I449)</f>
        <v>9.3636103693741202E-2</v>
      </c>
    </row>
    <row r="450" spans="1:9" x14ac:dyDescent="0.25">
      <c r="A450" s="5">
        <v>448</v>
      </c>
      <c r="B450" s="5">
        <f t="shared" si="12"/>
        <v>64.800000000000011</v>
      </c>
      <c r="C450" s="21">
        <f t="shared" si="13"/>
        <v>3.733333</v>
      </c>
      <c r="D450" s="16"/>
      <c r="E450" s="19">
        <f>(ADC!I450+5/3)/(1/12)</f>
        <v>65.925845916502226</v>
      </c>
      <c r="F450" s="20">
        <f>ABS(B450-E450)/B450</f>
        <v>1.7374165378120591E-2</v>
      </c>
      <c r="G450" s="2"/>
      <c r="H450" s="2"/>
      <c r="I450" s="19">
        <f>ABS(C450-ADC!I450)</f>
        <v>9.3820826375184296E-2</v>
      </c>
    </row>
    <row r="451" spans="1:9" x14ac:dyDescent="0.25">
      <c r="A451" s="5">
        <v>449</v>
      </c>
      <c r="B451" s="5">
        <f t="shared" ref="B451:B514" si="14">0.1*A451+20</f>
        <v>64.900000000000006</v>
      </c>
      <c r="C451" s="21">
        <f t="shared" ref="C451:C514" si="15">ROUND(1/12*B451-5/3,6)</f>
        <v>3.7416670000000001</v>
      </c>
      <c r="D451" s="16"/>
      <c r="E451" s="19">
        <f>(ADC!I451+5/3)/(1/12)</f>
        <v>66.028210425410023</v>
      </c>
      <c r="F451" s="20">
        <f>ABS(B451-E451)/B451</f>
        <v>1.7383827818336171E-2</v>
      </c>
      <c r="G451" s="2"/>
      <c r="H451" s="2"/>
      <c r="I451" s="19">
        <f>ABS(C451-ADC!I451)</f>
        <v>9.4017202117501419E-2</v>
      </c>
    </row>
    <row r="452" spans="1:9" x14ac:dyDescent="0.25">
      <c r="A452" s="5">
        <v>450</v>
      </c>
      <c r="B452" s="5">
        <f t="shared" si="14"/>
        <v>65</v>
      </c>
      <c r="C452" s="21">
        <f t="shared" si="15"/>
        <v>3.75</v>
      </c>
      <c r="D452" s="16"/>
      <c r="E452" s="19">
        <f>(ADC!I452+5/3)/(1/12)</f>
        <v>66.130725377454169</v>
      </c>
      <c r="F452" s="20">
        <f>ABS(B452-E452)/B452</f>
        <v>1.7395775037756449E-2</v>
      </c>
      <c r="G452" s="2"/>
      <c r="H452" s="2"/>
      <c r="I452" s="19">
        <f>ABS(C452-ADC!I452)</f>
        <v>9.4227114787846844E-2</v>
      </c>
    </row>
    <row r="453" spans="1:9" x14ac:dyDescent="0.25">
      <c r="A453" s="5">
        <v>451</v>
      </c>
      <c r="B453" s="5">
        <f t="shared" si="14"/>
        <v>65.099999999999994</v>
      </c>
      <c r="C453" s="21">
        <f t="shared" si="15"/>
        <v>3.7583329999999999</v>
      </c>
      <c r="D453" s="16"/>
      <c r="E453" s="19">
        <f>(ADC!I453+5/3)/(1/12)</f>
        <v>66.233389372144543</v>
      </c>
      <c r="F453" s="20">
        <f>ABS(B453-E453)/B453</f>
        <v>1.7409974994539928E-2</v>
      </c>
      <c r="G453" s="2"/>
      <c r="H453" s="2"/>
      <c r="I453" s="19">
        <f>ABS(C453-ADC!I453)</f>
        <v>9.444944767871144E-2</v>
      </c>
    </row>
    <row r="454" spans="1:9" x14ac:dyDescent="0.25">
      <c r="A454" s="5">
        <v>452</v>
      </c>
      <c r="B454" s="5">
        <f t="shared" si="14"/>
        <v>65.2</v>
      </c>
      <c r="C454" s="21">
        <f t="shared" si="15"/>
        <v>3.766667</v>
      </c>
      <c r="D454" s="16"/>
      <c r="E454" s="19">
        <f>(ADC!I454+5/3)/(1/12)</f>
        <v>66.336201014490285</v>
      </c>
      <c r="F454" s="20">
        <f>ABS(B454-E454)/B454</f>
        <v>1.742639592776507E-2</v>
      </c>
      <c r="G454" s="2"/>
      <c r="H454" s="2"/>
      <c r="I454" s="19">
        <f>ABS(C454-ADC!I454)</f>
        <v>9.4683084540856832E-2</v>
      </c>
    </row>
    <row r="455" spans="1:9" x14ac:dyDescent="0.25">
      <c r="A455" s="5">
        <v>453</v>
      </c>
      <c r="B455" s="5">
        <f t="shared" si="14"/>
        <v>65.300000000000011</v>
      </c>
      <c r="C455" s="21">
        <f t="shared" si="15"/>
        <v>3.7749999999999999</v>
      </c>
      <c r="D455" s="16"/>
      <c r="E455" s="19">
        <f>(ADC!I455+5/3)/(1/12)</f>
        <v>66.439158917531373</v>
      </c>
      <c r="F455" s="20">
        <f>ABS(B455-E455)/B455</f>
        <v>1.7445006394048407E-2</v>
      </c>
      <c r="G455" s="2"/>
      <c r="H455" s="2"/>
      <c r="I455" s="19">
        <f>ABS(C455-ADC!I455)</f>
        <v>9.4929909794280398E-2</v>
      </c>
    </row>
    <row r="456" spans="1:9" x14ac:dyDescent="0.25">
      <c r="A456" s="5">
        <v>454</v>
      </c>
      <c r="B456" s="5">
        <f t="shared" si="14"/>
        <v>65.400000000000006</v>
      </c>
      <c r="C456" s="21">
        <f t="shared" si="15"/>
        <v>3.7833329999999998</v>
      </c>
      <c r="D456" s="16"/>
      <c r="E456" s="19">
        <f>(ADC!I456+5/3)/(1/12)</f>
        <v>66.536159510677535</v>
      </c>
      <c r="F456" s="20">
        <f>ABS(B456-E456)/B456</f>
        <v>1.7372469582225224E-2</v>
      </c>
      <c r="G456" s="2"/>
      <c r="H456" s="2"/>
      <c r="I456" s="19">
        <f>ABS(C456-ADC!I456)</f>
        <v>9.4680292556460266E-2</v>
      </c>
    </row>
    <row r="457" spans="1:9" x14ac:dyDescent="0.25">
      <c r="A457" s="5">
        <v>455</v>
      </c>
      <c r="B457" s="5">
        <f t="shared" si="14"/>
        <v>65.5</v>
      </c>
      <c r="C457" s="21">
        <f t="shared" si="15"/>
        <v>3.7916669999999999</v>
      </c>
      <c r="D457" s="16"/>
      <c r="E457" s="19">
        <f>(ADC!I457+5/3)/(1/12)</f>
        <v>66.639417928395275</v>
      </c>
      <c r="F457" s="20">
        <f>ABS(B457-E457)/B457</f>
        <v>1.7395693563286643E-2</v>
      </c>
      <c r="G457" s="2"/>
      <c r="H457" s="2"/>
      <c r="I457" s="19">
        <f>ABS(C457-ADC!I457)</f>
        <v>9.4951160699605186E-2</v>
      </c>
    </row>
    <row r="458" spans="1:9" x14ac:dyDescent="0.25">
      <c r="A458" s="5">
        <v>456</v>
      </c>
      <c r="B458" s="5">
        <f t="shared" si="14"/>
        <v>65.599999999999994</v>
      </c>
      <c r="C458" s="21">
        <f t="shared" si="15"/>
        <v>3.8</v>
      </c>
      <c r="D458" s="16"/>
      <c r="E458" s="19">
        <f>(ADC!I458+5/3)/(1/12)</f>
        <v>66.742818428993814</v>
      </c>
      <c r="F458" s="20">
        <f>ABS(B458-E458)/B458</f>
        <v>1.7421012637100917E-2</v>
      </c>
      <c r="G458" s="2"/>
      <c r="H458" s="2"/>
      <c r="I458" s="19">
        <f>ABS(C458-ADC!I458)</f>
        <v>9.5234869082817308E-2</v>
      </c>
    </row>
    <row r="459" spans="1:9" x14ac:dyDescent="0.25">
      <c r="A459" s="5">
        <v>457</v>
      </c>
      <c r="B459" s="5">
        <f t="shared" si="14"/>
        <v>65.7</v>
      </c>
      <c r="C459" s="21">
        <f t="shared" si="15"/>
        <v>3.8083330000000002</v>
      </c>
      <c r="D459" s="16"/>
      <c r="E459" s="19">
        <f>(ADC!I459+5/3)/(1/12)</f>
        <v>66.846359641749132</v>
      </c>
      <c r="F459" s="20">
        <f>ABS(B459-E459)/B459</f>
        <v>1.7448396373654928E-2</v>
      </c>
      <c r="G459" s="2"/>
      <c r="H459" s="2"/>
      <c r="I459" s="19">
        <f>ABS(C459-ADC!I459)</f>
        <v>9.5530303479093526E-2</v>
      </c>
    </row>
    <row r="460" spans="1:9" x14ac:dyDescent="0.25">
      <c r="A460" s="5">
        <v>458</v>
      </c>
      <c r="B460" s="5">
        <f t="shared" si="14"/>
        <v>65.800000000000011</v>
      </c>
      <c r="C460" s="21">
        <f t="shared" si="15"/>
        <v>3.8166669999999998</v>
      </c>
      <c r="D460" s="16"/>
      <c r="E460" s="19">
        <f>(ADC!I460+5/3)/(1/12)</f>
        <v>66.950040177257094</v>
      </c>
      <c r="F460" s="20">
        <f>ABS(B460-E460)/B460</f>
        <v>1.7477814244028608E-2</v>
      </c>
      <c r="G460" s="2"/>
      <c r="H460" s="2"/>
      <c r="I460" s="19">
        <f>ABS(C460-ADC!I460)</f>
        <v>9.5836348104758162E-2</v>
      </c>
    </row>
    <row r="461" spans="1:9" x14ac:dyDescent="0.25">
      <c r="A461" s="5">
        <v>459</v>
      </c>
      <c r="B461" s="5">
        <f t="shared" si="14"/>
        <v>65.900000000000006</v>
      </c>
      <c r="C461" s="21">
        <f t="shared" si="15"/>
        <v>3.8250000000000002</v>
      </c>
      <c r="D461" s="16"/>
      <c r="E461" s="19">
        <f>(ADC!I461+5/3)/(1/12)</f>
        <v>67.047817167147286</v>
      </c>
      <c r="F461" s="20">
        <f>ABS(B461-E461)/B461</f>
        <v>1.741755944077816E-2</v>
      </c>
      <c r="G461" s="2"/>
      <c r="H461" s="2"/>
      <c r="I461" s="19">
        <f>ABS(C461-ADC!I461)</f>
        <v>9.5651430595606879E-2</v>
      </c>
    </row>
    <row r="462" spans="1:9" x14ac:dyDescent="0.25">
      <c r="A462" s="5">
        <v>460</v>
      </c>
      <c r="B462" s="5">
        <f t="shared" si="14"/>
        <v>66</v>
      </c>
      <c r="C462" s="21">
        <f t="shared" si="15"/>
        <v>3.8333330000000001</v>
      </c>
      <c r="D462" s="16"/>
      <c r="E462" s="19">
        <f>(ADC!I462+5/3)/(1/12)</f>
        <v>67.151784324162833</v>
      </c>
      <c r="F462" s="20">
        <f>ABS(B462-E462)/B462</f>
        <v>1.7451277638830798E-2</v>
      </c>
      <c r="G462" s="2"/>
      <c r="H462" s="2"/>
      <c r="I462" s="19">
        <f>ABS(C462-ADC!I462)</f>
        <v>9.5982360346902329E-2</v>
      </c>
    </row>
    <row r="463" spans="1:9" x14ac:dyDescent="0.25">
      <c r="A463" s="5">
        <v>461</v>
      </c>
      <c r="B463" s="5">
        <f t="shared" si="14"/>
        <v>66.099999999999994</v>
      </c>
      <c r="C463" s="21">
        <f t="shared" si="15"/>
        <v>3.8416670000000002</v>
      </c>
      <c r="D463" s="16"/>
      <c r="E463" s="19">
        <f>(ADC!I463+5/3)/(1/12)</f>
        <v>67.249869361732351</v>
      </c>
      <c r="F463" s="20">
        <f>ABS(B463-E463)/B463</f>
        <v>1.7395905623787546E-2</v>
      </c>
      <c r="G463" s="2"/>
      <c r="H463" s="2"/>
      <c r="I463" s="19">
        <f>ABS(C463-ADC!I463)</f>
        <v>9.5822113477695314E-2</v>
      </c>
    </row>
    <row r="464" spans="1:9" x14ac:dyDescent="0.25">
      <c r="A464" s="5">
        <v>462</v>
      </c>
      <c r="B464" s="5">
        <f t="shared" si="14"/>
        <v>66.2</v>
      </c>
      <c r="C464" s="21">
        <f t="shared" si="15"/>
        <v>3.85</v>
      </c>
      <c r="D464" s="16"/>
      <c r="E464" s="19">
        <f>(ADC!I464+5/3)/(1/12)</f>
        <v>67.342107160125195</v>
      </c>
      <c r="F464" s="20">
        <f>ABS(B464-E464)/B464</f>
        <v>1.7252374020018012E-2</v>
      </c>
      <c r="G464" s="2"/>
      <c r="H464" s="2"/>
      <c r="I464" s="19">
        <f>ABS(C464-ADC!I464)</f>
        <v>9.5175596677098628E-2</v>
      </c>
    </row>
    <row r="465" spans="1:9" x14ac:dyDescent="0.25">
      <c r="A465" s="5">
        <v>463</v>
      </c>
      <c r="B465" s="5">
        <f t="shared" si="14"/>
        <v>66.300000000000011</v>
      </c>
      <c r="C465" s="21">
        <f t="shared" si="15"/>
        <v>3.858333</v>
      </c>
      <c r="D465" s="16"/>
      <c r="E465" s="19">
        <f>(ADC!I465+5/3)/(1/12)</f>
        <v>67.446511937389161</v>
      </c>
      <c r="F465" s="20">
        <f>ABS(B465-E465)/B465</f>
        <v>1.7292789402551273E-2</v>
      </c>
      <c r="G465" s="2"/>
      <c r="H465" s="2"/>
      <c r="I465" s="19">
        <f>ABS(C465-ADC!I465)</f>
        <v>9.5542994782428892E-2</v>
      </c>
    </row>
    <row r="466" spans="1:9" x14ac:dyDescent="0.25">
      <c r="A466" s="5">
        <v>464</v>
      </c>
      <c r="B466" s="5">
        <f t="shared" si="14"/>
        <v>66.400000000000006</v>
      </c>
      <c r="C466" s="21">
        <f t="shared" si="15"/>
        <v>3.8666670000000001</v>
      </c>
      <c r="D466" s="16"/>
      <c r="E466" s="19">
        <f>(ADC!I466+5/3)/(1/12)</f>
        <v>67.551047777883412</v>
      </c>
      <c r="F466" s="20">
        <f>ABS(B466-E466)/B466</f>
        <v>1.7335056895834425E-2</v>
      </c>
      <c r="G466" s="2"/>
      <c r="H466" s="2"/>
      <c r="I466" s="19">
        <f>ABS(C466-ADC!I466)</f>
        <v>9.5920314823616959E-2</v>
      </c>
    </row>
    <row r="467" spans="1:9" x14ac:dyDescent="0.25">
      <c r="A467" s="5">
        <v>465</v>
      </c>
      <c r="B467" s="5">
        <f t="shared" si="14"/>
        <v>66.5</v>
      </c>
      <c r="C467" s="21">
        <f t="shared" si="15"/>
        <v>3.875</v>
      </c>
      <c r="D467" s="16"/>
      <c r="E467" s="19">
        <f>(ADC!I467+5/3)/(1/12)</f>
        <v>67.649744222085232</v>
      </c>
      <c r="F467" s="20">
        <f>ABS(B467-E467)/B467</f>
        <v>1.7289386798274166E-2</v>
      </c>
      <c r="G467" s="2"/>
      <c r="H467" s="2"/>
      <c r="I467" s="19">
        <f>ABS(C467-ADC!I467)</f>
        <v>9.5812018507102525E-2</v>
      </c>
    </row>
    <row r="468" spans="1:9" x14ac:dyDescent="0.25">
      <c r="A468" s="5">
        <v>466</v>
      </c>
      <c r="B468" s="5">
        <f t="shared" si="14"/>
        <v>66.599999999999994</v>
      </c>
      <c r="C468" s="21">
        <f t="shared" si="15"/>
        <v>3.8833329999999999</v>
      </c>
      <c r="D468" s="16"/>
      <c r="E468" s="19">
        <f>(ADC!I468+5/3)/(1/12)</f>
        <v>67.7485930323476</v>
      </c>
      <c r="F468" s="20">
        <f>ABS(B468-E468)/B468</f>
        <v>1.7246141626840926E-2</v>
      </c>
      <c r="G468" s="2"/>
      <c r="H468" s="2"/>
      <c r="I468" s="19">
        <f>ABS(C468-ADC!I468)</f>
        <v>9.5716419362299465E-2</v>
      </c>
    </row>
    <row r="469" spans="1:9" x14ac:dyDescent="0.25">
      <c r="A469" s="5">
        <v>467</v>
      </c>
      <c r="B469" s="5">
        <f t="shared" si="14"/>
        <v>66.7</v>
      </c>
      <c r="C469" s="21">
        <f t="shared" si="15"/>
        <v>3.891667</v>
      </c>
      <c r="D469" s="16"/>
      <c r="E469" s="19">
        <f>(ADC!I469+5/3)/(1/12)</f>
        <v>67.853537871206768</v>
      </c>
      <c r="F469" s="20">
        <f>ABS(B469-E469)/B469</f>
        <v>1.7294420857672646E-2</v>
      </c>
      <c r="G469" s="2"/>
      <c r="H469" s="2"/>
      <c r="I469" s="19">
        <f>ABS(C469-ADC!I469)</f>
        <v>9.6127822600563739E-2</v>
      </c>
    </row>
    <row r="470" spans="1:9" x14ac:dyDescent="0.25">
      <c r="A470" s="5">
        <v>468</v>
      </c>
      <c r="B470" s="5">
        <f t="shared" si="14"/>
        <v>66.800000000000011</v>
      </c>
      <c r="C470" s="21">
        <f t="shared" si="15"/>
        <v>3.9</v>
      </c>
      <c r="D470" s="16"/>
      <c r="E470" s="19">
        <f>(ADC!I470+5/3)/(1/12)</f>
        <v>67.952675236724971</v>
      </c>
      <c r="F470" s="20">
        <f>ABS(B470-E470)/B470</f>
        <v>1.7255617316241912E-2</v>
      </c>
      <c r="G470" s="2"/>
      <c r="H470" s="2"/>
      <c r="I470" s="19">
        <f>ABS(C470-ADC!I470)</f>
        <v>9.605626972708059E-2</v>
      </c>
    </row>
    <row r="471" spans="1:9" x14ac:dyDescent="0.25">
      <c r="A471" s="5">
        <v>469</v>
      </c>
      <c r="B471" s="5">
        <f t="shared" si="14"/>
        <v>66.900000000000006</v>
      </c>
      <c r="C471" s="21">
        <f t="shared" si="15"/>
        <v>3.9083329999999998</v>
      </c>
      <c r="D471" s="16"/>
      <c r="E471" s="19">
        <f>(ADC!I471+5/3)/(1/12)</f>
        <v>68.051960801836941</v>
      </c>
      <c r="F471" s="20">
        <f>ABS(B471-E471)/B471</f>
        <v>1.7219145019984086E-2</v>
      </c>
      <c r="G471" s="2"/>
      <c r="H471" s="2"/>
      <c r="I471" s="19">
        <f>ABS(C471-ADC!I471)</f>
        <v>9.5997066819744958E-2</v>
      </c>
    </row>
    <row r="472" spans="1:9" x14ac:dyDescent="0.25">
      <c r="A472" s="5">
        <v>470</v>
      </c>
      <c r="B472" s="5">
        <f t="shared" si="14"/>
        <v>67</v>
      </c>
      <c r="C472" s="21">
        <f t="shared" si="15"/>
        <v>3.9166669999999999</v>
      </c>
      <c r="D472" s="16"/>
      <c r="E472" s="19">
        <f>(ADC!I472+5/3)/(1/12)</f>
        <v>68.157302311011975</v>
      </c>
      <c r="F472" s="20">
        <f>ABS(B472-E472)/B472</f>
        <v>1.7273168821074252E-2</v>
      </c>
      <c r="G472" s="2"/>
      <c r="H472" s="2"/>
      <c r="I472" s="19">
        <f>ABS(C472-ADC!I472)</f>
        <v>9.6441525917664084E-2</v>
      </c>
    </row>
    <row r="473" spans="1:9" x14ac:dyDescent="0.25">
      <c r="A473" s="5">
        <v>471</v>
      </c>
      <c r="B473" s="5">
        <f t="shared" si="14"/>
        <v>67.099999999999994</v>
      </c>
      <c r="C473" s="21">
        <f t="shared" si="15"/>
        <v>3.9249999999999998</v>
      </c>
      <c r="D473" s="16"/>
      <c r="E473" s="19">
        <f>(ADC!I473+5/3)/(1/12)</f>
        <v>68.256868157847393</v>
      </c>
      <c r="F473" s="20">
        <f>ABS(B473-E473)/B473</f>
        <v>1.7240956152718308E-2</v>
      </c>
      <c r="G473" s="2"/>
      <c r="H473" s="2"/>
      <c r="I473" s="19">
        <f>ABS(C473-ADC!I473)</f>
        <v>9.6405679820615653E-2</v>
      </c>
    </row>
    <row r="474" spans="1:9" x14ac:dyDescent="0.25">
      <c r="A474" s="5">
        <v>472</v>
      </c>
      <c r="B474" s="5">
        <f t="shared" si="14"/>
        <v>67.2</v>
      </c>
      <c r="C474" s="21">
        <f t="shared" si="15"/>
        <v>3.9333330000000002</v>
      </c>
      <c r="D474" s="16"/>
      <c r="E474" s="19">
        <f>(ADC!I474+5/3)/(1/12)</f>
        <v>68.356578063124161</v>
      </c>
      <c r="F474" s="20">
        <f>ABS(B474-E474)/B474</f>
        <v>1.7210983082204732E-2</v>
      </c>
      <c r="G474" s="2"/>
      <c r="H474" s="2"/>
      <c r="I474" s="19">
        <f>ABS(C474-ADC!I474)</f>
        <v>9.6381838593678992E-2</v>
      </c>
    </row>
    <row r="475" spans="1:9" x14ac:dyDescent="0.25">
      <c r="A475" s="5">
        <v>473</v>
      </c>
      <c r="B475" s="5">
        <f t="shared" si="14"/>
        <v>67.300000000000011</v>
      </c>
      <c r="C475" s="21">
        <f t="shared" si="15"/>
        <v>3.9416669999999998</v>
      </c>
      <c r="D475" s="16"/>
      <c r="E475" s="19">
        <f>(ADC!I475+5/3)/(1/12)</f>
        <v>68.456430639969398</v>
      </c>
      <c r="F475" s="20">
        <f>ABS(B475-E475)/B475</f>
        <v>1.7183219018861606E-2</v>
      </c>
      <c r="G475" s="2"/>
      <c r="H475" s="2"/>
      <c r="I475" s="19">
        <f>ABS(C475-ADC!I475)</f>
        <v>9.636888666411636E-2</v>
      </c>
    </row>
    <row r="476" spans="1:9" x14ac:dyDescent="0.25">
      <c r="A476" s="5">
        <v>474</v>
      </c>
      <c r="B476" s="5">
        <f t="shared" si="14"/>
        <v>67.400000000000006</v>
      </c>
      <c r="C476" s="21">
        <f t="shared" si="15"/>
        <v>3.95</v>
      </c>
      <c r="D476" s="16"/>
      <c r="E476" s="19">
        <f>(ADC!I476+5/3)/(1/12)</f>
        <v>68.550563096381424</v>
      </c>
      <c r="F476" s="20">
        <f>ABS(B476-E476)/B476</f>
        <v>1.7070669085777718E-2</v>
      </c>
      <c r="G476" s="2"/>
      <c r="H476" s="2"/>
      <c r="I476" s="19">
        <f>ABS(C476-ADC!I476)</f>
        <v>9.5880258031784571E-2</v>
      </c>
    </row>
    <row r="477" spans="1:9" x14ac:dyDescent="0.25">
      <c r="A477" s="5">
        <v>475</v>
      </c>
      <c r="B477" s="5">
        <f t="shared" si="14"/>
        <v>67.5</v>
      </c>
      <c r="C477" s="21">
        <f t="shared" si="15"/>
        <v>3.9583330000000001</v>
      </c>
      <c r="D477" s="16"/>
      <c r="E477" s="19">
        <f>(ADC!I477+5/3)/(1/12)</f>
        <v>68.650708785138164</v>
      </c>
      <c r="F477" s="20">
        <f>ABS(B477-E477)/B477</f>
        <v>1.7047537557602431E-2</v>
      </c>
      <c r="G477" s="2"/>
      <c r="H477" s="2"/>
      <c r="I477" s="19">
        <f>ABS(C477-ADC!I477)</f>
        <v>9.5892732094845723E-2</v>
      </c>
    </row>
    <row r="478" spans="1:9" x14ac:dyDescent="0.25">
      <c r="A478" s="5">
        <v>476</v>
      </c>
      <c r="B478" s="5">
        <f t="shared" si="14"/>
        <v>67.599999999999994</v>
      </c>
      <c r="C478" s="21">
        <f t="shared" si="15"/>
        <v>3.9666670000000002</v>
      </c>
      <c r="D478" s="16"/>
      <c r="E478" s="19">
        <f>(ADC!I478+5/3)/(1/12)</f>
        <v>68.750993006187628</v>
      </c>
      <c r="F478" s="20">
        <f>ABS(B478-E478)/B478</f>
        <v>1.702652376017209E-2</v>
      </c>
      <c r="G478" s="2"/>
      <c r="H478" s="2"/>
      <c r="I478" s="19">
        <f>ABS(C478-ADC!I478)</f>
        <v>9.5915750515635168E-2</v>
      </c>
    </row>
    <row r="479" spans="1:9" x14ac:dyDescent="0.25">
      <c r="A479" s="5">
        <v>477</v>
      </c>
      <c r="B479" s="5">
        <f t="shared" si="14"/>
        <v>67.7</v>
      </c>
      <c r="C479" s="21">
        <f t="shared" si="15"/>
        <v>3.9750000000000001</v>
      </c>
      <c r="D479" s="16"/>
      <c r="E479" s="19">
        <f>(ADC!I479+5/3)/(1/12)</f>
        <v>68.85724018308693</v>
      </c>
      <c r="F479" s="20">
        <f>ABS(B479-E479)/B479</f>
        <v>1.7093651153425801E-2</v>
      </c>
      <c r="G479" s="2"/>
      <c r="H479" s="2"/>
      <c r="I479" s="19">
        <f>ABS(C479-ADC!I479)</f>
        <v>9.6436681923909529E-2</v>
      </c>
    </row>
    <row r="480" spans="1:9" x14ac:dyDescent="0.25">
      <c r="A480" s="5">
        <v>478</v>
      </c>
      <c r="B480" s="5">
        <f t="shared" si="14"/>
        <v>67.800000000000011</v>
      </c>
      <c r="C480" s="21">
        <f t="shared" si="15"/>
        <v>3.983333</v>
      </c>
      <c r="D480" s="16"/>
      <c r="E480" s="19">
        <f>(ADC!I480+5/3)/(1/12)</f>
        <v>68.946157663642481</v>
      </c>
      <c r="F480" s="20">
        <f>ABS(B480-E480)/B480</f>
        <v>1.6904980289711938E-2</v>
      </c>
      <c r="G480" s="2"/>
      <c r="H480" s="2"/>
      <c r="I480" s="19">
        <f>ABS(C480-ADC!I480)</f>
        <v>9.5513471970206432E-2</v>
      </c>
    </row>
    <row r="481" spans="1:9" x14ac:dyDescent="0.25">
      <c r="A481" s="5">
        <v>479</v>
      </c>
      <c r="B481" s="5">
        <f t="shared" si="14"/>
        <v>67.900000000000006</v>
      </c>
      <c r="C481" s="21">
        <f t="shared" si="15"/>
        <v>3.9916670000000001</v>
      </c>
      <c r="D481" s="16"/>
      <c r="E481" s="19">
        <f>(ADC!I481+5/3)/(1/12)</f>
        <v>69.046861120277995</v>
      </c>
      <c r="F481" s="20">
        <f>ABS(B481-E481)/B481</f>
        <v>1.6890443597613984E-2</v>
      </c>
      <c r="G481" s="2"/>
      <c r="H481" s="2"/>
      <c r="I481" s="19">
        <f>ABS(C481-ADC!I481)</f>
        <v>9.5571426689831984E-2</v>
      </c>
    </row>
    <row r="482" spans="1:9" x14ac:dyDescent="0.25">
      <c r="A482" s="5">
        <v>480</v>
      </c>
      <c r="B482" s="5">
        <f t="shared" si="14"/>
        <v>68</v>
      </c>
      <c r="C482" s="21">
        <f t="shared" si="15"/>
        <v>4</v>
      </c>
      <c r="D482" s="16"/>
      <c r="E482" s="19">
        <f>(ADC!I482+5/3)/(1/12)</f>
        <v>69.141907387054459</v>
      </c>
      <c r="F482" s="20">
        <f>ABS(B482-E482)/B482</f>
        <v>1.6792755691977343E-2</v>
      </c>
      <c r="G482" s="2"/>
      <c r="H482" s="2"/>
      <c r="I482" s="19">
        <f>ABS(C482-ADC!I482)</f>
        <v>9.5158948921204356E-2</v>
      </c>
    </row>
    <row r="483" spans="1:9" x14ac:dyDescent="0.25">
      <c r="A483" s="5">
        <v>481</v>
      </c>
      <c r="B483" s="5">
        <f t="shared" si="14"/>
        <v>68.099999999999994</v>
      </c>
      <c r="C483" s="21">
        <f t="shared" si="15"/>
        <v>4.0083330000000004</v>
      </c>
      <c r="D483" s="16"/>
      <c r="E483" s="19">
        <f>(ADC!I483+5/3)/(1/12)</f>
        <v>69.242887408493175</v>
      </c>
      <c r="F483" s="20">
        <f>ABS(B483-E483)/B483</f>
        <v>1.6782487643071671E-2</v>
      </c>
      <c r="G483" s="2"/>
      <c r="H483" s="2"/>
      <c r="I483" s="19">
        <f>ABS(C483-ADC!I483)</f>
        <v>9.5240950707763616E-2</v>
      </c>
    </row>
    <row r="484" spans="1:9" x14ac:dyDescent="0.25">
      <c r="A484" s="5">
        <v>482</v>
      </c>
      <c r="B484" s="5">
        <f t="shared" si="14"/>
        <v>68.2</v>
      </c>
      <c r="C484" s="21">
        <f t="shared" si="15"/>
        <v>4.016667</v>
      </c>
      <c r="D484" s="16"/>
      <c r="E484" s="19">
        <f>(ADC!I484+5/3)/(1/12)</f>
        <v>69.338231120634845</v>
      </c>
      <c r="F484" s="20">
        <f>ABS(B484-E484)/B484</f>
        <v>1.6689605874411172E-2</v>
      </c>
      <c r="G484" s="2"/>
      <c r="H484" s="2"/>
      <c r="I484" s="19">
        <f>ABS(C484-ADC!I484)</f>
        <v>9.4852260052903148E-2</v>
      </c>
    </row>
    <row r="485" spans="1:9" x14ac:dyDescent="0.25">
      <c r="A485" s="5">
        <v>483</v>
      </c>
      <c r="B485" s="5">
        <f t="shared" si="14"/>
        <v>68.300000000000011</v>
      </c>
      <c r="C485" s="21">
        <f t="shared" si="15"/>
        <v>4.0250000000000004</v>
      </c>
      <c r="D485" s="16"/>
      <c r="E485" s="19">
        <f>(ADC!I485+5/3)/(1/12)</f>
        <v>69.445237101079698</v>
      </c>
      <c r="F485" s="20">
        <f>ABS(B485-E485)/B485</f>
        <v>1.6767746721518102E-2</v>
      </c>
      <c r="G485" s="2"/>
      <c r="H485" s="2"/>
      <c r="I485" s="19">
        <f>ABS(C485-ADC!I485)</f>
        <v>9.5436425089973298E-2</v>
      </c>
    </row>
    <row r="486" spans="1:9" x14ac:dyDescent="0.25">
      <c r="A486" s="5">
        <v>484</v>
      </c>
      <c r="B486" s="5">
        <f t="shared" si="14"/>
        <v>68.400000000000006</v>
      </c>
      <c r="C486" s="21">
        <f t="shared" si="15"/>
        <v>4.0333329999999998</v>
      </c>
      <c r="D486" s="16"/>
      <c r="E486" s="19">
        <f>(ADC!I486+5/3)/(1/12)</f>
        <v>69.540860954930665</v>
      </c>
      <c r="F486" s="20">
        <f>ABS(B486-E486)/B486</f>
        <v>1.6679253727056417E-2</v>
      </c>
      <c r="G486" s="2"/>
      <c r="H486" s="2"/>
      <c r="I486" s="19">
        <f>ABS(C486-ADC!I486)</f>
        <v>9.5072079577555257E-2</v>
      </c>
    </row>
    <row r="487" spans="1:9" x14ac:dyDescent="0.25">
      <c r="A487" s="5">
        <v>485</v>
      </c>
      <c r="B487" s="5">
        <f t="shared" si="14"/>
        <v>68.5</v>
      </c>
      <c r="C487" s="21">
        <f t="shared" si="15"/>
        <v>4.0416670000000003</v>
      </c>
      <c r="D487" s="16"/>
      <c r="E487" s="19">
        <f>(ADC!I487+5/3)/(1/12)</f>
        <v>69.642365956683449</v>
      </c>
      <c r="F487" s="20">
        <f>ABS(B487-E487)/B487</f>
        <v>1.6676875280050348E-2</v>
      </c>
      <c r="G487" s="2"/>
      <c r="H487" s="2"/>
      <c r="I487" s="19">
        <f>ABS(C487-ADC!I487)</f>
        <v>9.5196829723620091E-2</v>
      </c>
    </row>
    <row r="488" spans="1:9" x14ac:dyDescent="0.25">
      <c r="A488" s="5">
        <v>486</v>
      </c>
      <c r="B488" s="5">
        <f t="shared" si="14"/>
        <v>68.599999999999994</v>
      </c>
      <c r="C488" s="21">
        <f t="shared" si="15"/>
        <v>4.05</v>
      </c>
      <c r="D488" s="16"/>
      <c r="E488" s="19">
        <f>(ADC!I488+5/3)/(1/12)</f>
        <v>69.738276258857567</v>
      </c>
      <c r="F488" s="20">
        <f>ABS(B488-E488)/B488</f>
        <v>1.6592948379848003E-2</v>
      </c>
      <c r="G488" s="2"/>
      <c r="H488" s="2"/>
      <c r="I488" s="19">
        <f>ABS(C488-ADC!I488)</f>
        <v>9.485635490479627E-2</v>
      </c>
    </row>
    <row r="489" spans="1:9" x14ac:dyDescent="0.25">
      <c r="A489" s="5">
        <v>487</v>
      </c>
      <c r="B489" s="5">
        <f t="shared" si="14"/>
        <v>68.7</v>
      </c>
      <c r="C489" s="21">
        <f t="shared" si="15"/>
        <v>4.0583330000000002</v>
      </c>
      <c r="D489" s="16"/>
      <c r="E489" s="19">
        <f>(ADC!I489+5/3)/(1/12)</f>
        <v>69.834333592982958</v>
      </c>
      <c r="F489" s="20">
        <f>ABS(B489-E489)/B489</f>
        <v>1.6511406011396723E-2</v>
      </c>
      <c r="G489" s="2"/>
      <c r="H489" s="2"/>
      <c r="I489" s="19">
        <f>ABS(C489-ADC!I489)</f>
        <v>9.4528132748578741E-2</v>
      </c>
    </row>
    <row r="490" spans="1:9" x14ac:dyDescent="0.25">
      <c r="A490" s="5">
        <v>488</v>
      </c>
      <c r="B490" s="5">
        <f t="shared" si="14"/>
        <v>68.800000000000011</v>
      </c>
      <c r="C490" s="21">
        <f t="shared" si="15"/>
        <v>4.0666669999999998</v>
      </c>
      <c r="D490" s="16"/>
      <c r="E490" s="19">
        <f>(ADC!I490+5/3)/(1/12)</f>
        <v>69.930536579519213</v>
      </c>
      <c r="F490" s="20">
        <f>ABS(B490-E490)/B490</f>
        <v>1.6432217725569791E-2</v>
      </c>
      <c r="G490" s="2"/>
      <c r="H490" s="2"/>
      <c r="I490" s="19">
        <f>ABS(C490-ADC!I490)</f>
        <v>9.4211048293266764E-2</v>
      </c>
    </row>
    <row r="491" spans="1:9" x14ac:dyDescent="0.25">
      <c r="A491" s="5">
        <v>489</v>
      </c>
      <c r="B491" s="5">
        <f t="shared" si="14"/>
        <v>68.900000000000006</v>
      </c>
      <c r="C491" s="21">
        <f t="shared" si="15"/>
        <v>4.0750000000000002</v>
      </c>
      <c r="D491" s="16"/>
      <c r="E491" s="19">
        <f>(ADC!I491+5/3)/(1/12)</f>
        <v>70.032568321800653</v>
      </c>
      <c r="F491" s="20">
        <f>ABS(B491-E491)/B491</f>
        <v>1.64378566299078E-2</v>
      </c>
      <c r="G491" s="2"/>
      <c r="H491" s="2"/>
      <c r="I491" s="19">
        <f>ABS(C491-ADC!I491)</f>
        <v>9.4380693483386402E-2</v>
      </c>
    </row>
    <row r="492" spans="1:9" x14ac:dyDescent="0.25">
      <c r="A492" s="5">
        <v>490</v>
      </c>
      <c r="B492" s="5">
        <f t="shared" si="14"/>
        <v>69</v>
      </c>
      <c r="C492" s="21">
        <f t="shared" si="15"/>
        <v>4.0833329999999997</v>
      </c>
      <c r="D492" s="16"/>
      <c r="E492" s="19">
        <f>(ADC!I492+5/3)/(1/12)</f>
        <v>70.134719611284098</v>
      </c>
      <c r="F492" s="20">
        <f>ABS(B492-E492)/B492</f>
        <v>1.6445211757740545E-2</v>
      </c>
      <c r="G492" s="2"/>
      <c r="H492" s="2"/>
      <c r="I492" s="19">
        <f>ABS(C492-ADC!I492)</f>
        <v>9.4560300940341513E-2</v>
      </c>
    </row>
    <row r="493" spans="1:9" x14ac:dyDescent="0.25">
      <c r="A493" s="5">
        <v>491</v>
      </c>
      <c r="B493" s="5">
        <f t="shared" si="14"/>
        <v>69.099999999999994</v>
      </c>
      <c r="C493" s="21">
        <f t="shared" si="15"/>
        <v>4.0916670000000002</v>
      </c>
      <c r="D493" s="16"/>
      <c r="E493" s="19">
        <f>(ADC!I493+5/3)/(1/12)</f>
        <v>70.231327949795698</v>
      </c>
      <c r="F493" s="20">
        <f>ABS(B493-E493)/B493</f>
        <v>1.6372329230039135E-2</v>
      </c>
      <c r="G493" s="2"/>
      <c r="H493" s="2"/>
      <c r="I493" s="19">
        <f>ABS(C493-ADC!I493)</f>
        <v>9.4276995816307441E-2</v>
      </c>
    </row>
    <row r="494" spans="1:9" x14ac:dyDescent="0.25">
      <c r="A494" s="5">
        <v>492</v>
      </c>
      <c r="B494" s="5">
        <f t="shared" si="14"/>
        <v>69.2</v>
      </c>
      <c r="C494" s="21">
        <f t="shared" si="15"/>
        <v>4.0999999999999996</v>
      </c>
      <c r="D494" s="16"/>
      <c r="E494" s="19">
        <f>(ADC!I494+5/3)/(1/12)</f>
        <v>70.328076472399772</v>
      </c>
      <c r="F494" s="20">
        <f>ABS(B494-E494)/B494</f>
        <v>1.6301683127164294E-2</v>
      </c>
      <c r="G494" s="2"/>
      <c r="H494" s="2"/>
      <c r="I494" s="19">
        <f>ABS(C494-ADC!I494)</f>
        <v>9.4006372699980467E-2</v>
      </c>
    </row>
    <row r="495" spans="1:9" x14ac:dyDescent="0.25">
      <c r="A495" s="5">
        <v>493</v>
      </c>
      <c r="B495" s="5">
        <f t="shared" si="14"/>
        <v>69.300000000000011</v>
      </c>
      <c r="C495" s="21">
        <f t="shared" si="15"/>
        <v>4.108333</v>
      </c>
      <c r="D495" s="16"/>
      <c r="E495" s="19">
        <f>(ADC!I495+5/3)/(1/12)</f>
        <v>70.419325943513215</v>
      </c>
      <c r="F495" s="20">
        <f>ABS(B495-E495)/B495</f>
        <v>1.6151889516785041E-2</v>
      </c>
      <c r="G495" s="2"/>
      <c r="H495" s="2"/>
      <c r="I495" s="19">
        <f>ABS(C495-ADC!I495)</f>
        <v>9.3277495292767298E-2</v>
      </c>
    </row>
    <row r="496" spans="1:9" x14ac:dyDescent="0.25">
      <c r="A496" s="5">
        <v>494</v>
      </c>
      <c r="B496" s="5">
        <f t="shared" si="14"/>
        <v>69.400000000000006</v>
      </c>
      <c r="C496" s="21">
        <f t="shared" si="15"/>
        <v>4.1166669999999996</v>
      </c>
      <c r="D496" s="16"/>
      <c r="E496" s="19">
        <f>(ADC!I496+5/3)/(1/12)</f>
        <v>70.516362352858181</v>
      </c>
      <c r="F496" s="20">
        <f>ABS(B496-E496)/B496</f>
        <v>1.6085912865391572E-2</v>
      </c>
      <c r="G496" s="2"/>
      <c r="H496" s="2"/>
      <c r="I496" s="19">
        <f>ABS(C496-ADC!I496)</f>
        <v>9.3029862738181812E-2</v>
      </c>
    </row>
    <row r="497" spans="1:9" x14ac:dyDescent="0.25">
      <c r="A497" s="5">
        <v>495</v>
      </c>
      <c r="B497" s="5">
        <f t="shared" si="14"/>
        <v>69.5</v>
      </c>
      <c r="C497" s="21">
        <f t="shared" si="15"/>
        <v>4.125</v>
      </c>
      <c r="D497" s="16"/>
      <c r="E497" s="19">
        <f>(ADC!I497+5/3)/(1/12)</f>
        <v>70.613534841412232</v>
      </c>
      <c r="F497" s="20">
        <f>ABS(B497-E497)/B497</f>
        <v>1.6022084049096861E-2</v>
      </c>
      <c r="G497" s="2"/>
      <c r="H497" s="2"/>
      <c r="I497" s="19">
        <f>ABS(C497-ADC!I497)</f>
        <v>9.2794570117685105E-2</v>
      </c>
    </row>
    <row r="498" spans="1:9" x14ac:dyDescent="0.25">
      <c r="A498" s="5">
        <v>496</v>
      </c>
      <c r="B498" s="5">
        <f t="shared" si="14"/>
        <v>69.599999999999994</v>
      </c>
      <c r="C498" s="21">
        <f t="shared" si="15"/>
        <v>4.1333330000000004</v>
      </c>
      <c r="D498" s="16"/>
      <c r="E498" s="19">
        <f>(ADC!I498+5/3)/(1/12)</f>
        <v>70.71084204770419</v>
      </c>
      <c r="F498" s="20">
        <f>ABS(B498-E498)/B498</f>
        <v>1.5960374248623507E-2</v>
      </c>
      <c r="G498" s="2"/>
      <c r="H498" s="2"/>
      <c r="I498" s="19">
        <f>ABS(C498-ADC!I498)</f>
        <v>9.257050397534794E-2</v>
      </c>
    </row>
    <row r="499" spans="1:9" x14ac:dyDescent="0.25">
      <c r="A499" s="5">
        <v>497</v>
      </c>
      <c r="B499" s="5">
        <f t="shared" si="14"/>
        <v>69.7</v>
      </c>
      <c r="C499" s="21">
        <f t="shared" si="15"/>
        <v>4.141667</v>
      </c>
      <c r="D499" s="16"/>
      <c r="E499" s="19">
        <f>(ADC!I499+5/3)/(1/12)</f>
        <v>70.808282620126747</v>
      </c>
      <c r="F499" s="20">
        <f>ABS(B499-E499)/B499</f>
        <v>1.5900754951603209E-2</v>
      </c>
      <c r="G499" s="2"/>
      <c r="H499" s="2"/>
      <c r="I499" s="19">
        <f>ABS(C499-ADC!I499)</f>
        <v>9.2356551677228005E-2</v>
      </c>
    </row>
    <row r="500" spans="1:9" x14ac:dyDescent="0.25">
      <c r="A500" s="5">
        <v>498</v>
      </c>
      <c r="B500" s="5">
        <f t="shared" si="14"/>
        <v>69.800000000000011</v>
      </c>
      <c r="C500" s="21">
        <f t="shared" si="15"/>
        <v>4.1500000000000004</v>
      </c>
      <c r="D500" s="16"/>
      <c r="E500" s="19">
        <f>(ADC!I500+5/3)/(1/12)</f>
        <v>70.905855204497414</v>
      </c>
      <c r="F500" s="20">
        <f>ABS(B500-E500)/B500</f>
        <v>1.5843197772169082E-2</v>
      </c>
      <c r="G500" s="2"/>
      <c r="H500" s="2"/>
      <c r="I500" s="19">
        <f>ABS(C500-ADC!I500)</f>
        <v>9.2154600374783513E-2</v>
      </c>
    </row>
    <row r="501" spans="1:9" x14ac:dyDescent="0.25">
      <c r="A501" s="5">
        <v>499</v>
      </c>
      <c r="B501" s="5">
        <f t="shared" si="14"/>
        <v>69.900000000000006</v>
      </c>
      <c r="C501" s="21">
        <f t="shared" si="15"/>
        <v>4.1583329999999998</v>
      </c>
      <c r="D501" s="16"/>
      <c r="E501" s="19">
        <f>(ADC!I501+5/3)/(1/12)</f>
        <v>70.99799010204579</v>
      </c>
      <c r="F501" s="20">
        <f>ABS(B501-E501)/B501</f>
        <v>1.5708012904803784E-2</v>
      </c>
      <c r="G501" s="2"/>
      <c r="H501" s="2"/>
      <c r="I501" s="19">
        <f>ABS(C501-ADC!I501)</f>
        <v>9.149950850381483E-2</v>
      </c>
    </row>
    <row r="502" spans="1:9" x14ac:dyDescent="0.25">
      <c r="A502" s="5">
        <v>500</v>
      </c>
      <c r="B502" s="5">
        <f t="shared" si="14"/>
        <v>70</v>
      </c>
      <c r="C502" s="21">
        <f t="shared" si="15"/>
        <v>4.1666670000000003</v>
      </c>
      <c r="D502" s="16"/>
      <c r="E502" s="19">
        <f>(ADC!I502+5/3)/(1/12)</f>
        <v>71.101391032986896</v>
      </c>
      <c r="F502" s="20">
        <f>ABS(B502-E502)/B502</f>
        <v>1.5734157614098521E-2</v>
      </c>
      <c r="G502" s="2"/>
      <c r="H502" s="2"/>
      <c r="I502" s="19">
        <f>ABS(C502-ADC!I502)</f>
        <v>9.1782252748907389E-2</v>
      </c>
    </row>
    <row r="503" spans="1:9" x14ac:dyDescent="0.25">
      <c r="A503" s="5">
        <v>501</v>
      </c>
      <c r="B503" s="5">
        <f t="shared" si="14"/>
        <v>70.099999999999994</v>
      </c>
      <c r="C503" s="21">
        <f t="shared" si="15"/>
        <v>4.1749999999999998</v>
      </c>
      <c r="D503" s="16"/>
      <c r="E503" s="19">
        <f>(ADC!I503+5/3)/(1/12)</f>
        <v>71.199351591305572</v>
      </c>
      <c r="F503" s="20">
        <f>ABS(B503-E503)/B503</f>
        <v>1.5682618991520365E-2</v>
      </c>
      <c r="G503" s="2"/>
      <c r="H503" s="2"/>
      <c r="I503" s="19">
        <f>ABS(C503-ADC!I503)</f>
        <v>9.1612632608796929E-2</v>
      </c>
    </row>
    <row r="504" spans="1:9" x14ac:dyDescent="0.25">
      <c r="A504" s="5">
        <v>502</v>
      </c>
      <c r="B504" s="5">
        <f t="shared" si="14"/>
        <v>70.2</v>
      </c>
      <c r="C504" s="21">
        <f t="shared" si="15"/>
        <v>4.1833330000000002</v>
      </c>
      <c r="D504" s="16"/>
      <c r="E504" s="19">
        <f>(ADC!I504+5/3)/(1/12)</f>
        <v>71.291904960603773</v>
      </c>
      <c r="F504" s="20">
        <f>ABS(B504-E504)/B504</f>
        <v>1.5554201718002425E-2</v>
      </c>
      <c r="G504" s="2"/>
      <c r="H504" s="2"/>
      <c r="I504" s="19">
        <f>ABS(C504-ADC!I504)</f>
        <v>9.0992413383647275E-2</v>
      </c>
    </row>
    <row r="505" spans="1:9" x14ac:dyDescent="0.25">
      <c r="A505" s="5">
        <v>503</v>
      </c>
      <c r="B505" s="5">
        <f t="shared" si="14"/>
        <v>70.300000000000011</v>
      </c>
      <c r="C505" s="21">
        <f t="shared" si="15"/>
        <v>4.1916669999999998</v>
      </c>
      <c r="D505" s="16"/>
      <c r="E505" s="19">
        <f>(ADC!I505+5/3)/(1/12)</f>
        <v>71.390128947976891</v>
      </c>
      <c r="F505" s="20">
        <f>ABS(B505-E505)/B505</f>
        <v>1.5506812915745079E-2</v>
      </c>
      <c r="G505" s="2"/>
      <c r="H505" s="2"/>
      <c r="I505" s="19">
        <f>ABS(C505-ADC!I505)</f>
        <v>9.0843745664740183E-2</v>
      </c>
    </row>
    <row r="506" spans="1:9" x14ac:dyDescent="0.25">
      <c r="A506" s="5">
        <v>504</v>
      </c>
      <c r="B506" s="5">
        <f t="shared" si="14"/>
        <v>70.400000000000006</v>
      </c>
      <c r="C506" s="21">
        <f t="shared" si="15"/>
        <v>4.2</v>
      </c>
      <c r="D506" s="16"/>
      <c r="E506" s="19">
        <f>(ADC!I506+5/3)/(1/12)</f>
        <v>71.482966024979362</v>
      </c>
      <c r="F506" s="20">
        <f>ABS(B506-E506)/B506</f>
        <v>1.5383040127547673E-2</v>
      </c>
      <c r="G506" s="2"/>
      <c r="H506" s="2"/>
      <c r="I506" s="19">
        <f>ABS(C506-ADC!I506)</f>
        <v>9.0247168748279094E-2</v>
      </c>
    </row>
    <row r="507" spans="1:9" x14ac:dyDescent="0.25">
      <c r="A507" s="5">
        <v>505</v>
      </c>
      <c r="B507" s="5">
        <f t="shared" si="14"/>
        <v>70.5</v>
      </c>
      <c r="C507" s="21">
        <f t="shared" si="15"/>
        <v>4.2083329999999997</v>
      </c>
      <c r="D507" s="16"/>
      <c r="E507" s="19">
        <f>(ADC!I507+5/3)/(1/12)</f>
        <v>71.581448053919587</v>
      </c>
      <c r="F507" s="20">
        <f>ABS(B507-E507)/B507</f>
        <v>1.5339688708079249E-2</v>
      </c>
      <c r="G507" s="2"/>
      <c r="H507" s="2"/>
      <c r="I507" s="19">
        <f>ABS(C507-ADC!I507)</f>
        <v>9.0121004493298074E-2</v>
      </c>
    </row>
    <row r="508" spans="1:9" x14ac:dyDescent="0.25">
      <c r="A508" s="5">
        <v>506</v>
      </c>
      <c r="B508" s="5">
        <f t="shared" si="14"/>
        <v>70.599999999999994</v>
      </c>
      <c r="C508" s="21">
        <f t="shared" si="15"/>
        <v>4.2166670000000002</v>
      </c>
      <c r="D508" s="16"/>
      <c r="E508" s="19">
        <f>(ADC!I508+5/3)/(1/12)</f>
        <v>71.680051375044286</v>
      </c>
      <c r="F508" s="20">
        <f>ABS(B508-E508)/B508</f>
        <v>1.5298178116774671E-2</v>
      </c>
      <c r="G508" s="2"/>
      <c r="H508" s="2"/>
      <c r="I508" s="19">
        <f>ABS(C508-ADC!I508)</f>
        <v>9.0003947920356708E-2</v>
      </c>
    </row>
    <row r="509" spans="1:9" x14ac:dyDescent="0.25">
      <c r="A509" s="5">
        <v>507</v>
      </c>
      <c r="B509" s="5">
        <f t="shared" si="14"/>
        <v>70.7</v>
      </c>
      <c r="C509" s="21">
        <f t="shared" si="15"/>
        <v>4.2249999999999996</v>
      </c>
      <c r="D509" s="16"/>
      <c r="E509" s="19">
        <f>(ADC!I509+5/3)/(1/12)</f>
        <v>71.773298105658313</v>
      </c>
      <c r="F509" s="20">
        <f>ABS(B509-E509)/B509</f>
        <v>1.5181019882012869E-2</v>
      </c>
      <c r="G509" s="2"/>
      <c r="H509" s="2"/>
      <c r="I509" s="19">
        <f>ABS(C509-ADC!I509)</f>
        <v>8.9441508804858572E-2</v>
      </c>
    </row>
    <row r="510" spans="1:9" x14ac:dyDescent="0.25">
      <c r="A510" s="5">
        <v>508</v>
      </c>
      <c r="B510" s="5">
        <f t="shared" si="14"/>
        <v>70.800000000000011</v>
      </c>
      <c r="C510" s="21">
        <f t="shared" si="15"/>
        <v>4.233333</v>
      </c>
      <c r="D510" s="16"/>
      <c r="E510" s="19">
        <f>(ADC!I510+5/3)/(1/12)</f>
        <v>71.861221171114792</v>
      </c>
      <c r="F510" s="20">
        <f>ABS(B510-E510)/B510</f>
        <v>1.4988999592016675E-2</v>
      </c>
      <c r="G510" s="2"/>
      <c r="H510" s="2"/>
      <c r="I510" s="19">
        <f>ABS(C510-ADC!I510)</f>
        <v>8.8435430926232073E-2</v>
      </c>
    </row>
    <row r="511" spans="1:9" x14ac:dyDescent="0.25">
      <c r="A511" s="5">
        <v>509</v>
      </c>
      <c r="B511" s="5">
        <f t="shared" si="14"/>
        <v>70.900000000000006</v>
      </c>
      <c r="C511" s="21">
        <f t="shared" si="15"/>
        <v>4.2416669999999996</v>
      </c>
      <c r="D511" s="16"/>
      <c r="E511" s="19">
        <f>(ADC!I511+5/3)/(1/12)</f>
        <v>71.960214606072427</v>
      </c>
      <c r="F511" s="20">
        <f>ABS(B511-E511)/B511</f>
        <v>1.4953661580711155E-2</v>
      </c>
      <c r="G511" s="2"/>
      <c r="H511" s="2"/>
      <c r="I511" s="19">
        <f>ABS(C511-ADC!I511)</f>
        <v>8.8350883839368066E-2</v>
      </c>
    </row>
    <row r="512" spans="1:9" x14ac:dyDescent="0.25">
      <c r="A512" s="5">
        <v>510</v>
      </c>
      <c r="B512" s="5">
        <f t="shared" si="14"/>
        <v>71</v>
      </c>
      <c r="C512" s="21">
        <f t="shared" si="15"/>
        <v>4.25</v>
      </c>
      <c r="D512" s="16"/>
      <c r="E512" s="19">
        <f>(ADC!I512+5/3)/(1/12)</f>
        <v>72.059324020185983</v>
      </c>
      <c r="F512" s="20">
        <f>ABS(B512-E512)/B512</f>
        <v>1.4920056622337786E-2</v>
      </c>
      <c r="G512" s="2"/>
      <c r="H512" s="2"/>
      <c r="I512" s="19">
        <f>ABS(C512-ADC!I512)</f>
        <v>8.8277001682164347E-2</v>
      </c>
    </row>
    <row r="513" spans="1:9" x14ac:dyDescent="0.25">
      <c r="A513" s="5">
        <v>511</v>
      </c>
      <c r="B513" s="5">
        <f t="shared" si="14"/>
        <v>71.099999999999994</v>
      </c>
      <c r="C513" s="21">
        <f t="shared" si="15"/>
        <v>4.2583330000000004</v>
      </c>
      <c r="D513" s="16"/>
      <c r="E513" s="19">
        <f>(ADC!I513+5/3)/(1/12)</f>
        <v>72.15311708954836</v>
      </c>
      <c r="F513" s="20">
        <f>ABS(B513-E513)/B513</f>
        <v>1.4811773411369416E-2</v>
      </c>
      <c r="G513" s="2"/>
      <c r="H513" s="2"/>
      <c r="I513" s="19">
        <f>ABS(C513-ADC!I513)</f>
        <v>8.7760090795695689E-2</v>
      </c>
    </row>
    <row r="514" spans="1:9" x14ac:dyDescent="0.25">
      <c r="A514" s="5">
        <v>512</v>
      </c>
      <c r="B514" s="5">
        <f t="shared" si="14"/>
        <v>71.2</v>
      </c>
      <c r="C514" s="21">
        <f t="shared" si="15"/>
        <v>4.266667</v>
      </c>
      <c r="D514" s="16"/>
      <c r="E514" s="19">
        <f>(ADC!I514+5/3)/(1/12)</f>
        <v>72.247046210710593</v>
      </c>
      <c r="F514" s="20">
        <f>ABS(B514-E514)/B514</f>
        <v>1.4705705206609413E-2</v>
      </c>
      <c r="G514" s="2"/>
      <c r="H514" s="2"/>
      <c r="I514" s="19">
        <f>ABS(C514-ADC!I514)</f>
        <v>8.725351755921551E-2</v>
      </c>
    </row>
    <row r="515" spans="1:9" x14ac:dyDescent="0.25">
      <c r="A515" s="5">
        <v>513</v>
      </c>
      <c r="B515" s="5">
        <f t="shared" ref="B515:B578" si="16">0.1*A515+20</f>
        <v>71.300000000000011</v>
      </c>
      <c r="C515" s="21">
        <f t="shared" ref="C515:C578" si="17">ROUND(1/12*B515-5/3,6)</f>
        <v>4.2750000000000004</v>
      </c>
      <c r="D515" s="16"/>
      <c r="E515" s="19">
        <f>(ADC!I515+5/3)/(1/12)</f>
        <v>72.341110036560877</v>
      </c>
      <c r="F515" s="20">
        <f>ABS(B515-E515)/B515</f>
        <v>1.4601823794682552E-2</v>
      </c>
      <c r="G515" s="2"/>
      <c r="H515" s="2"/>
      <c r="I515" s="19">
        <f>ABS(C515-ADC!I515)</f>
        <v>8.6759169713404916E-2</v>
      </c>
    </row>
    <row r="516" spans="1:9" x14ac:dyDescent="0.25">
      <c r="A516" s="5">
        <v>514</v>
      </c>
      <c r="B516" s="5">
        <f t="shared" si="16"/>
        <v>71.400000000000006</v>
      </c>
      <c r="C516" s="21">
        <f t="shared" si="17"/>
        <v>4.2833329999999998</v>
      </c>
      <c r="D516" s="16"/>
      <c r="E516" s="19">
        <f>(ADC!I516+5/3)/(1/12)</f>
        <v>72.435307218546882</v>
      </c>
      <c r="F516" s="20">
        <f>ABS(B516-E516)/B516</f>
        <v>1.4500101100096302E-2</v>
      </c>
      <c r="G516" s="2"/>
      <c r="H516" s="2"/>
      <c r="I516" s="19">
        <f>ABS(C516-ADC!I516)</f>
        <v>8.6275934878906391E-2</v>
      </c>
    </row>
    <row r="517" spans="1:9" x14ac:dyDescent="0.25">
      <c r="A517" s="5">
        <v>515</v>
      </c>
      <c r="B517" s="5">
        <f t="shared" si="16"/>
        <v>71.5</v>
      </c>
      <c r="C517" s="21">
        <f t="shared" si="17"/>
        <v>4.2916670000000003</v>
      </c>
      <c r="D517" s="16"/>
      <c r="E517" s="19">
        <f>(ADC!I517+5/3)/(1/12)</f>
        <v>72.535022134914044</v>
      </c>
      <c r="F517" s="20">
        <f>ABS(B517-E517)/B517</f>
        <v>1.4475834054741874E-2</v>
      </c>
      <c r="G517" s="2"/>
      <c r="H517" s="2"/>
      <c r="I517" s="19">
        <f>ABS(C517-ADC!I517)</f>
        <v>8.6251511242835477E-2</v>
      </c>
    </row>
    <row r="518" spans="1:9" x14ac:dyDescent="0.25">
      <c r="A518" s="5">
        <v>516</v>
      </c>
      <c r="B518" s="5">
        <f t="shared" si="16"/>
        <v>71.599999999999994</v>
      </c>
      <c r="C518" s="21">
        <f t="shared" si="17"/>
        <v>4.3</v>
      </c>
      <c r="D518" s="16"/>
      <c r="E518" s="19">
        <f>(ADC!I518+5/3)/(1/12)</f>
        <v>72.629470722113325</v>
      </c>
      <c r="F518" s="20">
        <f>ABS(B518-E518)/B518</f>
        <v>1.4378082711080041E-2</v>
      </c>
      <c r="G518" s="2"/>
      <c r="H518" s="2"/>
      <c r="I518" s="19">
        <f>ABS(C518-ADC!I518)</f>
        <v>8.5789226842776678E-2</v>
      </c>
    </row>
    <row r="519" spans="1:9" x14ac:dyDescent="0.25">
      <c r="A519" s="5">
        <v>517</v>
      </c>
      <c r="B519" s="5">
        <f t="shared" si="16"/>
        <v>71.7</v>
      </c>
      <c r="C519" s="21">
        <f t="shared" si="17"/>
        <v>4.3083330000000002</v>
      </c>
      <c r="D519" s="16"/>
      <c r="E519" s="19">
        <f>(ADC!I519+5/3)/(1/12)</f>
        <v>72.718685499640117</v>
      </c>
      <c r="F519" s="20">
        <f>ABS(B519-E519)/B519</f>
        <v>1.4207608084241475E-2</v>
      </c>
      <c r="G519" s="2"/>
      <c r="H519" s="2"/>
      <c r="I519" s="19">
        <f>ABS(C519-ADC!I519)</f>
        <v>8.4890791636675011E-2</v>
      </c>
    </row>
    <row r="520" spans="1:9" x14ac:dyDescent="0.25">
      <c r="A520" s="5">
        <v>518</v>
      </c>
      <c r="B520" s="5">
        <f t="shared" si="16"/>
        <v>71.800000000000011</v>
      </c>
      <c r="C520" s="21">
        <f t="shared" si="17"/>
        <v>4.3166669999999998</v>
      </c>
      <c r="D520" s="16"/>
      <c r="E520" s="19">
        <f>(ADC!I520+5/3)/(1/12)</f>
        <v>72.813402718368906</v>
      </c>
      <c r="F520" s="20">
        <f>ABS(B520-E520)/B520</f>
        <v>1.4114243988424709E-2</v>
      </c>
      <c r="G520" s="2"/>
      <c r="H520" s="2"/>
      <c r="I520" s="19">
        <f>ABS(C520-ADC!I520)</f>
        <v>8.4449893197408699E-2</v>
      </c>
    </row>
    <row r="521" spans="1:9" x14ac:dyDescent="0.25">
      <c r="A521" s="5">
        <v>519</v>
      </c>
      <c r="B521" s="5">
        <f t="shared" si="16"/>
        <v>71.900000000000006</v>
      </c>
      <c r="C521" s="21">
        <f t="shared" si="17"/>
        <v>4.3250000000000002</v>
      </c>
      <c r="D521" s="16"/>
      <c r="E521" s="19">
        <f>(ADC!I521+5/3)/(1/12)</f>
        <v>72.90824661886468</v>
      </c>
      <c r="F521" s="20">
        <f>ABS(B521-E521)/B521</f>
        <v>1.4022901514112306E-2</v>
      </c>
      <c r="G521" s="2"/>
      <c r="H521" s="2"/>
      <c r="I521" s="19">
        <f>ABS(C521-ADC!I521)</f>
        <v>8.4020551572055346E-2</v>
      </c>
    </row>
    <row r="522" spans="1:9" x14ac:dyDescent="0.25">
      <c r="A522" s="5">
        <v>520</v>
      </c>
      <c r="B522" s="5">
        <f t="shared" si="16"/>
        <v>72</v>
      </c>
      <c r="C522" s="21">
        <f t="shared" si="17"/>
        <v>4.3333329999999997</v>
      </c>
      <c r="D522" s="16"/>
      <c r="E522" s="19">
        <f>(ADC!I522+5/3)/(1/12)</f>
        <v>73.008545333162388</v>
      </c>
      <c r="F522" s="20">
        <f>ABS(B522-E522)/B522</f>
        <v>1.4007574071699835E-2</v>
      </c>
      <c r="G522" s="2"/>
      <c r="H522" s="2"/>
      <c r="I522" s="19">
        <f>ABS(C522-ADC!I522)</f>
        <v>8.4045777763532392E-2</v>
      </c>
    </row>
    <row r="523" spans="1:9" x14ac:dyDescent="0.25">
      <c r="A523" s="5">
        <v>521</v>
      </c>
      <c r="B523" s="5">
        <f t="shared" si="16"/>
        <v>72.099999999999994</v>
      </c>
      <c r="C523" s="21">
        <f t="shared" si="17"/>
        <v>4.3416670000000002</v>
      </c>
      <c r="D523" s="16"/>
      <c r="E523" s="19">
        <f>(ADC!I523+5/3)/(1/12)</f>
        <v>73.098309155969147</v>
      </c>
      <c r="F523" s="20">
        <f>ABS(B523-E523)/B523</f>
        <v>1.3846174146590196E-2</v>
      </c>
      <c r="G523" s="2"/>
      <c r="H523" s="2"/>
      <c r="I523" s="19">
        <f>ABS(C523-ADC!I523)</f>
        <v>8.3192096330761522E-2</v>
      </c>
    </row>
    <row r="524" spans="1:9" x14ac:dyDescent="0.25">
      <c r="A524" s="5">
        <v>522</v>
      </c>
      <c r="B524" s="5">
        <f t="shared" si="16"/>
        <v>72.2</v>
      </c>
      <c r="C524" s="21">
        <f t="shared" si="17"/>
        <v>4.3499999999999996</v>
      </c>
      <c r="D524" s="16"/>
      <c r="E524" s="19">
        <f>(ADC!I524+5/3)/(1/12)</f>
        <v>73.193525154219984</v>
      </c>
      <c r="F524" s="20">
        <f>ABS(B524-E524)/B524</f>
        <v>1.3760736208032974E-2</v>
      </c>
      <c r="G524" s="2"/>
      <c r="H524" s="2"/>
      <c r="I524" s="19">
        <f>ABS(C524-ADC!I524)</f>
        <v>8.2793762851665065E-2</v>
      </c>
    </row>
    <row r="525" spans="1:9" x14ac:dyDescent="0.25">
      <c r="A525" s="5">
        <v>523</v>
      </c>
      <c r="B525" s="5">
        <f t="shared" si="16"/>
        <v>72.300000000000011</v>
      </c>
      <c r="C525" s="21">
        <f t="shared" si="17"/>
        <v>4.358333</v>
      </c>
      <c r="D525" s="16"/>
      <c r="E525" s="19">
        <f>(ADC!I525+5/3)/(1/12)</f>
        <v>73.283566662335616</v>
      </c>
      <c r="F525" s="20">
        <f>ABS(B525-E525)/B525</f>
        <v>1.3603964900907393E-2</v>
      </c>
      <c r="G525" s="2"/>
      <c r="H525" s="2"/>
      <c r="I525" s="19">
        <f>ABS(C525-ADC!I525)</f>
        <v>8.1964221861300146E-2</v>
      </c>
    </row>
    <row r="526" spans="1:9" x14ac:dyDescent="0.25">
      <c r="A526" s="5">
        <v>524</v>
      </c>
      <c r="B526" s="5">
        <f t="shared" si="16"/>
        <v>72.400000000000006</v>
      </c>
      <c r="C526" s="21">
        <f t="shared" si="17"/>
        <v>4.3666669999999996</v>
      </c>
      <c r="D526" s="16"/>
      <c r="E526" s="19">
        <f>(ADC!I526+5/3)/(1/12)</f>
        <v>73.379035302532785</v>
      </c>
      <c r="F526" s="20">
        <f>ABS(B526-E526)/B526</f>
        <v>1.3522587051557719E-2</v>
      </c>
      <c r="G526" s="2"/>
      <c r="H526" s="2"/>
      <c r="I526" s="19">
        <f>ABS(C526-ADC!I526)</f>
        <v>8.1585941877731827E-2</v>
      </c>
    </row>
    <row r="527" spans="1:9" x14ac:dyDescent="0.25">
      <c r="A527" s="5">
        <v>525</v>
      </c>
      <c r="B527" s="5">
        <f t="shared" si="16"/>
        <v>72.5</v>
      </c>
      <c r="C527" s="21">
        <f t="shared" si="17"/>
        <v>4.375</v>
      </c>
      <c r="D527" s="16"/>
      <c r="E527" s="19">
        <f>(ADC!I527+5/3)/(1/12)</f>
        <v>73.469349118158888</v>
      </c>
      <c r="F527" s="20">
        <f>ABS(B527-E527)/B527</f>
        <v>1.3370332664260527E-2</v>
      </c>
      <c r="G527" s="2"/>
      <c r="H527" s="2"/>
      <c r="I527" s="19">
        <f>ABS(C527-ADC!I527)</f>
        <v>8.077909317990617E-2</v>
      </c>
    </row>
    <row r="528" spans="1:9" x14ac:dyDescent="0.25">
      <c r="A528" s="5">
        <v>526</v>
      </c>
      <c r="B528" s="5">
        <f t="shared" si="16"/>
        <v>72.599999999999994</v>
      </c>
      <c r="C528" s="21">
        <f t="shared" si="17"/>
        <v>4.3833330000000004</v>
      </c>
      <c r="D528" s="16"/>
      <c r="E528" s="19">
        <f>(ADC!I528+5/3)/(1/12)</f>
        <v>73.565065102571339</v>
      </c>
      <c r="F528" s="20">
        <f>ABS(B528-E528)/B528</f>
        <v>1.329290774891659E-2</v>
      </c>
      <c r="G528" s="2"/>
      <c r="H528" s="2"/>
      <c r="I528" s="19">
        <f>ABS(C528-ADC!I528)</f>
        <v>8.042242521427756E-2</v>
      </c>
    </row>
    <row r="529" spans="1:9" x14ac:dyDescent="0.25">
      <c r="A529" s="5">
        <v>527</v>
      </c>
      <c r="B529" s="5">
        <f t="shared" si="16"/>
        <v>72.7</v>
      </c>
      <c r="C529" s="21">
        <f t="shared" si="17"/>
        <v>4.391667</v>
      </c>
      <c r="D529" s="16"/>
      <c r="E529" s="19">
        <f>(ADC!I529+5/3)/(1/12)</f>
        <v>73.655645878265204</v>
      </c>
      <c r="F529" s="20">
        <f>ABS(B529-E529)/B529</f>
        <v>1.314506022373042E-2</v>
      </c>
      <c r="G529" s="2"/>
      <c r="H529" s="2"/>
      <c r="I529" s="19">
        <f>ABS(C529-ADC!I529)</f>
        <v>7.9636823188766748E-2</v>
      </c>
    </row>
    <row r="530" spans="1:9" x14ac:dyDescent="0.25">
      <c r="A530" s="5">
        <v>528</v>
      </c>
      <c r="B530" s="5">
        <f t="shared" si="16"/>
        <v>72.800000000000011</v>
      </c>
      <c r="C530" s="21">
        <f t="shared" si="17"/>
        <v>4.4000000000000004</v>
      </c>
      <c r="D530" s="16"/>
      <c r="E530" s="19">
        <f>(ADC!I530+5/3)/(1/12)</f>
        <v>73.746363689218313</v>
      </c>
      <c r="F530" s="20">
        <f>ABS(B530-E530)/B530</f>
        <v>1.2999501225526122E-2</v>
      </c>
      <c r="G530" s="2"/>
      <c r="H530" s="2"/>
      <c r="I530" s="19">
        <f>ABS(C530-ADC!I530)</f>
        <v>7.8863640768191523E-2</v>
      </c>
    </row>
    <row r="531" spans="1:9" x14ac:dyDescent="0.25">
      <c r="A531" s="5">
        <v>529</v>
      </c>
      <c r="B531" s="5">
        <f t="shared" si="16"/>
        <v>72.900000000000006</v>
      </c>
      <c r="C531" s="21">
        <f t="shared" si="17"/>
        <v>4.4083329999999998</v>
      </c>
      <c r="D531" s="16"/>
      <c r="E531" s="19">
        <f>(ADC!I531+5/3)/(1/12)</f>
        <v>73.842446354285002</v>
      </c>
      <c r="F531" s="20">
        <f>ABS(B531-E531)/B531</f>
        <v>1.2927933529286643E-2</v>
      </c>
      <c r="G531" s="2"/>
      <c r="H531" s="2"/>
      <c r="I531" s="19">
        <f>ABS(C531-ADC!I531)</f>
        <v>7.8537529523750038E-2</v>
      </c>
    </row>
    <row r="532" spans="1:9" x14ac:dyDescent="0.25">
      <c r="A532" s="5">
        <v>530</v>
      </c>
      <c r="B532" s="5">
        <f t="shared" si="16"/>
        <v>73</v>
      </c>
      <c r="C532" s="21">
        <f t="shared" si="17"/>
        <v>4.4166670000000003</v>
      </c>
      <c r="D532" s="16"/>
      <c r="E532" s="19">
        <f>(ADC!I532+5/3)/(1/12)</f>
        <v>73.938641251122974</v>
      </c>
      <c r="F532" s="20">
        <f>ABS(B532-E532)/B532</f>
        <v>1.2858099330451693E-2</v>
      </c>
      <c r="G532" s="2"/>
      <c r="H532" s="2"/>
      <c r="I532" s="19">
        <f>ABS(C532-ADC!I532)</f>
        <v>7.8219770926913235E-2</v>
      </c>
    </row>
    <row r="533" spans="1:9" x14ac:dyDescent="0.25">
      <c r="A533" s="5">
        <v>531</v>
      </c>
      <c r="B533" s="5">
        <f t="shared" si="16"/>
        <v>73.099999999999994</v>
      </c>
      <c r="C533" s="21">
        <f t="shared" si="17"/>
        <v>4.4249999999999998</v>
      </c>
      <c r="D533" s="16"/>
      <c r="E533" s="19">
        <f>(ADC!I533+5/3)/(1/12)</f>
        <v>74.029740016071784</v>
      </c>
      <c r="F533" s="20">
        <f>ABS(B533-E533)/B533</f>
        <v>1.2718741669928727E-2</v>
      </c>
      <c r="G533" s="2"/>
      <c r="H533" s="2"/>
      <c r="I533" s="19">
        <f>ABS(C533-ADC!I533)</f>
        <v>7.7478334672647975E-2</v>
      </c>
    </row>
    <row r="534" spans="1:9" x14ac:dyDescent="0.25">
      <c r="A534" s="5">
        <v>532</v>
      </c>
      <c r="B534" s="5">
        <f t="shared" si="16"/>
        <v>73.2</v>
      </c>
      <c r="C534" s="21">
        <f t="shared" si="17"/>
        <v>4.4333330000000002</v>
      </c>
      <c r="D534" s="16"/>
      <c r="E534" s="19">
        <f>(ADC!I534+5/3)/(1/12)</f>
        <v>74.12097049526416</v>
      </c>
      <c r="F534" s="20">
        <f>ABS(B534-E534)/B534</f>
        <v>1.2581564142952969E-2</v>
      </c>
      <c r="G534" s="2"/>
      <c r="H534" s="2"/>
      <c r="I534" s="19">
        <f>ABS(C534-ADC!I534)</f>
        <v>7.6747874605345601E-2</v>
      </c>
    </row>
    <row r="535" spans="1:9" x14ac:dyDescent="0.25">
      <c r="A535" s="5">
        <v>533</v>
      </c>
      <c r="B535" s="5">
        <f t="shared" si="16"/>
        <v>73.300000000000011</v>
      </c>
      <c r="C535" s="21">
        <f t="shared" si="17"/>
        <v>4.4416669999999998</v>
      </c>
      <c r="D535" s="16"/>
      <c r="E535" s="19">
        <f>(ADC!I535+5/3)/(1/12)</f>
        <v>74.217516391068756</v>
      </c>
      <c r="F535" s="20">
        <f>ABS(B535-E535)/B535</f>
        <v>1.2517276822220251E-2</v>
      </c>
      <c r="G535" s="2"/>
      <c r="H535" s="2"/>
      <c r="I535" s="19">
        <f>ABS(C535-ADC!I535)</f>
        <v>7.6459365922396216E-2</v>
      </c>
    </row>
    <row r="536" spans="1:9" x14ac:dyDescent="0.25">
      <c r="A536" s="5">
        <v>534</v>
      </c>
      <c r="B536" s="5">
        <f t="shared" si="16"/>
        <v>73.400000000000006</v>
      </c>
      <c r="C536" s="21">
        <f t="shared" si="17"/>
        <v>4.45</v>
      </c>
      <c r="D536" s="16"/>
      <c r="E536" s="19">
        <f>(ADC!I536+5/3)/(1/12)</f>
        <v>74.308995319815295</v>
      </c>
      <c r="F536" s="20">
        <f>ABS(B536-E536)/B536</f>
        <v>1.2384132422551632E-2</v>
      </c>
      <c r="G536" s="2"/>
      <c r="H536" s="2"/>
      <c r="I536" s="19">
        <f>ABS(C536-ADC!I536)</f>
        <v>7.5749609984606892E-2</v>
      </c>
    </row>
    <row r="537" spans="1:9" x14ac:dyDescent="0.25">
      <c r="A537" s="5">
        <v>535</v>
      </c>
      <c r="B537" s="5">
        <f t="shared" si="16"/>
        <v>73.5</v>
      </c>
      <c r="C537" s="21">
        <f t="shared" si="17"/>
        <v>4.4583329999999997</v>
      </c>
      <c r="D537" s="16"/>
      <c r="E537" s="19">
        <f>(ADC!I537+5/3)/(1/12)</f>
        <v>74.400602007800018</v>
      </c>
      <c r="F537" s="20">
        <f>ABS(B537-E537)/B537</f>
        <v>1.2253088541496839E-2</v>
      </c>
      <c r="G537" s="2"/>
      <c r="H537" s="2"/>
      <c r="I537" s="19">
        <f>ABS(C537-ADC!I537)</f>
        <v>7.5050500650000629E-2</v>
      </c>
    </row>
    <row r="538" spans="1:9" x14ac:dyDescent="0.25">
      <c r="A538" s="5">
        <v>536</v>
      </c>
      <c r="B538" s="5">
        <f t="shared" si="16"/>
        <v>73.599999999999994</v>
      </c>
      <c r="C538" s="21">
        <f t="shared" si="17"/>
        <v>4.4666670000000002</v>
      </c>
      <c r="D538" s="16"/>
      <c r="E538" s="19">
        <f>(ADC!I538+5/3)/(1/12)</f>
        <v>74.492335132134272</v>
      </c>
      <c r="F538" s="20">
        <f>ABS(B538-E538)/B538</f>
        <v>1.2124118643128776E-2</v>
      </c>
      <c r="G538" s="2"/>
      <c r="H538" s="2"/>
      <c r="I538" s="19">
        <f>ABS(C538-ADC!I538)</f>
        <v>7.436092767785496E-2</v>
      </c>
    </row>
    <row r="539" spans="1:9" x14ac:dyDescent="0.25">
      <c r="A539" s="5">
        <v>537</v>
      </c>
      <c r="B539" s="5">
        <f t="shared" si="16"/>
        <v>73.7</v>
      </c>
      <c r="C539" s="21">
        <f t="shared" si="17"/>
        <v>4.4749999999999996</v>
      </c>
      <c r="D539" s="16"/>
      <c r="E539" s="19">
        <f>(ADC!I539+5/3)/(1/12)</f>
        <v>74.579052252925621</v>
      </c>
      <c r="F539" s="20">
        <f>ABS(B539-E539)/B539</f>
        <v>1.1927438981351669E-2</v>
      </c>
      <c r="G539" s="2"/>
      <c r="H539" s="2"/>
      <c r="I539" s="19">
        <f>ABS(C539-ADC!I539)</f>
        <v>7.3254354410468459E-2</v>
      </c>
    </row>
    <row r="540" spans="1:9" x14ac:dyDescent="0.25">
      <c r="A540" s="5">
        <v>538</v>
      </c>
      <c r="B540" s="5">
        <f t="shared" si="16"/>
        <v>73.800000000000011</v>
      </c>
      <c r="C540" s="21">
        <f t="shared" si="17"/>
        <v>4.483333</v>
      </c>
      <c r="D540" s="16"/>
      <c r="E540" s="19">
        <f>(ADC!I540+5/3)/(1/12)</f>
        <v>74.67617544781136</v>
      </c>
      <c r="F540" s="20">
        <f>ABS(B540-E540)/B540</f>
        <v>1.1872296040804182E-2</v>
      </c>
      <c r="G540" s="2"/>
      <c r="H540" s="2"/>
      <c r="I540" s="19">
        <f>ABS(C540-ADC!I540)</f>
        <v>7.3014953984279707E-2</v>
      </c>
    </row>
    <row r="541" spans="1:9" x14ac:dyDescent="0.25">
      <c r="A541" s="5">
        <v>539</v>
      </c>
      <c r="B541" s="5">
        <f t="shared" si="16"/>
        <v>73.900000000000006</v>
      </c>
      <c r="C541" s="21">
        <f t="shared" si="17"/>
        <v>4.4916669999999996</v>
      </c>
      <c r="D541" s="16"/>
      <c r="E541" s="19">
        <f>(ADC!I541+5/3)/(1/12)</f>
        <v>74.768280021397075</v>
      </c>
      <c r="F541" s="20">
        <f>ABS(B541-E541)/B541</f>
        <v>1.1749391358553036E-2</v>
      </c>
      <c r="G541" s="2"/>
      <c r="H541" s="2"/>
      <c r="I541" s="19">
        <f>ABS(C541-ADC!I541)</f>
        <v>7.2356335116422699E-2</v>
      </c>
    </row>
    <row r="542" spans="1:9" x14ac:dyDescent="0.25">
      <c r="A542" s="5">
        <v>540</v>
      </c>
      <c r="B542" s="5">
        <f t="shared" si="16"/>
        <v>74</v>
      </c>
      <c r="C542" s="21">
        <f t="shared" si="17"/>
        <v>4.5</v>
      </c>
      <c r="D542" s="16"/>
      <c r="E542" s="19">
        <f>(ADC!I542+5/3)/(1/12)</f>
        <v>74.850289046463701</v>
      </c>
      <c r="F542" s="20">
        <f>ABS(B542-E542)/B542</f>
        <v>1.1490392519779737E-2</v>
      </c>
      <c r="G542" s="2"/>
      <c r="H542" s="2"/>
      <c r="I542" s="19">
        <f>ABS(C542-ADC!I542)</f>
        <v>7.0857420538640525E-2</v>
      </c>
    </row>
    <row r="543" spans="1:9" x14ac:dyDescent="0.25">
      <c r="A543" s="5">
        <v>541</v>
      </c>
      <c r="B543" s="5">
        <f t="shared" si="16"/>
        <v>74.099999999999994</v>
      </c>
      <c r="C543" s="21">
        <f t="shared" si="17"/>
        <v>4.5083330000000004</v>
      </c>
      <c r="D543" s="16"/>
      <c r="E543" s="19">
        <f>(ADC!I543+5/3)/(1/12)</f>
        <v>74.942656489964108</v>
      </c>
      <c r="F543" s="20">
        <f>ABS(B543-E543)/B543</f>
        <v>1.1371882455656054E-2</v>
      </c>
      <c r="G543" s="2"/>
      <c r="H543" s="2"/>
      <c r="I543" s="19">
        <f>ABS(C543-ADC!I543)</f>
        <v>7.0221707497007735E-2</v>
      </c>
    </row>
    <row r="544" spans="1:9" x14ac:dyDescent="0.25">
      <c r="A544" s="5">
        <v>542</v>
      </c>
      <c r="B544" s="5">
        <f t="shared" si="16"/>
        <v>74.2</v>
      </c>
      <c r="C544" s="21">
        <f t="shared" si="17"/>
        <v>4.516667</v>
      </c>
      <c r="D544" s="16"/>
      <c r="E544" s="19">
        <f>(ADC!I544+5/3)/(1/12)</f>
        <v>75.040229136441965</v>
      </c>
      <c r="F544" s="20">
        <f>ABS(B544-E544)/B544</f>
        <v>1.1323842809190869E-2</v>
      </c>
      <c r="G544" s="2"/>
      <c r="H544" s="2"/>
      <c r="I544" s="19">
        <f>ABS(C544-ADC!I544)</f>
        <v>7.0018761370162608E-2</v>
      </c>
    </row>
    <row r="545" spans="1:9" x14ac:dyDescent="0.25">
      <c r="A545" s="5">
        <v>543</v>
      </c>
      <c r="B545" s="5">
        <f t="shared" si="16"/>
        <v>74.300000000000011</v>
      </c>
      <c r="C545" s="21">
        <f t="shared" si="17"/>
        <v>4.5250000000000004</v>
      </c>
      <c r="D545" s="16"/>
      <c r="E545" s="19">
        <f>(ADC!I545+5/3)/(1/12)</f>
        <v>75.127745815682516</v>
      </c>
      <c r="F545" s="20">
        <f>ABS(B545-E545)/B545</f>
        <v>1.1140589713088893E-2</v>
      </c>
      <c r="G545" s="2"/>
      <c r="H545" s="2"/>
      <c r="I545" s="19">
        <f>ABS(C545-ADC!I545)</f>
        <v>6.8978817973541773E-2</v>
      </c>
    </row>
    <row r="546" spans="1:9" x14ac:dyDescent="0.25">
      <c r="A546" s="5">
        <v>544</v>
      </c>
      <c r="B546" s="5">
        <f t="shared" si="16"/>
        <v>74.400000000000006</v>
      </c>
      <c r="C546" s="21">
        <f t="shared" si="17"/>
        <v>4.5333329999999998</v>
      </c>
      <c r="D546" s="16"/>
      <c r="E546" s="19">
        <f>(ADC!I546+5/3)/(1/12)</f>
        <v>75.220465116761545</v>
      </c>
      <c r="F546" s="20">
        <f>ABS(B546-E546)/B546</f>
        <v>1.1027756945719617E-2</v>
      </c>
      <c r="G546" s="2"/>
      <c r="H546" s="2"/>
      <c r="I546" s="19">
        <f>ABS(C546-ADC!I546)</f>
        <v>6.8372426396794417E-2</v>
      </c>
    </row>
    <row r="547" spans="1:9" x14ac:dyDescent="0.25">
      <c r="A547" s="5">
        <v>545</v>
      </c>
      <c r="B547" s="5">
        <f t="shared" si="16"/>
        <v>74.5</v>
      </c>
      <c r="C547" s="21">
        <f t="shared" si="17"/>
        <v>4.5416670000000003</v>
      </c>
      <c r="D547" s="16"/>
      <c r="E547" s="19">
        <f>(ADC!I547+5/3)/(1/12)</f>
        <v>75.308245007266578</v>
      </c>
      <c r="F547" s="20">
        <f>ABS(B547-E547)/B547</f>
        <v>1.0848926272034603E-2</v>
      </c>
      <c r="G547" s="2"/>
      <c r="H547" s="2"/>
      <c r="I547" s="19">
        <f>ABS(C547-ADC!I547)</f>
        <v>6.7353417272213889E-2</v>
      </c>
    </row>
    <row r="548" spans="1:9" x14ac:dyDescent="0.25">
      <c r="A548" s="5">
        <v>546</v>
      </c>
      <c r="B548" s="5">
        <f t="shared" si="16"/>
        <v>74.599999999999994</v>
      </c>
      <c r="C548" s="21">
        <f t="shared" si="17"/>
        <v>4.55</v>
      </c>
      <c r="D548" s="16"/>
      <c r="E548" s="19">
        <f>(ADC!I548+5/3)/(1/12)</f>
        <v>75.401203247263467</v>
      </c>
      <c r="F548" s="20">
        <f>ABS(B548-E548)/B548</f>
        <v>1.0739989909698029E-2</v>
      </c>
      <c r="G548" s="2"/>
      <c r="H548" s="2"/>
      <c r="I548" s="19">
        <f>ABS(C548-ADC!I548)</f>
        <v>6.6766937271954596E-2</v>
      </c>
    </row>
    <row r="549" spans="1:9" x14ac:dyDescent="0.25">
      <c r="A549" s="5">
        <v>547</v>
      </c>
      <c r="B549" s="5">
        <f t="shared" si="16"/>
        <v>74.7</v>
      </c>
      <c r="C549" s="21">
        <f t="shared" si="17"/>
        <v>4.5583330000000002</v>
      </c>
      <c r="D549" s="16"/>
      <c r="E549" s="19">
        <f>(ADC!I549+5/3)/(1/12)</f>
        <v>75.494273624430448</v>
      </c>
      <c r="F549" s="20">
        <f>ABS(B549-E549)/B549</f>
        <v>1.0632846377917612E-2</v>
      </c>
      <c r="G549" s="2"/>
      <c r="H549" s="2"/>
      <c r="I549" s="19">
        <f>ABS(C549-ADC!I549)</f>
        <v>6.6189802035869327E-2</v>
      </c>
    </row>
    <row r="550" spans="1:9" x14ac:dyDescent="0.25">
      <c r="A550" s="5">
        <v>548</v>
      </c>
      <c r="B550" s="5">
        <f t="shared" si="16"/>
        <v>74.800000000000011</v>
      </c>
      <c r="C550" s="21">
        <f t="shared" si="17"/>
        <v>4.5666669999999998</v>
      </c>
      <c r="D550" s="16"/>
      <c r="E550" s="19">
        <f>(ADC!I550+5/3)/(1/12)</f>
        <v>75.582433092664175</v>
      </c>
      <c r="F550" s="20">
        <f>ABS(B550-E550)/B550</f>
        <v>1.0460335463424645E-2</v>
      </c>
      <c r="G550" s="2"/>
      <c r="H550" s="2"/>
      <c r="I550" s="19">
        <f>ABS(C550-ADC!I550)</f>
        <v>6.5202424388680846E-2</v>
      </c>
    </row>
    <row r="551" spans="1:9" x14ac:dyDescent="0.25">
      <c r="A551" s="5">
        <v>549</v>
      </c>
      <c r="B551" s="5">
        <f t="shared" si="16"/>
        <v>74.900000000000006</v>
      </c>
      <c r="C551" s="21">
        <f t="shared" si="17"/>
        <v>4.5750000000000002</v>
      </c>
      <c r="D551" s="16"/>
      <c r="E551" s="19">
        <f>(ADC!I551+5/3)/(1/12)</f>
        <v>75.670723657647912</v>
      </c>
      <c r="F551" s="20">
        <f>ABS(B551-E551)/B551</f>
        <v>1.0290035482615568E-2</v>
      </c>
      <c r="G551" s="2"/>
      <c r="H551" s="2"/>
      <c r="I551" s="19">
        <f>ABS(C551-ADC!I551)</f>
        <v>6.4226971470658256E-2</v>
      </c>
    </row>
    <row r="552" spans="1:9" x14ac:dyDescent="0.25">
      <c r="A552" s="5">
        <v>550</v>
      </c>
      <c r="B552" s="5">
        <f t="shared" si="16"/>
        <v>75</v>
      </c>
      <c r="C552" s="21">
        <f t="shared" si="17"/>
        <v>4.5833329999999997</v>
      </c>
      <c r="D552" s="16"/>
      <c r="E552" s="19">
        <f>(ADC!I552+5/3)/(1/12)</f>
        <v>75.764144278805347</v>
      </c>
      <c r="F552" s="20">
        <f>ABS(B552-E552)/B552</f>
        <v>1.018859038407129E-2</v>
      </c>
      <c r="G552" s="2"/>
      <c r="H552" s="2"/>
      <c r="I552" s="19">
        <f>ABS(C552-ADC!I552)</f>
        <v>6.3679023233778942E-2</v>
      </c>
    </row>
    <row r="553" spans="1:9" x14ac:dyDescent="0.25">
      <c r="A553" s="5">
        <v>551</v>
      </c>
      <c r="B553" s="5">
        <f t="shared" si="16"/>
        <v>75.099999999999994</v>
      </c>
      <c r="C553" s="21">
        <f t="shared" si="17"/>
        <v>4.5916670000000002</v>
      </c>
      <c r="D553" s="16"/>
      <c r="E553" s="19">
        <f>(ADC!I553+5/3)/(1/12)</f>
        <v>75.85268236876135</v>
      </c>
      <c r="F553" s="20">
        <f>ABS(B553-E553)/B553</f>
        <v>1.0022401714532034E-2</v>
      </c>
      <c r="G553" s="2"/>
      <c r="H553" s="2"/>
      <c r="I553" s="19">
        <f>ABS(C553-ADC!I553)</f>
        <v>6.2723197396778119E-2</v>
      </c>
    </row>
    <row r="554" spans="1:9" x14ac:dyDescent="0.25">
      <c r="A554" s="5">
        <v>552</v>
      </c>
      <c r="B554" s="5">
        <f t="shared" si="16"/>
        <v>75.2</v>
      </c>
      <c r="C554" s="21">
        <f t="shared" si="17"/>
        <v>4.5999999999999996</v>
      </c>
      <c r="D554" s="16"/>
      <c r="E554" s="19">
        <f>(ADC!I554+5/3)/(1/12)</f>
        <v>75.941347635029103</v>
      </c>
      <c r="F554" s="20">
        <f>ABS(B554-E554)/B554</f>
        <v>9.8583462104933593E-3</v>
      </c>
      <c r="G554" s="2"/>
      <c r="H554" s="2"/>
      <c r="I554" s="19">
        <f>ABS(C554-ADC!I554)</f>
        <v>6.1778969585758681E-2</v>
      </c>
    </row>
    <row r="555" spans="1:9" x14ac:dyDescent="0.25">
      <c r="A555" s="5">
        <v>553</v>
      </c>
      <c r="B555" s="5">
        <f t="shared" si="16"/>
        <v>75.300000000000011</v>
      </c>
      <c r="C555" s="21">
        <f t="shared" si="17"/>
        <v>4.608333</v>
      </c>
      <c r="D555" s="16"/>
      <c r="E555" s="19">
        <f>(ADC!I555+5/3)/(1/12)</f>
        <v>76.030138770803006</v>
      </c>
      <c r="F555" s="20">
        <f>ABS(B555-E555)/B555</f>
        <v>9.69639801863207E-3</v>
      </c>
      <c r="G555" s="2"/>
      <c r="H555" s="2"/>
      <c r="I555" s="19">
        <f>ABS(C555-ADC!I555)</f>
        <v>6.0845230900249625E-2</v>
      </c>
    </row>
    <row r="556" spans="1:9" x14ac:dyDescent="0.25">
      <c r="A556" s="5">
        <v>554</v>
      </c>
      <c r="B556" s="5">
        <f t="shared" si="16"/>
        <v>75.400000000000006</v>
      </c>
      <c r="C556" s="21">
        <f t="shared" si="17"/>
        <v>4.6166669999999996</v>
      </c>
      <c r="D556" s="16"/>
      <c r="E556" s="19">
        <f>(ADC!I556+5/3)/(1/12)</f>
        <v>76.124011976542505</v>
      </c>
      <c r="F556" s="20">
        <f>ABS(B556-E556)/B556</f>
        <v>9.6022808560013162E-3</v>
      </c>
      <c r="G556" s="2"/>
      <c r="H556" s="2"/>
      <c r="I556" s="19">
        <f>ABS(C556-ADC!I556)</f>
        <v>6.0333998045208226E-2</v>
      </c>
    </row>
    <row r="557" spans="1:9" x14ac:dyDescent="0.25">
      <c r="A557" s="5">
        <v>555</v>
      </c>
      <c r="B557" s="5">
        <f t="shared" si="16"/>
        <v>75.5</v>
      </c>
      <c r="C557" s="21">
        <f t="shared" si="17"/>
        <v>4.625</v>
      </c>
      <c r="D557" s="16"/>
      <c r="E557" s="19">
        <f>(ADC!I557+5/3)/(1/12)</f>
        <v>76.213040298690331</v>
      </c>
      <c r="F557" s="20">
        <f>ABS(B557-E557)/B557</f>
        <v>9.4442423667593454E-3</v>
      </c>
      <c r="G557" s="2"/>
      <c r="H557" s="2"/>
      <c r="I557" s="19">
        <f>ABS(C557-ADC!I557)</f>
        <v>5.942002489086029E-2</v>
      </c>
    </row>
    <row r="558" spans="1:9" x14ac:dyDescent="0.25">
      <c r="A558" s="5">
        <v>556</v>
      </c>
      <c r="B558" s="5">
        <f t="shared" si="16"/>
        <v>75.599999999999994</v>
      </c>
      <c r="C558" s="21">
        <f t="shared" si="17"/>
        <v>4.6333330000000004</v>
      </c>
      <c r="D558" s="16"/>
      <c r="E558" s="19">
        <f>(ADC!I558+5/3)/(1/12)</f>
        <v>76.302190615635496</v>
      </c>
      <c r="F558" s="20">
        <f>ABS(B558-E558)/B558</f>
        <v>9.2882356565542543E-3</v>
      </c>
      <c r="G558" s="2"/>
      <c r="H558" s="2"/>
      <c r="I558" s="19">
        <f>ABS(C558-ADC!I558)</f>
        <v>5.8516217969623696E-2</v>
      </c>
    </row>
    <row r="559" spans="1:9" x14ac:dyDescent="0.25">
      <c r="A559" s="5">
        <v>557</v>
      </c>
      <c r="B559" s="5">
        <f t="shared" si="16"/>
        <v>75.7</v>
      </c>
      <c r="C559" s="21">
        <f t="shared" si="17"/>
        <v>4.641667</v>
      </c>
      <c r="D559" s="16"/>
      <c r="E559" s="19">
        <f>(ADC!I559+5/3)/(1/12)</f>
        <v>76.386536045937618</v>
      </c>
      <c r="F559" s="20">
        <f>ABS(B559-E559)/B559</f>
        <v>9.0691683743410155E-3</v>
      </c>
      <c r="G559" s="2"/>
      <c r="H559" s="2"/>
      <c r="I559" s="19">
        <f>ABS(C559-ADC!I559)</f>
        <v>5.7211003828133933E-2</v>
      </c>
    </row>
    <row r="560" spans="1:9" x14ac:dyDescent="0.25">
      <c r="A560" s="5">
        <v>558</v>
      </c>
      <c r="B560" s="5">
        <f t="shared" si="16"/>
        <v>75.800000000000011</v>
      </c>
      <c r="C560" s="21">
        <f t="shared" si="17"/>
        <v>4.6500000000000004</v>
      </c>
      <c r="D560" s="16"/>
      <c r="E560" s="19">
        <f>(ADC!I560+5/3)/(1/12)</f>
        <v>76.475937087524102</v>
      </c>
      <c r="F560" s="20">
        <f>ABS(B560-E560)/B560</f>
        <v>8.9173758248560723E-3</v>
      </c>
      <c r="G560" s="2"/>
      <c r="H560" s="2"/>
      <c r="I560" s="19">
        <f>ABS(C560-ADC!I560)</f>
        <v>5.6328090627007832E-2</v>
      </c>
    </row>
    <row r="561" spans="1:9" x14ac:dyDescent="0.25">
      <c r="A561" s="5">
        <v>559</v>
      </c>
      <c r="B561" s="5">
        <f t="shared" si="16"/>
        <v>75.900000000000006</v>
      </c>
      <c r="C561" s="21">
        <f t="shared" si="17"/>
        <v>4.6583329999999998</v>
      </c>
      <c r="D561" s="16"/>
      <c r="E561" s="19">
        <f>(ADC!I561+5/3)/(1/12)</f>
        <v>76.565456247802359</v>
      </c>
      <c r="F561" s="20">
        <f>ABS(B561-E561)/B561</f>
        <v>8.7675394967372013E-3</v>
      </c>
      <c r="G561" s="2"/>
      <c r="H561" s="2"/>
      <c r="I561" s="19">
        <f>ABS(C561-ADC!I561)</f>
        <v>5.5455020650196474E-2</v>
      </c>
    </row>
    <row r="562" spans="1:9" x14ac:dyDescent="0.25">
      <c r="A562" s="5">
        <v>560</v>
      </c>
      <c r="B562" s="5">
        <f t="shared" si="16"/>
        <v>76</v>
      </c>
      <c r="C562" s="21">
        <f t="shared" si="17"/>
        <v>4.6666670000000003</v>
      </c>
      <c r="D562" s="16"/>
      <c r="E562" s="19">
        <f>(ADC!I562+5/3)/(1/12)</f>
        <v>76.650198428673121</v>
      </c>
      <c r="F562" s="20">
        <f>ABS(B562-E562)/B562</f>
        <v>8.5552424825410724E-3</v>
      </c>
      <c r="G562" s="2"/>
      <c r="H562" s="2"/>
      <c r="I562" s="19">
        <f>ABS(C562-ADC!I562)</f>
        <v>5.4182869056092819E-2</v>
      </c>
    </row>
    <row r="563" spans="1:9" x14ac:dyDescent="0.25">
      <c r="A563" s="5">
        <v>561</v>
      </c>
      <c r="B563" s="5">
        <f t="shared" si="16"/>
        <v>76.099999999999994</v>
      </c>
      <c r="C563" s="21">
        <f t="shared" si="17"/>
        <v>4.6749999999999998</v>
      </c>
      <c r="D563" s="16"/>
      <c r="E563" s="19">
        <f>(ADC!I563+5/3)/(1/12)</f>
        <v>76.744843817880337</v>
      </c>
      <c r="F563" s="20">
        <f>ABS(B563-E563)/B563</f>
        <v>8.473637554275203E-3</v>
      </c>
      <c r="G563" s="2"/>
      <c r="H563" s="2"/>
      <c r="I563" s="19">
        <f>ABS(C563-ADC!I563)</f>
        <v>5.3736984823360423E-2</v>
      </c>
    </row>
    <row r="564" spans="1:9" x14ac:dyDescent="0.25">
      <c r="A564" s="5">
        <v>562</v>
      </c>
      <c r="B564" s="5">
        <f t="shared" si="16"/>
        <v>76.2</v>
      </c>
      <c r="C564" s="21">
        <f t="shared" si="17"/>
        <v>4.6833330000000002</v>
      </c>
      <c r="D564" s="16"/>
      <c r="E564" s="19">
        <f>(ADC!I564+5/3)/(1/12)</f>
        <v>76.834709681468411</v>
      </c>
      <c r="F564" s="20">
        <f>ABS(B564-E564)/B564</f>
        <v>8.3295233788504962E-3</v>
      </c>
      <c r="G564" s="2"/>
      <c r="H564" s="2"/>
      <c r="I564" s="19">
        <f>ABS(C564-ADC!I564)</f>
        <v>5.2892806789033742E-2</v>
      </c>
    </row>
    <row r="565" spans="1:9" x14ac:dyDescent="0.25">
      <c r="A565" s="5">
        <v>563</v>
      </c>
      <c r="B565" s="5">
        <f t="shared" si="16"/>
        <v>76.300000000000011</v>
      </c>
      <c r="C565" s="21">
        <f t="shared" si="17"/>
        <v>4.6916669999999998</v>
      </c>
      <c r="D565" s="16"/>
      <c r="E565" s="19">
        <f>(ADC!I565+5/3)/(1/12)</f>
        <v>76.919826347939036</v>
      </c>
      <c r="F565" s="20">
        <f>ABS(B565-E565)/B565</f>
        <v>8.1235432233161837E-3</v>
      </c>
      <c r="G565" s="2"/>
      <c r="H565" s="2"/>
      <c r="I565" s="19">
        <f>ABS(C565-ADC!I565)</f>
        <v>5.1651862328252918E-2</v>
      </c>
    </row>
    <row r="566" spans="1:9" x14ac:dyDescent="0.25">
      <c r="A566" s="5">
        <v>564</v>
      </c>
      <c r="B566" s="5">
        <f t="shared" si="16"/>
        <v>76.400000000000006</v>
      </c>
      <c r="C566" s="21">
        <f t="shared" si="17"/>
        <v>4.7</v>
      </c>
      <c r="D566" s="16"/>
      <c r="E566" s="19">
        <f>(ADC!I566+5/3)/(1/12)</f>
        <v>77.005075791077829</v>
      </c>
      <c r="F566" s="20">
        <f>ABS(B566-E566)/B566</f>
        <v>7.9198401973537037E-3</v>
      </c>
      <c r="G566" s="2"/>
      <c r="H566" s="2"/>
      <c r="I566" s="19">
        <f>ABS(C566-ADC!I566)</f>
        <v>5.0422982589818588E-2</v>
      </c>
    </row>
    <row r="567" spans="1:9" x14ac:dyDescent="0.25">
      <c r="A567" s="5">
        <v>565</v>
      </c>
      <c r="B567" s="5">
        <f t="shared" si="16"/>
        <v>76.5</v>
      </c>
      <c r="C567" s="21">
        <f t="shared" si="17"/>
        <v>4.7083329999999997</v>
      </c>
      <c r="D567" s="16"/>
      <c r="E567" s="19">
        <f>(ADC!I567+5/3)/(1/12)</f>
        <v>77.100139156049892</v>
      </c>
      <c r="F567" s="20">
        <f>ABS(B567-E567)/B567</f>
        <v>7.8449562882338779E-3</v>
      </c>
      <c r="G567" s="2"/>
      <c r="H567" s="2"/>
      <c r="I567" s="19">
        <f>ABS(C567-ADC!I567)</f>
        <v>5.0011929670824351E-2</v>
      </c>
    </row>
    <row r="568" spans="1:9" x14ac:dyDescent="0.25">
      <c r="A568" s="5">
        <v>566</v>
      </c>
      <c r="B568" s="5">
        <f t="shared" si="16"/>
        <v>76.599999999999994</v>
      </c>
      <c r="C568" s="21">
        <f t="shared" si="17"/>
        <v>4.7166670000000002</v>
      </c>
      <c r="D568" s="16"/>
      <c r="E568" s="19">
        <f>(ADC!I568+5/3)/(1/12)</f>
        <v>77.185629266558252</v>
      </c>
      <c r="F568" s="20">
        <f>ABS(B568-E568)/B568</f>
        <v>7.6452906861391289E-3</v>
      </c>
      <c r="G568" s="2"/>
      <c r="H568" s="2"/>
      <c r="I568" s="19">
        <f>ABS(C568-ADC!I568)</f>
        <v>4.8802105546520202E-2</v>
      </c>
    </row>
    <row r="569" spans="1:9" x14ac:dyDescent="0.25">
      <c r="A569" s="5">
        <v>567</v>
      </c>
      <c r="B569" s="5">
        <f t="shared" si="16"/>
        <v>76.7</v>
      </c>
      <c r="C569" s="21">
        <f t="shared" si="17"/>
        <v>4.7249999999999996</v>
      </c>
      <c r="D569" s="16"/>
      <c r="E569" s="19">
        <f>(ADC!I569+5/3)/(1/12)</f>
        <v>77.271248266477883</v>
      </c>
      <c r="F569" s="20">
        <f>ABS(B569-E569)/B569</f>
        <v>7.4478261600766675E-3</v>
      </c>
      <c r="G569" s="2"/>
      <c r="H569" s="2"/>
      <c r="I569" s="19">
        <f>ABS(C569-ADC!I569)</f>
        <v>4.7604022206489738E-2</v>
      </c>
    </row>
    <row r="570" spans="1:9" x14ac:dyDescent="0.25">
      <c r="A570" s="5">
        <v>568</v>
      </c>
      <c r="B570" s="5">
        <f t="shared" si="16"/>
        <v>76.800000000000011</v>
      </c>
      <c r="C570" s="21">
        <f t="shared" si="17"/>
        <v>4.733333</v>
      </c>
      <c r="D570" s="16"/>
      <c r="E570" s="19">
        <f>(ADC!I570+5/3)/(1/12)</f>
        <v>77.361804732475633</v>
      </c>
      <c r="F570" s="20">
        <f>ABS(B570-E570)/B570</f>
        <v>7.3151657874429921E-3</v>
      </c>
      <c r="G570" s="2"/>
      <c r="H570" s="2"/>
      <c r="I570" s="19">
        <f>ABS(C570-ADC!I570)</f>
        <v>4.6817394372968835E-2</v>
      </c>
    </row>
    <row r="571" spans="1:9" x14ac:dyDescent="0.25">
      <c r="A571" s="5">
        <v>569</v>
      </c>
      <c r="B571" s="5">
        <f t="shared" si="16"/>
        <v>76.900000000000006</v>
      </c>
      <c r="C571" s="21">
        <f t="shared" si="17"/>
        <v>4.7416669999999996</v>
      </c>
      <c r="D571" s="16"/>
      <c r="E571" s="19">
        <f>(ADC!I571+5/3)/(1/12)</f>
        <v>77.447667192801589</v>
      </c>
      <c r="F571" s="20">
        <f>ABS(B571-E571)/B571</f>
        <v>7.1218100494354125E-3</v>
      </c>
      <c r="G571" s="2"/>
      <c r="H571" s="2"/>
      <c r="I571" s="19">
        <f>ABS(C571-ADC!I571)</f>
        <v>4.5638599400132485E-2</v>
      </c>
    </row>
    <row r="572" spans="1:9" x14ac:dyDescent="0.25">
      <c r="A572" s="5">
        <v>570</v>
      </c>
      <c r="B572" s="5">
        <f t="shared" si="16"/>
        <v>77</v>
      </c>
      <c r="C572" s="21">
        <f t="shared" si="17"/>
        <v>4.75</v>
      </c>
      <c r="D572" s="16"/>
      <c r="E572" s="19">
        <f>(ADC!I572+5/3)/(1/12)</f>
        <v>77.533654674791237</v>
      </c>
      <c r="F572" s="20">
        <f>ABS(B572-E572)/B572</f>
        <v>6.9305801920939809E-3</v>
      </c>
      <c r="G572" s="2"/>
      <c r="H572" s="2"/>
      <c r="I572" s="19">
        <f>ABS(C572-ADC!I572)</f>
        <v>4.4471222899269414E-2</v>
      </c>
    </row>
    <row r="573" spans="1:9" x14ac:dyDescent="0.25">
      <c r="A573" s="5">
        <v>571</v>
      </c>
      <c r="B573" s="5">
        <f t="shared" si="16"/>
        <v>77.099999999999994</v>
      </c>
      <c r="C573" s="21">
        <f t="shared" si="17"/>
        <v>4.7583330000000004</v>
      </c>
      <c r="D573" s="16"/>
      <c r="E573" s="19">
        <f>(ADC!I573+5/3)/(1/12)</f>
        <v>77.619765889080881</v>
      </c>
      <c r="F573" s="20">
        <f>ABS(B573-E573)/B573</f>
        <v>6.7414512202449645E-3</v>
      </c>
      <c r="G573" s="2"/>
      <c r="H573" s="2"/>
      <c r="I573" s="19">
        <f>ABS(C573-ADC!I573)</f>
        <v>4.3314157423405497E-2</v>
      </c>
    </row>
    <row r="574" spans="1:9" x14ac:dyDescent="0.25">
      <c r="A574" s="5">
        <v>572</v>
      </c>
      <c r="B574" s="5">
        <f t="shared" si="16"/>
        <v>77.2</v>
      </c>
      <c r="C574" s="21">
        <f t="shared" si="17"/>
        <v>4.766667</v>
      </c>
      <c r="D574" s="16"/>
      <c r="E574" s="19">
        <f>(ADC!I574+5/3)/(1/12)</f>
        <v>77.710767857284793</v>
      </c>
      <c r="F574" s="20">
        <f>ABS(B574-E574)/B574</f>
        <v>6.6161639544661949E-3</v>
      </c>
      <c r="G574" s="2"/>
      <c r="H574" s="2"/>
      <c r="I574" s="19">
        <f>ABS(C574-ADC!I574)</f>
        <v>4.2563654773731585E-2</v>
      </c>
    </row>
    <row r="575" spans="1:9" x14ac:dyDescent="0.25">
      <c r="A575" s="5">
        <v>573</v>
      </c>
      <c r="B575" s="5">
        <f t="shared" si="16"/>
        <v>77.300000000000011</v>
      </c>
      <c r="C575" s="21">
        <f t="shared" si="17"/>
        <v>4.7750000000000004</v>
      </c>
      <c r="D575" s="16"/>
      <c r="E575" s="19">
        <f>(ADC!I575+5/3)/(1/12)</f>
        <v>77.797112338595738</v>
      </c>
      <c r="F575" s="20">
        <f>ABS(B575-E575)/B575</f>
        <v>6.4309487528554582E-3</v>
      </c>
      <c r="G575" s="2"/>
      <c r="H575" s="2"/>
      <c r="I575" s="19">
        <f>ABS(C575-ADC!I575)</f>
        <v>4.1426028216310584E-2</v>
      </c>
    </row>
    <row r="576" spans="1:9" x14ac:dyDescent="0.25">
      <c r="A576" s="5">
        <v>574</v>
      </c>
      <c r="B576" s="5">
        <f t="shared" si="16"/>
        <v>77.400000000000006</v>
      </c>
      <c r="C576" s="21">
        <f t="shared" si="17"/>
        <v>4.7833329999999998</v>
      </c>
      <c r="D576" s="16"/>
      <c r="E576" s="19">
        <f>(ADC!I576+5/3)/(1/12)</f>
        <v>77.878829117760759</v>
      </c>
      <c r="F576" s="20">
        <f>ABS(B576-E576)/B576</f>
        <v>6.1864227100872516E-3</v>
      </c>
      <c r="G576" s="2"/>
      <c r="H576" s="2"/>
      <c r="I576" s="19">
        <f>ABS(C576-ADC!I576)</f>
        <v>3.9902759813395861E-2</v>
      </c>
    </row>
    <row r="577" spans="1:9" x14ac:dyDescent="0.25">
      <c r="A577" s="5">
        <v>575</v>
      </c>
      <c r="B577" s="5">
        <f t="shared" si="16"/>
        <v>77.5</v>
      </c>
      <c r="C577" s="21">
        <f t="shared" si="17"/>
        <v>4.7916670000000003</v>
      </c>
      <c r="D577" s="16"/>
      <c r="E577" s="19">
        <f>(ADC!I577+5/3)/(1/12)</f>
        <v>77.970159770365115</v>
      </c>
      <c r="F577" s="20">
        <f>ABS(B577-E577)/B577</f>
        <v>6.066577682130511E-3</v>
      </c>
      <c r="G577" s="2"/>
      <c r="H577" s="2"/>
      <c r="I577" s="19">
        <f>ABS(C577-ADC!I577)</f>
        <v>3.9179647530424688E-2</v>
      </c>
    </row>
    <row r="578" spans="1:9" x14ac:dyDescent="0.25">
      <c r="A578" s="5">
        <v>576</v>
      </c>
      <c r="B578" s="5">
        <f t="shared" si="16"/>
        <v>77.599999999999994</v>
      </c>
      <c r="C578" s="21">
        <f t="shared" si="17"/>
        <v>4.8</v>
      </c>
      <c r="D578" s="16"/>
      <c r="E578" s="19">
        <f>(ADC!I578+5/3)/(1/12)</f>
        <v>78.056860181185826</v>
      </c>
      <c r="F578" s="20">
        <f>ABS(B578-E578)/B578</f>
        <v>5.8873734688895812E-3</v>
      </c>
      <c r="G578" s="2"/>
      <c r="H578" s="2"/>
      <c r="I578" s="19">
        <f>ABS(C578-ADC!I578)</f>
        <v>3.8071681765484477E-2</v>
      </c>
    </row>
    <row r="579" spans="1:9" x14ac:dyDescent="0.25">
      <c r="A579" s="5">
        <v>577</v>
      </c>
      <c r="B579" s="5">
        <f t="shared" ref="B579:B602" si="18">0.1*A579+20</f>
        <v>77.7</v>
      </c>
      <c r="C579" s="21">
        <f t="shared" ref="C579:C602" si="19">ROUND(1/12*B579-5/3,6)</f>
        <v>4.8083330000000002</v>
      </c>
      <c r="D579" s="16"/>
      <c r="E579" s="19">
        <f>(ADC!I579+5/3)/(1/12)</f>
        <v>78.138959984529933</v>
      </c>
      <c r="F579" s="20">
        <f>ABS(B579-E579)/B579</f>
        <v>5.6494206503208506E-3</v>
      </c>
      <c r="G579" s="2"/>
      <c r="H579" s="2"/>
      <c r="I579" s="19">
        <f>ABS(C579-ADC!I579)</f>
        <v>3.6580332044160002E-2</v>
      </c>
    </row>
    <row r="580" spans="1:9" x14ac:dyDescent="0.25">
      <c r="A580" s="5">
        <v>578</v>
      </c>
      <c r="B580" s="5">
        <f t="shared" si="18"/>
        <v>77.800000000000011</v>
      </c>
      <c r="C580" s="21">
        <f t="shared" si="19"/>
        <v>4.8166669999999998</v>
      </c>
      <c r="D580" s="16"/>
      <c r="E580" s="19">
        <f>(ADC!I580+5/3)/(1/12)</f>
        <v>78.225901621903702</v>
      </c>
      <c r="F580" s="20">
        <f>ABS(B580-E580)/B580</f>
        <v>5.4743139062171054E-3</v>
      </c>
      <c r="G580" s="2"/>
      <c r="H580" s="2"/>
      <c r="I580" s="19">
        <f>ABS(C580-ADC!I580)</f>
        <v>3.5491468491974487E-2</v>
      </c>
    </row>
    <row r="581" spans="1:9" x14ac:dyDescent="0.25">
      <c r="A581" s="5">
        <v>579</v>
      </c>
      <c r="B581" s="5">
        <f t="shared" si="18"/>
        <v>77.900000000000006</v>
      </c>
      <c r="C581" s="21">
        <f t="shared" si="19"/>
        <v>4.8250000000000002</v>
      </c>
      <c r="D581" s="16"/>
      <c r="E581" s="19">
        <f>(ADC!I581+5/3)/(1/12)</f>
        <v>78.312956838673443</v>
      </c>
      <c r="F581" s="20">
        <f>ABS(B581-E581)/B581</f>
        <v>5.3011147454870046E-3</v>
      </c>
      <c r="G581" s="2"/>
      <c r="H581" s="2"/>
      <c r="I581" s="19">
        <f>ABS(C581-ADC!I581)</f>
        <v>3.4413069889452252E-2</v>
      </c>
    </row>
    <row r="582" spans="1:9" x14ac:dyDescent="0.25">
      <c r="A582" s="5">
        <v>580</v>
      </c>
      <c r="B582" s="5">
        <f t="shared" si="18"/>
        <v>78</v>
      </c>
      <c r="C582" s="21">
        <f t="shared" si="19"/>
        <v>4.8333329999999997</v>
      </c>
      <c r="D582" s="16"/>
      <c r="E582" s="19">
        <f>(ADC!I582+5/3)/(1/12)</f>
        <v>78.400124383534106</v>
      </c>
      <c r="F582" s="20">
        <f>ABS(B582-E582)/B582</f>
        <v>5.1297997888987918E-3</v>
      </c>
      <c r="G582" s="2"/>
      <c r="H582" s="2"/>
      <c r="I582" s="19">
        <f>ABS(C582-ADC!I582)</f>
        <v>3.3344031961175524E-2</v>
      </c>
    </row>
    <row r="583" spans="1:9" x14ac:dyDescent="0.25">
      <c r="A583" s="5">
        <v>581</v>
      </c>
      <c r="B583" s="5">
        <f t="shared" si="18"/>
        <v>78.099999999999994</v>
      </c>
      <c r="C583" s="21">
        <f t="shared" si="19"/>
        <v>4.8416670000000002</v>
      </c>
      <c r="D583" s="16"/>
      <c r="E583" s="19">
        <f>(ADC!I583+5/3)/(1/12)</f>
        <v>78.482727253306194</v>
      </c>
      <c r="F583" s="20">
        <f>ABS(B583-E583)/B583</f>
        <v>4.9004769949577472E-3</v>
      </c>
      <c r="G583" s="2"/>
      <c r="H583" s="2"/>
      <c r="I583" s="19">
        <f>ABS(C583-ADC!I583)</f>
        <v>3.1893604442181811E-2</v>
      </c>
    </row>
    <row r="584" spans="1:9" x14ac:dyDescent="0.25">
      <c r="A584" s="5">
        <v>582</v>
      </c>
      <c r="B584" s="5">
        <f t="shared" si="18"/>
        <v>78.2</v>
      </c>
      <c r="C584" s="21">
        <f t="shared" si="19"/>
        <v>4.8499999999999996</v>
      </c>
      <c r="D584" s="16"/>
      <c r="E584" s="19">
        <f>(ADC!I584+5/3)/(1/12)</f>
        <v>78.57479147528862</v>
      </c>
      <c r="F584" s="20">
        <f>ABS(B584-E584)/B584</f>
        <v>4.7927298630257983E-3</v>
      </c>
      <c r="G584" s="2"/>
      <c r="H584" s="2"/>
      <c r="I584" s="19">
        <f>ABS(C584-ADC!I584)</f>
        <v>3.1232622940717825E-2</v>
      </c>
    </row>
    <row r="585" spans="1:9" x14ac:dyDescent="0.25">
      <c r="A585" s="5">
        <v>583</v>
      </c>
      <c r="B585" s="5">
        <f t="shared" si="18"/>
        <v>78.300000000000011</v>
      </c>
      <c r="C585" s="21">
        <f t="shared" si="19"/>
        <v>4.858333</v>
      </c>
      <c r="D585" s="16"/>
      <c r="E585" s="19">
        <f>(ADC!I585+5/3)/(1/12)</f>
        <v>78.657633149964354</v>
      </c>
      <c r="F585" s="20">
        <f>ABS(B585-E585)/B585</f>
        <v>4.5674731796212387E-3</v>
      </c>
      <c r="G585" s="2"/>
      <c r="H585" s="2"/>
      <c r="I585" s="19">
        <f>ABS(C585-ADC!I585)</f>
        <v>2.9803095830362558E-2</v>
      </c>
    </row>
    <row r="586" spans="1:9" x14ac:dyDescent="0.25">
      <c r="A586" s="5">
        <v>584</v>
      </c>
      <c r="B586" s="5">
        <f t="shared" si="18"/>
        <v>78.400000000000006</v>
      </c>
      <c r="C586" s="21">
        <f t="shared" si="19"/>
        <v>4.8666669999999996</v>
      </c>
      <c r="D586" s="16"/>
      <c r="E586" s="19">
        <f>(ADC!I586+5/3)/(1/12)</f>
        <v>78.740602518563136</v>
      </c>
      <c r="F586" s="20">
        <f>ABS(B586-E586)/B586</f>
        <v>4.3444198796317689E-3</v>
      </c>
      <c r="G586" s="2"/>
      <c r="H586" s="2"/>
      <c r="I586" s="19">
        <f>ABS(C586-ADC!I586)</f>
        <v>2.838320988026144E-2</v>
      </c>
    </row>
    <row r="587" spans="1:9" x14ac:dyDescent="0.25">
      <c r="A587" s="5">
        <v>585</v>
      </c>
      <c r="B587" s="5">
        <f t="shared" si="18"/>
        <v>78.5</v>
      </c>
      <c r="C587" s="21">
        <f t="shared" si="19"/>
        <v>4.875</v>
      </c>
      <c r="D587" s="16"/>
      <c r="E587" s="19">
        <f>(ADC!I587+5/3)/(1/12)</f>
        <v>78.828333362138409</v>
      </c>
      <c r="F587" s="20">
        <f>ABS(B587-E587)/B587</f>
        <v>4.1825906004892841E-3</v>
      </c>
      <c r="G587" s="2"/>
      <c r="H587" s="2"/>
      <c r="I587" s="19">
        <f>ABS(C587-ADC!I587)</f>
        <v>2.7361113511533475E-2</v>
      </c>
    </row>
    <row r="588" spans="1:9" x14ac:dyDescent="0.25">
      <c r="A588" s="5">
        <v>586</v>
      </c>
      <c r="B588" s="5">
        <f t="shared" si="18"/>
        <v>78.599999999999994</v>
      </c>
      <c r="C588" s="21">
        <f t="shared" si="19"/>
        <v>4.8833330000000004</v>
      </c>
      <c r="D588" s="16"/>
      <c r="E588" s="19">
        <f>(ADC!I588+5/3)/(1/12)</f>
        <v>78.916169078976438</v>
      </c>
      <c r="F588" s="20">
        <f>ABS(B588-E588)/B588</f>
        <v>4.0225073661125134E-3</v>
      </c>
      <c r="G588" s="2"/>
      <c r="H588" s="2"/>
      <c r="I588" s="19">
        <f>ABS(C588-ADC!I588)</f>
        <v>2.6347756581368564E-2</v>
      </c>
    </row>
    <row r="589" spans="1:9" x14ac:dyDescent="0.25">
      <c r="A589" s="5">
        <v>587</v>
      </c>
      <c r="B589" s="5">
        <f t="shared" si="18"/>
        <v>78.7</v>
      </c>
      <c r="C589" s="21">
        <f t="shared" si="19"/>
        <v>4.891667</v>
      </c>
      <c r="D589" s="16"/>
      <c r="E589" s="19">
        <f>(ADC!I589+5/3)/(1/12)</f>
        <v>78.99949360396252</v>
      </c>
      <c r="F589" s="20">
        <f>ABS(B589-E589)/B589</f>
        <v>3.805509580209877E-3</v>
      </c>
      <c r="G589" s="2"/>
      <c r="H589" s="2"/>
      <c r="I589" s="19">
        <f>ABS(C589-ADC!I589)</f>
        <v>2.495746699687551E-2</v>
      </c>
    </row>
    <row r="590" spans="1:9" x14ac:dyDescent="0.25">
      <c r="A590" s="5">
        <v>588</v>
      </c>
      <c r="B590" s="5">
        <f t="shared" si="18"/>
        <v>78.800000000000011</v>
      </c>
      <c r="C590" s="21">
        <f t="shared" si="19"/>
        <v>4.9000000000000004</v>
      </c>
      <c r="D590" s="16"/>
      <c r="E590" s="19">
        <f>(ADC!I590+5/3)/(1/12)</f>
        <v>79.087545490032937</v>
      </c>
      <c r="F590" s="20">
        <f>ABS(B590-E590)/B590</f>
        <v>3.6490544420422072E-3</v>
      </c>
      <c r="G590" s="2"/>
      <c r="H590" s="2"/>
      <c r="I590" s="19">
        <f>ABS(C590-ADC!I590)</f>
        <v>2.3962124169409904E-2</v>
      </c>
    </row>
    <row r="591" spans="1:9" x14ac:dyDescent="0.25">
      <c r="A591" s="5">
        <v>589</v>
      </c>
      <c r="B591" s="5">
        <f t="shared" si="18"/>
        <v>78.900000000000006</v>
      </c>
      <c r="C591" s="21">
        <f t="shared" si="19"/>
        <v>4.9083329999999998</v>
      </c>
      <c r="D591" s="16"/>
      <c r="E591" s="19">
        <f>(ADC!I591+5/3)/(1/12)</f>
        <v>79.171103902627976</v>
      </c>
      <c r="F591" s="20">
        <f>ABS(B591-E591)/B591</f>
        <v>3.4360443932569158E-3</v>
      </c>
      <c r="G591" s="2"/>
      <c r="H591" s="2"/>
      <c r="I591" s="19">
        <f>ABS(C591-ADC!I591)</f>
        <v>2.2592325218997011E-2</v>
      </c>
    </row>
    <row r="592" spans="1:9" x14ac:dyDescent="0.25">
      <c r="A592" s="5">
        <v>590</v>
      </c>
      <c r="B592" s="5">
        <f t="shared" si="18"/>
        <v>79</v>
      </c>
      <c r="C592" s="21">
        <f t="shared" si="19"/>
        <v>4.9166670000000003</v>
      </c>
      <c r="D592" s="16"/>
      <c r="E592" s="19">
        <f>(ADC!I592+5/3)/(1/12)</f>
        <v>79.254782419248983</v>
      </c>
      <c r="F592" s="20">
        <f>ABS(B592-E592)/B592</f>
        <v>3.2250939145440851E-3</v>
      </c>
      <c r="G592" s="2"/>
      <c r="H592" s="2"/>
      <c r="I592" s="19">
        <f>ABS(C592-ADC!I592)</f>
        <v>2.1231534937413699E-2</v>
      </c>
    </row>
    <row r="593" spans="1:9" x14ac:dyDescent="0.25">
      <c r="A593" s="5">
        <v>591</v>
      </c>
      <c r="B593" s="5">
        <f t="shared" si="18"/>
        <v>79.099999999999994</v>
      </c>
      <c r="C593" s="21">
        <f t="shared" si="19"/>
        <v>4.9249999999999998</v>
      </c>
      <c r="D593" s="16"/>
      <c r="E593" s="19">
        <f>(ADC!I593+5/3)/(1/12)</f>
        <v>79.334005231437885</v>
      </c>
      <c r="F593" s="20">
        <f>ABS(B593-E593)/B593</f>
        <v>2.9583467944107569E-3</v>
      </c>
      <c r="G593" s="2"/>
      <c r="H593" s="2"/>
      <c r="I593" s="19">
        <f>ABS(C593-ADC!I593)</f>
        <v>1.950043595315698E-2</v>
      </c>
    </row>
    <row r="594" spans="1:9" x14ac:dyDescent="0.25">
      <c r="A594" s="5">
        <v>592</v>
      </c>
      <c r="B594" s="5">
        <f t="shared" si="18"/>
        <v>79.2</v>
      </c>
      <c r="C594" s="21">
        <f t="shared" si="19"/>
        <v>4.9333330000000002</v>
      </c>
      <c r="D594" s="16"/>
      <c r="E594" s="19">
        <f>(ADC!I594+5/3)/(1/12)</f>
        <v>79.417930212673014</v>
      </c>
      <c r="F594" s="20">
        <f>ABS(B594-E594)/B594</f>
        <v>2.7516440994067009E-3</v>
      </c>
      <c r="G594" s="2"/>
      <c r="H594" s="2"/>
      <c r="I594" s="19">
        <f>ABS(C594-ADC!I594)</f>
        <v>1.8161184389416718E-2</v>
      </c>
    </row>
    <row r="595" spans="1:9" x14ac:dyDescent="0.25">
      <c r="A595" s="5">
        <v>593</v>
      </c>
      <c r="B595" s="5">
        <f t="shared" si="18"/>
        <v>79.300000000000011</v>
      </c>
      <c r="C595" s="21">
        <f t="shared" si="19"/>
        <v>4.9416669999999998</v>
      </c>
      <c r="D595" s="16"/>
      <c r="E595" s="19">
        <f>(ADC!I595+5/3)/(1/12)</f>
        <v>79.501971515368496</v>
      </c>
      <c r="F595" s="20">
        <f>ABS(B595-E595)/B595</f>
        <v>2.5469295758951348E-3</v>
      </c>
      <c r="G595" s="2"/>
      <c r="H595" s="2"/>
      <c r="I595" s="19">
        <f>ABS(C595-ADC!I595)</f>
        <v>1.6830626280707861E-2</v>
      </c>
    </row>
    <row r="596" spans="1:9" x14ac:dyDescent="0.25">
      <c r="A596" s="5">
        <v>594</v>
      </c>
      <c r="B596" s="5">
        <f t="shared" si="18"/>
        <v>79.400000000000006</v>
      </c>
      <c r="C596" s="21">
        <f t="shared" si="19"/>
        <v>4.95</v>
      </c>
      <c r="D596" s="16"/>
      <c r="E596" s="19">
        <f>(ADC!I596+5/3)/(1/12)</f>
        <v>79.590672414197499</v>
      </c>
      <c r="F596" s="20">
        <f>ABS(B596-E596)/B596</f>
        <v>2.4014157959382034E-3</v>
      </c>
      <c r="G596" s="2"/>
      <c r="H596" s="2"/>
      <c r="I596" s="19">
        <f>ABS(C596-ADC!I596)</f>
        <v>1.5889367849791114E-2</v>
      </c>
    </row>
    <row r="597" spans="1:9" x14ac:dyDescent="0.25">
      <c r="A597" s="5">
        <v>595</v>
      </c>
      <c r="B597" s="5">
        <f t="shared" si="18"/>
        <v>79.5</v>
      </c>
      <c r="C597" s="21">
        <f t="shared" si="19"/>
        <v>4.9583329999999997</v>
      </c>
      <c r="D597" s="16"/>
      <c r="E597" s="19">
        <f>(ADC!I597+5/3)/(1/12)</f>
        <v>79.670398102938321</v>
      </c>
      <c r="F597" s="20">
        <f>ABS(B597-E597)/B597</f>
        <v>2.1433723640040436E-3</v>
      </c>
      <c r="G597" s="2"/>
      <c r="H597" s="2"/>
      <c r="I597" s="19">
        <f>ABS(C597-ADC!I597)</f>
        <v>1.4200175244859281E-2</v>
      </c>
    </row>
    <row r="598" spans="1:9" x14ac:dyDescent="0.25">
      <c r="A598" s="5">
        <v>596</v>
      </c>
      <c r="B598" s="5">
        <f t="shared" si="18"/>
        <v>79.599999999999994</v>
      </c>
      <c r="C598" s="21">
        <f t="shared" si="19"/>
        <v>4.9666670000000002</v>
      </c>
      <c r="D598" s="16"/>
      <c r="E598" s="19">
        <f>(ADC!I598+5/3)/(1/12)</f>
        <v>79.754780907183346</v>
      </c>
      <c r="F598" s="20">
        <f>ABS(B598-E598)/B598</f>
        <v>1.9444837585848149E-3</v>
      </c>
      <c r="G598" s="2"/>
      <c r="H598" s="2"/>
      <c r="I598" s="19">
        <f>ABS(C598-ADC!I598)</f>
        <v>1.2898075598610781E-2</v>
      </c>
    </row>
    <row r="599" spans="1:9" x14ac:dyDescent="0.25">
      <c r="A599" s="5">
        <v>597</v>
      </c>
      <c r="B599" s="5">
        <f t="shared" si="18"/>
        <v>79.7</v>
      </c>
      <c r="C599" s="21">
        <f t="shared" si="19"/>
        <v>4.9749999999999996</v>
      </c>
      <c r="D599" s="16"/>
      <c r="E599" s="19">
        <f>(ADC!I599+5/3)/(1/12)</f>
        <v>79.839275071963115</v>
      </c>
      <c r="F599" s="20">
        <f>ABS(B599-E599)/B599</f>
        <v>1.747491492636291E-3</v>
      </c>
      <c r="G599" s="2"/>
      <c r="H599" s="2"/>
      <c r="I599" s="19">
        <f>ABS(C599-ADC!I599)</f>
        <v>1.1606255996925441E-2</v>
      </c>
    </row>
    <row r="600" spans="1:9" x14ac:dyDescent="0.25">
      <c r="A600" s="5">
        <v>598</v>
      </c>
      <c r="B600" s="5">
        <f t="shared" si="18"/>
        <v>79.800000000000011</v>
      </c>
      <c r="C600" s="21">
        <f t="shared" si="19"/>
        <v>4.983333</v>
      </c>
      <c r="D600" s="16"/>
      <c r="E600" s="19">
        <f>(ADC!I600+5/3)/(1/12)</f>
        <v>79.923879366573345</v>
      </c>
      <c r="F600" s="20">
        <f>ABS(B600-E600)/B600</f>
        <v>1.552373014703433E-3</v>
      </c>
      <c r="G600" s="2"/>
      <c r="H600" s="2"/>
      <c r="I600" s="19">
        <f>ABS(C600-ADC!I600)</f>
        <v>1.0323613881110916E-2</v>
      </c>
    </row>
    <row r="601" spans="1:9" x14ac:dyDescent="0.25">
      <c r="A601" s="5">
        <v>599</v>
      </c>
      <c r="B601" s="5">
        <f t="shared" si="18"/>
        <v>79.900000000000006</v>
      </c>
      <c r="C601" s="21">
        <f t="shared" si="19"/>
        <v>4.9916669999999996</v>
      </c>
      <c r="D601" s="16"/>
      <c r="E601" s="19">
        <f>(ADC!I601+5/3)/(1/12)</f>
        <v>80.004097747883804</v>
      </c>
      <c r="F601" s="20">
        <f>ABS(B601-E601)/B601</f>
        <v>1.302850411561937E-3</v>
      </c>
      <c r="G601" s="2"/>
      <c r="H601" s="2"/>
      <c r="I601" s="19">
        <f>ABS(C601-ADC!I601)</f>
        <v>8.674478990316814E-3</v>
      </c>
    </row>
    <row r="602" spans="1:9" x14ac:dyDescent="0.25">
      <c r="A602" s="5">
        <v>600</v>
      </c>
      <c r="B602" s="5">
        <f t="shared" si="18"/>
        <v>80</v>
      </c>
      <c r="C602" s="21">
        <f t="shared" si="19"/>
        <v>5</v>
      </c>
      <c r="D602" s="16"/>
      <c r="E602" s="19">
        <f>(ADC!I602+5/3)/(1/12)</f>
        <v>80.027212271592887</v>
      </c>
      <c r="F602" s="20">
        <f>ABS(B602-E602)/B602</f>
        <v>3.4015339491109129E-4</v>
      </c>
      <c r="G602" s="2"/>
      <c r="H602" s="2"/>
      <c r="I602" s="19">
        <f>ABS(C602-ADC!I602)</f>
        <v>2.2676892994066833E-3</v>
      </c>
    </row>
  </sheetData>
  <pageMargins left="0.7" right="0.7" top="0.75" bottom="0.75" header="0.3" footer="0.3"/>
  <pageSetup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68DF46-3D37-4C8C-845B-A0FBD87A3379}">
  <dimension ref="A1:Z602"/>
  <sheetViews>
    <sheetView topLeftCell="B1" zoomScale="85" zoomScaleNormal="85" workbookViewId="0">
      <pane ySplit="1" topLeftCell="A2" activePane="bottomLeft" state="frozen"/>
      <selection pane="bottomLeft" activeCell="X9" sqref="X9"/>
    </sheetView>
  </sheetViews>
  <sheetFormatPr defaultRowHeight="15" x14ac:dyDescent="0.25"/>
  <cols>
    <col min="1" max="1" width="34" bestFit="1" customWidth="1"/>
    <col min="2" max="3" width="21.7109375" bestFit="1" customWidth="1"/>
    <col min="4" max="4" width="14.85546875" bestFit="1" customWidth="1"/>
    <col min="5" max="5" width="10.5703125" style="12" bestFit="1" customWidth="1"/>
    <col min="7" max="7" width="9.140625" style="6"/>
    <col min="8" max="8" width="6.28515625" bestFit="1" customWidth="1"/>
    <col min="9" max="9" width="14.85546875" style="5" bestFit="1" customWidth="1"/>
    <col min="10" max="10" width="11.7109375" bestFit="1" customWidth="1"/>
    <col min="11" max="11" width="12.42578125" bestFit="1" customWidth="1"/>
    <col min="12" max="12" width="11.140625" bestFit="1" customWidth="1"/>
    <col min="13" max="13" width="14.85546875" style="5" bestFit="1" customWidth="1"/>
    <col min="14" max="14" width="16.7109375" bestFit="1" customWidth="1"/>
    <col min="15" max="15" width="13.5703125" bestFit="1" customWidth="1"/>
    <col min="16" max="16" width="13.140625" bestFit="1" customWidth="1"/>
    <col min="17" max="17" width="21.42578125" bestFit="1" customWidth="1"/>
    <col min="18" max="18" width="12.42578125" bestFit="1" customWidth="1"/>
    <col min="19" max="19" width="11.140625" bestFit="1" customWidth="1"/>
    <col min="20" max="20" width="9.42578125" customWidth="1"/>
    <col min="24" max="24" width="10" bestFit="1" customWidth="1"/>
    <col min="26" max="26" width="7.140625" customWidth="1"/>
  </cols>
  <sheetData>
    <row r="1" spans="1:26" ht="16.5" thickTop="1" thickBot="1" x14ac:dyDescent="0.3">
      <c r="H1" s="15" t="s">
        <v>20</v>
      </c>
      <c r="I1" s="15" t="s">
        <v>21</v>
      </c>
      <c r="J1" s="15" t="s">
        <v>51</v>
      </c>
      <c r="K1" s="15" t="s">
        <v>52</v>
      </c>
      <c r="L1" s="15" t="s">
        <v>57</v>
      </c>
      <c r="M1" s="15" t="s">
        <v>56</v>
      </c>
      <c r="N1" s="15" t="s">
        <v>58</v>
      </c>
      <c r="O1" s="15" t="s">
        <v>2</v>
      </c>
      <c r="P1" s="15" t="s">
        <v>67</v>
      </c>
      <c r="Q1" s="15" t="s">
        <v>68</v>
      </c>
      <c r="R1" s="15" t="s">
        <v>69</v>
      </c>
      <c r="S1" s="15" t="s">
        <v>70</v>
      </c>
      <c r="T1" s="15" t="s">
        <v>81</v>
      </c>
      <c r="U1" s="15"/>
      <c r="V1" s="15" t="s">
        <v>82</v>
      </c>
      <c r="W1" s="15"/>
    </row>
    <row r="2" spans="1:26" ht="15.75" thickTop="1" x14ac:dyDescent="0.25">
      <c r="A2" s="23" t="s">
        <v>24</v>
      </c>
      <c r="B2" s="23"/>
      <c r="C2" s="23"/>
      <c r="D2" s="23"/>
      <c r="E2" s="23"/>
      <c r="H2">
        <v>20</v>
      </c>
      <c r="I2">
        <v>1.3320621017657727E-2</v>
      </c>
      <c r="J2" s="4">
        <f>ROUND(H2*0.00000575 -0.00034,6)</f>
        <v>-2.2499999999999999E-4</v>
      </c>
      <c r="K2" s="9">
        <f>ROUND(H2*0.000005-0.0001,6)</f>
        <v>0</v>
      </c>
      <c r="L2" s="4">
        <f>ROUND(K2+($C$24*(H2-25)),6)</f>
        <v>-1.5E-3</v>
      </c>
      <c r="M2" s="5">
        <f>(I2-J2)/(1-L2)+$C$26+$D$27</f>
        <v>1.358333301813053E-2</v>
      </c>
      <c r="N2" s="2">
        <f>ABS(I2-M2)/I2</f>
        <v>1.9722203651357777E-2</v>
      </c>
      <c r="O2">
        <f>ROUND((M2*(2^($C$12-1)))/$C$44,4)</f>
        <v>72.468400000000003</v>
      </c>
      <c r="P2">
        <f ca="1">ROUND(O2+$C$47+$C$49+RANDBETWEEN($B$45,$D$45),0)</f>
        <v>76</v>
      </c>
      <c r="Q2" t="str">
        <f ca="1">_xlfn.BASE(P2,2,16)</f>
        <v>0000000001001100</v>
      </c>
      <c r="R2">
        <f ca="1">($C$16/2^($C$12-1)) * P2</f>
        <v>1.4250000000000001E-2</v>
      </c>
      <c r="S2">
        <f ca="1">(R2+5/3)/(1/12)</f>
        <v>20.171000000000003</v>
      </c>
      <c r="T2" s="1">
        <f ca="1">ABS(H2-S2)/H2</f>
        <v>8.550000000000146E-3</v>
      </c>
      <c r="U2" s="2">
        <f ca="1">MAX(T:T)</f>
        <v>3.6740924092409262E-2</v>
      </c>
      <c r="V2" s="4">
        <f ca="1">ROUND(ABS(H2-S2),6)</f>
        <v>0.17100000000000001</v>
      </c>
      <c r="W2">
        <f ca="1">MAX(V:V)</f>
        <v>1.8445</v>
      </c>
      <c r="X2" s="2"/>
      <c r="Z2" s="1"/>
    </row>
    <row r="3" spans="1:26" x14ac:dyDescent="0.25">
      <c r="A3" t="s">
        <v>25</v>
      </c>
      <c r="B3" s="3">
        <v>0.05</v>
      </c>
      <c r="H3">
        <v>20.100000000000001</v>
      </c>
      <c r="I3">
        <v>1.995468196548553E-2</v>
      </c>
      <c r="J3" s="4">
        <f t="shared" ref="J3:J66" si="0">ROUND(H3*0.00000575 -0.00034,6)</f>
        <v>-2.24E-4</v>
      </c>
      <c r="K3" s="9">
        <f>ROUND(H3*0.000005-0.0001,6)</f>
        <v>9.9999999999999995E-7</v>
      </c>
      <c r="L3" s="4">
        <f t="shared" ref="L3:L66" si="1">ROUND(K3+($C$24*(H3-25)),6)</f>
        <v>-1.469E-3</v>
      </c>
      <c r="M3" s="5">
        <f t="shared" ref="M3:M66" si="2">(I3-J3)/(1-L3)+$C$26+$D$27</f>
        <v>2.0207082962613448E-2</v>
      </c>
      <c r="N3" s="2">
        <f t="shared" ref="N3:N66" si="3">ABS(I3-M3)/I3</f>
        <v>1.2648710591553492E-2</v>
      </c>
      <c r="O3">
        <f t="shared" ref="O3:O66" si="4">ROUND((M3*(2^($C$12-1)))/$C$44,4)</f>
        <v>107.80670000000001</v>
      </c>
      <c r="P3">
        <f t="shared" ref="P3:P13" ca="1" si="5">ROUND(O3+$C$47+$C$49+RANDBETWEEN($B$45,$D$45),0)</f>
        <v>111</v>
      </c>
      <c r="Q3" t="str">
        <f t="shared" ref="Q3:Q66" ca="1" si="6">_xlfn.BASE(P3,2,16)</f>
        <v>0000000001101111</v>
      </c>
      <c r="R3">
        <f t="shared" ref="R3:R66" ca="1" si="7">($C$16/2^($C$12-1)) * P3</f>
        <v>2.0812500000000001E-2</v>
      </c>
      <c r="S3">
        <f t="shared" ref="S3:S66" ca="1" si="8">(R3+5/3)/(1/12)</f>
        <v>20.249750000000002</v>
      </c>
      <c r="T3" s="1">
        <f ca="1">ABS(H3-S3)/H3</f>
        <v>7.4502487562189516E-3</v>
      </c>
      <c r="U3" s="2">
        <f ca="1">MIN(T:T)</f>
        <v>5.1975051975152422E-5</v>
      </c>
      <c r="V3" s="4">
        <f t="shared" ref="V3:V66" ca="1" si="9">ROUND(ABS(H3-S3),6)</f>
        <v>0.14974999999999999</v>
      </c>
      <c r="W3">
        <f ca="1">MIN(V:V)</f>
        <v>2E-3</v>
      </c>
      <c r="X3" s="2"/>
      <c r="Z3" s="1"/>
    </row>
    <row r="4" spans="1:26" x14ac:dyDescent="0.25">
      <c r="H4">
        <v>20.2</v>
      </c>
      <c r="I4">
        <v>2.5642401531156576E-2</v>
      </c>
      <c r="J4" s="4">
        <f>ROUND(H4*0.00000575 -0.00034,6)</f>
        <v>-2.24E-4</v>
      </c>
      <c r="K4" s="9">
        <f t="shared" ref="K4:K66" si="10">ROUND(H4*0.000005-0.0001,6)</f>
        <v>9.9999999999999995E-7</v>
      </c>
      <c r="L4" s="4">
        <f t="shared" si="1"/>
        <v>-1.439E-3</v>
      </c>
      <c r="M4" s="5">
        <f t="shared" si="2"/>
        <v>2.5887233264488975E-2</v>
      </c>
      <c r="N4" s="2">
        <f t="shared" si="3"/>
        <v>9.5479252610142038E-3</v>
      </c>
      <c r="O4">
        <f t="shared" si="4"/>
        <v>138.11089999999999</v>
      </c>
      <c r="P4">
        <f t="shared" ca="1" si="5"/>
        <v>140</v>
      </c>
      <c r="Q4" t="str">
        <f t="shared" ca="1" si="6"/>
        <v>0000000010001100</v>
      </c>
      <c r="R4">
        <f t="shared" ca="1" si="7"/>
        <v>2.6249999999999999E-2</v>
      </c>
      <c r="S4">
        <f t="shared" ca="1" si="8"/>
        <v>20.315000000000005</v>
      </c>
      <c r="T4" s="1">
        <f t="shared" ref="T4:T67" ca="1" si="11">ABS(H4-S4)/H4</f>
        <v>5.6930693069309679E-3</v>
      </c>
      <c r="V4" s="4">
        <f t="shared" ca="1" si="9"/>
        <v>0.115</v>
      </c>
      <c r="X4" s="2"/>
    </row>
    <row r="5" spans="1:26" x14ac:dyDescent="0.25">
      <c r="H5">
        <v>20.3</v>
      </c>
      <c r="I5">
        <v>3.233074243996794E-2</v>
      </c>
      <c r="J5" s="4">
        <f t="shared" si="0"/>
        <v>-2.23E-4</v>
      </c>
      <c r="K5" s="9">
        <f t="shared" si="10"/>
        <v>1.9999999999999999E-6</v>
      </c>
      <c r="L5" s="4">
        <f>ROUND(K5+($C$24*(H5-25)),6)</f>
        <v>-1.408E-3</v>
      </c>
      <c r="M5" s="5">
        <f t="shared" si="2"/>
        <v>3.2565971216495113E-2</v>
      </c>
      <c r="N5" s="2">
        <f>ABS(I5-M5)/I5</f>
        <v>7.2756998068927185E-3</v>
      </c>
      <c r="O5">
        <f>ROUND((M5*(2^($C$12-1)))/$C$44,4)</f>
        <v>173.74260000000001</v>
      </c>
      <c r="P5">
        <f ca="1">ROUND(O5+$C$47+$C$49+RANDBETWEEN($B$45,$D$45),0)</f>
        <v>174</v>
      </c>
      <c r="Q5" t="str">
        <f t="shared" ca="1" si="6"/>
        <v>0000000010101110</v>
      </c>
      <c r="R5">
        <f t="shared" ca="1" si="7"/>
        <v>3.2625000000000001E-2</v>
      </c>
      <c r="S5">
        <f t="shared" ca="1" si="8"/>
        <v>20.391500000000001</v>
      </c>
      <c r="T5" s="1">
        <f t="shared" ca="1" si="11"/>
        <v>4.5073891625615724E-3</v>
      </c>
      <c r="V5" s="4">
        <f t="shared" ca="1" si="9"/>
        <v>9.1499999999999998E-2</v>
      </c>
      <c r="X5" s="2"/>
    </row>
    <row r="6" spans="1:26" x14ac:dyDescent="0.25">
      <c r="H6">
        <v>20.399999999999999</v>
      </c>
      <c r="I6">
        <v>3.8074327832822344E-2</v>
      </c>
      <c r="J6" s="4">
        <f t="shared" si="0"/>
        <v>-2.23E-4</v>
      </c>
      <c r="K6" s="9">
        <f t="shared" si="10"/>
        <v>1.9999999999999999E-6</v>
      </c>
      <c r="L6" s="4">
        <f t="shared" si="1"/>
        <v>-1.3780000000000001E-3</v>
      </c>
      <c r="M6" s="5">
        <f t="shared" si="2"/>
        <v>3.8302626737178512E-2</v>
      </c>
      <c r="N6" s="2">
        <f t="shared" si="3"/>
        <v>5.9961374855673965E-3</v>
      </c>
      <c r="O6">
        <f t="shared" si="4"/>
        <v>204.34819999999999</v>
      </c>
      <c r="P6">
        <f t="shared" ca="1" si="5"/>
        <v>206</v>
      </c>
      <c r="Q6" t="str">
        <f t="shared" ca="1" si="6"/>
        <v>0000000011001110</v>
      </c>
      <c r="R6">
        <f t="shared" ca="1" si="7"/>
        <v>3.8625E-2</v>
      </c>
      <c r="S6">
        <f t="shared" ca="1" si="8"/>
        <v>20.4635</v>
      </c>
      <c r="T6" s="1">
        <f t="shared" ca="1" si="11"/>
        <v>3.112745098039276E-3</v>
      </c>
      <c r="V6" s="4">
        <f t="shared" ca="1" si="9"/>
        <v>6.3500000000000001E-2</v>
      </c>
      <c r="X6" s="2"/>
    </row>
    <row r="7" spans="1:26" x14ac:dyDescent="0.25">
      <c r="H7">
        <v>20.5</v>
      </c>
      <c r="I7">
        <v>4.4816928713063496E-2</v>
      </c>
      <c r="J7" s="4">
        <f t="shared" si="0"/>
        <v>-2.22E-4</v>
      </c>
      <c r="K7" s="9">
        <f t="shared" si="10"/>
        <v>3.0000000000000001E-6</v>
      </c>
      <c r="L7" s="4">
        <f t="shared" si="1"/>
        <v>-1.3470000000000001E-3</v>
      </c>
      <c r="M7" s="5">
        <f t="shared" si="2"/>
        <v>4.5036342885197138E-2</v>
      </c>
      <c r="N7" s="2">
        <f t="shared" si="3"/>
        <v>4.8957877845316449E-3</v>
      </c>
      <c r="O7">
        <f t="shared" si="4"/>
        <v>240.2732</v>
      </c>
      <c r="P7">
        <f t="shared" ca="1" si="5"/>
        <v>243</v>
      </c>
      <c r="Q7" t="str">
        <f t="shared" ca="1" si="6"/>
        <v>0000000011110011</v>
      </c>
      <c r="R7">
        <f t="shared" ca="1" si="7"/>
        <v>4.5562499999999999E-2</v>
      </c>
      <c r="S7">
        <f t="shared" ca="1" si="8"/>
        <v>20.546750000000003</v>
      </c>
      <c r="T7" s="1">
        <f t="shared" ca="1" si="11"/>
        <v>2.2804878048781931E-3</v>
      </c>
      <c r="V7" s="4">
        <f t="shared" ca="1" si="9"/>
        <v>4.675E-2</v>
      </c>
      <c r="X7" s="2"/>
    </row>
    <row r="8" spans="1:26" x14ac:dyDescent="0.25">
      <c r="A8" s="24" t="s">
        <v>26</v>
      </c>
      <c r="B8" s="23"/>
      <c r="C8" s="23"/>
      <c r="D8" s="23"/>
      <c r="E8" s="23"/>
      <c r="H8">
        <v>20.6</v>
      </c>
      <c r="I8">
        <v>5.1586249909778253E-2</v>
      </c>
      <c r="J8" s="4">
        <f t="shared" si="0"/>
        <v>-2.22E-4</v>
      </c>
      <c r="K8" s="9">
        <f t="shared" si="10"/>
        <v>3.0000000000000001E-6</v>
      </c>
      <c r="L8" s="4">
        <f t="shared" si="1"/>
        <v>-1.317E-3</v>
      </c>
      <c r="M8" s="5">
        <f t="shared" si="2"/>
        <v>5.1798108187295584E-2</v>
      </c>
      <c r="N8" s="2">
        <f t="shared" si="3"/>
        <v>4.1068749499694251E-3</v>
      </c>
      <c r="O8">
        <f t="shared" si="4"/>
        <v>276.34789999999998</v>
      </c>
      <c r="P8">
        <f t="shared" ca="1" si="5"/>
        <v>277</v>
      </c>
      <c r="Q8" t="str">
        <f t="shared" ca="1" si="6"/>
        <v>0000000100010101</v>
      </c>
      <c r="R8">
        <f t="shared" ca="1" si="7"/>
        <v>5.1937500000000004E-2</v>
      </c>
      <c r="S8">
        <f t="shared" ca="1" si="8"/>
        <v>20.623250000000002</v>
      </c>
      <c r="T8" s="1">
        <f t="shared" ca="1" si="11"/>
        <v>1.1286407766990718E-3</v>
      </c>
      <c r="V8" s="4">
        <f t="shared" ca="1" si="9"/>
        <v>2.325E-2</v>
      </c>
      <c r="X8" s="2"/>
    </row>
    <row r="9" spans="1:26" x14ac:dyDescent="0.25">
      <c r="B9" t="s">
        <v>27</v>
      </c>
      <c r="C9" t="s">
        <v>28</v>
      </c>
      <c r="D9" t="s">
        <v>29</v>
      </c>
      <c r="E9" s="12" t="s">
        <v>35</v>
      </c>
      <c r="H9">
        <v>20.7</v>
      </c>
      <c r="I9">
        <v>5.8382283304936188E-2</v>
      </c>
      <c r="J9" s="4">
        <f t="shared" si="0"/>
        <v>-2.2100000000000001E-4</v>
      </c>
      <c r="K9" s="9">
        <f t="shared" si="10"/>
        <v>3.9999999999999998E-6</v>
      </c>
      <c r="L9" s="4">
        <f t="shared" si="1"/>
        <v>-1.286E-3</v>
      </c>
      <c r="M9" s="5">
        <f t="shared" si="2"/>
        <v>5.8586016276005251E-2</v>
      </c>
      <c r="N9" s="2">
        <f t="shared" si="3"/>
        <v>3.4896369161333926E-3</v>
      </c>
      <c r="O9">
        <f t="shared" si="4"/>
        <v>312.56200000000001</v>
      </c>
      <c r="P9">
        <f t="shared" ca="1" si="5"/>
        <v>312</v>
      </c>
      <c r="Q9" t="str">
        <f t="shared" ca="1" si="6"/>
        <v>0000000100111000</v>
      </c>
      <c r="R9">
        <f t="shared" ca="1" si="7"/>
        <v>5.8500000000000003E-2</v>
      </c>
      <c r="S9">
        <f t="shared" ca="1" si="8"/>
        <v>20.702000000000002</v>
      </c>
      <c r="T9" s="1">
        <f t="shared" ca="1" si="11"/>
        <v>9.6618357488040786E-5</v>
      </c>
      <c r="V9" s="4">
        <f t="shared" ca="1" si="9"/>
        <v>2E-3</v>
      </c>
      <c r="X9" s="2"/>
    </row>
    <row r="10" spans="1:26" x14ac:dyDescent="0.25">
      <c r="A10" t="s">
        <v>3</v>
      </c>
      <c r="B10">
        <v>5.2</v>
      </c>
      <c r="C10">
        <v>5.5</v>
      </c>
      <c r="D10">
        <v>5.5</v>
      </c>
      <c r="E10" s="12" t="s">
        <v>22</v>
      </c>
      <c r="H10">
        <v>20.8</v>
      </c>
      <c r="I10">
        <v>6.5205020169476269E-2</v>
      </c>
      <c r="J10" s="4">
        <f t="shared" si="0"/>
        <v>-2.2000000000000001E-4</v>
      </c>
      <c r="K10" s="9">
        <f t="shared" si="10"/>
        <v>3.9999999999999998E-6</v>
      </c>
      <c r="L10" s="4">
        <f t="shared" si="1"/>
        <v>-1.256E-3</v>
      </c>
      <c r="M10" s="5">
        <f t="shared" si="2"/>
        <v>6.5400949424998481E-2</v>
      </c>
      <c r="N10" s="2">
        <f t="shared" si="3"/>
        <v>3.0048185709162659E-3</v>
      </c>
      <c r="O10">
        <f t="shared" si="4"/>
        <v>348.92039999999997</v>
      </c>
      <c r="P10">
        <f t="shared" ca="1" si="5"/>
        <v>351</v>
      </c>
      <c r="Q10" t="str">
        <f t="shared" ca="1" si="6"/>
        <v>0000000101011111</v>
      </c>
      <c r="R10">
        <f t="shared" ca="1" si="7"/>
        <v>6.5812499999999996E-2</v>
      </c>
      <c r="S10">
        <f t="shared" ca="1" si="8"/>
        <v>20.789750000000002</v>
      </c>
      <c r="T10" s="1">
        <f t="shared" ca="1" si="11"/>
        <v>4.9278846153842323E-4</v>
      </c>
      <c r="V10" s="4">
        <f t="shared" ca="1" si="9"/>
        <v>1.025E-2</v>
      </c>
      <c r="X10" s="2"/>
    </row>
    <row r="11" spans="1:26" x14ac:dyDescent="0.25">
      <c r="A11" t="s">
        <v>4</v>
      </c>
      <c r="B11">
        <v>-0.3</v>
      </c>
      <c r="C11">
        <v>0</v>
      </c>
      <c r="D11">
        <v>0.3</v>
      </c>
      <c r="E11" s="12" t="s">
        <v>22</v>
      </c>
      <c r="H11">
        <v>20.9</v>
      </c>
      <c r="I11">
        <v>7.2054451745251158E-2</v>
      </c>
      <c r="J11" s="4">
        <f t="shared" si="0"/>
        <v>-2.2000000000000001E-4</v>
      </c>
      <c r="K11" s="9">
        <f t="shared" si="10"/>
        <v>5.0000000000000004E-6</v>
      </c>
      <c r="L11" s="4">
        <f t="shared" si="1"/>
        <v>-1.225E-3</v>
      </c>
      <c r="M11" s="5">
        <f t="shared" si="2"/>
        <v>7.2244023866015292E-2</v>
      </c>
      <c r="N11" s="2">
        <f t="shared" si="3"/>
        <v>2.630956397175387E-3</v>
      </c>
      <c r="O11">
        <f t="shared" si="4"/>
        <v>385.42880000000002</v>
      </c>
      <c r="P11">
        <f t="shared" ca="1" si="5"/>
        <v>385</v>
      </c>
      <c r="Q11" t="str">
        <f t="shared" ca="1" si="6"/>
        <v>0000000110000001</v>
      </c>
      <c r="R11">
        <f t="shared" ca="1" si="7"/>
        <v>7.2187500000000002E-2</v>
      </c>
      <c r="S11">
        <f t="shared" ca="1" si="8"/>
        <v>20.866250000000004</v>
      </c>
      <c r="T11" s="1">
        <f t="shared" ca="1" si="11"/>
        <v>1.6148325358848888E-3</v>
      </c>
      <c r="V11" s="4">
        <f t="shared" ca="1" si="9"/>
        <v>3.3750000000000002E-2</v>
      </c>
      <c r="X11" s="2"/>
    </row>
    <row r="12" spans="1:26" x14ac:dyDescent="0.25">
      <c r="A12" t="s">
        <v>9</v>
      </c>
      <c r="C12">
        <v>16</v>
      </c>
      <c r="E12" s="12" t="s">
        <v>1</v>
      </c>
      <c r="H12">
        <v>21</v>
      </c>
      <c r="I12">
        <v>7.8930568139319632E-2</v>
      </c>
      <c r="J12" s="4">
        <f t="shared" si="0"/>
        <v>-2.1900000000000001E-4</v>
      </c>
      <c r="K12" s="9">
        <f t="shared" si="10"/>
        <v>5.0000000000000004E-6</v>
      </c>
      <c r="L12" s="4">
        <f t="shared" si="1"/>
        <v>-1.1950000000000001E-3</v>
      </c>
      <c r="M12" s="5">
        <f t="shared" si="2"/>
        <v>7.9113097298048454E-2</v>
      </c>
      <c r="N12" s="2">
        <f t="shared" si="3"/>
        <v>2.3125281248025722E-3</v>
      </c>
      <c r="O12">
        <f t="shared" si="4"/>
        <v>422.07600000000002</v>
      </c>
      <c r="P12">
        <f t="shared" ca="1" si="5"/>
        <v>425</v>
      </c>
      <c r="Q12" t="str">
        <f t="shared" ca="1" si="6"/>
        <v>0000000110101001</v>
      </c>
      <c r="R12">
        <f t="shared" ca="1" si="7"/>
        <v>7.9687500000000008E-2</v>
      </c>
      <c r="S12">
        <f t="shared" ca="1" si="8"/>
        <v>20.956250000000001</v>
      </c>
      <c r="T12" s="1">
        <f t="shared" ca="1" si="11"/>
        <v>2.0833333333332995E-3</v>
      </c>
      <c r="V12" s="4">
        <f t="shared" ca="1" si="9"/>
        <v>4.3749999999999997E-2</v>
      </c>
      <c r="X12" s="2"/>
    </row>
    <row r="13" spans="1:26" x14ac:dyDescent="0.25">
      <c r="A13" t="s">
        <v>30</v>
      </c>
      <c r="E13" s="12" t="s">
        <v>22</v>
      </c>
      <c r="H13">
        <v>21.1</v>
      </c>
      <c r="I13">
        <v>8.4867512326768008E-2</v>
      </c>
      <c r="J13" s="4">
        <f t="shared" si="0"/>
        <v>-2.1900000000000001E-4</v>
      </c>
      <c r="K13" s="9">
        <f t="shared" si="10"/>
        <v>6.0000000000000002E-6</v>
      </c>
      <c r="L13" s="4">
        <f t="shared" si="1"/>
        <v>-1.1640000000000001E-3</v>
      </c>
      <c r="M13" s="5">
        <f t="shared" si="2"/>
        <v>8.5045586775761031E-2</v>
      </c>
      <c r="N13" s="2">
        <f t="shared" si="3"/>
        <v>2.0982640366242625E-3</v>
      </c>
      <c r="O13">
        <f t="shared" si="4"/>
        <v>453.72640000000001</v>
      </c>
      <c r="P13">
        <f t="shared" ca="1" si="5"/>
        <v>454</v>
      </c>
      <c r="Q13" t="str">
        <f t="shared" ca="1" si="6"/>
        <v>0000000111000110</v>
      </c>
      <c r="R13">
        <f t="shared" ca="1" si="7"/>
        <v>8.5125000000000006E-2</v>
      </c>
      <c r="S13">
        <f t="shared" ca="1" si="8"/>
        <v>21.0215</v>
      </c>
      <c r="T13" s="1">
        <f t="shared" ca="1" si="11"/>
        <v>3.7203791469195158E-3</v>
      </c>
      <c r="V13" s="4">
        <f t="shared" ca="1" si="9"/>
        <v>7.85E-2</v>
      </c>
      <c r="X13" s="2"/>
    </row>
    <row r="14" spans="1:26" x14ac:dyDescent="0.25">
      <c r="A14" t="s">
        <v>31</v>
      </c>
      <c r="B14">
        <v>-60</v>
      </c>
      <c r="D14">
        <v>150</v>
      </c>
      <c r="E14" s="12" t="s">
        <v>32</v>
      </c>
      <c r="H14">
        <v>21.2</v>
      </c>
      <c r="I14">
        <v>9.1797780801121082E-2</v>
      </c>
      <c r="J14" s="4">
        <f t="shared" si="0"/>
        <v>-2.1800000000000001E-4</v>
      </c>
      <c r="K14" s="9">
        <f t="shared" si="10"/>
        <v>6.0000000000000002E-6</v>
      </c>
      <c r="L14" s="4">
        <f t="shared" si="1"/>
        <v>-1.134E-3</v>
      </c>
      <c r="M14" s="5">
        <f t="shared" si="2"/>
        <v>9.1969553099905788E-2</v>
      </c>
      <c r="N14" s="2">
        <f t="shared" si="3"/>
        <v>1.8712031738201684E-3</v>
      </c>
      <c r="O14">
        <f t="shared" si="4"/>
        <v>490.66640000000001</v>
      </c>
      <c r="P14">
        <f ca="1">ROUND(O14+$C$47+$C$49+RANDBETWEEN($B$45,$D$45) + 1,0)</f>
        <v>495</v>
      </c>
      <c r="Q14" t="str">
        <f t="shared" ca="1" si="6"/>
        <v>0000000111101111</v>
      </c>
      <c r="R14">
        <f t="shared" ca="1" si="7"/>
        <v>9.2812500000000006E-2</v>
      </c>
      <c r="S14">
        <f t="shared" ca="1" si="8"/>
        <v>21.113750000000003</v>
      </c>
      <c r="T14" s="1">
        <f t="shared" ca="1" si="11"/>
        <v>4.0683962264149139E-3</v>
      </c>
      <c r="V14" s="4">
        <f t="shared" ca="1" si="9"/>
        <v>8.6249999999999993E-2</v>
      </c>
      <c r="X14" s="2"/>
    </row>
    <row r="15" spans="1:26" x14ac:dyDescent="0.25">
      <c r="A15" t="s">
        <v>33</v>
      </c>
      <c r="B15">
        <f>2/3</f>
        <v>0.66666666666666663</v>
      </c>
      <c r="C15">
        <f>2/3*$C$24+$B$15</f>
        <v>0.66686666666666661</v>
      </c>
      <c r="H15">
        <v>21.3</v>
      </c>
      <c r="I15">
        <v>9.8754704531356832E-2</v>
      </c>
      <c r="J15" s="4">
        <f t="shared" si="0"/>
        <v>-2.1800000000000001E-4</v>
      </c>
      <c r="K15" s="9">
        <f t="shared" si="10"/>
        <v>6.9999999999999999E-6</v>
      </c>
      <c r="L15" s="4">
        <f t="shared" si="1"/>
        <v>-1.103E-3</v>
      </c>
      <c r="M15" s="5">
        <f t="shared" si="2"/>
        <v>9.8921657916674732E-2</v>
      </c>
      <c r="N15" s="2">
        <f t="shared" si="3"/>
        <v>1.6905866521517324E-3</v>
      </c>
      <c r="O15">
        <f t="shared" si="4"/>
        <v>527.75660000000005</v>
      </c>
      <c r="P15">
        <f t="shared" ref="P15:P78" ca="1" si="12">ROUND(O15+$C$47+$C$49+RANDBETWEEN($B$45,$D$45) + 1,0)</f>
        <v>530</v>
      </c>
      <c r="Q15" t="str">
        <f t="shared" ca="1" si="6"/>
        <v>0000001000010010</v>
      </c>
      <c r="R15">
        <f t="shared" ca="1" si="7"/>
        <v>9.9375000000000005E-2</v>
      </c>
      <c r="S15">
        <f t="shared" ca="1" si="8"/>
        <v>21.192500000000003</v>
      </c>
      <c r="T15" s="1">
        <f t="shared" ca="1" si="11"/>
        <v>5.0469483568074246E-3</v>
      </c>
      <c r="V15" s="4">
        <f t="shared" ca="1" si="9"/>
        <v>0.1075</v>
      </c>
      <c r="X15" s="2"/>
    </row>
    <row r="16" spans="1:26" x14ac:dyDescent="0.25">
      <c r="A16" t="s">
        <v>34</v>
      </c>
      <c r="B16">
        <f>-4.096/$C$15</f>
        <v>-6.1421573527941629</v>
      </c>
      <c r="C16">
        <f>4.096/$B$15</f>
        <v>6.1440000000000001</v>
      </c>
      <c r="D16">
        <f>4.096/$C$15</f>
        <v>6.1421573527941629</v>
      </c>
      <c r="E16" s="12" t="s">
        <v>22</v>
      </c>
      <c r="H16">
        <v>21.4</v>
      </c>
      <c r="I16">
        <v>0.10573827184964983</v>
      </c>
      <c r="J16" s="4">
        <f t="shared" si="0"/>
        <v>-2.1699999999999999E-4</v>
      </c>
      <c r="K16" s="9">
        <f t="shared" si="10"/>
        <v>6.9999999999999999E-6</v>
      </c>
      <c r="L16" s="4">
        <f t="shared" si="1"/>
        <v>-1.073E-3</v>
      </c>
      <c r="M16" s="5">
        <f t="shared" si="2"/>
        <v>0.10589970370157803</v>
      </c>
      <c r="N16" s="2">
        <f t="shared" si="3"/>
        <v>1.5267116542034994E-3</v>
      </c>
      <c r="O16">
        <f t="shared" si="4"/>
        <v>564.98509999999999</v>
      </c>
      <c r="P16">
        <f t="shared" ca="1" si="12"/>
        <v>570</v>
      </c>
      <c r="Q16" t="str">
        <f t="shared" ca="1" si="6"/>
        <v>0000001000111010</v>
      </c>
      <c r="R16">
        <f t="shared" ca="1" si="7"/>
        <v>0.106875</v>
      </c>
      <c r="S16">
        <f t="shared" ca="1" si="8"/>
        <v>21.282500000000002</v>
      </c>
      <c r="T16" s="1">
        <f t="shared" ca="1" si="11"/>
        <v>5.4906542056072979E-3</v>
      </c>
      <c r="V16" s="4">
        <f t="shared" ca="1" si="9"/>
        <v>0.11749999999999999</v>
      </c>
      <c r="X16" s="2"/>
    </row>
    <row r="17" spans="1:24" x14ac:dyDescent="0.25">
      <c r="A17" t="s">
        <v>36</v>
      </c>
      <c r="C17">
        <f>6000000</f>
        <v>6000000</v>
      </c>
      <c r="E17" s="12" t="s">
        <v>37</v>
      </c>
      <c r="H17">
        <v>21.5</v>
      </c>
      <c r="I17">
        <v>0.11274847097174033</v>
      </c>
      <c r="J17" s="4">
        <f t="shared" si="0"/>
        <v>-2.1599999999999999E-4</v>
      </c>
      <c r="K17" s="9">
        <f t="shared" si="10"/>
        <v>7.9999999999999996E-6</v>
      </c>
      <c r="L17" s="4">
        <f t="shared" si="1"/>
        <v>-1.042E-3</v>
      </c>
      <c r="M17" s="5">
        <f t="shared" si="2"/>
        <v>0.1129048845180725</v>
      </c>
      <c r="N17" s="2">
        <f t="shared" si="3"/>
        <v>1.3872786476312581E-3</v>
      </c>
      <c r="O17">
        <f t="shared" si="4"/>
        <v>602.35839999999996</v>
      </c>
      <c r="P17">
        <f t="shared" ca="1" si="12"/>
        <v>604</v>
      </c>
      <c r="Q17" t="str">
        <f t="shared" ca="1" si="6"/>
        <v>0000001001011100</v>
      </c>
      <c r="R17">
        <f t="shared" ca="1" si="7"/>
        <v>0.11325</v>
      </c>
      <c r="S17">
        <f t="shared" ca="1" si="8"/>
        <v>21.359000000000002</v>
      </c>
      <c r="T17" s="1">
        <f t="shared" ca="1" si="11"/>
        <v>6.5581395348836393E-3</v>
      </c>
      <c r="V17" s="4">
        <f t="shared" ca="1" si="9"/>
        <v>0.14099999999999999</v>
      </c>
      <c r="X17" s="2"/>
    </row>
    <row r="18" spans="1:24" x14ac:dyDescent="0.25">
      <c r="A18" t="s">
        <v>38</v>
      </c>
      <c r="C18">
        <v>128</v>
      </c>
      <c r="E18" s="12" t="s">
        <v>8</v>
      </c>
      <c r="H18">
        <v>21.6</v>
      </c>
      <c r="I18">
        <v>0.11882352713321125</v>
      </c>
      <c r="J18" s="4">
        <f t="shared" si="0"/>
        <v>-2.1599999999999999E-4</v>
      </c>
      <c r="K18" s="9">
        <f t="shared" si="10"/>
        <v>7.9999999999999996E-6</v>
      </c>
      <c r="L18" s="4">
        <f>ROUND(K18+($C$24*(H18-25)),6)</f>
        <v>-1.0120000000000001E-3</v>
      </c>
      <c r="M18" s="5">
        <f t="shared" si="2"/>
        <v>0.11897718092211805</v>
      </c>
      <c r="N18" s="2">
        <f t="shared" si="3"/>
        <v>1.2931259710422976E-3</v>
      </c>
      <c r="O18">
        <f t="shared" si="4"/>
        <v>634.75469999999996</v>
      </c>
      <c r="P18">
        <f t="shared" ca="1" si="12"/>
        <v>637</v>
      </c>
      <c r="Q18" t="str">
        <f t="shared" ca="1" si="6"/>
        <v>0000001001111101</v>
      </c>
      <c r="R18">
        <f t="shared" ca="1" si="7"/>
        <v>0.1194375</v>
      </c>
      <c r="S18">
        <f t="shared" ca="1" si="8"/>
        <v>21.433250000000005</v>
      </c>
      <c r="T18" s="1">
        <f t="shared" ca="1" si="11"/>
        <v>7.7199074074072605E-3</v>
      </c>
      <c r="V18" s="4">
        <f t="shared" ca="1" si="9"/>
        <v>0.16675000000000001</v>
      </c>
      <c r="X18" s="2"/>
    </row>
    <row r="19" spans="1:24" x14ac:dyDescent="0.25">
      <c r="A19" s="10" t="s">
        <v>39</v>
      </c>
      <c r="B19" s="10">
        <v>20</v>
      </c>
      <c r="C19" s="10"/>
      <c r="D19" s="10">
        <v>80</v>
      </c>
      <c r="E19" s="13" t="s">
        <v>32</v>
      </c>
      <c r="H19">
        <v>21.7</v>
      </c>
      <c r="I19">
        <v>0.12588777376147675</v>
      </c>
      <c r="J19" s="4">
        <f t="shared" si="0"/>
        <v>-2.1499999999999999E-4</v>
      </c>
      <c r="K19" s="9">
        <f t="shared" si="10"/>
        <v>9.0000000000000002E-6</v>
      </c>
      <c r="L19" s="4">
        <f t="shared" si="1"/>
        <v>-9.810000000000001E-4</v>
      </c>
      <c r="M19" s="5">
        <f t="shared" si="2"/>
        <v>0.12603718817787427</v>
      </c>
      <c r="N19" s="2">
        <f t="shared" si="3"/>
        <v>1.1868858423107398E-3</v>
      </c>
      <c r="O19">
        <f t="shared" si="4"/>
        <v>672.42049999999995</v>
      </c>
      <c r="P19">
        <f t="shared" ca="1" si="12"/>
        <v>673</v>
      </c>
      <c r="Q19" t="str">
        <f t="shared" ca="1" si="6"/>
        <v>0000001010100001</v>
      </c>
      <c r="R19">
        <f t="shared" ca="1" si="7"/>
        <v>0.12618750000000001</v>
      </c>
      <c r="S19">
        <f t="shared" ca="1" si="8"/>
        <v>21.514250000000004</v>
      </c>
      <c r="T19" s="1">
        <f t="shared" ca="1" si="11"/>
        <v>8.5599078341011617E-3</v>
      </c>
      <c r="V19" s="4">
        <f t="shared" ca="1" si="9"/>
        <v>0.18575</v>
      </c>
      <c r="X19" s="2"/>
    </row>
    <row r="20" spans="1:24" x14ac:dyDescent="0.25">
      <c r="A20" t="s">
        <v>47</v>
      </c>
      <c r="B20">
        <f>-0.000225</f>
        <v>-2.2499999999999999E-4</v>
      </c>
      <c r="D20">
        <f>-0.00012</f>
        <v>-1.2E-4</v>
      </c>
      <c r="E20" s="12" t="s">
        <v>22</v>
      </c>
      <c r="H20">
        <v>21.8</v>
      </c>
      <c r="I20">
        <v>0.13297861509505859</v>
      </c>
      <c r="J20" s="4">
        <f t="shared" si="0"/>
        <v>-2.1499999999999999E-4</v>
      </c>
      <c r="K20" s="9">
        <f t="shared" si="10"/>
        <v>9.0000000000000002E-6</v>
      </c>
      <c r="L20" s="4">
        <f t="shared" si="1"/>
        <v>-9.5100000000000002E-4</v>
      </c>
      <c r="M20" s="5">
        <f t="shared" si="2"/>
        <v>0.13312506831309284</v>
      </c>
      <c r="N20" s="2">
        <f t="shared" si="3"/>
        <v>1.101329096633751E-3</v>
      </c>
      <c r="O20">
        <f t="shared" si="4"/>
        <v>710.23500000000001</v>
      </c>
      <c r="P20">
        <f t="shared" ca="1" si="12"/>
        <v>713</v>
      </c>
      <c r="Q20" t="str">
        <f t="shared" ca="1" si="6"/>
        <v>0000001011001001</v>
      </c>
      <c r="R20">
        <f t="shared" ca="1" si="7"/>
        <v>0.13368750000000001</v>
      </c>
      <c r="S20">
        <f t="shared" ca="1" si="8"/>
        <v>21.60425</v>
      </c>
      <c r="T20" s="1">
        <f t="shared" ca="1" si="11"/>
        <v>8.9793577981651523E-3</v>
      </c>
      <c r="V20" s="4">
        <f t="shared" ca="1" si="9"/>
        <v>0.19575000000000001</v>
      </c>
      <c r="X20" s="2"/>
    </row>
    <row r="21" spans="1:24" x14ac:dyDescent="0.25">
      <c r="H21">
        <v>21.9</v>
      </c>
      <c r="I21">
        <v>0.14009603751663477</v>
      </c>
      <c r="J21" s="4">
        <f t="shared" si="0"/>
        <v>-2.14E-4</v>
      </c>
      <c r="K21" s="9">
        <f t="shared" si="10"/>
        <v>1.0000000000000001E-5</v>
      </c>
      <c r="L21" s="4">
        <f t="shared" si="1"/>
        <v>-9.2000000000000003E-4</v>
      </c>
      <c r="M21" s="5">
        <f t="shared" si="2"/>
        <v>0.14023907093137788</v>
      </c>
      <c r="N21" s="2">
        <f t="shared" si="3"/>
        <v>1.0209668829936182E-3</v>
      </c>
      <c r="O21">
        <f t="shared" si="4"/>
        <v>748.18889999999999</v>
      </c>
      <c r="P21">
        <f t="shared" ca="1" si="12"/>
        <v>748</v>
      </c>
      <c r="Q21" t="str">
        <f t="shared" ca="1" si="6"/>
        <v>0000001011101100</v>
      </c>
      <c r="R21">
        <f t="shared" ca="1" si="7"/>
        <v>0.14025000000000001</v>
      </c>
      <c r="S21">
        <f t="shared" ca="1" si="8"/>
        <v>21.683000000000003</v>
      </c>
      <c r="T21" s="1">
        <f t="shared" ca="1" si="11"/>
        <v>9.9086757990865387E-3</v>
      </c>
      <c r="V21" s="4">
        <f t="shared" ca="1" si="9"/>
        <v>0.217</v>
      </c>
      <c r="X21" s="2"/>
    </row>
    <row r="22" spans="1:24" x14ac:dyDescent="0.25">
      <c r="A22" t="s">
        <v>48</v>
      </c>
      <c r="B22" s="3">
        <v>0</v>
      </c>
      <c r="D22" s="7">
        <v>2.9999999999999997E-4</v>
      </c>
      <c r="E22" s="12" t="s">
        <v>23</v>
      </c>
      <c r="H22">
        <v>22</v>
      </c>
      <c r="I22">
        <v>0.14628156503103817</v>
      </c>
      <c r="J22" s="4">
        <f t="shared" si="0"/>
        <v>-2.14E-4</v>
      </c>
      <c r="K22" s="9">
        <f t="shared" si="10"/>
        <v>1.0000000000000001E-5</v>
      </c>
      <c r="L22" s="4">
        <f t="shared" si="1"/>
        <v>-8.8999999999999995E-4</v>
      </c>
      <c r="M22" s="5">
        <f t="shared" si="2"/>
        <v>0.1464232999141146</v>
      </c>
      <c r="N22" s="2">
        <f t="shared" si="3"/>
        <v>9.6891828472267549E-4</v>
      </c>
      <c r="O22">
        <f t="shared" si="4"/>
        <v>781.18240000000003</v>
      </c>
      <c r="P22">
        <f t="shared" ca="1" si="12"/>
        <v>784</v>
      </c>
      <c r="Q22" t="str">
        <f t="shared" ca="1" si="6"/>
        <v>0000001100010000</v>
      </c>
      <c r="R22">
        <f t="shared" ca="1" si="7"/>
        <v>0.14699999999999999</v>
      </c>
      <c r="S22">
        <f t="shared" ca="1" si="8"/>
        <v>21.764000000000003</v>
      </c>
      <c r="T22" s="1">
        <f t="shared" ca="1" si="11"/>
        <v>1.0727272727272596E-2</v>
      </c>
      <c r="V22" s="4">
        <f t="shared" ca="1" si="9"/>
        <v>0.23599999999999999</v>
      </c>
      <c r="X22" s="2"/>
    </row>
    <row r="23" spans="1:24" x14ac:dyDescent="0.25">
      <c r="A23" t="s">
        <v>40</v>
      </c>
      <c r="C23" s="8">
        <v>5.0000000000000004E-6</v>
      </c>
      <c r="E23" s="25" t="s">
        <v>41</v>
      </c>
      <c r="H23">
        <v>22.1</v>
      </c>
      <c r="I23">
        <v>0.15345293472008928</v>
      </c>
      <c r="J23" s="4">
        <f t="shared" si="0"/>
        <v>-2.13E-4</v>
      </c>
      <c r="K23" s="9">
        <f t="shared" si="10"/>
        <v>1.1E-5</v>
      </c>
      <c r="L23" s="4">
        <f t="shared" si="1"/>
        <v>-8.5899999999999995E-4</v>
      </c>
      <c r="M23" s="5">
        <f t="shared" si="2"/>
        <v>0.1535920489720223</v>
      </c>
      <c r="N23" s="2">
        <f t="shared" si="3"/>
        <v>9.0655973563999622E-4</v>
      </c>
      <c r="O23">
        <f t="shared" si="4"/>
        <v>819.42830000000004</v>
      </c>
      <c r="P23">
        <f t="shared" ca="1" si="12"/>
        <v>822</v>
      </c>
      <c r="Q23" t="str">
        <f t="shared" ca="1" si="6"/>
        <v>0000001100110110</v>
      </c>
      <c r="R23">
        <f t="shared" ca="1" si="7"/>
        <v>0.15412500000000001</v>
      </c>
      <c r="S23">
        <f t="shared" ca="1" si="8"/>
        <v>21.849500000000003</v>
      </c>
      <c r="T23" s="1">
        <f t="shared" ca="1" si="11"/>
        <v>1.1334841628959223E-2</v>
      </c>
      <c r="V23" s="4">
        <f t="shared" ca="1" si="9"/>
        <v>0.2505</v>
      </c>
      <c r="X23" s="2"/>
    </row>
    <row r="24" spans="1:24" x14ac:dyDescent="0.25">
      <c r="B24" t="s">
        <v>43</v>
      </c>
      <c r="C24" s="9">
        <f>($D$19-$B$19)*C23</f>
        <v>3.0000000000000003E-4</v>
      </c>
      <c r="E24" s="25"/>
      <c r="H24">
        <v>22.2</v>
      </c>
      <c r="I24">
        <v>0.16065084292842172</v>
      </c>
      <c r="J24" s="4">
        <f t="shared" si="0"/>
        <v>-2.12E-4</v>
      </c>
      <c r="K24" s="9">
        <f t="shared" si="10"/>
        <v>1.1E-5</v>
      </c>
      <c r="L24" s="4">
        <f t="shared" si="1"/>
        <v>-8.2899999999999998E-4</v>
      </c>
      <c r="M24" s="5">
        <f t="shared" si="2"/>
        <v>0.16078759809160378</v>
      </c>
      <c r="N24" s="2">
        <f t="shared" si="3"/>
        <v>8.5125705342858915E-4</v>
      </c>
      <c r="O24">
        <f t="shared" si="4"/>
        <v>857.81730000000005</v>
      </c>
      <c r="P24">
        <f t="shared" ca="1" si="12"/>
        <v>862</v>
      </c>
      <c r="Q24" t="str">
        <f t="shared" ca="1" si="6"/>
        <v>0000001101011110</v>
      </c>
      <c r="R24">
        <f t="shared" ca="1" si="7"/>
        <v>0.16162499999999999</v>
      </c>
      <c r="S24">
        <f t="shared" ca="1" si="8"/>
        <v>21.939500000000002</v>
      </c>
      <c r="T24" s="1">
        <f t="shared" ca="1" si="11"/>
        <v>1.1734234234234092E-2</v>
      </c>
      <c r="V24" s="4">
        <f t="shared" ca="1" si="9"/>
        <v>0.26050000000000001</v>
      </c>
      <c r="X24" s="2"/>
    </row>
    <row r="25" spans="1:24" x14ac:dyDescent="0.25">
      <c r="A25" t="s">
        <v>42</v>
      </c>
      <c r="B25" t="s">
        <v>43</v>
      </c>
      <c r="C25">
        <v>90</v>
      </c>
      <c r="E25" s="12" t="s">
        <v>10</v>
      </c>
      <c r="H25">
        <v>22.3</v>
      </c>
      <c r="I25">
        <v>0.16691930606887123</v>
      </c>
      <c r="J25" s="4">
        <f t="shared" si="0"/>
        <v>-2.12E-4</v>
      </c>
      <c r="K25" s="9">
        <f t="shared" si="10"/>
        <v>1.2E-5</v>
      </c>
      <c r="L25" s="4">
        <f t="shared" si="1"/>
        <v>-7.9799999999999999E-4</v>
      </c>
      <c r="M25" s="5">
        <f t="shared" si="2"/>
        <v>0.16705604163164917</v>
      </c>
      <c r="N25" s="2">
        <f t="shared" si="3"/>
        <v>8.1917164645722255E-4</v>
      </c>
      <c r="O25">
        <f t="shared" si="4"/>
        <v>891.26</v>
      </c>
      <c r="P25">
        <f t="shared" ca="1" si="12"/>
        <v>894</v>
      </c>
      <c r="Q25" t="str">
        <f t="shared" ca="1" si="6"/>
        <v>0000001101111110</v>
      </c>
      <c r="R25">
        <f t="shared" ca="1" si="7"/>
        <v>0.167625</v>
      </c>
      <c r="S25">
        <f t="shared" ca="1" si="8"/>
        <v>22.011500000000002</v>
      </c>
      <c r="T25" s="1">
        <f t="shared" ca="1" si="11"/>
        <v>1.2937219730941663E-2</v>
      </c>
      <c r="V25" s="4">
        <f t="shared" ca="1" si="9"/>
        <v>0.28849999999999998</v>
      </c>
      <c r="X25" s="2"/>
    </row>
    <row r="26" spans="1:24" x14ac:dyDescent="0.25">
      <c r="A26" t="s">
        <v>49</v>
      </c>
      <c r="C26" s="4">
        <f>0.00002</f>
        <v>2.0000000000000002E-5</v>
      </c>
      <c r="E26" s="12" t="s">
        <v>22</v>
      </c>
      <c r="H26">
        <v>22.4</v>
      </c>
      <c r="I26">
        <v>0.17417107728017503</v>
      </c>
      <c r="J26" s="4">
        <f t="shared" si="0"/>
        <v>-2.1100000000000001E-4</v>
      </c>
      <c r="K26" s="9">
        <f t="shared" si="10"/>
        <v>1.2E-5</v>
      </c>
      <c r="L26" s="4">
        <f t="shared" si="1"/>
        <v>-7.6800000000000002E-4</v>
      </c>
      <c r="M26" s="5">
        <f t="shared" si="2"/>
        <v>0.17430625462062635</v>
      </c>
      <c r="N26" s="2">
        <f t="shared" si="3"/>
        <v>7.7611818541990871E-4</v>
      </c>
      <c r="O26">
        <f t="shared" si="4"/>
        <v>929.94060000000002</v>
      </c>
      <c r="P26">
        <f t="shared" ca="1" si="12"/>
        <v>934</v>
      </c>
      <c r="Q26" t="str">
        <f t="shared" ca="1" si="6"/>
        <v>0000001110100110</v>
      </c>
      <c r="R26">
        <f t="shared" ca="1" si="7"/>
        <v>0.175125</v>
      </c>
      <c r="S26">
        <f t="shared" ca="1" si="8"/>
        <v>22.101500000000001</v>
      </c>
      <c r="T26" s="1">
        <f t="shared" ca="1" si="11"/>
        <v>1.3325892857142729E-2</v>
      </c>
      <c r="V26" s="4">
        <f t="shared" ca="1" si="9"/>
        <v>0.29849999999999999</v>
      </c>
      <c r="X26" s="2"/>
    </row>
    <row r="27" spans="1:24" x14ac:dyDescent="0.25">
      <c r="A27" t="s">
        <v>50</v>
      </c>
      <c r="B27">
        <f>0.000022</f>
        <v>2.1999999999999999E-5</v>
      </c>
      <c r="D27">
        <f>0.000038</f>
        <v>3.8000000000000002E-5</v>
      </c>
      <c r="E27" s="12" t="s">
        <v>22</v>
      </c>
      <c r="H27">
        <v>22.5</v>
      </c>
      <c r="I27">
        <v>0.18144933920461195</v>
      </c>
      <c r="J27" s="4">
        <f t="shared" si="0"/>
        <v>-2.1100000000000001E-4</v>
      </c>
      <c r="K27" s="9">
        <f t="shared" si="10"/>
        <v>1.2999999999999999E-5</v>
      </c>
      <c r="L27" s="4">
        <f t="shared" si="1"/>
        <v>-7.3700000000000002E-4</v>
      </c>
      <c r="M27" s="5">
        <f t="shared" si="2"/>
        <v>0.18158455413421504</v>
      </c>
      <c r="N27" s="2">
        <f t="shared" si="3"/>
        <v>7.4519383865381838E-4</v>
      </c>
      <c r="O27">
        <f t="shared" si="4"/>
        <v>968.77110000000005</v>
      </c>
      <c r="P27">
        <f t="shared" ca="1" si="12"/>
        <v>969</v>
      </c>
      <c r="Q27" t="str">
        <f t="shared" ca="1" si="6"/>
        <v>0000001111001001</v>
      </c>
      <c r="R27">
        <f t="shared" ca="1" si="7"/>
        <v>0.1816875</v>
      </c>
      <c r="S27">
        <f t="shared" ca="1" si="8"/>
        <v>22.180250000000001</v>
      </c>
      <c r="T27" s="1">
        <f t="shared" ca="1" si="11"/>
        <v>1.421111111111107E-2</v>
      </c>
      <c r="V27" s="4">
        <f t="shared" ca="1" si="9"/>
        <v>0.31974999999999998</v>
      </c>
      <c r="X27" s="2"/>
    </row>
    <row r="28" spans="1:24" x14ac:dyDescent="0.25">
      <c r="A28" s="11" t="s">
        <v>44</v>
      </c>
      <c r="B28" s="11"/>
      <c r="C28" s="11"/>
      <c r="D28" s="11"/>
      <c r="E28" s="14"/>
      <c r="H28">
        <v>22.6</v>
      </c>
      <c r="I28">
        <v>0.18780061867398354</v>
      </c>
      <c r="J28" s="4">
        <f t="shared" si="0"/>
        <v>-2.1000000000000001E-4</v>
      </c>
      <c r="K28" s="9">
        <f t="shared" si="10"/>
        <v>1.2999999999999999E-5</v>
      </c>
      <c r="L28" s="4">
        <f t="shared" si="1"/>
        <v>-7.0699999999999995E-4</v>
      </c>
      <c r="M28" s="5">
        <f t="shared" si="2"/>
        <v>0.18793578907710601</v>
      </c>
      <c r="N28" s="2">
        <f t="shared" si="3"/>
        <v>7.1975483401959283E-4</v>
      </c>
      <c r="O28">
        <f t="shared" si="4"/>
        <v>1002.6555</v>
      </c>
      <c r="P28">
        <f t="shared" ca="1" si="12"/>
        <v>1004</v>
      </c>
      <c r="Q28" t="str">
        <f t="shared" ca="1" si="6"/>
        <v>0000001111101100</v>
      </c>
      <c r="R28">
        <f t="shared" ca="1" si="7"/>
        <v>0.18825</v>
      </c>
      <c r="S28">
        <f t="shared" ca="1" si="8"/>
        <v>22.259000000000004</v>
      </c>
      <c r="T28" s="1">
        <f t="shared" ca="1" si="11"/>
        <v>1.5088495575221128E-2</v>
      </c>
      <c r="V28" s="4">
        <f t="shared" ca="1" si="9"/>
        <v>0.34100000000000003</v>
      </c>
      <c r="X28" s="2"/>
    </row>
    <row r="29" spans="1:24" x14ac:dyDescent="0.25">
      <c r="A29" t="s">
        <v>45</v>
      </c>
      <c r="B29">
        <f>0.7*$C$10</f>
        <v>3.8499999999999996</v>
      </c>
      <c r="D29">
        <f>$D$10</f>
        <v>5.5</v>
      </c>
      <c r="H29">
        <v>22.7</v>
      </c>
      <c r="I29">
        <v>0.19513265060782023</v>
      </c>
      <c r="J29" s="4">
        <f t="shared" si="0"/>
        <v>-2.0900000000000001E-4</v>
      </c>
      <c r="K29" s="9">
        <f t="shared" si="10"/>
        <v>1.4E-5</v>
      </c>
      <c r="L29" s="4">
        <f t="shared" si="1"/>
        <v>-6.7599999999999995E-4</v>
      </c>
      <c r="M29" s="5">
        <f t="shared" si="2"/>
        <v>0.19526768885815213</v>
      </c>
      <c r="N29" s="2">
        <f t="shared" si="3"/>
        <v>6.9203308575610685E-4</v>
      </c>
      <c r="O29">
        <f t="shared" si="4"/>
        <v>1041.7719</v>
      </c>
      <c r="P29">
        <f t="shared" ca="1" si="12"/>
        <v>1043</v>
      </c>
      <c r="Q29" t="str">
        <f t="shared" ca="1" si="6"/>
        <v>0000010000010011</v>
      </c>
      <c r="R29">
        <f t="shared" ca="1" si="7"/>
        <v>0.1955625</v>
      </c>
      <c r="S29">
        <f t="shared" ca="1" si="8"/>
        <v>22.346750000000004</v>
      </c>
      <c r="T29" s="1">
        <f t="shared" ca="1" si="11"/>
        <v>1.5561674008810381E-2</v>
      </c>
      <c r="V29" s="4">
        <f t="shared" ca="1" si="9"/>
        <v>0.35325000000000001</v>
      </c>
      <c r="X29" s="2"/>
    </row>
    <row r="30" spans="1:24" x14ac:dyDescent="0.25">
      <c r="A30" t="s">
        <v>46</v>
      </c>
      <c r="B30">
        <f>$C$11-0.5</f>
        <v>-0.5</v>
      </c>
      <c r="D30">
        <f>0.3*$C$10</f>
        <v>1.65</v>
      </c>
      <c r="H30">
        <v>22.8</v>
      </c>
      <c r="I30">
        <v>0.20249112198613889</v>
      </c>
      <c r="J30" s="4">
        <f t="shared" si="0"/>
        <v>-2.0900000000000001E-4</v>
      </c>
      <c r="K30" s="9">
        <f t="shared" si="10"/>
        <v>1.4E-5</v>
      </c>
      <c r="L30" s="4">
        <f t="shared" si="1"/>
        <v>-6.4599999999999998E-4</v>
      </c>
      <c r="M30" s="5">
        <f t="shared" si="2"/>
        <v>0.20262726224273009</v>
      </c>
      <c r="N30" s="2">
        <f t="shared" si="3"/>
        <v>6.723270396048215E-4</v>
      </c>
      <c r="O30">
        <f t="shared" si="4"/>
        <v>1081.0359000000001</v>
      </c>
      <c r="P30">
        <f t="shared" ca="1" si="12"/>
        <v>1086</v>
      </c>
      <c r="Q30" t="str">
        <f t="shared" ca="1" si="6"/>
        <v>0000010000111110</v>
      </c>
      <c r="R30">
        <f t="shared" ca="1" si="7"/>
        <v>0.203625</v>
      </c>
      <c r="S30">
        <f t="shared" ca="1" si="8"/>
        <v>22.4435</v>
      </c>
      <c r="T30" s="1">
        <f t="shared" ca="1" si="11"/>
        <v>1.5635964912280722E-2</v>
      </c>
      <c r="V30" s="4">
        <f t="shared" ca="1" si="9"/>
        <v>0.35649999999999998</v>
      </c>
      <c r="X30" s="2"/>
    </row>
    <row r="31" spans="1:24" x14ac:dyDescent="0.25">
      <c r="H31">
        <v>22.9</v>
      </c>
      <c r="I31">
        <v>0.20892508411344421</v>
      </c>
      <c r="J31" s="4">
        <f t="shared" si="0"/>
        <v>-2.0799999999999999E-4</v>
      </c>
      <c r="K31" s="9">
        <f t="shared" si="10"/>
        <v>1.5E-5</v>
      </c>
      <c r="L31" s="4">
        <f t="shared" si="1"/>
        <v>-6.1499999999999999E-4</v>
      </c>
      <c r="M31" s="5">
        <f t="shared" si="2"/>
        <v>0.20906254631745899</v>
      </c>
      <c r="N31" s="2">
        <f t="shared" si="3"/>
        <v>6.5794973637603785E-4</v>
      </c>
      <c r="O31">
        <f t="shared" si="4"/>
        <v>1115.3688</v>
      </c>
      <c r="P31">
        <f t="shared" ca="1" si="12"/>
        <v>1117</v>
      </c>
      <c r="Q31" t="str">
        <f t="shared" ca="1" si="6"/>
        <v>0000010001011101</v>
      </c>
      <c r="R31">
        <f t="shared" ca="1" si="7"/>
        <v>0.2094375</v>
      </c>
      <c r="S31">
        <f t="shared" ca="1" si="8"/>
        <v>22.513250000000003</v>
      </c>
      <c r="T31" s="1">
        <f t="shared" ca="1" si="11"/>
        <v>1.6888646288209422E-2</v>
      </c>
      <c r="V31" s="4">
        <f t="shared" ca="1" si="9"/>
        <v>0.38674999999999998</v>
      </c>
      <c r="X31" s="2"/>
    </row>
    <row r="32" spans="1:24" x14ac:dyDescent="0.25">
      <c r="A32" s="22" t="s">
        <v>53</v>
      </c>
      <c r="B32" s="22"/>
      <c r="C32" s="22"/>
      <c r="D32" s="22"/>
      <c r="E32" s="22"/>
      <c r="H32">
        <v>23</v>
      </c>
      <c r="I32">
        <v>0.2163372233129775</v>
      </c>
      <c r="J32" s="4">
        <f t="shared" si="0"/>
        <v>-2.0799999999999999E-4</v>
      </c>
      <c r="K32" s="9">
        <f t="shared" si="10"/>
        <v>1.5E-5</v>
      </c>
      <c r="L32" s="4">
        <f t="shared" si="1"/>
        <v>-5.8500000000000002E-4</v>
      </c>
      <c r="M32" s="5">
        <f t="shared" si="2"/>
        <v>0.21647661842120111</v>
      </c>
      <c r="N32" s="2">
        <f t="shared" si="3"/>
        <v>6.4434176462525199E-4</v>
      </c>
      <c r="O32">
        <f t="shared" si="4"/>
        <v>1154.9236000000001</v>
      </c>
      <c r="P32">
        <f t="shared" ca="1" si="12"/>
        <v>1158</v>
      </c>
      <c r="Q32" t="str">
        <f t="shared" ca="1" si="6"/>
        <v>0000010010000110</v>
      </c>
      <c r="R32">
        <f t="shared" ca="1" si="7"/>
        <v>0.21712500000000001</v>
      </c>
      <c r="S32">
        <f t="shared" ca="1" si="8"/>
        <v>22.605500000000003</v>
      </c>
      <c r="T32" s="1">
        <f t="shared" ca="1" si="11"/>
        <v>1.7152173913043356E-2</v>
      </c>
      <c r="V32" s="4">
        <f t="shared" ca="1" si="9"/>
        <v>0.39450000000000002</v>
      </c>
      <c r="X32" s="2"/>
    </row>
    <row r="33" spans="1:24" x14ac:dyDescent="0.25">
      <c r="B33" t="s">
        <v>54</v>
      </c>
      <c r="C33" t="s">
        <v>55</v>
      </c>
      <c r="D33" t="s">
        <v>19</v>
      </c>
      <c r="H33">
        <v>23.1</v>
      </c>
      <c r="I33">
        <v>0.22282650945483459</v>
      </c>
      <c r="J33" s="4">
        <f t="shared" si="0"/>
        <v>-2.0699999999999999E-4</v>
      </c>
      <c r="K33" s="9">
        <f t="shared" si="10"/>
        <v>1.5999999999999999E-5</v>
      </c>
      <c r="L33" s="4">
        <f t="shared" si="1"/>
        <v>-5.5400000000000002E-4</v>
      </c>
      <c r="M33" s="5">
        <f t="shared" si="2"/>
        <v>0.22296801730524751</v>
      </c>
      <c r="N33" s="2">
        <f t="shared" si="3"/>
        <v>6.3505841723739056E-4</v>
      </c>
      <c r="O33">
        <f t="shared" si="4"/>
        <v>1189.5558000000001</v>
      </c>
      <c r="P33">
        <f t="shared" ca="1" si="12"/>
        <v>1194</v>
      </c>
      <c r="Q33" t="str">
        <f t="shared" ca="1" si="6"/>
        <v>0000010010101010</v>
      </c>
      <c r="R33">
        <f t="shared" ca="1" si="7"/>
        <v>0.22387500000000002</v>
      </c>
      <c r="S33">
        <f t="shared" ca="1" si="8"/>
        <v>22.686500000000002</v>
      </c>
      <c r="T33" s="1">
        <f t="shared" ca="1" si="11"/>
        <v>1.7900432900432861E-2</v>
      </c>
      <c r="V33" s="4">
        <f t="shared" ca="1" si="9"/>
        <v>0.41349999999999998</v>
      </c>
      <c r="X33" s="2"/>
    </row>
    <row r="34" spans="1:24" x14ac:dyDescent="0.25">
      <c r="A34" t="s">
        <v>11</v>
      </c>
      <c r="B34">
        <v>0</v>
      </c>
      <c r="C34">
        <v>0</v>
      </c>
      <c r="D34">
        <f>B34-C34</f>
        <v>0</v>
      </c>
      <c r="H34">
        <v>23.2</v>
      </c>
      <c r="I34">
        <v>0.23029224443177557</v>
      </c>
      <c r="J34" s="4">
        <f t="shared" si="0"/>
        <v>-2.0699999999999999E-4</v>
      </c>
      <c r="K34" s="9">
        <f t="shared" si="10"/>
        <v>1.5999999999999999E-5</v>
      </c>
      <c r="L34" s="4">
        <f t="shared" si="1"/>
        <v>-5.2400000000000005E-4</v>
      </c>
      <c r="M34" s="5">
        <f t="shared" si="2"/>
        <v>0.23043652608410753</v>
      </c>
      <c r="N34" s="2">
        <f t="shared" si="3"/>
        <v>6.265154638097506E-4</v>
      </c>
      <c r="O34">
        <f t="shared" si="4"/>
        <v>1229.4010000000001</v>
      </c>
      <c r="P34">
        <f t="shared" ca="1" si="12"/>
        <v>1228</v>
      </c>
      <c r="Q34" t="str">
        <f t="shared" ca="1" si="6"/>
        <v>0000010011001100</v>
      </c>
      <c r="R34">
        <f t="shared" ca="1" si="7"/>
        <v>0.23025000000000001</v>
      </c>
      <c r="S34">
        <f t="shared" ca="1" si="8"/>
        <v>22.763000000000002</v>
      </c>
      <c r="T34" s="1">
        <f t="shared" ca="1" si="11"/>
        <v>1.8836206896551622E-2</v>
      </c>
      <c r="V34" s="4">
        <f t="shared" ca="1" si="9"/>
        <v>0.437</v>
      </c>
      <c r="X34" s="2"/>
    </row>
    <row r="35" spans="1:24" x14ac:dyDescent="0.25">
      <c r="A35" t="s">
        <v>12</v>
      </c>
      <c r="B35">
        <v>5</v>
      </c>
      <c r="C35">
        <v>5</v>
      </c>
      <c r="D35">
        <f t="shared" ref="D35:D41" si="13">B35-C35</f>
        <v>0</v>
      </c>
      <c r="H35">
        <v>23.3</v>
      </c>
      <c r="I35">
        <v>0.23683678783996759</v>
      </c>
      <c r="J35" s="4">
        <f t="shared" si="0"/>
        <v>-2.0599999999999999E-4</v>
      </c>
      <c r="K35" s="9">
        <f t="shared" si="10"/>
        <v>1.7E-5</v>
      </c>
      <c r="L35" s="4">
        <f t="shared" si="1"/>
        <v>-4.9299999999999995E-4</v>
      </c>
      <c r="M35" s="5">
        <f t="shared" si="2"/>
        <v>0.2369839833301858</v>
      </c>
      <c r="N35" s="2">
        <f t="shared" si="3"/>
        <v>6.2150602345475612E-4</v>
      </c>
      <c r="O35">
        <f t="shared" si="4"/>
        <v>1264.3323</v>
      </c>
      <c r="P35">
        <f t="shared" ca="1" si="12"/>
        <v>1264</v>
      </c>
      <c r="Q35" t="str">
        <f t="shared" ca="1" si="6"/>
        <v>0000010011110000</v>
      </c>
      <c r="R35">
        <f t="shared" ca="1" si="7"/>
        <v>0.23700000000000002</v>
      </c>
      <c r="S35">
        <f t="shared" ca="1" si="8"/>
        <v>22.844000000000005</v>
      </c>
      <c r="T35" s="1">
        <f t="shared" ca="1" si="11"/>
        <v>1.9570815450643604E-2</v>
      </c>
      <c r="V35" s="4">
        <f t="shared" ca="1" si="9"/>
        <v>0.45600000000000002</v>
      </c>
      <c r="X35" s="2"/>
    </row>
    <row r="36" spans="1:24" x14ac:dyDescent="0.25">
      <c r="A36" t="s">
        <v>13</v>
      </c>
      <c r="B36">
        <v>0</v>
      </c>
      <c r="C36">
        <v>0</v>
      </c>
      <c r="D36">
        <f t="shared" si="13"/>
        <v>0</v>
      </c>
      <c r="H36">
        <v>23.4</v>
      </c>
      <c r="I36">
        <v>0.24435604308794578</v>
      </c>
      <c r="J36" s="4">
        <f t="shared" si="0"/>
        <v>-2.05E-4</v>
      </c>
      <c r="K36" s="9">
        <f t="shared" si="10"/>
        <v>1.7E-5</v>
      </c>
      <c r="L36" s="4">
        <f t="shared" si="1"/>
        <v>-4.6299999999999998E-4</v>
      </c>
      <c r="M36" s="5">
        <f t="shared" si="2"/>
        <v>0.24450586372704014</v>
      </c>
      <c r="N36" s="2">
        <f t="shared" si="3"/>
        <v>6.1312434593825053E-4</v>
      </c>
      <c r="O36">
        <f t="shared" si="4"/>
        <v>1304.4622999999999</v>
      </c>
      <c r="P36">
        <f t="shared" ca="1" si="12"/>
        <v>1304</v>
      </c>
      <c r="Q36" t="str">
        <f t="shared" ca="1" si="6"/>
        <v>0000010100011000</v>
      </c>
      <c r="R36">
        <f t="shared" ca="1" si="7"/>
        <v>0.2445</v>
      </c>
      <c r="S36">
        <f t="shared" ca="1" si="8"/>
        <v>22.934000000000001</v>
      </c>
      <c r="T36" s="1">
        <f t="shared" ca="1" si="11"/>
        <v>1.991452991452981E-2</v>
      </c>
      <c r="V36" s="4">
        <f t="shared" ca="1" si="9"/>
        <v>0.46600000000000003</v>
      </c>
      <c r="X36" s="2"/>
    </row>
    <row r="37" spans="1:24" x14ac:dyDescent="0.25">
      <c r="A37" t="s">
        <v>14</v>
      </c>
      <c r="B37">
        <v>5</v>
      </c>
      <c r="C37">
        <v>5</v>
      </c>
      <c r="D37">
        <f t="shared" si="13"/>
        <v>0</v>
      </c>
      <c r="H37">
        <v>23.5</v>
      </c>
      <c r="I37">
        <v>0.25190160169437648</v>
      </c>
      <c r="J37" s="4">
        <f t="shared" si="0"/>
        <v>-2.05E-4</v>
      </c>
      <c r="K37" s="9">
        <f t="shared" si="10"/>
        <v>1.8E-5</v>
      </c>
      <c r="L37" s="4">
        <f t="shared" si="1"/>
        <v>-4.3199999999999998E-4</v>
      </c>
      <c r="M37" s="5">
        <f t="shared" si="2"/>
        <v>0.25205573867127051</v>
      </c>
      <c r="N37" s="2">
        <f t="shared" si="3"/>
        <v>6.1189359598056911E-4</v>
      </c>
      <c r="O37">
        <f t="shared" si="4"/>
        <v>1344.7416000000001</v>
      </c>
      <c r="P37">
        <f t="shared" ca="1" si="12"/>
        <v>1348</v>
      </c>
      <c r="Q37" t="str">
        <f t="shared" ca="1" si="6"/>
        <v>0000010101000100</v>
      </c>
      <c r="R37">
        <f t="shared" ca="1" si="7"/>
        <v>0.25275000000000003</v>
      </c>
      <c r="S37">
        <f t="shared" ca="1" si="8"/>
        <v>23.033000000000001</v>
      </c>
      <c r="T37" s="1">
        <f t="shared" ca="1" si="11"/>
        <v>1.9872340425531862E-2</v>
      </c>
      <c r="V37" s="4">
        <f t="shared" ca="1" si="9"/>
        <v>0.46700000000000003</v>
      </c>
      <c r="X37" s="2"/>
    </row>
    <row r="38" spans="1:24" x14ac:dyDescent="0.25">
      <c r="A38" t="s">
        <v>15</v>
      </c>
      <c r="B38">
        <v>0</v>
      </c>
      <c r="C38">
        <v>0</v>
      </c>
      <c r="D38">
        <f t="shared" si="13"/>
        <v>0</v>
      </c>
      <c r="H38">
        <v>23.6</v>
      </c>
      <c r="I38">
        <v>0.25852846858885725</v>
      </c>
      <c r="J38" s="4">
        <f t="shared" si="0"/>
        <v>-2.04E-4</v>
      </c>
      <c r="K38" s="9">
        <f t="shared" si="10"/>
        <v>1.8E-5</v>
      </c>
      <c r="L38" s="4">
        <f t="shared" si="1"/>
        <v>-4.0200000000000001E-4</v>
      </c>
      <c r="M38" s="5">
        <f t="shared" si="2"/>
        <v>0.25868649993188464</v>
      </c>
      <c r="N38" s="2">
        <f t="shared" si="3"/>
        <v>6.1127249888563511E-4</v>
      </c>
      <c r="O38">
        <f t="shared" si="4"/>
        <v>1380.1172999999999</v>
      </c>
      <c r="P38">
        <f t="shared" ca="1" si="12"/>
        <v>1385</v>
      </c>
      <c r="Q38" t="str">
        <f t="shared" ca="1" si="6"/>
        <v>0000010101101001</v>
      </c>
      <c r="R38">
        <f t="shared" ca="1" si="7"/>
        <v>0.25968750000000002</v>
      </c>
      <c r="S38">
        <f t="shared" ca="1" si="8"/>
        <v>23.116250000000004</v>
      </c>
      <c r="T38" s="1">
        <f t="shared" ca="1" si="11"/>
        <v>2.0497881355932075E-2</v>
      </c>
      <c r="V38" s="4">
        <f t="shared" ca="1" si="9"/>
        <v>0.48375000000000001</v>
      </c>
      <c r="X38" s="2"/>
    </row>
    <row r="39" spans="1:24" x14ac:dyDescent="0.25">
      <c r="A39" t="s">
        <v>16</v>
      </c>
      <c r="B39">
        <v>5</v>
      </c>
      <c r="C39">
        <v>5</v>
      </c>
      <c r="D39">
        <f t="shared" si="13"/>
        <v>0</v>
      </c>
      <c r="H39">
        <v>23.7</v>
      </c>
      <c r="I39">
        <v>0.26612742456119354</v>
      </c>
      <c r="J39" s="4">
        <f t="shared" si="0"/>
        <v>-2.04E-4</v>
      </c>
      <c r="K39" s="9">
        <f t="shared" si="10"/>
        <v>1.9000000000000001E-5</v>
      </c>
      <c r="L39" s="4">
        <f t="shared" si="1"/>
        <v>-3.7100000000000002E-4</v>
      </c>
      <c r="M39" s="5">
        <f t="shared" si="2"/>
        <v>0.26629065224720982</v>
      </c>
      <c r="N39" s="2">
        <f t="shared" si="3"/>
        <v>6.1334410117794779E-4</v>
      </c>
      <c r="O39">
        <f t="shared" si="4"/>
        <v>1420.6862000000001</v>
      </c>
      <c r="P39">
        <f t="shared" ca="1" si="12"/>
        <v>1420</v>
      </c>
      <c r="Q39" t="str">
        <f t="shared" ca="1" si="6"/>
        <v>0000010110001100</v>
      </c>
      <c r="R39">
        <f t="shared" ca="1" si="7"/>
        <v>0.26624999999999999</v>
      </c>
      <c r="S39">
        <f t="shared" ca="1" si="8"/>
        <v>23.195000000000004</v>
      </c>
      <c r="T39" s="1">
        <f t="shared" ca="1" si="11"/>
        <v>2.1308016877636938E-2</v>
      </c>
      <c r="V39" s="4">
        <f t="shared" ca="1" si="9"/>
        <v>0.505</v>
      </c>
      <c r="X39" s="2"/>
    </row>
    <row r="40" spans="1:24" x14ac:dyDescent="0.25">
      <c r="A40" t="s">
        <v>17</v>
      </c>
      <c r="B40">
        <v>0</v>
      </c>
      <c r="C40">
        <v>0</v>
      </c>
      <c r="D40">
        <f t="shared" si="13"/>
        <v>0</v>
      </c>
      <c r="H40">
        <v>23.8</v>
      </c>
      <c r="I40">
        <v>0.27280936229843805</v>
      </c>
      <c r="J40" s="4">
        <f t="shared" si="0"/>
        <v>-2.03E-4</v>
      </c>
      <c r="K40" s="9">
        <f t="shared" si="10"/>
        <v>1.9000000000000001E-5</v>
      </c>
      <c r="L40" s="4">
        <f t="shared" si="1"/>
        <v>-3.4099999999999999E-4</v>
      </c>
      <c r="M40" s="5">
        <f t="shared" si="2"/>
        <v>0.27297729681822308</v>
      </c>
      <c r="N40" s="2">
        <f t="shared" si="3"/>
        <v>6.155746209373788E-4</v>
      </c>
      <c r="O40">
        <f t="shared" si="4"/>
        <v>1456.3601000000001</v>
      </c>
      <c r="P40">
        <f t="shared" ca="1" si="12"/>
        <v>1459</v>
      </c>
      <c r="Q40" t="str">
        <f t="shared" ca="1" si="6"/>
        <v>0000010110110011</v>
      </c>
      <c r="R40">
        <f t="shared" ca="1" si="7"/>
        <v>0.27356249999999999</v>
      </c>
      <c r="S40">
        <f t="shared" ca="1" si="8"/>
        <v>23.28275</v>
      </c>
      <c r="T40" s="1">
        <f t="shared" ca="1" si="11"/>
        <v>2.173319327731095E-2</v>
      </c>
      <c r="V40" s="4">
        <f t="shared" ca="1" si="9"/>
        <v>0.51724999999999999</v>
      </c>
      <c r="X40" s="2"/>
    </row>
    <row r="41" spans="1:24" x14ac:dyDescent="0.25">
      <c r="A41" t="s">
        <v>18</v>
      </c>
      <c r="B41">
        <v>5</v>
      </c>
      <c r="C41">
        <v>5</v>
      </c>
      <c r="D41">
        <f t="shared" si="13"/>
        <v>0</v>
      </c>
      <c r="H41">
        <v>23.9</v>
      </c>
      <c r="I41">
        <v>0.28046162997551971</v>
      </c>
      <c r="J41" s="4">
        <f t="shared" si="0"/>
        <v>-2.03E-4</v>
      </c>
      <c r="K41" s="9">
        <f t="shared" si="10"/>
        <v>2.0000000000000002E-5</v>
      </c>
      <c r="L41" s="4">
        <f t="shared" si="1"/>
        <v>-3.1E-4</v>
      </c>
      <c r="M41" s="5">
        <f t="shared" si="2"/>
        <v>0.28063565090373954</v>
      </c>
      <c r="N41" s="2">
        <f t="shared" si="3"/>
        <v>6.2048034248043417E-4</v>
      </c>
      <c r="O41">
        <f t="shared" si="4"/>
        <v>1497.2182</v>
      </c>
      <c r="P41">
        <f t="shared" ca="1" si="12"/>
        <v>1502</v>
      </c>
      <c r="Q41" t="str">
        <f t="shared" ca="1" si="6"/>
        <v>0000010111011110</v>
      </c>
      <c r="R41">
        <f t="shared" ca="1" si="7"/>
        <v>0.28162500000000001</v>
      </c>
      <c r="S41">
        <f t="shared" ca="1" si="8"/>
        <v>23.379500000000004</v>
      </c>
      <c r="T41" s="1">
        <f t="shared" ca="1" si="11"/>
        <v>2.1778242677824054E-2</v>
      </c>
      <c r="V41" s="4">
        <f t="shared" ca="1" si="9"/>
        <v>0.52049999999999996</v>
      </c>
      <c r="X41" s="2"/>
    </row>
    <row r="42" spans="1:24" x14ac:dyDescent="0.25">
      <c r="H42">
        <v>24</v>
      </c>
      <c r="I42">
        <v>0.28719855798630539</v>
      </c>
      <c r="J42" s="4">
        <f t="shared" si="0"/>
        <v>-2.02E-4</v>
      </c>
      <c r="K42" s="9">
        <f t="shared" si="10"/>
        <v>2.0000000000000002E-5</v>
      </c>
      <c r="L42" s="4">
        <f t="shared" si="1"/>
        <v>-2.7999999999999998E-4</v>
      </c>
      <c r="M42" s="5">
        <f t="shared" si="2"/>
        <v>0.28737810835596567</v>
      </c>
      <c r="N42" s="2">
        <f t="shared" si="3"/>
        <v>6.2517852080871776E-4</v>
      </c>
      <c r="O42">
        <f t="shared" si="4"/>
        <v>1533.1898000000001</v>
      </c>
      <c r="P42">
        <f t="shared" ca="1" si="12"/>
        <v>1534</v>
      </c>
      <c r="Q42" t="str">
        <f t="shared" ca="1" si="6"/>
        <v>0000010111111110</v>
      </c>
      <c r="R42">
        <f t="shared" ca="1" si="7"/>
        <v>0.28762500000000002</v>
      </c>
      <c r="S42">
        <f t="shared" ca="1" si="8"/>
        <v>23.451500000000003</v>
      </c>
      <c r="T42" s="1">
        <f t="shared" ca="1" si="11"/>
        <v>2.2854166666666547E-2</v>
      </c>
      <c r="V42" s="4">
        <f t="shared" ca="1" si="9"/>
        <v>0.54849999999999999</v>
      </c>
      <c r="X42" s="2"/>
    </row>
    <row r="43" spans="1:24" x14ac:dyDescent="0.25">
      <c r="A43" s="22" t="s">
        <v>59</v>
      </c>
      <c r="B43" s="22"/>
      <c r="C43" s="22"/>
      <c r="D43" s="22"/>
      <c r="E43" s="22"/>
      <c r="H43">
        <v>24.1</v>
      </c>
      <c r="I43">
        <v>0.29396338299060693</v>
      </c>
      <c r="J43" s="4">
        <f t="shared" si="0"/>
        <v>-2.0100000000000001E-4</v>
      </c>
      <c r="K43" s="9">
        <f t="shared" si="10"/>
        <v>2.0999999999999999E-5</v>
      </c>
      <c r="L43" s="4">
        <f t="shared" si="1"/>
        <v>-2.4899999999999998E-4</v>
      </c>
      <c r="M43" s="5">
        <f t="shared" si="2"/>
        <v>0.29414915429318794</v>
      </c>
      <c r="N43" s="2">
        <f t="shared" si="3"/>
        <v>6.3195388721918818E-4</v>
      </c>
      <c r="O43">
        <f t="shared" si="4"/>
        <v>1569.3140000000001</v>
      </c>
      <c r="P43">
        <f t="shared" ca="1" si="12"/>
        <v>1573</v>
      </c>
      <c r="Q43" t="str">
        <f t="shared" ca="1" si="6"/>
        <v>0000011000100101</v>
      </c>
      <c r="R43">
        <f t="shared" ca="1" si="7"/>
        <v>0.29493750000000002</v>
      </c>
      <c r="S43">
        <f t="shared" ca="1" si="8"/>
        <v>23.539250000000003</v>
      </c>
      <c r="T43" s="1">
        <f t="shared" ca="1" si="11"/>
        <v>2.3267634854771731E-2</v>
      </c>
      <c r="V43" s="4">
        <f t="shared" ca="1" si="9"/>
        <v>0.56074999999999997</v>
      </c>
      <c r="X43" s="2"/>
    </row>
    <row r="44" spans="1:24" x14ac:dyDescent="0.25">
      <c r="A44" t="s">
        <v>60</v>
      </c>
      <c r="B44" t="s">
        <v>61</v>
      </c>
      <c r="C44">
        <f>$D$16*(2^($C$12-1) - 1)/(2^($C$12-1))</f>
        <v>6.141969909027293</v>
      </c>
      <c r="D44" t="s">
        <v>22</v>
      </c>
      <c r="H44">
        <v>24.2</v>
      </c>
      <c r="I44">
        <v>0.30075608447513652</v>
      </c>
      <c r="J44" s="4">
        <f t="shared" si="0"/>
        <v>-2.0100000000000001E-4</v>
      </c>
      <c r="K44" s="9">
        <f t="shared" si="10"/>
        <v>2.0999999999999999E-5</v>
      </c>
      <c r="L44" s="4">
        <f t="shared" si="1"/>
        <v>-2.1900000000000001E-4</v>
      </c>
      <c r="M44" s="5">
        <f t="shared" si="2"/>
        <v>0.30094918930467879</v>
      </c>
      <c r="N44" s="2">
        <f t="shared" si="3"/>
        <v>6.4206458160028239E-4</v>
      </c>
      <c r="O44">
        <f t="shared" si="4"/>
        <v>1605.5929000000001</v>
      </c>
      <c r="P44">
        <f t="shared" ca="1" si="12"/>
        <v>1607</v>
      </c>
      <c r="Q44" t="str">
        <f t="shared" ca="1" si="6"/>
        <v>0000011001000111</v>
      </c>
      <c r="R44">
        <f t="shared" ca="1" si="7"/>
        <v>0.30131249999999998</v>
      </c>
      <c r="S44">
        <f t="shared" ca="1" si="8"/>
        <v>23.615750000000002</v>
      </c>
      <c r="T44" s="1">
        <f t="shared" ca="1" si="11"/>
        <v>2.4142561983470961E-2</v>
      </c>
      <c r="V44" s="4">
        <f t="shared" ca="1" si="9"/>
        <v>0.58425000000000005</v>
      </c>
      <c r="X44" s="2"/>
    </row>
    <row r="45" spans="1:24" x14ac:dyDescent="0.25">
      <c r="A45" t="s">
        <v>5</v>
      </c>
      <c r="B45">
        <v>-3</v>
      </c>
      <c r="D45">
        <v>3</v>
      </c>
      <c r="E45" s="12" t="s">
        <v>6</v>
      </c>
      <c r="H45">
        <v>24.3</v>
      </c>
      <c r="I45">
        <v>0.3075766423630712</v>
      </c>
      <c r="J45" s="4">
        <f t="shared" si="0"/>
        <v>-2.0000000000000001E-4</v>
      </c>
      <c r="K45" s="9">
        <f t="shared" si="10"/>
        <v>2.1999999999999999E-5</v>
      </c>
      <c r="L45" s="4">
        <f t="shared" si="1"/>
        <v>-1.8799999999999999E-4</v>
      </c>
      <c r="M45" s="5">
        <f t="shared" si="2"/>
        <v>0.30777679123031987</v>
      </c>
      <c r="N45" s="2">
        <f t="shared" si="3"/>
        <v>6.5072843539403793E-4</v>
      </c>
      <c r="O45">
        <f t="shared" si="4"/>
        <v>1642.0188000000001</v>
      </c>
      <c r="P45">
        <f t="shared" ca="1" si="12"/>
        <v>1641</v>
      </c>
      <c r="Q45" t="str">
        <f t="shared" ca="1" si="6"/>
        <v>0000011001101001</v>
      </c>
      <c r="R45">
        <f t="shared" ca="1" si="7"/>
        <v>0.3076875</v>
      </c>
      <c r="S45">
        <f t="shared" ca="1" si="8"/>
        <v>23.692250000000001</v>
      </c>
      <c r="T45" s="1">
        <f t="shared" ca="1" si="11"/>
        <v>2.5010288065843593E-2</v>
      </c>
      <c r="V45" s="4">
        <f t="shared" ca="1" si="9"/>
        <v>0.60775000000000001</v>
      </c>
      <c r="X45" s="2"/>
    </row>
    <row r="46" spans="1:24" x14ac:dyDescent="0.25">
      <c r="A46" t="s">
        <v>62</v>
      </c>
      <c r="C46">
        <v>5.0000000000000001E-3</v>
      </c>
      <c r="E46" s="12" t="s">
        <v>63</v>
      </c>
      <c r="H46">
        <v>24.4</v>
      </c>
      <c r="I46">
        <v>0.31536309117376748</v>
      </c>
      <c r="J46" s="4">
        <f t="shared" si="0"/>
        <v>-2.0000000000000001E-4</v>
      </c>
      <c r="K46" s="9">
        <f t="shared" si="10"/>
        <v>2.1999999999999999E-5</v>
      </c>
      <c r="L46" s="4">
        <f t="shared" si="1"/>
        <v>-1.5799999999999999E-4</v>
      </c>
      <c r="M46" s="5">
        <f t="shared" si="2"/>
        <v>0.31557124008183451</v>
      </c>
      <c r="N46" s="2">
        <f t="shared" si="3"/>
        <v>6.6002938800576989E-4</v>
      </c>
      <c r="O46">
        <f t="shared" si="4"/>
        <v>1683.6029000000001</v>
      </c>
      <c r="P46">
        <f t="shared" ca="1" si="12"/>
        <v>1688</v>
      </c>
      <c r="Q46" t="str">
        <f t="shared" ca="1" si="6"/>
        <v>0000011010011000</v>
      </c>
      <c r="R46">
        <f t="shared" ca="1" si="7"/>
        <v>0.3165</v>
      </c>
      <c r="S46">
        <f t="shared" ca="1" si="8"/>
        <v>23.798000000000002</v>
      </c>
      <c r="T46" s="1">
        <f t="shared" ca="1" si="11"/>
        <v>2.4672131147540851E-2</v>
      </c>
      <c r="V46" s="4">
        <f t="shared" ca="1" si="9"/>
        <v>0.60199999999999998</v>
      </c>
      <c r="X46" s="2"/>
    </row>
    <row r="47" spans="1:24" x14ac:dyDescent="0.25">
      <c r="B47" t="s">
        <v>64</v>
      </c>
      <c r="C47">
        <f>($D$19-$B$19)*C46</f>
        <v>0.3</v>
      </c>
      <c r="E47" s="12" t="s">
        <v>6</v>
      </c>
      <c r="H47">
        <v>24.5</v>
      </c>
      <c r="I47">
        <v>0.32223842483318871</v>
      </c>
      <c r="J47" s="4">
        <f t="shared" si="0"/>
        <v>-1.9900000000000001E-4</v>
      </c>
      <c r="K47" s="9">
        <f t="shared" si="10"/>
        <v>2.3E-5</v>
      </c>
      <c r="L47" s="4">
        <f t="shared" si="1"/>
        <v>-1.27E-4</v>
      </c>
      <c r="M47" s="5">
        <f t="shared" si="2"/>
        <v>0.32245448048016773</v>
      </c>
      <c r="N47" s="2">
        <f t="shared" si="3"/>
        <v>6.7048381052279215E-4</v>
      </c>
      <c r="O47">
        <f t="shared" si="4"/>
        <v>1720.3257000000001</v>
      </c>
      <c r="P47">
        <f t="shared" ca="1" si="12"/>
        <v>1725</v>
      </c>
      <c r="Q47" t="str">
        <f t="shared" ca="1" si="6"/>
        <v>0000011010111101</v>
      </c>
      <c r="R47">
        <f t="shared" ca="1" si="7"/>
        <v>0.32343749999999999</v>
      </c>
      <c r="S47">
        <f t="shared" ca="1" si="8"/>
        <v>23.881250000000001</v>
      </c>
      <c r="T47" s="1">
        <f t="shared" ca="1" si="11"/>
        <v>2.5255102040816269E-2</v>
      </c>
      <c r="V47" s="4">
        <f t="shared" ca="1" si="9"/>
        <v>0.61875000000000002</v>
      </c>
      <c r="X47" s="2"/>
    </row>
    <row r="48" spans="1:24" x14ac:dyDescent="0.25">
      <c r="A48" t="s">
        <v>65</v>
      </c>
      <c r="C48">
        <v>1</v>
      </c>
      <c r="E48" s="12" t="s">
        <v>7</v>
      </c>
      <c r="H48">
        <v>24.6</v>
      </c>
      <c r="I48">
        <v>0.32914154829328945</v>
      </c>
      <c r="J48" s="4">
        <f t="shared" si="0"/>
        <v>-1.9900000000000001E-4</v>
      </c>
      <c r="K48" s="9">
        <f t="shared" si="10"/>
        <v>2.3E-5</v>
      </c>
      <c r="L48" s="4">
        <f t="shared" si="1"/>
        <v>-9.7E-5</v>
      </c>
      <c r="M48" s="5">
        <f t="shared" si="2"/>
        <v>0.32936660535856965</v>
      </c>
      <c r="N48" s="2">
        <f t="shared" si="3"/>
        <v>6.8376984445505545E-4</v>
      </c>
      <c r="O48">
        <f t="shared" si="4"/>
        <v>1757.2025000000001</v>
      </c>
      <c r="P48">
        <f t="shared" ca="1" si="12"/>
        <v>1759</v>
      </c>
      <c r="Q48" t="str">
        <f t="shared" ca="1" si="6"/>
        <v>0000011011011111</v>
      </c>
      <c r="R48">
        <f t="shared" ca="1" si="7"/>
        <v>0.32981250000000001</v>
      </c>
      <c r="S48">
        <f t="shared" ca="1" si="8"/>
        <v>23.957750000000004</v>
      </c>
      <c r="T48" s="1">
        <f t="shared" ca="1" si="11"/>
        <v>2.6107723577235654E-2</v>
      </c>
      <c r="V48" s="4">
        <f t="shared" ca="1" si="9"/>
        <v>0.64224999999999999</v>
      </c>
      <c r="X48" s="2"/>
    </row>
    <row r="49" spans="1:24" x14ac:dyDescent="0.25">
      <c r="B49" t="s">
        <v>66</v>
      </c>
      <c r="C49">
        <f>($D$10-$B$10)*C48</f>
        <v>0.29999999999999982</v>
      </c>
      <c r="E49" s="12" t="s">
        <v>6</v>
      </c>
      <c r="H49">
        <v>24.7</v>
      </c>
      <c r="I49">
        <v>0.33700787307874169</v>
      </c>
      <c r="J49" s="4">
        <f t="shared" si="0"/>
        <v>-1.9799999999999999E-4</v>
      </c>
      <c r="K49" s="9">
        <f t="shared" si="10"/>
        <v>2.4000000000000001E-5</v>
      </c>
      <c r="L49" s="4">
        <f t="shared" si="1"/>
        <v>-6.6000000000000005E-5</v>
      </c>
      <c r="M49" s="5">
        <f t="shared" si="2"/>
        <v>0.33724161895989035</v>
      </c>
      <c r="N49" s="2">
        <f t="shared" si="3"/>
        <v>6.9359175206582446E-4</v>
      </c>
      <c r="O49">
        <f t="shared" si="4"/>
        <v>1799.2165</v>
      </c>
      <c r="P49">
        <f t="shared" ca="1" si="12"/>
        <v>1800</v>
      </c>
      <c r="Q49" t="str">
        <f t="shared" ca="1" si="6"/>
        <v>0000011100001000</v>
      </c>
      <c r="R49">
        <f t="shared" ca="1" si="7"/>
        <v>0.33750000000000002</v>
      </c>
      <c r="S49">
        <f t="shared" ca="1" si="8"/>
        <v>24.050000000000004</v>
      </c>
      <c r="T49" s="1">
        <f t="shared" ca="1" si="11"/>
        <v>2.6315789473684011E-2</v>
      </c>
      <c r="V49" s="4">
        <f t="shared" ca="1" si="9"/>
        <v>0.65</v>
      </c>
      <c r="X49" s="2"/>
    </row>
    <row r="50" spans="1:24" x14ac:dyDescent="0.25">
      <c r="A50" t="s">
        <v>80</v>
      </c>
      <c r="C50">
        <v>1</v>
      </c>
      <c r="E50" s="12" t="s">
        <v>6</v>
      </c>
      <c r="H50">
        <v>24.8</v>
      </c>
      <c r="I50">
        <v>0.34396563034674654</v>
      </c>
      <c r="J50" s="4">
        <f t="shared" si="0"/>
        <v>-1.9699999999999999E-4</v>
      </c>
      <c r="K50" s="9">
        <f t="shared" si="10"/>
        <v>2.4000000000000001E-5</v>
      </c>
      <c r="L50" s="4">
        <f t="shared" si="1"/>
        <v>-3.6000000000000001E-5</v>
      </c>
      <c r="M50" s="5">
        <f t="shared" si="2"/>
        <v>0.34420824093807278</v>
      </c>
      <c r="N50" s="2">
        <f t="shared" si="3"/>
        <v>7.0533381803777927E-4</v>
      </c>
      <c r="O50">
        <f t="shared" si="4"/>
        <v>1836.3841</v>
      </c>
      <c r="P50">
        <f t="shared" ca="1" si="12"/>
        <v>1840</v>
      </c>
      <c r="Q50" t="str">
        <f t="shared" ca="1" si="6"/>
        <v>0000011100110000</v>
      </c>
      <c r="R50">
        <f t="shared" ca="1" si="7"/>
        <v>0.34500000000000003</v>
      </c>
      <c r="S50">
        <f t="shared" ca="1" si="8"/>
        <v>24.14</v>
      </c>
      <c r="T50" s="1">
        <f t="shared" ca="1" si="11"/>
        <v>2.6612903225806457E-2</v>
      </c>
      <c r="V50" s="4">
        <f t="shared" ca="1" si="9"/>
        <v>0.66</v>
      </c>
      <c r="X50" s="2"/>
    </row>
    <row r="51" spans="1:24" x14ac:dyDescent="0.25">
      <c r="H51">
        <v>24.9</v>
      </c>
      <c r="I51">
        <v>0.35095110636090465</v>
      </c>
      <c r="J51" s="4">
        <f t="shared" si="0"/>
        <v>-1.9699999999999999E-4</v>
      </c>
      <c r="K51" s="9">
        <f t="shared" si="10"/>
        <v>2.5000000000000001E-5</v>
      </c>
      <c r="L51" s="4">
        <f t="shared" si="1"/>
        <v>-5.0000000000000004E-6</v>
      </c>
      <c r="M51" s="5">
        <f t="shared" si="2"/>
        <v>0.35120435062915151</v>
      </c>
      <c r="N51" s="2">
        <f t="shared" si="3"/>
        <v>7.2159415843649829E-4</v>
      </c>
      <c r="O51">
        <f t="shared" si="4"/>
        <v>1873.7090000000001</v>
      </c>
      <c r="P51">
        <f t="shared" ca="1" si="12"/>
        <v>1875</v>
      </c>
      <c r="Q51" t="str">
        <f t="shared" ca="1" si="6"/>
        <v>0000011101010011</v>
      </c>
      <c r="R51">
        <f t="shared" ca="1" si="7"/>
        <v>0.3515625</v>
      </c>
      <c r="S51">
        <f t="shared" ca="1" si="8"/>
        <v>24.218750000000004</v>
      </c>
      <c r="T51" s="1">
        <f t="shared" ca="1" si="11"/>
        <v>2.7359437751003819E-2</v>
      </c>
      <c r="V51" s="4">
        <f t="shared" ca="1" si="9"/>
        <v>0.68125000000000002</v>
      </c>
      <c r="X51" s="2"/>
    </row>
    <row r="52" spans="1:24" x14ac:dyDescent="0.25">
      <c r="H52">
        <v>25</v>
      </c>
      <c r="I52">
        <v>0.35889707489905992</v>
      </c>
      <c r="J52" s="4">
        <f t="shared" si="0"/>
        <v>-1.9599999999999999E-4</v>
      </c>
      <c r="K52" s="9">
        <f t="shared" si="10"/>
        <v>2.5000000000000001E-5</v>
      </c>
      <c r="L52" s="4">
        <f t="shared" si="1"/>
        <v>2.5000000000000001E-5</v>
      </c>
      <c r="M52" s="5">
        <f t="shared" si="2"/>
        <v>0.35916005245037119</v>
      </c>
      <c r="N52" s="2">
        <f t="shared" si="3"/>
        <v>7.3273807368096999E-4</v>
      </c>
      <c r="O52">
        <f t="shared" si="4"/>
        <v>1916.1533999999999</v>
      </c>
      <c r="P52">
        <f t="shared" ca="1" si="12"/>
        <v>1915</v>
      </c>
      <c r="Q52" t="str">
        <f t="shared" ca="1" si="6"/>
        <v>0000011101111011</v>
      </c>
      <c r="R52">
        <f t="shared" ca="1" si="7"/>
        <v>0.35906250000000001</v>
      </c>
      <c r="S52">
        <f t="shared" ca="1" si="8"/>
        <v>24.308750000000003</v>
      </c>
      <c r="T52" s="1">
        <f t="shared" ca="1" si="11"/>
        <v>2.7649999999999862E-2</v>
      </c>
      <c r="V52" s="4">
        <f t="shared" ca="1" si="9"/>
        <v>0.69125000000000003</v>
      </c>
      <c r="X52" s="2"/>
    </row>
    <row r="53" spans="1:24" x14ac:dyDescent="0.25">
      <c r="H53">
        <v>25.1</v>
      </c>
      <c r="I53">
        <v>0.36593703327195687</v>
      </c>
      <c r="J53" s="4">
        <f t="shared" si="0"/>
        <v>-1.9599999999999999E-4</v>
      </c>
      <c r="K53" s="9">
        <f t="shared" si="10"/>
        <v>2.5999999999999998E-5</v>
      </c>
      <c r="L53" s="4">
        <f t="shared" si="1"/>
        <v>5.5999999999999999E-5</v>
      </c>
      <c r="M53" s="5">
        <f t="shared" si="2"/>
        <v>0.36621153787007754</v>
      </c>
      <c r="N53" s="2">
        <f t="shared" si="3"/>
        <v>7.5014161771559944E-4</v>
      </c>
      <c r="O53">
        <f t="shared" si="4"/>
        <v>1953.7737999999999</v>
      </c>
      <c r="P53">
        <f t="shared" ca="1" si="12"/>
        <v>1954</v>
      </c>
      <c r="Q53" t="str">
        <f t="shared" ca="1" si="6"/>
        <v>0000011110100010</v>
      </c>
      <c r="R53">
        <f t="shared" ca="1" si="7"/>
        <v>0.36637500000000001</v>
      </c>
      <c r="S53">
        <f t="shared" ca="1" si="8"/>
        <v>24.3965</v>
      </c>
      <c r="T53" s="1">
        <f t="shared" ca="1" si="11"/>
        <v>2.8027888446215208E-2</v>
      </c>
      <c r="V53" s="4">
        <f t="shared" ca="1" si="9"/>
        <v>0.70350000000000001</v>
      </c>
      <c r="X53" s="2"/>
    </row>
    <row r="54" spans="1:24" x14ac:dyDescent="0.25">
      <c r="H54">
        <v>25.2</v>
      </c>
      <c r="I54">
        <v>0.37300463549568846</v>
      </c>
      <c r="J54" s="4">
        <f t="shared" si="0"/>
        <v>-1.95E-4</v>
      </c>
      <c r="K54" s="9">
        <f t="shared" si="10"/>
        <v>2.5999999999999998E-5</v>
      </c>
      <c r="L54" s="4">
        <f t="shared" si="1"/>
        <v>8.6000000000000003E-5</v>
      </c>
      <c r="M54" s="5">
        <f t="shared" si="2"/>
        <v>0.37328973342476302</v>
      </c>
      <c r="N54" s="2">
        <f t="shared" si="3"/>
        <v>7.643281126940495E-4</v>
      </c>
      <c r="O54">
        <f t="shared" si="4"/>
        <v>1991.5365999999999</v>
      </c>
      <c r="P54">
        <f t="shared" ca="1" si="12"/>
        <v>1996</v>
      </c>
      <c r="Q54" t="str">
        <f t="shared" ca="1" si="6"/>
        <v>0000011111001100</v>
      </c>
      <c r="R54">
        <f t="shared" ca="1" si="7"/>
        <v>0.37425000000000003</v>
      </c>
      <c r="S54">
        <f t="shared" ca="1" si="8"/>
        <v>24.491000000000003</v>
      </c>
      <c r="T54" s="1">
        <f t="shared" ca="1" si="11"/>
        <v>2.8134920634920482E-2</v>
      </c>
      <c r="V54" s="4">
        <f t="shared" ca="1" si="9"/>
        <v>0.70899999999999996</v>
      </c>
      <c r="X54" s="2"/>
    </row>
    <row r="55" spans="1:24" x14ac:dyDescent="0.25">
      <c r="H55">
        <v>25.3</v>
      </c>
      <c r="I55">
        <v>0.38103000066690296</v>
      </c>
      <c r="J55" s="4">
        <f t="shared" si="0"/>
        <v>-1.95E-4</v>
      </c>
      <c r="K55" s="9">
        <f t="shared" si="10"/>
        <v>2.6999999999999999E-5</v>
      </c>
      <c r="L55" s="4">
        <f t="shared" si="1"/>
        <v>1.17E-4</v>
      </c>
      <c r="M55" s="5">
        <f t="shared" si="2"/>
        <v>0.3813276092111807</v>
      </c>
      <c r="N55" s="2">
        <f t="shared" si="3"/>
        <v>7.8106328571725414E-4</v>
      </c>
      <c r="O55">
        <f t="shared" si="4"/>
        <v>2034.4195</v>
      </c>
      <c r="P55">
        <f t="shared" ca="1" si="12"/>
        <v>2036</v>
      </c>
      <c r="Q55" t="str">
        <f t="shared" ca="1" si="6"/>
        <v>0000011111110100</v>
      </c>
      <c r="R55">
        <f t="shared" ca="1" si="7"/>
        <v>0.38175000000000003</v>
      </c>
      <c r="S55">
        <f t="shared" ca="1" si="8"/>
        <v>24.581000000000003</v>
      </c>
      <c r="T55" s="1">
        <f t="shared" ca="1" si="11"/>
        <v>2.8418972332015718E-2</v>
      </c>
      <c r="V55" s="4">
        <f t="shared" ca="1" si="9"/>
        <v>0.71899999999999997</v>
      </c>
      <c r="X55" s="2"/>
    </row>
    <row r="56" spans="1:24" x14ac:dyDescent="0.25">
      <c r="H56">
        <v>25.4</v>
      </c>
      <c r="I56">
        <v>0.38815192414007077</v>
      </c>
      <c r="J56" s="4">
        <f t="shared" si="0"/>
        <v>-1.94E-4</v>
      </c>
      <c r="K56" s="9">
        <f t="shared" si="10"/>
        <v>2.6999999999999999E-5</v>
      </c>
      <c r="L56" s="4">
        <f t="shared" si="1"/>
        <v>1.47E-4</v>
      </c>
      <c r="M56" s="5">
        <f t="shared" si="2"/>
        <v>0.38846101938392025</v>
      </c>
      <c r="N56" s="2">
        <f t="shared" si="3"/>
        <v>7.9632541957446465E-4</v>
      </c>
      <c r="O56">
        <f t="shared" si="4"/>
        <v>2072.4769000000001</v>
      </c>
      <c r="P56">
        <f t="shared" ca="1" si="12"/>
        <v>2075</v>
      </c>
      <c r="Q56" t="str">
        <f t="shared" ca="1" si="6"/>
        <v>0000100000011011</v>
      </c>
      <c r="R56">
        <f t="shared" ca="1" si="7"/>
        <v>0.38906250000000003</v>
      </c>
      <c r="S56">
        <f t="shared" ca="1" si="8"/>
        <v>24.668749999999999</v>
      </c>
      <c r="T56" s="1">
        <f t="shared" ca="1" si="11"/>
        <v>2.8789370078740131E-2</v>
      </c>
      <c r="V56" s="4">
        <f t="shared" ca="1" si="9"/>
        <v>0.73124999999999996</v>
      </c>
      <c r="X56" s="2"/>
    </row>
    <row r="57" spans="1:24" x14ac:dyDescent="0.25">
      <c r="H57">
        <v>25.5</v>
      </c>
      <c r="I57">
        <v>0.39530141165136579</v>
      </c>
      <c r="J57" s="4">
        <f t="shared" si="0"/>
        <v>-1.93E-4</v>
      </c>
      <c r="K57" s="9">
        <f t="shared" si="10"/>
        <v>2.8E-5</v>
      </c>
      <c r="L57" s="4">
        <f t="shared" si="1"/>
        <v>1.7799999999999999E-4</v>
      </c>
      <c r="M57" s="5">
        <f t="shared" si="2"/>
        <v>0.39562282218971556</v>
      </c>
      <c r="N57" s="2">
        <f t="shared" si="3"/>
        <v>8.1307713273040907E-4</v>
      </c>
      <c r="O57">
        <f t="shared" si="4"/>
        <v>2110.6858000000002</v>
      </c>
      <c r="P57">
        <f t="shared" ca="1" si="12"/>
        <v>2113</v>
      </c>
      <c r="Q57" t="str">
        <f t="shared" ca="1" si="6"/>
        <v>0000100001000001</v>
      </c>
      <c r="R57">
        <f t="shared" ca="1" si="7"/>
        <v>0.39618750000000003</v>
      </c>
      <c r="S57">
        <f t="shared" ca="1" si="8"/>
        <v>24.754250000000003</v>
      </c>
      <c r="T57" s="1">
        <f t="shared" ca="1" si="11"/>
        <v>2.9245098039215586E-2</v>
      </c>
      <c r="V57" s="4">
        <f t="shared" ca="1" si="9"/>
        <v>0.74575000000000002</v>
      </c>
      <c r="X57" s="2"/>
    </row>
    <row r="58" spans="1:24" x14ac:dyDescent="0.25">
      <c r="H58">
        <v>25.6</v>
      </c>
      <c r="I58">
        <v>0.40247843538420425</v>
      </c>
      <c r="J58" s="4">
        <f t="shared" si="0"/>
        <v>-1.93E-4</v>
      </c>
      <c r="K58" s="9">
        <f t="shared" si="10"/>
        <v>2.8E-5</v>
      </c>
      <c r="L58" s="4">
        <f t="shared" si="1"/>
        <v>2.0799999999999999E-4</v>
      </c>
      <c r="M58" s="5">
        <f t="shared" si="2"/>
        <v>0.40281320846756552</v>
      </c>
      <c r="N58" s="2">
        <f t="shared" si="3"/>
        <v>8.3177893255746672E-4</v>
      </c>
      <c r="O58">
        <f t="shared" si="4"/>
        <v>2149.0472</v>
      </c>
      <c r="P58">
        <f t="shared" ca="1" si="12"/>
        <v>2151</v>
      </c>
      <c r="Q58" t="str">
        <f t="shared" ca="1" si="6"/>
        <v>0000100001100111</v>
      </c>
      <c r="R58">
        <f t="shared" ca="1" si="7"/>
        <v>0.40331250000000002</v>
      </c>
      <c r="S58">
        <f t="shared" ca="1" si="8"/>
        <v>24.839750000000002</v>
      </c>
      <c r="T58" s="1">
        <f t="shared" ca="1" si="11"/>
        <v>2.9697265624999969E-2</v>
      </c>
      <c r="V58" s="4">
        <f t="shared" ca="1" si="9"/>
        <v>0.76024999999999998</v>
      </c>
      <c r="X58" s="2"/>
    </row>
    <row r="59" spans="1:24" x14ac:dyDescent="0.25">
      <c r="H59">
        <v>25.7</v>
      </c>
      <c r="I59">
        <v>0.41060955286309969</v>
      </c>
      <c r="J59" s="4">
        <f t="shared" si="0"/>
        <v>-1.92E-4</v>
      </c>
      <c r="K59" s="9">
        <f t="shared" si="10"/>
        <v>2.9E-5</v>
      </c>
      <c r="L59" s="4">
        <f t="shared" si="1"/>
        <v>2.3900000000000001E-4</v>
      </c>
      <c r="M59" s="5">
        <f t="shared" si="2"/>
        <v>0.41095775790523908</v>
      </c>
      <c r="N59" s="2">
        <f t="shared" si="3"/>
        <v>8.4801982737963137E-4</v>
      </c>
      <c r="O59">
        <f t="shared" si="4"/>
        <v>2192.4992000000002</v>
      </c>
      <c r="P59">
        <f t="shared" ca="1" si="12"/>
        <v>2195</v>
      </c>
      <c r="Q59" t="str">
        <f t="shared" ca="1" si="6"/>
        <v>0000100010010011</v>
      </c>
      <c r="R59">
        <f t="shared" ca="1" si="7"/>
        <v>0.4115625</v>
      </c>
      <c r="S59">
        <f t="shared" ca="1" si="8"/>
        <v>24.938749999999999</v>
      </c>
      <c r="T59" s="1">
        <f t="shared" ca="1" si="11"/>
        <v>2.9620622568093401E-2</v>
      </c>
      <c r="V59" s="4">
        <f t="shared" ca="1" si="9"/>
        <v>0.76124999999999998</v>
      </c>
      <c r="X59" s="2"/>
    </row>
    <row r="60" spans="1:24" x14ac:dyDescent="0.25">
      <c r="H60">
        <v>25.8</v>
      </c>
      <c r="I60">
        <v>0.41784067109353551</v>
      </c>
      <c r="J60" s="4">
        <f t="shared" si="0"/>
        <v>-1.92E-4</v>
      </c>
      <c r="K60" s="9">
        <f t="shared" si="10"/>
        <v>2.9E-5</v>
      </c>
      <c r="L60" s="4">
        <f t="shared" si="1"/>
        <v>2.6899999999999998E-4</v>
      </c>
      <c r="M60" s="5">
        <f t="shared" si="2"/>
        <v>0.41820315213946102</v>
      </c>
      <c r="N60" s="2">
        <f t="shared" si="3"/>
        <v>8.6751020425287464E-4</v>
      </c>
      <c r="O60">
        <f t="shared" si="4"/>
        <v>2231.154</v>
      </c>
      <c r="P60">
        <f t="shared" ca="1" si="12"/>
        <v>2233</v>
      </c>
      <c r="Q60" t="str">
        <f t="shared" ca="1" si="6"/>
        <v>0000100010111001</v>
      </c>
      <c r="R60">
        <f t="shared" ca="1" si="7"/>
        <v>0.41868749999999999</v>
      </c>
      <c r="S60">
        <f t="shared" ca="1" si="8"/>
        <v>25.024250000000002</v>
      </c>
      <c r="T60" s="1">
        <f t="shared" ca="1" si="11"/>
        <v>3.0067829457364286E-2</v>
      </c>
      <c r="V60" s="4">
        <f t="shared" ca="1" si="9"/>
        <v>0.77575000000000005</v>
      </c>
      <c r="X60" s="2"/>
    </row>
    <row r="61" spans="1:24" x14ac:dyDescent="0.25">
      <c r="H61">
        <v>25.9</v>
      </c>
      <c r="I61">
        <v>0.42509923950608502</v>
      </c>
      <c r="J61" s="4">
        <f t="shared" si="0"/>
        <v>-1.9100000000000001E-4</v>
      </c>
      <c r="K61" s="9">
        <f t="shared" si="10"/>
        <v>3.0000000000000001E-5</v>
      </c>
      <c r="L61" s="4">
        <f t="shared" si="1"/>
        <v>2.9999999999999997E-4</v>
      </c>
      <c r="M61" s="5">
        <f t="shared" si="2"/>
        <v>0.42547586486554467</v>
      </c>
      <c r="N61" s="2">
        <f t="shared" si="3"/>
        <v>8.8597043809638917E-4</v>
      </c>
      <c r="O61">
        <f t="shared" si="4"/>
        <v>2269.9546</v>
      </c>
      <c r="P61">
        <f t="shared" ca="1" si="12"/>
        <v>2272</v>
      </c>
      <c r="Q61" t="str">
        <f t="shared" ca="1" si="6"/>
        <v>0000100011100000</v>
      </c>
      <c r="R61">
        <f t="shared" ca="1" si="7"/>
        <v>0.42599999999999999</v>
      </c>
      <c r="S61">
        <f t="shared" ca="1" si="8"/>
        <v>25.112000000000002</v>
      </c>
      <c r="T61" s="1">
        <f t="shared" ca="1" si="11"/>
        <v>3.0424710424710299E-2</v>
      </c>
      <c r="V61" s="4">
        <f t="shared" ca="1" si="9"/>
        <v>0.78800000000000003</v>
      </c>
      <c r="X61" s="2"/>
    </row>
    <row r="62" spans="1:24" x14ac:dyDescent="0.25">
      <c r="H62">
        <v>26</v>
      </c>
      <c r="I62">
        <v>0.43238522906209365</v>
      </c>
      <c r="J62" s="4">
        <f t="shared" si="0"/>
        <v>-1.9100000000000001E-4</v>
      </c>
      <c r="K62" s="9">
        <f t="shared" si="10"/>
        <v>3.0000000000000001E-5</v>
      </c>
      <c r="L62" s="4">
        <f t="shared" si="1"/>
        <v>3.3E-4</v>
      </c>
      <c r="M62" s="5">
        <f t="shared" si="2"/>
        <v>0.43277702634078613</v>
      </c>
      <c r="N62" s="2">
        <f t="shared" si="3"/>
        <v>9.0613011814106193E-4</v>
      </c>
      <c r="O62">
        <f t="shared" si="4"/>
        <v>2308.9070000000002</v>
      </c>
      <c r="P62">
        <f t="shared" ca="1" si="12"/>
        <v>2310</v>
      </c>
      <c r="Q62" t="str">
        <f t="shared" ca="1" si="6"/>
        <v>0000100100000110</v>
      </c>
      <c r="R62">
        <f t="shared" ca="1" si="7"/>
        <v>0.43312499999999998</v>
      </c>
      <c r="S62">
        <f t="shared" ca="1" si="8"/>
        <v>25.197499999999998</v>
      </c>
      <c r="T62" s="1">
        <f t="shared" ca="1" si="11"/>
        <v>3.086538461538469E-2</v>
      </c>
      <c r="V62" s="4">
        <f t="shared" ca="1" si="9"/>
        <v>0.80249999999999999</v>
      </c>
      <c r="X62" s="2"/>
    </row>
    <row r="63" spans="1:24" x14ac:dyDescent="0.25">
      <c r="H63">
        <v>26.1</v>
      </c>
      <c r="I63">
        <v>0.43969860987909182</v>
      </c>
      <c r="J63" s="4">
        <f t="shared" si="0"/>
        <v>-1.9000000000000001E-4</v>
      </c>
      <c r="K63" s="9">
        <f t="shared" si="10"/>
        <v>3.1000000000000001E-5</v>
      </c>
      <c r="L63" s="4">
        <f t="shared" si="1"/>
        <v>3.6099999999999999E-4</v>
      </c>
      <c r="M63" s="5">
        <f t="shared" si="2"/>
        <v>0.44010546701468412</v>
      </c>
      <c r="N63" s="2">
        <f t="shared" si="3"/>
        <v>9.2530912413886252E-4</v>
      </c>
      <c r="O63">
        <f t="shared" si="4"/>
        <v>2348.0050000000001</v>
      </c>
      <c r="P63">
        <f t="shared" ca="1" si="12"/>
        <v>2349</v>
      </c>
      <c r="Q63" t="str">
        <f t="shared" ca="1" si="6"/>
        <v>0000100100101101</v>
      </c>
      <c r="R63">
        <f t="shared" ca="1" si="7"/>
        <v>0.44043749999999998</v>
      </c>
      <c r="S63">
        <f t="shared" ca="1" si="8"/>
        <v>25.285250000000001</v>
      </c>
      <c r="T63" s="1">
        <f t="shared" ca="1" si="11"/>
        <v>3.1216475095785443E-2</v>
      </c>
      <c r="V63" s="4">
        <f t="shared" ca="1" si="9"/>
        <v>0.81474999999999997</v>
      </c>
      <c r="X63" s="2"/>
    </row>
    <row r="64" spans="1:24" x14ac:dyDescent="0.25">
      <c r="H64">
        <v>26.2</v>
      </c>
      <c r="I64">
        <v>0.44796144896305884</v>
      </c>
      <c r="J64" s="4">
        <f t="shared" si="0"/>
        <v>-1.8900000000000001E-4</v>
      </c>
      <c r="K64" s="9">
        <f t="shared" si="10"/>
        <v>3.1000000000000001E-5</v>
      </c>
      <c r="L64" s="4">
        <f t="shared" si="1"/>
        <v>3.9100000000000002E-4</v>
      </c>
      <c r="M64" s="5">
        <f t="shared" si="2"/>
        <v>0.4483837443290915</v>
      </c>
      <c r="N64" s="2">
        <f t="shared" si="3"/>
        <v>9.4270470597457637E-4</v>
      </c>
      <c r="O64">
        <f t="shared" si="4"/>
        <v>2392.1704</v>
      </c>
      <c r="P64">
        <f t="shared" ca="1" si="12"/>
        <v>2393</v>
      </c>
      <c r="Q64" t="str">
        <f t="shared" ca="1" si="6"/>
        <v>0000100101011001</v>
      </c>
      <c r="R64">
        <f t="shared" ca="1" si="7"/>
        <v>0.44868750000000002</v>
      </c>
      <c r="S64">
        <f t="shared" ca="1" si="8"/>
        <v>25.384250000000002</v>
      </c>
      <c r="T64" s="1">
        <f t="shared" ca="1" si="11"/>
        <v>3.1135496183206022E-2</v>
      </c>
      <c r="V64" s="4">
        <f t="shared" ca="1" si="9"/>
        <v>0.81574999999999998</v>
      </c>
      <c r="X64" s="2"/>
    </row>
    <row r="65" spans="8:24" x14ac:dyDescent="0.25">
      <c r="H65">
        <v>26.3</v>
      </c>
      <c r="I65">
        <v>0.45532861785860756</v>
      </c>
      <c r="J65" s="4">
        <f t="shared" si="0"/>
        <v>-1.8900000000000001E-4</v>
      </c>
      <c r="K65" s="9">
        <f t="shared" si="10"/>
        <v>3.1999999999999999E-5</v>
      </c>
      <c r="L65" s="4">
        <f t="shared" si="1"/>
        <v>4.2200000000000001E-4</v>
      </c>
      <c r="M65" s="5">
        <f t="shared" si="2"/>
        <v>0.45576792744799061</v>
      </c>
      <c r="N65" s="2">
        <f t="shared" si="3"/>
        <v>9.648187532097077E-4</v>
      </c>
      <c r="O65">
        <f t="shared" si="4"/>
        <v>2431.5657000000001</v>
      </c>
      <c r="P65">
        <f t="shared" ca="1" si="12"/>
        <v>2433</v>
      </c>
      <c r="Q65" t="str">
        <f t="shared" ca="1" si="6"/>
        <v>0000100110000001</v>
      </c>
      <c r="R65">
        <f t="shared" ca="1" si="7"/>
        <v>0.45618750000000002</v>
      </c>
      <c r="S65">
        <f t="shared" ca="1" si="8"/>
        <v>25.474250000000005</v>
      </c>
      <c r="T65" s="1">
        <f t="shared" ca="1" si="11"/>
        <v>3.1397338403041666E-2</v>
      </c>
      <c r="V65" s="4">
        <f t="shared" ca="1" si="9"/>
        <v>0.82574999999999998</v>
      </c>
      <c r="X65" s="2"/>
    </row>
    <row r="66" spans="8:24" x14ac:dyDescent="0.25">
      <c r="H66">
        <v>26.4</v>
      </c>
      <c r="I66">
        <v>0.46272308426503905</v>
      </c>
      <c r="J66" s="4">
        <f t="shared" si="0"/>
        <v>-1.8799999999999999E-4</v>
      </c>
      <c r="K66" s="9">
        <f t="shared" si="10"/>
        <v>3.1999999999999999E-5</v>
      </c>
      <c r="L66" s="4">
        <f t="shared" si="1"/>
        <v>4.5199999999999998E-4</v>
      </c>
      <c r="M66" s="5">
        <f t="shared" si="2"/>
        <v>0.46317841469248006</v>
      </c>
      <c r="N66" s="2">
        <f t="shared" si="3"/>
        <v>9.8402358327167086E-4</v>
      </c>
      <c r="O66">
        <f t="shared" si="4"/>
        <v>2471.1014</v>
      </c>
      <c r="P66">
        <f t="shared" ca="1" si="12"/>
        <v>2475</v>
      </c>
      <c r="Q66" t="str">
        <f t="shared" ca="1" si="6"/>
        <v>0000100110101011</v>
      </c>
      <c r="R66">
        <f t="shared" ca="1" si="7"/>
        <v>0.46406249999999999</v>
      </c>
      <c r="S66">
        <f t="shared" ca="1" si="8"/>
        <v>25.568750000000001</v>
      </c>
      <c r="T66" s="1">
        <f t="shared" ca="1" si="11"/>
        <v>3.148674242424232E-2</v>
      </c>
      <c r="V66" s="4">
        <f t="shared" ca="1" si="9"/>
        <v>0.83125000000000004</v>
      </c>
      <c r="X66" s="2"/>
    </row>
    <row r="67" spans="8:24" x14ac:dyDescent="0.25">
      <c r="H67">
        <v>26.5</v>
      </c>
      <c r="I67">
        <v>0.47014481623402016</v>
      </c>
      <c r="J67" s="4">
        <f t="shared" ref="J67:J130" si="14">ROUND(H67*0.00000575 -0.00034,6)</f>
        <v>-1.8799999999999999E-4</v>
      </c>
      <c r="K67" s="9">
        <f t="shared" ref="K67:K130" si="15">ROUND(H67*0.000005-0.0001,6)</f>
        <v>3.3000000000000003E-5</v>
      </c>
      <c r="L67" s="4">
        <f t="shared" ref="L67:L130" si="16">ROUND(K67+($C$24*(H67-25)),6)</f>
        <v>4.8299999999999998E-4</v>
      </c>
      <c r="M67" s="5">
        <f t="shared" ref="M67:M130" si="17">(I67-J67)/(1-L67)+$C$26+$D$27</f>
        <v>0.47061809676075561</v>
      </c>
      <c r="N67" s="2">
        <f t="shared" ref="N67:N130" si="18">ABS(I67-M67)/I67</f>
        <v>1.0066696694149499E-3</v>
      </c>
      <c r="O67">
        <f t="shared" ref="O67:O130" si="19">ROUND((M67*(2^($C$12-1)))/$C$44,4)</f>
        <v>2510.7928000000002</v>
      </c>
      <c r="P67">
        <f t="shared" ca="1" si="12"/>
        <v>2513</v>
      </c>
      <c r="Q67" t="str">
        <f t="shared" ref="Q67:Q130" ca="1" si="20">_xlfn.BASE(P67,2,16)</f>
        <v>0000100111010001</v>
      </c>
      <c r="R67">
        <f t="shared" ref="R67:R130" ca="1" si="21">($C$16/2^($C$12-1)) * P67</f>
        <v>0.47118750000000004</v>
      </c>
      <c r="S67">
        <f t="shared" ref="S67:S130" ca="1" si="22">(R67+5/3)/(1/12)</f>
        <v>25.654250000000001</v>
      </c>
      <c r="T67" s="1">
        <f t="shared" ca="1" si="11"/>
        <v>3.1915094339622599E-2</v>
      </c>
      <c r="V67" s="4">
        <f t="shared" ref="V67:V130" ca="1" si="23">ROUND(ABS(H67-S67),6)</f>
        <v>0.84575</v>
      </c>
      <c r="X67" s="2"/>
    </row>
    <row r="68" spans="8:24" x14ac:dyDescent="0.25">
      <c r="H68">
        <v>26.6</v>
      </c>
      <c r="I68">
        <v>0.477593781497132</v>
      </c>
      <c r="J68" s="4">
        <f t="shared" si="14"/>
        <v>-1.8699999999999999E-4</v>
      </c>
      <c r="K68" s="9">
        <f t="shared" si="15"/>
        <v>3.3000000000000003E-5</v>
      </c>
      <c r="L68" s="4">
        <f t="shared" si="16"/>
        <v>5.13E-4</v>
      </c>
      <c r="M68" s="5">
        <f t="shared" si="17"/>
        <v>0.47808400883966673</v>
      </c>
      <c r="N68" s="2">
        <f t="shared" si="18"/>
        <v>1.0264525241471898E-3</v>
      </c>
      <c r="O68">
        <f t="shared" si="19"/>
        <v>2550.6242000000002</v>
      </c>
      <c r="P68">
        <f t="shared" ca="1" si="12"/>
        <v>2552</v>
      </c>
      <c r="Q68" t="str">
        <f t="shared" ca="1" si="20"/>
        <v>0000100111111000</v>
      </c>
      <c r="R68">
        <f t="shared" ca="1" si="21"/>
        <v>0.47850000000000004</v>
      </c>
      <c r="S68">
        <f t="shared" ca="1" si="22"/>
        <v>25.742000000000004</v>
      </c>
      <c r="T68" s="1">
        <f t="shared" ref="T68:T131" ca="1" si="24">ABS(H68-S68)/H68</f>
        <v>3.2255639097744246E-2</v>
      </c>
      <c r="V68" s="4">
        <f t="shared" ca="1" si="23"/>
        <v>0.85799999999999998</v>
      </c>
      <c r="X68" s="2"/>
    </row>
    <row r="69" spans="8:24" x14ac:dyDescent="0.25">
      <c r="H69">
        <v>26.7</v>
      </c>
      <c r="I69">
        <v>0.48506994729129216</v>
      </c>
      <c r="J69" s="4">
        <f t="shared" si="14"/>
        <v>-1.8599999999999999E-4</v>
      </c>
      <c r="K69" s="9">
        <f t="shared" si="15"/>
        <v>3.4E-5</v>
      </c>
      <c r="L69" s="4">
        <f t="shared" si="16"/>
        <v>5.44E-4</v>
      </c>
      <c r="M69" s="5">
        <f t="shared" si="17"/>
        <v>0.48557807020948612</v>
      </c>
      <c r="N69" s="2">
        <f t="shared" si="18"/>
        <v>1.0475250446485178E-3</v>
      </c>
      <c r="O69">
        <f t="shared" si="19"/>
        <v>2590.6057000000001</v>
      </c>
      <c r="P69">
        <f t="shared" ca="1" si="12"/>
        <v>2589</v>
      </c>
      <c r="Q69" t="str">
        <f t="shared" ca="1" si="20"/>
        <v>0000101000011101</v>
      </c>
      <c r="R69">
        <f t="shared" ca="1" si="21"/>
        <v>0.48543750000000002</v>
      </c>
      <c r="S69">
        <f t="shared" ca="1" si="22"/>
        <v>25.82525</v>
      </c>
      <c r="T69" s="1">
        <f t="shared" ca="1" si="24"/>
        <v>3.2762172284644148E-2</v>
      </c>
      <c r="V69" s="4">
        <f t="shared" ca="1" si="23"/>
        <v>0.87475000000000003</v>
      </c>
      <c r="X69" s="2"/>
    </row>
    <row r="70" spans="8:24" x14ac:dyDescent="0.25">
      <c r="H70">
        <v>26.8</v>
      </c>
      <c r="I70">
        <v>0.49257327998054118</v>
      </c>
      <c r="J70" s="4">
        <f t="shared" si="14"/>
        <v>-1.8599999999999999E-4</v>
      </c>
      <c r="K70" s="9">
        <f t="shared" si="15"/>
        <v>3.4E-5</v>
      </c>
      <c r="L70" s="4">
        <f t="shared" si="16"/>
        <v>5.7399999999999997E-4</v>
      </c>
      <c r="M70" s="5">
        <f t="shared" si="17"/>
        <v>0.4931002862528503</v>
      </c>
      <c r="N70" s="2">
        <f t="shared" si="18"/>
        <v>1.069904304045756E-3</v>
      </c>
      <c r="O70">
        <f t="shared" si="19"/>
        <v>2630.7374</v>
      </c>
      <c r="P70">
        <f t="shared" ca="1" si="12"/>
        <v>2631</v>
      </c>
      <c r="Q70" t="str">
        <f t="shared" ca="1" si="20"/>
        <v>0000101001000111</v>
      </c>
      <c r="R70">
        <f t="shared" ca="1" si="21"/>
        <v>0.49331249999999999</v>
      </c>
      <c r="S70">
        <f t="shared" ca="1" si="22"/>
        <v>25.919750000000001</v>
      </c>
      <c r="T70" s="1">
        <f t="shared" ca="1" si="24"/>
        <v>3.2845149253731352E-2</v>
      </c>
      <c r="V70" s="4">
        <f t="shared" ca="1" si="23"/>
        <v>0.88024999999999998</v>
      </c>
      <c r="X70" s="2"/>
    </row>
    <row r="71" spans="8:24" x14ac:dyDescent="0.25">
      <c r="H71">
        <v>26.9</v>
      </c>
      <c r="I71">
        <v>0.50010374619077613</v>
      </c>
      <c r="J71" s="4">
        <f t="shared" si="14"/>
        <v>-1.85E-4</v>
      </c>
      <c r="K71" s="9">
        <f t="shared" si="15"/>
        <v>3.4999999999999997E-5</v>
      </c>
      <c r="L71" s="4">
        <f t="shared" si="16"/>
        <v>6.0499999999999996E-4</v>
      </c>
      <c r="M71" s="5">
        <f t="shared" si="17"/>
        <v>0.50064960411126347</v>
      </c>
      <c r="N71" s="2">
        <f t="shared" si="18"/>
        <v>1.0914893652468379E-3</v>
      </c>
      <c r="O71">
        <f t="shared" si="19"/>
        <v>2671.0138000000002</v>
      </c>
      <c r="P71">
        <f t="shared" ca="1" si="12"/>
        <v>2673</v>
      </c>
      <c r="Q71" t="str">
        <f t="shared" ca="1" si="20"/>
        <v>0000101001110001</v>
      </c>
      <c r="R71">
        <f t="shared" ca="1" si="21"/>
        <v>0.50118750000000001</v>
      </c>
      <c r="S71">
        <f t="shared" ca="1" si="22"/>
        <v>26.014250000000004</v>
      </c>
      <c r="T71" s="1">
        <f t="shared" ca="1" si="24"/>
        <v>3.2927509293680095E-2</v>
      </c>
      <c r="V71" s="4">
        <f t="shared" ca="1" si="23"/>
        <v>0.88575000000000004</v>
      </c>
      <c r="X71" s="2"/>
    </row>
    <row r="72" spans="8:24" x14ac:dyDescent="0.25">
      <c r="H72">
        <v>27</v>
      </c>
      <c r="I72">
        <v>0.50766131109306611</v>
      </c>
      <c r="J72" s="4">
        <f t="shared" si="14"/>
        <v>-1.85E-4</v>
      </c>
      <c r="K72" s="9">
        <f t="shared" si="15"/>
        <v>3.4999999999999997E-5</v>
      </c>
      <c r="L72" s="4">
        <f t="shared" si="16"/>
        <v>6.3500000000000004E-4</v>
      </c>
      <c r="M72" s="5">
        <f t="shared" si="17"/>
        <v>0.50822699840705465</v>
      </c>
      <c r="N72" s="2">
        <f t="shared" si="18"/>
        <v>1.1143006205663664E-3</v>
      </c>
      <c r="O72">
        <f t="shared" si="19"/>
        <v>2711.4398999999999</v>
      </c>
      <c r="P72">
        <f t="shared" ca="1" si="12"/>
        <v>2716</v>
      </c>
      <c r="Q72" t="str">
        <f t="shared" ca="1" si="20"/>
        <v>0000101010011100</v>
      </c>
      <c r="R72">
        <f t="shared" ca="1" si="21"/>
        <v>0.50924999999999998</v>
      </c>
      <c r="S72">
        <f t="shared" ca="1" si="22"/>
        <v>26.111000000000001</v>
      </c>
      <c r="T72" s="1">
        <f t="shared" ca="1" si="24"/>
        <v>3.29259259259259E-2</v>
      </c>
      <c r="V72" s="4">
        <f t="shared" ca="1" si="23"/>
        <v>0.88900000000000001</v>
      </c>
      <c r="X72" s="2"/>
    </row>
    <row r="73" spans="8:24" x14ac:dyDescent="0.25">
      <c r="H73">
        <v>27.1</v>
      </c>
      <c r="I73">
        <v>0.51524594038218385</v>
      </c>
      <c r="J73" s="4">
        <f t="shared" si="14"/>
        <v>-1.84E-4</v>
      </c>
      <c r="K73" s="9">
        <f t="shared" si="15"/>
        <v>3.6000000000000001E-5</v>
      </c>
      <c r="L73" s="4">
        <f t="shared" si="16"/>
        <v>6.6600000000000003E-4</v>
      </c>
      <c r="M73" s="5">
        <f t="shared" si="17"/>
        <v>0.51583144549688476</v>
      </c>
      <c r="N73" s="2">
        <f t="shared" si="18"/>
        <v>1.1363604616983552E-3</v>
      </c>
      <c r="O73">
        <f t="shared" si="19"/>
        <v>2752.0104000000001</v>
      </c>
      <c r="P73">
        <f t="shared" ca="1" si="12"/>
        <v>2752</v>
      </c>
      <c r="Q73" t="str">
        <f t="shared" ca="1" si="20"/>
        <v>0000101011000000</v>
      </c>
      <c r="R73">
        <f t="shared" ca="1" si="21"/>
        <v>0.51600000000000001</v>
      </c>
      <c r="S73">
        <f t="shared" ca="1" si="22"/>
        <v>26.192000000000004</v>
      </c>
      <c r="T73" s="1">
        <f t="shared" ca="1" si="24"/>
        <v>3.350553505535047E-2</v>
      </c>
      <c r="V73" s="4">
        <f t="shared" ca="1" si="23"/>
        <v>0.90800000000000003</v>
      </c>
      <c r="X73" s="2"/>
    </row>
    <row r="74" spans="8:24" x14ac:dyDescent="0.25">
      <c r="H74">
        <v>27.2</v>
      </c>
      <c r="I74">
        <v>0.52285759806535193</v>
      </c>
      <c r="J74" s="4">
        <f t="shared" si="14"/>
        <v>-1.84E-4</v>
      </c>
      <c r="K74" s="9">
        <f t="shared" si="15"/>
        <v>3.6000000000000001E-5</v>
      </c>
      <c r="L74" s="4">
        <f t="shared" si="16"/>
        <v>6.96E-4</v>
      </c>
      <c r="M74" s="5">
        <f t="shared" si="17"/>
        <v>0.52346388856379233</v>
      </c>
      <c r="N74" s="2">
        <f t="shared" si="18"/>
        <v>1.1595709820107255E-3</v>
      </c>
      <c r="O74">
        <f t="shared" si="19"/>
        <v>2792.7302</v>
      </c>
      <c r="P74">
        <f t="shared" ca="1" si="12"/>
        <v>2794</v>
      </c>
      <c r="Q74" t="str">
        <f t="shared" ca="1" si="20"/>
        <v>0000101011101010</v>
      </c>
      <c r="R74">
        <f t="shared" ca="1" si="21"/>
        <v>0.52387499999999998</v>
      </c>
      <c r="S74">
        <f t="shared" ca="1" si="22"/>
        <v>26.286500000000004</v>
      </c>
      <c r="T74" s="1">
        <f t="shared" ca="1" si="24"/>
        <v>3.3584558823529245E-2</v>
      </c>
      <c r="V74" s="4">
        <f t="shared" ca="1" si="23"/>
        <v>0.91349999999999998</v>
      </c>
      <c r="X74" s="2"/>
    </row>
    <row r="75" spans="8:24" x14ac:dyDescent="0.25">
      <c r="H75">
        <v>27.3</v>
      </c>
      <c r="I75">
        <v>0.53049624849889043</v>
      </c>
      <c r="J75" s="4">
        <f t="shared" si="14"/>
        <v>-1.83E-4</v>
      </c>
      <c r="K75" s="9">
        <f t="shared" si="15"/>
        <v>3.6999999999999998E-5</v>
      </c>
      <c r="L75" s="4">
        <f t="shared" si="16"/>
        <v>7.27E-4</v>
      </c>
      <c r="M75" s="5">
        <f t="shared" si="17"/>
        <v>0.53112333299597858</v>
      </c>
      <c r="N75" s="2">
        <f t="shared" si="18"/>
        <v>1.1820715016601291E-3</v>
      </c>
      <c r="O75">
        <f t="shared" si="19"/>
        <v>2833.5940000000001</v>
      </c>
      <c r="P75">
        <f t="shared" ca="1" si="12"/>
        <v>2832</v>
      </c>
      <c r="Q75" t="str">
        <f t="shared" ca="1" si="20"/>
        <v>0000101100010000</v>
      </c>
      <c r="R75">
        <f t="shared" ca="1" si="21"/>
        <v>0.53100000000000003</v>
      </c>
      <c r="S75">
        <f t="shared" ca="1" si="22"/>
        <v>26.372</v>
      </c>
      <c r="T75" s="1">
        <f t="shared" ca="1" si="24"/>
        <v>3.399267399267402E-2</v>
      </c>
      <c r="V75" s="4">
        <f t="shared" ca="1" si="23"/>
        <v>0.92800000000000005</v>
      </c>
      <c r="X75" s="2"/>
    </row>
    <row r="76" spans="8:24" x14ac:dyDescent="0.25">
      <c r="H76">
        <v>27.4</v>
      </c>
      <c r="I76">
        <v>0.53725069866832043</v>
      </c>
      <c r="J76" s="4">
        <f t="shared" si="14"/>
        <v>-1.8200000000000001E-4</v>
      </c>
      <c r="K76" s="9">
        <f t="shared" si="15"/>
        <v>3.6999999999999998E-5</v>
      </c>
      <c r="L76" s="4">
        <f t="shared" si="16"/>
        <v>7.5699999999999997E-4</v>
      </c>
      <c r="M76" s="5">
        <f t="shared" si="17"/>
        <v>0.53789784342979685</v>
      </c>
      <c r="N76" s="2">
        <f t="shared" si="18"/>
        <v>1.2045489435016075E-3</v>
      </c>
      <c r="O76">
        <f t="shared" si="19"/>
        <v>2869.7366999999999</v>
      </c>
      <c r="P76">
        <f t="shared" ca="1" si="12"/>
        <v>2872</v>
      </c>
      <c r="Q76" t="str">
        <f t="shared" ca="1" si="20"/>
        <v>0000101100111000</v>
      </c>
      <c r="R76">
        <f t="shared" ca="1" si="21"/>
        <v>0.53849999999999998</v>
      </c>
      <c r="S76">
        <f t="shared" ca="1" si="22"/>
        <v>26.462000000000003</v>
      </c>
      <c r="T76" s="1">
        <f t="shared" ca="1" si="24"/>
        <v>3.4233576642335596E-2</v>
      </c>
      <c r="V76" s="4">
        <f t="shared" ca="1" si="23"/>
        <v>0.93799999999999994</v>
      </c>
      <c r="X76" s="2"/>
    </row>
    <row r="77" spans="8:24" x14ac:dyDescent="0.25">
      <c r="H77">
        <v>27.5</v>
      </c>
      <c r="I77">
        <v>0.54494414692876847</v>
      </c>
      <c r="J77" s="4">
        <f t="shared" si="14"/>
        <v>-1.8200000000000001E-4</v>
      </c>
      <c r="K77" s="9">
        <f t="shared" si="15"/>
        <v>3.8000000000000002E-5</v>
      </c>
      <c r="L77" s="4">
        <f t="shared" si="16"/>
        <v>7.8799999999999996E-4</v>
      </c>
      <c r="M77" s="5">
        <f t="shared" si="17"/>
        <v>0.54561404509230127</v>
      </c>
      <c r="N77" s="2">
        <f t="shared" si="18"/>
        <v>1.2292969239292796E-3</v>
      </c>
      <c r="O77">
        <f t="shared" si="19"/>
        <v>2910.9034000000001</v>
      </c>
      <c r="P77">
        <f t="shared" ca="1" si="12"/>
        <v>2915</v>
      </c>
      <c r="Q77" t="str">
        <f t="shared" ca="1" si="20"/>
        <v>0000101101100011</v>
      </c>
      <c r="R77">
        <f t="shared" ca="1" si="21"/>
        <v>0.54656250000000006</v>
      </c>
      <c r="S77">
        <f t="shared" ca="1" si="22"/>
        <v>26.558750000000003</v>
      </c>
      <c r="T77" s="1">
        <f t="shared" ca="1" si="24"/>
        <v>3.4227272727272606E-2</v>
      </c>
      <c r="V77" s="4">
        <f t="shared" ca="1" si="23"/>
        <v>0.94125000000000003</v>
      </c>
      <c r="X77" s="2"/>
    </row>
    <row r="78" spans="8:24" x14ac:dyDescent="0.25">
      <c r="H78">
        <v>27.6</v>
      </c>
      <c r="I78">
        <v>0.55266447868087576</v>
      </c>
      <c r="J78" s="4">
        <f t="shared" si="14"/>
        <v>-1.8100000000000001E-4</v>
      </c>
      <c r="K78" s="9">
        <f t="shared" si="15"/>
        <v>3.8000000000000002E-5</v>
      </c>
      <c r="L78" s="4">
        <f t="shared" si="16"/>
        <v>8.1800000000000004E-4</v>
      </c>
      <c r="M78" s="5">
        <f t="shared" si="17"/>
        <v>0.55335607650745888</v>
      </c>
      <c r="N78" s="2">
        <f t="shared" si="18"/>
        <v>1.2513882351076011E-3</v>
      </c>
      <c r="O78">
        <f t="shared" si="19"/>
        <v>2952.2078999999999</v>
      </c>
      <c r="P78">
        <f t="shared" ca="1" si="12"/>
        <v>2951</v>
      </c>
      <c r="Q78" t="str">
        <f t="shared" ca="1" si="20"/>
        <v>0000101110000111</v>
      </c>
      <c r="R78">
        <f t="shared" ca="1" si="21"/>
        <v>0.55331249999999998</v>
      </c>
      <c r="S78">
        <f t="shared" ca="1" si="22"/>
        <v>26.639749999999999</v>
      </c>
      <c r="T78" s="1">
        <f t="shared" ca="1" si="24"/>
        <v>3.4791666666666742E-2</v>
      </c>
      <c r="V78" s="4">
        <f t="shared" ca="1" si="23"/>
        <v>0.96025000000000005</v>
      </c>
      <c r="X78" s="2"/>
    </row>
    <row r="79" spans="8:24" x14ac:dyDescent="0.25">
      <c r="H79">
        <v>27.7</v>
      </c>
      <c r="I79">
        <v>0.56041165598234544</v>
      </c>
      <c r="J79" s="4">
        <f t="shared" si="14"/>
        <v>-1.8100000000000001E-4</v>
      </c>
      <c r="K79" s="9">
        <f t="shared" si="15"/>
        <v>3.8999999999999999E-5</v>
      </c>
      <c r="L79" s="4">
        <f t="shared" si="16"/>
        <v>8.4900000000000004E-4</v>
      </c>
      <c r="M79" s="5">
        <f t="shared" si="17"/>
        <v>0.56112700356637324</v>
      </c>
      <c r="N79" s="2">
        <f t="shared" si="18"/>
        <v>1.2764680684128006E-3</v>
      </c>
      <c r="O79">
        <f t="shared" si="19"/>
        <v>2993.6664999999998</v>
      </c>
      <c r="P79">
        <f t="shared" ref="P79:P142" ca="1" si="25">ROUND(O79+$C$47+$C$49+RANDBETWEEN($B$45,$D$45) + 1,0)</f>
        <v>2995</v>
      </c>
      <c r="Q79" t="str">
        <f t="shared" ca="1" si="20"/>
        <v>0000101110110011</v>
      </c>
      <c r="R79">
        <f t="shared" ca="1" si="21"/>
        <v>0.56156249999999996</v>
      </c>
      <c r="S79">
        <f t="shared" ca="1" si="22"/>
        <v>26.738750000000003</v>
      </c>
      <c r="T79" s="1">
        <f t="shared" ca="1" si="24"/>
        <v>3.4702166064981811E-2</v>
      </c>
      <c r="V79" s="4">
        <f t="shared" ca="1" si="23"/>
        <v>0.96125000000000005</v>
      </c>
      <c r="X79" s="2"/>
    </row>
    <row r="80" spans="8:24" x14ac:dyDescent="0.25">
      <c r="H80">
        <v>27.8</v>
      </c>
      <c r="I80">
        <v>0.56818564016343787</v>
      </c>
      <c r="J80" s="4">
        <f t="shared" si="14"/>
        <v>-1.8000000000000001E-4</v>
      </c>
      <c r="K80" s="9">
        <f t="shared" si="15"/>
        <v>3.8999999999999999E-5</v>
      </c>
      <c r="L80" s="4">
        <f t="shared" si="16"/>
        <v>8.7900000000000001E-4</v>
      </c>
      <c r="M80" s="5">
        <f t="shared" si="17"/>
        <v>0.56892367309008396</v>
      </c>
      <c r="N80" s="2">
        <f t="shared" si="18"/>
        <v>1.2989292134060243E-3</v>
      </c>
      <c r="O80">
        <f t="shared" si="19"/>
        <v>3035.2624999999998</v>
      </c>
      <c r="P80">
        <f t="shared" ca="1" si="25"/>
        <v>3038</v>
      </c>
      <c r="Q80" t="str">
        <f t="shared" ca="1" si="20"/>
        <v>0000101111011110</v>
      </c>
      <c r="R80">
        <f t="shared" ca="1" si="21"/>
        <v>0.56962500000000005</v>
      </c>
      <c r="S80">
        <f t="shared" ca="1" si="22"/>
        <v>26.835500000000003</v>
      </c>
      <c r="T80" s="1">
        <f t="shared" ca="1" si="24"/>
        <v>3.4694244604316457E-2</v>
      </c>
      <c r="V80" s="4">
        <f t="shared" ca="1" si="23"/>
        <v>0.96450000000000002</v>
      </c>
      <c r="X80" s="2"/>
    </row>
    <row r="81" spans="8:24" x14ac:dyDescent="0.25">
      <c r="H81">
        <v>27.9</v>
      </c>
      <c r="I81">
        <v>0.57598639235075</v>
      </c>
      <c r="J81" s="4">
        <f t="shared" si="14"/>
        <v>-1.8000000000000001E-4</v>
      </c>
      <c r="K81" s="9">
        <f t="shared" si="15"/>
        <v>4.0000000000000003E-5</v>
      </c>
      <c r="L81" s="4">
        <f t="shared" si="16"/>
        <v>9.1E-4</v>
      </c>
      <c r="M81" s="5">
        <f t="shared" si="17"/>
        <v>0.57674918132575637</v>
      </c>
      <c r="N81" s="2">
        <f t="shared" si="18"/>
        <v>1.3243177011408687E-3</v>
      </c>
      <c r="O81">
        <f t="shared" si="19"/>
        <v>3077.0122999999999</v>
      </c>
      <c r="P81">
        <f t="shared" ca="1" si="25"/>
        <v>3082</v>
      </c>
      <c r="Q81" t="str">
        <f t="shared" ca="1" si="20"/>
        <v>0000110000001010</v>
      </c>
      <c r="R81">
        <f t="shared" ca="1" si="21"/>
        <v>0.57787500000000003</v>
      </c>
      <c r="S81">
        <f t="shared" ca="1" si="22"/>
        <v>26.9345</v>
      </c>
      <c r="T81" s="1">
        <f t="shared" ca="1" si="24"/>
        <v>3.4605734767025047E-2</v>
      </c>
      <c r="V81" s="4">
        <f t="shared" ca="1" si="23"/>
        <v>0.96550000000000002</v>
      </c>
      <c r="X81" s="2"/>
    </row>
    <row r="82" spans="8:24" x14ac:dyDescent="0.25">
      <c r="H82">
        <v>28</v>
      </c>
      <c r="I82">
        <v>0.58381387303076104</v>
      </c>
      <c r="J82" s="4">
        <f t="shared" si="14"/>
        <v>-1.7899999999999999E-4</v>
      </c>
      <c r="K82" s="9">
        <f t="shared" si="15"/>
        <v>4.0000000000000003E-5</v>
      </c>
      <c r="L82" s="4">
        <f t="shared" si="16"/>
        <v>9.3999999999999997E-4</v>
      </c>
      <c r="M82" s="5">
        <f t="shared" si="17"/>
        <v>0.5846003428330242</v>
      </c>
      <c r="N82" s="2">
        <f t="shared" si="18"/>
        <v>1.347124209605272E-3</v>
      </c>
      <c r="O82">
        <f t="shared" si="19"/>
        <v>3118.8989999999999</v>
      </c>
      <c r="P82">
        <f t="shared" ca="1" si="25"/>
        <v>3121</v>
      </c>
      <c r="Q82" t="str">
        <f t="shared" ca="1" si="20"/>
        <v>0000110000110001</v>
      </c>
      <c r="R82">
        <f t="shared" ca="1" si="21"/>
        <v>0.58518749999999997</v>
      </c>
      <c r="S82">
        <f t="shared" ca="1" si="22"/>
        <v>27.022250000000003</v>
      </c>
      <c r="T82" s="1">
        <f t="shared" ca="1" si="24"/>
        <v>3.4919642857142739E-2</v>
      </c>
      <c r="V82" s="4">
        <f t="shared" ca="1" si="23"/>
        <v>0.97775000000000001</v>
      </c>
      <c r="X82" s="2"/>
    </row>
    <row r="83" spans="8:24" x14ac:dyDescent="0.25">
      <c r="H83">
        <v>28.1</v>
      </c>
      <c r="I83">
        <v>0.59166804242804827</v>
      </c>
      <c r="J83" s="4">
        <f t="shared" si="14"/>
        <v>-1.7799999999999999E-4</v>
      </c>
      <c r="K83" s="9">
        <f t="shared" si="15"/>
        <v>4.1E-5</v>
      </c>
      <c r="L83" s="4">
        <f t="shared" si="16"/>
        <v>9.7099999999999997E-4</v>
      </c>
      <c r="M83" s="5">
        <f t="shared" si="17"/>
        <v>0.59247928349432133</v>
      </c>
      <c r="N83" s="2">
        <f t="shared" si="18"/>
        <v>1.3711084731633351E-3</v>
      </c>
      <c r="O83">
        <f t="shared" si="19"/>
        <v>3160.9339</v>
      </c>
      <c r="P83">
        <f t="shared" ca="1" si="25"/>
        <v>3166</v>
      </c>
      <c r="Q83" t="str">
        <f t="shared" ca="1" si="20"/>
        <v>0000110001011110</v>
      </c>
      <c r="R83">
        <f t="shared" ca="1" si="21"/>
        <v>0.59362499999999996</v>
      </c>
      <c r="S83">
        <f t="shared" ca="1" si="22"/>
        <v>27.123500000000003</v>
      </c>
      <c r="T83" s="1">
        <f t="shared" ca="1" si="24"/>
        <v>3.4750889679715229E-2</v>
      </c>
      <c r="V83" s="4">
        <f t="shared" ca="1" si="23"/>
        <v>0.97650000000000003</v>
      </c>
      <c r="X83" s="2"/>
    </row>
    <row r="84" spans="8:24" x14ac:dyDescent="0.25">
      <c r="H84">
        <v>28.200000000000003</v>
      </c>
      <c r="I84">
        <v>0.59864512554000371</v>
      </c>
      <c r="J84" s="4">
        <f t="shared" si="14"/>
        <v>-1.7799999999999999E-4</v>
      </c>
      <c r="K84" s="9">
        <f t="shared" si="15"/>
        <v>4.1E-5</v>
      </c>
      <c r="L84" s="4">
        <f t="shared" si="16"/>
        <v>1.0009999999999999E-3</v>
      </c>
      <c r="M84" s="5">
        <f t="shared" si="17"/>
        <v>0.59948114811126307</v>
      </c>
      <c r="N84" s="2">
        <f t="shared" si="18"/>
        <v>1.3965244776782181E-3</v>
      </c>
      <c r="O84">
        <f t="shared" si="19"/>
        <v>3198.2896000000001</v>
      </c>
      <c r="P84">
        <f t="shared" ca="1" si="25"/>
        <v>3203</v>
      </c>
      <c r="Q84" t="str">
        <f t="shared" ca="1" si="20"/>
        <v>0000110010000011</v>
      </c>
      <c r="R84">
        <f t="shared" ca="1" si="21"/>
        <v>0.6005625</v>
      </c>
      <c r="S84">
        <f t="shared" ca="1" si="22"/>
        <v>27.20675</v>
      </c>
      <c r="T84" s="1">
        <f t="shared" ca="1" si="24"/>
        <v>3.522163120567387E-2</v>
      </c>
      <c r="V84" s="4">
        <f t="shared" ca="1" si="23"/>
        <v>0.99324999999999997</v>
      </c>
      <c r="X84" s="2"/>
    </row>
    <row r="85" spans="8:24" x14ac:dyDescent="0.25">
      <c r="H85">
        <v>28.3</v>
      </c>
      <c r="I85">
        <v>0.60655348394148934</v>
      </c>
      <c r="J85" s="4">
        <f t="shared" si="14"/>
        <v>-1.7699999999999999E-4</v>
      </c>
      <c r="K85" s="9">
        <f t="shared" si="15"/>
        <v>4.1999999999999998E-5</v>
      </c>
      <c r="L85" s="4">
        <f t="shared" si="16"/>
        <v>1.0319999999999999E-3</v>
      </c>
      <c r="M85" s="5">
        <f t="shared" si="17"/>
        <v>0.60741527665099315</v>
      </c>
      <c r="N85" s="2">
        <f t="shared" si="18"/>
        <v>1.4208025051702597E-3</v>
      </c>
      <c r="O85">
        <f t="shared" si="19"/>
        <v>3240.6188999999999</v>
      </c>
      <c r="P85">
        <f t="shared" ca="1" si="25"/>
        <v>3240</v>
      </c>
      <c r="Q85" t="str">
        <f t="shared" ca="1" si="20"/>
        <v>0000110010101000</v>
      </c>
      <c r="R85">
        <f t="shared" ca="1" si="21"/>
        <v>0.60750000000000004</v>
      </c>
      <c r="S85">
        <f t="shared" ca="1" si="22"/>
        <v>27.290000000000003</v>
      </c>
      <c r="T85" s="1">
        <f t="shared" ca="1" si="24"/>
        <v>3.5689045936395686E-2</v>
      </c>
      <c r="V85" s="4">
        <f t="shared" ca="1" si="23"/>
        <v>1.01</v>
      </c>
      <c r="X85" s="2"/>
    </row>
    <row r="86" spans="8:24" x14ac:dyDescent="0.25">
      <c r="H86">
        <v>28.4</v>
      </c>
      <c r="I86">
        <v>0.61448840940626959</v>
      </c>
      <c r="J86" s="4">
        <f t="shared" si="14"/>
        <v>-1.7699999999999999E-4</v>
      </c>
      <c r="K86" s="9">
        <f t="shared" si="15"/>
        <v>4.1999999999999998E-5</v>
      </c>
      <c r="L86" s="4">
        <f t="shared" si="16"/>
        <v>1.062E-3</v>
      </c>
      <c r="M86" s="5">
        <f t="shared" si="17"/>
        <v>0.61537687805476371</v>
      </c>
      <c r="N86" s="2">
        <f t="shared" si="18"/>
        <v>1.4458672204290691E-3</v>
      </c>
      <c r="O86">
        <f t="shared" si="19"/>
        <v>3283.0947999999999</v>
      </c>
      <c r="P86">
        <f t="shared" ca="1" si="25"/>
        <v>3287</v>
      </c>
      <c r="Q86" t="str">
        <f t="shared" ca="1" si="20"/>
        <v>0000110011010111</v>
      </c>
      <c r="R86">
        <f t="shared" ca="1" si="21"/>
        <v>0.61631250000000004</v>
      </c>
      <c r="S86">
        <f t="shared" ca="1" si="22"/>
        <v>27.395750000000003</v>
      </c>
      <c r="T86" s="1">
        <f t="shared" ca="1" si="24"/>
        <v>3.5360915492957584E-2</v>
      </c>
      <c r="V86" s="4">
        <f t="shared" ca="1" si="23"/>
        <v>1.0042500000000001</v>
      </c>
      <c r="X86" s="2"/>
    </row>
    <row r="87" spans="8:24" x14ac:dyDescent="0.25">
      <c r="H87">
        <v>28.5</v>
      </c>
      <c r="I87">
        <v>0.62244985945293896</v>
      </c>
      <c r="J87" s="4">
        <f t="shared" si="14"/>
        <v>-1.76E-4</v>
      </c>
      <c r="K87" s="9">
        <f t="shared" si="15"/>
        <v>4.3000000000000002E-5</v>
      </c>
      <c r="L87" s="4">
        <f t="shared" si="16"/>
        <v>1.093E-3</v>
      </c>
      <c r="M87" s="5">
        <f t="shared" si="17"/>
        <v>0.62336513415056549</v>
      </c>
      <c r="N87" s="2">
        <f t="shared" si="18"/>
        <v>1.4704392389628838E-3</v>
      </c>
      <c r="O87">
        <f t="shared" si="19"/>
        <v>3325.7129</v>
      </c>
      <c r="P87">
        <f t="shared" ca="1" si="25"/>
        <v>3326</v>
      </c>
      <c r="Q87" t="str">
        <f t="shared" ca="1" si="20"/>
        <v>0000110011111110</v>
      </c>
      <c r="R87">
        <f t="shared" ca="1" si="21"/>
        <v>0.62362499999999998</v>
      </c>
      <c r="S87">
        <f t="shared" ca="1" si="22"/>
        <v>27.483499999999999</v>
      </c>
      <c r="T87" s="1">
        <f t="shared" ca="1" si="24"/>
        <v>3.5666666666666687E-2</v>
      </c>
      <c r="V87" s="4">
        <f t="shared" ca="1" si="23"/>
        <v>1.0165</v>
      </c>
      <c r="X87" s="2"/>
    </row>
    <row r="88" spans="8:24" x14ac:dyDescent="0.25">
      <c r="H88">
        <v>28.6</v>
      </c>
      <c r="I88">
        <v>0.63043779197832295</v>
      </c>
      <c r="J88" s="4">
        <f t="shared" si="14"/>
        <v>-1.76E-4</v>
      </c>
      <c r="K88" s="9">
        <f t="shared" si="15"/>
        <v>4.3000000000000002E-5</v>
      </c>
      <c r="L88" s="4">
        <f t="shared" si="16"/>
        <v>1.1230000000000001E-3</v>
      </c>
      <c r="M88" s="5">
        <f t="shared" si="17"/>
        <v>0.63138076744616489</v>
      </c>
      <c r="N88" s="2">
        <f t="shared" si="18"/>
        <v>1.495747050447077E-3</v>
      </c>
      <c r="O88">
        <f t="shared" si="19"/>
        <v>3368.4771000000001</v>
      </c>
      <c r="P88">
        <f t="shared" ca="1" si="25"/>
        <v>3370</v>
      </c>
      <c r="Q88" t="str">
        <f t="shared" ca="1" si="20"/>
        <v>0000110100101010</v>
      </c>
      <c r="R88">
        <f t="shared" ca="1" si="21"/>
        <v>0.63187499999999996</v>
      </c>
      <c r="S88">
        <f t="shared" ca="1" si="22"/>
        <v>27.582500000000003</v>
      </c>
      <c r="T88" s="1">
        <f t="shared" ca="1" si="24"/>
        <v>3.5576923076923013E-2</v>
      </c>
      <c r="V88" s="4">
        <f t="shared" ca="1" si="23"/>
        <v>1.0175000000000001</v>
      </c>
      <c r="X88" s="2"/>
    </row>
    <row r="89" spans="8:24" x14ac:dyDescent="0.25">
      <c r="H89">
        <v>28.700000000000003</v>
      </c>
      <c r="I89">
        <v>0.63755311904766421</v>
      </c>
      <c r="J89" s="4">
        <f t="shared" si="14"/>
        <v>-1.75E-4</v>
      </c>
      <c r="K89" s="9">
        <f t="shared" si="15"/>
        <v>4.3999999999999999E-5</v>
      </c>
      <c r="L89" s="4">
        <f t="shared" si="16"/>
        <v>1.1540000000000001E-3</v>
      </c>
      <c r="M89" s="5">
        <f t="shared" si="17"/>
        <v>0.63852290755097807</v>
      </c>
      <c r="N89" s="2">
        <f t="shared" si="18"/>
        <v>1.521110122969E-3</v>
      </c>
      <c r="O89">
        <f t="shared" si="19"/>
        <v>3406.5810999999999</v>
      </c>
      <c r="P89">
        <f t="shared" ca="1" si="25"/>
        <v>3411</v>
      </c>
      <c r="Q89" t="str">
        <f t="shared" ca="1" si="20"/>
        <v>0000110101010011</v>
      </c>
      <c r="R89">
        <f t="shared" ca="1" si="21"/>
        <v>0.63956250000000003</v>
      </c>
      <c r="S89">
        <f t="shared" ca="1" si="22"/>
        <v>27.674750000000003</v>
      </c>
      <c r="T89" s="1">
        <f t="shared" ca="1" si="24"/>
        <v>3.572299651567943E-2</v>
      </c>
      <c r="V89" s="4">
        <f t="shared" ca="1" si="23"/>
        <v>1.02525</v>
      </c>
      <c r="X89" s="2"/>
    </row>
    <row r="90" spans="8:24" x14ac:dyDescent="0.25">
      <c r="H90">
        <v>28.8</v>
      </c>
      <c r="I90">
        <v>0.64559482810015167</v>
      </c>
      <c r="J90" s="4">
        <f t="shared" si="14"/>
        <v>-1.74E-4</v>
      </c>
      <c r="K90" s="9">
        <f t="shared" si="15"/>
        <v>4.3999999999999999E-5</v>
      </c>
      <c r="L90" s="4">
        <f t="shared" si="16"/>
        <v>1.1839999999999999E-3</v>
      </c>
      <c r="M90" s="5">
        <f t="shared" si="17"/>
        <v>0.64659232474064454</v>
      </c>
      <c r="N90" s="2">
        <f t="shared" si="18"/>
        <v>1.5450815233887299E-3</v>
      </c>
      <c r="O90">
        <f t="shared" si="19"/>
        <v>3449.6322</v>
      </c>
      <c r="P90">
        <f t="shared" ca="1" si="25"/>
        <v>3452</v>
      </c>
      <c r="Q90" t="str">
        <f t="shared" ca="1" si="20"/>
        <v>0000110101111100</v>
      </c>
      <c r="R90">
        <f t="shared" ca="1" si="21"/>
        <v>0.64724999999999999</v>
      </c>
      <c r="S90">
        <f t="shared" ca="1" si="22"/>
        <v>27.766999999999999</v>
      </c>
      <c r="T90" s="1">
        <f t="shared" ca="1" si="24"/>
        <v>3.5868055555555597E-2</v>
      </c>
      <c r="V90" s="4">
        <f t="shared" ca="1" si="23"/>
        <v>1.0329999999999999</v>
      </c>
      <c r="X90" s="2"/>
    </row>
    <row r="91" spans="8:24" x14ac:dyDescent="0.25">
      <c r="H91">
        <v>28.9</v>
      </c>
      <c r="I91">
        <v>0.65366288962659969</v>
      </c>
      <c r="J91" s="4">
        <f t="shared" si="14"/>
        <v>-1.74E-4</v>
      </c>
      <c r="K91" s="9">
        <f t="shared" si="15"/>
        <v>4.5000000000000003E-5</v>
      </c>
      <c r="L91" s="4">
        <f t="shared" si="16"/>
        <v>1.2149999999999999E-3</v>
      </c>
      <c r="M91" s="5">
        <f t="shared" si="17"/>
        <v>0.65469026783201556</v>
      </c>
      <c r="N91" s="2">
        <f t="shared" si="18"/>
        <v>1.5717248473486949E-3</v>
      </c>
      <c r="O91">
        <f t="shared" si="19"/>
        <v>3492.8355000000001</v>
      </c>
      <c r="P91">
        <f t="shared" ca="1" si="25"/>
        <v>3494</v>
      </c>
      <c r="Q91" t="str">
        <f t="shared" ca="1" si="20"/>
        <v>0000110110100110</v>
      </c>
      <c r="R91">
        <f t="shared" ca="1" si="21"/>
        <v>0.65512500000000007</v>
      </c>
      <c r="S91">
        <f t="shared" ca="1" si="22"/>
        <v>27.861500000000003</v>
      </c>
      <c r="T91" s="1">
        <f t="shared" ca="1" si="24"/>
        <v>3.593425605536317E-2</v>
      </c>
      <c r="V91" s="4">
        <f t="shared" ca="1" si="23"/>
        <v>1.0385</v>
      </c>
      <c r="X91" s="2"/>
    </row>
    <row r="92" spans="8:24" x14ac:dyDescent="0.25">
      <c r="H92">
        <v>29</v>
      </c>
      <c r="I92">
        <v>0.66175725931248441</v>
      </c>
      <c r="J92" s="4">
        <f t="shared" si="14"/>
        <v>-1.73E-4</v>
      </c>
      <c r="K92" s="9">
        <f t="shared" si="15"/>
        <v>4.5000000000000003E-5</v>
      </c>
      <c r="L92" s="4">
        <f t="shared" si="16"/>
        <v>1.245E-3</v>
      </c>
      <c r="M92" s="5">
        <f t="shared" si="17"/>
        <v>0.6628133897727515</v>
      </c>
      <c r="N92" s="2">
        <f t="shared" si="18"/>
        <v>1.5959484318529881E-3</v>
      </c>
      <c r="O92">
        <f t="shared" si="19"/>
        <v>3536.1732000000002</v>
      </c>
      <c r="P92">
        <f t="shared" ca="1" si="25"/>
        <v>3536</v>
      </c>
      <c r="Q92" t="str">
        <f t="shared" ca="1" si="20"/>
        <v>0000110111010000</v>
      </c>
      <c r="R92">
        <f t="shared" ca="1" si="21"/>
        <v>0.66300000000000003</v>
      </c>
      <c r="S92">
        <f t="shared" ca="1" si="22"/>
        <v>27.956000000000003</v>
      </c>
      <c r="T92" s="1">
        <f t="shared" ca="1" si="24"/>
        <v>3.5999999999999893E-2</v>
      </c>
      <c r="V92" s="4">
        <f t="shared" ca="1" si="23"/>
        <v>1.044</v>
      </c>
      <c r="X92" s="2"/>
    </row>
    <row r="93" spans="8:24" x14ac:dyDescent="0.25">
      <c r="H93">
        <v>29.1</v>
      </c>
      <c r="I93">
        <v>0.66898262768316286</v>
      </c>
      <c r="J93" s="4">
        <f t="shared" si="14"/>
        <v>-1.73E-4</v>
      </c>
      <c r="K93" s="9">
        <f t="shared" si="15"/>
        <v>4.6E-5</v>
      </c>
      <c r="L93" s="4">
        <f t="shared" si="16"/>
        <v>1.276E-3</v>
      </c>
      <c r="M93" s="5">
        <f t="shared" si="17"/>
        <v>0.67006856115920199</v>
      </c>
      <c r="N93" s="2">
        <f t="shared" si="18"/>
        <v>1.6232610999181961E-3</v>
      </c>
      <c r="O93">
        <f t="shared" si="19"/>
        <v>3574.8802000000001</v>
      </c>
      <c r="P93">
        <f t="shared" ca="1" si="25"/>
        <v>3576</v>
      </c>
      <c r="Q93" t="str">
        <f t="shared" ca="1" si="20"/>
        <v>0000110111111000</v>
      </c>
      <c r="R93">
        <f t="shared" ca="1" si="21"/>
        <v>0.67049999999999998</v>
      </c>
      <c r="S93">
        <f t="shared" ca="1" si="22"/>
        <v>28.045999999999999</v>
      </c>
      <c r="T93" s="1">
        <f t="shared" ca="1" si="24"/>
        <v>3.6219931271477733E-2</v>
      </c>
      <c r="V93" s="4">
        <f t="shared" ca="1" si="23"/>
        <v>1.054</v>
      </c>
      <c r="X93" s="2"/>
    </row>
    <row r="94" spans="8:24" x14ac:dyDescent="0.25">
      <c r="H94">
        <v>29.200000000000003</v>
      </c>
      <c r="I94">
        <v>0.6771304260722687</v>
      </c>
      <c r="J94" s="4">
        <f t="shared" si="14"/>
        <v>-1.7200000000000001E-4</v>
      </c>
      <c r="K94" s="9">
        <f t="shared" si="15"/>
        <v>4.6E-5</v>
      </c>
      <c r="L94" s="4">
        <f t="shared" si="16"/>
        <v>1.3060000000000001E-3</v>
      </c>
      <c r="M94" s="5">
        <f t="shared" si="17"/>
        <v>0.678246139782825</v>
      </c>
      <c r="N94" s="2">
        <f t="shared" si="18"/>
        <v>1.6477087243414179E-3</v>
      </c>
      <c r="O94">
        <f t="shared" si="19"/>
        <v>3618.5084000000002</v>
      </c>
      <c r="P94">
        <f t="shared" ca="1" si="25"/>
        <v>3619</v>
      </c>
      <c r="Q94" t="str">
        <f t="shared" ca="1" si="20"/>
        <v>0000111000100011</v>
      </c>
      <c r="R94">
        <f t="shared" ca="1" si="21"/>
        <v>0.67856250000000007</v>
      </c>
      <c r="S94">
        <f t="shared" ca="1" si="22"/>
        <v>28.142750000000003</v>
      </c>
      <c r="T94" s="1">
        <f t="shared" ca="1" si="24"/>
        <v>3.6207191780821907E-2</v>
      </c>
      <c r="V94" s="4">
        <f t="shared" ca="1" si="23"/>
        <v>1.05725</v>
      </c>
      <c r="X94" s="2"/>
    </row>
    <row r="95" spans="8:24" x14ac:dyDescent="0.25">
      <c r="H95">
        <v>29.3</v>
      </c>
      <c r="I95">
        <v>0.68530439670937193</v>
      </c>
      <c r="J95" s="4">
        <f t="shared" si="14"/>
        <v>-1.7200000000000001E-4</v>
      </c>
      <c r="K95" s="9">
        <f t="shared" si="15"/>
        <v>4.6999999999999997E-5</v>
      </c>
      <c r="L95" s="4">
        <f t="shared" si="16"/>
        <v>1.3370000000000001E-3</v>
      </c>
      <c r="M95" s="5">
        <f t="shared" si="17"/>
        <v>0.68645210562859738</v>
      </c>
      <c r="N95" s="2">
        <f t="shared" si="18"/>
        <v>1.6747432596907305E-3</v>
      </c>
      <c r="O95">
        <f t="shared" si="19"/>
        <v>3662.288</v>
      </c>
      <c r="P95">
        <f t="shared" ca="1" si="25"/>
        <v>3664</v>
      </c>
      <c r="Q95" t="str">
        <f t="shared" ca="1" si="20"/>
        <v>0000111001010000</v>
      </c>
      <c r="R95">
        <f t="shared" ca="1" si="21"/>
        <v>0.68700000000000006</v>
      </c>
      <c r="S95">
        <f t="shared" ca="1" si="22"/>
        <v>28.244000000000003</v>
      </c>
      <c r="T95" s="1">
        <f t="shared" ca="1" si="24"/>
        <v>3.6040955631399224E-2</v>
      </c>
      <c r="V95" s="4">
        <f t="shared" ca="1" si="23"/>
        <v>1.056</v>
      </c>
      <c r="X95" s="2"/>
    </row>
    <row r="96" spans="8:24" x14ac:dyDescent="0.25">
      <c r="H96">
        <v>29.4</v>
      </c>
      <c r="I96">
        <v>0.69261207995366536</v>
      </c>
      <c r="J96" s="4">
        <f t="shared" si="14"/>
        <v>-1.7100000000000001E-4</v>
      </c>
      <c r="K96" s="9">
        <f t="shared" si="15"/>
        <v>4.6999999999999997E-5</v>
      </c>
      <c r="L96" s="4">
        <f t="shared" si="16"/>
        <v>1.3669999999999999E-3</v>
      </c>
      <c r="M96" s="5">
        <f t="shared" si="17"/>
        <v>0.69378941079221834</v>
      </c>
      <c r="N96" s="2">
        <f t="shared" si="18"/>
        <v>1.6998416178818927E-3</v>
      </c>
      <c r="O96">
        <f t="shared" si="19"/>
        <v>3701.4331999999999</v>
      </c>
      <c r="P96">
        <f t="shared" ca="1" si="25"/>
        <v>3703</v>
      </c>
      <c r="Q96" t="str">
        <f t="shared" ca="1" si="20"/>
        <v>0000111001110111</v>
      </c>
      <c r="R96">
        <f t="shared" ca="1" si="21"/>
        <v>0.6943125</v>
      </c>
      <c r="S96">
        <f t="shared" ca="1" si="22"/>
        <v>28.33175</v>
      </c>
      <c r="T96" s="1">
        <f t="shared" ca="1" si="24"/>
        <v>3.6335034013605411E-2</v>
      </c>
      <c r="V96" s="4">
        <f t="shared" ca="1" si="23"/>
        <v>1.0682499999999999</v>
      </c>
      <c r="X96" s="2"/>
    </row>
    <row r="97" spans="8:24" x14ac:dyDescent="0.25">
      <c r="H97">
        <v>29.5</v>
      </c>
      <c r="I97">
        <v>0.70083920825673973</v>
      </c>
      <c r="J97" s="4">
        <f t="shared" si="14"/>
        <v>-1.7000000000000001E-4</v>
      </c>
      <c r="K97" s="9">
        <f t="shared" si="15"/>
        <v>4.8000000000000001E-5</v>
      </c>
      <c r="L97" s="4">
        <f t="shared" si="16"/>
        <v>1.3979999999999999E-3</v>
      </c>
      <c r="M97" s="5">
        <f t="shared" si="17"/>
        <v>0.70204859110310192</v>
      </c>
      <c r="N97" s="2">
        <f t="shared" si="18"/>
        <v>1.7256209871168455E-3</v>
      </c>
      <c r="O97">
        <f t="shared" si="19"/>
        <v>3745.4967000000001</v>
      </c>
      <c r="P97">
        <f t="shared" ca="1" si="25"/>
        <v>3745</v>
      </c>
      <c r="Q97" t="str">
        <f t="shared" ca="1" si="20"/>
        <v>0000111010100001</v>
      </c>
      <c r="R97">
        <f t="shared" ca="1" si="21"/>
        <v>0.70218749999999996</v>
      </c>
      <c r="S97">
        <f t="shared" ca="1" si="22"/>
        <v>28.426250000000003</v>
      </c>
      <c r="T97" s="1">
        <f t="shared" ca="1" si="24"/>
        <v>3.6398305084745654E-2</v>
      </c>
      <c r="V97" s="4">
        <f t="shared" ca="1" si="23"/>
        <v>1.07375</v>
      </c>
      <c r="X97" s="2"/>
    </row>
    <row r="98" spans="8:24" x14ac:dyDescent="0.25">
      <c r="H98">
        <v>29.6</v>
      </c>
      <c r="I98">
        <v>0.70909236864822833</v>
      </c>
      <c r="J98" s="4">
        <f t="shared" si="14"/>
        <v>-1.7000000000000001E-4</v>
      </c>
      <c r="K98" s="9">
        <f t="shared" si="15"/>
        <v>4.8000000000000001E-5</v>
      </c>
      <c r="L98" s="4">
        <f t="shared" si="16"/>
        <v>1.428E-3</v>
      </c>
      <c r="M98" s="5">
        <f t="shared" si="17"/>
        <v>0.71033464369542543</v>
      </c>
      <c r="N98" s="2">
        <f t="shared" si="18"/>
        <v>1.751922742540995E-3</v>
      </c>
      <c r="O98">
        <f t="shared" si="19"/>
        <v>3789.7035999999998</v>
      </c>
      <c r="P98">
        <f t="shared" ca="1" si="25"/>
        <v>3793</v>
      </c>
      <c r="Q98" t="str">
        <f t="shared" ca="1" si="20"/>
        <v>0000111011010001</v>
      </c>
      <c r="R98">
        <f t="shared" ca="1" si="21"/>
        <v>0.71118749999999997</v>
      </c>
      <c r="S98">
        <f t="shared" ca="1" si="22"/>
        <v>28.534250000000004</v>
      </c>
      <c r="T98" s="1">
        <f t="shared" ca="1" si="24"/>
        <v>3.6005067567567488E-2</v>
      </c>
      <c r="V98" s="4">
        <f t="shared" ca="1" si="23"/>
        <v>1.06575</v>
      </c>
      <c r="X98" s="2"/>
    </row>
    <row r="99" spans="8:24" x14ac:dyDescent="0.25">
      <c r="H99">
        <v>29.700000000000003</v>
      </c>
      <c r="I99">
        <v>0.71648196432747047</v>
      </c>
      <c r="J99" s="4">
        <f t="shared" si="14"/>
        <v>-1.6899999999999999E-4</v>
      </c>
      <c r="K99" s="9">
        <f t="shared" si="15"/>
        <v>4.8999999999999998E-5</v>
      </c>
      <c r="L99" s="4">
        <f t="shared" si="16"/>
        <v>1.459E-3</v>
      </c>
      <c r="M99" s="5">
        <f t="shared" si="17"/>
        <v>0.71775608583470329</v>
      </c>
      <c r="N99" s="2">
        <f t="shared" si="18"/>
        <v>1.7783022751016336E-3</v>
      </c>
      <c r="O99">
        <f t="shared" si="19"/>
        <v>3829.2977000000001</v>
      </c>
      <c r="P99">
        <f t="shared" ca="1" si="25"/>
        <v>3830</v>
      </c>
      <c r="Q99" t="str">
        <f t="shared" ca="1" si="20"/>
        <v>0000111011110110</v>
      </c>
      <c r="R99">
        <f t="shared" ca="1" si="21"/>
        <v>0.71812500000000001</v>
      </c>
      <c r="S99">
        <f t="shared" ca="1" si="22"/>
        <v>28.6175</v>
      </c>
      <c r="T99" s="1">
        <f t="shared" ca="1" si="24"/>
        <v>3.6447811447811548E-2</v>
      </c>
      <c r="V99" s="4">
        <f t="shared" ca="1" si="23"/>
        <v>1.0825</v>
      </c>
      <c r="X99" s="2"/>
    </row>
    <row r="100" spans="8:24" x14ac:dyDescent="0.25">
      <c r="H100">
        <v>29.8</v>
      </c>
      <c r="I100">
        <v>0.72478800183298819</v>
      </c>
      <c r="J100" s="4">
        <f t="shared" si="14"/>
        <v>-1.6899999999999999E-4</v>
      </c>
      <c r="K100" s="9">
        <f t="shared" si="15"/>
        <v>4.8999999999999998E-5</v>
      </c>
      <c r="L100" s="4">
        <f t="shared" si="16"/>
        <v>1.4890000000000001E-3</v>
      </c>
      <c r="M100" s="5">
        <f t="shared" si="17"/>
        <v>0.72609607252297481</v>
      </c>
      <c r="N100" s="2">
        <f t="shared" si="18"/>
        <v>1.804763167544866E-3</v>
      </c>
      <c r="O100">
        <f t="shared" si="19"/>
        <v>3873.7923999999998</v>
      </c>
      <c r="P100">
        <f t="shared" ca="1" si="25"/>
        <v>3875</v>
      </c>
      <c r="Q100" t="str">
        <f t="shared" ca="1" si="20"/>
        <v>0000111100100011</v>
      </c>
      <c r="R100">
        <f t="shared" ca="1" si="21"/>
        <v>0.7265625</v>
      </c>
      <c r="S100">
        <f t="shared" ca="1" si="22"/>
        <v>28.718750000000004</v>
      </c>
      <c r="T100" s="1">
        <f t="shared" ca="1" si="24"/>
        <v>3.6283557046979768E-2</v>
      </c>
      <c r="V100" s="4">
        <f t="shared" ca="1" si="23"/>
        <v>1.08125</v>
      </c>
      <c r="X100" s="2"/>
    </row>
    <row r="101" spans="8:24" x14ac:dyDescent="0.25">
      <c r="H101">
        <v>29.9</v>
      </c>
      <c r="I101">
        <v>0.73223229559510361</v>
      </c>
      <c r="J101" s="4">
        <f t="shared" si="14"/>
        <v>-1.6799999999999999E-4</v>
      </c>
      <c r="K101" s="9">
        <f t="shared" si="15"/>
        <v>5.0000000000000002E-5</v>
      </c>
      <c r="L101" s="4">
        <f t="shared" si="16"/>
        <v>1.5200000000000001E-3</v>
      </c>
      <c r="M101" s="5">
        <f t="shared" si="17"/>
        <v>0.73357323875801572</v>
      </c>
      <c r="N101" s="2">
        <f t="shared" si="18"/>
        <v>1.8313084126155531E-3</v>
      </c>
      <c r="O101">
        <f t="shared" si="19"/>
        <v>3913.6837999999998</v>
      </c>
      <c r="P101">
        <f t="shared" ca="1" si="25"/>
        <v>3914</v>
      </c>
      <c r="Q101" t="str">
        <f t="shared" ca="1" si="20"/>
        <v>0000111101001010</v>
      </c>
      <c r="R101">
        <f t="shared" ca="1" si="21"/>
        <v>0.73387500000000006</v>
      </c>
      <c r="S101">
        <f t="shared" ca="1" si="22"/>
        <v>28.806500000000003</v>
      </c>
      <c r="T101" s="1">
        <f t="shared" ca="1" si="24"/>
        <v>3.6571906354514891E-2</v>
      </c>
      <c r="V101" s="4">
        <f t="shared" ca="1" si="23"/>
        <v>1.0934999999999999</v>
      </c>
      <c r="X101" s="2"/>
    </row>
    <row r="102" spans="8:24" x14ac:dyDescent="0.25">
      <c r="H102">
        <v>30</v>
      </c>
      <c r="I102">
        <v>0.74059101875731626</v>
      </c>
      <c r="J102" s="4">
        <f t="shared" si="14"/>
        <v>-1.6799999999999999E-4</v>
      </c>
      <c r="K102" s="9">
        <f t="shared" si="15"/>
        <v>5.0000000000000002E-5</v>
      </c>
      <c r="L102" s="4">
        <f t="shared" si="16"/>
        <v>1.5499999999999999E-3</v>
      </c>
      <c r="M102" s="5">
        <f t="shared" si="17"/>
        <v>0.74196697767270892</v>
      </c>
      <c r="N102" s="2">
        <f t="shared" si="18"/>
        <v>1.8579200672747397E-3</v>
      </c>
      <c r="O102">
        <f t="shared" si="19"/>
        <v>3958.4652000000001</v>
      </c>
      <c r="P102">
        <f t="shared" ca="1" si="25"/>
        <v>3961</v>
      </c>
      <c r="Q102" t="str">
        <f t="shared" ca="1" si="20"/>
        <v>0000111101111001</v>
      </c>
      <c r="R102">
        <f t="shared" ca="1" si="21"/>
        <v>0.74268750000000006</v>
      </c>
      <c r="S102">
        <f t="shared" ca="1" si="22"/>
        <v>28.91225</v>
      </c>
      <c r="T102" s="1">
        <f t="shared" ca="1" si="24"/>
        <v>3.6258333333333323E-2</v>
      </c>
      <c r="V102" s="4">
        <f t="shared" ca="1" si="23"/>
        <v>1.08775</v>
      </c>
      <c r="X102" s="2"/>
    </row>
    <row r="103" spans="8:24" x14ac:dyDescent="0.25">
      <c r="H103">
        <v>30.1</v>
      </c>
      <c r="I103">
        <v>0.74808982272386637</v>
      </c>
      <c r="J103" s="4">
        <f t="shared" si="14"/>
        <v>-1.6699999999999999E-4</v>
      </c>
      <c r="K103" s="9">
        <f t="shared" si="15"/>
        <v>5.1E-5</v>
      </c>
      <c r="L103" s="4">
        <f t="shared" si="16"/>
        <v>1.5809999999999999E-3</v>
      </c>
      <c r="M103" s="5">
        <f t="shared" si="17"/>
        <v>0.74949969003581307</v>
      </c>
      <c r="N103" s="2">
        <f t="shared" si="18"/>
        <v>1.8846230347222724E-3</v>
      </c>
      <c r="O103">
        <f t="shared" si="19"/>
        <v>3998.6529</v>
      </c>
      <c r="P103">
        <f t="shared" ca="1" si="25"/>
        <v>4003</v>
      </c>
      <c r="Q103" t="str">
        <f t="shared" ca="1" si="20"/>
        <v>0000111110100011</v>
      </c>
      <c r="R103">
        <f t="shared" ca="1" si="21"/>
        <v>0.75056250000000002</v>
      </c>
      <c r="S103">
        <f t="shared" ca="1" si="22"/>
        <v>29.006750000000004</v>
      </c>
      <c r="T103" s="1">
        <f t="shared" ca="1" si="24"/>
        <v>3.6320598006644438E-2</v>
      </c>
      <c r="V103" s="4">
        <f t="shared" ca="1" si="23"/>
        <v>1.0932500000000001</v>
      </c>
      <c r="X103" s="2"/>
    </row>
    <row r="104" spans="8:24" x14ac:dyDescent="0.25">
      <c r="H104">
        <v>30.200000000000003</v>
      </c>
      <c r="I104">
        <v>0.75561629312041301</v>
      </c>
      <c r="J104" s="4">
        <f t="shared" si="14"/>
        <v>-1.66E-4</v>
      </c>
      <c r="K104" s="9">
        <f t="shared" si="15"/>
        <v>5.1E-5</v>
      </c>
      <c r="L104" s="4">
        <f t="shared" si="16"/>
        <v>1.611E-3</v>
      </c>
      <c r="M104" s="5">
        <f t="shared" si="17"/>
        <v>0.75705982305735842</v>
      </c>
      <c r="N104" s="2">
        <f t="shared" si="18"/>
        <v>1.9104007551030561E-3</v>
      </c>
      <c r="O104">
        <f t="shared" si="19"/>
        <v>4038.9868999999999</v>
      </c>
      <c r="P104">
        <f t="shared" ca="1" si="25"/>
        <v>4041</v>
      </c>
      <c r="Q104" t="str">
        <f t="shared" ca="1" si="20"/>
        <v>0000111111001001</v>
      </c>
      <c r="R104">
        <f t="shared" ca="1" si="21"/>
        <v>0.75768750000000007</v>
      </c>
      <c r="S104">
        <f t="shared" ca="1" si="22"/>
        <v>29.092250000000003</v>
      </c>
      <c r="T104" s="1">
        <f t="shared" ca="1" si="24"/>
        <v>3.6680463576158916E-2</v>
      </c>
      <c r="V104" s="4">
        <f t="shared" ca="1" si="23"/>
        <v>1.10775</v>
      </c>
      <c r="X104" s="2"/>
    </row>
    <row r="105" spans="8:24" x14ac:dyDescent="0.25">
      <c r="H105">
        <v>30.3</v>
      </c>
      <c r="I105">
        <v>0.76405416003487836</v>
      </c>
      <c r="J105" s="4">
        <f t="shared" si="14"/>
        <v>-1.66E-4</v>
      </c>
      <c r="K105" s="9">
        <f t="shared" si="15"/>
        <v>5.1999999999999997E-5</v>
      </c>
      <c r="L105" s="4">
        <f t="shared" si="16"/>
        <v>1.642E-3</v>
      </c>
      <c r="M105" s="5">
        <f t="shared" si="17"/>
        <v>0.76553507338938376</v>
      </c>
      <c r="N105" s="2">
        <f t="shared" si="18"/>
        <v>1.9382308636835318E-3</v>
      </c>
      <c r="O105">
        <f t="shared" si="19"/>
        <v>4084.2031999999999</v>
      </c>
      <c r="P105">
        <f t="shared" ca="1" si="25"/>
        <v>4083</v>
      </c>
      <c r="Q105" t="str">
        <f t="shared" ca="1" si="20"/>
        <v>0000111111110011</v>
      </c>
      <c r="R105">
        <f t="shared" ca="1" si="21"/>
        <v>0.76556250000000003</v>
      </c>
      <c r="S105">
        <f t="shared" ca="1" si="22"/>
        <v>29.18675</v>
      </c>
      <c r="T105" s="1">
        <f t="shared" ca="1" si="24"/>
        <v>3.6740924092409262E-2</v>
      </c>
      <c r="V105" s="4">
        <f t="shared" ca="1" si="23"/>
        <v>1.1132500000000001</v>
      </c>
      <c r="X105" s="2"/>
    </row>
    <row r="106" spans="8:24" x14ac:dyDescent="0.25">
      <c r="H106">
        <v>30.4</v>
      </c>
      <c r="I106">
        <v>0.77163485353713046</v>
      </c>
      <c r="J106" s="4">
        <f t="shared" si="14"/>
        <v>-1.65E-4</v>
      </c>
      <c r="K106" s="9">
        <f t="shared" si="15"/>
        <v>5.1999999999999997E-5</v>
      </c>
      <c r="L106" s="4">
        <f t="shared" si="16"/>
        <v>1.6720000000000001E-3</v>
      </c>
      <c r="M106" s="5">
        <f t="shared" si="17"/>
        <v>0.77315046413716781</v>
      </c>
      <c r="N106" s="2">
        <f t="shared" si="18"/>
        <v>1.9641551869901686E-3</v>
      </c>
      <c r="O106">
        <f t="shared" si="19"/>
        <v>4124.8320999999996</v>
      </c>
      <c r="P106">
        <f t="shared" ca="1" si="25"/>
        <v>4126</v>
      </c>
      <c r="Q106" t="str">
        <f t="shared" ca="1" si="20"/>
        <v>0001000000011110</v>
      </c>
      <c r="R106">
        <f t="shared" ca="1" si="21"/>
        <v>0.77362500000000001</v>
      </c>
      <c r="S106">
        <f t="shared" ca="1" si="22"/>
        <v>29.283500000000004</v>
      </c>
      <c r="T106" s="1">
        <f t="shared" ca="1" si="24"/>
        <v>3.6726973684210365E-2</v>
      </c>
      <c r="V106" s="4">
        <f t="shared" ca="1" si="23"/>
        <v>1.1165</v>
      </c>
      <c r="X106" s="2"/>
    </row>
    <row r="107" spans="8:24" x14ac:dyDescent="0.25">
      <c r="H107">
        <v>30.5</v>
      </c>
      <c r="I107">
        <v>0.77924306938172661</v>
      </c>
      <c r="J107" s="4">
        <f t="shared" si="14"/>
        <v>-1.65E-4</v>
      </c>
      <c r="K107" s="9">
        <f t="shared" si="15"/>
        <v>5.3000000000000001E-5</v>
      </c>
      <c r="L107" s="4">
        <f t="shared" si="16"/>
        <v>1.7030000000000001E-3</v>
      </c>
      <c r="M107" s="5">
        <f t="shared" si="17"/>
        <v>0.7807956656262881</v>
      </c>
      <c r="N107" s="2">
        <f t="shared" si="18"/>
        <v>1.992441518656525E-3</v>
      </c>
      <c r="O107">
        <f t="shared" si="19"/>
        <v>4165.6198999999997</v>
      </c>
      <c r="P107">
        <f t="shared" ca="1" si="25"/>
        <v>4170</v>
      </c>
      <c r="Q107" t="str">
        <f t="shared" ca="1" si="20"/>
        <v>0001000001001010</v>
      </c>
      <c r="R107">
        <f t="shared" ca="1" si="21"/>
        <v>0.78187499999999999</v>
      </c>
      <c r="S107">
        <f t="shared" ca="1" si="22"/>
        <v>29.382500000000004</v>
      </c>
      <c r="T107" s="1">
        <f t="shared" ca="1" si="24"/>
        <v>3.6639344262294954E-2</v>
      </c>
      <c r="V107" s="4">
        <f t="shared" ca="1" si="23"/>
        <v>1.1174999999999999</v>
      </c>
      <c r="X107" s="2"/>
    </row>
    <row r="108" spans="8:24" x14ac:dyDescent="0.25">
      <c r="H108">
        <v>30.6</v>
      </c>
      <c r="I108">
        <v>0.78775963120027137</v>
      </c>
      <c r="J108" s="4">
        <f t="shared" si="14"/>
        <v>-1.64E-4</v>
      </c>
      <c r="K108" s="9">
        <f t="shared" si="15"/>
        <v>5.3000000000000001E-5</v>
      </c>
      <c r="L108" s="4">
        <f t="shared" si="16"/>
        <v>1.7329999999999999E-3</v>
      </c>
      <c r="M108" s="5">
        <f t="shared" si="17"/>
        <v>0.78934947332354111</v>
      </c>
      <c r="N108" s="2">
        <f t="shared" si="18"/>
        <v>2.018181765480125E-3</v>
      </c>
      <c r="O108">
        <f t="shared" si="19"/>
        <v>4211.2552999999998</v>
      </c>
      <c r="P108">
        <f t="shared" ca="1" si="25"/>
        <v>4215</v>
      </c>
      <c r="Q108" t="str">
        <f t="shared" ca="1" si="20"/>
        <v>0001000001110111</v>
      </c>
      <c r="R108">
        <f t="shared" ca="1" si="21"/>
        <v>0.79031249999999997</v>
      </c>
      <c r="S108">
        <f t="shared" ca="1" si="22"/>
        <v>29.483750000000001</v>
      </c>
      <c r="T108" s="1">
        <f t="shared" ca="1" si="24"/>
        <v>3.6478758169934664E-2</v>
      </c>
      <c r="V108" s="4">
        <f t="shared" ca="1" si="23"/>
        <v>1.11625</v>
      </c>
      <c r="X108" s="2"/>
    </row>
    <row r="109" spans="8:24" x14ac:dyDescent="0.25">
      <c r="H109">
        <v>30.700000000000003</v>
      </c>
      <c r="I109">
        <v>0.79542177374086231</v>
      </c>
      <c r="J109" s="4">
        <f t="shared" si="14"/>
        <v>-1.63E-4</v>
      </c>
      <c r="K109" s="9">
        <f t="shared" si="15"/>
        <v>5.3999999999999998E-5</v>
      </c>
      <c r="L109" s="4">
        <f t="shared" si="16"/>
        <v>1.7639999999999999E-3</v>
      </c>
      <c r="M109" s="5">
        <f t="shared" si="17"/>
        <v>0.79704866527440643</v>
      </c>
      <c r="N109" s="2">
        <f t="shared" si="18"/>
        <v>2.0453193352915886E-3</v>
      </c>
      <c r="O109">
        <f t="shared" si="19"/>
        <v>4252.3312999999998</v>
      </c>
      <c r="P109">
        <f t="shared" ca="1" si="25"/>
        <v>4256</v>
      </c>
      <c r="Q109" t="str">
        <f t="shared" ca="1" si="20"/>
        <v>0001000010100000</v>
      </c>
      <c r="R109">
        <f t="shared" ca="1" si="21"/>
        <v>0.79800000000000004</v>
      </c>
      <c r="S109">
        <f t="shared" ca="1" si="22"/>
        <v>29.576000000000004</v>
      </c>
      <c r="T109" s="1">
        <f t="shared" ca="1" si="24"/>
        <v>3.6612377850162824E-2</v>
      </c>
      <c r="V109" s="4">
        <f t="shared" ca="1" si="23"/>
        <v>1.1240000000000001</v>
      </c>
      <c r="X109" s="2"/>
    </row>
    <row r="110" spans="8:24" x14ac:dyDescent="0.25">
      <c r="H110">
        <v>30.8</v>
      </c>
      <c r="I110">
        <v>0.80399021907383783</v>
      </c>
      <c r="J110" s="4">
        <f t="shared" si="14"/>
        <v>-1.63E-4</v>
      </c>
      <c r="K110" s="9">
        <f t="shared" si="15"/>
        <v>5.3999999999999998E-5</v>
      </c>
      <c r="L110" s="4">
        <f t="shared" si="16"/>
        <v>1.794E-3</v>
      </c>
      <c r="M110" s="5">
        <f t="shared" si="17"/>
        <v>0.80565646271595026</v>
      </c>
      <c r="N110" s="2">
        <f t="shared" si="18"/>
        <v>2.0724675531897285E-3</v>
      </c>
      <c r="O110">
        <f t="shared" si="19"/>
        <v>4298.2547000000004</v>
      </c>
      <c r="P110">
        <f t="shared" ca="1" si="25"/>
        <v>4302</v>
      </c>
      <c r="Q110" t="str">
        <f t="shared" ca="1" si="20"/>
        <v>0001000011001110</v>
      </c>
      <c r="R110">
        <f t="shared" ca="1" si="21"/>
        <v>0.80662500000000004</v>
      </c>
      <c r="S110">
        <f t="shared" ca="1" si="22"/>
        <v>29.679500000000004</v>
      </c>
      <c r="T110" s="1">
        <f t="shared" ca="1" si="24"/>
        <v>3.6379870129870005E-2</v>
      </c>
      <c r="V110" s="4">
        <f t="shared" ca="1" si="23"/>
        <v>1.1205000000000001</v>
      </c>
      <c r="X110" s="2"/>
    </row>
    <row r="111" spans="8:24" x14ac:dyDescent="0.25">
      <c r="H111">
        <v>30.9</v>
      </c>
      <c r="I111">
        <v>0.81170608454510429</v>
      </c>
      <c r="J111" s="4">
        <f t="shared" si="14"/>
        <v>-1.6200000000000001E-4</v>
      </c>
      <c r="K111" s="9">
        <f t="shared" si="15"/>
        <v>5.5000000000000002E-5</v>
      </c>
      <c r="L111" s="4">
        <f t="shared" si="16"/>
        <v>1.825E-3</v>
      </c>
      <c r="M111" s="5">
        <f t="shared" si="17"/>
        <v>0.81341045277141211</v>
      </c>
      <c r="N111" s="2">
        <f t="shared" si="18"/>
        <v>2.0997356786637594E-3</v>
      </c>
      <c r="O111">
        <f t="shared" si="19"/>
        <v>4339.6229999999996</v>
      </c>
      <c r="P111">
        <f t="shared" ca="1" si="25"/>
        <v>4343</v>
      </c>
      <c r="Q111" t="str">
        <f t="shared" ca="1" si="20"/>
        <v>0001000011110111</v>
      </c>
      <c r="R111">
        <f t="shared" ca="1" si="21"/>
        <v>0.81431249999999999</v>
      </c>
      <c r="S111">
        <f t="shared" ca="1" si="22"/>
        <v>29.771750000000001</v>
      </c>
      <c r="T111" s="1">
        <f t="shared" ca="1" si="24"/>
        <v>3.6512944983818699E-2</v>
      </c>
      <c r="V111" s="4">
        <f t="shared" ca="1" si="23"/>
        <v>1.12825</v>
      </c>
      <c r="X111" s="2"/>
    </row>
    <row r="112" spans="8:24" x14ac:dyDescent="0.25">
      <c r="H112">
        <v>31</v>
      </c>
      <c r="I112">
        <v>0.82032620185833582</v>
      </c>
      <c r="J112" s="4">
        <f t="shared" si="14"/>
        <v>-1.6200000000000001E-4</v>
      </c>
      <c r="K112" s="9">
        <f t="shared" si="15"/>
        <v>5.5000000000000002E-5</v>
      </c>
      <c r="L112" s="4">
        <f t="shared" si="16"/>
        <v>1.8550000000000001E-3</v>
      </c>
      <c r="M112" s="5">
        <f t="shared" si="17"/>
        <v>0.82207103604019038</v>
      </c>
      <c r="N112" s="2">
        <f t="shared" si="18"/>
        <v>2.127000427271345E-3</v>
      </c>
      <c r="O112">
        <f t="shared" si="19"/>
        <v>4385.8280000000004</v>
      </c>
      <c r="P112">
        <f t="shared" ca="1" si="25"/>
        <v>4390</v>
      </c>
      <c r="Q112" t="str">
        <f t="shared" ca="1" si="20"/>
        <v>0001000100100110</v>
      </c>
      <c r="R112">
        <f t="shared" ca="1" si="21"/>
        <v>0.823125</v>
      </c>
      <c r="S112">
        <f t="shared" ca="1" si="22"/>
        <v>29.877500000000001</v>
      </c>
      <c r="T112" s="1">
        <f t="shared" ca="1" si="24"/>
        <v>3.6209677419354797E-2</v>
      </c>
      <c r="V112" s="4">
        <f t="shared" ca="1" si="23"/>
        <v>1.1225000000000001</v>
      </c>
      <c r="X112" s="2"/>
    </row>
    <row r="113" spans="8:24" x14ac:dyDescent="0.25">
      <c r="H113">
        <v>31.1</v>
      </c>
      <c r="I113">
        <v>0.82809558250869664</v>
      </c>
      <c r="J113" s="4">
        <f t="shared" si="14"/>
        <v>-1.6100000000000001E-4</v>
      </c>
      <c r="K113" s="9">
        <f t="shared" si="15"/>
        <v>5.5999999999999999E-5</v>
      </c>
      <c r="L113" s="4">
        <f t="shared" si="16"/>
        <v>1.8860000000000001E-3</v>
      </c>
      <c r="M113" s="5">
        <f t="shared" si="17"/>
        <v>0.8298796260955128</v>
      </c>
      <c r="N113" s="2">
        <f t="shared" si="18"/>
        <v>2.1543933146116355E-3</v>
      </c>
      <c r="O113">
        <f t="shared" si="19"/>
        <v>4427.4876000000004</v>
      </c>
      <c r="P113">
        <f t="shared" ca="1" si="25"/>
        <v>4432</v>
      </c>
      <c r="Q113" t="str">
        <f t="shared" ca="1" si="20"/>
        <v>0001000101010000</v>
      </c>
      <c r="R113">
        <f t="shared" ca="1" si="21"/>
        <v>0.83100000000000007</v>
      </c>
      <c r="S113">
        <f t="shared" ca="1" si="22"/>
        <v>29.972000000000005</v>
      </c>
      <c r="T113" s="1">
        <f t="shared" ca="1" si="24"/>
        <v>3.6270096463022393E-2</v>
      </c>
      <c r="V113" s="4">
        <f t="shared" ca="1" si="23"/>
        <v>1.1279999999999999</v>
      </c>
      <c r="X113" s="2"/>
    </row>
    <row r="114" spans="8:24" x14ac:dyDescent="0.25">
      <c r="H114">
        <v>31.200000000000003</v>
      </c>
      <c r="I114">
        <v>0.83589213069428647</v>
      </c>
      <c r="J114" s="4">
        <f t="shared" si="14"/>
        <v>-1.6100000000000001E-4</v>
      </c>
      <c r="K114" s="9">
        <f t="shared" si="15"/>
        <v>5.5999999999999999E-5</v>
      </c>
      <c r="L114" s="4">
        <f t="shared" si="16"/>
        <v>1.916E-3</v>
      </c>
      <c r="M114" s="5">
        <f t="shared" si="17"/>
        <v>0.83771608358243044</v>
      </c>
      <c r="N114" s="2">
        <f t="shared" si="18"/>
        <v>2.1820433775695453E-3</v>
      </c>
      <c r="O114">
        <f t="shared" si="19"/>
        <v>4469.2959000000001</v>
      </c>
      <c r="P114">
        <f t="shared" ca="1" si="25"/>
        <v>4474</v>
      </c>
      <c r="Q114" t="str">
        <f t="shared" ca="1" si="20"/>
        <v>0001000101111010</v>
      </c>
      <c r="R114">
        <f t="shared" ca="1" si="21"/>
        <v>0.83887500000000004</v>
      </c>
      <c r="S114">
        <f t="shared" ca="1" si="22"/>
        <v>30.066500000000001</v>
      </c>
      <c r="T114" s="1">
        <f t="shared" ca="1" si="24"/>
        <v>3.6330128205128251E-2</v>
      </c>
      <c r="V114" s="4">
        <f t="shared" ca="1" si="23"/>
        <v>1.1335</v>
      </c>
      <c r="X114" s="2"/>
    </row>
    <row r="115" spans="8:24" x14ac:dyDescent="0.25">
      <c r="H115">
        <v>31.3</v>
      </c>
      <c r="I115">
        <v>0.84458984034423867</v>
      </c>
      <c r="J115" s="4">
        <f t="shared" si="14"/>
        <v>-1.6000000000000001E-4</v>
      </c>
      <c r="K115" s="9">
        <f t="shared" si="15"/>
        <v>5.7000000000000003E-5</v>
      </c>
      <c r="L115" s="4">
        <f t="shared" si="16"/>
        <v>1.9469999999999999E-3</v>
      </c>
      <c r="M115" s="5">
        <f t="shared" si="17"/>
        <v>0.84645577681569895</v>
      </c>
      <c r="N115" s="2">
        <f t="shared" si="18"/>
        <v>2.2092812183245681E-3</v>
      </c>
      <c r="O115">
        <f t="shared" si="19"/>
        <v>4515.9229999999998</v>
      </c>
      <c r="P115">
        <f t="shared" ca="1" si="25"/>
        <v>4521</v>
      </c>
      <c r="Q115" t="str">
        <f t="shared" ca="1" si="20"/>
        <v>0001000110101001</v>
      </c>
      <c r="R115">
        <f t="shared" ca="1" si="21"/>
        <v>0.84768750000000004</v>
      </c>
      <c r="S115">
        <f t="shared" ca="1" si="22"/>
        <v>30.172250000000002</v>
      </c>
      <c r="T115" s="1">
        <f t="shared" ca="1" si="24"/>
        <v>3.6030351437699643E-2</v>
      </c>
      <c r="V115" s="4">
        <f t="shared" ca="1" si="23"/>
        <v>1.12775</v>
      </c>
      <c r="X115" s="2"/>
    </row>
    <row r="116" spans="8:24" x14ac:dyDescent="0.25">
      <c r="H116">
        <v>31.4</v>
      </c>
      <c r="I116">
        <v>0.8524395855056488</v>
      </c>
      <c r="J116" s="4">
        <f t="shared" si="14"/>
        <v>-1.5899999999999999E-4</v>
      </c>
      <c r="K116" s="9">
        <f t="shared" si="15"/>
        <v>5.7000000000000003E-5</v>
      </c>
      <c r="L116" s="4">
        <f t="shared" si="16"/>
        <v>1.977E-3</v>
      </c>
      <c r="M116" s="5">
        <f t="shared" si="17"/>
        <v>0.85434551191670816</v>
      </c>
      <c r="N116" s="2">
        <f t="shared" si="18"/>
        <v>2.2358492536791344E-3</v>
      </c>
      <c r="O116">
        <f t="shared" si="19"/>
        <v>4558.0154000000002</v>
      </c>
      <c r="P116">
        <f t="shared" ca="1" si="25"/>
        <v>4557</v>
      </c>
      <c r="Q116" t="str">
        <f t="shared" ca="1" si="20"/>
        <v>0001000111001101</v>
      </c>
      <c r="R116">
        <f t="shared" ca="1" si="21"/>
        <v>0.85443750000000007</v>
      </c>
      <c r="S116">
        <f t="shared" ca="1" si="22"/>
        <v>30.253250000000005</v>
      </c>
      <c r="T116" s="1">
        <f t="shared" ca="1" si="24"/>
        <v>3.6520700636942474E-2</v>
      </c>
      <c r="V116" s="4">
        <f t="shared" ca="1" si="23"/>
        <v>1.1467499999999999</v>
      </c>
      <c r="X116" s="2"/>
    </row>
    <row r="117" spans="8:24" x14ac:dyDescent="0.25">
      <c r="H117">
        <v>31.5</v>
      </c>
      <c r="I117">
        <v>0.86031633918793504</v>
      </c>
      <c r="J117" s="4">
        <f t="shared" si="14"/>
        <v>-1.5899999999999999E-4</v>
      </c>
      <c r="K117" s="9">
        <f t="shared" si="15"/>
        <v>5.8E-5</v>
      </c>
      <c r="L117" s="4">
        <f t="shared" si="16"/>
        <v>2.0079999999999998E-3</v>
      </c>
      <c r="M117" s="5">
        <f t="shared" si="17"/>
        <v>0.86226465014141906</v>
      </c>
      <c r="N117" s="2">
        <f t="shared" si="18"/>
        <v>2.2646448343908721E-3</v>
      </c>
      <c r="O117">
        <f t="shared" si="19"/>
        <v>4600.2647999999999</v>
      </c>
      <c r="P117">
        <f t="shared" ca="1" si="25"/>
        <v>4601</v>
      </c>
      <c r="Q117" t="str">
        <f t="shared" ca="1" si="20"/>
        <v>0001000111111001</v>
      </c>
      <c r="R117">
        <f t="shared" ca="1" si="21"/>
        <v>0.86268750000000005</v>
      </c>
      <c r="S117">
        <f t="shared" ca="1" si="22"/>
        <v>30.352250000000002</v>
      </c>
      <c r="T117" s="1">
        <f t="shared" ca="1" si="24"/>
        <v>3.6436507936507892E-2</v>
      </c>
      <c r="V117" s="4">
        <f t="shared" ca="1" si="23"/>
        <v>1.14775</v>
      </c>
      <c r="X117" s="2"/>
    </row>
    <row r="118" spans="8:24" x14ac:dyDescent="0.25">
      <c r="H118">
        <v>31.6</v>
      </c>
      <c r="I118">
        <v>0.86996224843285996</v>
      </c>
      <c r="J118" s="4">
        <f t="shared" si="14"/>
        <v>-1.5799999999999999E-4</v>
      </c>
      <c r="K118" s="9">
        <f t="shared" si="15"/>
        <v>5.8E-5</v>
      </c>
      <c r="L118" s="4">
        <f t="shared" si="16"/>
        <v>2.0379999999999999E-3</v>
      </c>
      <c r="M118" s="5">
        <f t="shared" si="17"/>
        <v>0.87195517487525576</v>
      </c>
      <c r="N118" s="2">
        <f t="shared" si="18"/>
        <v>2.2908194533565423E-3</v>
      </c>
      <c r="O118">
        <f t="shared" si="19"/>
        <v>4651.9647000000004</v>
      </c>
      <c r="P118">
        <f t="shared" ca="1" si="25"/>
        <v>4651</v>
      </c>
      <c r="Q118" t="str">
        <f t="shared" ca="1" si="20"/>
        <v>0001001000101011</v>
      </c>
      <c r="R118">
        <f t="shared" ca="1" si="21"/>
        <v>0.87206249999999996</v>
      </c>
      <c r="S118">
        <f t="shared" ca="1" si="22"/>
        <v>30.464750000000002</v>
      </c>
      <c r="T118" s="1">
        <f t="shared" ca="1" si="24"/>
        <v>3.5925632911392377E-2</v>
      </c>
      <c r="V118" s="4">
        <f t="shared" ca="1" si="23"/>
        <v>1.1352500000000001</v>
      </c>
      <c r="X118" s="2"/>
    </row>
    <row r="119" spans="8:24" x14ac:dyDescent="0.25">
      <c r="H119">
        <v>31.700000000000003</v>
      </c>
      <c r="I119">
        <v>0.87789088624060807</v>
      </c>
      <c r="J119" s="4">
        <f t="shared" si="14"/>
        <v>-1.5799999999999999E-4</v>
      </c>
      <c r="K119" s="9">
        <f t="shared" si="15"/>
        <v>5.8999999999999998E-5</v>
      </c>
      <c r="L119" s="4">
        <f t="shared" si="16"/>
        <v>2.0690000000000001E-3</v>
      </c>
      <c r="M119" s="5">
        <f t="shared" si="17"/>
        <v>0.87992733589657812</v>
      </c>
      <c r="N119" s="2">
        <f t="shared" si="18"/>
        <v>2.3197070249706539E-3</v>
      </c>
      <c r="O119">
        <f t="shared" si="19"/>
        <v>4694.4969000000001</v>
      </c>
      <c r="P119">
        <f t="shared" ca="1" si="25"/>
        <v>4695</v>
      </c>
      <c r="Q119" t="str">
        <f t="shared" ca="1" si="20"/>
        <v>0001001001010111</v>
      </c>
      <c r="R119">
        <f t="shared" ca="1" si="21"/>
        <v>0.88031250000000005</v>
      </c>
      <c r="S119">
        <f t="shared" ca="1" si="22"/>
        <v>30.563749999999999</v>
      </c>
      <c r="T119" s="1">
        <f t="shared" ca="1" si="24"/>
        <v>3.5843848580441762E-2</v>
      </c>
      <c r="V119" s="4">
        <f t="shared" ca="1" si="23"/>
        <v>1.13625</v>
      </c>
      <c r="X119" s="2"/>
    </row>
    <row r="120" spans="8:24" x14ac:dyDescent="0.25">
      <c r="H120">
        <v>31.8</v>
      </c>
      <c r="I120">
        <v>0.88584636744454393</v>
      </c>
      <c r="J120" s="4">
        <f t="shared" si="14"/>
        <v>-1.5699999999999999E-4</v>
      </c>
      <c r="K120" s="9">
        <f t="shared" si="15"/>
        <v>5.8999999999999998E-5</v>
      </c>
      <c r="L120" s="4">
        <f t="shared" si="16"/>
        <v>2.0990000000000002E-3</v>
      </c>
      <c r="M120" s="5">
        <f t="shared" si="17"/>
        <v>0.8879250002781276</v>
      </c>
      <c r="N120" s="2">
        <f t="shared" si="18"/>
        <v>2.3464936020226989E-3</v>
      </c>
      <c r="O120">
        <f t="shared" si="19"/>
        <v>4737.1652000000004</v>
      </c>
      <c r="P120">
        <f t="shared" ca="1" si="25"/>
        <v>4741</v>
      </c>
      <c r="Q120" t="str">
        <f t="shared" ca="1" si="20"/>
        <v>0001001010000101</v>
      </c>
      <c r="R120">
        <f t="shared" ca="1" si="21"/>
        <v>0.88893750000000005</v>
      </c>
      <c r="S120">
        <f t="shared" ca="1" si="22"/>
        <v>30.667250000000003</v>
      </c>
      <c r="T120" s="1">
        <f t="shared" ca="1" si="24"/>
        <v>3.5621069182389872E-2</v>
      </c>
      <c r="V120" s="4">
        <f t="shared" ca="1" si="23"/>
        <v>1.1327499999999999</v>
      </c>
      <c r="X120" s="2"/>
    </row>
    <row r="121" spans="8:24" x14ac:dyDescent="0.25">
      <c r="H121">
        <v>31.9</v>
      </c>
      <c r="I121">
        <v>0.8938286367024495</v>
      </c>
      <c r="J121" s="4">
        <f t="shared" si="14"/>
        <v>-1.5699999999999999E-4</v>
      </c>
      <c r="K121" s="9">
        <f t="shared" si="15"/>
        <v>6.0000000000000002E-5</v>
      </c>
      <c r="L121" s="4">
        <f t="shared" si="16"/>
        <v>2.1299999999999999E-3</v>
      </c>
      <c r="M121" s="5">
        <f t="shared" si="17"/>
        <v>0.89595189068961834</v>
      </c>
      <c r="N121" s="2">
        <f t="shared" si="18"/>
        <v>2.3754597917135848E-3</v>
      </c>
      <c r="O121">
        <f t="shared" si="19"/>
        <v>4779.9894999999997</v>
      </c>
      <c r="P121">
        <f t="shared" ca="1" si="25"/>
        <v>4785</v>
      </c>
      <c r="Q121" t="str">
        <f t="shared" ca="1" si="20"/>
        <v>0001001010110001</v>
      </c>
      <c r="R121">
        <f t="shared" ca="1" si="21"/>
        <v>0.89718750000000003</v>
      </c>
      <c r="S121">
        <f t="shared" ca="1" si="22"/>
        <v>30.766250000000003</v>
      </c>
      <c r="T121" s="1">
        <f t="shared" ca="1" si="24"/>
        <v>3.5540752351097042E-2</v>
      </c>
      <c r="V121" s="4">
        <f t="shared" ca="1" si="23"/>
        <v>1.13375</v>
      </c>
      <c r="X121" s="2"/>
    </row>
    <row r="122" spans="8:24" x14ac:dyDescent="0.25">
      <c r="H122">
        <v>32</v>
      </c>
      <c r="I122">
        <v>0.90270479181287655</v>
      </c>
      <c r="J122" s="4">
        <f t="shared" si="14"/>
        <v>-1.56E-4</v>
      </c>
      <c r="K122" s="9">
        <f t="shared" si="15"/>
        <v>6.0000000000000002E-5</v>
      </c>
      <c r="L122" s="4">
        <f t="shared" si="16"/>
        <v>2.16E-3</v>
      </c>
      <c r="M122" s="5">
        <f t="shared" si="17"/>
        <v>0.90487319262895516</v>
      </c>
      <c r="N122" s="2">
        <f t="shared" si="18"/>
        <v>2.4021151053423236E-3</v>
      </c>
      <c r="O122">
        <f t="shared" si="19"/>
        <v>4827.5855000000001</v>
      </c>
      <c r="P122">
        <f t="shared" ca="1" si="25"/>
        <v>4828</v>
      </c>
      <c r="Q122" t="str">
        <f t="shared" ca="1" si="20"/>
        <v>0001001011011100</v>
      </c>
      <c r="R122">
        <f t="shared" ca="1" si="21"/>
        <v>0.90525</v>
      </c>
      <c r="S122">
        <f t="shared" ca="1" si="22"/>
        <v>30.863</v>
      </c>
      <c r="T122" s="1">
        <f t="shared" ca="1" si="24"/>
        <v>3.5531250000000014E-2</v>
      </c>
      <c r="V122" s="4">
        <f t="shared" ca="1" si="23"/>
        <v>1.137</v>
      </c>
      <c r="X122" s="2"/>
    </row>
    <row r="123" spans="8:24" x14ac:dyDescent="0.25">
      <c r="H123">
        <v>32.1</v>
      </c>
      <c r="I123">
        <v>0.91073947900725294</v>
      </c>
      <c r="J123" s="4">
        <f t="shared" si="14"/>
        <v>-1.55E-4</v>
      </c>
      <c r="K123" s="9">
        <f t="shared" si="15"/>
        <v>6.0999999999999999E-5</v>
      </c>
      <c r="L123" s="4">
        <f t="shared" si="16"/>
        <v>2.1909999999999998E-3</v>
      </c>
      <c r="M123" s="5">
        <f t="shared" si="17"/>
        <v>0.91295263114408975</v>
      </c>
      <c r="N123" s="2">
        <f t="shared" si="18"/>
        <v>2.4300606132164723E-3</v>
      </c>
      <c r="O123">
        <f t="shared" si="19"/>
        <v>4870.6900999999998</v>
      </c>
      <c r="P123">
        <f t="shared" ca="1" si="25"/>
        <v>4873</v>
      </c>
      <c r="Q123" t="str">
        <f t="shared" ca="1" si="20"/>
        <v>0001001100001001</v>
      </c>
      <c r="R123">
        <f t="shared" ca="1" si="21"/>
        <v>0.91368749999999999</v>
      </c>
      <c r="S123">
        <f t="shared" ca="1" si="22"/>
        <v>30.964250000000003</v>
      </c>
      <c r="T123" s="1">
        <f t="shared" ca="1" si="24"/>
        <v>3.538161993769464E-2</v>
      </c>
      <c r="V123" s="4">
        <f t="shared" ca="1" si="23"/>
        <v>1.13575</v>
      </c>
      <c r="X123" s="2"/>
    </row>
    <row r="124" spans="8:24" x14ac:dyDescent="0.25">
      <c r="H124">
        <v>32.200000000000003</v>
      </c>
      <c r="I124">
        <v>0.91880078467908355</v>
      </c>
      <c r="J124" s="4">
        <f t="shared" si="14"/>
        <v>-1.55E-4</v>
      </c>
      <c r="K124" s="9">
        <f t="shared" si="15"/>
        <v>6.0999999999999999E-5</v>
      </c>
      <c r="L124" s="4">
        <f t="shared" si="16"/>
        <v>2.2209999999999999E-3</v>
      </c>
      <c r="M124" s="5">
        <f t="shared" si="17"/>
        <v>0.92105932862997075</v>
      </c>
      <c r="N124" s="2">
        <f t="shared" si="18"/>
        <v>2.4581432542812452E-3</v>
      </c>
      <c r="O124">
        <f t="shared" si="19"/>
        <v>4913.9400999999998</v>
      </c>
      <c r="P124">
        <f t="shared" ca="1" si="25"/>
        <v>4918</v>
      </c>
      <c r="Q124" t="str">
        <f t="shared" ca="1" si="20"/>
        <v>0001001100110110</v>
      </c>
      <c r="R124">
        <f t="shared" ca="1" si="21"/>
        <v>0.92212499999999997</v>
      </c>
      <c r="S124">
        <f t="shared" ca="1" si="22"/>
        <v>31.065500000000004</v>
      </c>
      <c r="T124" s="1">
        <f t="shared" ca="1" si="24"/>
        <v>3.5232919254658358E-2</v>
      </c>
      <c r="V124" s="4">
        <f t="shared" ca="1" si="23"/>
        <v>1.1345000000000001</v>
      </c>
      <c r="X124" s="2"/>
    </row>
    <row r="125" spans="8:24" x14ac:dyDescent="0.25">
      <c r="H125">
        <v>32.299999999999997</v>
      </c>
      <c r="I125">
        <v>0.92688865159483547</v>
      </c>
      <c r="J125" s="4">
        <f t="shared" si="14"/>
        <v>-1.54E-4</v>
      </c>
      <c r="K125" s="9">
        <f t="shared" si="15"/>
        <v>6.2000000000000003E-5</v>
      </c>
      <c r="L125" s="4">
        <f t="shared" si="16"/>
        <v>2.2520000000000001E-3</v>
      </c>
      <c r="M125" s="5">
        <f t="shared" si="17"/>
        <v>0.92919306375841948</v>
      </c>
      <c r="N125" s="2">
        <f t="shared" si="18"/>
        <v>2.4861801464706305E-3</v>
      </c>
      <c r="O125">
        <f t="shared" si="19"/>
        <v>4957.3343000000004</v>
      </c>
      <c r="P125">
        <f t="shared" ca="1" si="25"/>
        <v>4957</v>
      </c>
      <c r="Q125" t="str">
        <f t="shared" ca="1" si="20"/>
        <v>0001001101011101</v>
      </c>
      <c r="R125">
        <f t="shared" ca="1" si="21"/>
        <v>0.92943750000000003</v>
      </c>
      <c r="S125">
        <f t="shared" ca="1" si="22"/>
        <v>31.15325</v>
      </c>
      <c r="T125" s="1">
        <f t="shared" ca="1" si="24"/>
        <v>3.5503095975232116E-2</v>
      </c>
      <c r="V125" s="4">
        <f t="shared" ca="1" si="23"/>
        <v>1.1467499999999999</v>
      </c>
      <c r="X125" s="2"/>
    </row>
    <row r="126" spans="8:24" x14ac:dyDescent="0.25">
      <c r="H126">
        <v>32.4</v>
      </c>
      <c r="I126">
        <v>0.93500302185177786</v>
      </c>
      <c r="J126" s="4">
        <f t="shared" si="14"/>
        <v>-1.54E-4</v>
      </c>
      <c r="K126" s="9">
        <f t="shared" si="15"/>
        <v>6.2000000000000003E-5</v>
      </c>
      <c r="L126" s="4">
        <f t="shared" si="16"/>
        <v>2.2820000000000002E-3</v>
      </c>
      <c r="M126" s="5">
        <f t="shared" si="17"/>
        <v>0.93735393116670029</v>
      </c>
      <c r="N126" s="2">
        <f t="shared" si="18"/>
        <v>2.5143333871439758E-3</v>
      </c>
      <c r="O126">
        <f t="shared" si="19"/>
        <v>5000.8733000000002</v>
      </c>
      <c r="P126">
        <f t="shared" ca="1" si="25"/>
        <v>5001</v>
      </c>
      <c r="Q126" t="str">
        <f t="shared" ca="1" si="20"/>
        <v>0001001110001001</v>
      </c>
      <c r="R126">
        <f t="shared" ca="1" si="21"/>
        <v>0.93768750000000001</v>
      </c>
      <c r="S126">
        <f t="shared" ca="1" si="22"/>
        <v>31.252250000000004</v>
      </c>
      <c r="T126" s="1">
        <f t="shared" ca="1" si="24"/>
        <v>3.5424382716049231E-2</v>
      </c>
      <c r="V126" s="4">
        <f t="shared" ca="1" si="23"/>
        <v>1.14775</v>
      </c>
      <c r="X126" s="2"/>
    </row>
    <row r="127" spans="8:24" x14ac:dyDescent="0.25">
      <c r="H127">
        <v>32.5</v>
      </c>
      <c r="I127">
        <v>0.94400602463942607</v>
      </c>
      <c r="J127" s="4">
        <f t="shared" si="14"/>
        <v>-1.5300000000000001E-4</v>
      </c>
      <c r="K127" s="9">
        <f t="shared" si="15"/>
        <v>6.3E-5</v>
      </c>
      <c r="L127" s="4">
        <f t="shared" si="16"/>
        <v>2.313E-3</v>
      </c>
      <c r="M127" s="5">
        <f t="shared" si="17"/>
        <v>0.94640592739549179</v>
      </c>
      <c r="N127" s="2">
        <f t="shared" si="18"/>
        <v>2.5422536439662973E-3</v>
      </c>
      <c r="O127">
        <f t="shared" si="19"/>
        <v>5049.1665999999996</v>
      </c>
      <c r="P127">
        <f t="shared" ca="1" si="25"/>
        <v>5054</v>
      </c>
      <c r="Q127" t="str">
        <f t="shared" ca="1" si="20"/>
        <v>0001001110111110</v>
      </c>
      <c r="R127">
        <f t="shared" ca="1" si="21"/>
        <v>0.94762500000000005</v>
      </c>
      <c r="S127">
        <f t="shared" ca="1" si="22"/>
        <v>31.371500000000005</v>
      </c>
      <c r="T127" s="1">
        <f t="shared" ca="1" si="24"/>
        <v>3.472307692307678E-2</v>
      </c>
      <c r="V127" s="4">
        <f t="shared" ca="1" si="23"/>
        <v>1.1285000000000001</v>
      </c>
      <c r="X127" s="2"/>
    </row>
    <row r="128" spans="8:24" x14ac:dyDescent="0.25">
      <c r="H128">
        <v>32.6</v>
      </c>
      <c r="I128">
        <v>0.95217222949896918</v>
      </c>
      <c r="J128" s="4">
        <f t="shared" si="14"/>
        <v>-1.5300000000000001E-4</v>
      </c>
      <c r="K128" s="9">
        <f t="shared" si="15"/>
        <v>6.3E-5</v>
      </c>
      <c r="L128" s="4">
        <f t="shared" si="16"/>
        <v>2.343E-3</v>
      </c>
      <c r="M128" s="5">
        <f t="shared" si="17"/>
        <v>0.95461976772073887</v>
      </c>
      <c r="N128" s="2">
        <f t="shared" si="18"/>
        <v>2.5704784764176269E-3</v>
      </c>
      <c r="O128">
        <f t="shared" si="19"/>
        <v>5092.9881999999998</v>
      </c>
      <c r="P128">
        <f t="shared" ca="1" si="25"/>
        <v>5092</v>
      </c>
      <c r="Q128" t="str">
        <f t="shared" ca="1" si="20"/>
        <v>0001001111100100</v>
      </c>
      <c r="R128">
        <f t="shared" ca="1" si="21"/>
        <v>0.95474999999999999</v>
      </c>
      <c r="S128">
        <f t="shared" ca="1" si="22"/>
        <v>31.457000000000001</v>
      </c>
      <c r="T128" s="1">
        <f t="shared" ca="1" si="24"/>
        <v>3.5061349693251552E-2</v>
      </c>
      <c r="V128" s="4">
        <f t="shared" ca="1" si="23"/>
        <v>1.143</v>
      </c>
      <c r="X128" s="2"/>
    </row>
    <row r="129" spans="8:24" x14ac:dyDescent="0.25">
      <c r="H129">
        <v>32.700000000000003</v>
      </c>
      <c r="I129">
        <v>0.95950456892844371</v>
      </c>
      <c r="J129" s="4">
        <f t="shared" si="14"/>
        <v>-1.5200000000000001E-4</v>
      </c>
      <c r="K129" s="9">
        <f t="shared" si="15"/>
        <v>6.3999999999999997E-5</v>
      </c>
      <c r="L129" s="4">
        <f t="shared" si="16"/>
        <v>2.3739999999999998E-3</v>
      </c>
      <c r="M129" s="5">
        <f t="shared" si="17"/>
        <v>0.96199821499885096</v>
      </c>
      <c r="N129" s="2">
        <f t="shared" si="18"/>
        <v>2.598889209242753E-3</v>
      </c>
      <c r="O129">
        <f t="shared" si="19"/>
        <v>5132.3530000000001</v>
      </c>
      <c r="P129">
        <f t="shared" ca="1" si="25"/>
        <v>5135</v>
      </c>
      <c r="Q129" t="str">
        <f t="shared" ca="1" si="20"/>
        <v>0001010000001111</v>
      </c>
      <c r="R129">
        <f t="shared" ca="1" si="21"/>
        <v>0.96281250000000007</v>
      </c>
      <c r="S129">
        <f t="shared" ca="1" si="22"/>
        <v>31.553750000000004</v>
      </c>
      <c r="T129" s="1">
        <f t="shared" ca="1" si="24"/>
        <v>3.5053516819571813E-2</v>
      </c>
      <c r="V129" s="4">
        <f t="shared" ca="1" si="23"/>
        <v>1.14625</v>
      </c>
      <c r="X129" s="2"/>
    </row>
    <row r="130" spans="8:24" x14ac:dyDescent="0.25">
      <c r="H130">
        <v>32.799999999999997</v>
      </c>
      <c r="I130">
        <v>0.96772436639382187</v>
      </c>
      <c r="J130" s="4">
        <f t="shared" si="14"/>
        <v>-1.5100000000000001E-4</v>
      </c>
      <c r="K130" s="9">
        <f t="shared" si="15"/>
        <v>6.3999999999999997E-5</v>
      </c>
      <c r="L130" s="4">
        <f t="shared" si="16"/>
        <v>2.4039999999999999E-3</v>
      </c>
      <c r="M130" s="5">
        <f t="shared" si="17"/>
        <v>0.97026574581476055</v>
      </c>
      <c r="N130" s="2">
        <f t="shared" si="18"/>
        <v>2.6261397451518252E-3</v>
      </c>
      <c r="O130">
        <f t="shared" si="19"/>
        <v>5176.4610000000002</v>
      </c>
      <c r="P130">
        <f t="shared" ca="1" si="25"/>
        <v>5176</v>
      </c>
      <c r="Q130" t="str">
        <f t="shared" ca="1" si="20"/>
        <v>0001010000111000</v>
      </c>
      <c r="R130">
        <f t="shared" ca="1" si="21"/>
        <v>0.97050000000000003</v>
      </c>
      <c r="S130">
        <f t="shared" ca="1" si="22"/>
        <v>31.646000000000004</v>
      </c>
      <c r="T130" s="1">
        <f t="shared" ca="1" si="24"/>
        <v>3.5182926829268074E-2</v>
      </c>
      <c r="V130" s="4">
        <f t="shared" ca="1" si="23"/>
        <v>1.1539999999999999</v>
      </c>
      <c r="X130" s="2"/>
    </row>
    <row r="131" spans="8:24" x14ac:dyDescent="0.25">
      <c r="H131">
        <v>32.9</v>
      </c>
      <c r="I131">
        <v>0.97597037099435158</v>
      </c>
      <c r="J131" s="4">
        <f t="shared" ref="J131:J194" si="26">ROUND(H131*0.00000575 -0.00034,6)</f>
        <v>-1.5100000000000001E-4</v>
      </c>
      <c r="K131" s="9">
        <f t="shared" ref="K131:K194" si="27">ROUND(H131*0.000005-0.0001,6)</f>
        <v>6.4999999999999994E-5</v>
      </c>
      <c r="L131" s="4">
        <f t="shared" ref="L131:L194" si="28">ROUND(K131+($C$24*(H131-25)),6)</f>
        <v>2.4350000000000001E-3</v>
      </c>
      <c r="M131" s="5">
        <f t="shared" ref="M131:M194" si="29">(I131-J131)/(1-L131)+$C$26+$D$27</f>
        <v>0.97856202830326999</v>
      </c>
      <c r="N131" s="2">
        <f t="shared" ref="N131:N194" si="30">ABS(I131-M131)/I131</f>
        <v>2.6554672005851447E-3</v>
      </c>
      <c r="O131">
        <f t="shared" ref="O131:O194" si="31">ROUND((M131*(2^($C$12-1)))/$C$44,4)</f>
        <v>5220.7224999999999</v>
      </c>
      <c r="P131">
        <f t="shared" ca="1" si="25"/>
        <v>5219</v>
      </c>
      <c r="Q131" t="str">
        <f t="shared" ref="Q131:Q194" ca="1" si="32">_xlfn.BASE(P131,2,16)</f>
        <v>0001010001100011</v>
      </c>
      <c r="R131">
        <f t="shared" ref="R131:R194" ca="1" si="33">($C$16/2^($C$12-1)) * P131</f>
        <v>0.9785625</v>
      </c>
      <c r="S131">
        <f t="shared" ref="S131:S194" ca="1" si="34">(R131+5/3)/(1/12)</f>
        <v>31.742750000000001</v>
      </c>
      <c r="T131" s="1">
        <f t="shared" ca="1" si="24"/>
        <v>3.5174772036474095E-2</v>
      </c>
      <c r="V131" s="4">
        <f t="shared" ref="V131:V194" ca="1" si="35">ROUND(ABS(H131-S131),6)</f>
        <v>1.1572499999999999</v>
      </c>
      <c r="X131" s="2"/>
    </row>
    <row r="132" spans="8:24" x14ac:dyDescent="0.25">
      <c r="H132">
        <v>33</v>
      </c>
      <c r="I132">
        <v>0.98424252299414594</v>
      </c>
      <c r="J132" s="4">
        <f t="shared" si="26"/>
        <v>-1.4999999999999999E-4</v>
      </c>
      <c r="K132" s="9">
        <f t="shared" si="27"/>
        <v>6.4999999999999994E-5</v>
      </c>
      <c r="L132" s="4">
        <f t="shared" si="28"/>
        <v>2.4650000000000002E-3</v>
      </c>
      <c r="M132" s="5">
        <f t="shared" si="29"/>
        <v>0.98688304673434613</v>
      </c>
      <c r="N132" s="2">
        <f t="shared" si="30"/>
        <v>2.6827978658831935E-3</v>
      </c>
      <c r="O132">
        <f t="shared" si="31"/>
        <v>5265.1158999999998</v>
      </c>
      <c r="P132">
        <f t="shared" ca="1" si="25"/>
        <v>5267</v>
      </c>
      <c r="Q132" t="str">
        <f t="shared" ca="1" si="32"/>
        <v>0001010010010011</v>
      </c>
      <c r="R132">
        <f t="shared" ca="1" si="33"/>
        <v>0.98756250000000001</v>
      </c>
      <c r="S132">
        <f t="shared" ca="1" si="34"/>
        <v>31.850750000000001</v>
      </c>
      <c r="T132" s="1">
        <f t="shared" ref="T132:T195" ca="1" si="36">ABS(H132-S132)/H132</f>
        <v>3.4825757575757531E-2</v>
      </c>
      <c r="V132" s="4">
        <f t="shared" ca="1" si="35"/>
        <v>1.1492500000000001</v>
      </c>
      <c r="X132" s="2"/>
    </row>
    <row r="133" spans="8:24" x14ac:dyDescent="0.25">
      <c r="H133">
        <v>33.1</v>
      </c>
      <c r="I133">
        <v>0.99254076050420348</v>
      </c>
      <c r="J133" s="4">
        <f t="shared" si="26"/>
        <v>-1.4999999999999999E-4</v>
      </c>
      <c r="K133" s="9">
        <f t="shared" si="27"/>
        <v>6.6000000000000005E-5</v>
      </c>
      <c r="L133" s="4">
        <f t="shared" si="28"/>
        <v>2.496E-3</v>
      </c>
      <c r="M133" s="5">
        <f t="shared" si="29"/>
        <v>0.99523271659682921</v>
      </c>
      <c r="N133" s="2">
        <f t="shared" si="30"/>
        <v>2.7121869446029012E-3</v>
      </c>
      <c r="O133">
        <f t="shared" si="31"/>
        <v>5309.6621999999998</v>
      </c>
      <c r="P133">
        <f t="shared" ca="1" si="25"/>
        <v>5311</v>
      </c>
      <c r="Q133" t="str">
        <f t="shared" ca="1" si="32"/>
        <v>0001010010111111</v>
      </c>
      <c r="R133">
        <f t="shared" ca="1" si="33"/>
        <v>0.99581249999999999</v>
      </c>
      <c r="S133">
        <f t="shared" ca="1" si="34"/>
        <v>31.949749999999998</v>
      </c>
      <c r="T133" s="1">
        <f t="shared" ca="1" si="36"/>
        <v>3.4750755287009161E-2</v>
      </c>
      <c r="V133" s="4">
        <f t="shared" ca="1" si="35"/>
        <v>1.15025</v>
      </c>
      <c r="X133" s="2"/>
    </row>
    <row r="134" spans="8:24" x14ac:dyDescent="0.25">
      <c r="H134">
        <v>33.200000000000003</v>
      </c>
      <c r="I134">
        <v>1.0008650220137523</v>
      </c>
      <c r="J134" s="4">
        <f t="shared" si="26"/>
        <v>-1.4899999999999999E-4</v>
      </c>
      <c r="K134" s="9">
        <f t="shared" si="27"/>
        <v>6.6000000000000005E-5</v>
      </c>
      <c r="L134" s="4">
        <f t="shared" si="28"/>
        <v>2.526E-3</v>
      </c>
      <c r="M134" s="5">
        <f t="shared" si="29"/>
        <v>1.0036069867542934</v>
      </c>
      <c r="N134" s="2">
        <f t="shared" si="30"/>
        <v>2.7395949306173659E-3</v>
      </c>
      <c r="O134">
        <f t="shared" si="31"/>
        <v>5354.3397999999997</v>
      </c>
      <c r="P134">
        <f t="shared" ca="1" si="25"/>
        <v>5359</v>
      </c>
      <c r="Q134" t="str">
        <f t="shared" ca="1" si="32"/>
        <v>0001010011101111</v>
      </c>
      <c r="R134">
        <f t="shared" ca="1" si="33"/>
        <v>1.0048125000000001</v>
      </c>
      <c r="S134">
        <f t="shared" ca="1" si="34"/>
        <v>32.057750000000006</v>
      </c>
      <c r="T134" s="1">
        <f t="shared" ca="1" si="36"/>
        <v>3.440512048192762E-2</v>
      </c>
      <c r="V134" s="4">
        <f t="shared" ca="1" si="35"/>
        <v>1.14225</v>
      </c>
      <c r="X134" s="2"/>
    </row>
    <row r="135" spans="8:24" x14ac:dyDescent="0.25">
      <c r="H135">
        <v>33.299999999999997</v>
      </c>
      <c r="I135">
        <v>1.0092152451391387</v>
      </c>
      <c r="J135" s="4">
        <f t="shared" si="26"/>
        <v>-1.4899999999999999E-4</v>
      </c>
      <c r="K135" s="9">
        <f t="shared" si="27"/>
        <v>6.7000000000000002E-5</v>
      </c>
      <c r="L135" s="4">
        <f t="shared" si="28"/>
        <v>2.5569999999999998E-3</v>
      </c>
      <c r="M135" s="5">
        <f t="shared" si="29"/>
        <v>1.0120098059068423</v>
      </c>
      <c r="N135" s="2">
        <f t="shared" si="30"/>
        <v>2.7690433543919443E-3</v>
      </c>
      <c r="O135">
        <f t="shared" si="31"/>
        <v>5399.1696000000002</v>
      </c>
      <c r="P135">
        <f t="shared" ca="1" si="25"/>
        <v>5403</v>
      </c>
      <c r="Q135" t="str">
        <f t="shared" ca="1" si="32"/>
        <v>0001010100011011</v>
      </c>
      <c r="R135">
        <f t="shared" ca="1" si="33"/>
        <v>1.0130625</v>
      </c>
      <c r="S135">
        <f t="shared" ca="1" si="34"/>
        <v>32.156750000000002</v>
      </c>
      <c r="T135" s="1">
        <f t="shared" ca="1" si="36"/>
        <v>3.433183183183168E-2</v>
      </c>
      <c r="V135" s="4">
        <f t="shared" ca="1" si="35"/>
        <v>1.1432500000000001</v>
      </c>
      <c r="X135" s="2"/>
    </row>
    <row r="136" spans="8:24" x14ac:dyDescent="0.25">
      <c r="H136">
        <v>33.4</v>
      </c>
      <c r="I136">
        <v>1.0175913680495066</v>
      </c>
      <c r="J136" s="4">
        <f t="shared" si="26"/>
        <v>-1.4799999999999999E-4</v>
      </c>
      <c r="K136" s="9">
        <f t="shared" si="27"/>
        <v>6.7000000000000002E-5</v>
      </c>
      <c r="L136" s="4">
        <f t="shared" si="28"/>
        <v>2.5869999999999999E-3</v>
      </c>
      <c r="M136" s="5">
        <f t="shared" si="29"/>
        <v>1.0204370887521081</v>
      </c>
      <c r="N136" s="2">
        <f t="shared" si="30"/>
        <v>2.7965259847439446E-3</v>
      </c>
      <c r="O136">
        <f t="shared" si="31"/>
        <v>5444.13</v>
      </c>
      <c r="P136">
        <f t="shared" ca="1" si="25"/>
        <v>5447</v>
      </c>
      <c r="Q136" t="str">
        <f t="shared" ca="1" si="32"/>
        <v>0001010101000111</v>
      </c>
      <c r="R136">
        <f t="shared" ca="1" si="33"/>
        <v>1.0213125000000001</v>
      </c>
      <c r="S136">
        <f t="shared" ca="1" si="34"/>
        <v>32.255749999999999</v>
      </c>
      <c r="T136" s="1">
        <f t="shared" ca="1" si="36"/>
        <v>3.4258982035928129E-2</v>
      </c>
      <c r="V136" s="4">
        <f t="shared" ca="1" si="35"/>
        <v>1.14425</v>
      </c>
      <c r="X136" s="2"/>
    </row>
    <row r="137" spans="8:24" x14ac:dyDescent="0.25">
      <c r="H137">
        <v>33.5</v>
      </c>
      <c r="I137">
        <v>1.0259933269063579</v>
      </c>
      <c r="J137" s="4">
        <f t="shared" si="26"/>
        <v>-1.47E-4</v>
      </c>
      <c r="K137" s="9">
        <f t="shared" si="27"/>
        <v>6.7999999999999999E-5</v>
      </c>
      <c r="L137" s="4">
        <f t="shared" si="28"/>
        <v>2.6180000000000001E-3</v>
      </c>
      <c r="M137" s="5">
        <f t="shared" si="29"/>
        <v>1.0288918138309673</v>
      </c>
      <c r="N137" s="2">
        <f t="shared" si="30"/>
        <v>2.8250543630230756E-3</v>
      </c>
      <c r="O137">
        <f t="shared" si="31"/>
        <v>5489.2367999999997</v>
      </c>
      <c r="P137">
        <f t="shared" ca="1" si="25"/>
        <v>5489</v>
      </c>
      <c r="Q137" t="str">
        <f t="shared" ca="1" si="32"/>
        <v>0001010101110001</v>
      </c>
      <c r="R137">
        <f t="shared" ca="1" si="33"/>
        <v>1.0291874999999999</v>
      </c>
      <c r="S137">
        <f t="shared" ca="1" si="34"/>
        <v>32.350250000000003</v>
      </c>
      <c r="T137" s="1">
        <f t="shared" ca="1" si="36"/>
        <v>3.4320895522387984E-2</v>
      </c>
      <c r="V137" s="4">
        <f t="shared" ca="1" si="35"/>
        <v>1.14975</v>
      </c>
      <c r="X137" s="2"/>
    </row>
    <row r="138" spans="8:24" x14ac:dyDescent="0.25">
      <c r="H138">
        <v>33.6</v>
      </c>
      <c r="I138">
        <v>1.0344210583367337</v>
      </c>
      <c r="J138" s="4">
        <f t="shared" si="26"/>
        <v>-1.47E-4</v>
      </c>
      <c r="K138" s="9">
        <f t="shared" si="27"/>
        <v>6.7999999999999999E-5</v>
      </c>
      <c r="L138" s="4">
        <f t="shared" si="28"/>
        <v>2.6480000000000002E-3</v>
      </c>
      <c r="M138" s="5">
        <f t="shared" si="29"/>
        <v>1.0373728681074821</v>
      </c>
      <c r="N138" s="2">
        <f t="shared" si="30"/>
        <v>2.8535863099061957E-3</v>
      </c>
      <c r="O138">
        <f t="shared" si="31"/>
        <v>5534.4840000000004</v>
      </c>
      <c r="P138">
        <f t="shared" ca="1" si="25"/>
        <v>5537</v>
      </c>
      <c r="Q138" t="str">
        <f t="shared" ca="1" si="32"/>
        <v>0001010110100001</v>
      </c>
      <c r="R138">
        <f t="shared" ca="1" si="33"/>
        <v>1.0381875</v>
      </c>
      <c r="S138">
        <f t="shared" ca="1" si="34"/>
        <v>32.458250000000007</v>
      </c>
      <c r="T138" s="1">
        <f t="shared" ca="1" si="36"/>
        <v>3.3980654761904601E-2</v>
      </c>
      <c r="V138" s="4">
        <f t="shared" ca="1" si="35"/>
        <v>1.14175</v>
      </c>
      <c r="X138" s="2"/>
    </row>
    <row r="139" spans="8:24" x14ac:dyDescent="0.25">
      <c r="H139">
        <v>33.700000000000003</v>
      </c>
      <c r="I139">
        <v>1.0428744983857243</v>
      </c>
      <c r="J139" s="4">
        <f t="shared" si="26"/>
        <v>-1.46E-4</v>
      </c>
      <c r="K139" s="9">
        <f t="shared" si="27"/>
        <v>6.8999999999999997E-5</v>
      </c>
      <c r="L139" s="4">
        <f t="shared" si="28"/>
        <v>2.679E-3</v>
      </c>
      <c r="M139" s="5">
        <f t="shared" si="29"/>
        <v>1.045880256210111</v>
      </c>
      <c r="N139" s="2">
        <f t="shared" si="30"/>
        <v>2.8821855640725376E-3</v>
      </c>
      <c r="O139">
        <f t="shared" si="31"/>
        <v>5579.8716999999997</v>
      </c>
      <c r="P139">
        <f t="shared" ca="1" si="25"/>
        <v>5581</v>
      </c>
      <c r="Q139" t="str">
        <f t="shared" ca="1" si="32"/>
        <v>0001010111001101</v>
      </c>
      <c r="R139">
        <f t="shared" ca="1" si="33"/>
        <v>1.0464375000000001</v>
      </c>
      <c r="S139">
        <f t="shared" ca="1" si="34"/>
        <v>32.557250000000003</v>
      </c>
      <c r="T139" s="1">
        <f t="shared" ca="1" si="36"/>
        <v>3.3909495548961409E-2</v>
      </c>
      <c r="V139" s="4">
        <f t="shared" ca="1" si="35"/>
        <v>1.1427499999999999</v>
      </c>
      <c r="X139" s="2"/>
    </row>
    <row r="140" spans="8:24" x14ac:dyDescent="0.25">
      <c r="H140">
        <v>33.799999999999997</v>
      </c>
      <c r="I140">
        <v>1.0513535823128199</v>
      </c>
      <c r="J140" s="4">
        <f t="shared" si="26"/>
        <v>-1.46E-4</v>
      </c>
      <c r="K140" s="9">
        <f t="shared" si="27"/>
        <v>6.8999999999999997E-5</v>
      </c>
      <c r="L140" s="4">
        <f t="shared" si="28"/>
        <v>2.709E-3</v>
      </c>
      <c r="M140" s="5">
        <f t="shared" si="29"/>
        <v>1.0544138322624186</v>
      </c>
      <c r="N140" s="2">
        <f t="shared" si="30"/>
        <v>2.9107714103817923E-3</v>
      </c>
      <c r="O140">
        <f t="shared" si="31"/>
        <v>5625.3991999999998</v>
      </c>
      <c r="P140">
        <f t="shared" ca="1" si="25"/>
        <v>5628</v>
      </c>
      <c r="Q140" t="str">
        <f t="shared" ca="1" si="32"/>
        <v>0001010111111100</v>
      </c>
      <c r="R140">
        <f t="shared" ca="1" si="33"/>
        <v>1.05525</v>
      </c>
      <c r="S140">
        <f t="shared" ca="1" si="34"/>
        <v>32.663000000000004</v>
      </c>
      <c r="T140" s="1">
        <f t="shared" ca="1" si="36"/>
        <v>3.3639053254437674E-2</v>
      </c>
      <c r="V140" s="4">
        <f t="shared" ca="1" si="35"/>
        <v>1.137</v>
      </c>
      <c r="X140" s="2"/>
    </row>
    <row r="141" spans="8:24" x14ac:dyDescent="0.25">
      <c r="H141">
        <v>33.9</v>
      </c>
      <c r="I141">
        <v>1.0598582447373701</v>
      </c>
      <c r="J141" s="4">
        <f t="shared" si="26"/>
        <v>-1.45E-4</v>
      </c>
      <c r="K141" s="9">
        <f t="shared" si="27"/>
        <v>6.9999999999999994E-5</v>
      </c>
      <c r="L141" s="4">
        <f t="shared" si="28"/>
        <v>2.7399999999999998E-3</v>
      </c>
      <c r="M141" s="5">
        <f t="shared" si="29"/>
        <v>1.0629736335733611</v>
      </c>
      <c r="N141" s="2">
        <f t="shared" si="30"/>
        <v>2.9394391669453159E-3</v>
      </c>
      <c r="O141">
        <f t="shared" si="31"/>
        <v>5671.0664999999999</v>
      </c>
      <c r="P141">
        <f t="shared" ca="1" si="25"/>
        <v>5673</v>
      </c>
      <c r="Q141" t="str">
        <f t="shared" ca="1" si="32"/>
        <v>0001011000101001</v>
      </c>
      <c r="R141">
        <f t="shared" ca="1" si="33"/>
        <v>1.0636875000000001</v>
      </c>
      <c r="S141">
        <f t="shared" ca="1" si="34"/>
        <v>32.764250000000004</v>
      </c>
      <c r="T141" s="1">
        <f t="shared" ca="1" si="36"/>
        <v>3.3502949852507215E-2</v>
      </c>
      <c r="V141" s="4">
        <f t="shared" ca="1" si="35"/>
        <v>1.13575</v>
      </c>
      <c r="X141" s="2"/>
    </row>
    <row r="142" spans="8:24" x14ac:dyDescent="0.25">
      <c r="H142">
        <v>34</v>
      </c>
      <c r="I142">
        <v>1.0675413284923381</v>
      </c>
      <c r="J142" s="4">
        <f t="shared" si="26"/>
        <v>-1.45E-4</v>
      </c>
      <c r="K142" s="9">
        <f t="shared" si="27"/>
        <v>6.9999999999999994E-5</v>
      </c>
      <c r="L142" s="4">
        <f t="shared" si="28"/>
        <v>2.7699999999999999E-3</v>
      </c>
      <c r="M142" s="5">
        <f t="shared" si="29"/>
        <v>1.0707100346282583</v>
      </c>
      <c r="N142" s="2">
        <f t="shared" si="30"/>
        <v>2.9682280688798487E-3</v>
      </c>
      <c r="O142">
        <f t="shared" si="31"/>
        <v>5712.3410000000003</v>
      </c>
      <c r="P142">
        <f t="shared" ca="1" si="25"/>
        <v>5715</v>
      </c>
      <c r="Q142" t="str">
        <f t="shared" ca="1" si="32"/>
        <v>0001011001010011</v>
      </c>
      <c r="R142">
        <f t="shared" ca="1" si="33"/>
        <v>1.0715625</v>
      </c>
      <c r="S142">
        <f t="shared" ca="1" si="34"/>
        <v>32.858750000000001</v>
      </c>
      <c r="T142" s="1">
        <f t="shared" ca="1" si="36"/>
        <v>3.3566176470588217E-2</v>
      </c>
      <c r="V142" s="4">
        <f t="shared" ca="1" si="35"/>
        <v>1.1412500000000001</v>
      </c>
      <c r="X142" s="2"/>
    </row>
    <row r="143" spans="8:24" x14ac:dyDescent="0.25">
      <c r="H143">
        <v>34.1</v>
      </c>
      <c r="I143">
        <v>1.0760979677449558</v>
      </c>
      <c r="J143" s="4">
        <f t="shared" si="26"/>
        <v>-1.44E-4</v>
      </c>
      <c r="K143" s="9">
        <f t="shared" si="27"/>
        <v>7.1000000000000005E-5</v>
      </c>
      <c r="L143" s="4">
        <f t="shared" si="28"/>
        <v>2.8010000000000001E-3</v>
      </c>
      <c r="M143" s="5">
        <f t="shared" si="29"/>
        <v>1.0793229889790861</v>
      </c>
      <c r="N143" s="2">
        <f t="shared" si="30"/>
        <v>2.9969587628610986E-3</v>
      </c>
      <c r="O143">
        <f t="shared" si="31"/>
        <v>5758.2919000000002</v>
      </c>
      <c r="P143">
        <f t="shared" ref="P143:P206" ca="1" si="37">ROUND(O143+$C$47+$C$49+RANDBETWEEN($B$45,$D$45) + 1,0)</f>
        <v>5762</v>
      </c>
      <c r="Q143" t="str">
        <f t="shared" ca="1" si="32"/>
        <v>0001011010000010</v>
      </c>
      <c r="R143">
        <f t="shared" ca="1" si="33"/>
        <v>1.0803750000000001</v>
      </c>
      <c r="S143">
        <f t="shared" ca="1" si="34"/>
        <v>32.964500000000008</v>
      </c>
      <c r="T143" s="1">
        <f t="shared" ca="1" si="36"/>
        <v>3.3299120234603907E-2</v>
      </c>
      <c r="V143" s="4">
        <f t="shared" ca="1" si="35"/>
        <v>1.1355</v>
      </c>
      <c r="X143" s="2"/>
    </row>
    <row r="144" spans="8:24" x14ac:dyDescent="0.25">
      <c r="H144">
        <v>34.200000000000003</v>
      </c>
      <c r="I144">
        <v>1.0846799886256711</v>
      </c>
      <c r="J144" s="4">
        <f t="shared" si="26"/>
        <v>-1.4300000000000001E-4</v>
      </c>
      <c r="K144" s="9">
        <f t="shared" si="27"/>
        <v>7.1000000000000005E-5</v>
      </c>
      <c r="L144" s="4">
        <f t="shared" si="28"/>
        <v>2.8310000000000002E-3</v>
      </c>
      <c r="M144" s="5">
        <f t="shared" si="29"/>
        <v>1.087960841570156</v>
      </c>
      <c r="N144" s="2">
        <f t="shared" si="30"/>
        <v>3.0247197135460672E-3</v>
      </c>
      <c r="O144">
        <f t="shared" si="31"/>
        <v>5804.3756999999996</v>
      </c>
      <c r="P144">
        <f t="shared" ca="1" si="37"/>
        <v>5804</v>
      </c>
      <c r="Q144" t="str">
        <f t="shared" ca="1" si="32"/>
        <v>0001011010101100</v>
      </c>
      <c r="R144">
        <f t="shared" ca="1" si="33"/>
        <v>1.0882499999999999</v>
      </c>
      <c r="S144">
        <f t="shared" ca="1" si="34"/>
        <v>33.058999999999997</v>
      </c>
      <c r="T144" s="1">
        <f t="shared" ca="1" si="36"/>
        <v>3.3362573099415357E-2</v>
      </c>
      <c r="V144" s="4">
        <f t="shared" ca="1" si="35"/>
        <v>1.141</v>
      </c>
      <c r="X144" s="2"/>
    </row>
    <row r="145" spans="8:24" x14ac:dyDescent="0.25">
      <c r="H145">
        <v>34.299999999999997</v>
      </c>
      <c r="I145">
        <v>1.0932873247063608</v>
      </c>
      <c r="J145" s="4">
        <f t="shared" si="26"/>
        <v>-1.4300000000000001E-4</v>
      </c>
      <c r="K145" s="9">
        <f t="shared" si="27"/>
        <v>7.2000000000000002E-5</v>
      </c>
      <c r="L145" s="4">
        <f t="shared" si="28"/>
        <v>2.862E-3</v>
      </c>
      <c r="M145" s="5">
        <f t="shared" si="29"/>
        <v>1.0966267043381766</v>
      </c>
      <c r="N145" s="2">
        <f t="shared" si="30"/>
        <v>3.0544391728977971E-3</v>
      </c>
      <c r="O145">
        <f t="shared" si="31"/>
        <v>5850.6089000000002</v>
      </c>
      <c r="P145">
        <f t="shared" ca="1" si="37"/>
        <v>5855</v>
      </c>
      <c r="Q145" t="str">
        <f t="shared" ca="1" si="32"/>
        <v>0001011011011111</v>
      </c>
      <c r="R145">
        <f t="shared" ca="1" si="33"/>
        <v>1.0978125000000001</v>
      </c>
      <c r="S145">
        <f t="shared" ca="1" si="34"/>
        <v>33.173750000000005</v>
      </c>
      <c r="T145" s="1">
        <f t="shared" ca="1" si="36"/>
        <v>3.2835276967929788E-2</v>
      </c>
      <c r="V145" s="4">
        <f t="shared" ca="1" si="35"/>
        <v>1.12625</v>
      </c>
      <c r="X145" s="2"/>
    </row>
    <row r="146" spans="8:24" x14ac:dyDescent="0.25">
      <c r="H146">
        <v>34.4</v>
      </c>
      <c r="I146">
        <v>1.1019199083658999</v>
      </c>
      <c r="J146" s="4">
        <f t="shared" si="26"/>
        <v>-1.4200000000000001E-4</v>
      </c>
      <c r="K146" s="9">
        <f t="shared" si="27"/>
        <v>7.2000000000000002E-5</v>
      </c>
      <c r="L146" s="4">
        <f t="shared" si="28"/>
        <v>2.892E-3</v>
      </c>
      <c r="M146" s="5">
        <f t="shared" si="29"/>
        <v>1.1053163154140775</v>
      </c>
      <c r="N146" s="2">
        <f t="shared" si="30"/>
        <v>3.0822630777351955E-3</v>
      </c>
      <c r="O146">
        <f t="shared" si="31"/>
        <v>5896.9687999999996</v>
      </c>
      <c r="P146">
        <f t="shared" ca="1" si="37"/>
        <v>5898</v>
      </c>
      <c r="Q146" t="str">
        <f t="shared" ca="1" si="32"/>
        <v>0001011100001010</v>
      </c>
      <c r="R146">
        <f t="shared" ca="1" si="33"/>
        <v>1.1058749999999999</v>
      </c>
      <c r="S146">
        <f t="shared" ca="1" si="34"/>
        <v>33.270500000000006</v>
      </c>
      <c r="T146" s="1">
        <f t="shared" ca="1" si="36"/>
        <v>3.2834302325581197E-2</v>
      </c>
      <c r="V146" s="4">
        <f t="shared" ca="1" si="35"/>
        <v>1.1294999999999999</v>
      </c>
      <c r="X146" s="2"/>
    </row>
    <row r="147" spans="8:24" x14ac:dyDescent="0.25">
      <c r="H147">
        <v>34.5</v>
      </c>
      <c r="I147">
        <v>1.1105776716631319</v>
      </c>
      <c r="J147" s="4">
        <f t="shared" si="26"/>
        <v>-1.4200000000000001E-4</v>
      </c>
      <c r="K147" s="9">
        <f t="shared" si="27"/>
        <v>7.2999999999999999E-5</v>
      </c>
      <c r="L147" s="4">
        <f t="shared" si="28"/>
        <v>2.9229999999999998E-3</v>
      </c>
      <c r="M147" s="5">
        <f t="shared" si="29"/>
        <v>1.1140338229937425</v>
      </c>
      <c r="N147" s="2">
        <f t="shared" si="30"/>
        <v>3.1120302692876005E-3</v>
      </c>
      <c r="O147">
        <f t="shared" si="31"/>
        <v>5943.4776000000002</v>
      </c>
      <c r="P147">
        <f t="shared" ca="1" si="37"/>
        <v>5943</v>
      </c>
      <c r="Q147" t="str">
        <f t="shared" ca="1" si="32"/>
        <v>0001011100110111</v>
      </c>
      <c r="R147">
        <f t="shared" ca="1" si="33"/>
        <v>1.1143125</v>
      </c>
      <c r="S147">
        <f t="shared" ca="1" si="34"/>
        <v>33.371749999999999</v>
      </c>
      <c r="T147" s="1">
        <f t="shared" ca="1" si="36"/>
        <v>3.2702898550724675E-2</v>
      </c>
      <c r="V147" s="4">
        <f t="shared" ca="1" si="35"/>
        <v>1.12825</v>
      </c>
      <c r="X147" s="2"/>
    </row>
    <row r="148" spans="8:24" x14ac:dyDescent="0.25">
      <c r="H148">
        <v>34.6</v>
      </c>
      <c r="I148">
        <v>1.1184195694302885</v>
      </c>
      <c r="J148" s="4">
        <f t="shared" si="26"/>
        <v>-1.4100000000000001E-4</v>
      </c>
      <c r="K148" s="9">
        <f t="shared" si="27"/>
        <v>7.2999999999999999E-5</v>
      </c>
      <c r="L148" s="4">
        <f t="shared" si="28"/>
        <v>2.9529999999999999E-3</v>
      </c>
      <c r="M148" s="5">
        <f t="shared" si="29"/>
        <v>1.1219314617628742</v>
      </c>
      <c r="N148" s="2">
        <f t="shared" si="30"/>
        <v>3.1400490733317229E-3</v>
      </c>
      <c r="O148">
        <f t="shared" si="31"/>
        <v>5985.6121999999996</v>
      </c>
      <c r="P148">
        <f t="shared" ca="1" si="37"/>
        <v>5986</v>
      </c>
      <c r="Q148" t="str">
        <f t="shared" ca="1" si="32"/>
        <v>0001011101100010</v>
      </c>
      <c r="R148">
        <f t="shared" ca="1" si="33"/>
        <v>1.1223750000000001</v>
      </c>
      <c r="S148">
        <f t="shared" ca="1" si="34"/>
        <v>33.468500000000006</v>
      </c>
      <c r="T148" s="1">
        <f t="shared" ca="1" si="36"/>
        <v>3.2702312138728193E-2</v>
      </c>
      <c r="V148" s="4">
        <f t="shared" ca="1" si="35"/>
        <v>1.1315</v>
      </c>
      <c r="X148" s="2"/>
    </row>
    <row r="149" spans="8:24" x14ac:dyDescent="0.25">
      <c r="H149">
        <v>34.700000000000003</v>
      </c>
      <c r="I149">
        <v>1.1271285090718575</v>
      </c>
      <c r="J149" s="4">
        <f t="shared" si="26"/>
        <v>-1.3999999999999999E-4</v>
      </c>
      <c r="K149" s="9">
        <f t="shared" si="27"/>
        <v>7.3999999999999996E-5</v>
      </c>
      <c r="L149" s="4">
        <f t="shared" si="28"/>
        <v>2.9840000000000001E-3</v>
      </c>
      <c r="M149" s="5">
        <f t="shared" si="29"/>
        <v>1.1307003458318194</v>
      </c>
      <c r="N149" s="2">
        <f t="shared" si="30"/>
        <v>3.1689702915093801E-3</v>
      </c>
      <c r="O149">
        <f t="shared" si="31"/>
        <v>6032.3950999999997</v>
      </c>
      <c r="P149">
        <f t="shared" ca="1" si="37"/>
        <v>6036</v>
      </c>
      <c r="Q149" t="str">
        <f t="shared" ca="1" si="32"/>
        <v>0001011110010100</v>
      </c>
      <c r="R149">
        <f t="shared" ca="1" si="33"/>
        <v>1.13175</v>
      </c>
      <c r="S149">
        <f t="shared" ca="1" si="34"/>
        <v>33.581000000000003</v>
      </c>
      <c r="T149" s="1">
        <f t="shared" ca="1" si="36"/>
        <v>3.2247838616714687E-2</v>
      </c>
      <c r="V149" s="4">
        <f t="shared" ca="1" si="35"/>
        <v>1.119</v>
      </c>
      <c r="X149" s="2"/>
    </row>
    <row r="150" spans="8:24" x14ac:dyDescent="0.25">
      <c r="H150">
        <v>34.799999999999997</v>
      </c>
      <c r="I150">
        <v>1.1358624229854624</v>
      </c>
      <c r="J150" s="4">
        <f t="shared" si="26"/>
        <v>-1.3999999999999999E-4</v>
      </c>
      <c r="K150" s="9">
        <f t="shared" si="27"/>
        <v>7.3999999999999996E-5</v>
      </c>
      <c r="L150" s="4">
        <f t="shared" si="28"/>
        <v>3.0140000000000002E-3</v>
      </c>
      <c r="M150" s="5">
        <f t="shared" si="29"/>
        <v>1.139494685154518</v>
      </c>
      <c r="N150" s="2">
        <f t="shared" si="30"/>
        <v>3.1978011558026018E-3</v>
      </c>
      <c r="O150">
        <f t="shared" si="31"/>
        <v>6079.3136999999997</v>
      </c>
      <c r="P150">
        <f t="shared" ca="1" si="37"/>
        <v>6083</v>
      </c>
      <c r="Q150" t="str">
        <f t="shared" ca="1" si="32"/>
        <v>0001011111000011</v>
      </c>
      <c r="R150">
        <f t="shared" ca="1" si="33"/>
        <v>1.1405624999999999</v>
      </c>
      <c r="S150">
        <f t="shared" ca="1" si="34"/>
        <v>33.686750000000004</v>
      </c>
      <c r="T150" s="1">
        <f t="shared" ca="1" si="36"/>
        <v>3.1989942528735452E-2</v>
      </c>
      <c r="V150" s="4">
        <f t="shared" ca="1" si="35"/>
        <v>1.1132500000000001</v>
      </c>
      <c r="X150" s="2"/>
    </row>
    <row r="151" spans="8:24" x14ac:dyDescent="0.25">
      <c r="H151">
        <v>34.9</v>
      </c>
      <c r="I151">
        <v>1.1437833388646295</v>
      </c>
      <c r="J151" s="4">
        <f t="shared" si="26"/>
        <v>-1.3899999999999999E-4</v>
      </c>
      <c r="K151" s="9">
        <f t="shared" si="27"/>
        <v>7.4999999999999993E-5</v>
      </c>
      <c r="L151" s="4">
        <f t="shared" si="28"/>
        <v>3.045E-3</v>
      </c>
      <c r="M151" s="5">
        <f t="shared" si="29"/>
        <v>1.1474742212583608</v>
      </c>
      <c r="N151" s="2">
        <f t="shared" si="30"/>
        <v>3.2269069397313677E-3</v>
      </c>
      <c r="O151">
        <f t="shared" si="31"/>
        <v>6121.8852999999999</v>
      </c>
      <c r="P151">
        <f t="shared" ca="1" si="37"/>
        <v>6120</v>
      </c>
      <c r="Q151" t="str">
        <f t="shared" ca="1" si="32"/>
        <v>0001011111101000</v>
      </c>
      <c r="R151">
        <f t="shared" ca="1" si="33"/>
        <v>1.1475</v>
      </c>
      <c r="S151">
        <f t="shared" ca="1" si="34"/>
        <v>33.770000000000003</v>
      </c>
      <c r="T151" s="1">
        <f t="shared" ca="1" si="36"/>
        <v>3.237822349570188E-2</v>
      </c>
      <c r="V151" s="4">
        <f t="shared" ca="1" si="35"/>
        <v>1.1299999999999999</v>
      </c>
      <c r="X151" s="2"/>
    </row>
    <row r="152" spans="8:24" x14ac:dyDescent="0.25">
      <c r="H152">
        <v>35</v>
      </c>
      <c r="I152">
        <v>1.1525680177511508</v>
      </c>
      <c r="J152" s="4">
        <f t="shared" si="26"/>
        <v>-1.3899999999999999E-4</v>
      </c>
      <c r="K152" s="9">
        <f t="shared" si="27"/>
        <v>7.4999999999999993E-5</v>
      </c>
      <c r="L152" s="4">
        <f t="shared" si="28"/>
        <v>3.075E-3</v>
      </c>
      <c r="M152" s="5">
        <f t="shared" si="29"/>
        <v>1.1563205250155735</v>
      </c>
      <c r="N152" s="2">
        <f t="shared" si="30"/>
        <v>3.2557794478320018E-3</v>
      </c>
      <c r="O152">
        <f t="shared" si="31"/>
        <v>6169.0811999999996</v>
      </c>
      <c r="P152">
        <f t="shared" ca="1" si="37"/>
        <v>6168</v>
      </c>
      <c r="Q152" t="str">
        <f t="shared" ca="1" si="32"/>
        <v>0001100000011000</v>
      </c>
      <c r="R152">
        <f t="shared" ca="1" si="33"/>
        <v>1.1565000000000001</v>
      </c>
      <c r="S152">
        <f t="shared" ca="1" si="34"/>
        <v>33.878000000000007</v>
      </c>
      <c r="T152" s="1">
        <f t="shared" ca="1" si="36"/>
        <v>3.2057142857142652E-2</v>
      </c>
      <c r="V152" s="4">
        <f t="shared" ca="1" si="35"/>
        <v>1.1220000000000001</v>
      </c>
      <c r="X152" s="2"/>
    </row>
    <row r="153" spans="8:24" x14ac:dyDescent="0.25">
      <c r="H153">
        <v>35.1</v>
      </c>
      <c r="I153">
        <v>1.1605416141950511</v>
      </c>
      <c r="J153" s="4">
        <f t="shared" si="26"/>
        <v>-1.3799999999999999E-4</v>
      </c>
      <c r="K153" s="9">
        <f t="shared" si="27"/>
        <v>7.6000000000000004E-5</v>
      </c>
      <c r="L153" s="4">
        <f t="shared" si="28"/>
        <v>3.1059999999999998E-3</v>
      </c>
      <c r="M153" s="5">
        <f t="shared" si="29"/>
        <v>1.164353917314229</v>
      </c>
      <c r="N153" s="2">
        <f t="shared" si="30"/>
        <v>3.2849344414263948E-3</v>
      </c>
      <c r="O153">
        <f t="shared" si="31"/>
        <v>6211.9400999999998</v>
      </c>
      <c r="P153">
        <f t="shared" ca="1" si="37"/>
        <v>6216</v>
      </c>
      <c r="Q153" t="str">
        <f t="shared" ca="1" si="32"/>
        <v>0001100001001000</v>
      </c>
      <c r="R153">
        <f t="shared" ca="1" si="33"/>
        <v>1.1655</v>
      </c>
      <c r="S153">
        <f t="shared" ca="1" si="34"/>
        <v>33.986000000000004</v>
      </c>
      <c r="T153" s="1">
        <f t="shared" ca="1" si="36"/>
        <v>3.1737891737891655E-2</v>
      </c>
      <c r="V153" s="4">
        <f t="shared" ca="1" si="35"/>
        <v>1.1140000000000001</v>
      </c>
      <c r="X153" s="2"/>
    </row>
    <row r="154" spans="8:24" x14ac:dyDescent="0.25">
      <c r="H154">
        <v>35.200000000000003</v>
      </c>
      <c r="I154">
        <v>1.1685419635148073</v>
      </c>
      <c r="J154" s="4">
        <f t="shared" si="26"/>
        <v>-1.3799999999999999E-4</v>
      </c>
      <c r="K154" s="9">
        <f t="shared" si="27"/>
        <v>7.6000000000000004E-5</v>
      </c>
      <c r="L154" s="4">
        <f t="shared" si="28"/>
        <v>3.1359999999999999E-3</v>
      </c>
      <c r="M154" s="5">
        <f t="shared" si="29"/>
        <v>1.172414473415438</v>
      </c>
      <c r="N154" s="2">
        <f t="shared" si="30"/>
        <v>3.3139673383938634E-3</v>
      </c>
      <c r="O154">
        <f t="shared" si="31"/>
        <v>6254.9439000000002</v>
      </c>
      <c r="P154">
        <f t="shared" ca="1" si="37"/>
        <v>6259</v>
      </c>
      <c r="Q154" t="str">
        <f t="shared" ca="1" si="32"/>
        <v>0001100001110011</v>
      </c>
      <c r="R154">
        <f t="shared" ca="1" si="33"/>
        <v>1.1735625000000001</v>
      </c>
      <c r="S154">
        <f t="shared" ca="1" si="34"/>
        <v>34.082750000000004</v>
      </c>
      <c r="T154" s="1">
        <f t="shared" ca="1" si="36"/>
        <v>3.1740056818181775E-2</v>
      </c>
      <c r="V154" s="4">
        <f t="shared" ca="1" si="35"/>
        <v>1.1172500000000001</v>
      </c>
      <c r="X154" s="2"/>
    </row>
    <row r="155" spans="8:24" x14ac:dyDescent="0.25">
      <c r="H155">
        <v>35.299999999999997</v>
      </c>
      <c r="I155">
        <v>1.1774027814080497</v>
      </c>
      <c r="J155" s="4">
        <f t="shared" si="26"/>
        <v>-1.37E-4</v>
      </c>
      <c r="K155" s="9">
        <f t="shared" si="27"/>
        <v>7.7000000000000001E-5</v>
      </c>
      <c r="L155" s="4">
        <f t="shared" si="28"/>
        <v>3.1670000000000001E-3</v>
      </c>
      <c r="M155" s="5">
        <f t="shared" si="29"/>
        <v>1.1813388980120538</v>
      </c>
      <c r="N155" s="2">
        <f t="shared" si="30"/>
        <v>3.3430502001167255E-3</v>
      </c>
      <c r="O155">
        <f t="shared" si="31"/>
        <v>6302.5565999999999</v>
      </c>
      <c r="P155">
        <f t="shared" ca="1" si="37"/>
        <v>6304</v>
      </c>
      <c r="Q155" t="str">
        <f t="shared" ca="1" si="32"/>
        <v>0001100010100000</v>
      </c>
      <c r="R155">
        <f t="shared" ca="1" si="33"/>
        <v>1.1819999999999999</v>
      </c>
      <c r="S155">
        <f t="shared" ca="1" si="34"/>
        <v>34.183999999999997</v>
      </c>
      <c r="T155" s="1">
        <f t="shared" ca="1" si="36"/>
        <v>3.1614730878186961E-2</v>
      </c>
      <c r="V155" s="4">
        <f t="shared" ca="1" si="35"/>
        <v>1.1160000000000001</v>
      </c>
      <c r="X155" s="2"/>
    </row>
    <row r="156" spans="8:24" x14ac:dyDescent="0.25">
      <c r="H156">
        <v>35.4</v>
      </c>
      <c r="I156">
        <v>1.1862881511451235</v>
      </c>
      <c r="J156" s="4">
        <f t="shared" si="26"/>
        <v>-1.36E-4</v>
      </c>
      <c r="K156" s="9">
        <f t="shared" si="27"/>
        <v>7.7000000000000001E-5</v>
      </c>
      <c r="L156" s="4">
        <f t="shared" si="28"/>
        <v>3.1970000000000002E-3</v>
      </c>
      <c r="M156" s="5">
        <f t="shared" si="29"/>
        <v>1.1902873142628216</v>
      </c>
      <c r="N156" s="2">
        <f t="shared" si="30"/>
        <v>3.3711565894320957E-3</v>
      </c>
      <c r="O156">
        <f t="shared" si="31"/>
        <v>6350.2973000000002</v>
      </c>
      <c r="P156">
        <f t="shared" ca="1" si="37"/>
        <v>6353</v>
      </c>
      <c r="Q156" t="str">
        <f t="shared" ca="1" si="32"/>
        <v>0001100011010001</v>
      </c>
      <c r="R156">
        <f t="shared" ca="1" si="33"/>
        <v>1.1911875000000001</v>
      </c>
      <c r="S156">
        <f t="shared" ca="1" si="34"/>
        <v>34.294250000000005</v>
      </c>
      <c r="T156" s="1">
        <f t="shared" ca="1" si="36"/>
        <v>3.1235875706214503E-2</v>
      </c>
      <c r="V156" s="4">
        <f t="shared" ca="1" si="35"/>
        <v>1.10575</v>
      </c>
      <c r="X156" s="2"/>
    </row>
    <row r="157" spans="8:24" x14ac:dyDescent="0.25">
      <c r="H157">
        <v>35.5</v>
      </c>
      <c r="I157">
        <v>1.194366278119519</v>
      </c>
      <c r="J157" s="4">
        <f t="shared" si="26"/>
        <v>-1.36E-4</v>
      </c>
      <c r="K157" s="9">
        <f t="shared" si="27"/>
        <v>7.7999999999999999E-5</v>
      </c>
      <c r="L157" s="4">
        <f t="shared" si="28"/>
        <v>3.228E-3</v>
      </c>
      <c r="M157" s="5">
        <f t="shared" si="29"/>
        <v>1.1984286184759592</v>
      </c>
      <c r="N157" s="2">
        <f t="shared" si="30"/>
        <v>3.40125171889158E-3</v>
      </c>
      <c r="O157">
        <f t="shared" si="31"/>
        <v>6393.7318999999998</v>
      </c>
      <c r="P157">
        <f t="shared" ca="1" si="37"/>
        <v>6398</v>
      </c>
      <c r="Q157" t="str">
        <f t="shared" ca="1" si="32"/>
        <v>0001100011111110</v>
      </c>
      <c r="R157">
        <f t="shared" ca="1" si="33"/>
        <v>1.1996249999999999</v>
      </c>
      <c r="S157">
        <f t="shared" ca="1" si="34"/>
        <v>34.395500000000006</v>
      </c>
      <c r="T157" s="1">
        <f t="shared" ca="1" si="36"/>
        <v>3.1112676056337874E-2</v>
      </c>
      <c r="V157" s="4">
        <f t="shared" ca="1" si="35"/>
        <v>1.1045</v>
      </c>
      <c r="X157" s="2"/>
    </row>
    <row r="158" spans="8:24" x14ac:dyDescent="0.25">
      <c r="H158">
        <v>35.6</v>
      </c>
      <c r="I158">
        <v>1.2033015661108566</v>
      </c>
      <c r="J158" s="4">
        <f t="shared" si="26"/>
        <v>-1.35E-4</v>
      </c>
      <c r="K158" s="9">
        <f t="shared" si="27"/>
        <v>7.7999999999999999E-5</v>
      </c>
      <c r="L158" s="4">
        <f t="shared" si="28"/>
        <v>3.258E-3</v>
      </c>
      <c r="M158" s="5">
        <f t="shared" si="29"/>
        <v>1.2074281781512732</v>
      </c>
      <c r="N158" s="2">
        <f t="shared" si="30"/>
        <v>3.4294080192666114E-3</v>
      </c>
      <c r="O158">
        <f t="shared" si="31"/>
        <v>6441.7453999999998</v>
      </c>
      <c r="P158">
        <f t="shared" ca="1" si="37"/>
        <v>6442</v>
      </c>
      <c r="Q158" t="str">
        <f t="shared" ca="1" si="32"/>
        <v>0001100100101010</v>
      </c>
      <c r="R158">
        <f t="shared" ca="1" si="33"/>
        <v>1.207875</v>
      </c>
      <c r="S158">
        <f t="shared" ca="1" si="34"/>
        <v>34.494500000000002</v>
      </c>
      <c r="T158" s="1">
        <f t="shared" ca="1" si="36"/>
        <v>3.1053370786516831E-2</v>
      </c>
      <c r="V158" s="4">
        <f t="shared" ca="1" si="35"/>
        <v>1.1054999999999999</v>
      </c>
      <c r="X158" s="2"/>
    </row>
    <row r="159" spans="8:24" x14ac:dyDescent="0.25">
      <c r="H159">
        <v>35.700000000000003</v>
      </c>
      <c r="I159">
        <v>1.2114315351948444</v>
      </c>
      <c r="J159" s="4">
        <f t="shared" si="26"/>
        <v>-1.35E-4</v>
      </c>
      <c r="K159" s="9">
        <f t="shared" si="27"/>
        <v>7.8999999999999996E-5</v>
      </c>
      <c r="L159" s="4">
        <f t="shared" si="28"/>
        <v>3.2889999999999998E-3</v>
      </c>
      <c r="M159" s="5">
        <f t="shared" si="29"/>
        <v>1.2156225269238969</v>
      </c>
      <c r="N159" s="2">
        <f t="shared" si="30"/>
        <v>3.4595365955852404E-3</v>
      </c>
      <c r="O159">
        <f t="shared" si="31"/>
        <v>6485.4630999999999</v>
      </c>
      <c r="P159">
        <f t="shared" ca="1" si="37"/>
        <v>6484</v>
      </c>
      <c r="Q159" t="str">
        <f t="shared" ca="1" si="32"/>
        <v>0001100101010100</v>
      </c>
      <c r="R159">
        <f t="shared" ca="1" si="33"/>
        <v>1.2157500000000001</v>
      </c>
      <c r="S159">
        <f t="shared" ca="1" si="34"/>
        <v>34.589000000000006</v>
      </c>
      <c r="T159" s="1">
        <f t="shared" ca="1" si="36"/>
        <v>3.1120448179271624E-2</v>
      </c>
      <c r="V159" s="4">
        <f t="shared" ca="1" si="35"/>
        <v>1.111</v>
      </c>
      <c r="X159" s="2"/>
    </row>
    <row r="160" spans="8:24" x14ac:dyDescent="0.25">
      <c r="H160">
        <v>35.799999999999997</v>
      </c>
      <c r="I160">
        <v>1.2204164520721725</v>
      </c>
      <c r="J160" s="4">
        <f t="shared" si="26"/>
        <v>-1.34E-4</v>
      </c>
      <c r="K160" s="9">
        <f t="shared" si="27"/>
        <v>7.8999999999999996E-5</v>
      </c>
      <c r="L160" s="4">
        <f t="shared" si="28"/>
        <v>3.3189999999999999E-3</v>
      </c>
      <c r="M160" s="5">
        <f t="shared" si="29"/>
        <v>1.2246729490881962</v>
      </c>
      <c r="N160" s="2">
        <f t="shared" si="30"/>
        <v>3.4877414253114223E-3</v>
      </c>
      <c r="O160">
        <f t="shared" si="31"/>
        <v>6533.7479000000003</v>
      </c>
      <c r="P160">
        <f t="shared" ca="1" si="37"/>
        <v>6533</v>
      </c>
      <c r="Q160" t="str">
        <f t="shared" ca="1" si="32"/>
        <v>0001100110000101</v>
      </c>
      <c r="R160">
        <f t="shared" ca="1" si="33"/>
        <v>1.2249375</v>
      </c>
      <c r="S160">
        <f t="shared" ca="1" si="34"/>
        <v>34.699250000000006</v>
      </c>
      <c r="T160" s="1">
        <f t="shared" ca="1" si="36"/>
        <v>3.074720670391036E-2</v>
      </c>
      <c r="V160" s="4">
        <f t="shared" ca="1" si="35"/>
        <v>1.1007499999999999</v>
      </c>
      <c r="X160" s="2"/>
    </row>
    <row r="161" spans="8:24" x14ac:dyDescent="0.25">
      <c r="H161">
        <v>35.9</v>
      </c>
      <c r="I161">
        <v>1.2285979759924559</v>
      </c>
      <c r="J161" s="4">
        <f t="shared" si="26"/>
        <v>-1.34E-4</v>
      </c>
      <c r="K161" s="9">
        <f t="shared" si="27"/>
        <v>8.0000000000000007E-5</v>
      </c>
      <c r="L161" s="4">
        <f t="shared" si="28"/>
        <v>3.3500000000000001E-3</v>
      </c>
      <c r="M161" s="5">
        <f t="shared" si="29"/>
        <v>1.2329200639065427</v>
      </c>
      <c r="N161" s="2">
        <f t="shared" si="30"/>
        <v>3.5179025185968363E-3</v>
      </c>
      <c r="O161">
        <f t="shared" si="31"/>
        <v>6577.7470999999996</v>
      </c>
      <c r="P161">
        <f t="shared" ca="1" si="37"/>
        <v>6582</v>
      </c>
      <c r="Q161" t="str">
        <f t="shared" ca="1" si="32"/>
        <v>0001100110110110</v>
      </c>
      <c r="R161">
        <f t="shared" ca="1" si="33"/>
        <v>1.2341249999999999</v>
      </c>
      <c r="S161">
        <f t="shared" ca="1" si="34"/>
        <v>34.8095</v>
      </c>
      <c r="T161" s="1">
        <f t="shared" ca="1" si="36"/>
        <v>3.0376044568245091E-2</v>
      </c>
      <c r="V161" s="4">
        <f t="shared" ca="1" si="35"/>
        <v>1.0905</v>
      </c>
      <c r="X161" s="2"/>
    </row>
    <row r="162" spans="8:24" x14ac:dyDescent="0.25">
      <c r="H162">
        <v>36</v>
      </c>
      <c r="I162">
        <v>1.2376322285757886</v>
      </c>
      <c r="J162" s="4">
        <f t="shared" si="26"/>
        <v>-1.3300000000000001E-4</v>
      </c>
      <c r="K162" s="9">
        <f t="shared" si="27"/>
        <v>8.0000000000000007E-5</v>
      </c>
      <c r="L162" s="4">
        <f t="shared" si="28"/>
        <v>3.3800000000000002E-3</v>
      </c>
      <c r="M162" s="5">
        <f t="shared" si="29"/>
        <v>1.2420210637311999</v>
      </c>
      <c r="N162" s="2">
        <f t="shared" si="30"/>
        <v>3.5461545474311088E-3</v>
      </c>
      <c r="O162">
        <f t="shared" si="31"/>
        <v>6626.3018000000002</v>
      </c>
      <c r="P162">
        <f t="shared" ca="1" si="37"/>
        <v>6627</v>
      </c>
      <c r="Q162" t="str">
        <f t="shared" ca="1" si="32"/>
        <v>0001100111100011</v>
      </c>
      <c r="R162">
        <f t="shared" ca="1" si="33"/>
        <v>1.2425625</v>
      </c>
      <c r="S162">
        <f t="shared" ca="1" si="34"/>
        <v>34.910750000000007</v>
      </c>
      <c r="T162" s="1">
        <f t="shared" ca="1" si="36"/>
        <v>3.0256944444444243E-2</v>
      </c>
      <c r="V162" s="4">
        <f t="shared" ca="1" si="35"/>
        <v>1.0892500000000001</v>
      </c>
      <c r="X162" s="2"/>
    </row>
    <row r="163" spans="8:24" x14ac:dyDescent="0.25">
      <c r="H163">
        <v>36.1</v>
      </c>
      <c r="I163">
        <v>1.2458650165092511</v>
      </c>
      <c r="J163" s="4">
        <f t="shared" si="26"/>
        <v>-1.3200000000000001E-4</v>
      </c>
      <c r="K163" s="9">
        <f t="shared" si="27"/>
        <v>8.1000000000000004E-5</v>
      </c>
      <c r="L163" s="4">
        <f t="shared" si="28"/>
        <v>3.411E-3</v>
      </c>
      <c r="M163" s="5">
        <f t="shared" si="29"/>
        <v>1.2503196590281962</v>
      </c>
      <c r="N163" s="2">
        <f t="shared" si="30"/>
        <v>3.5755418604067049E-3</v>
      </c>
      <c r="O163">
        <f t="shared" si="31"/>
        <v>6670.5756000000001</v>
      </c>
      <c r="P163">
        <f t="shared" ca="1" si="37"/>
        <v>6671</v>
      </c>
      <c r="Q163" t="str">
        <f t="shared" ca="1" si="32"/>
        <v>0001101000001111</v>
      </c>
      <c r="R163">
        <f t="shared" ca="1" si="33"/>
        <v>1.2508125000000001</v>
      </c>
      <c r="S163">
        <f t="shared" ca="1" si="34"/>
        <v>35.009750000000004</v>
      </c>
      <c r="T163" s="1">
        <f t="shared" ca="1" si="36"/>
        <v>3.0200831024930676E-2</v>
      </c>
      <c r="V163" s="4">
        <f t="shared" ca="1" si="35"/>
        <v>1.0902499999999999</v>
      </c>
      <c r="X163" s="2"/>
    </row>
    <row r="164" spans="8:24" x14ac:dyDescent="0.25">
      <c r="H164">
        <v>36.200000000000003</v>
      </c>
      <c r="I164">
        <v>1.254948308359771</v>
      </c>
      <c r="J164" s="4">
        <f t="shared" si="26"/>
        <v>-1.3200000000000001E-4</v>
      </c>
      <c r="K164" s="9">
        <f t="shared" si="27"/>
        <v>8.1000000000000004E-5</v>
      </c>
      <c r="L164" s="4">
        <f t="shared" si="28"/>
        <v>3.441E-3</v>
      </c>
      <c r="M164" s="5">
        <f t="shared" si="29"/>
        <v>1.2594719517678039</v>
      </c>
      <c r="N164" s="2">
        <f t="shared" si="30"/>
        <v>3.6046452096065618E-3</v>
      </c>
      <c r="O164">
        <f t="shared" si="31"/>
        <v>6719.4040000000005</v>
      </c>
      <c r="P164">
        <f t="shared" ca="1" si="37"/>
        <v>6723</v>
      </c>
      <c r="Q164" t="str">
        <f t="shared" ca="1" si="32"/>
        <v>0001101001000011</v>
      </c>
      <c r="R164">
        <f t="shared" ca="1" si="33"/>
        <v>1.2605625</v>
      </c>
      <c r="S164">
        <f t="shared" ca="1" si="34"/>
        <v>35.126750000000001</v>
      </c>
      <c r="T164" s="1">
        <f t="shared" ca="1" si="36"/>
        <v>2.964779005524866E-2</v>
      </c>
      <c r="V164" s="4">
        <f t="shared" ca="1" si="35"/>
        <v>1.07325</v>
      </c>
      <c r="X164" s="2"/>
    </row>
    <row r="165" spans="8:24" x14ac:dyDescent="0.25">
      <c r="H165">
        <v>36.299999999999997</v>
      </c>
      <c r="I165">
        <v>1.2632320658461689</v>
      </c>
      <c r="J165" s="4">
        <f t="shared" si="26"/>
        <v>-1.3100000000000001E-4</v>
      </c>
      <c r="K165" s="9">
        <f t="shared" si="27"/>
        <v>8.2000000000000001E-5</v>
      </c>
      <c r="L165" s="4">
        <f t="shared" si="28"/>
        <v>3.4719999999999998E-3</v>
      </c>
      <c r="M165" s="5">
        <f t="shared" si="29"/>
        <v>1.2678227450409512</v>
      </c>
      <c r="N165" s="2">
        <f t="shared" si="30"/>
        <v>3.6340743074054624E-3</v>
      </c>
      <c r="O165">
        <f t="shared" si="31"/>
        <v>6763.9561999999996</v>
      </c>
      <c r="P165">
        <f t="shared" ca="1" si="37"/>
        <v>6769</v>
      </c>
      <c r="Q165" t="str">
        <f t="shared" ca="1" si="32"/>
        <v>0001101001110001</v>
      </c>
      <c r="R165">
        <f t="shared" ca="1" si="33"/>
        <v>1.2691875000000001</v>
      </c>
      <c r="S165">
        <f t="shared" ca="1" si="34"/>
        <v>35.230250000000005</v>
      </c>
      <c r="T165" s="1">
        <f t="shared" ca="1" si="36"/>
        <v>2.946969696969675E-2</v>
      </c>
      <c r="V165" s="4">
        <f t="shared" ca="1" si="35"/>
        <v>1.06975</v>
      </c>
      <c r="X165" s="2"/>
    </row>
    <row r="166" spans="8:24" x14ac:dyDescent="0.25">
      <c r="H166">
        <v>36.400000000000006</v>
      </c>
      <c r="I166">
        <v>1.2723640959277791</v>
      </c>
      <c r="J166" s="4">
        <f t="shared" si="26"/>
        <v>-1.3100000000000001E-4</v>
      </c>
      <c r="K166" s="9">
        <f t="shared" si="27"/>
        <v>8.2000000000000001E-5</v>
      </c>
      <c r="L166" s="4">
        <f t="shared" si="28"/>
        <v>3.5019999999999999E-3</v>
      </c>
      <c r="M166" s="5">
        <f t="shared" si="29"/>
        <v>1.2770250344825369</v>
      </c>
      <c r="N166" s="2">
        <f t="shared" si="30"/>
        <v>3.6632113163796464E-3</v>
      </c>
      <c r="O166">
        <f t="shared" si="31"/>
        <v>6813.0513000000001</v>
      </c>
      <c r="P166">
        <f t="shared" ca="1" si="37"/>
        <v>6812</v>
      </c>
      <c r="Q166" t="str">
        <f t="shared" ca="1" si="32"/>
        <v>0001101010011100</v>
      </c>
      <c r="R166">
        <f t="shared" ca="1" si="33"/>
        <v>1.27725</v>
      </c>
      <c r="S166">
        <f t="shared" ca="1" si="34"/>
        <v>35.326999999999998</v>
      </c>
      <c r="T166" s="1">
        <f t="shared" ca="1" si="36"/>
        <v>2.9478021978022181E-2</v>
      </c>
      <c r="V166" s="4">
        <f t="shared" ca="1" si="35"/>
        <v>1.073</v>
      </c>
      <c r="X166" s="2"/>
    </row>
    <row r="167" spans="8:24" x14ac:dyDescent="0.25">
      <c r="H167">
        <v>36.5</v>
      </c>
      <c r="I167">
        <v>1.2806985250152543</v>
      </c>
      <c r="J167" s="4">
        <f t="shared" si="26"/>
        <v>-1.2999999999999999E-4</v>
      </c>
      <c r="K167" s="9">
        <f t="shared" si="27"/>
        <v>8.2999999999999998E-5</v>
      </c>
      <c r="L167" s="4">
        <f t="shared" si="28"/>
        <v>3.5330000000000001E-3</v>
      </c>
      <c r="M167" s="5">
        <f t="shared" si="29"/>
        <v>1.2854277362935793</v>
      </c>
      <c r="N167" s="2">
        <f t="shared" si="30"/>
        <v>3.6926811313917236E-3</v>
      </c>
      <c r="O167">
        <f t="shared" si="31"/>
        <v>6857.8806000000004</v>
      </c>
      <c r="P167">
        <f t="shared" ca="1" si="37"/>
        <v>6861</v>
      </c>
      <c r="Q167" t="str">
        <f t="shared" ca="1" si="32"/>
        <v>0001101011001101</v>
      </c>
      <c r="R167">
        <f t="shared" ca="1" si="33"/>
        <v>1.2864375000000001</v>
      </c>
      <c r="S167">
        <f t="shared" ca="1" si="34"/>
        <v>35.437250000000006</v>
      </c>
      <c r="T167" s="1">
        <f t="shared" ca="1" si="36"/>
        <v>2.9116438356164221E-2</v>
      </c>
      <c r="V167" s="4">
        <f t="shared" ca="1" si="35"/>
        <v>1.0627500000000001</v>
      </c>
      <c r="X167" s="2"/>
    </row>
    <row r="168" spans="8:24" x14ac:dyDescent="0.25">
      <c r="H168">
        <v>36.6</v>
      </c>
      <c r="I168">
        <v>1.2890586994124942</v>
      </c>
      <c r="J168" s="4">
        <f t="shared" si="26"/>
        <v>-1.2999999999999999E-4</v>
      </c>
      <c r="K168" s="9">
        <f t="shared" si="27"/>
        <v>8.2999999999999998E-5</v>
      </c>
      <c r="L168" s="4">
        <f t="shared" si="28"/>
        <v>3.5630000000000002E-3</v>
      </c>
      <c r="M168" s="5">
        <f t="shared" si="29"/>
        <v>1.2938565034803946</v>
      </c>
      <c r="N168" s="2">
        <f t="shared" si="30"/>
        <v>3.7219438262098442E-3</v>
      </c>
      <c r="O168">
        <f t="shared" si="31"/>
        <v>6902.8487999999998</v>
      </c>
      <c r="P168">
        <f t="shared" ca="1" si="37"/>
        <v>6905</v>
      </c>
      <c r="Q168" t="str">
        <f t="shared" ca="1" si="32"/>
        <v>0001101011111001</v>
      </c>
      <c r="R168">
        <f t="shared" ca="1" si="33"/>
        <v>1.2946875</v>
      </c>
      <c r="S168">
        <f t="shared" ca="1" si="34"/>
        <v>35.536250000000003</v>
      </c>
      <c r="T168" s="1">
        <f t="shared" ca="1" si="36"/>
        <v>2.9064207650273191E-2</v>
      </c>
      <c r="V168" s="4">
        <f t="shared" ca="1" si="35"/>
        <v>1.06375</v>
      </c>
      <c r="X168" s="2"/>
    </row>
    <row r="169" spans="8:24" x14ac:dyDescent="0.25">
      <c r="H169">
        <v>36.700000000000003</v>
      </c>
      <c r="I169">
        <v>1.2982637888308843</v>
      </c>
      <c r="J169" s="4">
        <f t="shared" si="26"/>
        <v>-1.2899999999999999E-4</v>
      </c>
      <c r="K169" s="9">
        <f t="shared" si="27"/>
        <v>8.3999999999999995E-5</v>
      </c>
      <c r="L169" s="4">
        <f t="shared" si="28"/>
        <v>3.594E-3</v>
      </c>
      <c r="M169" s="5">
        <f t="shared" si="29"/>
        <v>1.3031340441335</v>
      </c>
      <c r="N169" s="2">
        <f t="shared" si="30"/>
        <v>3.7513603510434647E-3</v>
      </c>
      <c r="O169">
        <f t="shared" si="31"/>
        <v>6952.3454000000002</v>
      </c>
      <c r="P169">
        <f t="shared" ca="1" si="37"/>
        <v>6957</v>
      </c>
      <c r="Q169" t="str">
        <f t="shared" ca="1" si="32"/>
        <v>0001101100101101</v>
      </c>
      <c r="R169">
        <f t="shared" ca="1" si="33"/>
        <v>1.3044374999999999</v>
      </c>
      <c r="S169">
        <f t="shared" ca="1" si="34"/>
        <v>35.65325</v>
      </c>
      <c r="T169" s="1">
        <f t="shared" ca="1" si="36"/>
        <v>2.8521798365122693E-2</v>
      </c>
      <c r="V169" s="4">
        <f t="shared" ca="1" si="35"/>
        <v>1.0467500000000001</v>
      </c>
      <c r="X169" s="2"/>
    </row>
    <row r="170" spans="8:24" x14ac:dyDescent="0.25">
      <c r="H170">
        <v>36.799999999999997</v>
      </c>
      <c r="I170">
        <v>1.306674181791097</v>
      </c>
      <c r="J170" s="4">
        <f t="shared" si="26"/>
        <v>-1.2799999999999999E-4</v>
      </c>
      <c r="K170" s="9">
        <f t="shared" si="27"/>
        <v>8.3999999999999995E-5</v>
      </c>
      <c r="L170" s="4">
        <f t="shared" si="28"/>
        <v>3.6240000000000001E-3</v>
      </c>
      <c r="M170" s="5">
        <f t="shared" si="29"/>
        <v>1.3116132580462563</v>
      </c>
      <c r="N170" s="2">
        <f t="shared" si="30"/>
        <v>3.7798835578041244E-3</v>
      </c>
      <c r="O170">
        <f t="shared" si="31"/>
        <v>6997.5828000000001</v>
      </c>
      <c r="P170">
        <f t="shared" ca="1" si="37"/>
        <v>7000</v>
      </c>
      <c r="Q170" t="str">
        <f t="shared" ca="1" si="32"/>
        <v>0001101101011000</v>
      </c>
      <c r="R170">
        <f t="shared" ca="1" si="33"/>
        <v>1.3125</v>
      </c>
      <c r="S170">
        <f t="shared" ca="1" si="34"/>
        <v>35.750000000000007</v>
      </c>
      <c r="T170" s="1">
        <f t="shared" ca="1" si="36"/>
        <v>2.8532608695651905E-2</v>
      </c>
      <c r="V170" s="4">
        <f t="shared" ca="1" si="35"/>
        <v>1.05</v>
      </c>
      <c r="X170" s="2"/>
    </row>
    <row r="171" spans="8:24" x14ac:dyDescent="0.25">
      <c r="H171">
        <v>36.900000000000006</v>
      </c>
      <c r="I171">
        <v>1.3151100936147369</v>
      </c>
      <c r="J171" s="4">
        <f t="shared" si="26"/>
        <v>-1.2799999999999999E-4</v>
      </c>
      <c r="K171" s="9">
        <f t="shared" si="27"/>
        <v>8.5000000000000006E-5</v>
      </c>
      <c r="L171" s="4">
        <f t="shared" si="28"/>
        <v>3.6549999999999998E-3</v>
      </c>
      <c r="M171" s="5">
        <f t="shared" si="29"/>
        <v>1.3201209236004965</v>
      </c>
      <c r="N171" s="2">
        <f t="shared" si="30"/>
        <v>3.810198104393505E-3</v>
      </c>
      <c r="O171">
        <f t="shared" si="31"/>
        <v>7042.9721</v>
      </c>
      <c r="P171">
        <f t="shared" ca="1" si="37"/>
        <v>7043</v>
      </c>
      <c r="Q171" t="str">
        <f t="shared" ca="1" si="32"/>
        <v>0001101110000011</v>
      </c>
      <c r="R171">
        <f t="shared" ca="1" si="33"/>
        <v>1.3205625000000001</v>
      </c>
      <c r="S171">
        <f t="shared" ca="1" si="34"/>
        <v>35.846750000000007</v>
      </c>
      <c r="T171" s="1">
        <f t="shared" ca="1" si="36"/>
        <v>2.8543360433604292E-2</v>
      </c>
      <c r="V171" s="4">
        <f t="shared" ca="1" si="35"/>
        <v>1.05325</v>
      </c>
      <c r="X171" s="2"/>
    </row>
    <row r="172" spans="8:24" x14ac:dyDescent="0.25">
      <c r="H172">
        <v>37</v>
      </c>
      <c r="I172">
        <v>1.3243875486716703</v>
      </c>
      <c r="J172" s="4">
        <f t="shared" si="26"/>
        <v>-1.27E-4</v>
      </c>
      <c r="K172" s="9">
        <f t="shared" si="27"/>
        <v>8.5000000000000006E-5</v>
      </c>
      <c r="L172" s="4">
        <f t="shared" si="28"/>
        <v>3.6849999999999999E-3</v>
      </c>
      <c r="M172" s="5">
        <f t="shared" si="29"/>
        <v>1.329471437187707</v>
      </c>
      <c r="N172" s="2">
        <f t="shared" si="30"/>
        <v>3.8386713323722466E-3</v>
      </c>
      <c r="O172">
        <f t="shared" si="31"/>
        <v>7092.8579</v>
      </c>
      <c r="P172">
        <f t="shared" ca="1" si="37"/>
        <v>7091</v>
      </c>
      <c r="Q172" t="str">
        <f t="shared" ca="1" si="32"/>
        <v>0001101110110011</v>
      </c>
      <c r="R172">
        <f t="shared" ca="1" si="33"/>
        <v>1.3295625</v>
      </c>
      <c r="S172">
        <f t="shared" ca="1" si="34"/>
        <v>35.954750000000004</v>
      </c>
      <c r="T172" s="1">
        <f t="shared" ca="1" si="36"/>
        <v>2.8249999999999886E-2</v>
      </c>
      <c r="V172" s="4">
        <f t="shared" ca="1" si="35"/>
        <v>1.04525</v>
      </c>
      <c r="X172" s="2"/>
    </row>
    <row r="173" spans="8:24" x14ac:dyDescent="0.25">
      <c r="H173">
        <v>37.1</v>
      </c>
      <c r="I173">
        <v>1.3328732183822263</v>
      </c>
      <c r="J173" s="4">
        <f t="shared" si="26"/>
        <v>-1.27E-4</v>
      </c>
      <c r="K173" s="9">
        <f t="shared" si="27"/>
        <v>8.6000000000000003E-5</v>
      </c>
      <c r="L173" s="4">
        <f t="shared" si="28"/>
        <v>3.7160000000000001E-3</v>
      </c>
      <c r="M173" s="5">
        <f t="shared" si="29"/>
        <v>1.3380301227905158</v>
      </c>
      <c r="N173" s="2">
        <f t="shared" si="30"/>
        <v>3.8690134494177319E-3</v>
      </c>
      <c r="O173">
        <f t="shared" si="31"/>
        <v>7138.5194000000001</v>
      </c>
      <c r="P173">
        <f t="shared" ca="1" si="37"/>
        <v>7142</v>
      </c>
      <c r="Q173" t="str">
        <f t="shared" ca="1" si="32"/>
        <v>0001101111100110</v>
      </c>
      <c r="R173">
        <f t="shared" ca="1" si="33"/>
        <v>1.3391250000000001</v>
      </c>
      <c r="S173">
        <f t="shared" ca="1" si="34"/>
        <v>36.069500000000005</v>
      </c>
      <c r="T173" s="1">
        <f t="shared" ca="1" si="36"/>
        <v>2.7776280323450038E-2</v>
      </c>
      <c r="V173" s="4">
        <f t="shared" ca="1" si="35"/>
        <v>1.0305</v>
      </c>
      <c r="X173" s="2"/>
    </row>
    <row r="174" spans="8:24" x14ac:dyDescent="0.25">
      <c r="H174">
        <v>37.200000000000003</v>
      </c>
      <c r="I174">
        <v>1.3405701753312771</v>
      </c>
      <c r="J174" s="4">
        <f t="shared" si="26"/>
        <v>-1.26E-4</v>
      </c>
      <c r="K174" s="9">
        <f t="shared" si="27"/>
        <v>8.6000000000000003E-5</v>
      </c>
      <c r="L174" s="4">
        <f t="shared" si="28"/>
        <v>3.7460000000000002E-3</v>
      </c>
      <c r="M174" s="5">
        <f t="shared" si="29"/>
        <v>1.3457953072843643</v>
      </c>
      <c r="N174" s="2">
        <f t="shared" si="30"/>
        <v>3.8976937196114649E-3</v>
      </c>
      <c r="O174">
        <f t="shared" si="31"/>
        <v>7179.9474</v>
      </c>
      <c r="P174">
        <f t="shared" ca="1" si="37"/>
        <v>7185</v>
      </c>
      <c r="Q174" t="str">
        <f t="shared" ca="1" si="32"/>
        <v>0001110000010001</v>
      </c>
      <c r="R174">
        <f t="shared" ca="1" si="33"/>
        <v>1.3471875</v>
      </c>
      <c r="S174">
        <f t="shared" ca="1" si="34"/>
        <v>36.166249999999998</v>
      </c>
      <c r="T174" s="1">
        <f t="shared" ca="1" si="36"/>
        <v>2.7788978494623785E-2</v>
      </c>
      <c r="V174" s="4">
        <f t="shared" ca="1" si="35"/>
        <v>1.0337499999999999</v>
      </c>
      <c r="X174" s="2"/>
    </row>
    <row r="175" spans="8:24" x14ac:dyDescent="0.25">
      <c r="H175">
        <v>37.299999999999997</v>
      </c>
      <c r="I175">
        <v>1.3491073945679499</v>
      </c>
      <c r="J175" s="4">
        <f t="shared" si="26"/>
        <v>-1.26E-4</v>
      </c>
      <c r="K175" s="9">
        <f t="shared" si="27"/>
        <v>8.7000000000000001E-5</v>
      </c>
      <c r="L175" s="4">
        <f t="shared" si="28"/>
        <v>3.777E-3</v>
      </c>
      <c r="M175" s="5">
        <f t="shared" si="29"/>
        <v>1.3544067698717555</v>
      </c>
      <c r="N175" s="2">
        <f t="shared" si="30"/>
        <v>3.9280603791387939E-3</v>
      </c>
      <c r="O175">
        <f t="shared" si="31"/>
        <v>7225.8903</v>
      </c>
      <c r="P175">
        <f t="shared" ca="1" si="37"/>
        <v>7229</v>
      </c>
      <c r="Q175" t="str">
        <f t="shared" ca="1" si="32"/>
        <v>0001110000111101</v>
      </c>
      <c r="R175">
        <f t="shared" ca="1" si="33"/>
        <v>1.3554375000000001</v>
      </c>
      <c r="S175">
        <f t="shared" ca="1" si="34"/>
        <v>36.265250000000002</v>
      </c>
      <c r="T175" s="1">
        <f t="shared" ca="1" si="36"/>
        <v>2.7741286863270657E-2</v>
      </c>
      <c r="V175" s="4">
        <f t="shared" ca="1" si="35"/>
        <v>1.0347500000000001</v>
      </c>
      <c r="X175" s="2"/>
    </row>
    <row r="176" spans="8:24" x14ac:dyDescent="0.25">
      <c r="H176">
        <v>37.400000000000006</v>
      </c>
      <c r="I176">
        <v>1.3584816412342156</v>
      </c>
      <c r="J176" s="4">
        <f t="shared" si="26"/>
        <v>-1.25E-4</v>
      </c>
      <c r="K176" s="9">
        <f t="shared" si="27"/>
        <v>8.7000000000000001E-5</v>
      </c>
      <c r="L176" s="4">
        <f t="shared" si="28"/>
        <v>3.8070000000000001E-3</v>
      </c>
      <c r="M176" s="5">
        <f t="shared" si="29"/>
        <v>1.3638566225904172</v>
      </c>
      <c r="N176" s="2">
        <f t="shared" si="30"/>
        <v>3.9566094918429048E-3</v>
      </c>
      <c r="O176">
        <f t="shared" si="31"/>
        <v>7276.3062</v>
      </c>
      <c r="P176">
        <f t="shared" ca="1" si="37"/>
        <v>7278</v>
      </c>
      <c r="Q176" t="str">
        <f t="shared" ca="1" si="32"/>
        <v>0001110001101110</v>
      </c>
      <c r="R176">
        <f t="shared" ca="1" si="33"/>
        <v>1.364625</v>
      </c>
      <c r="S176">
        <f t="shared" ca="1" si="34"/>
        <v>36.375500000000002</v>
      </c>
      <c r="T176" s="1">
        <f t="shared" ca="1" si="36"/>
        <v>2.739304812834233E-2</v>
      </c>
      <c r="V176" s="4">
        <f t="shared" ca="1" si="35"/>
        <v>1.0245</v>
      </c>
      <c r="X176" s="2"/>
    </row>
    <row r="177" spans="8:24" x14ac:dyDescent="0.25">
      <c r="H177">
        <v>37.5</v>
      </c>
      <c r="I177">
        <v>1.3670679936773122</v>
      </c>
      <c r="J177" s="4">
        <f t="shared" si="26"/>
        <v>-1.2400000000000001E-4</v>
      </c>
      <c r="K177" s="9">
        <f t="shared" si="27"/>
        <v>8.7999999999999998E-5</v>
      </c>
      <c r="L177" s="4">
        <f t="shared" si="28"/>
        <v>3.8379999999999998E-3</v>
      </c>
      <c r="M177" s="5">
        <f t="shared" si="29"/>
        <v>1.3725174932122608</v>
      </c>
      <c r="N177" s="2">
        <f t="shared" si="30"/>
        <v>3.9862681008936513E-3</v>
      </c>
      <c r="O177">
        <f t="shared" si="31"/>
        <v>7322.5128000000004</v>
      </c>
      <c r="P177">
        <f t="shared" ca="1" si="37"/>
        <v>7322</v>
      </c>
      <c r="Q177" t="str">
        <f t="shared" ca="1" si="32"/>
        <v>0001110010011010</v>
      </c>
      <c r="R177">
        <f t="shared" ca="1" si="33"/>
        <v>1.3728750000000001</v>
      </c>
      <c r="S177">
        <f t="shared" ca="1" si="34"/>
        <v>36.474499999999999</v>
      </c>
      <c r="T177" s="1">
        <f t="shared" ca="1" si="36"/>
        <v>2.7346666666666693E-2</v>
      </c>
      <c r="V177" s="4">
        <f t="shared" ca="1" si="35"/>
        <v>1.0255000000000001</v>
      </c>
      <c r="X177" s="2"/>
    </row>
    <row r="178" spans="8:24" x14ac:dyDescent="0.25">
      <c r="H178">
        <v>37.6</v>
      </c>
      <c r="I178">
        <v>1.3756793211344109</v>
      </c>
      <c r="J178" s="4">
        <f t="shared" si="26"/>
        <v>-1.2400000000000001E-4</v>
      </c>
      <c r="K178" s="9">
        <f t="shared" si="27"/>
        <v>8.7999999999999998E-5</v>
      </c>
      <c r="L178" s="4">
        <f t="shared" si="28"/>
        <v>3.8679999999999999E-3</v>
      </c>
      <c r="M178" s="5">
        <f t="shared" si="29"/>
        <v>1.3812035922853707</v>
      </c>
      <c r="N178" s="2">
        <f t="shared" si="30"/>
        <v>4.0156677985130661E-3</v>
      </c>
      <c r="O178">
        <f t="shared" si="31"/>
        <v>7368.8540000000003</v>
      </c>
      <c r="P178">
        <f t="shared" ca="1" si="37"/>
        <v>7371</v>
      </c>
      <c r="Q178" t="str">
        <f t="shared" ca="1" si="32"/>
        <v>0001110011001011</v>
      </c>
      <c r="R178">
        <f t="shared" ca="1" si="33"/>
        <v>1.3820625</v>
      </c>
      <c r="S178">
        <f t="shared" ca="1" si="34"/>
        <v>36.584750000000007</v>
      </c>
      <c r="T178" s="1">
        <f t="shared" ca="1" si="36"/>
        <v>2.7001329787233901E-2</v>
      </c>
      <c r="V178" s="4">
        <f t="shared" ca="1" si="35"/>
        <v>1.01525</v>
      </c>
      <c r="X178" s="2"/>
    </row>
    <row r="179" spans="8:24" x14ac:dyDescent="0.25">
      <c r="H179">
        <v>37.700000000000003</v>
      </c>
      <c r="I179">
        <v>1.3843155437346542</v>
      </c>
      <c r="J179" s="4">
        <f t="shared" si="26"/>
        <v>-1.2300000000000001E-4</v>
      </c>
      <c r="K179" s="9">
        <f t="shared" si="27"/>
        <v>8.8999999999999995E-5</v>
      </c>
      <c r="L179" s="4">
        <f t="shared" si="28"/>
        <v>3.8990000000000001E-3</v>
      </c>
      <c r="M179" s="5">
        <f t="shared" si="29"/>
        <v>1.3899155985112495</v>
      </c>
      <c r="N179" s="2">
        <f t="shared" si="30"/>
        <v>4.0453600351024657E-3</v>
      </c>
      <c r="O179">
        <f t="shared" si="31"/>
        <v>7415.3334000000004</v>
      </c>
      <c r="P179">
        <f t="shared" ca="1" si="37"/>
        <v>7419</v>
      </c>
      <c r="Q179" t="str">
        <f t="shared" ca="1" si="32"/>
        <v>0001110011111011</v>
      </c>
      <c r="R179">
        <f t="shared" ca="1" si="33"/>
        <v>1.3910625000000001</v>
      </c>
      <c r="S179">
        <f t="shared" ca="1" si="34"/>
        <v>36.692750000000004</v>
      </c>
      <c r="T179" s="1">
        <f t="shared" ca="1" si="36"/>
        <v>2.6717506631299709E-2</v>
      </c>
      <c r="V179" s="4">
        <f t="shared" ca="1" si="35"/>
        <v>1.00725</v>
      </c>
      <c r="X179" s="2"/>
    </row>
    <row r="180" spans="8:24" x14ac:dyDescent="0.25">
      <c r="H180">
        <v>37.799999999999997</v>
      </c>
      <c r="I180">
        <v>1.3937842573020207</v>
      </c>
      <c r="J180" s="4">
        <f t="shared" si="26"/>
        <v>-1.2300000000000001E-4</v>
      </c>
      <c r="K180" s="9">
        <f t="shared" si="27"/>
        <v>8.8999999999999995E-5</v>
      </c>
      <c r="L180" s="4">
        <f t="shared" si="28"/>
        <v>3.9290000000000002E-3</v>
      </c>
      <c r="M180" s="5">
        <f t="shared" si="29"/>
        <v>1.3994635215963729</v>
      </c>
      <c r="N180" s="2">
        <f t="shared" si="30"/>
        <v>4.0747083091221374E-3</v>
      </c>
      <c r="O180">
        <f t="shared" si="31"/>
        <v>7466.2723999999998</v>
      </c>
      <c r="P180">
        <f t="shared" ca="1" si="37"/>
        <v>7465</v>
      </c>
      <c r="Q180" t="str">
        <f t="shared" ca="1" si="32"/>
        <v>0001110100101001</v>
      </c>
      <c r="R180">
        <f t="shared" ca="1" si="33"/>
        <v>1.3996875</v>
      </c>
      <c r="S180">
        <f t="shared" ca="1" si="34"/>
        <v>36.796250000000001</v>
      </c>
      <c r="T180" s="1">
        <f t="shared" ca="1" si="36"/>
        <v>2.6554232804232716E-2</v>
      </c>
      <c r="V180" s="4">
        <f t="shared" ca="1" si="35"/>
        <v>1.0037499999999999</v>
      </c>
      <c r="X180" s="2"/>
    </row>
    <row r="181" spans="8:24" x14ac:dyDescent="0.25">
      <c r="H181">
        <v>37.900000000000006</v>
      </c>
      <c r="I181">
        <v>1.4024689733414464</v>
      </c>
      <c r="J181" s="4">
        <f t="shared" si="26"/>
        <v>-1.22E-4</v>
      </c>
      <c r="K181" s="9">
        <f t="shared" si="27"/>
        <v>9.0000000000000006E-5</v>
      </c>
      <c r="L181" s="4">
        <f t="shared" si="28"/>
        <v>3.96E-3</v>
      </c>
      <c r="M181" s="5">
        <f t="shared" si="29"/>
        <v>1.4082253159124596</v>
      </c>
      <c r="N181" s="2">
        <f t="shared" si="30"/>
        <v>4.1044348790821783E-3</v>
      </c>
      <c r="O181">
        <f t="shared" si="31"/>
        <v>7513.0174999999999</v>
      </c>
      <c r="P181">
        <f t="shared" ca="1" si="37"/>
        <v>7517</v>
      </c>
      <c r="Q181" t="str">
        <f t="shared" ca="1" si="32"/>
        <v>0001110101011101</v>
      </c>
      <c r="R181">
        <f t="shared" ca="1" si="33"/>
        <v>1.4094375000000001</v>
      </c>
      <c r="S181">
        <f t="shared" ca="1" si="34"/>
        <v>36.913250000000005</v>
      </c>
      <c r="T181" s="1">
        <f t="shared" ca="1" si="36"/>
        <v>2.6035620052770464E-2</v>
      </c>
      <c r="V181" s="4">
        <f t="shared" ca="1" si="35"/>
        <v>0.98675000000000002</v>
      </c>
      <c r="X181" s="2"/>
    </row>
    <row r="182" spans="8:24" x14ac:dyDescent="0.25">
      <c r="H182">
        <v>38</v>
      </c>
      <c r="I182">
        <v>1.4111783436019989</v>
      </c>
      <c r="J182" s="4">
        <f t="shared" si="26"/>
        <v>-1.22E-4</v>
      </c>
      <c r="K182" s="9">
        <f t="shared" si="27"/>
        <v>9.0000000000000006E-5</v>
      </c>
      <c r="L182" s="4">
        <f t="shared" si="28"/>
        <v>3.9899999999999996E-3</v>
      </c>
      <c r="M182" s="5">
        <f t="shared" si="29"/>
        <v>1.4170119900221874</v>
      </c>
      <c r="N182" s="2">
        <f t="shared" si="30"/>
        <v>4.1338831811280653E-3</v>
      </c>
      <c r="O182">
        <f t="shared" si="31"/>
        <v>7559.8951999999999</v>
      </c>
      <c r="P182">
        <f t="shared" ca="1" si="37"/>
        <v>7563</v>
      </c>
      <c r="Q182" t="str">
        <f t="shared" ca="1" si="32"/>
        <v>0001110110001011</v>
      </c>
      <c r="R182">
        <f t="shared" ca="1" si="33"/>
        <v>1.4180625</v>
      </c>
      <c r="S182">
        <f t="shared" ca="1" si="34"/>
        <v>37.016750000000002</v>
      </c>
      <c r="T182" s="1">
        <f t="shared" ca="1" si="36"/>
        <v>2.5874999999999954E-2</v>
      </c>
      <c r="V182" s="4">
        <f t="shared" ca="1" si="35"/>
        <v>0.98324999999999996</v>
      </c>
      <c r="X182" s="2"/>
    </row>
    <row r="183" spans="8:24" x14ac:dyDescent="0.25">
      <c r="H183">
        <v>38.1</v>
      </c>
      <c r="I183">
        <v>1.4199122864960834</v>
      </c>
      <c r="J183" s="4">
        <f t="shared" si="26"/>
        <v>-1.21E-4</v>
      </c>
      <c r="K183" s="9">
        <f t="shared" si="27"/>
        <v>9.1000000000000003E-5</v>
      </c>
      <c r="L183" s="4">
        <f t="shared" si="28"/>
        <v>4.0210000000000003E-3</v>
      </c>
      <c r="M183" s="5">
        <f t="shared" si="29"/>
        <v>1.4258242927592684</v>
      </c>
      <c r="N183" s="2">
        <f t="shared" si="30"/>
        <v>4.1636418808474801E-3</v>
      </c>
      <c r="O183">
        <f t="shared" si="31"/>
        <v>7606.9097000000002</v>
      </c>
      <c r="P183">
        <f t="shared" ca="1" si="37"/>
        <v>7612</v>
      </c>
      <c r="Q183" t="str">
        <f t="shared" ca="1" si="32"/>
        <v>0001110110111100</v>
      </c>
      <c r="R183">
        <f t="shared" ca="1" si="33"/>
        <v>1.4272500000000001</v>
      </c>
      <c r="S183">
        <f t="shared" ca="1" si="34"/>
        <v>37.127000000000002</v>
      </c>
      <c r="T183" s="1">
        <f t="shared" ca="1" si="36"/>
        <v>2.5538057742782123E-2</v>
      </c>
      <c r="V183" s="4">
        <f t="shared" ca="1" si="35"/>
        <v>0.97299999999999998</v>
      </c>
      <c r="X183" s="2"/>
    </row>
    <row r="184" spans="8:24" x14ac:dyDescent="0.25">
      <c r="H184">
        <v>38.200000000000003</v>
      </c>
      <c r="I184">
        <v>1.4294741627850502</v>
      </c>
      <c r="J184" s="4">
        <f t="shared" si="26"/>
        <v>-1.2E-4</v>
      </c>
      <c r="K184" s="9">
        <f t="shared" si="27"/>
        <v>9.1000000000000003E-5</v>
      </c>
      <c r="L184" s="4">
        <f t="shared" si="28"/>
        <v>4.0509999999999999E-3</v>
      </c>
      <c r="M184" s="5">
        <f t="shared" si="29"/>
        <v>1.4354670046629396</v>
      </c>
      <c r="N184" s="2">
        <f t="shared" si="30"/>
        <v>4.1923401163218793E-3</v>
      </c>
      <c r="O184">
        <f t="shared" si="31"/>
        <v>7658.3545000000004</v>
      </c>
      <c r="P184">
        <f t="shared" ca="1" si="37"/>
        <v>7660</v>
      </c>
      <c r="Q184" t="str">
        <f t="shared" ca="1" si="32"/>
        <v>0001110111101100</v>
      </c>
      <c r="R184">
        <f t="shared" ca="1" si="33"/>
        <v>1.43625</v>
      </c>
      <c r="S184">
        <f t="shared" ca="1" si="34"/>
        <v>37.235000000000007</v>
      </c>
      <c r="T184" s="1">
        <f t="shared" ca="1" si="36"/>
        <v>2.5261780104711945E-2</v>
      </c>
      <c r="V184" s="4">
        <f t="shared" ca="1" si="35"/>
        <v>0.96499999999999997</v>
      </c>
      <c r="X184" s="2"/>
    </row>
    <row r="185" spans="8:24" x14ac:dyDescent="0.25">
      <c r="H185">
        <v>38.299999999999997</v>
      </c>
      <c r="I185">
        <v>1.4382559460101785</v>
      </c>
      <c r="J185" s="4">
        <f t="shared" si="26"/>
        <v>-1.2E-4</v>
      </c>
      <c r="K185" s="9">
        <f t="shared" si="27"/>
        <v>9.2E-5</v>
      </c>
      <c r="L185" s="4">
        <f t="shared" si="28"/>
        <v>4.0819999999999997E-3</v>
      </c>
      <c r="M185" s="5">
        <f t="shared" si="29"/>
        <v>1.4443294621185463</v>
      </c>
      <c r="N185" s="2">
        <f t="shared" si="30"/>
        <v>4.2228339992031114E-3</v>
      </c>
      <c r="O185">
        <f t="shared" si="31"/>
        <v>7705.6364999999996</v>
      </c>
      <c r="P185">
        <f t="shared" ca="1" si="37"/>
        <v>7705</v>
      </c>
      <c r="Q185" t="str">
        <f t="shared" ca="1" si="32"/>
        <v>0001111000011001</v>
      </c>
      <c r="R185">
        <f t="shared" ca="1" si="33"/>
        <v>1.4446875000000001</v>
      </c>
      <c r="S185">
        <f t="shared" ca="1" si="34"/>
        <v>37.33625</v>
      </c>
      <c r="T185" s="1">
        <f t="shared" ca="1" si="36"/>
        <v>2.5163185378590015E-2</v>
      </c>
      <c r="V185" s="4">
        <f t="shared" ca="1" si="35"/>
        <v>0.96375</v>
      </c>
      <c r="X185" s="2"/>
    </row>
    <row r="186" spans="8:24" x14ac:dyDescent="0.25">
      <c r="H186">
        <v>38.400000000000006</v>
      </c>
      <c r="I186">
        <v>1.4470620553602411</v>
      </c>
      <c r="J186" s="4">
        <f t="shared" si="26"/>
        <v>-1.1900000000000001E-4</v>
      </c>
      <c r="K186" s="9">
        <f t="shared" si="27"/>
        <v>9.2E-5</v>
      </c>
      <c r="L186" s="4">
        <f t="shared" si="28"/>
        <v>4.1120000000000002E-3</v>
      </c>
      <c r="M186" s="5">
        <f t="shared" si="29"/>
        <v>1.453214434619396</v>
      </c>
      <c r="N186" s="2">
        <f t="shared" si="30"/>
        <v>4.2516347079692386E-3</v>
      </c>
      <c r="O186">
        <f t="shared" si="31"/>
        <v>7753.0387000000001</v>
      </c>
      <c r="P186">
        <f t="shared" ca="1" si="37"/>
        <v>7756</v>
      </c>
      <c r="Q186" t="str">
        <f t="shared" ca="1" si="32"/>
        <v>0001111001001100</v>
      </c>
      <c r="R186">
        <f t="shared" ca="1" si="33"/>
        <v>1.45425</v>
      </c>
      <c r="S186">
        <f t="shared" ca="1" si="34"/>
        <v>37.451000000000008</v>
      </c>
      <c r="T186" s="1">
        <f t="shared" ca="1" si="36"/>
        <v>2.4713541666666613E-2</v>
      </c>
      <c r="V186" s="4">
        <f t="shared" ca="1" si="35"/>
        <v>0.94899999999999995</v>
      </c>
      <c r="X186" s="2"/>
    </row>
    <row r="187" spans="8:24" x14ac:dyDescent="0.25">
      <c r="H187">
        <v>38.5</v>
      </c>
      <c r="I187">
        <v>1.4558924089566518</v>
      </c>
      <c r="J187" s="4">
        <f t="shared" si="26"/>
        <v>-1.1900000000000001E-4</v>
      </c>
      <c r="K187" s="9">
        <f t="shared" si="27"/>
        <v>9.2999999999999997E-5</v>
      </c>
      <c r="L187" s="4">
        <f t="shared" si="28"/>
        <v>4.143E-3</v>
      </c>
      <c r="M187" s="5">
        <f t="shared" si="29"/>
        <v>1.4621267598286216</v>
      </c>
      <c r="N187" s="2">
        <f t="shared" si="30"/>
        <v>4.2821508193984937E-3</v>
      </c>
      <c r="O187">
        <f t="shared" si="31"/>
        <v>7800.5868</v>
      </c>
      <c r="P187">
        <f t="shared" ca="1" si="37"/>
        <v>7804</v>
      </c>
      <c r="Q187" t="str">
        <f t="shared" ca="1" si="32"/>
        <v>0001111001111100</v>
      </c>
      <c r="R187">
        <f t="shared" ca="1" si="33"/>
        <v>1.4632499999999999</v>
      </c>
      <c r="S187">
        <f t="shared" ca="1" si="34"/>
        <v>37.558999999999997</v>
      </c>
      <c r="T187" s="1">
        <f t="shared" ca="1" si="36"/>
        <v>2.4441558441558507E-2</v>
      </c>
      <c r="V187" s="4">
        <f t="shared" ca="1" si="35"/>
        <v>0.94099999999999995</v>
      </c>
      <c r="X187" s="2"/>
    </row>
    <row r="188" spans="8:24" x14ac:dyDescent="0.25">
      <c r="H188">
        <v>38.6</v>
      </c>
      <c r="I188">
        <v>1.4647469230004762</v>
      </c>
      <c r="J188" s="4">
        <f t="shared" si="26"/>
        <v>-1.18E-4</v>
      </c>
      <c r="K188" s="9">
        <f t="shared" si="27"/>
        <v>9.2999999999999997E-5</v>
      </c>
      <c r="L188" s="4">
        <f t="shared" si="28"/>
        <v>4.1729999999999996E-3</v>
      </c>
      <c r="M188" s="5">
        <f t="shared" si="29"/>
        <v>1.4710614202732764</v>
      </c>
      <c r="N188" s="2">
        <f t="shared" si="30"/>
        <v>4.3109817632285604E-3</v>
      </c>
      <c r="O188">
        <f t="shared" si="31"/>
        <v>7848.2541000000001</v>
      </c>
      <c r="P188">
        <f t="shared" ca="1" si="37"/>
        <v>7853</v>
      </c>
      <c r="Q188" t="str">
        <f t="shared" ca="1" si="32"/>
        <v>0001111010101101</v>
      </c>
      <c r="R188">
        <f t="shared" ca="1" si="33"/>
        <v>1.4724375000000001</v>
      </c>
      <c r="S188">
        <f t="shared" ca="1" si="34"/>
        <v>37.669250000000005</v>
      </c>
      <c r="T188" s="1">
        <f t="shared" ca="1" si="36"/>
        <v>2.4112694300518035E-2</v>
      </c>
      <c r="V188" s="4">
        <f t="shared" ca="1" si="35"/>
        <v>0.93074999999999997</v>
      </c>
      <c r="X188" s="2"/>
    </row>
    <row r="189" spans="8:24" x14ac:dyDescent="0.25">
      <c r="H189">
        <v>38.700000000000003</v>
      </c>
      <c r="I189">
        <v>1.4728273873547839</v>
      </c>
      <c r="J189" s="4">
        <f t="shared" si="26"/>
        <v>-1.17E-4</v>
      </c>
      <c r="K189" s="9">
        <f t="shared" si="27"/>
        <v>9.3999999999999994E-5</v>
      </c>
      <c r="L189" s="4">
        <f t="shared" si="28"/>
        <v>4.2040000000000003E-3</v>
      </c>
      <c r="M189" s="5">
        <f t="shared" si="29"/>
        <v>1.4792207877143349</v>
      </c>
      <c r="N189" s="2">
        <f t="shared" si="30"/>
        <v>4.3409026844846797E-3</v>
      </c>
      <c r="O189">
        <f t="shared" si="31"/>
        <v>7891.7851000000001</v>
      </c>
      <c r="P189">
        <f t="shared" ca="1" si="37"/>
        <v>7891</v>
      </c>
      <c r="Q189" t="str">
        <f t="shared" ca="1" si="32"/>
        <v>0001111011010011</v>
      </c>
      <c r="R189">
        <f t="shared" ca="1" si="33"/>
        <v>1.4795625000000001</v>
      </c>
      <c r="S189">
        <f t="shared" ca="1" si="34"/>
        <v>37.754750000000008</v>
      </c>
      <c r="T189" s="1">
        <f t="shared" ca="1" si="36"/>
        <v>2.4425064599483057E-2</v>
      </c>
      <c r="V189" s="4">
        <f t="shared" ca="1" si="35"/>
        <v>0.94525000000000003</v>
      </c>
      <c r="X189" s="2"/>
    </row>
    <row r="190" spans="8:24" x14ac:dyDescent="0.25">
      <c r="H190">
        <v>38.799999999999997</v>
      </c>
      <c r="I190">
        <v>1.4817310371800962</v>
      </c>
      <c r="J190" s="4">
        <f t="shared" si="26"/>
        <v>-1.17E-4</v>
      </c>
      <c r="K190" s="9">
        <f t="shared" si="27"/>
        <v>9.3999999999999994E-5</v>
      </c>
      <c r="L190" s="4">
        <f t="shared" si="28"/>
        <v>4.2339999999999999E-3</v>
      </c>
      <c r="M190" s="5">
        <f t="shared" si="29"/>
        <v>1.4882068594510116</v>
      </c>
      <c r="N190" s="2">
        <f t="shared" si="30"/>
        <v>4.3704438311824778E-3</v>
      </c>
      <c r="O190">
        <f t="shared" si="31"/>
        <v>7939.7267000000002</v>
      </c>
      <c r="P190">
        <f t="shared" ca="1" si="37"/>
        <v>7943</v>
      </c>
      <c r="Q190" t="str">
        <f t="shared" ca="1" si="32"/>
        <v>0001111100000111</v>
      </c>
      <c r="R190">
        <f t="shared" ca="1" si="33"/>
        <v>1.4893125</v>
      </c>
      <c r="S190">
        <f t="shared" ca="1" si="34"/>
        <v>37.871749999999999</v>
      </c>
      <c r="T190" s="1">
        <f t="shared" ca="1" si="36"/>
        <v>2.3923969072164909E-2</v>
      </c>
      <c r="V190" s="4">
        <f t="shared" ca="1" si="35"/>
        <v>0.92825000000000002</v>
      </c>
      <c r="X190" s="2"/>
    </row>
    <row r="191" spans="8:24" x14ac:dyDescent="0.25">
      <c r="H191">
        <v>38.900000000000006</v>
      </c>
      <c r="I191">
        <v>1.4906585970888542</v>
      </c>
      <c r="J191" s="4">
        <f t="shared" si="26"/>
        <v>-1.16E-4</v>
      </c>
      <c r="K191" s="9">
        <f t="shared" si="27"/>
        <v>9.5000000000000005E-5</v>
      </c>
      <c r="L191" s="4">
        <f t="shared" si="28"/>
        <v>4.2649999999999997E-3</v>
      </c>
      <c r="M191" s="5">
        <f t="shared" si="29"/>
        <v>1.4972179844224156</v>
      </c>
      <c r="N191" s="2">
        <f t="shared" si="30"/>
        <v>4.4003283826165333E-3</v>
      </c>
      <c r="O191">
        <f t="shared" si="31"/>
        <v>7987.8019000000004</v>
      </c>
      <c r="P191">
        <f t="shared" ca="1" si="37"/>
        <v>7986</v>
      </c>
      <c r="Q191" t="str">
        <f t="shared" ca="1" si="32"/>
        <v>0001111100110010</v>
      </c>
      <c r="R191">
        <f t="shared" ca="1" si="33"/>
        <v>1.4973750000000001</v>
      </c>
      <c r="S191">
        <f t="shared" ca="1" si="34"/>
        <v>37.968500000000006</v>
      </c>
      <c r="T191" s="1">
        <f t="shared" ca="1" si="36"/>
        <v>2.3946015424164514E-2</v>
      </c>
      <c r="V191" s="4">
        <f t="shared" ca="1" si="35"/>
        <v>0.93149999999999999</v>
      </c>
      <c r="X191" s="2"/>
    </row>
    <row r="192" spans="8:24" x14ac:dyDescent="0.25">
      <c r="H192">
        <v>39</v>
      </c>
      <c r="I192">
        <v>1.4996099821182447</v>
      </c>
      <c r="J192" s="4">
        <f t="shared" si="26"/>
        <v>-1.16E-4</v>
      </c>
      <c r="K192" s="9">
        <f t="shared" si="27"/>
        <v>9.5000000000000005E-5</v>
      </c>
      <c r="L192" s="4">
        <f t="shared" si="28"/>
        <v>4.2950000000000002E-3</v>
      </c>
      <c r="M192" s="5">
        <f t="shared" si="29"/>
        <v>1.5062530900299231</v>
      </c>
      <c r="N192" s="2">
        <f t="shared" si="30"/>
        <v>4.4298904321074502E-3</v>
      </c>
      <c r="O192">
        <f t="shared" si="31"/>
        <v>8036.0051000000003</v>
      </c>
      <c r="P192">
        <f t="shared" ca="1" si="37"/>
        <v>8039</v>
      </c>
      <c r="Q192" t="str">
        <f t="shared" ca="1" si="32"/>
        <v>0001111101100111</v>
      </c>
      <c r="R192">
        <f t="shared" ca="1" si="33"/>
        <v>1.5073125000000001</v>
      </c>
      <c r="S192">
        <f t="shared" ca="1" si="34"/>
        <v>38.087750000000007</v>
      </c>
      <c r="T192" s="1">
        <f t="shared" ca="1" si="36"/>
        <v>2.3391025641025465E-2</v>
      </c>
      <c r="V192" s="4">
        <f t="shared" ca="1" si="35"/>
        <v>0.91225000000000001</v>
      </c>
      <c r="X192" s="2"/>
    </row>
    <row r="193" spans="8:24" x14ac:dyDescent="0.25">
      <c r="H193">
        <v>39.1</v>
      </c>
      <c r="I193">
        <v>1.5085851069562664</v>
      </c>
      <c r="J193" s="4">
        <f t="shared" si="26"/>
        <v>-1.15E-4</v>
      </c>
      <c r="K193" s="9">
        <f t="shared" si="27"/>
        <v>9.6000000000000002E-5</v>
      </c>
      <c r="L193" s="4">
        <f t="shared" si="28"/>
        <v>4.326E-3</v>
      </c>
      <c r="M193" s="5">
        <f t="shared" si="29"/>
        <v>1.5153131005211207</v>
      </c>
      <c r="N193" s="2">
        <f t="shared" si="30"/>
        <v>4.4598037815902691E-3</v>
      </c>
      <c r="O193">
        <f t="shared" si="31"/>
        <v>8084.3410999999996</v>
      </c>
      <c r="P193">
        <f t="shared" ca="1" si="37"/>
        <v>8083</v>
      </c>
      <c r="Q193" t="str">
        <f t="shared" ca="1" si="32"/>
        <v>0001111110010011</v>
      </c>
      <c r="R193">
        <f t="shared" ca="1" si="33"/>
        <v>1.5155624999999999</v>
      </c>
      <c r="S193">
        <f t="shared" ca="1" si="34"/>
        <v>38.186750000000004</v>
      </c>
      <c r="T193" s="1">
        <f t="shared" ca="1" si="36"/>
        <v>2.3356777493606082E-2</v>
      </c>
      <c r="V193" s="4">
        <f t="shared" ca="1" si="35"/>
        <v>0.91325000000000001</v>
      </c>
      <c r="X193" s="2"/>
    </row>
    <row r="194" spans="8:24" x14ac:dyDescent="0.25">
      <c r="H194">
        <v>39.200000000000003</v>
      </c>
      <c r="I194">
        <v>1.5167910963608866</v>
      </c>
      <c r="J194" s="4">
        <f t="shared" si="26"/>
        <v>-1.15E-4</v>
      </c>
      <c r="K194" s="9">
        <f t="shared" si="27"/>
        <v>9.6000000000000002E-5</v>
      </c>
      <c r="L194" s="4">
        <f t="shared" si="28"/>
        <v>4.3559999999999996E-3</v>
      </c>
      <c r="M194" s="5">
        <f t="shared" si="29"/>
        <v>1.5236006481361677</v>
      </c>
      <c r="N194" s="2">
        <f t="shared" si="30"/>
        <v>4.4894460361869799E-3</v>
      </c>
      <c r="O194">
        <f t="shared" si="31"/>
        <v>8128.5559000000003</v>
      </c>
      <c r="P194">
        <f t="shared" ca="1" si="37"/>
        <v>8129</v>
      </c>
      <c r="Q194" t="str">
        <f t="shared" ca="1" si="32"/>
        <v>0001111111000001</v>
      </c>
      <c r="R194">
        <f t="shared" ca="1" si="33"/>
        <v>1.5241875</v>
      </c>
      <c r="S194">
        <f t="shared" ca="1" si="34"/>
        <v>38.290250000000007</v>
      </c>
      <c r="T194" s="1">
        <f t="shared" ca="1" si="36"/>
        <v>2.3207908163265185E-2</v>
      </c>
      <c r="V194" s="4">
        <f t="shared" ca="1" si="35"/>
        <v>0.90974999999999995</v>
      </c>
      <c r="X194" s="2"/>
    </row>
    <row r="195" spans="8:24" x14ac:dyDescent="0.25">
      <c r="H195">
        <v>39.299999999999997</v>
      </c>
      <c r="I195">
        <v>1.5258145135642385</v>
      </c>
      <c r="J195" s="4">
        <f t="shared" ref="J195:J258" si="38">ROUND(H195*0.00000575 -0.00034,6)</f>
        <v>-1.1400000000000001E-4</v>
      </c>
      <c r="K195" s="9">
        <f t="shared" ref="K195:K258" si="39">ROUND(H195*0.000005-0.0001,6)</f>
        <v>9.7E-5</v>
      </c>
      <c r="L195" s="4">
        <f t="shared" ref="L195:L258" si="40">ROUND(K195+($C$24*(H195-25)),6)</f>
        <v>4.3870000000000003E-3</v>
      </c>
      <c r="M195" s="5">
        <f t="shared" ref="M195:M258" si="41">(I195-J195)/(1-L195)+$C$26+$D$27</f>
        <v>1.5327102590245791</v>
      </c>
      <c r="N195" s="2">
        <f t="shared" ref="N195:N258" si="42">ABS(I195-M195)/I195</f>
        <v>4.5193864647626739E-3</v>
      </c>
      <c r="O195">
        <f t="shared" ref="O195:O258" si="43">ROUND((M195*(2^($C$12-1)))/$C$44,4)</f>
        <v>8177.1566000000003</v>
      </c>
      <c r="P195">
        <f t="shared" ca="1" si="37"/>
        <v>8182</v>
      </c>
      <c r="Q195" t="str">
        <f t="shared" ref="Q195:Q258" ca="1" si="44">_xlfn.BASE(P195,2,16)</f>
        <v>0001111111110110</v>
      </c>
      <c r="R195">
        <f t="shared" ref="R195:R258" ca="1" si="45">($C$16/2^($C$12-1)) * P195</f>
        <v>1.534125</v>
      </c>
      <c r="S195">
        <f t="shared" ref="S195:S258" ca="1" si="46">(R195+5/3)/(1/12)</f>
        <v>38.409500000000001</v>
      </c>
      <c r="T195" s="1">
        <f t="shared" ca="1" si="36"/>
        <v>2.2659033078880304E-2</v>
      </c>
      <c r="V195" s="4">
        <f t="shared" ref="V195:V258" ca="1" si="47">ROUND(ABS(H195-S195),6)</f>
        <v>0.89049999999999996</v>
      </c>
      <c r="X195" s="2"/>
    </row>
    <row r="196" spans="8:24" x14ac:dyDescent="0.25">
      <c r="H196">
        <v>39.400000000000006</v>
      </c>
      <c r="I196">
        <v>1.5340707653080601</v>
      </c>
      <c r="J196" s="4">
        <f t="shared" si="38"/>
        <v>-1.13E-4</v>
      </c>
      <c r="K196" s="9">
        <f t="shared" si="39"/>
        <v>9.7E-5</v>
      </c>
      <c r="L196" s="4">
        <f t="shared" si="40"/>
        <v>4.4169999999999999E-3</v>
      </c>
      <c r="M196" s="5">
        <f t="shared" si="41"/>
        <v>1.5410483195495102</v>
      </c>
      <c r="N196" s="2">
        <f t="shared" si="42"/>
        <v>4.5483913775313366E-3</v>
      </c>
      <c r="O196">
        <f t="shared" si="43"/>
        <v>8221.6409999999996</v>
      </c>
      <c r="P196">
        <f t="shared" ca="1" si="37"/>
        <v>8220</v>
      </c>
      <c r="Q196" t="str">
        <f t="shared" ca="1" si="44"/>
        <v>0010000000011100</v>
      </c>
      <c r="R196">
        <f t="shared" ca="1" si="45"/>
        <v>1.54125</v>
      </c>
      <c r="S196">
        <f t="shared" ca="1" si="46"/>
        <v>38.495000000000005</v>
      </c>
      <c r="T196" s="1">
        <f t="shared" ref="T196:T259" ca="1" si="48">ABS(H196-S196)/H196</f>
        <v>2.2969543147208147E-2</v>
      </c>
      <c r="V196" s="4">
        <f t="shared" ca="1" si="47"/>
        <v>0.90500000000000003</v>
      </c>
      <c r="X196" s="2"/>
    </row>
    <row r="197" spans="8:24" x14ac:dyDescent="0.25">
      <c r="H197">
        <v>39.5</v>
      </c>
      <c r="I197">
        <v>1.5431421328285895</v>
      </c>
      <c r="J197" s="4">
        <f t="shared" si="38"/>
        <v>-1.13E-4</v>
      </c>
      <c r="K197" s="9">
        <f t="shared" si="39"/>
        <v>9.7999999999999997E-5</v>
      </c>
      <c r="L197" s="4">
        <f t="shared" si="40"/>
        <v>4.4479999999999997E-3</v>
      </c>
      <c r="M197" s="5">
        <f t="shared" si="41"/>
        <v>1.5502082009222917</v>
      </c>
      <c r="N197" s="2">
        <f t="shared" si="42"/>
        <v>4.5790131339036805E-3</v>
      </c>
      <c r="O197">
        <f t="shared" si="43"/>
        <v>8270.5097999999998</v>
      </c>
      <c r="P197">
        <f t="shared" ca="1" si="37"/>
        <v>8269</v>
      </c>
      <c r="Q197" t="str">
        <f t="shared" ca="1" si="44"/>
        <v>0010000001001101</v>
      </c>
      <c r="R197">
        <f t="shared" ca="1" si="45"/>
        <v>1.5504375000000001</v>
      </c>
      <c r="S197">
        <f t="shared" ca="1" si="46"/>
        <v>38.605250000000005</v>
      </c>
      <c r="T197" s="1">
        <f t="shared" ca="1" si="48"/>
        <v>2.2651898734177084E-2</v>
      </c>
      <c r="V197" s="4">
        <f t="shared" ca="1" si="47"/>
        <v>0.89475000000000005</v>
      </c>
      <c r="X197" s="2"/>
    </row>
    <row r="198" spans="8:24" x14ac:dyDescent="0.25">
      <c r="H198">
        <v>39.6</v>
      </c>
      <c r="I198">
        <v>1.5522368098151935</v>
      </c>
      <c r="J198" s="4">
        <f t="shared" si="38"/>
        <v>-1.12E-4</v>
      </c>
      <c r="K198" s="9">
        <f t="shared" si="39"/>
        <v>9.7999999999999997E-5</v>
      </c>
      <c r="L198" s="4">
        <f t="shared" si="40"/>
        <v>4.4780000000000002E-3</v>
      </c>
      <c r="M198" s="5">
        <f t="shared" si="41"/>
        <v>1.5593894962554251</v>
      </c>
      <c r="N198" s="2">
        <f t="shared" si="42"/>
        <v>4.6079866132559882E-3</v>
      </c>
      <c r="O198">
        <f t="shared" si="43"/>
        <v>8319.4928999999993</v>
      </c>
      <c r="P198">
        <f t="shared" ca="1" si="37"/>
        <v>8324</v>
      </c>
      <c r="Q198" t="str">
        <f t="shared" ca="1" si="44"/>
        <v>0010000010000100</v>
      </c>
      <c r="R198">
        <f t="shared" ca="1" si="45"/>
        <v>1.5607500000000001</v>
      </c>
      <c r="S198">
        <f t="shared" ca="1" si="46"/>
        <v>38.728999999999999</v>
      </c>
      <c r="T198" s="1">
        <f t="shared" ca="1" si="48"/>
        <v>2.199494949494955E-2</v>
      </c>
      <c r="V198" s="4">
        <f t="shared" ca="1" si="47"/>
        <v>0.871</v>
      </c>
      <c r="X198" s="2"/>
    </row>
    <row r="199" spans="8:24" x14ac:dyDescent="0.25">
      <c r="H199">
        <v>39.700000000000003</v>
      </c>
      <c r="I199">
        <v>1.5613547095592029</v>
      </c>
      <c r="J199" s="4">
        <f t="shared" si="38"/>
        <v>-1.12E-4</v>
      </c>
      <c r="K199" s="9">
        <f t="shared" si="39"/>
        <v>9.8999999999999994E-5</v>
      </c>
      <c r="L199" s="4">
        <f t="shared" si="40"/>
        <v>4.509E-3</v>
      </c>
      <c r="M199" s="5">
        <f t="shared" si="41"/>
        <v>1.5685972530512104</v>
      </c>
      <c r="N199" s="2">
        <f t="shared" si="42"/>
        <v>4.6386278836359259E-3</v>
      </c>
      <c r="O199">
        <f t="shared" si="43"/>
        <v>8368.6172000000006</v>
      </c>
      <c r="P199">
        <f t="shared" ca="1" si="37"/>
        <v>8367</v>
      </c>
      <c r="Q199" t="str">
        <f t="shared" ca="1" si="44"/>
        <v>0010000010101111</v>
      </c>
      <c r="R199">
        <f t="shared" ca="1" si="45"/>
        <v>1.5688124999999999</v>
      </c>
      <c r="S199">
        <f t="shared" ca="1" si="46"/>
        <v>38.825750000000006</v>
      </c>
      <c r="T199" s="1">
        <f t="shared" ca="1" si="48"/>
        <v>2.2021410579344997E-2</v>
      </c>
      <c r="V199" s="4">
        <f t="shared" ca="1" si="47"/>
        <v>0.87424999999999997</v>
      </c>
      <c r="X199" s="2"/>
    </row>
    <row r="200" spans="8:24" x14ac:dyDescent="0.25">
      <c r="H200">
        <v>39.799999999999997</v>
      </c>
      <c r="I200">
        <v>1.5697093861918927</v>
      </c>
      <c r="J200" s="4">
        <f t="shared" si="38"/>
        <v>-1.11E-4</v>
      </c>
      <c r="K200" s="9">
        <f t="shared" si="39"/>
        <v>9.8999999999999994E-5</v>
      </c>
      <c r="L200" s="4">
        <f t="shared" si="40"/>
        <v>4.5389999999999996E-3</v>
      </c>
      <c r="M200" s="5">
        <f t="shared" si="41"/>
        <v>1.5770362906531672</v>
      </c>
      <c r="N200" s="2">
        <f t="shared" si="42"/>
        <v>4.6676821364045737E-3</v>
      </c>
      <c r="O200">
        <f t="shared" si="43"/>
        <v>8413.6401999999998</v>
      </c>
      <c r="P200">
        <f t="shared" ca="1" si="37"/>
        <v>8414</v>
      </c>
      <c r="Q200" t="str">
        <f t="shared" ca="1" si="44"/>
        <v>0010000011011110</v>
      </c>
      <c r="R200">
        <f t="shared" ca="1" si="45"/>
        <v>1.5776250000000001</v>
      </c>
      <c r="S200">
        <f t="shared" ca="1" si="46"/>
        <v>38.931500000000007</v>
      </c>
      <c r="T200" s="1">
        <f t="shared" ca="1" si="48"/>
        <v>2.1821608040200762E-2</v>
      </c>
      <c r="V200" s="4">
        <f t="shared" ca="1" si="47"/>
        <v>0.86850000000000005</v>
      </c>
      <c r="X200" s="2"/>
    </row>
    <row r="201" spans="8:24" x14ac:dyDescent="0.25">
      <c r="H201">
        <v>39.900000000000006</v>
      </c>
      <c r="I201">
        <v>1.5788745403580147</v>
      </c>
      <c r="J201" s="4">
        <f t="shared" si="38"/>
        <v>-1.11E-4</v>
      </c>
      <c r="K201" s="9">
        <f t="shared" si="39"/>
        <v>1E-4</v>
      </c>
      <c r="L201" s="4">
        <f t="shared" si="40"/>
        <v>4.5700000000000003E-3</v>
      </c>
      <c r="M201" s="5">
        <f t="shared" si="41"/>
        <v>1.5862926326291296</v>
      </c>
      <c r="N201" s="2">
        <f t="shared" si="42"/>
        <v>4.6983418134241501E-3</v>
      </c>
      <c r="O201">
        <f t="shared" si="43"/>
        <v>8463.0236999999997</v>
      </c>
      <c r="P201">
        <f t="shared" ca="1" si="37"/>
        <v>8467</v>
      </c>
      <c r="Q201" t="str">
        <f t="shared" ca="1" si="44"/>
        <v>0010000100010011</v>
      </c>
      <c r="R201">
        <f t="shared" ca="1" si="45"/>
        <v>1.5875625</v>
      </c>
      <c r="S201">
        <f t="shared" ca="1" si="46"/>
        <v>39.050750000000001</v>
      </c>
      <c r="T201" s="1">
        <f t="shared" ca="1" si="48"/>
        <v>2.1284461152882326E-2</v>
      </c>
      <c r="V201" s="4">
        <f t="shared" ca="1" si="47"/>
        <v>0.84924999999999995</v>
      </c>
      <c r="X201" s="2"/>
    </row>
    <row r="202" spans="8:24" x14ac:dyDescent="0.25">
      <c r="H202">
        <v>40</v>
      </c>
      <c r="I202">
        <v>1.5880626533293829</v>
      </c>
      <c r="J202" s="4">
        <f t="shared" si="38"/>
        <v>-1.1E-4</v>
      </c>
      <c r="K202" s="9">
        <f t="shared" si="39"/>
        <v>1E-4</v>
      </c>
      <c r="L202" s="4">
        <f t="shared" si="40"/>
        <v>4.5999999999999999E-3</v>
      </c>
      <c r="M202" s="5">
        <f t="shared" si="41"/>
        <v>1.5955700085687994</v>
      </c>
      <c r="N202" s="2">
        <f t="shared" si="42"/>
        <v>4.7273671625469339E-3</v>
      </c>
      <c r="O202">
        <f t="shared" si="43"/>
        <v>8512.5193999999992</v>
      </c>
      <c r="P202">
        <f t="shared" ca="1" si="37"/>
        <v>8517</v>
      </c>
      <c r="Q202" t="str">
        <f t="shared" ca="1" si="44"/>
        <v>0010000101000101</v>
      </c>
      <c r="R202">
        <f t="shared" ca="1" si="45"/>
        <v>1.5969375000000001</v>
      </c>
      <c r="S202">
        <f t="shared" ca="1" si="46"/>
        <v>39.163250000000005</v>
      </c>
      <c r="T202" s="1">
        <f t="shared" ca="1" si="48"/>
        <v>2.0918749999999875E-2</v>
      </c>
      <c r="V202" s="4">
        <f t="shared" ca="1" si="47"/>
        <v>0.83674999999999999</v>
      </c>
      <c r="X202" s="2"/>
    </row>
    <row r="203" spans="8:24" x14ac:dyDescent="0.25">
      <c r="H203">
        <v>40.1</v>
      </c>
      <c r="I203">
        <v>1.596490504115079</v>
      </c>
      <c r="J203" s="4">
        <f t="shared" si="38"/>
        <v>-1.0900000000000001E-4</v>
      </c>
      <c r="K203" s="9">
        <f t="shared" si="39"/>
        <v>1.01E-4</v>
      </c>
      <c r="L203" s="4">
        <f t="shared" si="40"/>
        <v>4.6309999999999997E-3</v>
      </c>
      <c r="M203" s="5">
        <f t="shared" si="41"/>
        <v>1.6040857566561535</v>
      </c>
      <c r="N203" s="2">
        <f t="shared" si="42"/>
        <v>4.7574680347281482E-3</v>
      </c>
      <c r="O203">
        <f t="shared" si="43"/>
        <v>8557.9516999999996</v>
      </c>
      <c r="P203">
        <f t="shared" ca="1" si="37"/>
        <v>8559</v>
      </c>
      <c r="Q203" t="str">
        <f t="shared" ca="1" si="44"/>
        <v>0010000101101111</v>
      </c>
      <c r="R203">
        <f t="shared" ca="1" si="45"/>
        <v>1.6048125</v>
      </c>
      <c r="S203">
        <f t="shared" ca="1" si="46"/>
        <v>39.257750000000001</v>
      </c>
      <c r="T203" s="1">
        <f t="shared" ca="1" si="48"/>
        <v>2.1003740648379052E-2</v>
      </c>
      <c r="V203" s="4">
        <f t="shared" ca="1" si="47"/>
        <v>0.84225000000000005</v>
      </c>
      <c r="X203" s="2"/>
    </row>
    <row r="204" spans="8:24" x14ac:dyDescent="0.25">
      <c r="H204">
        <v>40.200000000000003</v>
      </c>
      <c r="I204">
        <v>1.6057253423094078</v>
      </c>
      <c r="J204" s="4">
        <f t="shared" si="38"/>
        <v>-1.0900000000000001E-4</v>
      </c>
      <c r="K204" s="9">
        <f t="shared" si="39"/>
        <v>1.01E-4</v>
      </c>
      <c r="L204" s="4">
        <f t="shared" si="40"/>
        <v>4.6610000000000002E-3</v>
      </c>
      <c r="M204" s="5">
        <f t="shared" si="41"/>
        <v>1.6134121861711515</v>
      </c>
      <c r="N204" s="2">
        <f t="shared" si="42"/>
        <v>4.7871473777004727E-3</v>
      </c>
      <c r="O204">
        <f t="shared" si="43"/>
        <v>8607.7091</v>
      </c>
      <c r="P204">
        <f t="shared" ca="1" si="37"/>
        <v>8610</v>
      </c>
      <c r="Q204" t="str">
        <f t="shared" ca="1" si="44"/>
        <v>0010000110100010</v>
      </c>
      <c r="R204">
        <f t="shared" ca="1" si="45"/>
        <v>1.6143750000000001</v>
      </c>
      <c r="S204">
        <f t="shared" ca="1" si="46"/>
        <v>39.372500000000002</v>
      </c>
      <c r="T204" s="1">
        <f t="shared" ca="1" si="48"/>
        <v>2.0584577114427873E-2</v>
      </c>
      <c r="V204" s="4">
        <f t="shared" ca="1" si="47"/>
        <v>0.82750000000000001</v>
      </c>
      <c r="X204" s="2"/>
    </row>
    <row r="205" spans="8:24" x14ac:dyDescent="0.25">
      <c r="H205">
        <v>40.299999999999997</v>
      </c>
      <c r="I205">
        <v>1.614982871545112</v>
      </c>
      <c r="J205" s="4">
        <f t="shared" si="38"/>
        <v>-1.08E-4</v>
      </c>
      <c r="K205" s="9">
        <f t="shared" si="39"/>
        <v>1.02E-4</v>
      </c>
      <c r="L205" s="4">
        <f t="shared" si="40"/>
        <v>4.692E-3</v>
      </c>
      <c r="M205" s="5">
        <f t="shared" si="41"/>
        <v>1.6227626015355165</v>
      </c>
      <c r="N205" s="2">
        <f t="shared" si="42"/>
        <v>4.8172213634448038E-3</v>
      </c>
      <c r="O205">
        <f t="shared" si="43"/>
        <v>8657.5944999999992</v>
      </c>
      <c r="P205">
        <f t="shared" ca="1" si="37"/>
        <v>8659</v>
      </c>
      <c r="Q205" t="str">
        <f t="shared" ca="1" si="44"/>
        <v>0010000111010011</v>
      </c>
      <c r="R205">
        <f t="shared" ca="1" si="45"/>
        <v>1.6235625</v>
      </c>
      <c r="S205">
        <f t="shared" ca="1" si="46"/>
        <v>39.482750000000003</v>
      </c>
      <c r="T205" s="1">
        <f t="shared" ca="1" si="48"/>
        <v>2.0279156327543284E-2</v>
      </c>
      <c r="V205" s="4">
        <f t="shared" ca="1" si="47"/>
        <v>0.81725000000000003</v>
      </c>
      <c r="X205" s="2"/>
    </row>
    <row r="206" spans="8:24" x14ac:dyDescent="0.25">
      <c r="H206">
        <v>40.400000000000006</v>
      </c>
      <c r="I206">
        <v>1.6234831027505476</v>
      </c>
      <c r="J206" s="4">
        <f t="shared" si="38"/>
        <v>-1.08E-4</v>
      </c>
      <c r="K206" s="9">
        <f t="shared" si="39"/>
        <v>1.02E-4</v>
      </c>
      <c r="L206" s="4">
        <f t="shared" si="40"/>
        <v>4.7219999999999996E-3</v>
      </c>
      <c r="M206" s="5">
        <f t="shared" si="41"/>
        <v>1.6313520733649769</v>
      </c>
      <c r="N206" s="2">
        <f t="shared" si="42"/>
        <v>4.8469679795850318E-3</v>
      </c>
      <c r="O206">
        <f t="shared" si="43"/>
        <v>8703.4202000000005</v>
      </c>
      <c r="P206">
        <f t="shared" ca="1" si="37"/>
        <v>8707</v>
      </c>
      <c r="Q206" t="str">
        <f t="shared" ca="1" si="44"/>
        <v>0010001000000011</v>
      </c>
      <c r="R206">
        <f t="shared" ca="1" si="45"/>
        <v>1.6325625000000001</v>
      </c>
      <c r="S206">
        <f t="shared" ca="1" si="46"/>
        <v>39.59075</v>
      </c>
      <c r="T206" s="1">
        <f t="shared" ca="1" si="48"/>
        <v>2.0030940594059545E-2</v>
      </c>
      <c r="V206" s="4">
        <f t="shared" ca="1" si="47"/>
        <v>0.80925000000000002</v>
      </c>
      <c r="X206" s="2"/>
    </row>
    <row r="207" spans="8:24" x14ac:dyDescent="0.25">
      <c r="H207">
        <v>40.5</v>
      </c>
      <c r="I207">
        <v>1.6327868215360017</v>
      </c>
      <c r="J207" s="4">
        <f t="shared" si="38"/>
        <v>-1.07E-4</v>
      </c>
      <c r="K207" s="9">
        <f t="shared" si="39"/>
        <v>1.03E-4</v>
      </c>
      <c r="L207" s="4">
        <f t="shared" si="40"/>
        <v>4.7530000000000003E-3</v>
      </c>
      <c r="M207" s="5">
        <f t="shared" si="41"/>
        <v>1.6407500307581955</v>
      </c>
      <c r="N207" s="2">
        <f t="shared" si="42"/>
        <v>4.8770660793933602E-3</v>
      </c>
      <c r="O207">
        <f t="shared" si="43"/>
        <v>8753.5591999999997</v>
      </c>
      <c r="P207">
        <f t="shared" ref="P207:P270" ca="1" si="49">ROUND(O207+$C$47+$C$49+RANDBETWEEN($B$45,$D$45) + 1,0)</f>
        <v>8752</v>
      </c>
      <c r="Q207" t="str">
        <f t="shared" ca="1" si="44"/>
        <v>0010001000110000</v>
      </c>
      <c r="R207">
        <f t="shared" ca="1" si="45"/>
        <v>1.641</v>
      </c>
      <c r="S207">
        <f t="shared" ca="1" si="46"/>
        <v>39.692000000000007</v>
      </c>
      <c r="T207" s="1">
        <f t="shared" ca="1" si="48"/>
        <v>1.9950617283950436E-2</v>
      </c>
      <c r="V207" s="4">
        <f t="shared" ca="1" si="47"/>
        <v>0.80800000000000005</v>
      </c>
      <c r="X207" s="2"/>
    </row>
    <row r="208" spans="8:24" x14ac:dyDescent="0.25">
      <c r="H208">
        <v>40.6</v>
      </c>
      <c r="I208">
        <v>1.6413352210814001</v>
      </c>
      <c r="J208" s="4">
        <f t="shared" si="38"/>
        <v>-1.07E-4</v>
      </c>
      <c r="K208" s="9">
        <f t="shared" si="39"/>
        <v>1.03E-4</v>
      </c>
      <c r="L208" s="4">
        <f t="shared" si="40"/>
        <v>4.7829999999999999E-3</v>
      </c>
      <c r="M208" s="5">
        <f t="shared" si="41"/>
        <v>1.649388971116249</v>
      </c>
      <c r="N208" s="2">
        <f t="shared" si="42"/>
        <v>4.9068282526361301E-3</v>
      </c>
      <c r="O208">
        <f t="shared" si="43"/>
        <v>8799.6486999999997</v>
      </c>
      <c r="P208">
        <f t="shared" ca="1" si="49"/>
        <v>8804</v>
      </c>
      <c r="Q208" t="str">
        <f t="shared" ca="1" si="44"/>
        <v>0010001001100100</v>
      </c>
      <c r="R208">
        <f t="shared" ca="1" si="45"/>
        <v>1.6507499999999999</v>
      </c>
      <c r="S208">
        <f t="shared" ca="1" si="46"/>
        <v>39.808999999999997</v>
      </c>
      <c r="T208" s="1">
        <f t="shared" ca="1" si="48"/>
        <v>1.9482758620689752E-2</v>
      </c>
      <c r="V208" s="4">
        <f t="shared" ca="1" si="47"/>
        <v>0.79100000000000004</v>
      </c>
      <c r="X208" s="2"/>
    </row>
    <row r="209" spans="8:24" x14ac:dyDescent="0.25">
      <c r="H209">
        <v>40.700000000000003</v>
      </c>
      <c r="I209">
        <v>1.650684768499143</v>
      </c>
      <c r="J209" s="4">
        <f t="shared" si="38"/>
        <v>-1.06E-4</v>
      </c>
      <c r="K209" s="9">
        <f t="shared" si="39"/>
        <v>1.0399999999999999E-4</v>
      </c>
      <c r="L209" s="4">
        <f t="shared" si="40"/>
        <v>4.8139999999999997E-3</v>
      </c>
      <c r="M209" s="5">
        <f t="shared" si="41"/>
        <v>1.6588341167250573</v>
      </c>
      <c r="N209" s="2">
        <f t="shared" si="42"/>
        <v>4.9369500351808199E-3</v>
      </c>
      <c r="O209">
        <f t="shared" si="43"/>
        <v>8850.0395000000008</v>
      </c>
      <c r="P209">
        <f t="shared" ca="1" si="49"/>
        <v>8851</v>
      </c>
      <c r="Q209" t="str">
        <f t="shared" ca="1" si="44"/>
        <v>0010001010010011</v>
      </c>
      <c r="R209">
        <f t="shared" ca="1" si="45"/>
        <v>1.6595625000000001</v>
      </c>
      <c r="S209">
        <f t="shared" ca="1" si="46"/>
        <v>39.914750000000005</v>
      </c>
      <c r="T209" s="1">
        <f t="shared" ca="1" si="48"/>
        <v>1.9293611793611738E-2</v>
      </c>
      <c r="V209" s="4">
        <f t="shared" ca="1" si="47"/>
        <v>0.78525</v>
      </c>
      <c r="X209" s="2"/>
    </row>
    <row r="210" spans="8:24" x14ac:dyDescent="0.25">
      <c r="H210">
        <v>40.799999999999997</v>
      </c>
      <c r="I210">
        <v>1.6592809767473002</v>
      </c>
      <c r="J210" s="4">
        <f t="shared" si="38"/>
        <v>-1.05E-4</v>
      </c>
      <c r="K210" s="9">
        <f t="shared" si="39"/>
        <v>1.0399999999999999E-4</v>
      </c>
      <c r="L210" s="4">
        <f t="shared" si="40"/>
        <v>4.8440000000000002E-3</v>
      </c>
      <c r="M210" s="5">
        <f t="shared" si="41"/>
        <v>1.6675211683347135</v>
      </c>
      <c r="N210" s="2">
        <f t="shared" si="42"/>
        <v>4.9661218942958028E-3</v>
      </c>
      <c r="O210">
        <f t="shared" si="43"/>
        <v>8896.3858</v>
      </c>
      <c r="P210">
        <f t="shared" ca="1" si="49"/>
        <v>8898</v>
      </c>
      <c r="Q210" t="str">
        <f t="shared" ca="1" si="44"/>
        <v>0010001011000010</v>
      </c>
      <c r="R210">
        <f t="shared" ca="1" si="45"/>
        <v>1.6683749999999999</v>
      </c>
      <c r="S210">
        <f t="shared" ca="1" si="46"/>
        <v>40.020500000000006</v>
      </c>
      <c r="T210" s="1">
        <f t="shared" ca="1" si="48"/>
        <v>1.9105392156862543E-2</v>
      </c>
      <c r="V210" s="4">
        <f t="shared" ca="1" si="47"/>
        <v>0.77949999999999997</v>
      </c>
      <c r="X210" s="2"/>
    </row>
    <row r="211" spans="8:24" x14ac:dyDescent="0.25">
      <c r="H211">
        <v>40.900000000000006</v>
      </c>
      <c r="I211">
        <v>1.6686759894648313</v>
      </c>
      <c r="J211" s="4">
        <f t="shared" si="38"/>
        <v>-1.05E-4</v>
      </c>
      <c r="K211" s="9">
        <f t="shared" si="39"/>
        <v>1.05E-4</v>
      </c>
      <c r="L211" s="4">
        <f t="shared" si="40"/>
        <v>4.875E-3</v>
      </c>
      <c r="M211" s="5">
        <f t="shared" si="41"/>
        <v>1.6770141506994911</v>
      </c>
      <c r="N211" s="2">
        <f t="shared" si="42"/>
        <v>4.9968725428439654E-3</v>
      </c>
      <c r="O211">
        <f t="shared" si="43"/>
        <v>8947.0316999999995</v>
      </c>
      <c r="P211">
        <f t="shared" ca="1" si="49"/>
        <v>8946</v>
      </c>
      <c r="Q211" t="str">
        <f t="shared" ca="1" si="44"/>
        <v>0010001011110010</v>
      </c>
      <c r="R211">
        <f t="shared" ca="1" si="45"/>
        <v>1.6773750000000001</v>
      </c>
      <c r="S211">
        <f t="shared" ca="1" si="46"/>
        <v>40.128500000000003</v>
      </c>
      <c r="T211" s="1">
        <f t="shared" ca="1" si="48"/>
        <v>1.8863080684596651E-2</v>
      </c>
      <c r="V211" s="4">
        <f t="shared" ca="1" si="47"/>
        <v>0.77149999999999996</v>
      </c>
      <c r="X211" s="2"/>
    </row>
    <row r="212" spans="8:24" x14ac:dyDescent="0.25">
      <c r="H212">
        <v>41</v>
      </c>
      <c r="I212">
        <v>1.6773196438979556</v>
      </c>
      <c r="J212" s="4">
        <f t="shared" si="38"/>
        <v>-1.0399999999999999E-4</v>
      </c>
      <c r="K212" s="9">
        <f t="shared" si="39"/>
        <v>1.05E-4</v>
      </c>
      <c r="L212" s="4">
        <f t="shared" si="40"/>
        <v>4.9049999999999996E-3</v>
      </c>
      <c r="M212" s="5">
        <f t="shared" si="41"/>
        <v>1.6857499629763548</v>
      </c>
      <c r="N212" s="2">
        <f t="shared" si="42"/>
        <v>5.0260659076333319E-3</v>
      </c>
      <c r="O212">
        <f t="shared" si="43"/>
        <v>8993.6381000000001</v>
      </c>
      <c r="P212">
        <f t="shared" ca="1" si="49"/>
        <v>8996</v>
      </c>
      <c r="Q212" t="str">
        <f t="shared" ca="1" si="44"/>
        <v>0010001100100100</v>
      </c>
      <c r="R212">
        <f t="shared" ca="1" si="45"/>
        <v>1.68675</v>
      </c>
      <c r="S212">
        <f t="shared" ca="1" si="46"/>
        <v>40.241000000000007</v>
      </c>
      <c r="T212" s="1">
        <f t="shared" ca="1" si="48"/>
        <v>1.8512195121951056E-2</v>
      </c>
      <c r="V212" s="4">
        <f t="shared" ca="1" si="47"/>
        <v>0.75900000000000001</v>
      </c>
      <c r="X212" s="2"/>
    </row>
    <row r="213" spans="8:24" x14ac:dyDescent="0.25">
      <c r="H213">
        <v>41.1</v>
      </c>
      <c r="I213">
        <v>1.6867597553966776</v>
      </c>
      <c r="J213" s="4">
        <f t="shared" si="38"/>
        <v>-1.0399999999999999E-4</v>
      </c>
      <c r="K213" s="9">
        <f t="shared" si="39"/>
        <v>1.06E-4</v>
      </c>
      <c r="L213" s="4">
        <f t="shared" si="40"/>
        <v>4.9360000000000003E-3</v>
      </c>
      <c r="M213" s="5">
        <f t="shared" si="41"/>
        <v>1.6952894176743181</v>
      </c>
      <c r="N213" s="2">
        <f t="shared" si="42"/>
        <v>5.0568329309200188E-3</v>
      </c>
      <c r="O213">
        <f t="shared" si="43"/>
        <v>9044.5319999999992</v>
      </c>
      <c r="P213">
        <f t="shared" ca="1" si="49"/>
        <v>9048</v>
      </c>
      <c r="Q213" t="str">
        <f t="shared" ca="1" si="44"/>
        <v>0010001101011000</v>
      </c>
      <c r="R213">
        <f t="shared" ca="1" si="45"/>
        <v>1.6965000000000001</v>
      </c>
      <c r="S213">
        <f t="shared" ca="1" si="46"/>
        <v>40.358000000000004</v>
      </c>
      <c r="T213" s="1">
        <f t="shared" ca="1" si="48"/>
        <v>1.8053527980535215E-2</v>
      </c>
      <c r="V213" s="4">
        <f t="shared" ca="1" si="47"/>
        <v>0.74199999999999999</v>
      </c>
      <c r="X213" s="2"/>
    </row>
    <row r="214" spans="8:24" x14ac:dyDescent="0.25">
      <c r="H214">
        <v>41.2</v>
      </c>
      <c r="I214">
        <v>1.6946792473336683</v>
      </c>
      <c r="J214" s="4">
        <f t="shared" si="38"/>
        <v>-1.03E-4</v>
      </c>
      <c r="K214" s="9">
        <f t="shared" si="39"/>
        <v>1.06E-4</v>
      </c>
      <c r="L214" s="4">
        <f t="shared" si="40"/>
        <v>4.9659999999999999E-3</v>
      </c>
      <c r="M214" s="5">
        <f t="shared" si="41"/>
        <v>1.7032985398545861</v>
      </c>
      <c r="N214" s="2">
        <f t="shared" si="42"/>
        <v>5.0860907953402213E-3</v>
      </c>
      <c r="O214">
        <f t="shared" si="43"/>
        <v>9087.2615000000005</v>
      </c>
      <c r="P214">
        <f t="shared" ca="1" si="49"/>
        <v>9088</v>
      </c>
      <c r="Q214" t="str">
        <f t="shared" ca="1" si="44"/>
        <v>0010001110000000</v>
      </c>
      <c r="R214">
        <f t="shared" ca="1" si="45"/>
        <v>1.704</v>
      </c>
      <c r="S214">
        <f t="shared" ca="1" si="46"/>
        <v>40.448</v>
      </c>
      <c r="T214" s="1">
        <f t="shared" ca="1" si="48"/>
        <v>1.8252427184466076E-2</v>
      </c>
      <c r="V214" s="4">
        <f t="shared" ca="1" si="47"/>
        <v>0.752</v>
      </c>
      <c r="X214" s="2"/>
    </row>
    <row r="215" spans="8:24" x14ac:dyDescent="0.25">
      <c r="H215">
        <v>41.3</v>
      </c>
      <c r="I215">
        <v>1.7033950137534382</v>
      </c>
      <c r="J215" s="4">
        <f t="shared" si="38"/>
        <v>-1.03E-4</v>
      </c>
      <c r="K215" s="9">
        <f t="shared" si="39"/>
        <v>1.07E-4</v>
      </c>
      <c r="L215" s="4">
        <f t="shared" si="40"/>
        <v>4.9969999999999997E-3</v>
      </c>
      <c r="M215" s="5">
        <f t="shared" si="41"/>
        <v>1.7121111433105609</v>
      </c>
      <c r="N215" s="2">
        <f t="shared" si="42"/>
        <v>5.1169162095389287E-3</v>
      </c>
      <c r="O215">
        <f t="shared" si="43"/>
        <v>9134.2775999999994</v>
      </c>
      <c r="P215">
        <f t="shared" ca="1" si="49"/>
        <v>9135</v>
      </c>
      <c r="Q215" t="str">
        <f t="shared" ca="1" si="44"/>
        <v>0010001110101111</v>
      </c>
      <c r="R215">
        <f t="shared" ca="1" si="45"/>
        <v>1.7128125000000001</v>
      </c>
      <c r="S215">
        <f t="shared" ca="1" si="46"/>
        <v>40.553750000000008</v>
      </c>
      <c r="T215" s="1">
        <f t="shared" ca="1" si="48"/>
        <v>1.8069007263922257E-2</v>
      </c>
      <c r="V215" s="4">
        <f t="shared" ca="1" si="47"/>
        <v>0.74624999999999997</v>
      </c>
      <c r="X215" s="2"/>
    </row>
    <row r="216" spans="8:24" x14ac:dyDescent="0.25">
      <c r="H216">
        <v>41.400000000000006</v>
      </c>
      <c r="I216">
        <v>1.7129037061892651</v>
      </c>
      <c r="J216" s="4">
        <f t="shared" si="38"/>
        <v>-1.02E-4</v>
      </c>
      <c r="K216" s="9">
        <f t="shared" si="39"/>
        <v>1.07E-4</v>
      </c>
      <c r="L216" s="4">
        <f t="shared" si="40"/>
        <v>5.0270000000000002E-3</v>
      </c>
      <c r="M216" s="5">
        <f t="shared" si="41"/>
        <v>1.7217184934900396</v>
      </c>
      <c r="N216" s="2">
        <f t="shared" si="42"/>
        <v>5.1461079037448659E-3</v>
      </c>
      <c r="O216">
        <f t="shared" si="43"/>
        <v>9185.5337</v>
      </c>
      <c r="P216">
        <f t="shared" ca="1" si="49"/>
        <v>9190</v>
      </c>
      <c r="Q216" t="str">
        <f t="shared" ca="1" si="44"/>
        <v>0010001111100110</v>
      </c>
      <c r="R216">
        <f t="shared" ca="1" si="45"/>
        <v>1.723125</v>
      </c>
      <c r="S216">
        <f t="shared" ca="1" si="46"/>
        <v>40.677500000000002</v>
      </c>
      <c r="T216" s="1">
        <f t="shared" ca="1" si="48"/>
        <v>1.7451690821256124E-2</v>
      </c>
      <c r="V216" s="4">
        <f t="shared" ca="1" si="47"/>
        <v>0.72250000000000003</v>
      </c>
      <c r="X216" s="2"/>
    </row>
    <row r="217" spans="8:24" x14ac:dyDescent="0.25">
      <c r="H217">
        <v>41.5</v>
      </c>
      <c r="I217">
        <v>1.7216660020683243</v>
      </c>
      <c r="J217" s="4">
        <f t="shared" si="38"/>
        <v>-1.01E-4</v>
      </c>
      <c r="K217" s="9">
        <f t="shared" si="39"/>
        <v>1.08E-4</v>
      </c>
      <c r="L217" s="4">
        <f t="shared" si="40"/>
        <v>5.058E-3</v>
      </c>
      <c r="M217" s="5">
        <f t="shared" si="41"/>
        <v>1.7305779720871408</v>
      </c>
      <c r="N217" s="2">
        <f t="shared" si="42"/>
        <v>5.1763640613859459E-3</v>
      </c>
      <c r="O217">
        <f t="shared" si="43"/>
        <v>9232.7999</v>
      </c>
      <c r="P217">
        <f t="shared" ca="1" si="49"/>
        <v>9235</v>
      </c>
      <c r="Q217" t="str">
        <f t="shared" ca="1" si="44"/>
        <v>0010010000010011</v>
      </c>
      <c r="R217">
        <f t="shared" ca="1" si="45"/>
        <v>1.7315625000000001</v>
      </c>
      <c r="S217">
        <f t="shared" ca="1" si="46"/>
        <v>40.778750000000002</v>
      </c>
      <c r="T217" s="1">
        <f t="shared" ca="1" si="48"/>
        <v>1.7379518072289102E-2</v>
      </c>
      <c r="V217" s="4">
        <f t="shared" ca="1" si="47"/>
        <v>0.72124999999999995</v>
      </c>
      <c r="X217" s="2"/>
    </row>
    <row r="218" spans="8:24" x14ac:dyDescent="0.25">
      <c r="H218">
        <v>41.6</v>
      </c>
      <c r="I218">
        <v>1.7304519669197036</v>
      </c>
      <c r="J218" s="4">
        <f t="shared" si="38"/>
        <v>-1.01E-4</v>
      </c>
      <c r="K218" s="9">
        <f t="shared" si="39"/>
        <v>1.08E-4</v>
      </c>
      <c r="L218" s="4">
        <f t="shared" si="40"/>
        <v>5.0879999999999996E-3</v>
      </c>
      <c r="M218" s="5">
        <f t="shared" si="41"/>
        <v>1.7394610496362526</v>
      </c>
      <c r="N218" s="2">
        <f t="shared" si="42"/>
        <v>5.2062021302941072E-3</v>
      </c>
      <c r="O218">
        <f t="shared" si="43"/>
        <v>9280.1918999999998</v>
      </c>
      <c r="P218">
        <f t="shared" ca="1" si="49"/>
        <v>9282</v>
      </c>
      <c r="Q218" t="str">
        <f t="shared" ca="1" si="44"/>
        <v>0010010001000010</v>
      </c>
      <c r="R218">
        <f t="shared" ca="1" si="45"/>
        <v>1.740375</v>
      </c>
      <c r="S218">
        <f t="shared" ca="1" si="46"/>
        <v>40.884500000000003</v>
      </c>
      <c r="T218" s="1">
        <f t="shared" ca="1" si="48"/>
        <v>1.7199519230769199E-2</v>
      </c>
      <c r="V218" s="4">
        <f t="shared" ca="1" si="47"/>
        <v>0.71550000000000002</v>
      </c>
      <c r="X218" s="2"/>
    </row>
    <row r="219" spans="8:24" x14ac:dyDescent="0.25">
      <c r="H219">
        <v>41.7</v>
      </c>
      <c r="I219">
        <v>1.7400273194342883</v>
      </c>
      <c r="J219" s="4">
        <f t="shared" si="38"/>
        <v>-1E-4</v>
      </c>
      <c r="K219" s="9">
        <f t="shared" si="39"/>
        <v>1.0900000000000001E-4</v>
      </c>
      <c r="L219" s="4">
        <f t="shared" si="40"/>
        <v>5.1190000000000003E-3</v>
      </c>
      <c r="M219" s="5">
        <f t="shared" si="41"/>
        <v>1.7491388643790444</v>
      </c>
      <c r="N219" s="2">
        <f t="shared" si="42"/>
        <v>5.2364378668022247E-3</v>
      </c>
      <c r="O219">
        <f t="shared" si="43"/>
        <v>9331.8240000000005</v>
      </c>
      <c r="P219">
        <f t="shared" ca="1" si="49"/>
        <v>9332</v>
      </c>
      <c r="Q219" t="str">
        <f t="shared" ca="1" si="44"/>
        <v>0010010001110100</v>
      </c>
      <c r="R219">
        <f t="shared" ca="1" si="45"/>
        <v>1.7497500000000001</v>
      </c>
      <c r="S219">
        <f t="shared" ca="1" si="46"/>
        <v>40.997</v>
      </c>
      <c r="T219" s="1">
        <f t="shared" ca="1" si="48"/>
        <v>1.6858513189448511E-2</v>
      </c>
      <c r="V219" s="4">
        <f t="shared" ca="1" si="47"/>
        <v>0.70299999999999996</v>
      </c>
      <c r="X219" s="2"/>
    </row>
    <row r="220" spans="8:24" x14ac:dyDescent="0.25">
      <c r="H220">
        <v>41.8</v>
      </c>
      <c r="I220">
        <v>1.7488592546924064</v>
      </c>
      <c r="J220" s="4">
        <f t="shared" si="38"/>
        <v>-1E-4</v>
      </c>
      <c r="K220" s="9">
        <f t="shared" si="39"/>
        <v>1.0900000000000001E-4</v>
      </c>
      <c r="L220" s="4">
        <f t="shared" si="40"/>
        <v>5.1489999999999999E-3</v>
      </c>
      <c r="M220" s="5">
        <f t="shared" si="41"/>
        <v>1.7580692546425607</v>
      </c>
      <c r="N220" s="2">
        <f t="shared" si="42"/>
        <v>5.2662899689856031E-3</v>
      </c>
      <c r="O220">
        <f t="shared" si="43"/>
        <v>9379.4685000000009</v>
      </c>
      <c r="P220">
        <f t="shared" ca="1" si="49"/>
        <v>9379</v>
      </c>
      <c r="Q220" t="str">
        <f t="shared" ca="1" si="44"/>
        <v>0010010010100011</v>
      </c>
      <c r="R220">
        <f t="shared" ca="1" si="45"/>
        <v>1.7585625</v>
      </c>
      <c r="S220">
        <f t="shared" ca="1" si="46"/>
        <v>41.102750000000007</v>
      </c>
      <c r="T220" s="1">
        <f t="shared" ca="1" si="48"/>
        <v>1.6680622009569133E-2</v>
      </c>
      <c r="V220" s="4">
        <f t="shared" ca="1" si="47"/>
        <v>0.69725000000000004</v>
      </c>
      <c r="X220" s="2"/>
    </row>
    <row r="221" spans="8:24" x14ac:dyDescent="0.25">
      <c r="H221">
        <v>41.900000000000006</v>
      </c>
      <c r="I221">
        <v>1.7584782147595095</v>
      </c>
      <c r="J221" s="4">
        <f t="shared" si="38"/>
        <v>-9.8999999999999994E-5</v>
      </c>
      <c r="K221" s="9">
        <f t="shared" si="39"/>
        <v>1.1E-4</v>
      </c>
      <c r="L221" s="4">
        <f t="shared" si="40"/>
        <v>5.1799999999999997E-3</v>
      </c>
      <c r="M221" s="5">
        <f t="shared" si="41"/>
        <v>1.7677920772798188</v>
      </c>
      <c r="N221" s="2">
        <f t="shared" si="42"/>
        <v>5.2965470041851336E-3</v>
      </c>
      <c r="O221">
        <f t="shared" si="43"/>
        <v>9431.3407000000007</v>
      </c>
      <c r="P221">
        <f t="shared" ca="1" si="49"/>
        <v>9433</v>
      </c>
      <c r="Q221" t="str">
        <f t="shared" ca="1" si="44"/>
        <v>0010010011011001</v>
      </c>
      <c r="R221">
        <f t="shared" ca="1" si="45"/>
        <v>1.7686875</v>
      </c>
      <c r="S221">
        <f t="shared" ca="1" si="46"/>
        <v>41.224249999999998</v>
      </c>
      <c r="T221" s="1">
        <f t="shared" ca="1" si="48"/>
        <v>1.6127684964200664E-2</v>
      </c>
      <c r="V221" s="4">
        <f t="shared" ca="1" si="47"/>
        <v>0.67574999999999996</v>
      </c>
      <c r="X221" s="2"/>
    </row>
    <row r="222" spans="8:24" x14ac:dyDescent="0.25">
      <c r="H222">
        <v>42</v>
      </c>
      <c r="I222">
        <v>1.7673557436345699</v>
      </c>
      <c r="J222" s="4">
        <f t="shared" si="38"/>
        <v>-9.8999999999999994E-5</v>
      </c>
      <c r="K222" s="9">
        <f t="shared" si="39"/>
        <v>1.1E-4</v>
      </c>
      <c r="L222" s="4">
        <f t="shared" si="40"/>
        <v>5.2100000000000002E-3</v>
      </c>
      <c r="M222" s="5">
        <f t="shared" si="41"/>
        <v>1.7767694100810925</v>
      </c>
      <c r="N222" s="2">
        <f t="shared" si="42"/>
        <v>5.32641290833916E-3</v>
      </c>
      <c r="O222">
        <f t="shared" si="43"/>
        <v>9479.2356</v>
      </c>
      <c r="P222">
        <f t="shared" ca="1" si="49"/>
        <v>9482</v>
      </c>
      <c r="Q222" t="str">
        <f t="shared" ca="1" si="44"/>
        <v>0010010100001010</v>
      </c>
      <c r="R222">
        <f t="shared" ca="1" si="45"/>
        <v>1.7778750000000001</v>
      </c>
      <c r="S222">
        <f t="shared" ca="1" si="46"/>
        <v>41.334500000000006</v>
      </c>
      <c r="T222" s="1">
        <f t="shared" ca="1" si="48"/>
        <v>1.5845238095237961E-2</v>
      </c>
      <c r="V222" s="4">
        <f t="shared" ca="1" si="47"/>
        <v>0.66549999999999998</v>
      </c>
      <c r="X222" s="2"/>
    </row>
    <row r="223" spans="8:24" x14ac:dyDescent="0.25">
      <c r="H223">
        <v>42.1</v>
      </c>
      <c r="I223">
        <v>1.7762564723096324</v>
      </c>
      <c r="J223" s="4">
        <f t="shared" si="38"/>
        <v>-9.7999999999999997E-5</v>
      </c>
      <c r="K223" s="9">
        <f t="shared" si="39"/>
        <v>1.11E-4</v>
      </c>
      <c r="L223" s="4">
        <f t="shared" si="40"/>
        <v>5.241E-3</v>
      </c>
      <c r="M223" s="5">
        <f t="shared" si="41"/>
        <v>1.7857713962192172</v>
      </c>
      <c r="N223" s="2">
        <f t="shared" si="42"/>
        <v>5.3567286357092264E-3</v>
      </c>
      <c r="O223">
        <f t="shared" si="43"/>
        <v>9527.2620999999999</v>
      </c>
      <c r="P223">
        <f t="shared" ca="1" si="49"/>
        <v>9532</v>
      </c>
      <c r="Q223" t="str">
        <f t="shared" ca="1" si="44"/>
        <v>0010010100111100</v>
      </c>
      <c r="R223">
        <f t="shared" ca="1" si="45"/>
        <v>1.78725</v>
      </c>
      <c r="S223">
        <f t="shared" ca="1" si="46"/>
        <v>41.447000000000003</v>
      </c>
      <c r="T223" s="1">
        <f t="shared" ca="1" si="48"/>
        <v>1.5510688836104481E-2</v>
      </c>
      <c r="V223" s="4">
        <f t="shared" ca="1" si="47"/>
        <v>0.65300000000000002</v>
      </c>
      <c r="X223" s="2"/>
    </row>
    <row r="224" spans="8:24" x14ac:dyDescent="0.25">
      <c r="H224">
        <v>42.2</v>
      </c>
      <c r="I224">
        <v>1.785940674129006</v>
      </c>
      <c r="J224" s="4">
        <f t="shared" si="38"/>
        <v>-9.7E-5</v>
      </c>
      <c r="K224" s="9">
        <f t="shared" si="39"/>
        <v>1.11E-4</v>
      </c>
      <c r="L224" s="4">
        <f t="shared" si="40"/>
        <v>5.2709999999999996E-3</v>
      </c>
      <c r="M224" s="5">
        <f t="shared" si="41"/>
        <v>1.7955597639266634</v>
      </c>
      <c r="N224" s="2">
        <f t="shared" si="42"/>
        <v>5.386007462061154E-3</v>
      </c>
      <c r="O224">
        <f t="shared" si="43"/>
        <v>9579.4840000000004</v>
      </c>
      <c r="P224">
        <f t="shared" ca="1" si="49"/>
        <v>9582</v>
      </c>
      <c r="Q224" t="str">
        <f t="shared" ca="1" si="44"/>
        <v>0010010101101110</v>
      </c>
      <c r="R224">
        <f t="shared" ca="1" si="45"/>
        <v>1.7966250000000001</v>
      </c>
      <c r="S224">
        <f t="shared" ca="1" si="46"/>
        <v>41.5595</v>
      </c>
      <c r="T224" s="1">
        <f t="shared" ca="1" si="48"/>
        <v>1.5177725118483481E-2</v>
      </c>
      <c r="V224" s="4">
        <f t="shared" ca="1" si="47"/>
        <v>0.64049999999999996</v>
      </c>
      <c r="X224" s="2"/>
    </row>
    <row r="225" spans="8:24" x14ac:dyDescent="0.25">
      <c r="H225">
        <v>42.3</v>
      </c>
      <c r="I225">
        <v>1.7948864269372451</v>
      </c>
      <c r="J225" s="4">
        <f t="shared" si="38"/>
        <v>-9.7E-5</v>
      </c>
      <c r="K225" s="9">
        <f t="shared" si="39"/>
        <v>1.12E-4</v>
      </c>
      <c r="L225" s="4">
        <f t="shared" si="40"/>
        <v>5.3020000000000003E-3</v>
      </c>
      <c r="M225" s="5">
        <f t="shared" si="41"/>
        <v>1.804609157172574</v>
      </c>
      <c r="N225" s="2">
        <f t="shared" si="42"/>
        <v>5.4169055431097859E-3</v>
      </c>
      <c r="O225">
        <f t="shared" si="43"/>
        <v>9627.7633999999998</v>
      </c>
      <c r="P225">
        <f t="shared" ca="1" si="49"/>
        <v>9626</v>
      </c>
      <c r="Q225" t="str">
        <f t="shared" ca="1" si="44"/>
        <v>0010010110011010</v>
      </c>
      <c r="R225">
        <f t="shared" ca="1" si="45"/>
        <v>1.804875</v>
      </c>
      <c r="S225">
        <f t="shared" ca="1" si="46"/>
        <v>41.658500000000004</v>
      </c>
      <c r="T225" s="1">
        <f t="shared" ca="1" si="48"/>
        <v>1.5165484633569587E-2</v>
      </c>
      <c r="V225" s="4">
        <f t="shared" ca="1" si="47"/>
        <v>0.64149999999999996</v>
      </c>
      <c r="X225" s="2"/>
    </row>
    <row r="226" spans="8:24" x14ac:dyDescent="0.25">
      <c r="H226">
        <v>42.400000000000006</v>
      </c>
      <c r="I226">
        <v>1.8038550944980998</v>
      </c>
      <c r="J226" s="4">
        <f t="shared" si="38"/>
        <v>-9.6000000000000002E-5</v>
      </c>
      <c r="K226" s="9">
        <f t="shared" si="39"/>
        <v>1.12E-4</v>
      </c>
      <c r="L226" s="4">
        <f t="shared" si="40"/>
        <v>5.3319999999999999E-3</v>
      </c>
      <c r="M226" s="5">
        <f t="shared" si="41"/>
        <v>1.8136793233944388</v>
      </c>
      <c r="N226" s="2">
        <f t="shared" si="42"/>
        <v>5.4462406244845949E-3</v>
      </c>
      <c r="O226">
        <f t="shared" si="43"/>
        <v>9676.1535999999996</v>
      </c>
      <c r="P226">
        <f t="shared" ca="1" si="49"/>
        <v>9677</v>
      </c>
      <c r="Q226" t="str">
        <f t="shared" ca="1" si="44"/>
        <v>0010010111001101</v>
      </c>
      <c r="R226">
        <f t="shared" ca="1" si="45"/>
        <v>1.8144375000000001</v>
      </c>
      <c r="S226">
        <f t="shared" ca="1" si="46"/>
        <v>41.773250000000004</v>
      </c>
      <c r="T226" s="1">
        <f t="shared" ca="1" si="48"/>
        <v>1.4781839622641537E-2</v>
      </c>
      <c r="V226" s="4">
        <f t="shared" ca="1" si="47"/>
        <v>0.62675000000000003</v>
      </c>
      <c r="X226" s="2"/>
    </row>
    <row r="227" spans="8:24" x14ac:dyDescent="0.25">
      <c r="H227">
        <v>42.5</v>
      </c>
      <c r="I227">
        <v>1.8128465812137984</v>
      </c>
      <c r="J227" s="4">
        <f t="shared" si="38"/>
        <v>-9.6000000000000002E-5</v>
      </c>
      <c r="K227" s="9">
        <f t="shared" si="39"/>
        <v>1.13E-4</v>
      </c>
      <c r="L227" s="4">
        <f t="shared" si="40"/>
        <v>5.3629999999999997E-3</v>
      </c>
      <c r="M227" s="5">
        <f t="shared" si="41"/>
        <v>1.8227758168656489</v>
      </c>
      <c r="N227" s="2">
        <f t="shared" si="42"/>
        <v>5.4771516546107263E-3</v>
      </c>
      <c r="O227">
        <f t="shared" si="43"/>
        <v>9724.6841999999997</v>
      </c>
      <c r="P227">
        <f t="shared" ca="1" si="49"/>
        <v>9724</v>
      </c>
      <c r="Q227" t="str">
        <f t="shared" ca="1" si="44"/>
        <v>0010010111111100</v>
      </c>
      <c r="R227">
        <f t="shared" ca="1" si="45"/>
        <v>1.82325</v>
      </c>
      <c r="S227">
        <f t="shared" ca="1" si="46"/>
        <v>41.879000000000005</v>
      </c>
      <c r="T227" s="1">
        <f t="shared" ca="1" si="48"/>
        <v>1.4611764705882237E-2</v>
      </c>
      <c r="V227" s="4">
        <f t="shared" ca="1" si="47"/>
        <v>0.621</v>
      </c>
      <c r="X227" s="2"/>
    </row>
    <row r="228" spans="8:24" x14ac:dyDescent="0.25">
      <c r="H228">
        <v>42.6</v>
      </c>
      <c r="I228">
        <v>1.8218607905700759</v>
      </c>
      <c r="J228" s="4">
        <f t="shared" si="38"/>
        <v>-9.5000000000000005E-5</v>
      </c>
      <c r="K228" s="9">
        <f t="shared" si="39"/>
        <v>1.13E-4</v>
      </c>
      <c r="L228" s="4">
        <f t="shared" si="40"/>
        <v>5.3930000000000002E-3</v>
      </c>
      <c r="M228" s="5">
        <f t="shared" si="41"/>
        <v>1.8318928760566493</v>
      </c>
      <c r="N228" s="2">
        <f t="shared" si="42"/>
        <v>5.5065049637707452E-3</v>
      </c>
      <c r="O228">
        <f t="shared" si="43"/>
        <v>9773.3245999999999</v>
      </c>
      <c r="P228">
        <f t="shared" ca="1" si="49"/>
        <v>9777</v>
      </c>
      <c r="Q228" t="str">
        <f t="shared" ca="1" si="44"/>
        <v>0010011000110001</v>
      </c>
      <c r="R228">
        <f t="shared" ca="1" si="45"/>
        <v>1.8331875</v>
      </c>
      <c r="S228">
        <f t="shared" ca="1" si="46"/>
        <v>41.998250000000006</v>
      </c>
      <c r="T228" s="1">
        <f t="shared" ca="1" si="48"/>
        <v>1.412558685445999E-2</v>
      </c>
      <c r="V228" s="4">
        <f t="shared" ca="1" si="47"/>
        <v>0.60175000000000001</v>
      </c>
      <c r="X228" s="2"/>
    </row>
    <row r="229" spans="8:24" x14ac:dyDescent="0.25">
      <c r="H229">
        <v>42.7</v>
      </c>
      <c r="I229">
        <v>1.8308976264454468</v>
      </c>
      <c r="J229" s="4">
        <f t="shared" si="38"/>
        <v>-9.3999999999999994E-5</v>
      </c>
      <c r="K229" s="9">
        <f t="shared" si="39"/>
        <v>1.1400000000000001E-4</v>
      </c>
      <c r="L229" s="4">
        <f t="shared" si="40"/>
        <v>5.424E-3</v>
      </c>
      <c r="M229" s="5">
        <f t="shared" si="41"/>
        <v>1.8410350861607829</v>
      </c>
      <c r="N229" s="2">
        <f t="shared" si="42"/>
        <v>5.5368795987885003E-3</v>
      </c>
      <c r="O229">
        <f t="shared" si="43"/>
        <v>9822.0992000000006</v>
      </c>
      <c r="P229">
        <f t="shared" ca="1" si="49"/>
        <v>9821</v>
      </c>
      <c r="Q229" t="str">
        <f t="shared" ca="1" si="44"/>
        <v>0010011001011101</v>
      </c>
      <c r="R229">
        <f t="shared" ca="1" si="45"/>
        <v>1.8414375000000001</v>
      </c>
      <c r="S229">
        <f t="shared" ca="1" si="46"/>
        <v>42.097250000000003</v>
      </c>
      <c r="T229" s="1">
        <f t="shared" ca="1" si="48"/>
        <v>1.4115925058548017E-2</v>
      </c>
      <c r="V229" s="4">
        <f t="shared" ca="1" si="47"/>
        <v>0.60275000000000001</v>
      </c>
      <c r="X229" s="2"/>
    </row>
    <row r="230" spans="8:24" x14ac:dyDescent="0.25">
      <c r="H230">
        <v>42.8</v>
      </c>
      <c r="I230">
        <v>1.8399569925874981</v>
      </c>
      <c r="J230" s="4">
        <f t="shared" si="38"/>
        <v>-9.3999999999999994E-5</v>
      </c>
      <c r="K230" s="9">
        <f t="shared" si="39"/>
        <v>1.1400000000000001E-4</v>
      </c>
      <c r="L230" s="4">
        <f t="shared" si="40"/>
        <v>5.4539999999999996E-3</v>
      </c>
      <c r="M230" s="5">
        <f t="shared" si="41"/>
        <v>1.8501996652296606</v>
      </c>
      <c r="N230" s="2">
        <f t="shared" si="42"/>
        <v>5.5668000303411517E-3</v>
      </c>
      <c r="O230">
        <f t="shared" si="43"/>
        <v>9870.9930999999997</v>
      </c>
      <c r="P230">
        <f t="shared" ca="1" si="49"/>
        <v>9874</v>
      </c>
      <c r="Q230" t="str">
        <f t="shared" ca="1" si="44"/>
        <v>0010011010010010</v>
      </c>
      <c r="R230">
        <f t="shared" ca="1" si="45"/>
        <v>1.851375</v>
      </c>
      <c r="S230">
        <f t="shared" ca="1" si="46"/>
        <v>42.216500000000003</v>
      </c>
      <c r="T230" s="1">
        <f t="shared" ca="1" si="48"/>
        <v>1.3633177570093311E-2</v>
      </c>
      <c r="V230" s="4">
        <f t="shared" ca="1" si="47"/>
        <v>0.58350000000000002</v>
      </c>
      <c r="X230" s="2"/>
    </row>
    <row r="231" spans="8:24" x14ac:dyDescent="0.25">
      <c r="H231">
        <v>42.900000000000006</v>
      </c>
      <c r="I231">
        <v>1.8490387917690758</v>
      </c>
      <c r="J231" s="4">
        <f t="shared" si="38"/>
        <v>-9.2999999999999997E-5</v>
      </c>
      <c r="K231" s="9">
        <f t="shared" si="39"/>
        <v>1.15E-4</v>
      </c>
      <c r="L231" s="4">
        <f t="shared" si="40"/>
        <v>5.4850000000000003E-3</v>
      </c>
      <c r="M231" s="5">
        <f t="shared" si="41"/>
        <v>1.8593882180148873</v>
      </c>
      <c r="N231" s="2">
        <f t="shared" si="42"/>
        <v>5.5971926018434795E-3</v>
      </c>
      <c r="O231">
        <f t="shared" si="43"/>
        <v>9920.0149000000001</v>
      </c>
      <c r="P231">
        <f t="shared" ca="1" si="49"/>
        <v>9920</v>
      </c>
      <c r="Q231" t="str">
        <f t="shared" ca="1" si="44"/>
        <v>0010011011000000</v>
      </c>
      <c r="R231">
        <f t="shared" ca="1" si="45"/>
        <v>1.86</v>
      </c>
      <c r="S231">
        <f t="shared" ca="1" si="46"/>
        <v>42.320000000000007</v>
      </c>
      <c r="T231" s="1">
        <f t="shared" ca="1" si="48"/>
        <v>1.3519813519813479E-2</v>
      </c>
      <c r="V231" s="4">
        <f t="shared" ca="1" si="47"/>
        <v>0.57999999999999996</v>
      </c>
      <c r="X231" s="2"/>
    </row>
    <row r="232" spans="8:24" x14ac:dyDescent="0.25">
      <c r="H232">
        <v>43</v>
      </c>
      <c r="I232">
        <v>1.8573913042790977</v>
      </c>
      <c r="J232" s="4">
        <f t="shared" si="38"/>
        <v>-9.2999999999999997E-5</v>
      </c>
      <c r="K232" s="9">
        <f t="shared" si="39"/>
        <v>1.15E-4</v>
      </c>
      <c r="L232" s="4">
        <f t="shared" si="40"/>
        <v>5.5149999999999999E-3</v>
      </c>
      <c r="M232" s="5">
        <f t="shared" si="41"/>
        <v>1.867843139322461</v>
      </c>
      <c r="N232" s="2">
        <f t="shared" si="42"/>
        <v>5.6271583802961567E-3</v>
      </c>
      <c r="O232">
        <f t="shared" si="43"/>
        <v>9965.1226999999999</v>
      </c>
      <c r="P232">
        <f t="shared" ca="1" si="49"/>
        <v>9968</v>
      </c>
      <c r="Q232" t="str">
        <f t="shared" ca="1" si="44"/>
        <v>0010011011110000</v>
      </c>
      <c r="R232">
        <f t="shared" ca="1" si="45"/>
        <v>1.869</v>
      </c>
      <c r="S232">
        <f t="shared" ca="1" si="46"/>
        <v>42.428000000000004</v>
      </c>
      <c r="T232" s="1">
        <f t="shared" ca="1" si="48"/>
        <v>1.3302325581395246E-2</v>
      </c>
      <c r="V232" s="4">
        <f t="shared" ca="1" si="47"/>
        <v>0.57199999999999995</v>
      </c>
      <c r="X232" s="2"/>
    </row>
    <row r="233" spans="8:24" x14ac:dyDescent="0.25">
      <c r="H233">
        <v>43.1</v>
      </c>
      <c r="I233">
        <v>1.8665187730204209</v>
      </c>
      <c r="J233" s="4">
        <f t="shared" si="38"/>
        <v>-9.2E-5</v>
      </c>
      <c r="K233" s="9">
        <f t="shared" si="39"/>
        <v>1.16E-4</v>
      </c>
      <c r="L233" s="4">
        <f t="shared" si="40"/>
        <v>5.5459999999999997E-3</v>
      </c>
      <c r="M233" s="5">
        <f t="shared" si="41"/>
        <v>1.8770787299889395</v>
      </c>
      <c r="N233" s="2">
        <f t="shared" si="42"/>
        <v>5.65756804654603E-3</v>
      </c>
      <c r="O233">
        <f t="shared" si="43"/>
        <v>10014.395500000001</v>
      </c>
      <c r="P233">
        <f t="shared" ca="1" si="49"/>
        <v>10013</v>
      </c>
      <c r="Q233" t="str">
        <f t="shared" ca="1" si="44"/>
        <v>0010011100011101</v>
      </c>
      <c r="R233">
        <f t="shared" ca="1" si="45"/>
        <v>1.8774375000000001</v>
      </c>
      <c r="S233">
        <f t="shared" ca="1" si="46"/>
        <v>42.529250000000005</v>
      </c>
      <c r="T233" s="1">
        <f t="shared" ca="1" si="48"/>
        <v>1.3242459396751664E-2</v>
      </c>
      <c r="V233" s="4">
        <f t="shared" ca="1" si="47"/>
        <v>0.57074999999999998</v>
      </c>
      <c r="X233" s="2"/>
    </row>
    <row r="234" spans="8:24" x14ac:dyDescent="0.25">
      <c r="H234">
        <v>43.2</v>
      </c>
      <c r="I234">
        <v>1.8756683828870042</v>
      </c>
      <c r="J234" s="4">
        <f t="shared" si="38"/>
        <v>-9.2E-5</v>
      </c>
      <c r="K234" s="9">
        <f t="shared" si="39"/>
        <v>1.16E-4</v>
      </c>
      <c r="L234" s="4">
        <f t="shared" si="40"/>
        <v>5.5760000000000002E-3</v>
      </c>
      <c r="M234" s="5">
        <f t="shared" si="41"/>
        <v>1.8863362705234428</v>
      </c>
      <c r="N234" s="2">
        <f t="shared" si="42"/>
        <v>5.6875126401707971E-3</v>
      </c>
      <c r="O234">
        <f t="shared" si="43"/>
        <v>10063.785400000001</v>
      </c>
      <c r="P234">
        <f t="shared" ca="1" si="49"/>
        <v>10063</v>
      </c>
      <c r="Q234" t="str">
        <f t="shared" ca="1" si="44"/>
        <v>0010011101001111</v>
      </c>
      <c r="R234">
        <f t="shared" ca="1" si="45"/>
        <v>1.8868125</v>
      </c>
      <c r="S234">
        <f t="shared" ca="1" si="46"/>
        <v>42.641750000000002</v>
      </c>
      <c r="T234" s="1">
        <f t="shared" ca="1" si="48"/>
        <v>1.2922453703703726E-2</v>
      </c>
      <c r="V234" s="4">
        <f t="shared" ca="1" si="47"/>
        <v>0.55825000000000002</v>
      </c>
      <c r="X234" s="2"/>
    </row>
    <row r="235" spans="8:24" x14ac:dyDescent="0.25">
      <c r="H235">
        <v>43.3</v>
      </c>
      <c r="I235">
        <v>1.8848400351677552</v>
      </c>
      <c r="J235" s="4">
        <f t="shared" si="38"/>
        <v>-9.1000000000000003E-5</v>
      </c>
      <c r="K235" s="9">
        <f t="shared" si="39"/>
        <v>1.17E-4</v>
      </c>
      <c r="L235" s="4">
        <f t="shared" si="40"/>
        <v>5.607E-3</v>
      </c>
      <c r="M235" s="5">
        <f t="shared" si="41"/>
        <v>1.8956174369306253</v>
      </c>
      <c r="N235" s="2">
        <f t="shared" si="42"/>
        <v>5.7179397518001603E-3</v>
      </c>
      <c r="O235">
        <f t="shared" si="43"/>
        <v>10113.301299999999</v>
      </c>
      <c r="P235">
        <f t="shared" ca="1" si="49"/>
        <v>10118</v>
      </c>
      <c r="Q235" t="str">
        <f t="shared" ca="1" si="44"/>
        <v>0010011110000110</v>
      </c>
      <c r="R235">
        <f t="shared" ca="1" si="45"/>
        <v>1.897125</v>
      </c>
      <c r="S235">
        <f t="shared" ca="1" si="46"/>
        <v>42.765500000000003</v>
      </c>
      <c r="T235" s="1">
        <f t="shared" ca="1" si="48"/>
        <v>1.2344110854503331E-2</v>
      </c>
      <c r="V235" s="4">
        <f t="shared" ca="1" si="47"/>
        <v>0.53449999999999998</v>
      </c>
      <c r="X235" s="2"/>
    </row>
    <row r="236" spans="8:24" x14ac:dyDescent="0.25">
      <c r="H236">
        <v>43.400000000000006</v>
      </c>
      <c r="I236">
        <v>1.8940336319662774</v>
      </c>
      <c r="J236" s="4">
        <f t="shared" si="38"/>
        <v>-9.0000000000000006E-5</v>
      </c>
      <c r="K236" s="9">
        <f t="shared" si="39"/>
        <v>1.17E-4</v>
      </c>
      <c r="L236" s="4">
        <f t="shared" si="40"/>
        <v>5.6369999999999996E-3</v>
      </c>
      <c r="M236" s="5">
        <f t="shared" si="41"/>
        <v>1.904919335313439</v>
      </c>
      <c r="N236" s="2">
        <f t="shared" si="42"/>
        <v>5.7473653917437268E-3</v>
      </c>
      <c r="O236">
        <f t="shared" si="43"/>
        <v>10162.927799999999</v>
      </c>
      <c r="P236">
        <f t="shared" ca="1" si="49"/>
        <v>10163</v>
      </c>
      <c r="Q236" t="str">
        <f t="shared" ca="1" si="44"/>
        <v>0010011110110011</v>
      </c>
      <c r="R236">
        <f t="shared" ca="1" si="45"/>
        <v>1.9055625</v>
      </c>
      <c r="S236">
        <f t="shared" ca="1" si="46"/>
        <v>42.866750000000003</v>
      </c>
      <c r="T236" s="1">
        <f t="shared" ca="1" si="48"/>
        <v>1.2286866359447059E-2</v>
      </c>
      <c r="V236" s="4">
        <f t="shared" ca="1" si="47"/>
        <v>0.53325</v>
      </c>
      <c r="X236" s="2"/>
    </row>
    <row r="237" spans="8:24" x14ac:dyDescent="0.25">
      <c r="H237">
        <v>43.5</v>
      </c>
      <c r="I237">
        <v>1.9032490741495651</v>
      </c>
      <c r="J237" s="4">
        <f t="shared" si="38"/>
        <v>-9.0000000000000006E-5</v>
      </c>
      <c r="K237" s="9">
        <f t="shared" si="39"/>
        <v>1.18E-4</v>
      </c>
      <c r="L237" s="4">
        <f t="shared" si="40"/>
        <v>5.6680000000000003E-3</v>
      </c>
      <c r="M237" s="5">
        <f t="shared" si="41"/>
        <v>1.9142466956766602</v>
      </c>
      <c r="N237" s="2">
        <f t="shared" si="42"/>
        <v>5.7783406683169676E-3</v>
      </c>
      <c r="O237">
        <f t="shared" si="43"/>
        <v>10212.690199999999</v>
      </c>
      <c r="P237">
        <f t="shared" ca="1" si="49"/>
        <v>10212</v>
      </c>
      <c r="Q237" t="str">
        <f t="shared" ca="1" si="44"/>
        <v>0010011111100100</v>
      </c>
      <c r="R237">
        <f t="shared" ca="1" si="45"/>
        <v>1.91475</v>
      </c>
      <c r="S237">
        <f t="shared" ca="1" si="46"/>
        <v>42.977000000000004</v>
      </c>
      <c r="T237" s="1">
        <f t="shared" ca="1" si="48"/>
        <v>1.2022988505747038E-2</v>
      </c>
      <c r="V237" s="4">
        <f t="shared" ca="1" si="47"/>
        <v>0.52300000000000002</v>
      </c>
      <c r="X237" s="2"/>
    </row>
    <row r="238" spans="8:24" x14ac:dyDescent="0.25">
      <c r="H238">
        <v>43.6</v>
      </c>
      <c r="I238">
        <v>1.911741220704948</v>
      </c>
      <c r="J238" s="4">
        <f t="shared" si="38"/>
        <v>-8.8999999999999995E-5</v>
      </c>
      <c r="K238" s="9">
        <f t="shared" si="39"/>
        <v>1.18E-4</v>
      </c>
      <c r="L238" s="4">
        <f t="shared" si="40"/>
        <v>5.6979999999999999E-3</v>
      </c>
      <c r="M238" s="5">
        <f t="shared" si="41"/>
        <v>1.9228442567961725</v>
      </c>
      <c r="N238" s="2">
        <f t="shared" si="42"/>
        <v>5.8078133018078315E-3</v>
      </c>
      <c r="O238">
        <f t="shared" si="43"/>
        <v>10258.558999999999</v>
      </c>
      <c r="P238">
        <f t="shared" ca="1" si="49"/>
        <v>10258</v>
      </c>
      <c r="Q238" t="str">
        <f t="shared" ca="1" si="44"/>
        <v>0010100000010010</v>
      </c>
      <c r="R238">
        <f t="shared" ca="1" si="45"/>
        <v>1.9233750000000001</v>
      </c>
      <c r="S238">
        <f t="shared" ca="1" si="46"/>
        <v>43.080500000000008</v>
      </c>
      <c r="T238" s="1">
        <f t="shared" ca="1" si="48"/>
        <v>1.1915137614678753E-2</v>
      </c>
      <c r="V238" s="4">
        <f t="shared" ca="1" si="47"/>
        <v>0.51949999999999996</v>
      </c>
      <c r="X238" s="2"/>
    </row>
    <row r="239" spans="8:24" x14ac:dyDescent="0.25">
      <c r="H239">
        <v>43.7</v>
      </c>
      <c r="I239">
        <v>1.9210011540542211</v>
      </c>
      <c r="J239" s="4">
        <f t="shared" si="38"/>
        <v>-8.8999999999999995E-5</v>
      </c>
      <c r="K239" s="9">
        <f t="shared" si="39"/>
        <v>1.1900000000000001E-4</v>
      </c>
      <c r="L239" s="4">
        <f t="shared" si="40"/>
        <v>5.7289999999999997E-3</v>
      </c>
      <c r="M239" s="5">
        <f t="shared" si="41"/>
        <v>1.9322174958056917</v>
      </c>
      <c r="N239" s="2">
        <f t="shared" si="42"/>
        <v>5.8388001109727517E-3</v>
      </c>
      <c r="O239">
        <f t="shared" si="43"/>
        <v>10308.5661</v>
      </c>
      <c r="P239">
        <f t="shared" ca="1" si="49"/>
        <v>10312</v>
      </c>
      <c r="Q239" t="str">
        <f t="shared" ca="1" si="44"/>
        <v>0010100001001000</v>
      </c>
      <c r="R239">
        <f t="shared" ca="1" si="45"/>
        <v>1.9335</v>
      </c>
      <c r="S239">
        <f t="shared" ca="1" si="46"/>
        <v>43.201999999999998</v>
      </c>
      <c r="T239" s="1">
        <f t="shared" ca="1" si="48"/>
        <v>1.1395881006865094E-2</v>
      </c>
      <c r="V239" s="4">
        <f t="shared" ca="1" si="47"/>
        <v>0.498</v>
      </c>
      <c r="X239" s="2"/>
    </row>
    <row r="240" spans="8:24" x14ac:dyDescent="0.25">
      <c r="H240">
        <v>43.8</v>
      </c>
      <c r="I240">
        <v>1.9302826350110038</v>
      </c>
      <c r="J240" s="4">
        <f t="shared" si="38"/>
        <v>-8.7999999999999998E-5</v>
      </c>
      <c r="K240" s="9">
        <f t="shared" si="39"/>
        <v>1.1900000000000001E-4</v>
      </c>
      <c r="L240" s="4">
        <f t="shared" si="40"/>
        <v>5.7590000000000002E-3</v>
      </c>
      <c r="M240" s="5">
        <f t="shared" si="41"/>
        <v>1.9416100331700299</v>
      </c>
      <c r="N240" s="2">
        <f t="shared" si="42"/>
        <v>5.8682588516170767E-3</v>
      </c>
      <c r="O240">
        <f t="shared" si="43"/>
        <v>10358.6762</v>
      </c>
      <c r="P240">
        <f t="shared" ca="1" si="49"/>
        <v>10359</v>
      </c>
      <c r="Q240" t="str">
        <f t="shared" ca="1" si="44"/>
        <v>0010100001110111</v>
      </c>
      <c r="R240">
        <f t="shared" ca="1" si="45"/>
        <v>1.9423125000000001</v>
      </c>
      <c r="S240">
        <f t="shared" ca="1" si="46"/>
        <v>43.307750000000006</v>
      </c>
      <c r="T240" s="1">
        <f t="shared" ca="1" si="48"/>
        <v>1.1238584474885649E-2</v>
      </c>
      <c r="V240" s="4">
        <f t="shared" ca="1" si="47"/>
        <v>0.49225000000000002</v>
      </c>
      <c r="X240" s="2"/>
    </row>
    <row r="241" spans="8:24" x14ac:dyDescent="0.25">
      <c r="H241">
        <v>43.900000000000006</v>
      </c>
      <c r="I241">
        <v>1.9395855636421113</v>
      </c>
      <c r="J241" s="4">
        <f t="shared" si="38"/>
        <v>-8.7999999999999998E-5</v>
      </c>
      <c r="K241" s="9">
        <f t="shared" si="39"/>
        <v>1.2E-4</v>
      </c>
      <c r="L241" s="4">
        <f t="shared" si="40"/>
        <v>5.79E-3</v>
      </c>
      <c r="M241" s="5">
        <f t="shared" si="41"/>
        <v>1.9510276780781839</v>
      </c>
      <c r="N241" s="2">
        <f t="shared" si="42"/>
        <v>5.8992573725836659E-3</v>
      </c>
      <c r="O241">
        <f t="shared" si="43"/>
        <v>10408.9202</v>
      </c>
      <c r="P241">
        <f t="shared" ca="1" si="49"/>
        <v>10408</v>
      </c>
      <c r="Q241" t="str">
        <f t="shared" ca="1" si="44"/>
        <v>0010100010101000</v>
      </c>
      <c r="R241">
        <f t="shared" ca="1" si="45"/>
        <v>1.9515</v>
      </c>
      <c r="S241">
        <f t="shared" ca="1" si="46"/>
        <v>43.418000000000006</v>
      </c>
      <c r="T241" s="1">
        <f t="shared" ca="1" si="48"/>
        <v>1.0979498861047819E-2</v>
      </c>
      <c r="V241" s="4">
        <f t="shared" ca="1" si="47"/>
        <v>0.48199999999999998</v>
      </c>
      <c r="X241" s="2"/>
    </row>
    <row r="242" spans="8:24" x14ac:dyDescent="0.25">
      <c r="H242">
        <v>44</v>
      </c>
      <c r="I242">
        <v>1.9481691939574883</v>
      </c>
      <c r="J242" s="4">
        <f t="shared" si="38"/>
        <v>-8.7000000000000001E-5</v>
      </c>
      <c r="K242" s="9">
        <f t="shared" si="39"/>
        <v>1.2E-4</v>
      </c>
      <c r="L242" s="4">
        <f t="shared" si="40"/>
        <v>5.8199999999999997E-3</v>
      </c>
      <c r="M242" s="5">
        <f t="shared" si="41"/>
        <v>1.9597194234419202</v>
      </c>
      <c r="N242" s="2">
        <f t="shared" si="42"/>
        <v>5.928760972227904E-3</v>
      </c>
      <c r="O242">
        <f t="shared" si="43"/>
        <v>10455.291499999999</v>
      </c>
      <c r="P242">
        <f t="shared" ca="1" si="49"/>
        <v>10457</v>
      </c>
      <c r="Q242" t="str">
        <f t="shared" ca="1" si="44"/>
        <v>0010100011011001</v>
      </c>
      <c r="R242">
        <f t="shared" ca="1" si="45"/>
        <v>1.9606875000000001</v>
      </c>
      <c r="S242">
        <f t="shared" ca="1" si="46"/>
        <v>43.52825</v>
      </c>
      <c r="T242" s="1">
        <f t="shared" ca="1" si="48"/>
        <v>1.0721590909090912E-2</v>
      </c>
      <c r="V242" s="4">
        <f t="shared" ca="1" si="47"/>
        <v>0.47175</v>
      </c>
      <c r="X242" s="2"/>
    </row>
    <row r="243" spans="8:24" x14ac:dyDescent="0.25">
      <c r="H243">
        <v>44.1</v>
      </c>
      <c r="I243">
        <v>1.9575158164424038</v>
      </c>
      <c r="J243" s="4">
        <f t="shared" si="38"/>
        <v>-8.6000000000000003E-5</v>
      </c>
      <c r="K243" s="9">
        <f t="shared" si="39"/>
        <v>1.21E-4</v>
      </c>
      <c r="L243" s="4">
        <f t="shared" si="40"/>
        <v>5.8510000000000003E-3</v>
      </c>
      <c r="M243" s="5">
        <f t="shared" si="41"/>
        <v>1.9691811560283257</v>
      </c>
      <c r="N243" s="2">
        <f t="shared" si="42"/>
        <v>5.9592568744208122E-3</v>
      </c>
      <c r="O243">
        <f t="shared" si="43"/>
        <v>10505.7708</v>
      </c>
      <c r="P243">
        <f t="shared" ca="1" si="49"/>
        <v>10508</v>
      </c>
      <c r="Q243" t="str">
        <f t="shared" ca="1" si="44"/>
        <v>0010100100001100</v>
      </c>
      <c r="R243">
        <f t="shared" ca="1" si="45"/>
        <v>1.9702500000000001</v>
      </c>
      <c r="S243">
        <f t="shared" ca="1" si="46"/>
        <v>43.643000000000008</v>
      </c>
      <c r="T243" s="1">
        <f t="shared" ca="1" si="48"/>
        <v>1.0362811791383075E-2</v>
      </c>
      <c r="V243" s="4">
        <f t="shared" ca="1" si="47"/>
        <v>0.45700000000000002</v>
      </c>
      <c r="X243" s="2"/>
    </row>
    <row r="244" spans="8:24" x14ac:dyDescent="0.25">
      <c r="H244">
        <v>44.2</v>
      </c>
      <c r="I244">
        <v>1.9668835850708808</v>
      </c>
      <c r="J244" s="4">
        <f t="shared" si="38"/>
        <v>-8.6000000000000003E-5</v>
      </c>
      <c r="K244" s="9">
        <f t="shared" si="39"/>
        <v>1.21E-4</v>
      </c>
      <c r="L244" s="4">
        <f t="shared" si="40"/>
        <v>5.8809999999999999E-3</v>
      </c>
      <c r="M244" s="5">
        <f t="shared" si="41"/>
        <v>1.9786637655782464</v>
      </c>
      <c r="N244" s="2">
        <f t="shared" si="42"/>
        <v>5.9892616913273487E-3</v>
      </c>
      <c r="O244">
        <f t="shared" si="43"/>
        <v>10556.3614</v>
      </c>
      <c r="P244">
        <f t="shared" ca="1" si="49"/>
        <v>10556</v>
      </c>
      <c r="Q244" t="str">
        <f t="shared" ca="1" si="44"/>
        <v>0010100100111100</v>
      </c>
      <c r="R244">
        <f t="shared" ca="1" si="45"/>
        <v>1.97925</v>
      </c>
      <c r="S244">
        <f t="shared" ca="1" si="46"/>
        <v>43.750999999999998</v>
      </c>
      <c r="T244" s="1">
        <f t="shared" ca="1" si="48"/>
        <v>1.0158371040724099E-2</v>
      </c>
      <c r="V244" s="4">
        <f t="shared" ca="1" si="47"/>
        <v>0.44900000000000001</v>
      </c>
      <c r="X244" s="2"/>
    </row>
    <row r="245" spans="8:24" x14ac:dyDescent="0.25">
      <c r="H245">
        <v>44.3</v>
      </c>
      <c r="I245">
        <v>1.9755350552263227</v>
      </c>
      <c r="J245" s="4">
        <f t="shared" si="38"/>
        <v>-8.5000000000000006E-5</v>
      </c>
      <c r="K245" s="9">
        <f t="shared" si="39"/>
        <v>1.22E-4</v>
      </c>
      <c r="L245" s="4">
        <f t="shared" si="40"/>
        <v>5.9119999999999997E-3</v>
      </c>
      <c r="M245" s="5">
        <f t="shared" si="41"/>
        <v>1.9874273830187292</v>
      </c>
      <c r="N245" s="2">
        <f t="shared" si="42"/>
        <v>6.0198009450377222E-3</v>
      </c>
      <c r="O245">
        <f t="shared" si="43"/>
        <v>10603.1162</v>
      </c>
      <c r="P245">
        <f t="shared" ca="1" si="49"/>
        <v>10604</v>
      </c>
      <c r="Q245" t="str">
        <f t="shared" ca="1" si="44"/>
        <v>0010100101101100</v>
      </c>
      <c r="R245">
        <f t="shared" ca="1" si="45"/>
        <v>1.9882500000000001</v>
      </c>
      <c r="S245">
        <f t="shared" ca="1" si="46"/>
        <v>43.859000000000002</v>
      </c>
      <c r="T245" s="1">
        <f t="shared" ca="1" si="48"/>
        <v>9.9548532731375938E-3</v>
      </c>
      <c r="V245" s="4">
        <f t="shared" ca="1" si="47"/>
        <v>0.441</v>
      </c>
      <c r="X245" s="2"/>
    </row>
    <row r="246" spans="8:24" x14ac:dyDescent="0.25">
      <c r="H246">
        <v>44.400000000000006</v>
      </c>
      <c r="I246">
        <v>1.9849459136577783</v>
      </c>
      <c r="J246" s="4">
        <f t="shared" si="38"/>
        <v>-8.5000000000000006E-5</v>
      </c>
      <c r="K246" s="9">
        <f t="shared" si="39"/>
        <v>1.22E-4</v>
      </c>
      <c r="L246" s="4">
        <f t="shared" si="40"/>
        <v>5.9420000000000002E-3</v>
      </c>
      <c r="M246" s="5">
        <f t="shared" si="41"/>
        <v>1.9969544724973574</v>
      </c>
      <c r="N246" s="2">
        <f t="shared" si="42"/>
        <v>6.0498166508981535E-3</v>
      </c>
      <c r="O246">
        <f t="shared" si="43"/>
        <v>10653.944100000001</v>
      </c>
      <c r="P246">
        <f t="shared" ca="1" si="49"/>
        <v>10659</v>
      </c>
      <c r="Q246" t="str">
        <f t="shared" ca="1" si="44"/>
        <v>0010100110100011</v>
      </c>
      <c r="R246">
        <f t="shared" ca="1" si="45"/>
        <v>1.9985625</v>
      </c>
      <c r="S246">
        <f t="shared" ca="1" si="46"/>
        <v>43.982750000000003</v>
      </c>
      <c r="T246" s="1">
        <f t="shared" ca="1" si="48"/>
        <v>9.3975225225225844E-3</v>
      </c>
      <c r="V246" s="4">
        <f t="shared" ca="1" si="47"/>
        <v>0.41725000000000001</v>
      </c>
      <c r="X246" s="2"/>
    </row>
    <row r="247" spans="8:24" x14ac:dyDescent="0.25">
      <c r="H247">
        <v>44.5</v>
      </c>
      <c r="I247">
        <v>1.9943776148252708</v>
      </c>
      <c r="J247" s="4">
        <f t="shared" si="38"/>
        <v>-8.3999999999999995E-5</v>
      </c>
      <c r="K247" s="9">
        <f t="shared" si="39"/>
        <v>1.2300000000000001E-4</v>
      </c>
      <c r="L247" s="4">
        <f t="shared" si="40"/>
        <v>5.973E-3</v>
      </c>
      <c r="M247" s="5">
        <f t="shared" si="41"/>
        <v>2.0065041174850089</v>
      </c>
      <c r="N247" s="2">
        <f t="shared" si="42"/>
        <v>6.0803443488311269E-3</v>
      </c>
      <c r="O247">
        <f t="shared" si="43"/>
        <v>10704.892400000001</v>
      </c>
      <c r="P247">
        <f t="shared" ca="1" si="49"/>
        <v>10703</v>
      </c>
      <c r="Q247" t="str">
        <f t="shared" ca="1" si="44"/>
        <v>0010100111001111</v>
      </c>
      <c r="R247">
        <f t="shared" ca="1" si="45"/>
        <v>2.0068125000000001</v>
      </c>
      <c r="S247">
        <f t="shared" ca="1" si="46"/>
        <v>44.08175</v>
      </c>
      <c r="T247" s="1">
        <f t="shared" ca="1" si="48"/>
        <v>9.3988764044943916E-3</v>
      </c>
      <c r="V247" s="4">
        <f t="shared" ca="1" si="47"/>
        <v>0.41825000000000001</v>
      </c>
      <c r="X247" s="2"/>
    </row>
    <row r="248" spans="8:24" x14ac:dyDescent="0.25">
      <c r="H248">
        <v>44.6</v>
      </c>
      <c r="I248">
        <v>2.0030960176679673</v>
      </c>
      <c r="J248" s="4">
        <f t="shared" si="38"/>
        <v>-8.3999999999999995E-5</v>
      </c>
      <c r="K248" s="9">
        <f t="shared" si="39"/>
        <v>1.2300000000000001E-4</v>
      </c>
      <c r="L248" s="4">
        <f t="shared" si="40"/>
        <v>6.0029999999999997E-3</v>
      </c>
      <c r="M248" s="5">
        <f t="shared" si="41"/>
        <v>2.01533572988044</v>
      </c>
      <c r="N248" s="2">
        <f t="shared" si="42"/>
        <v>6.1103971574574395E-3</v>
      </c>
      <c r="O248">
        <f t="shared" si="43"/>
        <v>10752.009899999999</v>
      </c>
      <c r="P248">
        <f t="shared" ca="1" si="49"/>
        <v>10752</v>
      </c>
      <c r="Q248" t="str">
        <f t="shared" ca="1" si="44"/>
        <v>0010101000000000</v>
      </c>
      <c r="R248">
        <f t="shared" ca="1" si="45"/>
        <v>2.016</v>
      </c>
      <c r="S248">
        <f t="shared" ca="1" si="46"/>
        <v>44.192000000000007</v>
      </c>
      <c r="T248" s="1">
        <f t="shared" ca="1" si="48"/>
        <v>9.1479820627801377E-3</v>
      </c>
      <c r="V248" s="4">
        <f t="shared" ca="1" si="47"/>
        <v>0.40799999999999997</v>
      </c>
      <c r="X248" s="2"/>
    </row>
    <row r="249" spans="8:24" x14ac:dyDescent="0.25">
      <c r="H249">
        <v>44.7</v>
      </c>
      <c r="I249">
        <v>2.01183726433965</v>
      </c>
      <c r="J249" s="4">
        <f t="shared" si="38"/>
        <v>-8.2999999999999998E-5</v>
      </c>
      <c r="K249" s="9">
        <f t="shared" si="39"/>
        <v>1.2400000000000001E-4</v>
      </c>
      <c r="L249" s="4">
        <f t="shared" si="40"/>
        <v>6.0340000000000003E-3</v>
      </c>
      <c r="M249" s="5">
        <f t="shared" si="41"/>
        <v>2.0241918882211767</v>
      </c>
      <c r="N249" s="2">
        <f t="shared" si="42"/>
        <v>6.1409658228901657E-3</v>
      </c>
      <c r="O249">
        <f t="shared" si="43"/>
        <v>10799.2583</v>
      </c>
      <c r="P249">
        <f t="shared" ca="1" si="49"/>
        <v>10800</v>
      </c>
      <c r="Q249" t="str">
        <f t="shared" ca="1" si="44"/>
        <v>0010101000110000</v>
      </c>
      <c r="R249">
        <f t="shared" ca="1" si="45"/>
        <v>2.0249999999999999</v>
      </c>
      <c r="S249">
        <f t="shared" ca="1" si="46"/>
        <v>44.3</v>
      </c>
      <c r="T249" s="1">
        <f t="shared" ca="1" si="48"/>
        <v>8.9485458612976656E-3</v>
      </c>
      <c r="V249" s="4">
        <f t="shared" ca="1" si="47"/>
        <v>0.4</v>
      </c>
      <c r="X249" s="2"/>
    </row>
    <row r="250" spans="8:24" x14ac:dyDescent="0.25">
      <c r="H250">
        <v>44.8</v>
      </c>
      <c r="I250">
        <v>2.0206012533504776</v>
      </c>
      <c r="J250" s="4">
        <f t="shared" si="38"/>
        <v>-8.2000000000000001E-5</v>
      </c>
      <c r="K250" s="9">
        <f t="shared" si="39"/>
        <v>1.2400000000000001E-4</v>
      </c>
      <c r="L250" s="4">
        <f t="shared" si="40"/>
        <v>6.0639999999999999E-3</v>
      </c>
      <c r="M250" s="5">
        <f t="shared" si="41"/>
        <v>2.0330694346904403</v>
      </c>
      <c r="N250" s="2">
        <f t="shared" si="42"/>
        <v>6.170530340555082E-3</v>
      </c>
      <c r="O250">
        <f t="shared" si="43"/>
        <v>10846.6209</v>
      </c>
      <c r="P250">
        <f t="shared" ca="1" si="49"/>
        <v>10846</v>
      </c>
      <c r="Q250" t="str">
        <f t="shared" ca="1" si="44"/>
        <v>0010101001011110</v>
      </c>
      <c r="R250">
        <f t="shared" ca="1" si="45"/>
        <v>2.0336250000000002</v>
      </c>
      <c r="S250">
        <f t="shared" ca="1" si="46"/>
        <v>44.403500000000001</v>
      </c>
      <c r="T250" s="1">
        <f t="shared" ca="1" si="48"/>
        <v>8.8504464285713413E-3</v>
      </c>
      <c r="V250" s="4">
        <f t="shared" ca="1" si="47"/>
        <v>0.39650000000000002</v>
      </c>
      <c r="X250" s="2"/>
    </row>
    <row r="251" spans="8:24" x14ac:dyDescent="0.25">
      <c r="H251">
        <v>44.900000000000006</v>
      </c>
      <c r="I251">
        <v>2.0301186090565357</v>
      </c>
      <c r="J251" s="4">
        <f t="shared" si="38"/>
        <v>-8.2000000000000001E-5</v>
      </c>
      <c r="K251" s="9">
        <f t="shared" si="39"/>
        <v>1.25E-4</v>
      </c>
      <c r="L251" s="4">
        <f t="shared" si="40"/>
        <v>6.0949999999999997E-3</v>
      </c>
      <c r="M251" s="5">
        <f t="shared" si="41"/>
        <v>2.0427085642456126</v>
      </c>
      <c r="N251" s="2">
        <f t="shared" si="42"/>
        <v>6.2015860220737944E-3</v>
      </c>
      <c r="O251">
        <f t="shared" si="43"/>
        <v>10898.0466</v>
      </c>
      <c r="P251">
        <f t="shared" ca="1" si="49"/>
        <v>10902</v>
      </c>
      <c r="Q251" t="str">
        <f t="shared" ca="1" si="44"/>
        <v>0010101010010110</v>
      </c>
      <c r="R251">
        <f t="shared" ca="1" si="45"/>
        <v>2.0441250000000002</v>
      </c>
      <c r="S251">
        <f t="shared" ca="1" si="46"/>
        <v>44.529500000000006</v>
      </c>
      <c r="T251" s="1">
        <f t="shared" ca="1" si="48"/>
        <v>8.2516703786191491E-3</v>
      </c>
      <c r="V251" s="4">
        <f t="shared" ca="1" si="47"/>
        <v>0.3705</v>
      </c>
      <c r="X251" s="2"/>
    </row>
    <row r="252" spans="8:24" x14ac:dyDescent="0.25">
      <c r="H252">
        <v>45</v>
      </c>
      <c r="I252">
        <v>2.0389266722026069</v>
      </c>
      <c r="J252" s="4">
        <f t="shared" si="38"/>
        <v>-8.1000000000000004E-5</v>
      </c>
      <c r="K252" s="9">
        <f t="shared" si="39"/>
        <v>1.25E-4</v>
      </c>
      <c r="L252" s="4">
        <f t="shared" si="40"/>
        <v>6.1250000000000002E-3</v>
      </c>
      <c r="M252" s="5">
        <f t="shared" si="41"/>
        <v>2.051631560259195</v>
      </c>
      <c r="N252" s="2">
        <f t="shared" si="42"/>
        <v>6.2311647739951761E-3</v>
      </c>
      <c r="O252">
        <f t="shared" si="43"/>
        <v>10945.651599999999</v>
      </c>
      <c r="P252">
        <f t="shared" ca="1" si="49"/>
        <v>10945</v>
      </c>
      <c r="Q252" t="str">
        <f t="shared" ca="1" si="44"/>
        <v>0010101011000001</v>
      </c>
      <c r="R252">
        <f t="shared" ca="1" si="45"/>
        <v>2.0521875000000001</v>
      </c>
      <c r="S252">
        <f t="shared" ca="1" si="46"/>
        <v>44.626249999999999</v>
      </c>
      <c r="T252" s="1">
        <f t="shared" ca="1" si="48"/>
        <v>8.3055555555555816E-3</v>
      </c>
      <c r="V252" s="4">
        <f t="shared" ca="1" si="47"/>
        <v>0.37375000000000003</v>
      </c>
      <c r="X252" s="2"/>
    </row>
    <row r="253" spans="8:24" x14ac:dyDescent="0.25">
      <c r="H253">
        <v>45.1</v>
      </c>
      <c r="I253">
        <v>2.0492142107272038</v>
      </c>
      <c r="J253" s="4">
        <f t="shared" si="38"/>
        <v>-8.1000000000000004E-5</v>
      </c>
      <c r="K253" s="9">
        <f t="shared" si="39"/>
        <v>1.26E-4</v>
      </c>
      <c r="L253" s="4">
        <f t="shared" si="40"/>
        <v>6.156E-3</v>
      </c>
      <c r="M253" s="5">
        <f t="shared" si="41"/>
        <v>2.0620468138653592</v>
      </c>
      <c r="N253" s="2">
        <f t="shared" si="42"/>
        <v>6.2622067868646457E-3</v>
      </c>
      <c r="O253">
        <f t="shared" si="43"/>
        <v>11001.218000000001</v>
      </c>
      <c r="P253">
        <f t="shared" ca="1" si="49"/>
        <v>11000</v>
      </c>
      <c r="Q253" t="str">
        <f t="shared" ca="1" si="44"/>
        <v>0010101011111000</v>
      </c>
      <c r="R253">
        <f t="shared" ca="1" si="45"/>
        <v>2.0625</v>
      </c>
      <c r="S253">
        <f t="shared" ca="1" si="46"/>
        <v>44.750000000000007</v>
      </c>
      <c r="T253" s="1">
        <f t="shared" ca="1" si="48"/>
        <v>7.760532150775927E-3</v>
      </c>
      <c r="V253" s="4">
        <f t="shared" ca="1" si="47"/>
        <v>0.35</v>
      </c>
      <c r="X253" s="2"/>
    </row>
    <row r="254" spans="8:24" x14ac:dyDescent="0.25">
      <c r="H254">
        <v>45.2</v>
      </c>
      <c r="I254">
        <v>2.0580648322948178</v>
      </c>
      <c r="J254" s="4">
        <f t="shared" si="38"/>
        <v>-8.0000000000000007E-5</v>
      </c>
      <c r="K254" s="9">
        <f t="shared" si="39"/>
        <v>1.26E-4</v>
      </c>
      <c r="L254" s="4">
        <f t="shared" si="40"/>
        <v>6.1859999999999997E-3</v>
      </c>
      <c r="M254" s="5">
        <f t="shared" si="41"/>
        <v>2.0710137646549738</v>
      </c>
      <c r="N254" s="2">
        <f t="shared" si="42"/>
        <v>6.2918000234800158E-3</v>
      </c>
      <c r="O254">
        <f t="shared" si="43"/>
        <v>11049.0576</v>
      </c>
      <c r="P254">
        <f t="shared" ca="1" si="49"/>
        <v>11048</v>
      </c>
      <c r="Q254" t="str">
        <f t="shared" ca="1" si="44"/>
        <v>0010101100101000</v>
      </c>
      <c r="R254">
        <f t="shared" ca="1" si="45"/>
        <v>2.0714999999999999</v>
      </c>
      <c r="S254">
        <f t="shared" ca="1" si="46"/>
        <v>44.857999999999997</v>
      </c>
      <c r="T254" s="1">
        <f t="shared" ca="1" si="48"/>
        <v>7.5663716814160587E-3</v>
      </c>
      <c r="V254" s="4">
        <f t="shared" ca="1" si="47"/>
        <v>0.34200000000000003</v>
      </c>
      <c r="X254" s="2"/>
    </row>
    <row r="255" spans="8:24" x14ac:dyDescent="0.25">
      <c r="H255">
        <v>45.3</v>
      </c>
      <c r="I255">
        <v>2.0676639957162091</v>
      </c>
      <c r="J255" s="4">
        <f t="shared" si="38"/>
        <v>-8.0000000000000007E-5</v>
      </c>
      <c r="K255" s="9">
        <f t="shared" si="39"/>
        <v>1.27E-4</v>
      </c>
      <c r="L255" s="4">
        <f t="shared" si="40"/>
        <v>6.2170000000000003E-3</v>
      </c>
      <c r="M255" s="5">
        <f t="shared" si="41"/>
        <v>2.0807375806692301</v>
      </c>
      <c r="N255" s="2">
        <f t="shared" si="42"/>
        <v>6.3228769181583201E-3</v>
      </c>
      <c r="O255">
        <f t="shared" si="43"/>
        <v>11100.935100000001</v>
      </c>
      <c r="P255">
        <f t="shared" ca="1" si="49"/>
        <v>11102</v>
      </c>
      <c r="Q255" t="str">
        <f t="shared" ca="1" si="44"/>
        <v>0010101101011110</v>
      </c>
      <c r="R255">
        <f t="shared" ca="1" si="45"/>
        <v>2.0816249999999998</v>
      </c>
      <c r="S255">
        <f t="shared" ca="1" si="46"/>
        <v>44.979500000000002</v>
      </c>
      <c r="T255" s="1">
        <f t="shared" ca="1" si="48"/>
        <v>7.0750551876378716E-3</v>
      </c>
      <c r="V255" s="4">
        <f t="shared" ca="1" si="47"/>
        <v>0.32050000000000001</v>
      </c>
      <c r="X255" s="2"/>
    </row>
    <row r="256" spans="8:24" x14ac:dyDescent="0.25">
      <c r="H256">
        <v>45.400000000000006</v>
      </c>
      <c r="I256">
        <v>2.0765578671922906</v>
      </c>
      <c r="J256" s="4">
        <f t="shared" si="38"/>
        <v>-7.8999999999999996E-5</v>
      </c>
      <c r="K256" s="9">
        <f t="shared" si="39"/>
        <v>1.27E-4</v>
      </c>
      <c r="L256" s="4">
        <f t="shared" si="40"/>
        <v>6.2469999999999999E-3</v>
      </c>
      <c r="M256" s="5">
        <f t="shared" si="41"/>
        <v>2.089749167918276</v>
      </c>
      <c r="N256" s="2">
        <f t="shared" si="42"/>
        <v>6.3524840479506255E-3</v>
      </c>
      <c r="O256">
        <f t="shared" si="43"/>
        <v>11149.012699999999</v>
      </c>
      <c r="P256">
        <f t="shared" ca="1" si="49"/>
        <v>11153</v>
      </c>
      <c r="Q256" t="str">
        <f t="shared" ca="1" si="44"/>
        <v>0010101110010001</v>
      </c>
      <c r="R256">
        <f t="shared" ca="1" si="45"/>
        <v>2.0911875000000002</v>
      </c>
      <c r="S256">
        <f t="shared" ca="1" si="46"/>
        <v>45.094250000000009</v>
      </c>
      <c r="T256" s="1">
        <f t="shared" ca="1" si="48"/>
        <v>6.7345814977972721E-3</v>
      </c>
      <c r="V256" s="4">
        <f t="shared" ca="1" si="47"/>
        <v>0.30575000000000002</v>
      </c>
      <c r="X256" s="2"/>
    </row>
    <row r="257" spans="8:24" x14ac:dyDescent="0.25">
      <c r="H257">
        <v>45.5</v>
      </c>
      <c r="I257">
        <v>2.0854737617913113</v>
      </c>
      <c r="J257" s="4">
        <f t="shared" si="38"/>
        <v>-7.7999999999999999E-5</v>
      </c>
      <c r="K257" s="9">
        <f t="shared" si="39"/>
        <v>1.2799999999999999E-4</v>
      </c>
      <c r="L257" s="4">
        <f t="shared" si="40"/>
        <v>6.2779999999999997E-3</v>
      </c>
      <c r="M257" s="5">
        <f t="shared" si="41"/>
        <v>2.0987855734977301</v>
      </c>
      <c r="N257" s="2">
        <f t="shared" si="42"/>
        <v>6.3831115741224574E-3</v>
      </c>
      <c r="O257">
        <f t="shared" si="43"/>
        <v>11197.2228</v>
      </c>
      <c r="P257">
        <f t="shared" ca="1" si="49"/>
        <v>11197</v>
      </c>
      <c r="Q257" t="str">
        <f t="shared" ca="1" si="44"/>
        <v>0010101110111101</v>
      </c>
      <c r="R257">
        <f t="shared" ca="1" si="45"/>
        <v>2.0994375000000001</v>
      </c>
      <c r="S257">
        <f t="shared" ca="1" si="46"/>
        <v>45.193249999999999</v>
      </c>
      <c r="T257" s="1">
        <f t="shared" ca="1" si="48"/>
        <v>6.7417582417582632E-3</v>
      </c>
      <c r="V257" s="4">
        <f t="shared" ca="1" si="47"/>
        <v>0.30675000000000002</v>
      </c>
      <c r="X257" s="2"/>
    </row>
    <row r="258" spans="8:24" x14ac:dyDescent="0.25">
      <c r="H258">
        <v>45.6</v>
      </c>
      <c r="I258">
        <v>2.095134571422248</v>
      </c>
      <c r="J258" s="4">
        <f t="shared" si="38"/>
        <v>-7.7999999999999999E-5</v>
      </c>
      <c r="K258" s="9">
        <f t="shared" si="39"/>
        <v>1.2799999999999999E-4</v>
      </c>
      <c r="L258" s="4">
        <f t="shared" si="40"/>
        <v>6.3080000000000002E-3</v>
      </c>
      <c r="M258" s="5">
        <f t="shared" si="41"/>
        <v>2.1085710718796649</v>
      </c>
      <c r="N258" s="2">
        <f t="shared" si="42"/>
        <v>6.4131920883228489E-3</v>
      </c>
      <c r="O258">
        <f t="shared" si="43"/>
        <v>11249.429400000001</v>
      </c>
      <c r="P258">
        <f t="shared" ca="1" si="49"/>
        <v>11254</v>
      </c>
      <c r="Q258" t="str">
        <f t="shared" ca="1" si="44"/>
        <v>0010101111110110</v>
      </c>
      <c r="R258">
        <f t="shared" ca="1" si="45"/>
        <v>2.110125</v>
      </c>
      <c r="S258">
        <f t="shared" ca="1" si="46"/>
        <v>45.321500000000007</v>
      </c>
      <c r="T258" s="1">
        <f t="shared" ca="1" si="48"/>
        <v>6.1074561403507447E-3</v>
      </c>
      <c r="V258" s="4">
        <f t="shared" ca="1" si="47"/>
        <v>0.27850000000000003</v>
      </c>
      <c r="X258" s="2"/>
    </row>
    <row r="259" spans="8:24" x14ac:dyDescent="0.25">
      <c r="H259">
        <v>45.7</v>
      </c>
      <c r="I259">
        <v>2.1040930934751318</v>
      </c>
      <c r="J259" s="4">
        <f t="shared" ref="J259:J322" si="50">ROUND(H259*0.00000575 -0.00034,6)</f>
        <v>-7.7000000000000001E-5</v>
      </c>
      <c r="K259" s="9">
        <f t="shared" ref="K259:K322" si="51">ROUND(H259*0.000005-0.0001,6)</f>
        <v>1.2899999999999999E-4</v>
      </c>
      <c r="L259" s="4">
        <f t="shared" ref="L259:L322" si="52">ROUND(K259+($C$24*(H259-25)),6)</f>
        <v>6.339E-3</v>
      </c>
      <c r="M259" s="5">
        <f t="shared" ref="M259:M322" si="53">(I259-J259)/(1-L259)+$C$26+$D$27</f>
        <v>2.1176515187907468</v>
      </c>
      <c r="N259" s="2">
        <f t="shared" ref="N259:N322" si="54">ABS(I259-M259)/I259</f>
        <v>6.4438333824962746E-3</v>
      </c>
      <c r="O259">
        <f t="shared" ref="O259:O322" si="55">ROUND((M259*(2^($C$12-1)))/$C$44,4)</f>
        <v>11297.8745</v>
      </c>
      <c r="P259">
        <f t="shared" ca="1" si="49"/>
        <v>11296</v>
      </c>
      <c r="Q259" t="str">
        <f t="shared" ref="Q259:Q322" ca="1" si="56">_xlfn.BASE(P259,2,16)</f>
        <v>0010110000100000</v>
      </c>
      <c r="R259">
        <f t="shared" ref="R259:R322" ca="1" si="57">($C$16/2^($C$12-1)) * P259</f>
        <v>2.1179999999999999</v>
      </c>
      <c r="S259">
        <f t="shared" ref="S259:S322" ca="1" si="58">(R259+5/3)/(1/12)</f>
        <v>45.415999999999997</v>
      </c>
      <c r="T259" s="1">
        <f t="shared" ca="1" si="48"/>
        <v>6.2144420131292344E-3</v>
      </c>
      <c r="V259" s="4">
        <f t="shared" ref="V259:V322" ca="1" si="59">ROUND(ABS(H259-S259),6)</f>
        <v>0.28399999999999997</v>
      </c>
      <c r="X259" s="2"/>
    </row>
    <row r="260" spans="8:24" x14ac:dyDescent="0.25">
      <c r="H260">
        <v>45.8</v>
      </c>
      <c r="I260">
        <v>2.1130733263689025</v>
      </c>
      <c r="J260" s="4">
        <f t="shared" si="50"/>
        <v>-7.7000000000000001E-5</v>
      </c>
      <c r="K260" s="9">
        <f t="shared" si="51"/>
        <v>1.2899999999999999E-4</v>
      </c>
      <c r="L260" s="4">
        <f t="shared" si="52"/>
        <v>6.3689999999999997E-3</v>
      </c>
      <c r="M260" s="5">
        <f t="shared" si="53"/>
        <v>2.1267532484060006</v>
      </c>
      <c r="N260" s="2">
        <f t="shared" si="54"/>
        <v>6.4739457293730221E-3</v>
      </c>
      <c r="O260">
        <f t="shared" si="55"/>
        <v>11346.4331</v>
      </c>
      <c r="P260">
        <f t="shared" ca="1" si="49"/>
        <v>11347</v>
      </c>
      <c r="Q260" t="str">
        <f t="shared" ca="1" si="56"/>
        <v>0010110001010011</v>
      </c>
      <c r="R260">
        <f t="shared" ca="1" si="57"/>
        <v>2.1275625000000002</v>
      </c>
      <c r="S260">
        <f t="shared" ca="1" si="58"/>
        <v>45.530750000000005</v>
      </c>
      <c r="T260" s="1">
        <f t="shared" ref="T260:T323" ca="1" si="60">ABS(H260-S260)/H260</f>
        <v>5.878820960698525E-3</v>
      </c>
      <c r="V260" s="4">
        <f t="shared" ca="1" si="59"/>
        <v>0.26924999999999999</v>
      </c>
      <c r="X260" s="2"/>
    </row>
    <row r="261" spans="8:24" x14ac:dyDescent="0.25">
      <c r="H261">
        <v>45.900000000000006</v>
      </c>
      <c r="I261">
        <v>2.1227948427444896</v>
      </c>
      <c r="J261" s="4">
        <f t="shared" si="50"/>
        <v>-7.6000000000000004E-5</v>
      </c>
      <c r="K261" s="9">
        <f t="shared" si="51"/>
        <v>1.2999999999999999E-4</v>
      </c>
      <c r="L261" s="4">
        <f t="shared" si="52"/>
        <v>6.4000000000000003E-3</v>
      </c>
      <c r="M261" s="5">
        <f t="shared" si="53"/>
        <v>2.1366027290101548</v>
      </c>
      <c r="N261" s="2">
        <f t="shared" si="54"/>
        <v>6.5045787692858039E-3</v>
      </c>
      <c r="O261">
        <f t="shared" si="55"/>
        <v>11398.981</v>
      </c>
      <c r="P261">
        <f t="shared" ca="1" si="49"/>
        <v>11400</v>
      </c>
      <c r="Q261" t="str">
        <f t="shared" ca="1" si="56"/>
        <v>0010110010001000</v>
      </c>
      <c r="R261">
        <f t="shared" ca="1" si="57"/>
        <v>2.1375000000000002</v>
      </c>
      <c r="S261">
        <f t="shared" ca="1" si="58"/>
        <v>45.650000000000006</v>
      </c>
      <c r="T261" s="1">
        <f t="shared" ca="1" si="60"/>
        <v>5.4466230936819167E-3</v>
      </c>
      <c r="V261" s="4">
        <f t="shared" ca="1" si="59"/>
        <v>0.25</v>
      </c>
      <c r="X261" s="2"/>
    </row>
    <row r="262" spans="8:24" x14ac:dyDescent="0.25">
      <c r="H262">
        <v>46</v>
      </c>
      <c r="I262">
        <v>2.1318170759529322</v>
      </c>
      <c r="J262" s="4">
        <f t="shared" si="50"/>
        <v>-7.6000000000000004E-5</v>
      </c>
      <c r="K262" s="9">
        <f t="shared" si="51"/>
        <v>1.2999999999999999E-4</v>
      </c>
      <c r="L262" s="4">
        <f t="shared" si="52"/>
        <v>6.43E-3</v>
      </c>
      <c r="M262" s="5">
        <f t="shared" si="53"/>
        <v>2.1457478617640753</v>
      </c>
      <c r="N262" s="2">
        <f t="shared" si="54"/>
        <v>6.5347003588081855E-3</v>
      </c>
      <c r="O262">
        <f t="shared" si="55"/>
        <v>11447.771199999999</v>
      </c>
      <c r="P262">
        <f t="shared" ca="1" si="49"/>
        <v>11446</v>
      </c>
      <c r="Q262" t="str">
        <f t="shared" ca="1" si="56"/>
        <v>0010110010110110</v>
      </c>
      <c r="R262">
        <f t="shared" ca="1" si="57"/>
        <v>2.1461250000000001</v>
      </c>
      <c r="S262">
        <f t="shared" ca="1" si="58"/>
        <v>45.753500000000003</v>
      </c>
      <c r="T262" s="1">
        <f t="shared" ca="1" si="60"/>
        <v>5.3586956521738584E-3</v>
      </c>
      <c r="V262" s="4">
        <f t="shared" ca="1" si="59"/>
        <v>0.2465</v>
      </c>
      <c r="X262" s="2"/>
    </row>
    <row r="263" spans="8:24" x14ac:dyDescent="0.25">
      <c r="H263">
        <v>46.1</v>
      </c>
      <c r="I263">
        <v>2.1408607054942919</v>
      </c>
      <c r="J263" s="4">
        <f t="shared" si="50"/>
        <v>-7.4999999999999993E-5</v>
      </c>
      <c r="K263" s="9">
        <f t="shared" si="51"/>
        <v>1.3100000000000001E-4</v>
      </c>
      <c r="L263" s="4">
        <f t="shared" si="52"/>
        <v>6.4609999999999997E-3</v>
      </c>
      <c r="M263" s="5">
        <f t="shared" si="53"/>
        <v>2.1549162446127346</v>
      </c>
      <c r="N263" s="2">
        <f t="shared" si="54"/>
        <v>6.5653683503885405E-3</v>
      </c>
      <c r="O263">
        <f t="shared" si="55"/>
        <v>11496.6854</v>
      </c>
      <c r="P263">
        <f t="shared" ca="1" si="49"/>
        <v>11499</v>
      </c>
      <c r="Q263" t="str">
        <f t="shared" ca="1" si="56"/>
        <v>0010110011101011</v>
      </c>
      <c r="R263">
        <f t="shared" ca="1" si="57"/>
        <v>2.1560625</v>
      </c>
      <c r="S263">
        <f t="shared" ca="1" si="58"/>
        <v>45.872750000000003</v>
      </c>
      <c r="T263" s="1">
        <f t="shared" ca="1" si="60"/>
        <v>4.9295010845986538E-3</v>
      </c>
      <c r="V263" s="4">
        <f t="shared" ca="1" si="59"/>
        <v>0.22725000000000001</v>
      </c>
      <c r="X263" s="2"/>
    </row>
    <row r="264" spans="8:24" x14ac:dyDescent="0.25">
      <c r="H264">
        <v>46.2</v>
      </c>
      <c r="I264">
        <v>2.1499256260524788</v>
      </c>
      <c r="J264" s="4">
        <f t="shared" si="50"/>
        <v>-7.3999999999999996E-5</v>
      </c>
      <c r="K264" s="9">
        <f t="shared" si="51"/>
        <v>1.3100000000000001E-4</v>
      </c>
      <c r="L264" s="4">
        <f t="shared" si="52"/>
        <v>6.4910000000000002E-3</v>
      </c>
      <c r="M264" s="5">
        <f t="shared" si="53"/>
        <v>2.1641044515696177</v>
      </c>
      <c r="N264" s="2">
        <f t="shared" si="54"/>
        <v>6.595030704933229E-3</v>
      </c>
      <c r="O264">
        <f t="shared" si="55"/>
        <v>11545.7053</v>
      </c>
      <c r="P264">
        <f t="shared" ca="1" si="49"/>
        <v>11548</v>
      </c>
      <c r="Q264" t="str">
        <f t="shared" ca="1" si="56"/>
        <v>0010110100011100</v>
      </c>
      <c r="R264">
        <f t="shared" ca="1" si="57"/>
        <v>2.1652499999999999</v>
      </c>
      <c r="S264">
        <f t="shared" ca="1" si="58"/>
        <v>45.982999999999997</v>
      </c>
      <c r="T264" s="1">
        <f t="shared" ca="1" si="60"/>
        <v>4.6969696969698235E-3</v>
      </c>
      <c r="V264" s="4">
        <f t="shared" ca="1" si="59"/>
        <v>0.217</v>
      </c>
      <c r="X264" s="2"/>
    </row>
    <row r="265" spans="8:24" x14ac:dyDescent="0.25">
      <c r="H265">
        <v>46.3</v>
      </c>
      <c r="I265">
        <v>2.1590117321513764</v>
      </c>
      <c r="J265" s="4">
        <f t="shared" si="50"/>
        <v>-7.3999999999999996E-5</v>
      </c>
      <c r="K265" s="9">
        <f t="shared" si="51"/>
        <v>1.3200000000000001E-4</v>
      </c>
      <c r="L265" s="4">
        <f t="shared" si="52"/>
        <v>6.522E-3</v>
      </c>
      <c r="M265" s="5">
        <f t="shared" si="53"/>
        <v>2.1733177321242914</v>
      </c>
      <c r="N265" s="2">
        <f t="shared" si="54"/>
        <v>6.6261798210144607E-3</v>
      </c>
      <c r="O265">
        <f t="shared" si="55"/>
        <v>11594.8591</v>
      </c>
      <c r="P265">
        <f t="shared" ca="1" si="49"/>
        <v>11595</v>
      </c>
      <c r="Q265" t="str">
        <f t="shared" ca="1" si="56"/>
        <v>0010110101001011</v>
      </c>
      <c r="R265">
        <f t="shared" ca="1" si="57"/>
        <v>2.1740625000000002</v>
      </c>
      <c r="S265">
        <f t="shared" ca="1" si="58"/>
        <v>46.088750000000005</v>
      </c>
      <c r="T265" s="1">
        <f t="shared" ca="1" si="60"/>
        <v>4.5626349892007043E-3</v>
      </c>
      <c r="V265" s="4">
        <f t="shared" ca="1" si="59"/>
        <v>0.21124999999999999</v>
      </c>
      <c r="X265" s="2"/>
    </row>
    <row r="266" spans="8:24" x14ac:dyDescent="0.25">
      <c r="H266">
        <v>46.400000000000006</v>
      </c>
      <c r="I266">
        <v>2.1674047792362665</v>
      </c>
      <c r="J266" s="4">
        <f t="shared" si="50"/>
        <v>-7.2999999999999999E-5</v>
      </c>
      <c r="K266" s="9">
        <f t="shared" si="51"/>
        <v>1.3200000000000001E-4</v>
      </c>
      <c r="L266" s="4">
        <f t="shared" si="52"/>
        <v>6.5519999999999997E-3</v>
      </c>
      <c r="M266" s="5">
        <f t="shared" si="53"/>
        <v>2.1818307543225881</v>
      </c>
      <c r="N266" s="2">
        <f t="shared" si="54"/>
        <v>6.6558749083338786E-3</v>
      </c>
      <c r="O266">
        <f t="shared" si="55"/>
        <v>11640.276900000001</v>
      </c>
      <c r="P266">
        <f t="shared" ca="1" si="49"/>
        <v>11642</v>
      </c>
      <c r="Q266" t="str">
        <f t="shared" ca="1" si="56"/>
        <v>0010110101111010</v>
      </c>
      <c r="R266">
        <f t="shared" ca="1" si="57"/>
        <v>2.1828750000000001</v>
      </c>
      <c r="S266">
        <f t="shared" ca="1" si="58"/>
        <v>46.194500000000005</v>
      </c>
      <c r="T266" s="1">
        <f t="shared" ca="1" si="60"/>
        <v>4.428879310344842E-3</v>
      </c>
      <c r="V266" s="4">
        <f t="shared" ca="1" si="59"/>
        <v>0.20549999999999999</v>
      </c>
      <c r="X266" s="2"/>
    </row>
    <row r="267" spans="8:24" x14ac:dyDescent="0.25">
      <c r="H267">
        <v>46.5</v>
      </c>
      <c r="I267">
        <v>2.1772470783103097</v>
      </c>
      <c r="J267" s="4">
        <f t="shared" si="50"/>
        <v>-7.2999999999999999E-5</v>
      </c>
      <c r="K267" s="9">
        <f t="shared" si="51"/>
        <v>1.3300000000000001E-4</v>
      </c>
      <c r="L267" s="4">
        <f t="shared" si="52"/>
        <v>6.5830000000000003E-3</v>
      </c>
      <c r="M267" s="5">
        <f t="shared" si="53"/>
        <v>2.1918063577493738</v>
      </c>
      <c r="N267" s="2">
        <f t="shared" si="54"/>
        <v>6.687012964262687E-3</v>
      </c>
      <c r="O267">
        <f t="shared" si="55"/>
        <v>11693.4977</v>
      </c>
      <c r="P267">
        <f t="shared" ca="1" si="49"/>
        <v>11696</v>
      </c>
      <c r="Q267" t="str">
        <f t="shared" ca="1" si="56"/>
        <v>0010110110110000</v>
      </c>
      <c r="R267">
        <f t="shared" ca="1" si="57"/>
        <v>2.1930000000000001</v>
      </c>
      <c r="S267">
        <f t="shared" ca="1" si="58"/>
        <v>46.316000000000003</v>
      </c>
      <c r="T267" s="1">
        <f t="shared" ca="1" si="60"/>
        <v>3.9569892473117745E-3</v>
      </c>
      <c r="V267" s="4">
        <f t="shared" ca="1" si="59"/>
        <v>0.184</v>
      </c>
      <c r="X267" s="2"/>
    </row>
    <row r="268" spans="8:24" x14ac:dyDescent="0.25">
      <c r="H268">
        <v>46.6</v>
      </c>
      <c r="I268">
        <v>2.1863961061378467</v>
      </c>
      <c r="J268" s="4">
        <f t="shared" si="50"/>
        <v>-7.2000000000000002E-5</v>
      </c>
      <c r="K268" s="9">
        <f t="shared" si="51"/>
        <v>1.3300000000000001E-4</v>
      </c>
      <c r="L268" s="4">
        <f t="shared" si="52"/>
        <v>6.613E-3</v>
      </c>
      <c r="M268" s="5">
        <f t="shared" si="53"/>
        <v>2.2010814743738814</v>
      </c>
      <c r="N268" s="2">
        <f t="shared" si="54"/>
        <v>6.7167006906061226E-3</v>
      </c>
      <c r="O268">
        <f t="shared" si="55"/>
        <v>11742.981299999999</v>
      </c>
      <c r="P268">
        <f t="shared" ca="1" si="49"/>
        <v>11747</v>
      </c>
      <c r="Q268" t="str">
        <f t="shared" ca="1" si="56"/>
        <v>0010110111100011</v>
      </c>
      <c r="R268">
        <f t="shared" ca="1" si="57"/>
        <v>2.2025625</v>
      </c>
      <c r="S268">
        <f t="shared" ca="1" si="58"/>
        <v>46.430750000000003</v>
      </c>
      <c r="T268" s="1">
        <f t="shared" ca="1" si="60"/>
        <v>3.6319742489269984E-3</v>
      </c>
      <c r="V268" s="4">
        <f t="shared" ca="1" si="59"/>
        <v>0.16925000000000001</v>
      </c>
      <c r="X268" s="2"/>
    </row>
    <row r="269" spans="8:24" x14ac:dyDescent="0.25">
      <c r="H269">
        <v>46.7</v>
      </c>
      <c r="I269">
        <v>2.1955658953902484</v>
      </c>
      <c r="J269" s="4">
        <f t="shared" si="50"/>
        <v>-7.1000000000000005E-5</v>
      </c>
      <c r="K269" s="9">
        <f t="shared" si="51"/>
        <v>1.34E-4</v>
      </c>
      <c r="L269" s="4">
        <f t="shared" si="52"/>
        <v>6.6439999999999997E-3</v>
      </c>
      <c r="M269" s="5">
        <f t="shared" si="53"/>
        <v>2.2103802765959522</v>
      </c>
      <c r="N269" s="2">
        <f t="shared" si="54"/>
        <v>6.7474090560468505E-3</v>
      </c>
      <c r="O269">
        <f t="shared" si="55"/>
        <v>11792.5913</v>
      </c>
      <c r="P269">
        <f t="shared" ca="1" si="49"/>
        <v>11795</v>
      </c>
      <c r="Q269" t="str">
        <f t="shared" ca="1" si="56"/>
        <v>0010111000010011</v>
      </c>
      <c r="R269">
        <f t="shared" ca="1" si="57"/>
        <v>2.2115624999999999</v>
      </c>
      <c r="S269">
        <f t="shared" ca="1" si="58"/>
        <v>46.53875</v>
      </c>
      <c r="T269" s="1">
        <f t="shared" ca="1" si="60"/>
        <v>3.4528907922912752E-3</v>
      </c>
      <c r="V269" s="4">
        <f t="shared" ca="1" si="59"/>
        <v>0.16125</v>
      </c>
      <c r="X269" s="2"/>
    </row>
    <row r="270" spans="8:24" x14ac:dyDescent="0.25">
      <c r="H270">
        <v>46.8</v>
      </c>
      <c r="I270">
        <v>2.2047563395584504</v>
      </c>
      <c r="J270" s="4">
        <f t="shared" si="50"/>
        <v>-7.1000000000000005E-5</v>
      </c>
      <c r="K270" s="9">
        <f t="shared" si="51"/>
        <v>1.34E-4</v>
      </c>
      <c r="L270" s="4">
        <f t="shared" si="52"/>
        <v>6.6740000000000002E-3</v>
      </c>
      <c r="M270" s="5">
        <f t="shared" si="53"/>
        <v>2.2196992250947329</v>
      </c>
      <c r="N270" s="2">
        <f t="shared" si="54"/>
        <v>6.7775677829665145E-3</v>
      </c>
      <c r="O270">
        <f t="shared" si="55"/>
        <v>11842.308800000001</v>
      </c>
      <c r="P270">
        <f t="shared" ca="1" si="49"/>
        <v>11844</v>
      </c>
      <c r="Q270" t="str">
        <f t="shared" ca="1" si="56"/>
        <v>0010111001000100</v>
      </c>
      <c r="R270">
        <f t="shared" ca="1" si="57"/>
        <v>2.2207500000000002</v>
      </c>
      <c r="S270">
        <f t="shared" ca="1" si="58"/>
        <v>46.649000000000001</v>
      </c>
      <c r="T270" s="1">
        <f t="shared" ca="1" si="60"/>
        <v>3.2264957264956464E-3</v>
      </c>
      <c r="V270" s="4">
        <f t="shared" ca="1" si="59"/>
        <v>0.151</v>
      </c>
      <c r="X270" s="2"/>
    </row>
    <row r="271" spans="8:24" x14ac:dyDescent="0.25">
      <c r="H271">
        <v>46.900000000000006</v>
      </c>
      <c r="I271">
        <v>2.2139673317405957</v>
      </c>
      <c r="J271" s="4">
        <f t="shared" si="50"/>
        <v>-6.9999999999999994E-5</v>
      </c>
      <c r="K271" s="9">
        <f t="shared" si="51"/>
        <v>1.35E-4</v>
      </c>
      <c r="L271" s="4">
        <f t="shared" si="52"/>
        <v>6.705E-3</v>
      </c>
      <c r="M271" s="5">
        <f t="shared" si="53"/>
        <v>2.2290406604791082</v>
      </c>
      <c r="N271" s="2">
        <f t="shared" si="54"/>
        <v>6.8082886871966841E-3</v>
      </c>
      <c r="O271">
        <f t="shared" si="55"/>
        <v>11892.146199999999</v>
      </c>
      <c r="P271">
        <f t="shared" ref="P271:P334" ca="1" si="61">ROUND(O271+$C$47+$C$49+RANDBETWEEN($B$45,$D$45) + 1,0)</f>
        <v>11891</v>
      </c>
      <c r="Q271" t="str">
        <f t="shared" ca="1" si="56"/>
        <v>0010111001110011</v>
      </c>
      <c r="R271">
        <f t="shared" ca="1" si="57"/>
        <v>2.2295625000000001</v>
      </c>
      <c r="S271">
        <f t="shared" ca="1" si="58"/>
        <v>46.754750000000008</v>
      </c>
      <c r="T271" s="1">
        <f t="shared" ca="1" si="60"/>
        <v>3.0970149253730745E-3</v>
      </c>
      <c r="V271" s="4">
        <f t="shared" ca="1" si="59"/>
        <v>0.14524999999999999</v>
      </c>
      <c r="X271" s="2"/>
    </row>
    <row r="272" spans="8:24" x14ac:dyDescent="0.25">
      <c r="H272">
        <v>47</v>
      </c>
      <c r="I272">
        <v>2.2231987647293097</v>
      </c>
      <c r="J272" s="4">
        <f t="shared" si="50"/>
        <v>-6.9999999999999994E-5</v>
      </c>
      <c r="K272" s="9">
        <f t="shared" si="51"/>
        <v>1.35E-4</v>
      </c>
      <c r="L272" s="4">
        <f t="shared" si="52"/>
        <v>6.7349999999999997E-3</v>
      </c>
      <c r="M272" s="5">
        <f t="shared" si="53"/>
        <v>2.2384020116477577</v>
      </c>
      <c r="N272" s="2">
        <f t="shared" si="54"/>
        <v>6.8384559939691633E-3</v>
      </c>
      <c r="O272">
        <f t="shared" si="55"/>
        <v>11942.089900000001</v>
      </c>
      <c r="P272">
        <f t="shared" ca="1" si="61"/>
        <v>11944</v>
      </c>
      <c r="Q272" t="str">
        <f t="shared" ca="1" si="56"/>
        <v>0010111010101000</v>
      </c>
      <c r="R272">
        <f t="shared" ca="1" si="57"/>
        <v>2.2395</v>
      </c>
      <c r="S272">
        <f t="shared" ca="1" si="58"/>
        <v>46.874000000000002</v>
      </c>
      <c r="T272" s="1">
        <f t="shared" ca="1" si="60"/>
        <v>2.6808510638297377E-3</v>
      </c>
      <c r="V272" s="4">
        <f t="shared" ca="1" si="59"/>
        <v>0.126</v>
      </c>
      <c r="X272" s="2"/>
    </row>
    <row r="273" spans="8:24" x14ac:dyDescent="0.25">
      <c r="H273">
        <v>47.1</v>
      </c>
      <c r="I273">
        <v>2.2324505313171921</v>
      </c>
      <c r="J273" s="4">
        <f t="shared" si="50"/>
        <v>-6.8999999999999997E-5</v>
      </c>
      <c r="K273" s="9">
        <f t="shared" si="51"/>
        <v>1.36E-4</v>
      </c>
      <c r="L273" s="4">
        <f t="shared" si="52"/>
        <v>6.7660000000000003E-3</v>
      </c>
      <c r="M273" s="5">
        <f t="shared" si="53"/>
        <v>2.2477856566420322</v>
      </c>
      <c r="N273" s="2">
        <f t="shared" si="54"/>
        <v>6.8691893100055025E-3</v>
      </c>
      <c r="O273">
        <f t="shared" si="55"/>
        <v>11992.152599999999</v>
      </c>
      <c r="P273">
        <f t="shared" ca="1" si="61"/>
        <v>11991</v>
      </c>
      <c r="Q273" t="str">
        <f t="shared" ca="1" si="56"/>
        <v>0010111011010111</v>
      </c>
      <c r="R273">
        <f t="shared" ca="1" si="57"/>
        <v>2.2483124999999999</v>
      </c>
      <c r="S273">
        <f t="shared" ca="1" si="58"/>
        <v>46.979750000000003</v>
      </c>
      <c r="T273" s="1">
        <f t="shared" ca="1" si="60"/>
        <v>2.5530785562632406E-3</v>
      </c>
      <c r="V273" s="4">
        <f t="shared" ca="1" si="59"/>
        <v>0.12025</v>
      </c>
      <c r="X273" s="2"/>
    </row>
    <row r="274" spans="8:24" x14ac:dyDescent="0.25">
      <c r="H274">
        <v>47.2</v>
      </c>
      <c r="I274">
        <v>2.2417225241077428</v>
      </c>
      <c r="J274" s="4">
        <f t="shared" si="50"/>
        <v>-6.8999999999999997E-5</v>
      </c>
      <c r="K274" s="9">
        <f t="shared" si="51"/>
        <v>1.36E-4</v>
      </c>
      <c r="L274" s="4">
        <f t="shared" si="52"/>
        <v>6.796E-3</v>
      </c>
      <c r="M274" s="5">
        <f t="shared" si="53"/>
        <v>2.2571889862905734</v>
      </c>
      <c r="N274" s="2">
        <f t="shared" si="54"/>
        <v>6.8993651161116214E-3</v>
      </c>
      <c r="O274">
        <f t="shared" si="55"/>
        <v>12042.320299999999</v>
      </c>
      <c r="P274">
        <f t="shared" ca="1" si="61"/>
        <v>12046</v>
      </c>
      <c r="Q274" t="str">
        <f t="shared" ca="1" si="56"/>
        <v>0010111100001110</v>
      </c>
      <c r="R274">
        <f t="shared" ca="1" si="57"/>
        <v>2.2586249999999999</v>
      </c>
      <c r="S274">
        <f t="shared" ca="1" si="58"/>
        <v>47.103499999999997</v>
      </c>
      <c r="T274" s="1">
        <f t="shared" ca="1" si="60"/>
        <v>2.0444915254238562E-3</v>
      </c>
      <c r="V274" s="4">
        <f t="shared" ca="1" si="59"/>
        <v>9.6500000000000002E-2</v>
      </c>
      <c r="X274" s="2"/>
    </row>
    <row r="275" spans="8:24" x14ac:dyDescent="0.25">
      <c r="H275">
        <v>47.3</v>
      </c>
      <c r="I275">
        <v>2.2503104760198176</v>
      </c>
      <c r="J275" s="4">
        <f t="shared" si="50"/>
        <v>-6.7999999999999999E-5</v>
      </c>
      <c r="K275" s="9">
        <f t="shared" si="51"/>
        <v>1.37E-4</v>
      </c>
      <c r="L275" s="4">
        <f t="shared" si="52"/>
        <v>6.8269999999999997E-3</v>
      </c>
      <c r="M275" s="5">
        <f t="shared" si="53"/>
        <v>2.2659054163311105</v>
      </c>
      <c r="N275" s="2">
        <f t="shared" si="54"/>
        <v>6.9301282989519351E-3</v>
      </c>
      <c r="O275">
        <f t="shared" si="55"/>
        <v>12088.8233</v>
      </c>
      <c r="P275">
        <f t="shared" ca="1" si="61"/>
        <v>12092</v>
      </c>
      <c r="Q275" t="str">
        <f t="shared" ca="1" si="56"/>
        <v>0010111100111100</v>
      </c>
      <c r="R275">
        <f t="shared" ca="1" si="57"/>
        <v>2.2672500000000002</v>
      </c>
      <c r="S275">
        <f t="shared" ca="1" si="58"/>
        <v>47.207000000000001</v>
      </c>
      <c r="T275" s="1">
        <f t="shared" ca="1" si="60"/>
        <v>1.9661733615221233E-3</v>
      </c>
      <c r="V275" s="4">
        <f t="shared" ca="1" si="59"/>
        <v>9.2999999999999999E-2</v>
      </c>
      <c r="X275" s="2"/>
    </row>
    <row r="276" spans="8:24" x14ac:dyDescent="0.25">
      <c r="H276">
        <v>47.400000000000006</v>
      </c>
      <c r="I276">
        <v>2.259623707194633</v>
      </c>
      <c r="J276" s="4">
        <f t="shared" si="50"/>
        <v>-6.7000000000000002E-5</v>
      </c>
      <c r="K276" s="9">
        <f t="shared" si="51"/>
        <v>1.37E-4</v>
      </c>
      <c r="L276" s="4">
        <f t="shared" si="52"/>
        <v>6.8570000000000002E-3</v>
      </c>
      <c r="M276" s="5">
        <f t="shared" si="53"/>
        <v>2.2753503870929292</v>
      </c>
      <c r="N276" s="2">
        <f t="shared" si="54"/>
        <v>6.9598667460526939E-3</v>
      </c>
      <c r="O276">
        <f t="shared" si="55"/>
        <v>12139.213100000001</v>
      </c>
      <c r="P276">
        <f t="shared" ca="1" si="61"/>
        <v>12144</v>
      </c>
      <c r="Q276" t="str">
        <f t="shared" ca="1" si="56"/>
        <v>0010111101110000</v>
      </c>
      <c r="R276">
        <f t="shared" ca="1" si="57"/>
        <v>2.2770000000000001</v>
      </c>
      <c r="S276">
        <f t="shared" ca="1" si="58"/>
        <v>47.324000000000005</v>
      </c>
      <c r="T276" s="1">
        <f t="shared" ca="1" si="60"/>
        <v>1.6033755274261709E-3</v>
      </c>
      <c r="V276" s="4">
        <f t="shared" ca="1" si="59"/>
        <v>7.5999999999999998E-2</v>
      </c>
      <c r="X276" s="2"/>
    </row>
    <row r="277" spans="8:24" x14ac:dyDescent="0.25">
      <c r="H277">
        <v>47.5</v>
      </c>
      <c r="I277">
        <v>2.2689568410004854</v>
      </c>
      <c r="J277" s="4">
        <f t="shared" si="50"/>
        <v>-6.7000000000000002E-5</v>
      </c>
      <c r="K277" s="9">
        <f t="shared" si="51"/>
        <v>1.3799999999999999E-4</v>
      </c>
      <c r="L277" s="4">
        <f t="shared" si="52"/>
        <v>6.888E-3</v>
      </c>
      <c r="M277" s="5">
        <f t="shared" si="53"/>
        <v>2.2848192766742175</v>
      </c>
      <c r="N277" s="2">
        <f t="shared" si="54"/>
        <v>6.9910698110668161E-3</v>
      </c>
      <c r="O277">
        <f t="shared" si="55"/>
        <v>12189.7305</v>
      </c>
      <c r="P277">
        <f t="shared" ca="1" si="61"/>
        <v>12188</v>
      </c>
      <c r="Q277" t="str">
        <f t="shared" ca="1" si="56"/>
        <v>0010111110011100</v>
      </c>
      <c r="R277">
        <f t="shared" ca="1" si="57"/>
        <v>2.28525</v>
      </c>
      <c r="S277">
        <f t="shared" ca="1" si="58"/>
        <v>47.423000000000002</v>
      </c>
      <c r="T277" s="1">
        <f t="shared" ca="1" si="60"/>
        <v>1.6210526315789092E-3</v>
      </c>
      <c r="V277" s="4">
        <f t="shared" ca="1" si="59"/>
        <v>7.6999999999999999E-2</v>
      </c>
      <c r="X277" s="2"/>
    </row>
    <row r="278" spans="8:24" x14ac:dyDescent="0.25">
      <c r="H278">
        <v>47.6</v>
      </c>
      <c r="I278">
        <v>2.278309769240674</v>
      </c>
      <c r="J278" s="4">
        <f t="shared" si="50"/>
        <v>-6.6000000000000005E-5</v>
      </c>
      <c r="K278" s="9">
        <f t="shared" si="51"/>
        <v>1.3799999999999999E-4</v>
      </c>
      <c r="L278" s="4">
        <f t="shared" si="52"/>
        <v>6.9179999999999997E-3</v>
      </c>
      <c r="M278" s="5">
        <f t="shared" si="53"/>
        <v>2.2943053725640721</v>
      </c>
      <c r="N278" s="2">
        <f t="shared" si="54"/>
        <v>7.0208202323291634E-3</v>
      </c>
      <c r="O278">
        <f t="shared" si="55"/>
        <v>12240.3398</v>
      </c>
      <c r="P278">
        <f t="shared" ca="1" si="61"/>
        <v>12245</v>
      </c>
      <c r="Q278" t="str">
        <f t="shared" ca="1" si="56"/>
        <v>0010111111010101</v>
      </c>
      <c r="R278">
        <f t="shared" ca="1" si="57"/>
        <v>2.2959375</v>
      </c>
      <c r="S278">
        <f t="shared" ca="1" si="58"/>
        <v>47.551250000000003</v>
      </c>
      <c r="T278" s="1">
        <f t="shared" ca="1" si="60"/>
        <v>1.0241596638655103E-3</v>
      </c>
      <c r="V278" s="4">
        <f t="shared" ca="1" si="59"/>
        <v>4.8750000000000002E-2</v>
      </c>
      <c r="X278" s="2"/>
    </row>
    <row r="279" spans="8:24" x14ac:dyDescent="0.25">
      <c r="H279">
        <v>47.7</v>
      </c>
      <c r="I279">
        <v>2.2883821043860855</v>
      </c>
      <c r="J279" s="4">
        <f t="shared" si="50"/>
        <v>-6.6000000000000005E-5</v>
      </c>
      <c r="K279" s="9">
        <f t="shared" si="51"/>
        <v>1.3899999999999999E-4</v>
      </c>
      <c r="L279" s="4">
        <f t="shared" si="52"/>
        <v>6.9490000000000003E-3</v>
      </c>
      <c r="M279" s="5">
        <f t="shared" si="53"/>
        <v>2.3045198095003032</v>
      </c>
      <c r="N279" s="2">
        <f t="shared" si="54"/>
        <v>7.0520150823094657E-3</v>
      </c>
      <c r="O279">
        <f t="shared" si="55"/>
        <v>12294.834800000001</v>
      </c>
      <c r="P279">
        <f t="shared" ca="1" si="61"/>
        <v>12298</v>
      </c>
      <c r="Q279" t="str">
        <f t="shared" ca="1" si="56"/>
        <v>0011000000001010</v>
      </c>
      <c r="R279">
        <f t="shared" ca="1" si="57"/>
        <v>2.3058749999999999</v>
      </c>
      <c r="S279">
        <f t="shared" ca="1" si="58"/>
        <v>47.670499999999997</v>
      </c>
      <c r="T279" s="1">
        <f t="shared" ca="1" si="60"/>
        <v>6.1844863731668452E-4</v>
      </c>
      <c r="V279" s="4">
        <f t="shared" ca="1" si="59"/>
        <v>2.9499999999999998E-2</v>
      </c>
      <c r="X279" s="2"/>
    </row>
    <row r="280" spans="8:24" x14ac:dyDescent="0.25">
      <c r="H280">
        <v>47.8</v>
      </c>
      <c r="I280">
        <v>2.297074574127866</v>
      </c>
      <c r="J280" s="4">
        <f t="shared" si="50"/>
        <v>-6.4999999999999994E-5</v>
      </c>
      <c r="K280" s="9">
        <f t="shared" si="51"/>
        <v>1.3899999999999999E-4</v>
      </c>
      <c r="L280" s="4">
        <f t="shared" si="52"/>
        <v>6.979E-3</v>
      </c>
      <c r="M280" s="5">
        <f t="shared" si="53"/>
        <v>2.3133419830455408</v>
      </c>
      <c r="N280" s="2">
        <f t="shared" si="54"/>
        <v>7.081793991756292E-3</v>
      </c>
      <c r="O280">
        <f t="shared" si="55"/>
        <v>12341.901900000001</v>
      </c>
      <c r="P280">
        <f t="shared" ca="1" si="61"/>
        <v>12347</v>
      </c>
      <c r="Q280" t="str">
        <f t="shared" ca="1" si="56"/>
        <v>0011000000111011</v>
      </c>
      <c r="R280">
        <f t="shared" ca="1" si="57"/>
        <v>2.3150625000000002</v>
      </c>
      <c r="S280">
        <f t="shared" ca="1" si="58"/>
        <v>47.780750000000005</v>
      </c>
      <c r="T280" s="1">
        <f t="shared" ca="1" si="60"/>
        <v>4.027196652718084E-4</v>
      </c>
      <c r="V280" s="4">
        <f t="shared" ca="1" si="59"/>
        <v>1.925E-2</v>
      </c>
      <c r="X280" s="2"/>
    </row>
    <row r="281" spans="8:24" x14ac:dyDescent="0.25">
      <c r="H281">
        <v>47.900000000000006</v>
      </c>
      <c r="I281">
        <v>2.306486232941221</v>
      </c>
      <c r="J281" s="4">
        <f t="shared" si="50"/>
        <v>-6.4999999999999994E-5</v>
      </c>
      <c r="K281" s="9">
        <f t="shared" si="51"/>
        <v>1.3999999999999999E-4</v>
      </c>
      <c r="L281" s="4">
        <f t="shared" si="52"/>
        <v>7.0099999999999997E-3</v>
      </c>
      <c r="M281" s="5">
        <f t="shared" si="53"/>
        <v>2.3228923013939933</v>
      </c>
      <c r="N281" s="2">
        <f t="shared" si="54"/>
        <v>7.1130138209632033E-3</v>
      </c>
      <c r="O281">
        <f t="shared" si="55"/>
        <v>12392.853800000001</v>
      </c>
      <c r="P281">
        <f t="shared" ca="1" si="61"/>
        <v>12394</v>
      </c>
      <c r="Q281" t="str">
        <f t="shared" ca="1" si="56"/>
        <v>0011000001101010</v>
      </c>
      <c r="R281">
        <f t="shared" ca="1" si="57"/>
        <v>2.3238750000000001</v>
      </c>
      <c r="S281">
        <f t="shared" ca="1" si="58"/>
        <v>47.886500000000005</v>
      </c>
      <c r="T281" s="1">
        <f t="shared" ca="1" si="60"/>
        <v>2.8183716075157639E-4</v>
      </c>
      <c r="V281" s="4">
        <f t="shared" ca="1" si="59"/>
        <v>1.35E-2</v>
      </c>
      <c r="X281" s="2"/>
    </row>
    <row r="282" spans="8:24" x14ac:dyDescent="0.25">
      <c r="H282">
        <v>48</v>
      </c>
      <c r="I282">
        <v>2.31591725124904</v>
      </c>
      <c r="J282" s="4">
        <f t="shared" si="50"/>
        <v>-6.3999999999999997E-5</v>
      </c>
      <c r="K282" s="9">
        <f t="shared" si="51"/>
        <v>1.3999999999999999E-4</v>
      </c>
      <c r="L282" s="4">
        <f t="shared" si="52"/>
        <v>7.0400000000000003E-3</v>
      </c>
      <c r="M282" s="5">
        <f t="shared" si="53"/>
        <v>2.3324593568009186</v>
      </c>
      <c r="N282" s="2">
        <f t="shared" si="54"/>
        <v>7.1427878275689685E-3</v>
      </c>
      <c r="O282">
        <f t="shared" si="55"/>
        <v>12443.894899999999</v>
      </c>
      <c r="P282">
        <f t="shared" ca="1" si="61"/>
        <v>12443</v>
      </c>
      <c r="Q282" t="str">
        <f t="shared" ca="1" si="56"/>
        <v>0011000010011011</v>
      </c>
      <c r="R282">
        <f t="shared" ca="1" si="57"/>
        <v>2.3330625</v>
      </c>
      <c r="S282">
        <f t="shared" ca="1" si="58"/>
        <v>47.996749999999999</v>
      </c>
      <c r="T282" s="1">
        <f t="shared" ca="1" si="60"/>
        <v>6.7708333333360571E-5</v>
      </c>
      <c r="V282" s="4">
        <f t="shared" ca="1" si="59"/>
        <v>3.2499999999999999E-3</v>
      </c>
      <c r="X282" s="2"/>
    </row>
    <row r="283" spans="8:24" x14ac:dyDescent="0.25">
      <c r="H283">
        <v>48.1</v>
      </c>
      <c r="I283">
        <v>2.3246722396842903</v>
      </c>
      <c r="J283" s="4">
        <f t="shared" si="50"/>
        <v>-6.3E-5</v>
      </c>
      <c r="K283" s="9">
        <f t="shared" si="51"/>
        <v>1.4100000000000001E-4</v>
      </c>
      <c r="L283" s="4">
        <f t="shared" si="52"/>
        <v>7.071E-3</v>
      </c>
      <c r="M283" s="5">
        <f t="shared" si="53"/>
        <v>2.3413485048440426</v>
      </c>
      <c r="N283" s="2">
        <f t="shared" si="54"/>
        <v>7.1735984432872418E-3</v>
      </c>
      <c r="O283">
        <f t="shared" si="55"/>
        <v>12491.3194</v>
      </c>
      <c r="P283">
        <f t="shared" ca="1" si="61"/>
        <v>12490</v>
      </c>
      <c r="Q283" t="str">
        <f t="shared" ca="1" si="56"/>
        <v>0011000011001010</v>
      </c>
      <c r="R283">
        <f t="shared" ca="1" si="57"/>
        <v>2.3418749999999999</v>
      </c>
      <c r="S283">
        <f t="shared" ca="1" si="58"/>
        <v>48.102500000000006</v>
      </c>
      <c r="T283" s="1">
        <f t="shared" ca="1" si="60"/>
        <v>5.1975051975152422E-5</v>
      </c>
      <c r="V283" s="4">
        <f t="shared" ca="1" si="59"/>
        <v>2.5000000000000001E-3</v>
      </c>
      <c r="X283" s="2"/>
    </row>
    <row r="284" spans="8:24" x14ac:dyDescent="0.25">
      <c r="H284">
        <v>48.2</v>
      </c>
      <c r="I284">
        <v>2.3334485902345468</v>
      </c>
      <c r="J284" s="4">
        <f t="shared" si="50"/>
        <v>-6.3E-5</v>
      </c>
      <c r="K284" s="9">
        <f t="shared" si="51"/>
        <v>1.4100000000000001E-4</v>
      </c>
      <c r="L284" s="4">
        <f t="shared" si="52"/>
        <v>7.1009999999999997E-3</v>
      </c>
      <c r="M284" s="5">
        <f t="shared" si="53"/>
        <v>2.3502583630122973</v>
      </c>
      <c r="N284" s="2">
        <f t="shared" si="54"/>
        <v>7.2038324941458834E-3</v>
      </c>
      <c r="O284">
        <f t="shared" si="55"/>
        <v>12538.854300000001</v>
      </c>
      <c r="P284">
        <f t="shared" ca="1" si="61"/>
        <v>12540</v>
      </c>
      <c r="Q284" t="str">
        <f t="shared" ca="1" si="56"/>
        <v>0011000011111100</v>
      </c>
      <c r="R284">
        <f t="shared" ca="1" si="57"/>
        <v>2.3512499999999998</v>
      </c>
      <c r="S284">
        <f t="shared" ca="1" si="58"/>
        <v>48.214999999999996</v>
      </c>
      <c r="T284" s="1">
        <f t="shared" ca="1" si="60"/>
        <v>3.1120331950193903E-4</v>
      </c>
      <c r="V284" s="4">
        <f t="shared" ca="1" si="59"/>
        <v>1.4999999999999999E-2</v>
      </c>
      <c r="X284" s="2"/>
    </row>
    <row r="285" spans="8:24" x14ac:dyDescent="0.25">
      <c r="H285">
        <v>48.3</v>
      </c>
      <c r="I285">
        <v>2.3429392497454296</v>
      </c>
      <c r="J285" s="4">
        <f t="shared" si="50"/>
        <v>-6.2000000000000003E-5</v>
      </c>
      <c r="K285" s="9">
        <f t="shared" si="51"/>
        <v>1.4200000000000001E-4</v>
      </c>
      <c r="L285" s="4">
        <f t="shared" si="52"/>
        <v>7.1320000000000003E-3</v>
      </c>
      <c r="M285" s="5">
        <f t="shared" si="53"/>
        <v>2.3598895684919139</v>
      </c>
      <c r="N285" s="2">
        <f t="shared" si="54"/>
        <v>7.2346386054721922E-3</v>
      </c>
      <c r="O285">
        <f t="shared" si="55"/>
        <v>12590.2377</v>
      </c>
      <c r="P285">
        <f t="shared" ca="1" si="61"/>
        <v>12590</v>
      </c>
      <c r="Q285" t="str">
        <f t="shared" ca="1" si="56"/>
        <v>0011000100101110</v>
      </c>
      <c r="R285">
        <f t="shared" ca="1" si="57"/>
        <v>2.3606250000000002</v>
      </c>
      <c r="S285">
        <f t="shared" ca="1" si="58"/>
        <v>48.327500000000001</v>
      </c>
      <c r="T285" s="1">
        <f t="shared" ca="1" si="60"/>
        <v>5.6935817805390089E-4</v>
      </c>
      <c r="V285" s="4">
        <f t="shared" ca="1" si="59"/>
        <v>2.75E-2</v>
      </c>
      <c r="X285" s="2"/>
    </row>
    <row r="286" spans="8:24" x14ac:dyDescent="0.25">
      <c r="H286">
        <v>48.400000000000006</v>
      </c>
      <c r="I286">
        <v>2.3517568845366155</v>
      </c>
      <c r="J286" s="4">
        <f t="shared" si="50"/>
        <v>-6.2000000000000003E-5</v>
      </c>
      <c r="K286" s="9">
        <f t="shared" si="51"/>
        <v>1.4200000000000001E-4</v>
      </c>
      <c r="L286" s="4">
        <f t="shared" si="52"/>
        <v>7.162E-3</v>
      </c>
      <c r="M286" s="5">
        <f t="shared" si="53"/>
        <v>2.3688421163781155</v>
      </c>
      <c r="N286" s="2">
        <f t="shared" si="54"/>
        <v>7.2648801216824961E-3</v>
      </c>
      <c r="O286">
        <f t="shared" si="55"/>
        <v>12638.000400000001</v>
      </c>
      <c r="P286">
        <f t="shared" ca="1" si="61"/>
        <v>12639</v>
      </c>
      <c r="Q286" t="str">
        <f t="shared" ca="1" si="56"/>
        <v>0011000101011111</v>
      </c>
      <c r="R286">
        <f t="shared" ca="1" si="57"/>
        <v>2.3698125000000001</v>
      </c>
      <c r="S286">
        <f t="shared" ca="1" si="58"/>
        <v>48.437750000000008</v>
      </c>
      <c r="T286" s="1">
        <f t="shared" ca="1" si="60"/>
        <v>7.7995867768600429E-4</v>
      </c>
      <c r="V286" s="4">
        <f t="shared" ca="1" si="59"/>
        <v>3.7749999999999999E-2</v>
      </c>
      <c r="X286" s="2"/>
    </row>
    <row r="287" spans="8:24" x14ac:dyDescent="0.25">
      <c r="H287">
        <v>48.5</v>
      </c>
      <c r="I287">
        <v>2.3612863864071358</v>
      </c>
      <c r="J287" s="4">
        <f t="shared" si="50"/>
        <v>-6.0999999999999999E-5</v>
      </c>
      <c r="K287" s="9">
        <f t="shared" si="51"/>
        <v>1.4300000000000001E-4</v>
      </c>
      <c r="L287" s="4">
        <f t="shared" si="52"/>
        <v>7.1929999999999997E-3</v>
      </c>
      <c r="M287" s="5">
        <f t="shared" si="53"/>
        <v>2.3785136176650004</v>
      </c>
      <c r="N287" s="2">
        <f t="shared" si="54"/>
        <v>7.2956975303944249E-3</v>
      </c>
      <c r="O287">
        <f t="shared" si="55"/>
        <v>12689.5988</v>
      </c>
      <c r="P287">
        <f t="shared" ca="1" si="61"/>
        <v>12689</v>
      </c>
      <c r="Q287" t="str">
        <f t="shared" ca="1" si="56"/>
        <v>0011000110010001</v>
      </c>
      <c r="R287">
        <f t="shared" ca="1" si="57"/>
        <v>2.3791875</v>
      </c>
      <c r="S287">
        <f t="shared" ca="1" si="58"/>
        <v>48.550249999999998</v>
      </c>
      <c r="T287" s="1">
        <f t="shared" ca="1" si="60"/>
        <v>1.0360824742267701E-3</v>
      </c>
      <c r="V287" s="4">
        <f t="shared" ca="1" si="59"/>
        <v>5.0250000000000003E-2</v>
      </c>
      <c r="X287" s="2"/>
    </row>
    <row r="288" spans="8:24" x14ac:dyDescent="0.25">
      <c r="H288">
        <v>48.6</v>
      </c>
      <c r="I288">
        <v>2.3701448653492312</v>
      </c>
      <c r="J288" s="4">
        <f t="shared" si="50"/>
        <v>-6.0999999999999999E-5</v>
      </c>
      <c r="K288" s="9">
        <f t="shared" si="51"/>
        <v>1.4300000000000001E-4</v>
      </c>
      <c r="L288" s="4">
        <f t="shared" si="52"/>
        <v>7.2230000000000003E-3</v>
      </c>
      <c r="M288" s="5">
        <f t="shared" si="53"/>
        <v>2.3875084197309482</v>
      </c>
      <c r="N288" s="2">
        <f t="shared" si="54"/>
        <v>7.3259464581961519E-3</v>
      </c>
      <c r="O288">
        <f t="shared" si="55"/>
        <v>12737.587</v>
      </c>
      <c r="P288">
        <f t="shared" ca="1" si="61"/>
        <v>12741</v>
      </c>
      <c r="Q288" t="str">
        <f t="shared" ca="1" si="56"/>
        <v>0011000111000101</v>
      </c>
      <c r="R288">
        <f t="shared" ca="1" si="57"/>
        <v>2.3889374999999999</v>
      </c>
      <c r="S288">
        <f t="shared" ca="1" si="58"/>
        <v>48.667250000000003</v>
      </c>
      <c r="T288" s="1">
        <f t="shared" ca="1" si="60"/>
        <v>1.3837448559671061E-3</v>
      </c>
      <c r="V288" s="4">
        <f t="shared" ca="1" si="59"/>
        <v>6.7250000000000004E-2</v>
      </c>
      <c r="X288" s="2"/>
    </row>
    <row r="289" spans="8:24" x14ac:dyDescent="0.25">
      <c r="H289">
        <v>48.7</v>
      </c>
      <c r="I289">
        <v>2.379712769183842</v>
      </c>
      <c r="J289" s="4">
        <f t="shared" si="50"/>
        <v>-6.0000000000000002E-5</v>
      </c>
      <c r="K289" s="9">
        <f t="shared" si="51"/>
        <v>1.44E-4</v>
      </c>
      <c r="L289" s="4">
        <f t="shared" si="52"/>
        <v>7.254E-3</v>
      </c>
      <c r="M289" s="5">
        <f t="shared" si="53"/>
        <v>2.3972197807413398</v>
      </c>
      <c r="N289" s="2">
        <f t="shared" si="54"/>
        <v>7.3567750630266519E-3</v>
      </c>
      <c r="O289">
        <f t="shared" si="55"/>
        <v>12789.397999999999</v>
      </c>
      <c r="P289">
        <f t="shared" ca="1" si="61"/>
        <v>12794</v>
      </c>
      <c r="Q289" t="str">
        <f t="shared" ca="1" si="56"/>
        <v>0011000111111010</v>
      </c>
      <c r="R289">
        <f t="shared" ca="1" si="57"/>
        <v>2.3988749999999999</v>
      </c>
      <c r="S289">
        <f t="shared" ca="1" si="58"/>
        <v>48.786499999999997</v>
      </c>
      <c r="T289" s="1">
        <f t="shared" ca="1" si="60"/>
        <v>1.7761806981518235E-3</v>
      </c>
      <c r="V289" s="4">
        <f t="shared" ca="1" si="59"/>
        <v>8.6499999999999994E-2</v>
      </c>
      <c r="X289" s="2"/>
    </row>
    <row r="290" spans="8:24" x14ac:dyDescent="0.25">
      <c r="H290">
        <v>48.8</v>
      </c>
      <c r="I290">
        <v>2.3886116514739628</v>
      </c>
      <c r="J290" s="4">
        <f t="shared" si="50"/>
        <v>-5.8999999999999998E-5</v>
      </c>
      <c r="K290" s="9">
        <f t="shared" si="51"/>
        <v>1.44E-4</v>
      </c>
      <c r="L290" s="4">
        <f t="shared" si="52"/>
        <v>7.2839999999999997E-3</v>
      </c>
      <c r="M290" s="5">
        <f t="shared" si="53"/>
        <v>2.4062553932866626</v>
      </c>
      <c r="N290" s="2">
        <f t="shared" si="54"/>
        <v>7.3866096239680479E-3</v>
      </c>
      <c r="O290">
        <f t="shared" si="55"/>
        <v>12837.6039</v>
      </c>
      <c r="P290">
        <f t="shared" ca="1" si="61"/>
        <v>12842</v>
      </c>
      <c r="Q290" t="str">
        <f t="shared" ca="1" si="56"/>
        <v>0011001000101010</v>
      </c>
      <c r="R290">
        <f t="shared" ca="1" si="57"/>
        <v>2.4078750000000002</v>
      </c>
      <c r="S290">
        <f t="shared" ca="1" si="58"/>
        <v>48.894500000000001</v>
      </c>
      <c r="T290" s="1">
        <f t="shared" ca="1" si="60"/>
        <v>1.936475409836139E-3</v>
      </c>
      <c r="V290" s="4">
        <f t="shared" ca="1" si="59"/>
        <v>9.4500000000000001E-2</v>
      </c>
      <c r="X290" s="2"/>
    </row>
    <row r="291" spans="8:24" x14ac:dyDescent="0.25">
      <c r="H291">
        <v>48.900000000000006</v>
      </c>
      <c r="I291">
        <v>2.3982175154368335</v>
      </c>
      <c r="J291" s="4">
        <f t="shared" si="50"/>
        <v>-5.8999999999999998E-5</v>
      </c>
      <c r="K291" s="9">
        <f t="shared" si="51"/>
        <v>1.45E-4</v>
      </c>
      <c r="L291" s="4">
        <f t="shared" si="52"/>
        <v>7.3150000000000003E-3</v>
      </c>
      <c r="M291" s="5">
        <f t="shared" si="53"/>
        <v>2.4160071837157138</v>
      </c>
      <c r="N291" s="2">
        <f t="shared" si="54"/>
        <v>7.4178710497992146E-3</v>
      </c>
      <c r="O291">
        <f t="shared" si="55"/>
        <v>12889.6306</v>
      </c>
      <c r="P291">
        <f t="shared" ca="1" si="61"/>
        <v>12891</v>
      </c>
      <c r="Q291" t="str">
        <f t="shared" ca="1" si="56"/>
        <v>0011001001011011</v>
      </c>
      <c r="R291">
        <f t="shared" ca="1" si="57"/>
        <v>2.4170625000000001</v>
      </c>
      <c r="S291">
        <f t="shared" ca="1" si="58"/>
        <v>49.004750000000008</v>
      </c>
      <c r="T291" s="1">
        <f t="shared" ca="1" si="60"/>
        <v>2.1421267893661101E-3</v>
      </c>
      <c r="V291" s="4">
        <f t="shared" ca="1" si="59"/>
        <v>0.10475</v>
      </c>
      <c r="X291" s="2"/>
    </row>
    <row r="292" spans="8:24" x14ac:dyDescent="0.25">
      <c r="H292">
        <v>49</v>
      </c>
      <c r="I292">
        <v>2.4071563582934883</v>
      </c>
      <c r="J292" s="4">
        <f t="shared" si="50"/>
        <v>-5.8E-5</v>
      </c>
      <c r="K292" s="9">
        <f t="shared" si="51"/>
        <v>1.45E-4</v>
      </c>
      <c r="L292" s="4">
        <f t="shared" si="52"/>
        <v>7.345E-3</v>
      </c>
      <c r="M292" s="5">
        <f t="shared" si="53"/>
        <v>2.4250841755529247</v>
      </c>
      <c r="N292" s="2">
        <f t="shared" si="54"/>
        <v>7.4477161392814501E-3</v>
      </c>
      <c r="O292">
        <f t="shared" si="55"/>
        <v>12938.057199999999</v>
      </c>
      <c r="P292">
        <f t="shared" ca="1" si="61"/>
        <v>12942</v>
      </c>
      <c r="Q292" t="str">
        <f t="shared" ca="1" si="56"/>
        <v>0011001010001110</v>
      </c>
      <c r="R292">
        <f t="shared" ca="1" si="57"/>
        <v>2.426625</v>
      </c>
      <c r="S292">
        <f t="shared" ca="1" si="58"/>
        <v>49.119500000000002</v>
      </c>
      <c r="T292" s="1">
        <f t="shared" ca="1" si="60"/>
        <v>2.4387755102041257E-3</v>
      </c>
      <c r="V292" s="4">
        <f t="shared" ca="1" si="59"/>
        <v>0.1195</v>
      </c>
      <c r="X292" s="2"/>
    </row>
    <row r="293" spans="8:24" x14ac:dyDescent="0.25">
      <c r="H293">
        <v>49.1</v>
      </c>
      <c r="I293">
        <v>2.4167997393412795</v>
      </c>
      <c r="J293" s="4">
        <f t="shared" si="50"/>
        <v>-5.8E-5</v>
      </c>
      <c r="K293" s="9">
        <f t="shared" si="51"/>
        <v>1.46E-4</v>
      </c>
      <c r="L293" s="4">
        <f t="shared" si="52"/>
        <v>7.3759999999999997E-3</v>
      </c>
      <c r="M293" s="5">
        <f t="shared" si="53"/>
        <v>2.4348749491582713</v>
      </c>
      <c r="N293" s="2">
        <f t="shared" si="54"/>
        <v>7.4789853386521823E-3</v>
      </c>
      <c r="O293">
        <f t="shared" si="55"/>
        <v>12990.291999999999</v>
      </c>
      <c r="P293">
        <f t="shared" ca="1" si="61"/>
        <v>12990</v>
      </c>
      <c r="Q293" t="str">
        <f t="shared" ca="1" si="56"/>
        <v>0011001010111110</v>
      </c>
      <c r="R293">
        <f t="shared" ca="1" si="57"/>
        <v>2.4356249999999999</v>
      </c>
      <c r="S293">
        <f t="shared" ca="1" si="58"/>
        <v>49.227500000000006</v>
      </c>
      <c r="T293" s="1">
        <f t="shared" ca="1" si="60"/>
        <v>2.5967413441956178E-3</v>
      </c>
      <c r="V293" s="4">
        <f t="shared" ca="1" si="59"/>
        <v>0.1275</v>
      </c>
      <c r="X293" s="2"/>
    </row>
    <row r="294" spans="8:24" x14ac:dyDescent="0.25">
      <c r="H294">
        <v>49.2</v>
      </c>
      <c r="I294">
        <v>2.4257780991682862</v>
      </c>
      <c r="J294" s="4">
        <f t="shared" si="50"/>
        <v>-5.7000000000000003E-5</v>
      </c>
      <c r="K294" s="9">
        <f t="shared" si="51"/>
        <v>1.46E-4</v>
      </c>
      <c r="L294" s="4">
        <f t="shared" si="52"/>
        <v>7.4060000000000003E-3</v>
      </c>
      <c r="M294" s="5">
        <f t="shared" si="53"/>
        <v>2.4439928808962037</v>
      </c>
      <c r="N294" s="2">
        <f t="shared" si="54"/>
        <v>7.5088408680755543E-3</v>
      </c>
      <c r="O294">
        <f t="shared" si="55"/>
        <v>13038.937</v>
      </c>
      <c r="P294">
        <f t="shared" ca="1" si="61"/>
        <v>13044</v>
      </c>
      <c r="Q294" t="str">
        <f t="shared" ca="1" si="56"/>
        <v>0011001011110100</v>
      </c>
      <c r="R294">
        <f t="shared" ca="1" si="57"/>
        <v>2.4457499999999999</v>
      </c>
      <c r="S294">
        <f t="shared" ca="1" si="58"/>
        <v>49.348999999999997</v>
      </c>
      <c r="T294" s="1">
        <f t="shared" ca="1" si="60"/>
        <v>3.0284552845527193E-3</v>
      </c>
      <c r="V294" s="4">
        <f t="shared" ca="1" si="59"/>
        <v>0.14899999999999999</v>
      </c>
      <c r="X294" s="2"/>
    </row>
    <row r="295" spans="8:24" x14ac:dyDescent="0.25">
      <c r="H295">
        <v>49.3</v>
      </c>
      <c r="I295">
        <v>2.4347766064763885</v>
      </c>
      <c r="J295" s="4">
        <f t="shared" si="50"/>
        <v>-5.7000000000000003E-5</v>
      </c>
      <c r="K295" s="9">
        <f t="shared" si="51"/>
        <v>1.47E-4</v>
      </c>
      <c r="L295" s="4">
        <f t="shared" si="52"/>
        <v>7.437E-3</v>
      </c>
      <c r="M295" s="5">
        <f t="shared" si="53"/>
        <v>2.4531351411753093</v>
      </c>
      <c r="N295" s="2">
        <f t="shared" si="54"/>
        <v>7.5401310535381247E-3</v>
      </c>
      <c r="O295">
        <f t="shared" si="55"/>
        <v>13087.711799999999</v>
      </c>
      <c r="P295">
        <f t="shared" ca="1" si="61"/>
        <v>13092</v>
      </c>
      <c r="Q295" t="str">
        <f t="shared" ca="1" si="56"/>
        <v>0011001100100100</v>
      </c>
      <c r="R295">
        <f t="shared" ca="1" si="57"/>
        <v>2.4547500000000002</v>
      </c>
      <c r="S295">
        <f t="shared" ca="1" si="58"/>
        <v>49.457000000000001</v>
      </c>
      <c r="T295" s="1">
        <f t="shared" ca="1" si="60"/>
        <v>3.1845841784990587E-3</v>
      </c>
      <c r="V295" s="4">
        <f t="shared" ca="1" si="59"/>
        <v>0.157</v>
      </c>
      <c r="X295" s="2"/>
    </row>
    <row r="296" spans="8:24" x14ac:dyDescent="0.25">
      <c r="H296">
        <v>49.400000000000006</v>
      </c>
      <c r="I296">
        <v>2.4444759844036281</v>
      </c>
      <c r="J296" s="4">
        <f t="shared" si="50"/>
        <v>-5.5999999999999999E-5</v>
      </c>
      <c r="K296" s="9">
        <f t="shared" si="51"/>
        <v>1.47E-4</v>
      </c>
      <c r="L296" s="4">
        <f t="shared" si="52"/>
        <v>7.4669999999999997E-3</v>
      </c>
      <c r="M296" s="5">
        <f t="shared" si="53"/>
        <v>2.4629806276643982</v>
      </c>
      <c r="N296" s="2">
        <f t="shared" si="54"/>
        <v>7.5699836606431562E-3</v>
      </c>
      <c r="O296">
        <f t="shared" si="55"/>
        <v>13140.238499999999</v>
      </c>
      <c r="P296">
        <f t="shared" ca="1" si="61"/>
        <v>13140</v>
      </c>
      <c r="Q296" t="str">
        <f t="shared" ca="1" si="56"/>
        <v>0011001101010100</v>
      </c>
      <c r="R296">
        <f t="shared" ca="1" si="57"/>
        <v>2.4637500000000001</v>
      </c>
      <c r="S296">
        <f t="shared" ca="1" si="58"/>
        <v>49.565000000000005</v>
      </c>
      <c r="T296" s="1">
        <f t="shared" ca="1" si="60"/>
        <v>3.3400809716599015E-3</v>
      </c>
      <c r="V296" s="4">
        <f t="shared" ca="1" si="59"/>
        <v>0.16500000000000001</v>
      </c>
      <c r="X296" s="2"/>
    </row>
    <row r="297" spans="8:24" x14ac:dyDescent="0.25">
      <c r="H297">
        <v>49.5</v>
      </c>
      <c r="I297">
        <v>2.4535133402399043</v>
      </c>
      <c r="J297" s="4">
        <f t="shared" si="50"/>
        <v>-5.5000000000000002E-5</v>
      </c>
      <c r="K297" s="9">
        <f t="shared" si="51"/>
        <v>1.4799999999999999E-4</v>
      </c>
      <c r="L297" s="4">
        <f t="shared" si="52"/>
        <v>7.4980000000000003E-3</v>
      </c>
      <c r="M297" s="5">
        <f t="shared" si="53"/>
        <v>2.472162177361763</v>
      </c>
      <c r="N297" s="2">
        <f t="shared" si="54"/>
        <v>7.6008704807104237E-3</v>
      </c>
      <c r="O297">
        <f t="shared" si="55"/>
        <v>13189.222900000001</v>
      </c>
      <c r="P297">
        <f t="shared" ca="1" si="61"/>
        <v>13191</v>
      </c>
      <c r="Q297" t="str">
        <f t="shared" ca="1" si="56"/>
        <v>0011001110000111</v>
      </c>
      <c r="R297">
        <f t="shared" ca="1" si="57"/>
        <v>2.4733125</v>
      </c>
      <c r="S297">
        <f t="shared" ca="1" si="58"/>
        <v>49.679749999999999</v>
      </c>
      <c r="T297" s="1">
        <f t="shared" ca="1" si="60"/>
        <v>3.6313131313131016E-3</v>
      </c>
      <c r="V297" s="4">
        <f t="shared" ca="1" si="59"/>
        <v>0.17974999999999999</v>
      </c>
      <c r="X297" s="2"/>
    </row>
    <row r="298" spans="8:24" x14ac:dyDescent="0.25">
      <c r="H298">
        <v>49.6</v>
      </c>
      <c r="I298">
        <v>2.4625705087397045</v>
      </c>
      <c r="J298" s="4">
        <f t="shared" si="50"/>
        <v>-5.5000000000000002E-5</v>
      </c>
      <c r="K298" s="9">
        <f t="shared" si="51"/>
        <v>1.4799999999999999E-4</v>
      </c>
      <c r="L298" s="4">
        <f t="shared" si="52"/>
        <v>7.528E-3</v>
      </c>
      <c r="M298" s="5">
        <f t="shared" si="53"/>
        <v>2.4813627710562161</v>
      </c>
      <c r="N298" s="2">
        <f t="shared" si="54"/>
        <v>7.6311570571553121E-3</v>
      </c>
      <c r="O298">
        <f t="shared" si="55"/>
        <v>13238.308999999999</v>
      </c>
      <c r="P298">
        <f t="shared" ca="1" si="61"/>
        <v>13239</v>
      </c>
      <c r="Q298" t="str">
        <f t="shared" ca="1" si="56"/>
        <v>0011001110110111</v>
      </c>
      <c r="R298">
        <f t="shared" ca="1" si="57"/>
        <v>2.4823124999999999</v>
      </c>
      <c r="S298">
        <f t="shared" ca="1" si="58"/>
        <v>49.787750000000003</v>
      </c>
      <c r="T298" s="1">
        <f t="shared" ca="1" si="60"/>
        <v>3.7852822580645403E-3</v>
      </c>
      <c r="V298" s="4">
        <f t="shared" ca="1" si="59"/>
        <v>0.18775</v>
      </c>
      <c r="X298" s="2"/>
    </row>
    <row r="299" spans="8:24" x14ac:dyDescent="0.25">
      <c r="H299">
        <v>49.7</v>
      </c>
      <c r="I299">
        <v>2.4709698773358166</v>
      </c>
      <c r="J299" s="4">
        <f t="shared" si="50"/>
        <v>-5.3999999999999998E-5</v>
      </c>
      <c r="K299" s="9">
        <f t="shared" si="51"/>
        <v>1.4899999999999999E-4</v>
      </c>
      <c r="L299" s="4">
        <f t="shared" si="52"/>
        <v>7.5589999999999997E-3</v>
      </c>
      <c r="M299" s="5">
        <f t="shared" si="53"/>
        <v>2.4899026127636974</v>
      </c>
      <c r="N299" s="2">
        <f t="shared" si="54"/>
        <v>7.6620664628635274E-3</v>
      </c>
      <c r="O299">
        <f t="shared" si="55"/>
        <v>13283.8698</v>
      </c>
      <c r="P299">
        <f t="shared" ca="1" si="61"/>
        <v>13285</v>
      </c>
      <c r="Q299" t="str">
        <f t="shared" ca="1" si="56"/>
        <v>0011001111100101</v>
      </c>
      <c r="R299">
        <f t="shared" ca="1" si="57"/>
        <v>2.4909375000000002</v>
      </c>
      <c r="S299">
        <f t="shared" ca="1" si="58"/>
        <v>49.891250000000007</v>
      </c>
      <c r="T299" s="1">
        <f t="shared" ca="1" si="60"/>
        <v>3.848088531187197E-3</v>
      </c>
      <c r="V299" s="4">
        <f t="shared" ca="1" si="59"/>
        <v>0.19125</v>
      </c>
      <c r="X299" s="2"/>
    </row>
    <row r="300" spans="8:24" x14ac:dyDescent="0.25">
      <c r="H300">
        <v>49.8</v>
      </c>
      <c r="I300">
        <v>2.4807438347216979</v>
      </c>
      <c r="J300" s="4">
        <f t="shared" si="50"/>
        <v>-5.3999999999999998E-5</v>
      </c>
      <c r="K300" s="9">
        <f t="shared" si="51"/>
        <v>1.4899999999999999E-4</v>
      </c>
      <c r="L300" s="4">
        <f t="shared" si="52"/>
        <v>7.5890000000000003E-3</v>
      </c>
      <c r="M300" s="5">
        <f t="shared" si="53"/>
        <v>2.4998265784636584</v>
      </c>
      <c r="N300" s="2">
        <f t="shared" si="54"/>
        <v>7.6923475430510551E-3</v>
      </c>
      <c r="O300">
        <f t="shared" si="55"/>
        <v>13336.8151</v>
      </c>
      <c r="P300">
        <f t="shared" ca="1" si="61"/>
        <v>13336</v>
      </c>
      <c r="Q300" t="str">
        <f t="shared" ca="1" si="56"/>
        <v>0011010000011000</v>
      </c>
      <c r="R300">
        <f t="shared" ca="1" si="57"/>
        <v>2.5005000000000002</v>
      </c>
      <c r="S300">
        <f t="shared" ca="1" si="58"/>
        <v>50.006</v>
      </c>
      <c r="T300" s="1">
        <f t="shared" ca="1" si="60"/>
        <v>4.136546184739018E-3</v>
      </c>
      <c r="V300" s="4">
        <f t="shared" ca="1" si="59"/>
        <v>0.20599999999999999</v>
      </c>
      <c r="X300" s="2"/>
    </row>
    <row r="301" spans="8:24" x14ac:dyDescent="0.25">
      <c r="H301">
        <v>49.900000000000006</v>
      </c>
      <c r="I301">
        <v>2.4905350477826125</v>
      </c>
      <c r="J301" s="4">
        <f t="shared" si="50"/>
        <v>-5.3000000000000001E-5</v>
      </c>
      <c r="K301" s="9">
        <f t="shared" si="51"/>
        <v>1.4999999999999999E-4</v>
      </c>
      <c r="L301" s="4">
        <f t="shared" si="52"/>
        <v>7.62E-3</v>
      </c>
      <c r="M301" s="5">
        <f t="shared" si="53"/>
        <v>2.5097700536312826</v>
      </c>
      <c r="N301" s="2">
        <f t="shared" si="54"/>
        <v>7.7232423875325616E-3</v>
      </c>
      <c r="O301">
        <f t="shared" si="55"/>
        <v>13389.8645</v>
      </c>
      <c r="P301">
        <f t="shared" ca="1" si="61"/>
        <v>13388</v>
      </c>
      <c r="Q301" t="str">
        <f t="shared" ca="1" si="56"/>
        <v>0011010001001100</v>
      </c>
      <c r="R301">
        <f t="shared" ca="1" si="57"/>
        <v>2.5102500000000001</v>
      </c>
      <c r="S301">
        <f t="shared" ca="1" si="58"/>
        <v>50.123000000000005</v>
      </c>
      <c r="T301" s="1">
        <f t="shared" ca="1" si="60"/>
        <v>4.4689378757514818E-3</v>
      </c>
      <c r="V301" s="4">
        <f t="shared" ca="1" si="59"/>
        <v>0.223</v>
      </c>
      <c r="X301" s="2"/>
    </row>
    <row r="302" spans="8:24" x14ac:dyDescent="0.25">
      <c r="H302">
        <v>50</v>
      </c>
      <c r="I302">
        <v>2.4996692336651813</v>
      </c>
      <c r="J302" s="4">
        <f t="shared" si="50"/>
        <v>-5.3000000000000001E-5</v>
      </c>
      <c r="K302" s="9">
        <f t="shared" si="51"/>
        <v>1.4999999999999999E-4</v>
      </c>
      <c r="L302" s="4">
        <f t="shared" si="52"/>
        <v>7.6499999999999997E-3</v>
      </c>
      <c r="M302" s="5">
        <f t="shared" si="53"/>
        <v>2.5190505264928515</v>
      </c>
      <c r="N302" s="2">
        <f t="shared" si="54"/>
        <v>7.7535429754648231E-3</v>
      </c>
      <c r="O302">
        <f t="shared" si="55"/>
        <v>13439.3768</v>
      </c>
      <c r="P302">
        <f t="shared" ca="1" si="61"/>
        <v>13444</v>
      </c>
      <c r="Q302" t="str">
        <f t="shared" ca="1" si="56"/>
        <v>0011010010000100</v>
      </c>
      <c r="R302">
        <f t="shared" ca="1" si="57"/>
        <v>2.52075</v>
      </c>
      <c r="S302">
        <f t="shared" ca="1" si="58"/>
        <v>50.249000000000002</v>
      </c>
      <c r="T302" s="1">
        <f t="shared" ca="1" si="60"/>
        <v>4.9800000000000469E-3</v>
      </c>
      <c r="V302" s="4">
        <f t="shared" ca="1" si="59"/>
        <v>0.249</v>
      </c>
      <c r="X302" s="2"/>
    </row>
    <row r="303" spans="8:24" x14ac:dyDescent="0.25">
      <c r="H303">
        <v>50.1</v>
      </c>
      <c r="I303">
        <v>2.5088226709473807</v>
      </c>
      <c r="J303" s="4">
        <f t="shared" si="50"/>
        <v>-5.1999999999999997E-5</v>
      </c>
      <c r="K303" s="9">
        <f t="shared" si="51"/>
        <v>1.5100000000000001E-4</v>
      </c>
      <c r="L303" s="4">
        <f t="shared" si="52"/>
        <v>7.6810000000000003E-3</v>
      </c>
      <c r="M303" s="5">
        <f t="shared" si="53"/>
        <v>2.5283525010096359</v>
      </c>
      <c r="N303" s="2">
        <f t="shared" si="54"/>
        <v>7.7844601328002335E-3</v>
      </c>
      <c r="O303">
        <f t="shared" si="55"/>
        <v>13489.003699999999</v>
      </c>
      <c r="P303">
        <f t="shared" ca="1" si="61"/>
        <v>13490</v>
      </c>
      <c r="Q303" t="str">
        <f t="shared" ca="1" si="56"/>
        <v>0011010010110010</v>
      </c>
      <c r="R303">
        <f t="shared" ca="1" si="57"/>
        <v>2.5293749999999999</v>
      </c>
      <c r="S303">
        <f t="shared" ca="1" si="58"/>
        <v>50.352500000000006</v>
      </c>
      <c r="T303" s="1">
        <f t="shared" ca="1" si="60"/>
        <v>5.0399201596807346E-3</v>
      </c>
      <c r="V303" s="4">
        <f t="shared" ca="1" si="59"/>
        <v>0.2525</v>
      </c>
      <c r="X303" s="2"/>
    </row>
    <row r="304" spans="8:24" x14ac:dyDescent="0.25">
      <c r="H304">
        <v>50.2</v>
      </c>
      <c r="I304">
        <v>2.5179952465151674</v>
      </c>
      <c r="J304" s="4">
        <f t="shared" si="50"/>
        <v>-5.1E-5</v>
      </c>
      <c r="K304" s="9">
        <f t="shared" si="51"/>
        <v>1.5100000000000001E-4</v>
      </c>
      <c r="L304" s="4">
        <f t="shared" si="52"/>
        <v>7.711E-3</v>
      </c>
      <c r="M304" s="5">
        <f t="shared" si="53"/>
        <v>2.5376717864222695</v>
      </c>
      <c r="N304" s="2">
        <f t="shared" si="54"/>
        <v>7.8143673759249258E-3</v>
      </c>
      <c r="O304">
        <f t="shared" si="55"/>
        <v>13538.723</v>
      </c>
      <c r="P304">
        <f t="shared" ca="1" si="61"/>
        <v>13543</v>
      </c>
      <c r="Q304" t="str">
        <f t="shared" ca="1" si="56"/>
        <v>0011010011100111</v>
      </c>
      <c r="R304">
        <f t="shared" ca="1" si="57"/>
        <v>2.5393124999999999</v>
      </c>
      <c r="S304">
        <f t="shared" ca="1" si="58"/>
        <v>50.47175</v>
      </c>
      <c r="T304" s="1">
        <f t="shared" ca="1" si="60"/>
        <v>5.4133466135457622E-3</v>
      </c>
      <c r="V304" s="4">
        <f t="shared" ca="1" si="59"/>
        <v>0.27174999999999999</v>
      </c>
      <c r="X304" s="2"/>
    </row>
    <row r="305" spans="8:24" x14ac:dyDescent="0.25">
      <c r="H305">
        <v>50.3</v>
      </c>
      <c r="I305">
        <v>2.5271868480983017</v>
      </c>
      <c r="J305" s="4">
        <f t="shared" si="50"/>
        <v>-5.1E-5</v>
      </c>
      <c r="K305" s="9">
        <f t="shared" si="51"/>
        <v>1.5200000000000001E-4</v>
      </c>
      <c r="L305" s="4">
        <f t="shared" si="52"/>
        <v>7.7419999999999998E-3</v>
      </c>
      <c r="M305" s="5">
        <f t="shared" si="53"/>
        <v>2.5470143844265323</v>
      </c>
      <c r="N305" s="2">
        <f t="shared" si="54"/>
        <v>7.8456946478455587E-3</v>
      </c>
      <c r="O305">
        <f t="shared" si="55"/>
        <v>13588.5666</v>
      </c>
      <c r="P305">
        <f t="shared" ca="1" si="61"/>
        <v>13588</v>
      </c>
      <c r="Q305" t="str">
        <f t="shared" ca="1" si="56"/>
        <v>0011010100010100</v>
      </c>
      <c r="R305">
        <f t="shared" ca="1" si="57"/>
        <v>2.5477500000000002</v>
      </c>
      <c r="S305">
        <f t="shared" ca="1" si="58"/>
        <v>50.573</v>
      </c>
      <c r="T305" s="1">
        <f t="shared" ca="1" si="60"/>
        <v>5.4274353876740209E-3</v>
      </c>
      <c r="V305" s="4">
        <f t="shared" ca="1" si="59"/>
        <v>0.27300000000000002</v>
      </c>
      <c r="X305" s="2"/>
    </row>
    <row r="306" spans="8:24" x14ac:dyDescent="0.25">
      <c r="H306">
        <v>50.400000000000006</v>
      </c>
      <c r="I306">
        <v>2.5363973621317366</v>
      </c>
      <c r="J306" s="4">
        <f t="shared" si="50"/>
        <v>-5.0000000000000002E-5</v>
      </c>
      <c r="K306" s="9">
        <f t="shared" si="51"/>
        <v>1.5200000000000001E-4</v>
      </c>
      <c r="L306" s="4">
        <f t="shared" si="52"/>
        <v>7.7720000000000003E-3</v>
      </c>
      <c r="M306" s="5">
        <f t="shared" si="53"/>
        <v>2.5563730426431595</v>
      </c>
      <c r="N306" s="2">
        <f t="shared" si="54"/>
        <v>7.8756116094656856E-3</v>
      </c>
      <c r="O306">
        <f t="shared" si="55"/>
        <v>13638.495999999999</v>
      </c>
      <c r="P306">
        <f t="shared" ca="1" si="61"/>
        <v>13638</v>
      </c>
      <c r="Q306" t="str">
        <f t="shared" ca="1" si="56"/>
        <v>0011010101000110</v>
      </c>
      <c r="R306">
        <f t="shared" ca="1" si="57"/>
        <v>2.5571250000000001</v>
      </c>
      <c r="S306">
        <f t="shared" ca="1" si="58"/>
        <v>50.685500000000005</v>
      </c>
      <c r="T306" s="1">
        <f t="shared" ca="1" si="60"/>
        <v>5.664682539682519E-3</v>
      </c>
      <c r="V306" s="4">
        <f t="shared" ca="1" si="59"/>
        <v>0.28549999999999998</v>
      </c>
      <c r="X306" s="2"/>
    </row>
    <row r="307" spans="8:24" x14ac:dyDescent="0.25">
      <c r="H307">
        <v>50.5</v>
      </c>
      <c r="I307">
        <v>2.5456266760688195</v>
      </c>
      <c r="J307" s="4">
        <f t="shared" si="50"/>
        <v>-5.0000000000000002E-5</v>
      </c>
      <c r="K307" s="9">
        <f t="shared" si="51"/>
        <v>1.5300000000000001E-4</v>
      </c>
      <c r="L307" s="4">
        <f t="shared" si="52"/>
        <v>7.803E-3</v>
      </c>
      <c r="M307" s="5">
        <f t="shared" si="53"/>
        <v>2.5657548082637014</v>
      </c>
      <c r="N307" s="2">
        <f t="shared" si="54"/>
        <v>7.90694581578061E-3</v>
      </c>
      <c r="O307">
        <f t="shared" si="55"/>
        <v>13688.5486</v>
      </c>
      <c r="P307">
        <f t="shared" ca="1" si="61"/>
        <v>13689</v>
      </c>
      <c r="Q307" t="str">
        <f t="shared" ca="1" si="56"/>
        <v>0011010101111001</v>
      </c>
      <c r="R307">
        <f t="shared" ca="1" si="57"/>
        <v>2.5666875</v>
      </c>
      <c r="S307">
        <f t="shared" ca="1" si="58"/>
        <v>50.800249999999998</v>
      </c>
      <c r="T307" s="1">
        <f t="shared" ca="1" si="60"/>
        <v>5.9455445544554127E-3</v>
      </c>
      <c r="V307" s="4">
        <f t="shared" ca="1" si="59"/>
        <v>0.30025000000000002</v>
      </c>
      <c r="X307" s="2"/>
    </row>
    <row r="308" spans="8:24" x14ac:dyDescent="0.25">
      <c r="H308">
        <v>50.6</v>
      </c>
      <c r="I308">
        <v>2.5548746766645603</v>
      </c>
      <c r="J308" s="4">
        <f t="shared" si="50"/>
        <v>-4.8999999999999998E-5</v>
      </c>
      <c r="K308" s="9">
        <f t="shared" si="51"/>
        <v>1.5300000000000001E-4</v>
      </c>
      <c r="L308" s="4">
        <f t="shared" si="52"/>
        <v>7.8329999999999997E-3</v>
      </c>
      <c r="M308" s="5">
        <f t="shared" si="53"/>
        <v>2.5751523910294947</v>
      </c>
      <c r="N308" s="2">
        <f t="shared" si="54"/>
        <v>7.9368724228021156E-3</v>
      </c>
      <c r="O308">
        <f t="shared" si="55"/>
        <v>13738.685600000001</v>
      </c>
      <c r="P308">
        <f t="shared" ca="1" si="61"/>
        <v>13741</v>
      </c>
      <c r="Q308" t="str">
        <f t="shared" ca="1" si="56"/>
        <v>0011010110101101</v>
      </c>
      <c r="R308">
        <f t="shared" ca="1" si="57"/>
        <v>2.5764374999999999</v>
      </c>
      <c r="S308">
        <f t="shared" ca="1" si="58"/>
        <v>50.917250000000003</v>
      </c>
      <c r="T308" s="1">
        <f t="shared" ca="1" si="60"/>
        <v>6.2697628458498293E-3</v>
      </c>
      <c r="V308" s="4">
        <f t="shared" ca="1" si="59"/>
        <v>0.31724999999999998</v>
      </c>
      <c r="X308" s="2"/>
    </row>
    <row r="309" spans="8:24" x14ac:dyDescent="0.25">
      <c r="H309">
        <v>50.7</v>
      </c>
      <c r="I309">
        <v>2.5641412499174652</v>
      </c>
      <c r="J309" s="4">
        <f t="shared" si="50"/>
        <v>-4.8000000000000001E-5</v>
      </c>
      <c r="K309" s="9">
        <f t="shared" si="51"/>
        <v>1.54E-4</v>
      </c>
      <c r="L309" s="4">
        <f t="shared" si="52"/>
        <v>7.8639999999999995E-3</v>
      </c>
      <c r="M309" s="5">
        <f t="shared" si="53"/>
        <v>2.5845718669672961</v>
      </c>
      <c r="N309" s="2">
        <f t="shared" si="54"/>
        <v>7.9678204351997291E-3</v>
      </c>
      <c r="O309">
        <f t="shared" si="55"/>
        <v>13788.939399999999</v>
      </c>
      <c r="P309">
        <f t="shared" ca="1" si="61"/>
        <v>13790</v>
      </c>
      <c r="Q309" t="str">
        <f t="shared" ca="1" si="56"/>
        <v>0011010111011110</v>
      </c>
      <c r="R309">
        <f t="shared" ca="1" si="57"/>
        <v>2.5856249999999998</v>
      </c>
      <c r="S309">
        <f t="shared" ca="1" si="58"/>
        <v>51.027499999999996</v>
      </c>
      <c r="T309" s="1">
        <f t="shared" ca="1" si="60"/>
        <v>6.4595660749505613E-3</v>
      </c>
      <c r="V309" s="4">
        <f t="shared" ca="1" si="59"/>
        <v>0.32750000000000001</v>
      </c>
      <c r="X309" s="2"/>
    </row>
    <row r="310" spans="8:24" x14ac:dyDescent="0.25">
      <c r="H310">
        <v>50.8</v>
      </c>
      <c r="I310">
        <v>2.573426282931714</v>
      </c>
      <c r="J310" s="4">
        <f t="shared" si="50"/>
        <v>-4.8000000000000001E-5</v>
      </c>
      <c r="K310" s="9">
        <f t="shared" si="51"/>
        <v>1.54E-4</v>
      </c>
      <c r="L310" s="4">
        <f t="shared" si="52"/>
        <v>7.894E-3</v>
      </c>
      <c r="M310" s="5">
        <f t="shared" si="53"/>
        <v>2.5940089315856514</v>
      </c>
      <c r="N310" s="2">
        <f t="shared" si="54"/>
        <v>7.9981497004410172E-3</v>
      </c>
      <c r="O310">
        <f t="shared" si="55"/>
        <v>13839.2871</v>
      </c>
      <c r="P310">
        <f t="shared" ca="1" si="61"/>
        <v>13843</v>
      </c>
      <c r="Q310" t="str">
        <f t="shared" ca="1" si="56"/>
        <v>0011011000010011</v>
      </c>
      <c r="R310">
        <f t="shared" ca="1" si="57"/>
        <v>2.5955625000000002</v>
      </c>
      <c r="S310">
        <f t="shared" ca="1" si="58"/>
        <v>51.146750000000004</v>
      </c>
      <c r="T310" s="1">
        <f t="shared" ca="1" si="60"/>
        <v>6.8257874015749459E-3</v>
      </c>
      <c r="V310" s="4">
        <f t="shared" ca="1" si="59"/>
        <v>0.34675</v>
      </c>
      <c r="X310" s="2"/>
    </row>
    <row r="311" spans="8:24" x14ac:dyDescent="0.25">
      <c r="H311">
        <v>50.900000000000006</v>
      </c>
      <c r="I311">
        <v>2.5827296620404243</v>
      </c>
      <c r="J311" s="4">
        <f t="shared" si="50"/>
        <v>-4.6999999999999997E-5</v>
      </c>
      <c r="K311" s="9">
        <f t="shared" si="51"/>
        <v>1.55E-4</v>
      </c>
      <c r="L311" s="4">
        <f t="shared" si="52"/>
        <v>7.9249999999999998E-3</v>
      </c>
      <c r="M311" s="5">
        <f t="shared" si="53"/>
        <v>2.6034666757961085</v>
      </c>
      <c r="N311" s="2">
        <f t="shared" si="54"/>
        <v>8.0291073667003027E-3</v>
      </c>
      <c r="O311">
        <f t="shared" si="55"/>
        <v>13889.745000000001</v>
      </c>
      <c r="P311">
        <f t="shared" ca="1" si="61"/>
        <v>13893</v>
      </c>
      <c r="Q311" t="str">
        <f t="shared" ca="1" si="56"/>
        <v>0011011001000101</v>
      </c>
      <c r="R311">
        <f t="shared" ca="1" si="57"/>
        <v>2.6049375000000001</v>
      </c>
      <c r="S311">
        <f t="shared" ca="1" si="58"/>
        <v>51.259250000000009</v>
      </c>
      <c r="T311" s="1">
        <f t="shared" ca="1" si="60"/>
        <v>7.0579567779961282E-3</v>
      </c>
      <c r="V311" s="4">
        <f t="shared" ca="1" si="59"/>
        <v>0.35925000000000001</v>
      </c>
      <c r="X311" s="2"/>
    </row>
    <row r="312" spans="8:24" x14ac:dyDescent="0.25">
      <c r="H312">
        <v>51</v>
      </c>
      <c r="I312">
        <v>2.5920512736930763</v>
      </c>
      <c r="J312" s="4">
        <f t="shared" si="50"/>
        <v>-4.6999999999999997E-5</v>
      </c>
      <c r="K312" s="9">
        <f t="shared" si="51"/>
        <v>1.55E-4</v>
      </c>
      <c r="L312" s="4">
        <f t="shared" si="52"/>
        <v>7.9550000000000003E-3</v>
      </c>
      <c r="M312" s="5">
        <f t="shared" si="53"/>
        <v>2.6129417640359827</v>
      </c>
      <c r="N312" s="2">
        <f t="shared" si="54"/>
        <v>8.0594433277325628E-3</v>
      </c>
      <c r="O312">
        <f t="shared" si="55"/>
        <v>13940.2955</v>
      </c>
      <c r="P312">
        <f t="shared" ca="1" si="61"/>
        <v>13941</v>
      </c>
      <c r="Q312" t="str">
        <f t="shared" ca="1" si="56"/>
        <v>0011011001110101</v>
      </c>
      <c r="R312">
        <f t="shared" ca="1" si="57"/>
        <v>2.6139375</v>
      </c>
      <c r="S312">
        <f t="shared" ca="1" si="58"/>
        <v>51.367249999999999</v>
      </c>
      <c r="T312" s="1">
        <f t="shared" ca="1" si="60"/>
        <v>7.200980392156834E-3</v>
      </c>
      <c r="V312" s="4">
        <f t="shared" ca="1" si="59"/>
        <v>0.36725000000000002</v>
      </c>
      <c r="X312" s="2"/>
    </row>
    <row r="313" spans="8:24" x14ac:dyDescent="0.25">
      <c r="H313">
        <v>51.1</v>
      </c>
      <c r="I313">
        <v>2.6013910038590993</v>
      </c>
      <c r="J313" s="4">
        <f t="shared" si="50"/>
        <v>-4.6E-5</v>
      </c>
      <c r="K313" s="9">
        <f t="shared" si="51"/>
        <v>1.56E-4</v>
      </c>
      <c r="L313" s="4">
        <f t="shared" si="52"/>
        <v>7.986E-3</v>
      </c>
      <c r="M313" s="5">
        <f t="shared" si="53"/>
        <v>2.6224373251497455</v>
      </c>
      <c r="N313" s="2">
        <f t="shared" si="54"/>
        <v>8.0904105762741978E-3</v>
      </c>
      <c r="O313">
        <f t="shared" si="55"/>
        <v>13990.9553</v>
      </c>
      <c r="P313">
        <f t="shared" ca="1" si="61"/>
        <v>13996</v>
      </c>
      <c r="Q313" t="str">
        <f t="shared" ca="1" si="56"/>
        <v>0011011010101100</v>
      </c>
      <c r="R313">
        <f t="shared" ca="1" si="57"/>
        <v>2.62425</v>
      </c>
      <c r="S313">
        <f t="shared" ca="1" si="58"/>
        <v>51.491000000000007</v>
      </c>
      <c r="T313" s="1">
        <f t="shared" ca="1" si="60"/>
        <v>7.6516634050881674E-3</v>
      </c>
      <c r="V313" s="4">
        <f t="shared" ca="1" si="59"/>
        <v>0.39100000000000001</v>
      </c>
      <c r="X313" s="2"/>
    </row>
    <row r="314" spans="8:24" x14ac:dyDescent="0.25">
      <c r="H314">
        <v>51.2</v>
      </c>
      <c r="I314">
        <v>2.6100878909408065</v>
      </c>
      <c r="J314" s="4">
        <f t="shared" si="50"/>
        <v>-4.6E-5</v>
      </c>
      <c r="K314" s="9">
        <f t="shared" si="51"/>
        <v>1.56E-4</v>
      </c>
      <c r="L314" s="4">
        <f t="shared" si="52"/>
        <v>8.0160000000000006E-3</v>
      </c>
      <c r="M314" s="5">
        <f t="shared" si="53"/>
        <v>2.6312837969289897</v>
      </c>
      <c r="N314" s="2">
        <f t="shared" si="54"/>
        <v>8.1207633128948572E-3</v>
      </c>
      <c r="O314">
        <f t="shared" si="55"/>
        <v>14038.152</v>
      </c>
      <c r="P314">
        <f t="shared" ca="1" si="61"/>
        <v>14043</v>
      </c>
      <c r="Q314" t="str">
        <f t="shared" ca="1" si="56"/>
        <v>0011011011011011</v>
      </c>
      <c r="R314">
        <f t="shared" ca="1" si="57"/>
        <v>2.6330624999999999</v>
      </c>
      <c r="S314">
        <f t="shared" ca="1" si="58"/>
        <v>51.59675</v>
      </c>
      <c r="T314" s="1">
        <f t="shared" ca="1" si="60"/>
        <v>7.7490234374999467E-3</v>
      </c>
      <c r="V314" s="4">
        <f t="shared" ca="1" si="59"/>
        <v>0.39674999999999999</v>
      </c>
      <c r="X314" s="2"/>
    </row>
    <row r="315" spans="8:24" x14ac:dyDescent="0.25">
      <c r="H315">
        <v>51.3</v>
      </c>
      <c r="I315">
        <v>2.6188048884487638</v>
      </c>
      <c r="J315" s="4">
        <f t="shared" si="50"/>
        <v>-4.5000000000000003E-5</v>
      </c>
      <c r="K315" s="9">
        <f t="shared" si="51"/>
        <v>1.5699999999999999E-4</v>
      </c>
      <c r="L315" s="4">
        <f t="shared" si="52"/>
        <v>8.0470000000000003E-3</v>
      </c>
      <c r="M315" s="5">
        <f t="shared" si="53"/>
        <v>2.640152730747086</v>
      </c>
      <c r="N315" s="2">
        <f t="shared" si="54"/>
        <v>8.1517498277496707E-3</v>
      </c>
      <c r="O315">
        <f t="shared" si="55"/>
        <v>14085.468699999999</v>
      </c>
      <c r="P315">
        <f t="shared" ca="1" si="61"/>
        <v>14084</v>
      </c>
      <c r="Q315" t="str">
        <f t="shared" ca="1" si="56"/>
        <v>0011011100000100</v>
      </c>
      <c r="R315">
        <f t="shared" ca="1" si="57"/>
        <v>2.6407500000000002</v>
      </c>
      <c r="S315">
        <f t="shared" ca="1" si="58"/>
        <v>51.689</v>
      </c>
      <c r="T315" s="1">
        <f t="shared" ca="1" si="60"/>
        <v>7.582846003898692E-3</v>
      </c>
      <c r="V315" s="4">
        <f t="shared" ca="1" si="59"/>
        <v>0.38900000000000001</v>
      </c>
      <c r="X315" s="2"/>
    </row>
    <row r="316" spans="8:24" x14ac:dyDescent="0.25">
      <c r="H316">
        <v>51.400000000000006</v>
      </c>
      <c r="I316">
        <v>2.6282005079667758</v>
      </c>
      <c r="J316" s="4">
        <f t="shared" si="50"/>
        <v>-4.3999999999999999E-5</v>
      </c>
      <c r="K316" s="9">
        <f t="shared" si="51"/>
        <v>1.5699999999999999E-4</v>
      </c>
      <c r="L316" s="4">
        <f t="shared" si="52"/>
        <v>8.0770000000000008E-3</v>
      </c>
      <c r="M316" s="5">
        <f t="shared" si="53"/>
        <v>2.6497036962554312</v>
      </c>
      <c r="N316" s="2">
        <f t="shared" si="54"/>
        <v>8.1817152928300146E-3</v>
      </c>
      <c r="O316">
        <f t="shared" si="55"/>
        <v>14136.424000000001</v>
      </c>
      <c r="P316">
        <f t="shared" ca="1" si="61"/>
        <v>14135</v>
      </c>
      <c r="Q316" t="str">
        <f t="shared" ca="1" si="56"/>
        <v>0011011100110111</v>
      </c>
      <c r="R316">
        <f t="shared" ca="1" si="57"/>
        <v>2.6503125000000001</v>
      </c>
      <c r="S316">
        <f t="shared" ca="1" si="58"/>
        <v>51.803750000000008</v>
      </c>
      <c r="T316" s="1">
        <f t="shared" ca="1" si="60"/>
        <v>7.8550583657587981E-3</v>
      </c>
      <c r="V316" s="4">
        <f t="shared" ca="1" si="59"/>
        <v>0.40375</v>
      </c>
      <c r="X316" s="2"/>
    </row>
    <row r="317" spans="8:24" x14ac:dyDescent="0.25">
      <c r="H317">
        <v>51.5</v>
      </c>
      <c r="I317">
        <v>2.636956271353263</v>
      </c>
      <c r="J317" s="4">
        <f t="shared" si="50"/>
        <v>-4.3999999999999999E-5</v>
      </c>
      <c r="K317" s="9">
        <f t="shared" si="51"/>
        <v>1.5799999999999999E-4</v>
      </c>
      <c r="L317" s="4">
        <f t="shared" si="52"/>
        <v>8.1080000000000006E-3</v>
      </c>
      <c r="M317" s="5">
        <f t="shared" si="53"/>
        <v>2.6586138421211816</v>
      </c>
      <c r="N317" s="2">
        <f t="shared" si="54"/>
        <v>8.2130943934098852E-3</v>
      </c>
      <c r="O317">
        <f t="shared" si="55"/>
        <v>14183.960499999999</v>
      </c>
      <c r="P317">
        <f t="shared" ca="1" si="61"/>
        <v>14185</v>
      </c>
      <c r="Q317" t="str">
        <f t="shared" ca="1" si="56"/>
        <v>0011011101101001</v>
      </c>
      <c r="R317">
        <f t="shared" ca="1" si="57"/>
        <v>2.6596875</v>
      </c>
      <c r="S317">
        <f t="shared" ca="1" si="58"/>
        <v>51.916249999999998</v>
      </c>
      <c r="T317" s="1">
        <f t="shared" ca="1" si="60"/>
        <v>8.0825242718446221E-3</v>
      </c>
      <c r="V317" s="4">
        <f t="shared" ca="1" si="59"/>
        <v>0.41625000000000001</v>
      </c>
      <c r="X317" s="2"/>
    </row>
    <row r="318" spans="8:24" x14ac:dyDescent="0.25">
      <c r="H318">
        <v>51.6</v>
      </c>
      <c r="I318">
        <v>2.6463882089473083</v>
      </c>
      <c r="J318" s="4">
        <f t="shared" si="50"/>
        <v>-4.3000000000000002E-5</v>
      </c>
      <c r="K318" s="9">
        <f t="shared" si="51"/>
        <v>1.5799999999999999E-4</v>
      </c>
      <c r="L318" s="4">
        <f t="shared" si="52"/>
        <v>8.1379999999999994E-3</v>
      </c>
      <c r="M318" s="5">
        <f t="shared" si="53"/>
        <v>2.6682025694535207</v>
      </c>
      <c r="N318" s="2">
        <f t="shared" si="54"/>
        <v>8.2430689618624951E-3</v>
      </c>
      <c r="O318">
        <f t="shared" si="55"/>
        <v>14235.117200000001</v>
      </c>
      <c r="P318">
        <f t="shared" ca="1" si="61"/>
        <v>14235</v>
      </c>
      <c r="Q318" t="str">
        <f t="shared" ca="1" si="56"/>
        <v>0011011110011011</v>
      </c>
      <c r="R318">
        <f t="shared" ca="1" si="57"/>
        <v>2.6690624999999999</v>
      </c>
      <c r="S318">
        <f t="shared" ca="1" si="58"/>
        <v>52.028750000000002</v>
      </c>
      <c r="T318" s="1">
        <f t="shared" ca="1" si="60"/>
        <v>8.3091085271317991E-3</v>
      </c>
      <c r="V318" s="4">
        <f t="shared" ca="1" si="59"/>
        <v>0.42875000000000002</v>
      </c>
      <c r="X318" s="2"/>
    </row>
    <row r="319" spans="8:24" x14ac:dyDescent="0.25">
      <c r="H319">
        <v>51.7</v>
      </c>
      <c r="I319">
        <v>2.655837579387184</v>
      </c>
      <c r="J319" s="4">
        <f t="shared" si="50"/>
        <v>-4.3000000000000002E-5</v>
      </c>
      <c r="K319" s="9">
        <f t="shared" si="51"/>
        <v>1.5899999999999999E-4</v>
      </c>
      <c r="L319" s="4">
        <f t="shared" si="52"/>
        <v>8.1689999999999992E-3</v>
      </c>
      <c r="M319" s="5">
        <f t="shared" si="53"/>
        <v>2.6778131612998424</v>
      </c>
      <c r="N319" s="2">
        <f t="shared" si="54"/>
        <v>8.2744449748049249E-3</v>
      </c>
      <c r="O319">
        <f t="shared" si="55"/>
        <v>14286.3907</v>
      </c>
      <c r="P319">
        <f t="shared" ca="1" si="61"/>
        <v>14287</v>
      </c>
      <c r="Q319" t="str">
        <f t="shared" ca="1" si="56"/>
        <v>0011011111001111</v>
      </c>
      <c r="R319">
        <f t="shared" ca="1" si="57"/>
        <v>2.6788125000000003</v>
      </c>
      <c r="S319">
        <f t="shared" ca="1" si="58"/>
        <v>52.145750000000007</v>
      </c>
      <c r="T319" s="1">
        <f t="shared" ca="1" si="60"/>
        <v>8.6218568665377918E-3</v>
      </c>
      <c r="V319" s="4">
        <f t="shared" ca="1" si="59"/>
        <v>0.44574999999999998</v>
      </c>
      <c r="X319" s="2"/>
    </row>
    <row r="320" spans="8:24" x14ac:dyDescent="0.25">
      <c r="H320">
        <v>51.8</v>
      </c>
      <c r="I320">
        <v>2.6653042687150386</v>
      </c>
      <c r="J320" s="4">
        <f t="shared" si="50"/>
        <v>-4.1999999999999998E-5</v>
      </c>
      <c r="K320" s="9">
        <f t="shared" si="51"/>
        <v>1.5899999999999999E-4</v>
      </c>
      <c r="L320" s="4">
        <f t="shared" si="52"/>
        <v>8.1989999999999997E-3</v>
      </c>
      <c r="M320" s="5">
        <f t="shared" si="53"/>
        <v>2.6874380981396859</v>
      </c>
      <c r="N320" s="2">
        <f t="shared" si="54"/>
        <v>8.3044287605175508E-3</v>
      </c>
      <c r="O320">
        <f t="shared" si="55"/>
        <v>14337.740599999999</v>
      </c>
      <c r="P320">
        <f t="shared" ca="1" si="61"/>
        <v>14338</v>
      </c>
      <c r="Q320" t="str">
        <f t="shared" ca="1" si="56"/>
        <v>0011100000000010</v>
      </c>
      <c r="R320">
        <f t="shared" ca="1" si="57"/>
        <v>2.6883750000000002</v>
      </c>
      <c r="S320">
        <f t="shared" ca="1" si="58"/>
        <v>52.2605</v>
      </c>
      <c r="T320" s="1">
        <f t="shared" ca="1" si="60"/>
        <v>8.8899613899614538E-3</v>
      </c>
      <c r="V320" s="4">
        <f t="shared" ca="1" si="59"/>
        <v>0.46050000000000002</v>
      </c>
      <c r="X320" s="2"/>
    </row>
    <row r="321" spans="8:24" x14ac:dyDescent="0.25">
      <c r="H321">
        <v>51.900000000000006</v>
      </c>
      <c r="I321">
        <v>2.6747881623183503</v>
      </c>
      <c r="J321" s="4">
        <f t="shared" si="50"/>
        <v>-4.1999999999999998E-5</v>
      </c>
      <c r="K321" s="9">
        <f t="shared" si="51"/>
        <v>1.6000000000000001E-4</v>
      </c>
      <c r="L321" s="4">
        <f t="shared" si="52"/>
        <v>8.2299999999999995E-3</v>
      </c>
      <c r="M321" s="5">
        <f t="shared" si="53"/>
        <v>2.6970846919934566</v>
      </c>
      <c r="N321" s="2">
        <f t="shared" si="54"/>
        <v>8.3358114071287737E-3</v>
      </c>
      <c r="O321">
        <f t="shared" si="55"/>
        <v>14389.206099999999</v>
      </c>
      <c r="P321">
        <f t="shared" ca="1" si="61"/>
        <v>14393</v>
      </c>
      <c r="Q321" t="str">
        <f t="shared" ca="1" si="56"/>
        <v>0011100000111001</v>
      </c>
      <c r="R321">
        <f t="shared" ca="1" si="57"/>
        <v>2.6986875000000001</v>
      </c>
      <c r="S321">
        <f t="shared" ca="1" si="58"/>
        <v>52.384250000000009</v>
      </c>
      <c r="T321" s="1">
        <f t="shared" ca="1" si="60"/>
        <v>9.3304431599229853E-3</v>
      </c>
      <c r="V321" s="4">
        <f t="shared" ca="1" si="59"/>
        <v>0.48425000000000001</v>
      </c>
      <c r="X321" s="2"/>
    </row>
    <row r="322" spans="8:24" x14ac:dyDescent="0.25">
      <c r="H322">
        <v>52</v>
      </c>
      <c r="I322">
        <v>2.6842891452353994</v>
      </c>
      <c r="J322" s="4">
        <f t="shared" si="50"/>
        <v>-4.1E-5</v>
      </c>
      <c r="K322" s="9">
        <f t="shared" si="51"/>
        <v>1.6000000000000001E-4</v>
      </c>
      <c r="L322" s="4">
        <f t="shared" si="52"/>
        <v>8.26E-3</v>
      </c>
      <c r="M322" s="5">
        <f t="shared" si="53"/>
        <v>2.7067453830191375</v>
      </c>
      <c r="N322" s="2">
        <f t="shared" si="54"/>
        <v>8.3658043410106478E-3</v>
      </c>
      <c r="O322">
        <f t="shared" si="55"/>
        <v>14440.7469</v>
      </c>
      <c r="P322">
        <f t="shared" ca="1" si="61"/>
        <v>14444</v>
      </c>
      <c r="Q322" t="str">
        <f t="shared" ca="1" si="56"/>
        <v>0011100001101100</v>
      </c>
      <c r="R322">
        <f t="shared" ca="1" si="57"/>
        <v>2.70825</v>
      </c>
      <c r="S322">
        <f t="shared" ca="1" si="58"/>
        <v>52.499000000000002</v>
      </c>
      <c r="T322" s="1">
        <f t="shared" ca="1" si="60"/>
        <v>9.5961538461538914E-3</v>
      </c>
      <c r="V322" s="4">
        <f t="shared" ca="1" si="59"/>
        <v>0.499</v>
      </c>
      <c r="X322" s="2"/>
    </row>
    <row r="323" spans="8:24" x14ac:dyDescent="0.25">
      <c r="H323">
        <v>52.1</v>
      </c>
      <c r="I323">
        <v>2.6931562313198816</v>
      </c>
      <c r="J323" s="4">
        <f t="shared" ref="J323:J386" si="62">ROUND(H323*0.00000575 -0.00034,6)</f>
        <v>-4.0000000000000003E-5</v>
      </c>
      <c r="K323" s="9">
        <f t="shared" ref="K323:K386" si="63">ROUND(H323*0.000005-0.0001,6)</f>
        <v>1.6100000000000001E-4</v>
      </c>
      <c r="L323" s="4">
        <f t="shared" ref="L323:L386" si="64">ROUND(K323+($C$24*(H323-25)),6)</f>
        <v>8.2909999999999998E-3</v>
      </c>
      <c r="M323" s="5">
        <f t="shared" ref="M323:M386" si="65">(I323-J323)/(1-L323)+$C$26+$D$27</f>
        <v>2.7157702011798639</v>
      </c>
      <c r="N323" s="2">
        <f t="shared" ref="N323:N386" si="66">ABS(I323-M323)/I323</f>
        <v>8.3968280774039984E-3</v>
      </c>
      <c r="O323">
        <f t="shared" ref="O323:O386" si="67">ROUND((M323*(2^($C$12-1)))/$C$44,4)</f>
        <v>14488.8951</v>
      </c>
      <c r="P323">
        <f t="shared" ca="1" si="61"/>
        <v>14487</v>
      </c>
      <c r="Q323" t="str">
        <f t="shared" ref="Q323:Q386" ca="1" si="68">_xlfn.BASE(P323,2,16)</f>
        <v>0011100010010111</v>
      </c>
      <c r="R323">
        <f t="shared" ref="R323:R386" ca="1" si="69">($C$16/2^($C$12-1)) * P323</f>
        <v>2.7163124999999999</v>
      </c>
      <c r="S323">
        <f t="shared" ref="S323:S386" ca="1" si="70">(R323+5/3)/(1/12)</f>
        <v>52.595750000000002</v>
      </c>
      <c r="T323" s="1">
        <f t="shared" ca="1" si="60"/>
        <v>9.5153550863723794E-3</v>
      </c>
      <c r="V323" s="4">
        <f t="shared" ref="V323:V386" ca="1" si="71">ROUND(ABS(H323-S323),6)</f>
        <v>0.49575000000000002</v>
      </c>
      <c r="X323" s="2"/>
    </row>
    <row r="324" spans="8:24" x14ac:dyDescent="0.25">
      <c r="H324">
        <v>52.2</v>
      </c>
      <c r="I324">
        <v>2.7026921561478252</v>
      </c>
      <c r="J324" s="4">
        <f t="shared" si="62"/>
        <v>-4.0000000000000003E-5</v>
      </c>
      <c r="K324" s="9">
        <f t="shared" si="63"/>
        <v>1.6100000000000001E-4</v>
      </c>
      <c r="L324" s="4">
        <f t="shared" si="64"/>
        <v>8.3210000000000003E-3</v>
      </c>
      <c r="M324" s="5">
        <f t="shared" si="65"/>
        <v>2.7254682952143034</v>
      </c>
      <c r="N324" s="2">
        <f t="shared" si="66"/>
        <v>8.4272043394469694E-3</v>
      </c>
      <c r="O324">
        <f t="shared" si="67"/>
        <v>14540.635399999999</v>
      </c>
      <c r="P324">
        <f t="shared" ca="1" si="61"/>
        <v>14542</v>
      </c>
      <c r="Q324" t="str">
        <f t="shared" ca="1" si="68"/>
        <v>0011100011001110</v>
      </c>
      <c r="R324">
        <f t="shared" ca="1" si="69"/>
        <v>2.7266249999999999</v>
      </c>
      <c r="S324">
        <f t="shared" ca="1" si="70"/>
        <v>52.719499999999996</v>
      </c>
      <c r="T324" s="1">
        <f t="shared" ref="T324:T387" ca="1" si="72">ABS(H324-S324)/H324</f>
        <v>9.9521072796933639E-3</v>
      </c>
      <c r="V324" s="4">
        <f t="shared" ca="1" si="71"/>
        <v>0.51949999999999996</v>
      </c>
      <c r="X324" s="2"/>
    </row>
    <row r="325" spans="8:24" x14ac:dyDescent="0.25">
      <c r="H325">
        <v>52.300000000000004</v>
      </c>
      <c r="I325">
        <v>2.7115961685782035</v>
      </c>
      <c r="J325" s="4">
        <f t="shared" si="62"/>
        <v>-3.8999999999999999E-5</v>
      </c>
      <c r="K325" s="9">
        <f t="shared" si="63"/>
        <v>1.6200000000000001E-4</v>
      </c>
      <c r="L325" s="4">
        <f t="shared" si="64"/>
        <v>8.352E-3</v>
      </c>
      <c r="M325" s="5">
        <f t="shared" si="65"/>
        <v>2.7345314911765102</v>
      </c>
      <c r="N325" s="2">
        <f t="shared" si="66"/>
        <v>8.4582368363252825E-3</v>
      </c>
      <c r="O325">
        <f t="shared" si="67"/>
        <v>14588.9884</v>
      </c>
      <c r="P325">
        <f t="shared" ca="1" si="61"/>
        <v>14590</v>
      </c>
      <c r="Q325" t="str">
        <f t="shared" ca="1" si="68"/>
        <v>0011100011111110</v>
      </c>
      <c r="R325">
        <f t="shared" ca="1" si="69"/>
        <v>2.7356250000000002</v>
      </c>
      <c r="S325">
        <f t="shared" ca="1" si="70"/>
        <v>52.827500000000001</v>
      </c>
      <c r="T325" s="1">
        <f t="shared" ca="1" si="72"/>
        <v>1.0086042065009489E-2</v>
      </c>
      <c r="V325" s="4">
        <f t="shared" ca="1" si="71"/>
        <v>0.52749999999999997</v>
      </c>
      <c r="X325" s="2"/>
    </row>
    <row r="326" spans="8:24" x14ac:dyDescent="0.25">
      <c r="H326">
        <v>52.4</v>
      </c>
      <c r="I326">
        <v>2.7205190244120341</v>
      </c>
      <c r="J326" s="4">
        <f t="shared" si="62"/>
        <v>-3.8999999999999999E-5</v>
      </c>
      <c r="K326" s="9">
        <f t="shared" si="63"/>
        <v>1.6200000000000001E-4</v>
      </c>
      <c r="L326" s="4">
        <f t="shared" si="64"/>
        <v>8.3820000000000006E-3</v>
      </c>
      <c r="M326" s="5">
        <f t="shared" si="65"/>
        <v>2.7436124982160814</v>
      </c>
      <c r="N326" s="2">
        <f t="shared" si="66"/>
        <v>8.4886279407799334E-3</v>
      </c>
      <c r="O326">
        <f t="shared" si="67"/>
        <v>14637.4365</v>
      </c>
      <c r="P326">
        <f t="shared" ca="1" si="61"/>
        <v>14637</v>
      </c>
      <c r="Q326" t="str">
        <f t="shared" ca="1" si="68"/>
        <v>0011100100101101</v>
      </c>
      <c r="R326">
        <f t="shared" ca="1" si="69"/>
        <v>2.7444375000000001</v>
      </c>
      <c r="S326">
        <f t="shared" ca="1" si="70"/>
        <v>52.933250000000008</v>
      </c>
      <c r="T326" s="1">
        <f t="shared" ca="1" si="72"/>
        <v>1.0176526717557434E-2</v>
      </c>
      <c r="V326" s="4">
        <f t="shared" ca="1" si="71"/>
        <v>0.53325</v>
      </c>
      <c r="X326" s="2"/>
    </row>
    <row r="327" spans="8:24" x14ac:dyDescent="0.25">
      <c r="H327">
        <v>52.5</v>
      </c>
      <c r="I327">
        <v>2.7301070507917444</v>
      </c>
      <c r="J327" s="4">
        <f t="shared" si="62"/>
        <v>-3.8000000000000002E-5</v>
      </c>
      <c r="K327" s="9">
        <f t="shared" si="63"/>
        <v>1.63E-4</v>
      </c>
      <c r="L327" s="4">
        <f t="shared" si="64"/>
        <v>8.4130000000000003E-3</v>
      </c>
      <c r="M327" s="5">
        <f t="shared" si="65"/>
        <v>2.7533666363493516</v>
      </c>
      <c r="N327" s="2">
        <f t="shared" si="66"/>
        <v>8.5196606304730124E-3</v>
      </c>
      <c r="O327">
        <f t="shared" si="67"/>
        <v>14689.475700000001</v>
      </c>
      <c r="P327">
        <f t="shared" ca="1" si="61"/>
        <v>14692</v>
      </c>
      <c r="Q327" t="str">
        <f t="shared" ca="1" si="68"/>
        <v>0011100101100100</v>
      </c>
      <c r="R327">
        <f t="shared" ca="1" si="69"/>
        <v>2.75475</v>
      </c>
      <c r="S327">
        <f t="shared" ca="1" si="70"/>
        <v>53.057000000000002</v>
      </c>
      <c r="T327" s="1">
        <f t="shared" ca="1" si="72"/>
        <v>1.060952380952385E-2</v>
      </c>
      <c r="V327" s="4">
        <f t="shared" ca="1" si="71"/>
        <v>0.55700000000000005</v>
      </c>
      <c r="X327" s="2"/>
    </row>
    <row r="328" spans="8:24" x14ac:dyDescent="0.25">
      <c r="H328">
        <v>52.6</v>
      </c>
      <c r="I328">
        <v>2.7390661397242164</v>
      </c>
      <c r="J328" s="4">
        <f t="shared" si="62"/>
        <v>-3.8000000000000002E-5</v>
      </c>
      <c r="K328" s="9">
        <f t="shared" si="63"/>
        <v>1.63E-4</v>
      </c>
      <c r="L328" s="4">
        <f t="shared" si="64"/>
        <v>8.4430000000000009E-3</v>
      </c>
      <c r="M328" s="5">
        <f t="shared" si="65"/>
        <v>2.7624853135323701</v>
      </c>
      <c r="N328" s="2">
        <f t="shared" si="66"/>
        <v>8.5500577983530154E-3</v>
      </c>
      <c r="O328">
        <f t="shared" si="67"/>
        <v>14738.1248</v>
      </c>
      <c r="P328">
        <f t="shared" ca="1" si="61"/>
        <v>14743</v>
      </c>
      <c r="Q328" t="str">
        <f t="shared" ca="1" si="68"/>
        <v>0011100110010111</v>
      </c>
      <c r="R328">
        <f t="shared" ca="1" si="69"/>
        <v>2.7643125</v>
      </c>
      <c r="S328">
        <f t="shared" ca="1" si="70"/>
        <v>53.171750000000003</v>
      </c>
      <c r="T328" s="1">
        <f t="shared" ca="1" si="72"/>
        <v>1.08697718631179E-2</v>
      </c>
      <c r="V328" s="4">
        <f t="shared" ca="1" si="71"/>
        <v>0.57174999999999998</v>
      </c>
      <c r="X328" s="2"/>
    </row>
    <row r="329" spans="8:24" x14ac:dyDescent="0.25">
      <c r="H329">
        <v>52.7</v>
      </c>
      <c r="I329">
        <v>2.7480437246872671</v>
      </c>
      <c r="J329" s="4">
        <f t="shared" si="62"/>
        <v>-3.6999999999999998E-5</v>
      </c>
      <c r="K329" s="9">
        <f t="shared" si="63"/>
        <v>1.64E-4</v>
      </c>
      <c r="L329" s="4">
        <f t="shared" si="64"/>
        <v>8.4740000000000006E-3</v>
      </c>
      <c r="M329" s="5">
        <f t="shared" si="65"/>
        <v>2.7716249833037834</v>
      </c>
      <c r="N329" s="2">
        <f t="shared" si="66"/>
        <v>8.5811075000998653E-3</v>
      </c>
      <c r="O329">
        <f t="shared" si="67"/>
        <v>14786.8858</v>
      </c>
      <c r="P329">
        <f t="shared" ca="1" si="61"/>
        <v>14790</v>
      </c>
      <c r="Q329" t="str">
        <f t="shared" ca="1" si="68"/>
        <v>0011100111000110</v>
      </c>
      <c r="R329">
        <f t="shared" ca="1" si="69"/>
        <v>2.7731249999999998</v>
      </c>
      <c r="S329">
        <f t="shared" ca="1" si="70"/>
        <v>53.277499999999996</v>
      </c>
      <c r="T329" s="1">
        <f t="shared" ca="1" si="72"/>
        <v>1.095825426944959E-2</v>
      </c>
      <c r="V329" s="4">
        <f t="shared" ca="1" si="71"/>
        <v>0.57750000000000001</v>
      </c>
      <c r="X329" s="2"/>
    </row>
    <row r="330" spans="8:24" x14ac:dyDescent="0.25">
      <c r="H330">
        <v>52.800000000000004</v>
      </c>
      <c r="I330">
        <v>2.757039689453491</v>
      </c>
      <c r="J330" s="4">
        <f t="shared" si="62"/>
        <v>-3.6000000000000001E-5</v>
      </c>
      <c r="K330" s="9">
        <f t="shared" si="63"/>
        <v>1.64E-4</v>
      </c>
      <c r="L330" s="4">
        <f t="shared" si="64"/>
        <v>8.5039999999999994E-3</v>
      </c>
      <c r="M330" s="5">
        <f t="shared" si="65"/>
        <v>2.7807809574839344</v>
      </c>
      <c r="N330" s="2">
        <f t="shared" si="66"/>
        <v>8.6111448163988802E-3</v>
      </c>
      <c r="O330">
        <f t="shared" si="67"/>
        <v>14835.7338</v>
      </c>
      <c r="P330">
        <f t="shared" ca="1" si="61"/>
        <v>14834</v>
      </c>
      <c r="Q330" t="str">
        <f t="shared" ca="1" si="68"/>
        <v>0011100111110010</v>
      </c>
      <c r="R330">
        <f t="shared" ca="1" si="69"/>
        <v>2.7813750000000002</v>
      </c>
      <c r="S330">
        <f t="shared" ca="1" si="70"/>
        <v>53.3765</v>
      </c>
      <c r="T330" s="1">
        <f t="shared" ca="1" si="72"/>
        <v>1.0918560606060525E-2</v>
      </c>
      <c r="V330" s="4">
        <f t="shared" ca="1" si="71"/>
        <v>0.57650000000000001</v>
      </c>
      <c r="X330" s="2"/>
    </row>
    <row r="331" spans="8:24" x14ac:dyDescent="0.25">
      <c r="H331">
        <v>52.9</v>
      </c>
      <c r="I331">
        <v>2.7660539185374349</v>
      </c>
      <c r="J331" s="4">
        <f t="shared" si="62"/>
        <v>-3.6000000000000001E-5</v>
      </c>
      <c r="K331" s="9">
        <f t="shared" si="63"/>
        <v>1.65E-4</v>
      </c>
      <c r="L331" s="4">
        <f t="shared" si="64"/>
        <v>8.5349999999999992E-3</v>
      </c>
      <c r="M331" s="5">
        <f t="shared" si="65"/>
        <v>2.7899597298012888</v>
      </c>
      <c r="N331" s="2">
        <f t="shared" si="66"/>
        <v>8.642568788570202E-3</v>
      </c>
      <c r="O331">
        <f t="shared" si="67"/>
        <v>14884.7034</v>
      </c>
      <c r="P331">
        <f t="shared" ca="1" si="61"/>
        <v>14887</v>
      </c>
      <c r="Q331" t="str">
        <f t="shared" ca="1" si="68"/>
        <v>0011101000100111</v>
      </c>
      <c r="R331">
        <f t="shared" ca="1" si="69"/>
        <v>2.7913125000000001</v>
      </c>
      <c r="S331">
        <f t="shared" ca="1" si="70"/>
        <v>53.495750000000008</v>
      </c>
      <c r="T331" s="1">
        <f t="shared" ca="1" si="72"/>
        <v>1.1261814744801693E-2</v>
      </c>
      <c r="V331" s="4">
        <f t="shared" ca="1" si="71"/>
        <v>0.59575</v>
      </c>
      <c r="X331" s="2"/>
    </row>
    <row r="332" spans="8:24" x14ac:dyDescent="0.25">
      <c r="H332">
        <v>53</v>
      </c>
      <c r="I332">
        <v>2.7750862949697317</v>
      </c>
      <c r="J332" s="4">
        <f t="shared" si="62"/>
        <v>-3.4999999999999997E-5</v>
      </c>
      <c r="K332" s="9">
        <f t="shared" si="63"/>
        <v>1.65E-4</v>
      </c>
      <c r="L332" s="4">
        <f t="shared" si="64"/>
        <v>8.5649999999999997E-3</v>
      </c>
      <c r="M332" s="5">
        <f t="shared" si="65"/>
        <v>2.7991535483412751</v>
      </c>
      <c r="N332" s="2">
        <f t="shared" si="66"/>
        <v>8.6726144030796239E-3</v>
      </c>
      <c r="O332">
        <f t="shared" si="67"/>
        <v>14933.7533</v>
      </c>
      <c r="P332">
        <f t="shared" ca="1" si="61"/>
        <v>14936</v>
      </c>
      <c r="Q332" t="str">
        <f t="shared" ca="1" si="68"/>
        <v>0011101001011000</v>
      </c>
      <c r="R332">
        <f t="shared" ca="1" si="69"/>
        <v>2.8005</v>
      </c>
      <c r="S332">
        <f t="shared" ca="1" si="70"/>
        <v>53.606000000000002</v>
      </c>
      <c r="T332" s="1">
        <f t="shared" ca="1" si="72"/>
        <v>1.1433962264150974E-2</v>
      </c>
      <c r="V332" s="4">
        <f t="shared" ca="1" si="71"/>
        <v>0.60599999999999998</v>
      </c>
      <c r="X332" s="2"/>
    </row>
    <row r="333" spans="8:24" x14ac:dyDescent="0.25">
      <c r="H333">
        <v>53.1</v>
      </c>
      <c r="I333">
        <v>2.7841367027121051</v>
      </c>
      <c r="J333" s="4">
        <f t="shared" si="62"/>
        <v>-3.4999999999999997E-5</v>
      </c>
      <c r="K333" s="9">
        <f t="shared" si="63"/>
        <v>1.66E-4</v>
      </c>
      <c r="L333" s="4">
        <f t="shared" si="64"/>
        <v>8.5959999999999995E-3</v>
      </c>
      <c r="M333" s="5">
        <f t="shared" si="65"/>
        <v>2.808369952253678</v>
      </c>
      <c r="N333" s="2">
        <f t="shared" si="66"/>
        <v>8.7040444235251188E-3</v>
      </c>
      <c r="O333">
        <f t="shared" si="67"/>
        <v>14982.923699999999</v>
      </c>
      <c r="P333">
        <f t="shared" ca="1" si="61"/>
        <v>14983</v>
      </c>
      <c r="Q333" t="str">
        <f t="shared" ca="1" si="68"/>
        <v>0011101010000111</v>
      </c>
      <c r="R333">
        <f t="shared" ca="1" si="69"/>
        <v>2.8093124999999999</v>
      </c>
      <c r="S333">
        <f t="shared" ca="1" si="70"/>
        <v>53.711750000000002</v>
      </c>
      <c r="T333" s="1">
        <f t="shared" ca="1" si="72"/>
        <v>1.1520715630885135E-2</v>
      </c>
      <c r="V333" s="4">
        <f t="shared" ca="1" si="71"/>
        <v>0.61175000000000002</v>
      </c>
      <c r="X333" s="2"/>
    </row>
    <row r="334" spans="8:24" x14ac:dyDescent="0.25">
      <c r="H334">
        <v>53.2</v>
      </c>
      <c r="I334">
        <v>2.7938437275707662</v>
      </c>
      <c r="J334" s="4">
        <f t="shared" si="62"/>
        <v>-3.4E-5</v>
      </c>
      <c r="K334" s="9">
        <f t="shared" si="63"/>
        <v>1.66E-4</v>
      </c>
      <c r="L334" s="4">
        <f t="shared" si="64"/>
        <v>8.626E-3</v>
      </c>
      <c r="M334" s="5">
        <f t="shared" si="65"/>
        <v>2.8182454121883027</v>
      </c>
      <c r="N334" s="2">
        <f t="shared" si="66"/>
        <v>8.7340907355450779E-3</v>
      </c>
      <c r="O334">
        <f t="shared" si="67"/>
        <v>15035.610199999999</v>
      </c>
      <c r="P334">
        <f t="shared" ca="1" si="61"/>
        <v>15038</v>
      </c>
      <c r="Q334" t="str">
        <f t="shared" ca="1" si="68"/>
        <v>0011101010111110</v>
      </c>
      <c r="R334">
        <f t="shared" ca="1" si="69"/>
        <v>2.8196250000000003</v>
      </c>
      <c r="S334">
        <f t="shared" ca="1" si="70"/>
        <v>53.83550000000001</v>
      </c>
      <c r="T334" s="1">
        <f t="shared" ca="1" si="72"/>
        <v>1.1945488721804651E-2</v>
      </c>
      <c r="V334" s="4">
        <f t="shared" ca="1" si="71"/>
        <v>0.63549999999999995</v>
      </c>
      <c r="X334" s="2"/>
    </row>
    <row r="335" spans="8:24" x14ac:dyDescent="0.25">
      <c r="H335">
        <v>53.300000000000004</v>
      </c>
      <c r="I335">
        <v>2.8029287442831992</v>
      </c>
      <c r="J335" s="4">
        <f t="shared" si="62"/>
        <v>-3.4E-5</v>
      </c>
      <c r="K335" s="9">
        <f t="shared" si="63"/>
        <v>1.6699999999999999E-4</v>
      </c>
      <c r="L335" s="4">
        <f t="shared" si="64"/>
        <v>8.6569999999999998E-3</v>
      </c>
      <c r="M335" s="5">
        <f t="shared" si="65"/>
        <v>2.8274978914232505</v>
      </c>
      <c r="N335" s="2">
        <f t="shared" si="66"/>
        <v>8.7655268405099802E-3</v>
      </c>
      <c r="O335">
        <f t="shared" si="67"/>
        <v>15084.973099999999</v>
      </c>
      <c r="P335">
        <f t="shared" ref="P335:P398" ca="1" si="73">ROUND(O335+$C$47+$C$49+RANDBETWEEN($B$45,$D$45) + 1,0)</f>
        <v>15087</v>
      </c>
      <c r="Q335" t="str">
        <f t="shared" ca="1" si="68"/>
        <v>0011101011101111</v>
      </c>
      <c r="R335">
        <f t="shared" ca="1" si="69"/>
        <v>2.8288125000000002</v>
      </c>
      <c r="S335">
        <f t="shared" ca="1" si="70"/>
        <v>53.945750000000004</v>
      </c>
      <c r="T335" s="1">
        <f t="shared" ca="1" si="72"/>
        <v>1.2115384615384608E-2</v>
      </c>
      <c r="V335" s="4">
        <f t="shared" ca="1" si="71"/>
        <v>0.64575000000000005</v>
      </c>
      <c r="X335" s="2"/>
    </row>
    <row r="336" spans="8:24" x14ac:dyDescent="0.25">
      <c r="H336">
        <v>53.4</v>
      </c>
      <c r="I336">
        <v>2.8120314430706328</v>
      </c>
      <c r="J336" s="4">
        <f t="shared" si="62"/>
        <v>-3.3000000000000003E-5</v>
      </c>
      <c r="K336" s="9">
        <f t="shared" si="63"/>
        <v>1.6699999999999999E-4</v>
      </c>
      <c r="L336" s="4">
        <f t="shared" si="64"/>
        <v>8.6870000000000003E-3</v>
      </c>
      <c r="M336" s="5">
        <f t="shared" si="65"/>
        <v>2.8367649160503627</v>
      </c>
      <c r="N336" s="2">
        <f t="shared" si="66"/>
        <v>8.7955890538414169E-3</v>
      </c>
      <c r="O336">
        <f t="shared" si="67"/>
        <v>15134.4136</v>
      </c>
      <c r="P336">
        <f t="shared" ca="1" si="73"/>
        <v>15135</v>
      </c>
      <c r="Q336" t="str">
        <f t="shared" ca="1" si="68"/>
        <v>0011101100011111</v>
      </c>
      <c r="R336">
        <f t="shared" ca="1" si="69"/>
        <v>2.8378125000000001</v>
      </c>
      <c r="S336">
        <f t="shared" ca="1" si="70"/>
        <v>54.053750000000008</v>
      </c>
      <c r="T336" s="1">
        <f t="shared" ca="1" si="72"/>
        <v>1.2242509363296057E-2</v>
      </c>
      <c r="V336" s="4">
        <f t="shared" ca="1" si="71"/>
        <v>0.65375000000000005</v>
      </c>
      <c r="X336" s="2"/>
    </row>
    <row r="337" spans="8:24" x14ac:dyDescent="0.25">
      <c r="H337">
        <v>53.5</v>
      </c>
      <c r="I337">
        <v>2.8217870995785677</v>
      </c>
      <c r="J337" s="4">
        <f t="shared" si="62"/>
        <v>-3.1999999999999999E-5</v>
      </c>
      <c r="K337" s="9">
        <f t="shared" si="63"/>
        <v>1.6799999999999999E-4</v>
      </c>
      <c r="L337" s="4">
        <f t="shared" si="64"/>
        <v>8.7180000000000001E-3</v>
      </c>
      <c r="M337" s="5">
        <f t="shared" si="65"/>
        <v>2.8466940728617769</v>
      </c>
      <c r="N337" s="2">
        <f t="shared" si="66"/>
        <v>8.8266663657683726E-3</v>
      </c>
      <c r="O337">
        <f t="shared" si="67"/>
        <v>15187.3866</v>
      </c>
      <c r="P337">
        <f t="shared" ca="1" si="73"/>
        <v>15187</v>
      </c>
      <c r="Q337" t="str">
        <f t="shared" ca="1" si="68"/>
        <v>0011101101010011</v>
      </c>
      <c r="R337">
        <f t="shared" ca="1" si="69"/>
        <v>2.8475625</v>
      </c>
      <c r="S337">
        <f t="shared" ca="1" si="70"/>
        <v>54.170749999999998</v>
      </c>
      <c r="T337" s="1">
        <f t="shared" ca="1" si="72"/>
        <v>1.253738317757006E-2</v>
      </c>
      <c r="V337" s="4">
        <f t="shared" ca="1" si="71"/>
        <v>0.67074999999999996</v>
      </c>
      <c r="X337" s="2"/>
    </row>
    <row r="338" spans="8:24" x14ac:dyDescent="0.25">
      <c r="H338">
        <v>53.6</v>
      </c>
      <c r="I338">
        <v>2.83092371008799</v>
      </c>
      <c r="J338" s="4">
        <f t="shared" si="62"/>
        <v>-3.1999999999999999E-5</v>
      </c>
      <c r="K338" s="9">
        <f t="shared" si="63"/>
        <v>1.6799999999999999E-4</v>
      </c>
      <c r="L338" s="4">
        <f t="shared" si="64"/>
        <v>8.7480000000000006E-3</v>
      </c>
      <c r="M338" s="5">
        <f t="shared" si="65"/>
        <v>2.8559974685589435</v>
      </c>
      <c r="N338" s="2">
        <f t="shared" si="66"/>
        <v>8.8570943758050497E-3</v>
      </c>
      <c r="O338">
        <f t="shared" si="67"/>
        <v>15237.0211</v>
      </c>
      <c r="P338">
        <f t="shared" ca="1" si="73"/>
        <v>15239</v>
      </c>
      <c r="Q338" t="str">
        <f t="shared" ca="1" si="68"/>
        <v>0011101110000111</v>
      </c>
      <c r="R338">
        <f t="shared" ca="1" si="69"/>
        <v>2.8573124999999999</v>
      </c>
      <c r="S338">
        <f t="shared" ca="1" si="70"/>
        <v>54.287750000000003</v>
      </c>
      <c r="T338" s="1">
        <f t="shared" ca="1" si="72"/>
        <v>1.2831156716417932E-2</v>
      </c>
      <c r="V338" s="4">
        <f t="shared" ca="1" si="71"/>
        <v>0.68774999999999997</v>
      </c>
      <c r="X338" s="2"/>
    </row>
    <row r="339" spans="8:24" x14ac:dyDescent="0.25">
      <c r="H339">
        <v>53.7</v>
      </c>
      <c r="I339">
        <v>2.8400776536264702</v>
      </c>
      <c r="J339" s="4">
        <f t="shared" si="62"/>
        <v>-3.1000000000000001E-5</v>
      </c>
      <c r="K339" s="9">
        <f t="shared" si="63"/>
        <v>1.6899999999999999E-4</v>
      </c>
      <c r="L339" s="4">
        <f t="shared" si="64"/>
        <v>8.7790000000000003E-3</v>
      </c>
      <c r="M339" s="5">
        <f t="shared" si="65"/>
        <v>2.8653207957100082</v>
      </c>
      <c r="N339" s="2">
        <f t="shared" si="66"/>
        <v>8.8881872829446075E-3</v>
      </c>
      <c r="O339">
        <f t="shared" si="67"/>
        <v>15286.7619</v>
      </c>
      <c r="P339">
        <f t="shared" ca="1" si="73"/>
        <v>15289</v>
      </c>
      <c r="Q339" t="str">
        <f t="shared" ca="1" si="68"/>
        <v>0011101110111001</v>
      </c>
      <c r="R339">
        <f t="shared" ca="1" si="69"/>
        <v>2.8666875000000003</v>
      </c>
      <c r="S339">
        <f t="shared" ca="1" si="70"/>
        <v>54.400250000000007</v>
      </c>
      <c r="T339" s="1">
        <f t="shared" ca="1" si="72"/>
        <v>1.3040037243947932E-2</v>
      </c>
      <c r="V339" s="4">
        <f t="shared" ca="1" si="71"/>
        <v>0.70025000000000004</v>
      </c>
      <c r="X339" s="2"/>
    </row>
    <row r="340" spans="8:24" x14ac:dyDescent="0.25">
      <c r="H340">
        <v>53.800000000000004</v>
      </c>
      <c r="I340">
        <v>2.8492488132682698</v>
      </c>
      <c r="J340" s="4">
        <f t="shared" si="62"/>
        <v>-3.1000000000000001E-5</v>
      </c>
      <c r="K340" s="9">
        <f t="shared" si="63"/>
        <v>1.6899999999999999E-4</v>
      </c>
      <c r="L340" s="4">
        <f t="shared" si="64"/>
        <v>8.8090000000000009E-3</v>
      </c>
      <c r="M340" s="5">
        <f t="shared" si="65"/>
        <v>2.8746601839063004</v>
      </c>
      <c r="N340" s="2">
        <f t="shared" si="66"/>
        <v>8.9186211185544387E-3</v>
      </c>
      <c r="O340">
        <f t="shared" si="67"/>
        <v>15336.5885</v>
      </c>
      <c r="P340">
        <f t="shared" ca="1" si="73"/>
        <v>15338</v>
      </c>
      <c r="Q340" t="str">
        <f t="shared" ca="1" si="68"/>
        <v>0011101111101010</v>
      </c>
      <c r="R340">
        <f t="shared" ca="1" si="69"/>
        <v>2.8758750000000002</v>
      </c>
      <c r="S340">
        <f t="shared" ca="1" si="70"/>
        <v>54.5105</v>
      </c>
      <c r="T340" s="1">
        <f t="shared" ca="1" si="72"/>
        <v>1.3206319702602158E-2</v>
      </c>
      <c r="V340" s="4">
        <f t="shared" ca="1" si="71"/>
        <v>0.71050000000000002</v>
      </c>
      <c r="X340" s="2"/>
    </row>
    <row r="341" spans="8:24" x14ac:dyDescent="0.25">
      <c r="H341">
        <v>53.9</v>
      </c>
      <c r="I341">
        <v>2.8584370726986856</v>
      </c>
      <c r="J341" s="4">
        <f t="shared" si="62"/>
        <v>-3.0000000000000001E-5</v>
      </c>
      <c r="K341" s="9">
        <f t="shared" si="63"/>
        <v>1.7000000000000001E-4</v>
      </c>
      <c r="L341" s="4">
        <f t="shared" si="64"/>
        <v>8.8400000000000006E-3</v>
      </c>
      <c r="M341" s="5">
        <f t="shared" si="65"/>
        <v>2.8840192905067656</v>
      </c>
      <c r="N341" s="2">
        <f t="shared" si="66"/>
        <v>8.9497222284230741E-3</v>
      </c>
      <c r="O341">
        <f t="shared" si="67"/>
        <v>15386.520200000001</v>
      </c>
      <c r="P341">
        <f t="shared" ca="1" si="73"/>
        <v>15391</v>
      </c>
      <c r="Q341" t="str">
        <f t="shared" ca="1" si="68"/>
        <v>0011110000011111</v>
      </c>
      <c r="R341">
        <f t="shared" ca="1" si="69"/>
        <v>2.8858125000000001</v>
      </c>
      <c r="S341">
        <f t="shared" ca="1" si="70"/>
        <v>54.629750000000008</v>
      </c>
      <c r="T341" s="1">
        <f t="shared" ca="1" si="72"/>
        <v>1.3538961038961224E-2</v>
      </c>
      <c r="V341" s="4">
        <f t="shared" ca="1" si="71"/>
        <v>0.72975000000000001</v>
      </c>
      <c r="X341" s="2"/>
    </row>
    <row r="342" spans="8:24" x14ac:dyDescent="0.25">
      <c r="H342">
        <v>54</v>
      </c>
      <c r="I342">
        <v>2.8676423147592072</v>
      </c>
      <c r="J342" s="4">
        <f t="shared" si="62"/>
        <v>-3.0000000000000001E-5</v>
      </c>
      <c r="K342" s="9">
        <f t="shared" si="63"/>
        <v>1.7000000000000001E-4</v>
      </c>
      <c r="L342" s="4">
        <f t="shared" si="64"/>
        <v>8.8699999999999994E-3</v>
      </c>
      <c r="M342" s="5">
        <f t="shared" si="65"/>
        <v>2.8933942069145395</v>
      </c>
      <c r="N342" s="2">
        <f t="shared" si="66"/>
        <v>8.9801618642577161E-3</v>
      </c>
      <c r="O342">
        <f t="shared" si="67"/>
        <v>15436.5363</v>
      </c>
      <c r="P342">
        <f t="shared" ca="1" si="73"/>
        <v>15439</v>
      </c>
      <c r="Q342" t="str">
        <f t="shared" ca="1" si="68"/>
        <v>0011110001001111</v>
      </c>
      <c r="R342">
        <f t="shared" ca="1" si="69"/>
        <v>2.8948125</v>
      </c>
      <c r="S342">
        <f t="shared" ca="1" si="70"/>
        <v>54.737749999999998</v>
      </c>
      <c r="T342" s="1">
        <f t="shared" ca="1" si="72"/>
        <v>1.3662037037037007E-2</v>
      </c>
      <c r="V342" s="4">
        <f t="shared" ca="1" si="71"/>
        <v>0.73775000000000002</v>
      </c>
      <c r="X342" s="2"/>
    </row>
    <row r="343" spans="8:24" x14ac:dyDescent="0.25">
      <c r="H343">
        <v>54.1</v>
      </c>
      <c r="I343">
        <v>2.8768644231496951</v>
      </c>
      <c r="J343" s="4">
        <f t="shared" si="62"/>
        <v>-2.9E-5</v>
      </c>
      <c r="K343" s="9">
        <f t="shared" si="63"/>
        <v>1.7100000000000001E-4</v>
      </c>
      <c r="L343" s="4">
        <f t="shared" si="64"/>
        <v>8.9009999999999992E-3</v>
      </c>
      <c r="M343" s="5">
        <f t="shared" si="65"/>
        <v>2.9027886284737403</v>
      </c>
      <c r="N343" s="2">
        <f t="shared" si="66"/>
        <v>9.0112711309705724E-3</v>
      </c>
      <c r="O343">
        <f t="shared" si="67"/>
        <v>15486.6564</v>
      </c>
      <c r="P343">
        <f t="shared" ca="1" si="73"/>
        <v>15490</v>
      </c>
      <c r="Q343" t="str">
        <f t="shared" ca="1" si="68"/>
        <v>0011110010000010</v>
      </c>
      <c r="R343">
        <f t="shared" ca="1" si="69"/>
        <v>2.9043749999999999</v>
      </c>
      <c r="S343">
        <f t="shared" ca="1" si="70"/>
        <v>54.852500000000006</v>
      </c>
      <c r="T343" s="1">
        <f t="shared" ca="1" si="72"/>
        <v>1.3909426987061086E-2</v>
      </c>
      <c r="V343" s="4">
        <f t="shared" ca="1" si="71"/>
        <v>0.75249999999999995</v>
      </c>
      <c r="X343" s="2"/>
    </row>
    <row r="344" spans="8:24" x14ac:dyDescent="0.25">
      <c r="H344">
        <v>54.2</v>
      </c>
      <c r="I344">
        <v>2.8861032803770077</v>
      </c>
      <c r="J344" s="4">
        <f t="shared" si="62"/>
        <v>-2.8E-5</v>
      </c>
      <c r="K344" s="9">
        <f t="shared" si="63"/>
        <v>1.7100000000000001E-4</v>
      </c>
      <c r="L344" s="4">
        <f t="shared" si="64"/>
        <v>8.9309999999999997E-3</v>
      </c>
      <c r="M344" s="5">
        <f t="shared" si="65"/>
        <v>2.9121975991368996</v>
      </c>
      <c r="N344" s="2">
        <f t="shared" si="66"/>
        <v>9.041366931429845E-3</v>
      </c>
      <c r="O344">
        <f t="shared" si="67"/>
        <v>15536.8542</v>
      </c>
      <c r="P344">
        <f t="shared" ca="1" si="73"/>
        <v>15541</v>
      </c>
      <c r="Q344" t="str">
        <f t="shared" ca="1" si="68"/>
        <v>0011110010110101</v>
      </c>
      <c r="R344">
        <f t="shared" ca="1" si="69"/>
        <v>2.9139374999999998</v>
      </c>
      <c r="S344">
        <f t="shared" ca="1" si="70"/>
        <v>54.96725</v>
      </c>
      <c r="T344" s="1">
        <f t="shared" ca="1" si="72"/>
        <v>1.4155904059040537E-2</v>
      </c>
      <c r="V344" s="4">
        <f t="shared" ca="1" si="71"/>
        <v>0.76724999999999999</v>
      </c>
      <c r="X344" s="2"/>
    </row>
    <row r="345" spans="8:24" x14ac:dyDescent="0.25">
      <c r="H345">
        <v>54.300000000000004</v>
      </c>
      <c r="I345">
        <v>2.8941056177688731</v>
      </c>
      <c r="J345" s="4">
        <f t="shared" si="62"/>
        <v>-2.8E-5</v>
      </c>
      <c r="K345" s="9">
        <f t="shared" si="63"/>
        <v>1.7200000000000001E-4</v>
      </c>
      <c r="L345" s="4">
        <f t="shared" si="64"/>
        <v>8.9619999999999995E-3</v>
      </c>
      <c r="M345" s="5">
        <f t="shared" si="65"/>
        <v>2.920363394716321</v>
      </c>
      <c r="N345" s="2">
        <f t="shared" si="66"/>
        <v>9.0728468188008213E-3</v>
      </c>
      <c r="O345">
        <f t="shared" si="67"/>
        <v>15580.4195</v>
      </c>
      <c r="P345">
        <f t="shared" ca="1" si="73"/>
        <v>15583</v>
      </c>
      <c r="Q345" t="str">
        <f t="shared" ca="1" si="68"/>
        <v>0011110011011111</v>
      </c>
      <c r="R345">
        <f t="shared" ca="1" si="69"/>
        <v>2.9218125000000001</v>
      </c>
      <c r="S345">
        <f t="shared" ca="1" si="70"/>
        <v>55.061750000000004</v>
      </c>
      <c r="T345" s="1">
        <f t="shared" ca="1" si="72"/>
        <v>1.4028545119705325E-2</v>
      </c>
      <c r="V345" s="4">
        <f t="shared" ca="1" si="71"/>
        <v>0.76175000000000004</v>
      </c>
      <c r="X345" s="2"/>
    </row>
    <row r="346" spans="8:24" x14ac:dyDescent="0.25">
      <c r="H346">
        <v>54.4</v>
      </c>
      <c r="I346">
        <v>2.9033798225755199</v>
      </c>
      <c r="J346" s="4">
        <f t="shared" si="62"/>
        <v>-2.6999999999999999E-5</v>
      </c>
      <c r="K346" s="9">
        <f t="shared" si="63"/>
        <v>1.7200000000000001E-4</v>
      </c>
      <c r="L346" s="4">
        <f t="shared" si="64"/>
        <v>8.992E-3</v>
      </c>
      <c r="M346" s="5">
        <f t="shared" si="65"/>
        <v>2.9298091448701928</v>
      </c>
      <c r="N346" s="2">
        <f t="shared" si="66"/>
        <v>9.1029503233332233E-3</v>
      </c>
      <c r="O346">
        <f t="shared" si="67"/>
        <v>15630.8135</v>
      </c>
      <c r="P346">
        <f t="shared" ca="1" si="73"/>
        <v>15635</v>
      </c>
      <c r="Q346" t="str">
        <f t="shared" ca="1" si="68"/>
        <v>0011110100010011</v>
      </c>
      <c r="R346">
        <f t="shared" ca="1" si="69"/>
        <v>2.9315625000000001</v>
      </c>
      <c r="S346">
        <f t="shared" ca="1" si="70"/>
        <v>55.178750000000008</v>
      </c>
      <c r="T346" s="1">
        <f t="shared" ca="1" si="72"/>
        <v>1.4315257352941349E-2</v>
      </c>
      <c r="V346" s="4">
        <f t="shared" ca="1" si="71"/>
        <v>0.77875000000000005</v>
      </c>
      <c r="X346" s="2"/>
    </row>
    <row r="347" spans="8:24" x14ac:dyDescent="0.25">
      <c r="H347">
        <v>54.5</v>
      </c>
      <c r="I347">
        <v>2.9126704251799169</v>
      </c>
      <c r="J347" s="4">
        <f t="shared" si="62"/>
        <v>-2.6999999999999999E-5</v>
      </c>
      <c r="K347" s="9">
        <f t="shared" si="63"/>
        <v>1.73E-4</v>
      </c>
      <c r="L347" s="4">
        <f t="shared" si="64"/>
        <v>9.0229999999999998E-3</v>
      </c>
      <c r="M347" s="5">
        <f t="shared" si="65"/>
        <v>2.9392759890955262</v>
      </c>
      <c r="N347" s="2">
        <f t="shared" si="66"/>
        <v>9.1344230660651803E-3</v>
      </c>
      <c r="O347">
        <f t="shared" si="67"/>
        <v>15681.32</v>
      </c>
      <c r="P347">
        <f t="shared" ca="1" si="73"/>
        <v>15682</v>
      </c>
      <c r="Q347" t="str">
        <f t="shared" ca="1" si="68"/>
        <v>0011110101000010</v>
      </c>
      <c r="R347">
        <f t="shared" ca="1" si="69"/>
        <v>2.940375</v>
      </c>
      <c r="S347">
        <f t="shared" ca="1" si="70"/>
        <v>55.284500000000001</v>
      </c>
      <c r="T347" s="1">
        <f t="shared" ca="1" si="72"/>
        <v>1.4394495412844061E-2</v>
      </c>
      <c r="V347" s="4">
        <f t="shared" ca="1" si="71"/>
        <v>0.78449999999999998</v>
      </c>
      <c r="X347" s="2"/>
    </row>
    <row r="348" spans="8:24" x14ac:dyDescent="0.25">
      <c r="H348">
        <v>54.6</v>
      </c>
      <c r="I348">
        <v>2.9219773085108547</v>
      </c>
      <c r="J348" s="4">
        <f t="shared" si="62"/>
        <v>-2.5999999999999998E-5</v>
      </c>
      <c r="K348" s="9">
        <f t="shared" si="63"/>
        <v>1.73E-4</v>
      </c>
      <c r="L348" s="4">
        <f t="shared" si="64"/>
        <v>9.0530000000000003E-3</v>
      </c>
      <c r="M348" s="5">
        <f t="shared" si="65"/>
        <v>2.9487558703309609</v>
      </c>
      <c r="N348" s="2">
        <f t="shared" si="66"/>
        <v>9.16453448906265E-3</v>
      </c>
      <c r="O348">
        <f t="shared" si="67"/>
        <v>15731.8961</v>
      </c>
      <c r="P348">
        <f t="shared" ca="1" si="73"/>
        <v>15736</v>
      </c>
      <c r="Q348" t="str">
        <f t="shared" ca="1" si="68"/>
        <v>0011110101111000</v>
      </c>
      <c r="R348">
        <f t="shared" ca="1" si="69"/>
        <v>2.9504999999999999</v>
      </c>
      <c r="S348">
        <f t="shared" ca="1" si="70"/>
        <v>55.406000000000006</v>
      </c>
      <c r="T348" s="1">
        <f t="shared" ca="1" si="72"/>
        <v>1.4761904761904844E-2</v>
      </c>
      <c r="V348" s="4">
        <f t="shared" ca="1" si="71"/>
        <v>0.80600000000000005</v>
      </c>
      <c r="X348" s="2"/>
    </row>
    <row r="349" spans="8:24" x14ac:dyDescent="0.25">
      <c r="H349">
        <v>54.7</v>
      </c>
      <c r="I349">
        <v>2.9306781788800538</v>
      </c>
      <c r="J349" s="4">
        <f t="shared" si="62"/>
        <v>-2.5000000000000001E-5</v>
      </c>
      <c r="K349" s="9">
        <f t="shared" si="63"/>
        <v>1.74E-4</v>
      </c>
      <c r="L349" s="4">
        <f t="shared" si="64"/>
        <v>9.0840000000000001E-3</v>
      </c>
      <c r="M349" s="5">
        <f t="shared" si="65"/>
        <v>2.9576277424201987</v>
      </c>
      <c r="N349" s="2">
        <f t="shared" si="66"/>
        <v>9.1956748217382044E-3</v>
      </c>
      <c r="O349">
        <f t="shared" si="67"/>
        <v>15779.2284</v>
      </c>
      <c r="P349">
        <f t="shared" ca="1" si="73"/>
        <v>15784</v>
      </c>
      <c r="Q349" t="str">
        <f t="shared" ca="1" si="68"/>
        <v>0011110110101000</v>
      </c>
      <c r="R349">
        <f t="shared" ca="1" si="69"/>
        <v>2.9595000000000002</v>
      </c>
      <c r="S349">
        <f t="shared" ca="1" si="70"/>
        <v>55.51400000000001</v>
      </c>
      <c r="T349" s="1">
        <f t="shared" ca="1" si="72"/>
        <v>1.4881170018281665E-2</v>
      </c>
      <c r="V349" s="4">
        <f t="shared" ca="1" si="71"/>
        <v>0.81399999999999995</v>
      </c>
      <c r="X349" s="2"/>
    </row>
    <row r="350" spans="8:24" x14ac:dyDescent="0.25">
      <c r="H350">
        <v>54.800000000000004</v>
      </c>
      <c r="I350">
        <v>2.9400183708569041</v>
      </c>
      <c r="J350" s="4">
        <f t="shared" si="62"/>
        <v>-2.5000000000000001E-5</v>
      </c>
      <c r="K350" s="9">
        <f t="shared" si="63"/>
        <v>1.74E-4</v>
      </c>
      <c r="L350" s="4">
        <f t="shared" si="64"/>
        <v>9.1140000000000006E-3</v>
      </c>
      <c r="M350" s="5">
        <f t="shared" si="65"/>
        <v>2.967143387074703</v>
      </c>
      <c r="N350" s="2">
        <f t="shared" si="66"/>
        <v>9.2261383420856082E-3</v>
      </c>
      <c r="O350">
        <f t="shared" si="67"/>
        <v>15829.9953</v>
      </c>
      <c r="P350">
        <f t="shared" ca="1" si="73"/>
        <v>15829</v>
      </c>
      <c r="Q350" t="str">
        <f t="shared" ca="1" si="68"/>
        <v>0011110111010101</v>
      </c>
      <c r="R350">
        <f t="shared" ca="1" si="69"/>
        <v>2.9679375000000001</v>
      </c>
      <c r="S350">
        <f t="shared" ca="1" si="70"/>
        <v>55.615250000000003</v>
      </c>
      <c r="T350" s="1">
        <f t="shared" ca="1" si="72"/>
        <v>1.4876824817518227E-2</v>
      </c>
      <c r="V350" s="4">
        <f t="shared" ca="1" si="71"/>
        <v>0.81525000000000003</v>
      </c>
      <c r="X350" s="2"/>
    </row>
    <row r="351" spans="8:24" x14ac:dyDescent="0.25">
      <c r="H351">
        <v>54.9</v>
      </c>
      <c r="I351">
        <v>2.949374492550306</v>
      </c>
      <c r="J351" s="4">
        <f t="shared" si="62"/>
        <v>-2.4000000000000001E-5</v>
      </c>
      <c r="K351" s="9">
        <f t="shared" si="63"/>
        <v>1.75E-4</v>
      </c>
      <c r="L351" s="4">
        <f t="shared" si="64"/>
        <v>9.1450000000000004E-3</v>
      </c>
      <c r="M351" s="5">
        <f t="shared" si="65"/>
        <v>2.9766776795195118</v>
      </c>
      <c r="N351" s="2">
        <f t="shared" si="66"/>
        <v>9.257280497329063E-3</v>
      </c>
      <c r="O351">
        <f t="shared" si="67"/>
        <v>15880.8616</v>
      </c>
      <c r="P351">
        <f t="shared" ca="1" si="73"/>
        <v>15879</v>
      </c>
      <c r="Q351" t="str">
        <f t="shared" ca="1" si="68"/>
        <v>0011111000000111</v>
      </c>
      <c r="R351">
        <f t="shared" ca="1" si="69"/>
        <v>2.9773125</v>
      </c>
      <c r="S351">
        <f t="shared" ca="1" si="70"/>
        <v>55.727750000000007</v>
      </c>
      <c r="T351" s="1">
        <f t="shared" ca="1" si="72"/>
        <v>1.5077413479052986E-2</v>
      </c>
      <c r="V351" s="4">
        <f t="shared" ca="1" si="71"/>
        <v>0.82774999999999999</v>
      </c>
      <c r="X351" s="2"/>
    </row>
    <row r="352" spans="8:24" x14ac:dyDescent="0.25">
      <c r="H352">
        <v>55</v>
      </c>
      <c r="I352">
        <v>2.9587464269035948</v>
      </c>
      <c r="J352" s="4">
        <f t="shared" si="62"/>
        <v>-2.4000000000000001E-5</v>
      </c>
      <c r="K352" s="9">
        <f t="shared" si="63"/>
        <v>1.75E-4</v>
      </c>
      <c r="L352" s="4">
        <f t="shared" si="64"/>
        <v>9.1750000000000009E-3</v>
      </c>
      <c r="M352" s="5">
        <f t="shared" si="65"/>
        <v>2.9862265231030656</v>
      </c>
      <c r="N352" s="2">
        <f t="shared" si="66"/>
        <v>9.2877496866905964E-3</v>
      </c>
      <c r="O352">
        <f t="shared" si="67"/>
        <v>15931.8056</v>
      </c>
      <c r="P352">
        <f t="shared" ca="1" si="73"/>
        <v>15932</v>
      </c>
      <c r="Q352" t="str">
        <f t="shared" ca="1" si="68"/>
        <v>0011111000111100</v>
      </c>
      <c r="R352">
        <f t="shared" ca="1" si="69"/>
        <v>2.98725</v>
      </c>
      <c r="S352">
        <f t="shared" ca="1" si="70"/>
        <v>55.847000000000001</v>
      </c>
      <c r="T352" s="1">
        <f t="shared" ca="1" si="72"/>
        <v>1.5400000000000023E-2</v>
      </c>
      <c r="V352" s="4">
        <f t="shared" ca="1" si="71"/>
        <v>0.84699999999999998</v>
      </c>
      <c r="X352" s="2"/>
    </row>
    <row r="353" spans="8:24" x14ac:dyDescent="0.25">
      <c r="H353">
        <v>55.1</v>
      </c>
      <c r="I353">
        <v>2.9681340568600998</v>
      </c>
      <c r="J353" s="4">
        <f t="shared" si="62"/>
        <v>-2.3E-5</v>
      </c>
      <c r="K353" s="9">
        <f t="shared" si="63"/>
        <v>1.76E-4</v>
      </c>
      <c r="L353" s="4">
        <f t="shared" si="64"/>
        <v>9.2060000000000006E-3</v>
      </c>
      <c r="M353" s="5">
        <f t="shared" si="65"/>
        <v>2.9957938006407994</v>
      </c>
      <c r="N353" s="2">
        <f t="shared" si="66"/>
        <v>9.3188997703021505E-3</v>
      </c>
      <c r="O353">
        <f t="shared" si="67"/>
        <v>15982.848</v>
      </c>
      <c r="P353">
        <f t="shared" ca="1" si="73"/>
        <v>15984</v>
      </c>
      <c r="Q353" t="str">
        <f t="shared" ca="1" si="68"/>
        <v>0011111001110000</v>
      </c>
      <c r="R353">
        <f t="shared" ca="1" si="69"/>
        <v>2.9969999999999999</v>
      </c>
      <c r="S353">
        <f t="shared" ca="1" si="70"/>
        <v>55.964000000000006</v>
      </c>
      <c r="T353" s="1">
        <f t="shared" ca="1" si="72"/>
        <v>1.5680580762250533E-2</v>
      </c>
      <c r="V353" s="4">
        <f t="shared" ca="1" si="71"/>
        <v>0.86399999999999999</v>
      </c>
      <c r="X353" s="2"/>
    </row>
    <row r="354" spans="8:24" x14ac:dyDescent="0.25">
      <c r="H354">
        <v>55.2</v>
      </c>
      <c r="I354">
        <v>2.9769205743481537</v>
      </c>
      <c r="J354" s="4">
        <f t="shared" si="62"/>
        <v>-2.3E-5</v>
      </c>
      <c r="K354" s="9">
        <f t="shared" si="63"/>
        <v>1.76E-4</v>
      </c>
      <c r="L354" s="4">
        <f t="shared" si="64"/>
        <v>9.2359999999999994E-3</v>
      </c>
      <c r="M354" s="5">
        <f t="shared" si="65"/>
        <v>3.0047529367842936</v>
      </c>
      <c r="N354" s="2">
        <f t="shared" si="66"/>
        <v>9.3493802542025176E-3</v>
      </c>
      <c r="O354">
        <f t="shared" si="67"/>
        <v>16030.6458</v>
      </c>
      <c r="P354">
        <f t="shared" ca="1" si="73"/>
        <v>16033</v>
      </c>
      <c r="Q354" t="str">
        <f t="shared" ca="1" si="68"/>
        <v>0011111010100001</v>
      </c>
      <c r="R354">
        <f t="shared" ca="1" si="69"/>
        <v>3.0061875000000002</v>
      </c>
      <c r="S354">
        <f t="shared" ca="1" si="70"/>
        <v>56.074250000000006</v>
      </c>
      <c r="T354" s="1">
        <f t="shared" ca="1" si="72"/>
        <v>1.5837862318840643E-2</v>
      </c>
      <c r="V354" s="4">
        <f t="shared" ca="1" si="71"/>
        <v>0.87424999999999997</v>
      </c>
      <c r="X354" s="2"/>
    </row>
    <row r="355" spans="8:24" x14ac:dyDescent="0.25">
      <c r="H355">
        <v>55.300000000000004</v>
      </c>
      <c r="I355">
        <v>2.9863403403616249</v>
      </c>
      <c r="J355" s="4">
        <f t="shared" si="62"/>
        <v>-2.1999999999999999E-5</v>
      </c>
      <c r="K355" s="9">
        <f t="shared" si="63"/>
        <v>1.7699999999999999E-4</v>
      </c>
      <c r="L355" s="4">
        <f t="shared" si="64"/>
        <v>9.2669999999999992E-3</v>
      </c>
      <c r="M355" s="5">
        <f t="shared" si="65"/>
        <v>3.0143538197229982</v>
      </c>
      <c r="N355" s="2">
        <f t="shared" si="66"/>
        <v>9.3805381063770815E-3</v>
      </c>
      <c r="O355">
        <f t="shared" si="67"/>
        <v>16081.8675</v>
      </c>
      <c r="P355">
        <f t="shared" ca="1" si="73"/>
        <v>16082</v>
      </c>
      <c r="Q355" t="str">
        <f t="shared" ca="1" si="68"/>
        <v>0011111011010010</v>
      </c>
      <c r="R355">
        <f t="shared" ca="1" si="69"/>
        <v>3.0153750000000001</v>
      </c>
      <c r="S355">
        <f t="shared" ca="1" si="70"/>
        <v>56.1845</v>
      </c>
      <c r="T355" s="1">
        <f t="shared" ca="1" si="72"/>
        <v>1.5994575045207876E-2</v>
      </c>
      <c r="V355" s="4">
        <f t="shared" ca="1" si="71"/>
        <v>0.88449999999999995</v>
      </c>
      <c r="X355" s="2"/>
    </row>
    <row r="356" spans="8:24" x14ac:dyDescent="0.25">
      <c r="H356">
        <v>55.4</v>
      </c>
      <c r="I356">
        <v>2.9951609511797379</v>
      </c>
      <c r="J356" s="4">
        <f t="shared" si="62"/>
        <v>-2.0999999999999999E-5</v>
      </c>
      <c r="K356" s="9">
        <f t="shared" si="63"/>
        <v>1.7699999999999999E-4</v>
      </c>
      <c r="L356" s="4">
        <f t="shared" si="64"/>
        <v>9.2969999999999997E-3</v>
      </c>
      <c r="M356" s="5">
        <f t="shared" si="65"/>
        <v>3.0233474734140686</v>
      </c>
      <c r="N356" s="2">
        <f t="shared" si="66"/>
        <v>9.4106870027230328E-3</v>
      </c>
      <c r="O356">
        <f t="shared" si="67"/>
        <v>16129.8495</v>
      </c>
      <c r="P356">
        <f t="shared" ca="1" si="73"/>
        <v>16133</v>
      </c>
      <c r="Q356" t="str">
        <f t="shared" ca="1" si="68"/>
        <v>0011111100000101</v>
      </c>
      <c r="R356">
        <f t="shared" ca="1" si="69"/>
        <v>3.0249375000000001</v>
      </c>
      <c r="S356">
        <f t="shared" ca="1" si="70"/>
        <v>56.299250000000008</v>
      </c>
      <c r="T356" s="1">
        <f t="shared" ca="1" si="72"/>
        <v>1.623194945848392E-2</v>
      </c>
      <c r="V356" s="4">
        <f t="shared" ca="1" si="71"/>
        <v>0.89924999999999999</v>
      </c>
      <c r="X356" s="2"/>
    </row>
    <row r="357" spans="8:24" x14ac:dyDescent="0.25">
      <c r="H357">
        <v>55.5</v>
      </c>
      <c r="I357">
        <v>3.0046123833504219</v>
      </c>
      <c r="J357" s="4">
        <f t="shared" si="62"/>
        <v>-2.0999999999999999E-5</v>
      </c>
      <c r="K357" s="9">
        <f t="shared" si="63"/>
        <v>1.7799999999999999E-4</v>
      </c>
      <c r="L357" s="4">
        <f t="shared" si="64"/>
        <v>9.3279999999999995E-3</v>
      </c>
      <c r="M357" s="5">
        <f t="shared" si="65"/>
        <v>3.0329825031154831</v>
      </c>
      <c r="N357" s="2">
        <f t="shared" si="66"/>
        <v>9.4421895890031207E-3</v>
      </c>
      <c r="O357">
        <f t="shared" si="67"/>
        <v>16181.2533</v>
      </c>
      <c r="P357">
        <f t="shared" ca="1" si="73"/>
        <v>16186</v>
      </c>
      <c r="Q357" t="str">
        <f t="shared" ca="1" si="68"/>
        <v>0011111100111010</v>
      </c>
      <c r="R357">
        <f t="shared" ca="1" si="69"/>
        <v>3.034875</v>
      </c>
      <c r="S357">
        <f t="shared" ca="1" si="70"/>
        <v>56.418500000000002</v>
      </c>
      <c r="T357" s="1">
        <f t="shared" ca="1" si="72"/>
        <v>1.654954954954958E-2</v>
      </c>
      <c r="V357" s="4">
        <f t="shared" ca="1" si="71"/>
        <v>0.91849999999999998</v>
      </c>
      <c r="X357" s="2"/>
    </row>
    <row r="358" spans="8:24" x14ac:dyDescent="0.25">
      <c r="H358">
        <v>55.6</v>
      </c>
      <c r="I358">
        <v>3.0134666157075274</v>
      </c>
      <c r="J358" s="4">
        <f t="shared" si="62"/>
        <v>-2.0000000000000002E-5</v>
      </c>
      <c r="K358" s="9">
        <f t="shared" si="63"/>
        <v>1.7799999999999999E-4</v>
      </c>
      <c r="L358" s="4">
        <f t="shared" si="64"/>
        <v>9.358E-3</v>
      </c>
      <c r="M358" s="5">
        <f t="shared" si="65"/>
        <v>3.0420112138830451</v>
      </c>
      <c r="N358" s="2">
        <f t="shared" si="66"/>
        <v>9.4723459110947362E-3</v>
      </c>
      <c r="O358">
        <f t="shared" si="67"/>
        <v>16229.4223</v>
      </c>
      <c r="P358">
        <f t="shared" ca="1" si="73"/>
        <v>16228</v>
      </c>
      <c r="Q358" t="str">
        <f t="shared" ca="1" si="68"/>
        <v>0011111101100100</v>
      </c>
      <c r="R358">
        <f t="shared" ca="1" si="69"/>
        <v>3.0427499999999998</v>
      </c>
      <c r="S358">
        <f t="shared" ca="1" si="70"/>
        <v>56.513000000000005</v>
      </c>
      <c r="T358" s="1">
        <f t="shared" ca="1" si="72"/>
        <v>1.6420863309352586E-2</v>
      </c>
      <c r="V358" s="4">
        <f t="shared" ca="1" si="71"/>
        <v>0.91300000000000003</v>
      </c>
      <c r="X358" s="2"/>
    </row>
    <row r="359" spans="8:24" x14ac:dyDescent="0.25">
      <c r="H359">
        <v>55.7</v>
      </c>
      <c r="I359">
        <v>3.0229492443684571</v>
      </c>
      <c r="J359" s="4">
        <f t="shared" si="62"/>
        <v>-2.0000000000000002E-5</v>
      </c>
      <c r="K359" s="9">
        <f t="shared" si="63"/>
        <v>1.7899999999999999E-4</v>
      </c>
      <c r="L359" s="4">
        <f t="shared" si="64"/>
        <v>9.3889999999999998E-3</v>
      </c>
      <c r="M359" s="5">
        <f t="shared" si="65"/>
        <v>3.0516789131217577</v>
      </c>
      <c r="N359" s="2">
        <f t="shared" si="66"/>
        <v>9.5038541605757618E-3</v>
      </c>
      <c r="O359">
        <f t="shared" si="67"/>
        <v>16281.000400000001</v>
      </c>
      <c r="P359">
        <f t="shared" ca="1" si="73"/>
        <v>16284</v>
      </c>
      <c r="Q359" t="str">
        <f t="shared" ca="1" si="68"/>
        <v>0011111110011100</v>
      </c>
      <c r="R359">
        <f t="shared" ca="1" si="69"/>
        <v>3.0532500000000002</v>
      </c>
      <c r="S359">
        <f t="shared" ca="1" si="70"/>
        <v>56.63900000000001</v>
      </c>
      <c r="T359" s="1">
        <f t="shared" ca="1" si="72"/>
        <v>1.6858168761220954E-2</v>
      </c>
      <c r="V359" s="4">
        <f t="shared" ca="1" si="71"/>
        <v>0.93899999999999995</v>
      </c>
      <c r="X359" s="2"/>
    </row>
    <row r="360" spans="8:24" x14ac:dyDescent="0.25">
      <c r="H360">
        <v>55.800000000000004</v>
      </c>
      <c r="I360">
        <v>3.0312265049331972</v>
      </c>
      <c r="J360" s="4">
        <f t="shared" si="62"/>
        <v>-1.9000000000000001E-5</v>
      </c>
      <c r="K360" s="9">
        <f t="shared" si="63"/>
        <v>1.7899999999999999E-4</v>
      </c>
      <c r="L360" s="4">
        <f t="shared" si="64"/>
        <v>9.4190000000000003E-3</v>
      </c>
      <c r="M360" s="5">
        <f t="shared" si="65"/>
        <v>3.06012628813918</v>
      </c>
      <c r="N360" s="2">
        <f t="shared" si="66"/>
        <v>9.5340229966152396E-3</v>
      </c>
      <c r="O360">
        <f t="shared" si="67"/>
        <v>16326.067999999999</v>
      </c>
      <c r="P360">
        <f t="shared" ca="1" si="73"/>
        <v>16325</v>
      </c>
      <c r="Q360" t="str">
        <f t="shared" ca="1" si="68"/>
        <v>0011111111000101</v>
      </c>
      <c r="R360">
        <f t="shared" ca="1" si="69"/>
        <v>3.0609375000000001</v>
      </c>
      <c r="S360">
        <f t="shared" ca="1" si="70"/>
        <v>56.731250000000003</v>
      </c>
      <c r="T360" s="1">
        <f t="shared" ca="1" si="72"/>
        <v>1.6689068100358397E-2</v>
      </c>
      <c r="V360" s="4">
        <f t="shared" ca="1" si="71"/>
        <v>0.93125000000000002</v>
      </c>
      <c r="X360" s="2"/>
    </row>
    <row r="361" spans="8:24" x14ac:dyDescent="0.25">
      <c r="H361">
        <v>55.9</v>
      </c>
      <c r="I361">
        <v>3.0401319253170205</v>
      </c>
      <c r="J361" s="4">
        <f t="shared" si="62"/>
        <v>-1.9000000000000001E-5</v>
      </c>
      <c r="K361" s="9">
        <f t="shared" si="63"/>
        <v>1.8000000000000001E-4</v>
      </c>
      <c r="L361" s="4">
        <f t="shared" si="64"/>
        <v>9.4500000000000001E-3</v>
      </c>
      <c r="M361" s="5">
        <f t="shared" si="65"/>
        <v>3.0692124347251735</v>
      </c>
      <c r="N361" s="2">
        <f t="shared" si="66"/>
        <v>9.565541931250407E-3</v>
      </c>
      <c r="O361">
        <f t="shared" si="67"/>
        <v>16374.5434</v>
      </c>
      <c r="P361">
        <f t="shared" ca="1" si="73"/>
        <v>16376</v>
      </c>
      <c r="Q361" t="str">
        <f t="shared" ca="1" si="68"/>
        <v>0011111111111000</v>
      </c>
      <c r="R361">
        <f t="shared" ca="1" si="69"/>
        <v>3.0705</v>
      </c>
      <c r="S361">
        <f t="shared" ca="1" si="70"/>
        <v>56.846000000000004</v>
      </c>
      <c r="T361" s="1">
        <f t="shared" ca="1" si="72"/>
        <v>1.6923076923077013E-2</v>
      </c>
      <c r="V361" s="4">
        <f t="shared" ca="1" si="71"/>
        <v>0.94599999999999995</v>
      </c>
      <c r="X361" s="2"/>
    </row>
    <row r="362" spans="8:24" x14ac:dyDescent="0.25">
      <c r="H362">
        <v>56</v>
      </c>
      <c r="I362">
        <v>3.0490541709460341</v>
      </c>
      <c r="J362" s="4">
        <f t="shared" si="62"/>
        <v>-1.8E-5</v>
      </c>
      <c r="K362" s="9">
        <f t="shared" si="63"/>
        <v>1.8000000000000001E-4</v>
      </c>
      <c r="L362" s="4">
        <f t="shared" si="64"/>
        <v>9.4800000000000006E-3</v>
      </c>
      <c r="M362" s="5">
        <f t="shared" si="65"/>
        <v>3.0783120190465958</v>
      </c>
      <c r="N362" s="2">
        <f t="shared" si="66"/>
        <v>9.5957127883640626E-3</v>
      </c>
      <c r="O362">
        <f t="shared" si="67"/>
        <v>16423.0906</v>
      </c>
      <c r="P362">
        <f t="shared" ca="1" si="73"/>
        <v>16427</v>
      </c>
      <c r="Q362" t="str">
        <f t="shared" ca="1" si="68"/>
        <v>0100000000101011</v>
      </c>
      <c r="R362">
        <f t="shared" ca="1" si="69"/>
        <v>3.0800624999999999</v>
      </c>
      <c r="S362">
        <f t="shared" ca="1" si="70"/>
        <v>56.960749999999997</v>
      </c>
      <c r="T362" s="1">
        <f t="shared" ca="1" si="72"/>
        <v>1.7156249999999953E-2</v>
      </c>
      <c r="V362" s="4">
        <f t="shared" ca="1" si="71"/>
        <v>0.96074999999999999</v>
      </c>
      <c r="X362" s="2"/>
    </row>
    <row r="363" spans="8:24" x14ac:dyDescent="0.25">
      <c r="H363">
        <v>56.1</v>
      </c>
      <c r="I363">
        <v>3.0585999651963864</v>
      </c>
      <c r="J363" s="4">
        <f t="shared" si="62"/>
        <v>-1.7E-5</v>
      </c>
      <c r="K363" s="9">
        <f t="shared" si="63"/>
        <v>1.8100000000000001E-4</v>
      </c>
      <c r="L363" s="4">
        <f t="shared" si="64"/>
        <v>9.5110000000000004E-3</v>
      </c>
      <c r="M363" s="5">
        <f t="shared" si="65"/>
        <v>3.0880448077246561</v>
      </c>
      <c r="N363" s="2">
        <f t="shared" si="66"/>
        <v>9.6269021327798996E-3</v>
      </c>
      <c r="O363">
        <f t="shared" si="67"/>
        <v>16475.016</v>
      </c>
      <c r="P363">
        <f t="shared" ca="1" si="73"/>
        <v>16478</v>
      </c>
      <c r="Q363" t="str">
        <f t="shared" ca="1" si="68"/>
        <v>0100000001011110</v>
      </c>
      <c r="R363">
        <f t="shared" ca="1" si="69"/>
        <v>3.0896249999999998</v>
      </c>
      <c r="S363">
        <f t="shared" ca="1" si="70"/>
        <v>57.075500000000005</v>
      </c>
      <c r="T363" s="1">
        <f t="shared" ca="1" si="72"/>
        <v>1.7388591800356575E-2</v>
      </c>
      <c r="V363" s="4">
        <f t="shared" ca="1" si="71"/>
        <v>0.97550000000000003</v>
      </c>
      <c r="X363" s="2"/>
    </row>
    <row r="364" spans="8:24" x14ac:dyDescent="0.25">
      <c r="H364">
        <v>56.2</v>
      </c>
      <c r="I364">
        <v>3.0675544145616653</v>
      </c>
      <c r="J364" s="4">
        <f t="shared" si="62"/>
        <v>-1.7E-5</v>
      </c>
      <c r="K364" s="9">
        <f t="shared" si="63"/>
        <v>1.8100000000000001E-4</v>
      </c>
      <c r="L364" s="4">
        <f t="shared" si="64"/>
        <v>9.5409999999999991E-3</v>
      </c>
      <c r="M364" s="5">
        <f t="shared" si="65"/>
        <v>3.0971790464659978</v>
      </c>
      <c r="N364" s="2">
        <f t="shared" si="66"/>
        <v>9.6574103995366901E-3</v>
      </c>
      <c r="O364">
        <f t="shared" si="67"/>
        <v>16523.748</v>
      </c>
      <c r="P364">
        <f t="shared" ca="1" si="73"/>
        <v>16526</v>
      </c>
      <c r="Q364" t="str">
        <f t="shared" ca="1" si="68"/>
        <v>0100000010001110</v>
      </c>
      <c r="R364">
        <f t="shared" ca="1" si="69"/>
        <v>3.0986250000000002</v>
      </c>
      <c r="S364">
        <f t="shared" ca="1" si="70"/>
        <v>57.183500000000009</v>
      </c>
      <c r="T364" s="1">
        <f t="shared" ca="1" si="72"/>
        <v>1.7500000000000113E-2</v>
      </c>
      <c r="V364" s="4">
        <f t="shared" ca="1" si="71"/>
        <v>0.98350000000000004</v>
      </c>
      <c r="X364" s="2"/>
    </row>
    <row r="365" spans="8:24" x14ac:dyDescent="0.25">
      <c r="H365">
        <v>56.300000000000004</v>
      </c>
      <c r="I365">
        <v>3.0771299945846016</v>
      </c>
      <c r="J365" s="4">
        <f t="shared" si="62"/>
        <v>-1.5999999999999999E-5</v>
      </c>
      <c r="K365" s="9">
        <f t="shared" si="63"/>
        <v>1.8200000000000001E-4</v>
      </c>
      <c r="L365" s="4">
        <f t="shared" si="64"/>
        <v>9.5720000000000006E-3</v>
      </c>
      <c r="M365" s="5">
        <f t="shared" si="65"/>
        <v>3.1069430987498352</v>
      </c>
      <c r="N365" s="2">
        <f t="shared" si="66"/>
        <v>9.6886073119111984E-3</v>
      </c>
      <c r="O365">
        <f t="shared" si="67"/>
        <v>16575.840199999999</v>
      </c>
      <c r="P365">
        <f t="shared" ca="1" si="73"/>
        <v>16580</v>
      </c>
      <c r="Q365" t="str">
        <f t="shared" ca="1" si="68"/>
        <v>0100000011000100</v>
      </c>
      <c r="R365">
        <f t="shared" ca="1" si="69"/>
        <v>3.1087500000000001</v>
      </c>
      <c r="S365">
        <f t="shared" ca="1" si="70"/>
        <v>57.305</v>
      </c>
      <c r="T365" s="1">
        <f t="shared" ca="1" si="72"/>
        <v>1.7850799289520346E-2</v>
      </c>
      <c r="V365" s="4">
        <f t="shared" ca="1" si="71"/>
        <v>1.0049999999999999</v>
      </c>
      <c r="X365" s="2"/>
    </row>
    <row r="366" spans="8:24" x14ac:dyDescent="0.25">
      <c r="H366">
        <v>56.4</v>
      </c>
      <c r="I366">
        <v>3.086116176142423</v>
      </c>
      <c r="J366" s="4">
        <f t="shared" si="62"/>
        <v>-1.5999999999999999E-5</v>
      </c>
      <c r="K366" s="9">
        <f t="shared" si="63"/>
        <v>1.8200000000000001E-4</v>
      </c>
      <c r="L366" s="4">
        <f t="shared" si="64"/>
        <v>9.6019999999999994E-3</v>
      </c>
      <c r="M366" s="5">
        <f t="shared" si="65"/>
        <v>3.1161105123661628</v>
      </c>
      <c r="N366" s="2">
        <f t="shared" si="66"/>
        <v>9.7191208988224396E-3</v>
      </c>
      <c r="O366">
        <f t="shared" si="67"/>
        <v>16624.749199999998</v>
      </c>
      <c r="P366">
        <f t="shared" ca="1" si="73"/>
        <v>16626</v>
      </c>
      <c r="Q366" t="str">
        <f t="shared" ca="1" si="68"/>
        <v>0100000011110010</v>
      </c>
      <c r="R366">
        <f t="shared" ca="1" si="69"/>
        <v>3.117375</v>
      </c>
      <c r="S366">
        <f t="shared" ca="1" si="70"/>
        <v>57.408500000000004</v>
      </c>
      <c r="T366" s="1">
        <f t="shared" ca="1" si="72"/>
        <v>1.7881205673758956E-2</v>
      </c>
      <c r="V366" s="4">
        <f t="shared" ca="1" si="71"/>
        <v>1.0085</v>
      </c>
      <c r="X366" s="2"/>
    </row>
    <row r="367" spans="8:24" x14ac:dyDescent="0.25">
      <c r="H367">
        <v>56.5</v>
      </c>
      <c r="I367">
        <v>3.095118591624483</v>
      </c>
      <c r="J367" s="4">
        <f t="shared" si="62"/>
        <v>-1.5E-5</v>
      </c>
      <c r="K367" s="9">
        <f t="shared" si="63"/>
        <v>1.83E-4</v>
      </c>
      <c r="L367" s="4">
        <f t="shared" si="64"/>
        <v>9.6329999999999992E-3</v>
      </c>
      <c r="M367" s="5">
        <f t="shared" si="65"/>
        <v>3.1252970190954295</v>
      </c>
      <c r="N367" s="2">
        <f t="shared" si="66"/>
        <v>9.7503299397349464E-3</v>
      </c>
      <c r="O367">
        <f t="shared" si="67"/>
        <v>16673.7601</v>
      </c>
      <c r="P367">
        <f t="shared" ca="1" si="73"/>
        <v>16674</v>
      </c>
      <c r="Q367" t="str">
        <f t="shared" ca="1" si="68"/>
        <v>0100000100100010</v>
      </c>
      <c r="R367">
        <f t="shared" ca="1" si="69"/>
        <v>3.1263749999999999</v>
      </c>
      <c r="S367">
        <f t="shared" ca="1" si="70"/>
        <v>57.516500000000001</v>
      </c>
      <c r="T367" s="1">
        <f t="shared" ca="1" si="72"/>
        <v>1.7991150442477889E-2</v>
      </c>
      <c r="V367" s="4">
        <f t="shared" ca="1" si="71"/>
        <v>1.0165</v>
      </c>
      <c r="X367" s="2"/>
    </row>
    <row r="368" spans="8:24" x14ac:dyDescent="0.25">
      <c r="H368">
        <v>56.6</v>
      </c>
      <c r="I368">
        <v>3.1041371235231008</v>
      </c>
      <c r="J368" s="4">
        <f t="shared" si="62"/>
        <v>-1.5E-5</v>
      </c>
      <c r="K368" s="9">
        <f t="shared" si="63"/>
        <v>1.83E-4</v>
      </c>
      <c r="L368" s="4">
        <f t="shared" si="64"/>
        <v>9.6629999999999997E-3</v>
      </c>
      <c r="M368" s="5">
        <f t="shared" si="65"/>
        <v>3.1344982193628033</v>
      </c>
      <c r="N368" s="2">
        <f t="shared" si="66"/>
        <v>9.7808487935750598E-3</v>
      </c>
      <c r="O368">
        <f t="shared" si="67"/>
        <v>16722.849399999999</v>
      </c>
      <c r="P368">
        <f t="shared" ca="1" si="73"/>
        <v>16727</v>
      </c>
      <c r="Q368" t="str">
        <f t="shared" ca="1" si="68"/>
        <v>0100000101010111</v>
      </c>
      <c r="R368">
        <f t="shared" ca="1" si="69"/>
        <v>3.1363125000000003</v>
      </c>
      <c r="S368">
        <f t="shared" ca="1" si="70"/>
        <v>57.635750000000002</v>
      </c>
      <c r="T368" s="1">
        <f t="shared" ca="1" si="72"/>
        <v>1.8299469964664312E-2</v>
      </c>
      <c r="V368" s="4">
        <f t="shared" ca="1" si="71"/>
        <v>1.0357499999999999</v>
      </c>
      <c r="X368" s="2"/>
    </row>
    <row r="369" spans="8:24" x14ac:dyDescent="0.25">
      <c r="H369">
        <v>56.7</v>
      </c>
      <c r="I369">
        <v>3.1131716527302911</v>
      </c>
      <c r="J369" s="4">
        <f t="shared" si="62"/>
        <v>-1.4E-5</v>
      </c>
      <c r="K369" s="9">
        <f t="shared" si="63"/>
        <v>1.84E-4</v>
      </c>
      <c r="L369" s="4">
        <f t="shared" si="64"/>
        <v>9.6939999999999995E-3</v>
      </c>
      <c r="M369" s="5">
        <f t="shared" si="65"/>
        <v>3.1437182956361887</v>
      </c>
      <c r="N369" s="2">
        <f t="shared" si="66"/>
        <v>9.8120650941645945E-3</v>
      </c>
      <c r="O369">
        <f t="shared" si="67"/>
        <v>16772.039400000001</v>
      </c>
      <c r="P369">
        <f t="shared" ca="1" si="73"/>
        <v>16777</v>
      </c>
      <c r="Q369" t="str">
        <f t="shared" ca="1" si="68"/>
        <v>0100000110001001</v>
      </c>
      <c r="R369">
        <f t="shared" ca="1" si="69"/>
        <v>3.1456875000000002</v>
      </c>
      <c r="S369">
        <f t="shared" ca="1" si="70"/>
        <v>57.748250000000006</v>
      </c>
      <c r="T369" s="1">
        <f t="shared" ca="1" si="72"/>
        <v>1.8487654320987708E-2</v>
      </c>
      <c r="V369" s="4">
        <f t="shared" ca="1" si="71"/>
        <v>1.0482499999999999</v>
      </c>
      <c r="X369" s="2"/>
    </row>
    <row r="370" spans="8:24" x14ac:dyDescent="0.25">
      <c r="H370">
        <v>56.800000000000004</v>
      </c>
      <c r="I370">
        <v>3.1222220609236615</v>
      </c>
      <c r="J370" s="4">
        <f t="shared" si="62"/>
        <v>-1.2999999999999999E-5</v>
      </c>
      <c r="K370" s="9">
        <f t="shared" si="63"/>
        <v>1.84E-4</v>
      </c>
      <c r="L370" s="4">
        <f t="shared" si="64"/>
        <v>9.724E-3</v>
      </c>
      <c r="M370" s="5">
        <f t="shared" si="65"/>
        <v>3.1529518002371679</v>
      </c>
      <c r="N370" s="2">
        <f t="shared" si="66"/>
        <v>9.8422657690194846E-3</v>
      </c>
      <c r="O370">
        <f t="shared" si="67"/>
        <v>16821.300999999999</v>
      </c>
      <c r="P370">
        <f t="shared" ca="1" si="73"/>
        <v>16821</v>
      </c>
      <c r="Q370" t="str">
        <f t="shared" ca="1" si="68"/>
        <v>0100000110110101</v>
      </c>
      <c r="R370">
        <f t="shared" ca="1" si="69"/>
        <v>3.1539375000000001</v>
      </c>
      <c r="S370">
        <f t="shared" ca="1" si="70"/>
        <v>57.847250000000003</v>
      </c>
      <c r="T370" s="1">
        <f t="shared" ca="1" si="72"/>
        <v>1.8437499999999968E-2</v>
      </c>
      <c r="V370" s="4">
        <f t="shared" ca="1" si="71"/>
        <v>1.04725</v>
      </c>
      <c r="X370" s="2"/>
    </row>
    <row r="371" spans="8:24" x14ac:dyDescent="0.25">
      <c r="H371">
        <v>56.9</v>
      </c>
      <c r="I371">
        <v>3.1312882301590785</v>
      </c>
      <c r="J371" s="4">
        <f t="shared" si="62"/>
        <v>-1.2999999999999999E-5</v>
      </c>
      <c r="K371" s="9">
        <f t="shared" si="63"/>
        <v>1.85E-4</v>
      </c>
      <c r="L371" s="4">
        <f t="shared" si="64"/>
        <v>9.7549999999999998E-3</v>
      </c>
      <c r="M371" s="5">
        <f t="shared" si="65"/>
        <v>3.162205983740467</v>
      </c>
      <c r="N371" s="2">
        <f t="shared" si="66"/>
        <v>9.873812727810679E-3</v>
      </c>
      <c r="O371">
        <f t="shared" si="67"/>
        <v>16870.672999999999</v>
      </c>
      <c r="P371">
        <f t="shared" ca="1" si="73"/>
        <v>16872</v>
      </c>
      <c r="Q371" t="str">
        <f t="shared" ca="1" si="68"/>
        <v>0100000111101000</v>
      </c>
      <c r="R371">
        <f t="shared" ca="1" si="69"/>
        <v>3.1635</v>
      </c>
      <c r="S371">
        <f t="shared" ca="1" si="70"/>
        <v>57.962000000000003</v>
      </c>
      <c r="T371" s="1">
        <f t="shared" ca="1" si="72"/>
        <v>1.8664323374341034E-2</v>
      </c>
      <c r="V371" s="4">
        <f t="shared" ca="1" si="71"/>
        <v>1.0620000000000001</v>
      </c>
      <c r="X371" s="2"/>
    </row>
    <row r="372" spans="8:24" x14ac:dyDescent="0.25">
      <c r="H372">
        <v>57</v>
      </c>
      <c r="I372">
        <v>3.1403700417868272</v>
      </c>
      <c r="J372" s="4">
        <f t="shared" si="62"/>
        <v>-1.2E-5</v>
      </c>
      <c r="K372" s="9">
        <f t="shared" si="63"/>
        <v>1.85E-4</v>
      </c>
      <c r="L372" s="4">
        <f t="shared" si="64"/>
        <v>9.7850000000000003E-3</v>
      </c>
      <c r="M372" s="5">
        <f t="shared" si="65"/>
        <v>3.171472331015817</v>
      </c>
      <c r="N372" s="2">
        <f t="shared" si="66"/>
        <v>9.9040204864816062E-3</v>
      </c>
      <c r="O372">
        <f t="shared" si="67"/>
        <v>16920.109799999998</v>
      </c>
      <c r="P372">
        <f t="shared" ca="1" si="73"/>
        <v>16922</v>
      </c>
      <c r="Q372" t="str">
        <f t="shared" ca="1" si="68"/>
        <v>0100001000011010</v>
      </c>
      <c r="R372">
        <f t="shared" ca="1" si="69"/>
        <v>3.1728749999999999</v>
      </c>
      <c r="S372">
        <f t="shared" ca="1" si="70"/>
        <v>58.0745</v>
      </c>
      <c r="T372" s="1">
        <f t="shared" ca="1" si="72"/>
        <v>1.8850877192982465E-2</v>
      </c>
      <c r="V372" s="4">
        <f t="shared" ca="1" si="71"/>
        <v>1.0745</v>
      </c>
      <c r="X372" s="2"/>
    </row>
    <row r="373" spans="8:24" x14ac:dyDescent="0.25">
      <c r="H373">
        <v>57.1</v>
      </c>
      <c r="I373">
        <v>3.1494673778482438</v>
      </c>
      <c r="J373" s="4">
        <f t="shared" si="62"/>
        <v>-1.2E-5</v>
      </c>
      <c r="K373" s="9">
        <f t="shared" si="63"/>
        <v>1.8599999999999999E-4</v>
      </c>
      <c r="L373" s="4">
        <f t="shared" si="64"/>
        <v>9.8160000000000001E-3</v>
      </c>
      <c r="M373" s="5">
        <f t="shared" si="65"/>
        <v>3.1807591402408479</v>
      </c>
      <c r="N373" s="2">
        <f t="shared" si="66"/>
        <v>9.935572793258473E-3</v>
      </c>
      <c r="O373">
        <f t="shared" si="67"/>
        <v>16969.6558</v>
      </c>
      <c r="P373">
        <f t="shared" ca="1" si="73"/>
        <v>16974</v>
      </c>
      <c r="Q373" t="str">
        <f t="shared" ca="1" si="68"/>
        <v>0100001001001110</v>
      </c>
      <c r="R373">
        <f t="shared" ca="1" si="69"/>
        <v>3.1826250000000003</v>
      </c>
      <c r="S373">
        <f t="shared" ca="1" si="70"/>
        <v>58.191500000000005</v>
      </c>
      <c r="T373" s="1">
        <f t="shared" ca="1" si="72"/>
        <v>1.9115586690017575E-2</v>
      </c>
      <c r="V373" s="4">
        <f t="shared" ca="1" si="71"/>
        <v>1.0914999999999999</v>
      </c>
      <c r="X373" s="2"/>
    </row>
    <row r="374" spans="8:24" x14ac:dyDescent="0.25">
      <c r="H374">
        <v>57.2</v>
      </c>
      <c r="I374">
        <v>3.1585801199991042</v>
      </c>
      <c r="J374" s="4">
        <f t="shared" si="62"/>
        <v>-1.1E-5</v>
      </c>
      <c r="K374" s="9">
        <f t="shared" si="63"/>
        <v>1.8599999999999999E-4</v>
      </c>
      <c r="L374" s="4">
        <f t="shared" si="64"/>
        <v>9.8460000000000006E-3</v>
      </c>
      <c r="M374" s="5">
        <f t="shared" si="65"/>
        <v>3.1900578586069486</v>
      </c>
      <c r="N374" s="2">
        <f t="shared" si="66"/>
        <v>9.9657876045434451E-3</v>
      </c>
      <c r="O374">
        <f t="shared" si="67"/>
        <v>17019.2654</v>
      </c>
      <c r="P374">
        <f t="shared" ca="1" si="73"/>
        <v>17021</v>
      </c>
      <c r="Q374" t="str">
        <f t="shared" ca="1" si="68"/>
        <v>0100001001111101</v>
      </c>
      <c r="R374">
        <f t="shared" ca="1" si="69"/>
        <v>3.1914375000000001</v>
      </c>
      <c r="S374">
        <f t="shared" ca="1" si="70"/>
        <v>58.297250000000005</v>
      </c>
      <c r="T374" s="1">
        <f t="shared" ca="1" si="72"/>
        <v>1.9182692307692352E-2</v>
      </c>
      <c r="V374" s="4">
        <f t="shared" ca="1" si="71"/>
        <v>1.0972500000000001</v>
      </c>
      <c r="X374" s="2"/>
    </row>
    <row r="375" spans="8:24" x14ac:dyDescent="0.25">
      <c r="H375">
        <v>57.300000000000004</v>
      </c>
      <c r="I375">
        <v>3.1671143680316654</v>
      </c>
      <c r="J375" s="4">
        <f t="shared" si="62"/>
        <v>-1.1E-5</v>
      </c>
      <c r="K375" s="9">
        <f t="shared" si="63"/>
        <v>1.8699999999999999E-4</v>
      </c>
      <c r="L375" s="4">
        <f t="shared" si="64"/>
        <v>9.8770000000000004E-3</v>
      </c>
      <c r="M375" s="5">
        <f t="shared" si="65"/>
        <v>3.1987771167477836</v>
      </c>
      <c r="N375" s="2">
        <f t="shared" si="66"/>
        <v>9.9973493334237946E-3</v>
      </c>
      <c r="O375">
        <f t="shared" si="67"/>
        <v>17065.783500000001</v>
      </c>
      <c r="P375">
        <f t="shared" ca="1" si="73"/>
        <v>17064</v>
      </c>
      <c r="Q375" t="str">
        <f t="shared" ca="1" si="68"/>
        <v>0100001010101000</v>
      </c>
      <c r="R375">
        <f t="shared" ca="1" si="69"/>
        <v>3.1995</v>
      </c>
      <c r="S375">
        <f t="shared" ca="1" si="70"/>
        <v>58.393999999999998</v>
      </c>
      <c r="T375" s="1">
        <f t="shared" ca="1" si="72"/>
        <v>1.909249563699815E-2</v>
      </c>
      <c r="V375" s="4">
        <f t="shared" ca="1" si="71"/>
        <v>1.0940000000000001</v>
      </c>
      <c r="X375" s="2"/>
    </row>
    <row r="376" spans="8:24" x14ac:dyDescent="0.25">
      <c r="H376">
        <v>57.4</v>
      </c>
      <c r="I376">
        <v>3.1762586520452247</v>
      </c>
      <c r="J376" s="4">
        <f t="shared" si="62"/>
        <v>-1.0000000000000001E-5</v>
      </c>
      <c r="K376" s="9">
        <f t="shared" si="63"/>
        <v>1.8699999999999999E-4</v>
      </c>
      <c r="L376" s="4">
        <f t="shared" si="64"/>
        <v>9.9069999999999991E-3</v>
      </c>
      <c r="M376" s="5">
        <f t="shared" si="65"/>
        <v>3.2081088114341028</v>
      </c>
      <c r="N376" s="2">
        <f t="shared" si="66"/>
        <v>1.0027571075916439E-2</v>
      </c>
      <c r="O376">
        <f t="shared" si="67"/>
        <v>17115.569</v>
      </c>
      <c r="P376">
        <f t="shared" ca="1" si="73"/>
        <v>17119</v>
      </c>
      <c r="Q376" t="str">
        <f t="shared" ca="1" si="68"/>
        <v>0100001011011111</v>
      </c>
      <c r="R376">
        <f t="shared" ca="1" si="69"/>
        <v>3.2098125</v>
      </c>
      <c r="S376">
        <f t="shared" ca="1" si="70"/>
        <v>58.517750000000007</v>
      </c>
      <c r="T376" s="1">
        <f t="shared" ca="1" si="72"/>
        <v>1.9472996515679582E-2</v>
      </c>
      <c r="V376" s="4">
        <f t="shared" ca="1" si="71"/>
        <v>1.11775</v>
      </c>
      <c r="X376" s="2"/>
    </row>
    <row r="377" spans="8:24" x14ac:dyDescent="0.25">
      <c r="H377">
        <v>57.5</v>
      </c>
      <c r="I377">
        <v>3.1848263744812395</v>
      </c>
      <c r="J377" s="4">
        <f t="shared" si="62"/>
        <v>-9.0000000000000002E-6</v>
      </c>
      <c r="K377" s="9">
        <f t="shared" si="63"/>
        <v>1.8799999999999999E-4</v>
      </c>
      <c r="L377" s="4">
        <f t="shared" si="64"/>
        <v>9.9380000000000007E-3</v>
      </c>
      <c r="M377" s="5">
        <f t="shared" si="65"/>
        <v>3.2168619723585388</v>
      </c>
      <c r="N377" s="2">
        <f t="shared" si="66"/>
        <v>1.0058820830544452E-2</v>
      </c>
      <c r="O377">
        <f t="shared" si="67"/>
        <v>17162.267899999999</v>
      </c>
      <c r="P377">
        <f t="shared" ca="1" si="73"/>
        <v>17167</v>
      </c>
      <c r="Q377" t="str">
        <f t="shared" ca="1" si="68"/>
        <v>0100001100001111</v>
      </c>
      <c r="R377">
        <f t="shared" ca="1" si="69"/>
        <v>3.2188124999999999</v>
      </c>
      <c r="S377">
        <f t="shared" ca="1" si="70"/>
        <v>58.625749999999996</v>
      </c>
      <c r="T377" s="1">
        <f t="shared" ca="1" si="72"/>
        <v>1.9578260869565156E-2</v>
      </c>
      <c r="V377" s="4">
        <f t="shared" ca="1" si="71"/>
        <v>1.12575</v>
      </c>
      <c r="X377" s="2"/>
    </row>
    <row r="378" spans="8:24" x14ac:dyDescent="0.25">
      <c r="H378">
        <v>57.6</v>
      </c>
      <c r="I378">
        <v>3.1945922557351656</v>
      </c>
      <c r="J378" s="4">
        <f t="shared" si="62"/>
        <v>-9.0000000000000002E-6</v>
      </c>
      <c r="K378" s="9">
        <f t="shared" si="63"/>
        <v>1.8799999999999999E-4</v>
      </c>
      <c r="L378" s="4">
        <f t="shared" si="64"/>
        <v>9.9679999999999994E-3</v>
      </c>
      <c r="M378" s="5">
        <f t="shared" si="65"/>
        <v>3.2268236557921011</v>
      </c>
      <c r="N378" s="2">
        <f t="shared" si="66"/>
        <v>1.0089362734499625E-2</v>
      </c>
      <c r="O378">
        <f t="shared" si="67"/>
        <v>17215.414499999999</v>
      </c>
      <c r="P378">
        <f t="shared" ca="1" si="73"/>
        <v>17215</v>
      </c>
      <c r="Q378" t="str">
        <f t="shared" ca="1" si="68"/>
        <v>0100001100111111</v>
      </c>
      <c r="R378">
        <f t="shared" ca="1" si="69"/>
        <v>3.2278125000000002</v>
      </c>
      <c r="S378">
        <f t="shared" ca="1" si="70"/>
        <v>58.733750000000001</v>
      </c>
      <c r="T378" s="1">
        <f t="shared" ca="1" si="72"/>
        <v>1.9683159722222208E-2</v>
      </c>
      <c r="V378" s="4">
        <f t="shared" ca="1" si="71"/>
        <v>1.13375</v>
      </c>
      <c r="X378" s="2"/>
    </row>
    <row r="379" spans="8:24" x14ac:dyDescent="0.25">
      <c r="H379">
        <v>57.7</v>
      </c>
      <c r="I379">
        <v>3.2037813390650158</v>
      </c>
      <c r="J379" s="4">
        <f t="shared" si="62"/>
        <v>-7.9999999999999996E-6</v>
      </c>
      <c r="K379" s="9">
        <f t="shared" si="63"/>
        <v>1.8900000000000001E-4</v>
      </c>
      <c r="L379" s="4">
        <f t="shared" si="64"/>
        <v>9.9989999999999992E-3</v>
      </c>
      <c r="M379" s="5">
        <f t="shared" si="65"/>
        <v>3.2362055787044817</v>
      </c>
      <c r="N379" s="2">
        <f t="shared" si="66"/>
        <v>1.0120615675016214E-2</v>
      </c>
      <c r="O379">
        <f t="shared" si="67"/>
        <v>17265.4679</v>
      </c>
      <c r="P379">
        <f t="shared" ca="1" si="73"/>
        <v>17264</v>
      </c>
      <c r="Q379" t="str">
        <f t="shared" ca="1" si="68"/>
        <v>0100001101110000</v>
      </c>
      <c r="R379">
        <f t="shared" ca="1" si="69"/>
        <v>3.2370000000000001</v>
      </c>
      <c r="S379">
        <f t="shared" ca="1" si="70"/>
        <v>58.844000000000008</v>
      </c>
      <c r="T379" s="1">
        <f t="shared" ca="1" si="72"/>
        <v>1.9826689774696801E-2</v>
      </c>
      <c r="V379" s="4">
        <f t="shared" ca="1" si="71"/>
        <v>1.1439999999999999</v>
      </c>
      <c r="X379" s="2"/>
    </row>
    <row r="380" spans="8:24" x14ac:dyDescent="0.25">
      <c r="H380">
        <v>57.800000000000004</v>
      </c>
      <c r="I380">
        <v>3.2123967531471243</v>
      </c>
      <c r="J380" s="4">
        <f t="shared" si="62"/>
        <v>-7.9999999999999996E-6</v>
      </c>
      <c r="K380" s="9">
        <f t="shared" si="63"/>
        <v>1.8900000000000001E-4</v>
      </c>
      <c r="L380" s="4">
        <f t="shared" si="64"/>
        <v>1.0029E-2</v>
      </c>
      <c r="M380" s="5">
        <f t="shared" si="65"/>
        <v>3.2450063400494802</v>
      </c>
      <c r="N380" s="2">
        <f t="shared" si="66"/>
        <v>1.0151170421402319E-2</v>
      </c>
      <c r="O380">
        <f t="shared" si="67"/>
        <v>17312.4208</v>
      </c>
      <c r="P380">
        <f t="shared" ca="1" si="73"/>
        <v>17312</v>
      </c>
      <c r="Q380" t="str">
        <f t="shared" ca="1" si="68"/>
        <v>0100001110100000</v>
      </c>
      <c r="R380">
        <f t="shared" ca="1" si="69"/>
        <v>3.246</v>
      </c>
      <c r="S380">
        <f t="shared" ca="1" si="70"/>
        <v>58.951999999999998</v>
      </c>
      <c r="T380" s="1">
        <f t="shared" ca="1" si="72"/>
        <v>1.993079584775076E-2</v>
      </c>
      <c r="V380" s="4">
        <f t="shared" ca="1" si="71"/>
        <v>1.1519999999999999</v>
      </c>
      <c r="X380" s="2"/>
    </row>
    <row r="381" spans="8:24" x14ac:dyDescent="0.25">
      <c r="H381">
        <v>57.9</v>
      </c>
      <c r="I381">
        <v>3.2216161940392523</v>
      </c>
      <c r="J381" s="4">
        <f t="shared" si="62"/>
        <v>-6.9999999999999999E-6</v>
      </c>
      <c r="K381" s="9">
        <f t="shared" si="63"/>
        <v>1.9000000000000001E-4</v>
      </c>
      <c r="L381" s="4">
        <f t="shared" si="64"/>
        <v>1.0059999999999999E-2</v>
      </c>
      <c r="M381" s="5">
        <f t="shared" si="65"/>
        <v>3.2544200765291356</v>
      </c>
      <c r="N381" s="2">
        <f t="shared" si="66"/>
        <v>1.0182430343682219E-2</v>
      </c>
      <c r="O381">
        <f t="shared" si="67"/>
        <v>17362.644</v>
      </c>
      <c r="P381">
        <f t="shared" ca="1" si="73"/>
        <v>17365</v>
      </c>
      <c r="Q381" t="str">
        <f t="shared" ca="1" si="68"/>
        <v>0100001111010101</v>
      </c>
      <c r="R381">
        <f t="shared" ca="1" si="69"/>
        <v>3.2559374999999999</v>
      </c>
      <c r="S381">
        <f t="shared" ca="1" si="70"/>
        <v>59.071250000000006</v>
      </c>
      <c r="T381" s="1">
        <f t="shared" ca="1" si="72"/>
        <v>2.0228842832469909E-2</v>
      </c>
      <c r="V381" s="4">
        <f t="shared" ca="1" si="71"/>
        <v>1.1712499999999999</v>
      </c>
      <c r="X381" s="2"/>
    </row>
    <row r="382" spans="8:24" x14ac:dyDescent="0.25">
      <c r="H382">
        <v>58</v>
      </c>
      <c r="I382">
        <v>3.2308500961802906</v>
      </c>
      <c r="J382" s="4">
        <f t="shared" si="62"/>
        <v>-6.9999999999999999E-6</v>
      </c>
      <c r="K382" s="9">
        <f t="shared" si="63"/>
        <v>1.9000000000000001E-4</v>
      </c>
      <c r="L382" s="4">
        <f t="shared" si="64"/>
        <v>1.009E-2</v>
      </c>
      <c r="M382" s="5">
        <f t="shared" si="65"/>
        <v>3.2638467244095835</v>
      </c>
      <c r="N382" s="2">
        <f t="shared" si="66"/>
        <v>1.021298644226901E-2</v>
      </c>
      <c r="O382">
        <f t="shared" si="67"/>
        <v>17412.936099999999</v>
      </c>
      <c r="P382">
        <f t="shared" ca="1" si="73"/>
        <v>17413</v>
      </c>
      <c r="Q382" t="str">
        <f t="shared" ca="1" si="68"/>
        <v>0100010000000101</v>
      </c>
      <c r="R382">
        <f t="shared" ca="1" si="69"/>
        <v>3.2649375000000003</v>
      </c>
      <c r="S382">
        <f t="shared" ca="1" si="70"/>
        <v>59.17925000000001</v>
      </c>
      <c r="T382" s="1">
        <f t="shared" ca="1" si="72"/>
        <v>2.0331896551724318E-2</v>
      </c>
      <c r="V382" s="4">
        <f t="shared" ca="1" si="71"/>
        <v>1.1792499999999999</v>
      </c>
      <c r="X382" s="2"/>
    </row>
    <row r="383" spans="8:24" x14ac:dyDescent="0.25">
      <c r="H383">
        <v>58.1</v>
      </c>
      <c r="I383">
        <v>3.2395132162168658</v>
      </c>
      <c r="J383" s="4">
        <f t="shared" si="62"/>
        <v>-6.0000000000000002E-6</v>
      </c>
      <c r="K383" s="9">
        <f t="shared" si="63"/>
        <v>1.9100000000000001E-4</v>
      </c>
      <c r="L383" s="4">
        <f t="shared" si="64"/>
        <v>1.0121E-2</v>
      </c>
      <c r="M383" s="5">
        <f t="shared" si="65"/>
        <v>3.2726996220738758</v>
      </c>
      <c r="N383" s="2">
        <f t="shared" si="66"/>
        <v>1.0244256973819461E-2</v>
      </c>
      <c r="O383">
        <f t="shared" si="67"/>
        <v>17460.167099999999</v>
      </c>
      <c r="P383">
        <f t="shared" ca="1" si="73"/>
        <v>17464</v>
      </c>
      <c r="Q383" t="str">
        <f t="shared" ca="1" si="68"/>
        <v>0100010000111000</v>
      </c>
      <c r="R383">
        <f t="shared" ca="1" si="69"/>
        <v>3.2745000000000002</v>
      </c>
      <c r="S383">
        <f t="shared" ca="1" si="70"/>
        <v>59.294000000000004</v>
      </c>
      <c r="T383" s="1">
        <f t="shared" ca="1" si="72"/>
        <v>2.0550774526678185E-2</v>
      </c>
      <c r="V383" s="4">
        <f t="shared" ca="1" si="71"/>
        <v>1.194</v>
      </c>
      <c r="X383" s="2"/>
    </row>
    <row r="384" spans="8:24" x14ac:dyDescent="0.25">
      <c r="H384">
        <v>58.2</v>
      </c>
      <c r="I384">
        <v>3.2487767660586129</v>
      </c>
      <c r="J384" s="4">
        <f t="shared" si="62"/>
        <v>-5.0000000000000004E-6</v>
      </c>
      <c r="K384" s="9">
        <f t="shared" si="63"/>
        <v>1.9100000000000001E-4</v>
      </c>
      <c r="L384" s="4">
        <f t="shared" si="64"/>
        <v>1.0151E-2</v>
      </c>
      <c r="M384" s="5">
        <f t="shared" si="65"/>
        <v>3.2821563463726418</v>
      </c>
      <c r="N384" s="2">
        <f t="shared" si="66"/>
        <v>1.0274507212302152E-2</v>
      </c>
      <c r="O384">
        <f t="shared" si="67"/>
        <v>17510.619699999999</v>
      </c>
      <c r="P384">
        <f t="shared" ca="1" si="73"/>
        <v>17510</v>
      </c>
      <c r="Q384" t="str">
        <f t="shared" ca="1" si="68"/>
        <v>0100010001100110</v>
      </c>
      <c r="R384">
        <f t="shared" ca="1" si="69"/>
        <v>3.2831250000000001</v>
      </c>
      <c r="S384">
        <f t="shared" ca="1" si="70"/>
        <v>59.397500000000008</v>
      </c>
      <c r="T384" s="1">
        <f t="shared" ca="1" si="72"/>
        <v>2.0575601374570533E-2</v>
      </c>
      <c r="V384" s="4">
        <f t="shared" ca="1" si="71"/>
        <v>1.1975</v>
      </c>
      <c r="X384" s="2"/>
    </row>
    <row r="385" spans="8:24" x14ac:dyDescent="0.25">
      <c r="H385">
        <v>58.300000000000004</v>
      </c>
      <c r="I385">
        <v>3.257471455701741</v>
      </c>
      <c r="J385" s="4">
        <f t="shared" si="62"/>
        <v>-5.0000000000000004E-6</v>
      </c>
      <c r="K385" s="9">
        <f t="shared" si="63"/>
        <v>1.92E-4</v>
      </c>
      <c r="L385" s="4">
        <f t="shared" si="64"/>
        <v>1.0182E-2</v>
      </c>
      <c r="M385" s="5">
        <f t="shared" si="65"/>
        <v>3.2910432676974364</v>
      </c>
      <c r="N385" s="2">
        <f t="shared" si="66"/>
        <v>1.0306095526004588E-2</v>
      </c>
      <c r="O385">
        <f t="shared" si="67"/>
        <v>17558.032299999999</v>
      </c>
      <c r="P385">
        <f t="shared" ca="1" si="73"/>
        <v>17560</v>
      </c>
      <c r="Q385" t="str">
        <f t="shared" ca="1" si="68"/>
        <v>0100010010011000</v>
      </c>
      <c r="R385">
        <f t="shared" ca="1" si="69"/>
        <v>3.2925</v>
      </c>
      <c r="S385">
        <f t="shared" ca="1" si="70"/>
        <v>59.51</v>
      </c>
      <c r="T385" s="1">
        <f t="shared" ca="1" si="72"/>
        <v>2.0754716981131967E-2</v>
      </c>
      <c r="V385" s="4">
        <f t="shared" ca="1" si="71"/>
        <v>1.21</v>
      </c>
      <c r="X385" s="2"/>
    </row>
    <row r="386" spans="8:24" x14ac:dyDescent="0.25">
      <c r="H386">
        <v>58.400000000000006</v>
      </c>
      <c r="I386">
        <v>3.2661822910474321</v>
      </c>
      <c r="J386" s="4">
        <f t="shared" si="62"/>
        <v>-3.9999999999999998E-6</v>
      </c>
      <c r="K386" s="9">
        <f t="shared" si="63"/>
        <v>1.92E-4</v>
      </c>
      <c r="L386" s="4">
        <f t="shared" si="64"/>
        <v>1.0212000000000001E-2</v>
      </c>
      <c r="M386" s="5">
        <f t="shared" si="65"/>
        <v>3.2999427137441879</v>
      </c>
      <c r="N386" s="2">
        <f t="shared" si="66"/>
        <v>1.0336355931294085E-2</v>
      </c>
      <c r="O386">
        <f t="shared" si="67"/>
        <v>17605.511699999999</v>
      </c>
      <c r="P386">
        <f t="shared" ca="1" si="73"/>
        <v>17606</v>
      </c>
      <c r="Q386" t="str">
        <f t="shared" ca="1" si="68"/>
        <v>0100010011000110</v>
      </c>
      <c r="R386">
        <f t="shared" ca="1" si="69"/>
        <v>3.3011249999999999</v>
      </c>
      <c r="S386">
        <f t="shared" ca="1" si="70"/>
        <v>59.613500000000002</v>
      </c>
      <c r="T386" s="1">
        <f t="shared" ca="1" si="72"/>
        <v>2.0779109589041028E-2</v>
      </c>
      <c r="V386" s="4">
        <f t="shared" ca="1" si="71"/>
        <v>1.2135</v>
      </c>
      <c r="X386" s="2"/>
    </row>
    <row r="387" spans="8:24" x14ac:dyDescent="0.25">
      <c r="H387">
        <v>58.5</v>
      </c>
      <c r="I387">
        <v>3.2754899635434236</v>
      </c>
      <c r="J387" s="4">
        <f t="shared" ref="J387:J450" si="74">ROUND(H387*0.00000575 -0.00034,6)</f>
        <v>-3.9999999999999998E-6</v>
      </c>
      <c r="K387" s="9">
        <f t="shared" ref="K387:K450" si="75">ROUND(H387*0.000005-0.0001,6)</f>
        <v>1.93E-4</v>
      </c>
      <c r="L387" s="4">
        <f t="shared" ref="L387:L450" si="76">ROUND(K387+($C$24*(H387-25)),6)</f>
        <v>1.0243E-2</v>
      </c>
      <c r="M387" s="5">
        <f t="shared" ref="M387:M450" si="77">(I387-J387)/(1-L387)+$C$26+$D$27</f>
        <v>3.3094500664803825</v>
      </c>
      <c r="N387" s="2">
        <f t="shared" ref="N387:N450" si="78">ABS(I387-M387)/I387</f>
        <v>1.036794596073832E-2</v>
      </c>
      <c r="O387">
        <f t="shared" ref="O387:O450" si="79">ROUND((M387*(2^($C$12-1)))/$C$44,4)</f>
        <v>17656.2343</v>
      </c>
      <c r="P387">
        <f t="shared" ca="1" si="73"/>
        <v>17659</v>
      </c>
      <c r="Q387" t="str">
        <f t="shared" ref="Q387:Q450" ca="1" si="80">_xlfn.BASE(P387,2,16)</f>
        <v>0100010011111011</v>
      </c>
      <c r="R387">
        <f t="shared" ref="R387:R450" ca="1" si="81">($C$16/2^($C$12-1)) * P387</f>
        <v>3.3110625000000002</v>
      </c>
      <c r="S387">
        <f t="shared" ref="S387:S450" ca="1" si="82">(R387+5/3)/(1/12)</f>
        <v>59.73275000000001</v>
      </c>
      <c r="T387" s="1">
        <f t="shared" ca="1" si="72"/>
        <v>2.1072649572649742E-2</v>
      </c>
      <c r="V387" s="4">
        <f t="shared" ref="V387:V450" ca="1" si="83">ROUND(ABS(H387-S387),6)</f>
        <v>1.23275</v>
      </c>
      <c r="X387" s="2"/>
    </row>
    <row r="388" spans="8:24" x14ac:dyDescent="0.25">
      <c r="H388">
        <v>58.6</v>
      </c>
      <c r="I388">
        <v>3.2842316543132193</v>
      </c>
      <c r="J388" s="4">
        <f t="shared" si="74"/>
        <v>-3.0000000000000001E-6</v>
      </c>
      <c r="K388" s="9">
        <f t="shared" si="75"/>
        <v>1.93E-4</v>
      </c>
      <c r="L388" s="4">
        <f t="shared" si="76"/>
        <v>1.0272999999999999E-2</v>
      </c>
      <c r="M388" s="5">
        <f t="shared" si="77"/>
        <v>3.3183817946557177</v>
      </c>
      <c r="N388" s="2">
        <f t="shared" si="78"/>
        <v>1.039821301814951E-2</v>
      </c>
      <c r="O388">
        <f t="shared" si="79"/>
        <v>17703.885900000001</v>
      </c>
      <c r="P388">
        <f t="shared" ca="1" si="73"/>
        <v>17704</v>
      </c>
      <c r="Q388" t="str">
        <f t="shared" ca="1" si="80"/>
        <v>0100010100101000</v>
      </c>
      <c r="R388">
        <f t="shared" ca="1" si="81"/>
        <v>3.3195000000000001</v>
      </c>
      <c r="S388">
        <f t="shared" ca="1" si="82"/>
        <v>59.834000000000003</v>
      </c>
      <c r="T388" s="1">
        <f t="shared" ref="T388:T451" ca="1" si="84">ABS(H388-S388)/H388</f>
        <v>2.1058020477815728E-2</v>
      </c>
      <c r="V388" s="4">
        <f t="shared" ca="1" si="83"/>
        <v>1.234</v>
      </c>
      <c r="X388" s="2"/>
    </row>
    <row r="389" spans="8:24" x14ac:dyDescent="0.25">
      <c r="H389">
        <v>58.7</v>
      </c>
      <c r="I389">
        <v>3.29414645314051</v>
      </c>
      <c r="J389" s="4">
        <f t="shared" si="74"/>
        <v>-1.9999999999999999E-6</v>
      </c>
      <c r="K389" s="9">
        <f t="shared" si="75"/>
        <v>1.94E-4</v>
      </c>
      <c r="L389" s="4">
        <f t="shared" si="76"/>
        <v>1.0304000000000001E-2</v>
      </c>
      <c r="M389" s="5">
        <f t="shared" si="77"/>
        <v>3.3285027478220686</v>
      </c>
      <c r="N389" s="2">
        <f t="shared" si="78"/>
        <v>1.042949825403318E-2</v>
      </c>
      <c r="O389">
        <f t="shared" si="79"/>
        <v>17757.8822</v>
      </c>
      <c r="P389">
        <f t="shared" ca="1" si="73"/>
        <v>17759</v>
      </c>
      <c r="Q389" t="str">
        <f t="shared" ca="1" si="80"/>
        <v>0100010101011111</v>
      </c>
      <c r="R389">
        <f t="shared" ca="1" si="81"/>
        <v>3.3298125000000001</v>
      </c>
      <c r="S389">
        <f t="shared" ca="1" si="82"/>
        <v>59.957750000000004</v>
      </c>
      <c r="T389" s="1">
        <f t="shared" ca="1" si="84"/>
        <v>2.142674616695062E-2</v>
      </c>
      <c r="V389" s="4">
        <f t="shared" ca="1" si="83"/>
        <v>1.2577499999999999</v>
      </c>
      <c r="X389" s="2"/>
    </row>
    <row r="390" spans="8:24" x14ac:dyDescent="0.25">
      <c r="H390">
        <v>58.800000000000004</v>
      </c>
      <c r="I390">
        <v>3.3023398636230676</v>
      </c>
      <c r="J390" s="4">
        <f t="shared" si="74"/>
        <v>-1.9999999999999999E-6</v>
      </c>
      <c r="K390" s="9">
        <f t="shared" si="75"/>
        <v>1.94E-4</v>
      </c>
      <c r="L390" s="4">
        <f t="shared" si="76"/>
        <v>1.0333999999999999E-2</v>
      </c>
      <c r="M390" s="5">
        <f t="shared" si="77"/>
        <v>3.3368826091338568</v>
      </c>
      <c r="N390" s="2">
        <f t="shared" si="78"/>
        <v>1.0460081922910137E-2</v>
      </c>
      <c r="O390">
        <f t="shared" si="79"/>
        <v>17802.589599999999</v>
      </c>
      <c r="P390">
        <f t="shared" ca="1" si="73"/>
        <v>17804</v>
      </c>
      <c r="Q390" t="str">
        <f t="shared" ca="1" si="80"/>
        <v>0100010110001100</v>
      </c>
      <c r="R390">
        <f t="shared" ca="1" si="81"/>
        <v>3.3382499999999999</v>
      </c>
      <c r="S390">
        <f t="shared" ca="1" si="82"/>
        <v>60.058999999999997</v>
      </c>
      <c r="T390" s="1">
        <f t="shared" ca="1" si="84"/>
        <v>2.1411564625850223E-2</v>
      </c>
      <c r="V390" s="4">
        <f t="shared" ca="1" si="83"/>
        <v>1.2589999999999999</v>
      </c>
      <c r="X390" s="2"/>
    </row>
    <row r="391" spans="8:24" x14ac:dyDescent="0.25">
      <c r="H391">
        <v>58.900000000000006</v>
      </c>
      <c r="I391">
        <v>3.3111274850314718</v>
      </c>
      <c r="J391" s="4">
        <f t="shared" si="74"/>
        <v>-9.9999999999999995E-7</v>
      </c>
      <c r="K391" s="9">
        <f t="shared" si="75"/>
        <v>1.95E-4</v>
      </c>
      <c r="L391" s="4">
        <f t="shared" si="76"/>
        <v>1.0364999999999999E-2</v>
      </c>
      <c r="M391" s="5">
        <f t="shared" si="77"/>
        <v>3.3458657826991485</v>
      </c>
      <c r="N391" s="2">
        <f t="shared" si="78"/>
        <v>1.0491380300129544E-2</v>
      </c>
      <c r="O391">
        <f t="shared" si="79"/>
        <v>17850.515599999999</v>
      </c>
      <c r="P391">
        <f t="shared" ca="1" si="73"/>
        <v>17855</v>
      </c>
      <c r="Q391" t="str">
        <f t="shared" ca="1" si="80"/>
        <v>0100010110111111</v>
      </c>
      <c r="R391">
        <f t="shared" ca="1" si="81"/>
        <v>3.3478124999999999</v>
      </c>
      <c r="S391">
        <f t="shared" ca="1" si="82"/>
        <v>60.173750000000005</v>
      </c>
      <c r="T391" s="1">
        <f t="shared" ca="1" si="84"/>
        <v>2.1625636672325969E-2</v>
      </c>
      <c r="V391" s="4">
        <f t="shared" ca="1" si="83"/>
        <v>1.2737499999999999</v>
      </c>
      <c r="X391" s="2"/>
    </row>
    <row r="392" spans="8:24" x14ac:dyDescent="0.25">
      <c r="H392">
        <v>59</v>
      </c>
      <c r="I392">
        <v>3.3199305368106602</v>
      </c>
      <c r="J392" s="4">
        <f t="shared" si="74"/>
        <v>-9.9999999999999995E-7</v>
      </c>
      <c r="K392" s="9">
        <f t="shared" si="75"/>
        <v>1.95E-4</v>
      </c>
      <c r="L392" s="4">
        <f t="shared" si="76"/>
        <v>1.0395E-2</v>
      </c>
      <c r="M392" s="5">
        <f t="shared" si="77"/>
        <v>3.3548627319997983</v>
      </c>
      <c r="N392" s="2">
        <f t="shared" si="78"/>
        <v>1.0521965686274953E-2</v>
      </c>
      <c r="O392">
        <f t="shared" si="79"/>
        <v>17898.515200000002</v>
      </c>
      <c r="P392">
        <f t="shared" ca="1" si="73"/>
        <v>17900</v>
      </c>
      <c r="Q392" t="str">
        <f t="shared" ca="1" si="80"/>
        <v>0100010111101100</v>
      </c>
      <c r="R392">
        <f t="shared" ca="1" si="81"/>
        <v>3.3562500000000002</v>
      </c>
      <c r="S392">
        <f t="shared" ca="1" si="82"/>
        <v>60.275000000000006</v>
      </c>
      <c r="T392" s="1">
        <f t="shared" ca="1" si="84"/>
        <v>2.161016949152552E-2</v>
      </c>
      <c r="V392" s="4">
        <f t="shared" ca="1" si="83"/>
        <v>1.2749999999999999</v>
      </c>
      <c r="X392" s="2"/>
    </row>
    <row r="393" spans="8:24" x14ac:dyDescent="0.25">
      <c r="H393">
        <v>59.1</v>
      </c>
      <c r="I393">
        <v>3.3293232634242127</v>
      </c>
      <c r="J393" s="4">
        <f t="shared" si="74"/>
        <v>0</v>
      </c>
      <c r="K393" s="9">
        <f t="shared" si="75"/>
        <v>1.9599999999999999E-4</v>
      </c>
      <c r="L393" s="4">
        <f t="shared" si="76"/>
        <v>1.0426E-2</v>
      </c>
      <c r="M393" s="5">
        <f t="shared" si="77"/>
        <v>3.3644585030692125</v>
      </c>
      <c r="N393" s="2">
        <f t="shared" si="78"/>
        <v>1.0553267695868958E-2</v>
      </c>
      <c r="O393">
        <f t="shared" si="79"/>
        <v>17949.709599999998</v>
      </c>
      <c r="P393">
        <f t="shared" ca="1" si="73"/>
        <v>17953</v>
      </c>
      <c r="Q393" t="str">
        <f t="shared" ca="1" si="80"/>
        <v>0100011000100001</v>
      </c>
      <c r="R393">
        <f t="shared" ca="1" si="81"/>
        <v>3.3661875000000001</v>
      </c>
      <c r="S393">
        <f t="shared" ca="1" si="82"/>
        <v>60.39425</v>
      </c>
      <c r="T393" s="1">
        <f t="shared" ca="1" si="84"/>
        <v>2.1899323181049039E-2</v>
      </c>
      <c r="V393" s="4">
        <f t="shared" ca="1" si="83"/>
        <v>1.2942499999999999</v>
      </c>
      <c r="X393" s="2"/>
    </row>
    <row r="394" spans="8:24" x14ac:dyDescent="0.25">
      <c r="H394">
        <v>59.2</v>
      </c>
      <c r="I394">
        <v>3.3381557465907719</v>
      </c>
      <c r="J394" s="4">
        <f t="shared" si="74"/>
        <v>0</v>
      </c>
      <c r="K394" s="9">
        <f t="shared" si="75"/>
        <v>1.9599999999999999E-4</v>
      </c>
      <c r="L394" s="4">
        <f t="shared" si="76"/>
        <v>1.0456E-2</v>
      </c>
      <c r="M394" s="5">
        <f t="shared" si="77"/>
        <v>3.3734863130318327</v>
      </c>
      <c r="N394" s="2">
        <f t="shared" si="78"/>
        <v>1.058385801116188E-2</v>
      </c>
      <c r="O394">
        <f t="shared" si="79"/>
        <v>17997.873800000001</v>
      </c>
      <c r="P394">
        <f t="shared" ca="1" si="73"/>
        <v>17999</v>
      </c>
      <c r="Q394" t="str">
        <f t="shared" ca="1" si="80"/>
        <v>0100011001001111</v>
      </c>
      <c r="R394">
        <f t="shared" ca="1" si="81"/>
        <v>3.3748125</v>
      </c>
      <c r="S394">
        <f t="shared" ca="1" si="82"/>
        <v>60.497750000000003</v>
      </c>
      <c r="T394" s="1">
        <f t="shared" ca="1" si="84"/>
        <v>2.1921452702702713E-2</v>
      </c>
      <c r="V394" s="4">
        <f t="shared" ca="1" si="83"/>
        <v>1.29775</v>
      </c>
      <c r="X394" s="2"/>
    </row>
    <row r="395" spans="8:24" x14ac:dyDescent="0.25">
      <c r="H395">
        <v>59.300000000000004</v>
      </c>
      <c r="I395">
        <v>3.3470033036842954</v>
      </c>
      <c r="J395" s="4">
        <f t="shared" si="74"/>
        <v>9.9999999999999995E-7</v>
      </c>
      <c r="K395" s="9">
        <f t="shared" si="75"/>
        <v>1.9699999999999999E-4</v>
      </c>
      <c r="L395" s="4">
        <f t="shared" si="76"/>
        <v>1.0487E-2</v>
      </c>
      <c r="M395" s="5">
        <f t="shared" si="77"/>
        <v>3.3825323117920587</v>
      </c>
      <c r="N395" s="2">
        <f t="shared" si="78"/>
        <v>1.0615169715743588E-2</v>
      </c>
      <c r="O395">
        <f t="shared" si="79"/>
        <v>18046.1351</v>
      </c>
      <c r="P395">
        <f t="shared" ca="1" si="73"/>
        <v>18049</v>
      </c>
      <c r="Q395" t="str">
        <f t="shared" ca="1" si="80"/>
        <v>0100011010000001</v>
      </c>
      <c r="R395">
        <f t="shared" ca="1" si="81"/>
        <v>3.3841874999999999</v>
      </c>
      <c r="S395">
        <f t="shared" ca="1" si="82"/>
        <v>60.610250000000001</v>
      </c>
      <c r="T395" s="1">
        <f t="shared" ca="1" si="84"/>
        <v>2.209527824620567E-2</v>
      </c>
      <c r="V395" s="4">
        <f t="shared" ca="1" si="83"/>
        <v>1.3102499999999999</v>
      </c>
      <c r="X395" s="2"/>
    </row>
    <row r="396" spans="8:24" x14ac:dyDescent="0.25">
      <c r="H396">
        <v>59.400000000000006</v>
      </c>
      <c r="I396">
        <v>3.3558658159750396</v>
      </c>
      <c r="J396" s="4">
        <f t="shared" si="74"/>
        <v>1.9999999999999999E-6</v>
      </c>
      <c r="K396" s="9">
        <f t="shared" si="75"/>
        <v>1.9699999999999999E-4</v>
      </c>
      <c r="L396" s="4">
        <f t="shared" si="76"/>
        <v>1.0517E-2</v>
      </c>
      <c r="M396" s="5">
        <f t="shared" si="77"/>
        <v>3.3915905639501029</v>
      </c>
      <c r="N396" s="2">
        <f t="shared" si="78"/>
        <v>1.064546377420742E-2</v>
      </c>
      <c r="O396">
        <f t="shared" si="79"/>
        <v>18094.461800000001</v>
      </c>
      <c r="P396">
        <f t="shared" ca="1" si="73"/>
        <v>18099</v>
      </c>
      <c r="Q396" t="str">
        <f t="shared" ca="1" si="80"/>
        <v>0100011010110011</v>
      </c>
      <c r="R396">
        <f t="shared" ca="1" si="81"/>
        <v>3.3935625000000003</v>
      </c>
      <c r="S396">
        <f t="shared" ca="1" si="82"/>
        <v>60.722750000000005</v>
      </c>
      <c r="T396" s="1">
        <f t="shared" ca="1" si="84"/>
        <v>2.2268518518518503E-2</v>
      </c>
      <c r="V396" s="4">
        <f t="shared" ca="1" si="83"/>
        <v>1.3227500000000001</v>
      </c>
      <c r="X396" s="2"/>
    </row>
    <row r="397" spans="8:24" x14ac:dyDescent="0.25">
      <c r="H397">
        <v>59.5</v>
      </c>
      <c r="I397">
        <v>3.3647431647405335</v>
      </c>
      <c r="J397" s="4">
        <f t="shared" si="74"/>
        <v>1.9999999999999999E-6</v>
      </c>
      <c r="K397" s="9">
        <f t="shared" si="75"/>
        <v>1.9799999999999999E-4</v>
      </c>
      <c r="L397" s="4">
        <f t="shared" si="76"/>
        <v>1.0548E-2</v>
      </c>
      <c r="M397" s="5">
        <f t="shared" si="77"/>
        <v>3.4006688075384495</v>
      </c>
      <c r="N397" s="2">
        <f t="shared" si="78"/>
        <v>1.0677083224177182E-2</v>
      </c>
      <c r="O397">
        <f t="shared" si="79"/>
        <v>18142.895100000002</v>
      </c>
      <c r="P397">
        <f t="shared" ca="1" si="73"/>
        <v>18147</v>
      </c>
      <c r="Q397" t="str">
        <f t="shared" ca="1" si="80"/>
        <v>0100011011100011</v>
      </c>
      <c r="R397">
        <f t="shared" ca="1" si="81"/>
        <v>3.4025625000000002</v>
      </c>
      <c r="S397">
        <f t="shared" ca="1" si="82"/>
        <v>60.830750000000009</v>
      </c>
      <c r="T397" s="1">
        <f t="shared" ca="1" si="84"/>
        <v>2.2365546218487548E-2</v>
      </c>
      <c r="V397" s="4">
        <f t="shared" ca="1" si="83"/>
        <v>1.3307500000000001</v>
      </c>
      <c r="X397" s="2"/>
    </row>
    <row r="398" spans="8:24" x14ac:dyDescent="0.25">
      <c r="H398">
        <v>59.6</v>
      </c>
      <c r="I398">
        <v>3.3736352308436932</v>
      </c>
      <c r="J398" s="4">
        <f t="shared" si="74"/>
        <v>3.0000000000000001E-6</v>
      </c>
      <c r="K398" s="9">
        <f t="shared" si="75"/>
        <v>1.9799999999999999E-4</v>
      </c>
      <c r="L398" s="4">
        <f t="shared" si="76"/>
        <v>1.0578000000000001E-2</v>
      </c>
      <c r="M398" s="5">
        <f t="shared" si="77"/>
        <v>3.4097580378440071</v>
      </c>
      <c r="N398" s="2">
        <f t="shared" si="78"/>
        <v>1.0707383735520258E-2</v>
      </c>
      <c r="O398">
        <f t="shared" si="79"/>
        <v>18191.386999999999</v>
      </c>
      <c r="P398">
        <f t="shared" ca="1" si="73"/>
        <v>18193</v>
      </c>
      <c r="Q398" t="str">
        <f t="shared" ca="1" si="80"/>
        <v>0100011100010001</v>
      </c>
      <c r="R398">
        <f t="shared" ca="1" si="81"/>
        <v>3.4111875</v>
      </c>
      <c r="S398">
        <f t="shared" ca="1" si="82"/>
        <v>60.934249999999999</v>
      </c>
      <c r="T398" s="1">
        <f t="shared" ca="1" si="84"/>
        <v>2.2386744966442908E-2</v>
      </c>
      <c r="V398" s="4">
        <f t="shared" ca="1" si="83"/>
        <v>1.3342499999999999</v>
      </c>
      <c r="X398" s="2"/>
    </row>
    <row r="399" spans="8:24" x14ac:dyDescent="0.25">
      <c r="H399">
        <v>59.7</v>
      </c>
      <c r="I399">
        <v>3.3825418960930556</v>
      </c>
      <c r="J399" s="4">
        <f t="shared" si="74"/>
        <v>3.0000000000000001E-6</v>
      </c>
      <c r="K399" s="9">
        <f t="shared" si="75"/>
        <v>1.9900000000000001E-4</v>
      </c>
      <c r="L399" s="4">
        <f t="shared" si="76"/>
        <v>1.0609E-2</v>
      </c>
      <c r="M399" s="5">
        <f t="shared" si="77"/>
        <v>3.4188670412112661</v>
      </c>
      <c r="N399" s="2">
        <f t="shared" si="78"/>
        <v>1.0739008187945051E-2</v>
      </c>
      <c r="O399">
        <f t="shared" si="79"/>
        <v>18239.984400000001</v>
      </c>
      <c r="P399">
        <f t="shared" ref="P399:P462" ca="1" si="85">ROUND(O399+$C$47+$C$49+RANDBETWEEN($B$45,$D$45) + 1,0)</f>
        <v>18245</v>
      </c>
      <c r="Q399" t="str">
        <f t="shared" ca="1" si="80"/>
        <v>0100011101000101</v>
      </c>
      <c r="R399">
        <f t="shared" ca="1" si="81"/>
        <v>3.4209375</v>
      </c>
      <c r="S399">
        <f t="shared" ca="1" si="82"/>
        <v>61.051250000000003</v>
      </c>
      <c r="T399" s="1">
        <f t="shared" ca="1" si="84"/>
        <v>2.2634003350083757E-2</v>
      </c>
      <c r="V399" s="4">
        <f t="shared" ca="1" si="83"/>
        <v>1.3512500000000001</v>
      </c>
      <c r="X399" s="2"/>
    </row>
    <row r="400" spans="8:24" x14ac:dyDescent="0.25">
      <c r="H400">
        <v>59.800000000000004</v>
      </c>
      <c r="I400">
        <v>3.3920299169623997</v>
      </c>
      <c r="J400" s="4">
        <f t="shared" si="74"/>
        <v>3.9999999999999998E-6</v>
      </c>
      <c r="K400" s="9">
        <f t="shared" si="75"/>
        <v>1.9900000000000001E-4</v>
      </c>
      <c r="L400" s="4">
        <f t="shared" si="76"/>
        <v>1.0638999999999999E-2</v>
      </c>
      <c r="M400" s="5">
        <f t="shared" si="77"/>
        <v>3.4285597470492566</v>
      </c>
      <c r="N400" s="2">
        <f t="shared" si="78"/>
        <v>1.0769312471032008E-2</v>
      </c>
      <c r="O400">
        <f t="shared" si="79"/>
        <v>18291.695899999999</v>
      </c>
      <c r="P400">
        <f t="shared" ca="1" si="85"/>
        <v>18292</v>
      </c>
      <c r="Q400" t="str">
        <f t="shared" ca="1" si="80"/>
        <v>0100011101110100</v>
      </c>
      <c r="R400">
        <f t="shared" ca="1" si="81"/>
        <v>3.4297499999999999</v>
      </c>
      <c r="S400">
        <f t="shared" ca="1" si="82"/>
        <v>61.156999999999996</v>
      </c>
      <c r="T400" s="1">
        <f t="shared" ca="1" si="84"/>
        <v>2.269230769230756E-2</v>
      </c>
      <c r="V400" s="4">
        <f t="shared" ca="1" si="83"/>
        <v>1.357</v>
      </c>
      <c r="X400" s="2"/>
    </row>
    <row r="401" spans="8:24" x14ac:dyDescent="0.25">
      <c r="H401">
        <v>59.900000000000006</v>
      </c>
      <c r="I401">
        <v>3.4009643580023194</v>
      </c>
      <c r="J401" s="4">
        <f t="shared" si="74"/>
        <v>3.9999999999999998E-6</v>
      </c>
      <c r="K401" s="9">
        <f t="shared" si="75"/>
        <v>2.0000000000000001E-4</v>
      </c>
      <c r="L401" s="4">
        <f t="shared" si="76"/>
        <v>1.0670000000000001E-2</v>
      </c>
      <c r="M401" s="5">
        <f t="shared" si="77"/>
        <v>3.4376979765521307</v>
      </c>
      <c r="N401" s="2">
        <f t="shared" si="78"/>
        <v>1.0800941933830823E-2</v>
      </c>
      <c r="O401">
        <f t="shared" si="79"/>
        <v>18340.449199999999</v>
      </c>
      <c r="P401">
        <f t="shared" ca="1" si="85"/>
        <v>18342</v>
      </c>
      <c r="Q401" t="str">
        <f t="shared" ca="1" si="80"/>
        <v>0100011110100110</v>
      </c>
      <c r="R401">
        <f t="shared" ca="1" si="81"/>
        <v>3.4391250000000002</v>
      </c>
      <c r="S401">
        <f t="shared" ca="1" si="82"/>
        <v>61.269500000000001</v>
      </c>
      <c r="T401" s="1">
        <f t="shared" ca="1" si="84"/>
        <v>2.2863105175292067E-2</v>
      </c>
      <c r="V401" s="4">
        <f t="shared" ca="1" si="83"/>
        <v>1.3694999999999999</v>
      </c>
      <c r="X401" s="2"/>
    </row>
    <row r="402" spans="8:24" x14ac:dyDescent="0.25">
      <c r="H402">
        <v>60</v>
      </c>
      <c r="I402">
        <v>3.4093483003812226</v>
      </c>
      <c r="J402" s="4">
        <f t="shared" si="74"/>
        <v>5.0000000000000004E-6</v>
      </c>
      <c r="K402" s="9">
        <f t="shared" si="75"/>
        <v>2.0000000000000001E-4</v>
      </c>
      <c r="L402" s="4">
        <f t="shared" si="76"/>
        <v>1.0699999999999999E-2</v>
      </c>
      <c r="M402" s="5">
        <f t="shared" si="77"/>
        <v>3.4462758311747934</v>
      </c>
      <c r="N402" s="2">
        <f t="shared" si="78"/>
        <v>1.0831257923821303E-2</v>
      </c>
      <c r="O402">
        <f t="shared" si="79"/>
        <v>18386.212899999999</v>
      </c>
      <c r="P402">
        <f t="shared" ca="1" si="85"/>
        <v>18391</v>
      </c>
      <c r="Q402" t="str">
        <f t="shared" ca="1" si="80"/>
        <v>0100011111010111</v>
      </c>
      <c r="R402">
        <f t="shared" ca="1" si="81"/>
        <v>3.4483125000000001</v>
      </c>
      <c r="S402">
        <f t="shared" ca="1" si="82"/>
        <v>61.379750000000008</v>
      </c>
      <c r="T402" s="1">
        <f t="shared" ca="1" si="84"/>
        <v>2.2995833333333476E-2</v>
      </c>
      <c r="V402" s="4">
        <f t="shared" ca="1" si="83"/>
        <v>1.37975</v>
      </c>
      <c r="X402" s="2"/>
    </row>
    <row r="403" spans="8:24" x14ac:dyDescent="0.25">
      <c r="H403">
        <v>60.1</v>
      </c>
      <c r="I403">
        <v>3.4183121766711224</v>
      </c>
      <c r="J403" s="4">
        <f t="shared" si="74"/>
        <v>6.0000000000000002E-6</v>
      </c>
      <c r="K403" s="9">
        <f t="shared" si="75"/>
        <v>2.0100000000000001E-4</v>
      </c>
      <c r="L403" s="4">
        <f t="shared" si="76"/>
        <v>1.0730999999999999E-2</v>
      </c>
      <c r="M403" s="5">
        <f t="shared" si="77"/>
        <v>3.4554439230109533</v>
      </c>
      <c r="N403" s="2">
        <f t="shared" si="78"/>
        <v>1.0862596632701671E-2</v>
      </c>
      <c r="O403">
        <f t="shared" si="79"/>
        <v>18435.125599999999</v>
      </c>
      <c r="P403">
        <f t="shared" ca="1" si="85"/>
        <v>18436</v>
      </c>
      <c r="Q403" t="str">
        <f t="shared" ca="1" si="80"/>
        <v>0100100000000100</v>
      </c>
      <c r="R403">
        <f t="shared" ca="1" si="81"/>
        <v>3.45675</v>
      </c>
      <c r="S403">
        <f t="shared" ca="1" si="82"/>
        <v>61.481000000000002</v>
      </c>
      <c r="T403" s="1">
        <f t="shared" ca="1" si="84"/>
        <v>2.2978369384359404E-2</v>
      </c>
      <c r="V403" s="4">
        <f t="shared" ca="1" si="83"/>
        <v>1.381</v>
      </c>
      <c r="X403" s="2"/>
    </row>
    <row r="404" spans="8:24" x14ac:dyDescent="0.25">
      <c r="H404">
        <v>60.2</v>
      </c>
      <c r="I404">
        <v>3.4272900606262384</v>
      </c>
      <c r="J404" s="4">
        <f t="shared" si="74"/>
        <v>6.0000000000000002E-6</v>
      </c>
      <c r="K404" s="9">
        <f t="shared" si="75"/>
        <v>2.0100000000000001E-4</v>
      </c>
      <c r="L404" s="4">
        <f t="shared" si="76"/>
        <v>1.0761E-2</v>
      </c>
      <c r="M404" s="5">
        <f t="shared" si="77"/>
        <v>3.4646242581299753</v>
      </c>
      <c r="N404" s="2">
        <f t="shared" si="78"/>
        <v>1.0893212083985431E-2</v>
      </c>
      <c r="O404">
        <f t="shared" si="79"/>
        <v>18484.103500000001</v>
      </c>
      <c r="P404">
        <f t="shared" ca="1" si="85"/>
        <v>18486</v>
      </c>
      <c r="Q404" t="str">
        <f t="shared" ca="1" si="80"/>
        <v>0100100000110110</v>
      </c>
      <c r="R404">
        <f t="shared" ca="1" si="81"/>
        <v>3.4661249999999999</v>
      </c>
      <c r="S404">
        <f t="shared" ca="1" si="82"/>
        <v>61.593500000000006</v>
      </c>
      <c r="T404" s="1">
        <f t="shared" ca="1" si="84"/>
        <v>2.3147840531561513E-2</v>
      </c>
      <c r="V404" s="4">
        <f t="shared" ca="1" si="83"/>
        <v>1.3935</v>
      </c>
      <c r="X404" s="2"/>
    </row>
    <row r="405" spans="8:24" x14ac:dyDescent="0.25">
      <c r="H405">
        <v>60.300000000000004</v>
      </c>
      <c r="I405">
        <v>3.4357202847119268</v>
      </c>
      <c r="J405" s="4">
        <f t="shared" si="74"/>
        <v>6.9999999999999999E-6</v>
      </c>
      <c r="K405" s="9">
        <f t="shared" si="75"/>
        <v>2.02E-4</v>
      </c>
      <c r="L405" s="4">
        <f t="shared" si="76"/>
        <v>1.0792E-2</v>
      </c>
      <c r="M405" s="5">
        <f t="shared" si="77"/>
        <v>3.4732540161178709</v>
      </c>
      <c r="N405" s="2">
        <f t="shared" si="78"/>
        <v>1.0924559712546897E-2</v>
      </c>
      <c r="O405">
        <f t="shared" si="79"/>
        <v>18530.144100000001</v>
      </c>
      <c r="P405">
        <f t="shared" ca="1" si="85"/>
        <v>18529</v>
      </c>
      <c r="Q405" t="str">
        <f t="shared" ca="1" si="80"/>
        <v>0100100001100001</v>
      </c>
      <c r="R405">
        <f t="shared" ca="1" si="81"/>
        <v>3.4741875000000002</v>
      </c>
      <c r="S405">
        <f t="shared" ca="1" si="82"/>
        <v>61.690250000000006</v>
      </c>
      <c r="T405" s="1">
        <f t="shared" ca="1" si="84"/>
        <v>2.3055555555555583E-2</v>
      </c>
      <c r="V405" s="4">
        <f t="shared" ca="1" si="83"/>
        <v>1.39025</v>
      </c>
      <c r="X405" s="2"/>
    </row>
    <row r="406" spans="8:24" x14ac:dyDescent="0.25">
      <c r="H406">
        <v>60.400000000000006</v>
      </c>
      <c r="I406">
        <v>3.4441664061948356</v>
      </c>
      <c r="J406" s="4">
        <f t="shared" si="74"/>
        <v>6.9999999999999999E-6</v>
      </c>
      <c r="K406" s="9">
        <f t="shared" si="75"/>
        <v>2.02E-4</v>
      </c>
      <c r="L406" s="4">
        <f t="shared" si="76"/>
        <v>1.0822E-2</v>
      </c>
      <c r="M406" s="5">
        <f t="shared" si="77"/>
        <v>3.4818978773474902</v>
      </c>
      <c r="N406" s="2">
        <f t="shared" si="78"/>
        <v>1.0955182387468001E-2</v>
      </c>
      <c r="O406">
        <f t="shared" si="79"/>
        <v>18576.259999999998</v>
      </c>
      <c r="P406">
        <f t="shared" ca="1" si="85"/>
        <v>18581</v>
      </c>
      <c r="Q406" t="str">
        <f t="shared" ca="1" si="80"/>
        <v>0100100010010101</v>
      </c>
      <c r="R406">
        <f t="shared" ca="1" si="81"/>
        <v>3.4839375000000001</v>
      </c>
      <c r="S406">
        <f t="shared" ca="1" si="82"/>
        <v>61.807250000000003</v>
      </c>
      <c r="T406" s="1">
        <f t="shared" ca="1" si="84"/>
        <v>2.3298841059602608E-2</v>
      </c>
      <c r="V406" s="4">
        <f t="shared" ca="1" si="83"/>
        <v>1.4072499999999999</v>
      </c>
      <c r="X406" s="2"/>
    </row>
    <row r="407" spans="8:24" x14ac:dyDescent="0.25">
      <c r="H407">
        <v>60.5</v>
      </c>
      <c r="I407">
        <v>3.4531877270566667</v>
      </c>
      <c r="J407" s="4">
        <f t="shared" si="74"/>
        <v>7.9999999999999996E-6</v>
      </c>
      <c r="K407" s="9">
        <f t="shared" si="75"/>
        <v>2.03E-4</v>
      </c>
      <c r="L407" s="4">
        <f t="shared" si="76"/>
        <v>1.0853E-2</v>
      </c>
      <c r="M407" s="5">
        <f t="shared" si="77"/>
        <v>3.4911262912212915</v>
      </c>
      <c r="N407" s="2">
        <f t="shared" si="78"/>
        <v>1.0986533940036285E-2</v>
      </c>
      <c r="O407">
        <f t="shared" si="79"/>
        <v>18625.4944</v>
      </c>
      <c r="P407">
        <f t="shared" ca="1" si="85"/>
        <v>18624</v>
      </c>
      <c r="Q407" t="str">
        <f t="shared" ca="1" si="80"/>
        <v>0100100011000000</v>
      </c>
      <c r="R407">
        <f t="shared" ca="1" si="81"/>
        <v>3.492</v>
      </c>
      <c r="S407">
        <f t="shared" ca="1" si="82"/>
        <v>61.904000000000003</v>
      </c>
      <c r="T407" s="1">
        <f t="shared" ca="1" si="84"/>
        <v>2.320661157024799E-2</v>
      </c>
      <c r="V407" s="4">
        <f t="shared" ca="1" si="83"/>
        <v>1.4039999999999999</v>
      </c>
      <c r="X407" s="2"/>
    </row>
    <row r="408" spans="8:24" x14ac:dyDescent="0.25">
      <c r="H408">
        <v>60.6</v>
      </c>
      <c r="I408">
        <v>3.4622225823378203</v>
      </c>
      <c r="J408" s="4">
        <f t="shared" si="74"/>
        <v>7.9999999999999996E-6</v>
      </c>
      <c r="K408" s="9">
        <f t="shared" si="75"/>
        <v>2.03E-4</v>
      </c>
      <c r="L408" s="4">
        <f t="shared" si="76"/>
        <v>1.0883E-2</v>
      </c>
      <c r="M408" s="5">
        <f t="shared" si="77"/>
        <v>3.5003664390803317</v>
      </c>
      <c r="N408" s="2">
        <f t="shared" si="78"/>
        <v>1.1017159017186954E-2</v>
      </c>
      <c r="O408">
        <f t="shared" si="79"/>
        <v>18674.791499999999</v>
      </c>
      <c r="P408">
        <f t="shared" ca="1" si="85"/>
        <v>18674</v>
      </c>
      <c r="Q408" t="str">
        <f t="shared" ca="1" si="80"/>
        <v>0100100011110010</v>
      </c>
      <c r="R408">
        <f t="shared" ca="1" si="81"/>
        <v>3.5013749999999999</v>
      </c>
      <c r="S408">
        <f t="shared" ca="1" si="82"/>
        <v>62.016500000000001</v>
      </c>
      <c r="T408" s="1">
        <f t="shared" ca="1" si="84"/>
        <v>2.3374587458745859E-2</v>
      </c>
      <c r="V408" s="4">
        <f t="shared" ca="1" si="83"/>
        <v>1.4165000000000001</v>
      </c>
      <c r="X408" s="2"/>
    </row>
    <row r="409" spans="8:24" x14ac:dyDescent="0.25">
      <c r="H409">
        <v>60.7</v>
      </c>
      <c r="I409">
        <v>3.4707135522888941</v>
      </c>
      <c r="J409" s="4">
        <f t="shared" si="74"/>
        <v>9.0000000000000002E-6</v>
      </c>
      <c r="K409" s="9">
        <f t="shared" si="75"/>
        <v>2.04E-4</v>
      </c>
      <c r="L409" s="4">
        <f t="shared" si="76"/>
        <v>1.0914E-2</v>
      </c>
      <c r="M409" s="5">
        <f t="shared" si="77"/>
        <v>3.5090597979112981</v>
      </c>
      <c r="N409" s="2">
        <f t="shared" si="78"/>
        <v>1.1048519287082932E-2</v>
      </c>
      <c r="O409">
        <f t="shared" si="79"/>
        <v>18721.171399999999</v>
      </c>
      <c r="P409">
        <f t="shared" ca="1" si="85"/>
        <v>18720</v>
      </c>
      <c r="Q409" t="str">
        <f t="shared" ca="1" si="80"/>
        <v>0100100100100000</v>
      </c>
      <c r="R409">
        <f t="shared" ca="1" si="81"/>
        <v>3.5100000000000002</v>
      </c>
      <c r="S409">
        <f t="shared" ca="1" si="82"/>
        <v>62.120000000000005</v>
      </c>
      <c r="T409" s="1">
        <f t="shared" ca="1" si="84"/>
        <v>2.3393739703459666E-2</v>
      </c>
      <c r="V409" s="4">
        <f t="shared" ca="1" si="83"/>
        <v>1.42</v>
      </c>
      <c r="X409" s="2"/>
    </row>
    <row r="410" spans="8:24" x14ac:dyDescent="0.25">
      <c r="H410">
        <v>60.800000000000004</v>
      </c>
      <c r="I410">
        <v>3.4803324258001069</v>
      </c>
      <c r="J410" s="4">
        <f t="shared" si="74"/>
        <v>1.0000000000000001E-5</v>
      </c>
      <c r="K410" s="9">
        <f t="shared" si="75"/>
        <v>2.04E-4</v>
      </c>
      <c r="L410" s="4">
        <f t="shared" si="76"/>
        <v>1.0944000000000001E-2</v>
      </c>
      <c r="M410" s="5">
        <f t="shared" si="77"/>
        <v>3.518890528997455</v>
      </c>
      <c r="N410" s="2">
        <f t="shared" si="78"/>
        <v>1.1078856407943222E-2</v>
      </c>
      <c r="O410">
        <f t="shared" si="79"/>
        <v>18773.619299999998</v>
      </c>
      <c r="P410">
        <f t="shared" ca="1" si="85"/>
        <v>18777</v>
      </c>
      <c r="Q410" t="str">
        <f t="shared" ca="1" si="80"/>
        <v>0100100101011001</v>
      </c>
      <c r="R410">
        <f t="shared" ca="1" si="81"/>
        <v>3.5206875000000002</v>
      </c>
      <c r="S410">
        <f t="shared" ca="1" si="82"/>
        <v>62.248250000000006</v>
      </c>
      <c r="T410" s="1">
        <f t="shared" ca="1" si="84"/>
        <v>2.38199013157895E-2</v>
      </c>
      <c r="V410" s="4">
        <f t="shared" ca="1" si="83"/>
        <v>1.44825</v>
      </c>
      <c r="X410" s="2"/>
    </row>
    <row r="411" spans="8:24" x14ac:dyDescent="0.25">
      <c r="H411">
        <v>60.900000000000006</v>
      </c>
      <c r="I411">
        <v>3.488851993520766</v>
      </c>
      <c r="J411" s="4">
        <f t="shared" si="74"/>
        <v>1.0000000000000001E-5</v>
      </c>
      <c r="K411" s="9">
        <f t="shared" si="75"/>
        <v>2.05E-4</v>
      </c>
      <c r="L411" s="4">
        <f t="shared" si="76"/>
        <v>1.0975E-2</v>
      </c>
      <c r="M411" s="5">
        <f t="shared" si="77"/>
        <v>3.5276149308366986</v>
      </c>
      <c r="N411" s="2">
        <f t="shared" si="78"/>
        <v>1.1110513540820943E-2</v>
      </c>
      <c r="O411">
        <f t="shared" si="79"/>
        <v>18820.164799999999</v>
      </c>
      <c r="P411">
        <f t="shared" ca="1" si="85"/>
        <v>18822</v>
      </c>
      <c r="Q411" t="str">
        <f t="shared" ca="1" si="80"/>
        <v>0100100110000110</v>
      </c>
      <c r="R411">
        <f t="shared" ca="1" si="81"/>
        <v>3.5291250000000001</v>
      </c>
      <c r="S411">
        <f t="shared" ca="1" si="82"/>
        <v>62.349499999999999</v>
      </c>
      <c r="T411" s="1">
        <f t="shared" ca="1" si="84"/>
        <v>2.3801313628899725E-2</v>
      </c>
      <c r="V411" s="4">
        <f t="shared" ca="1" si="83"/>
        <v>1.4495</v>
      </c>
      <c r="X411" s="2"/>
    </row>
    <row r="412" spans="8:24" x14ac:dyDescent="0.25">
      <c r="H412">
        <v>61</v>
      </c>
      <c r="I412">
        <v>3.4979408687242635</v>
      </c>
      <c r="J412" s="4">
        <f t="shared" si="74"/>
        <v>1.1E-5</v>
      </c>
      <c r="K412" s="9">
        <f t="shared" si="75"/>
        <v>2.05E-4</v>
      </c>
      <c r="L412" s="4">
        <f t="shared" si="76"/>
        <v>1.1004999999999999E-2</v>
      </c>
      <c r="M412" s="5">
        <f t="shared" si="77"/>
        <v>3.5369109352769867</v>
      </c>
      <c r="N412" s="2">
        <f t="shared" si="78"/>
        <v>1.1140859155499699E-2</v>
      </c>
      <c r="O412">
        <f t="shared" si="79"/>
        <v>18869.759900000001</v>
      </c>
      <c r="P412">
        <f t="shared" ca="1" si="85"/>
        <v>18873</v>
      </c>
      <c r="Q412" t="str">
        <f t="shared" ca="1" si="80"/>
        <v>0100100110111001</v>
      </c>
      <c r="R412">
        <f t="shared" ca="1" si="81"/>
        <v>3.5386875</v>
      </c>
      <c r="S412">
        <f t="shared" ca="1" si="82"/>
        <v>62.464250000000007</v>
      </c>
      <c r="T412" s="1">
        <f t="shared" ca="1" si="84"/>
        <v>2.400409836065585E-2</v>
      </c>
      <c r="V412" s="4">
        <f t="shared" ca="1" si="83"/>
        <v>1.4642500000000001</v>
      </c>
      <c r="X412" s="2"/>
    </row>
    <row r="413" spans="8:24" x14ac:dyDescent="0.25">
      <c r="H413">
        <v>61.1</v>
      </c>
      <c r="I413">
        <v>3.5064896200434239</v>
      </c>
      <c r="J413" s="4">
        <f t="shared" si="74"/>
        <v>1.1E-5</v>
      </c>
      <c r="K413" s="9">
        <f t="shared" si="75"/>
        <v>2.0599999999999999E-4</v>
      </c>
      <c r="L413" s="4">
        <f t="shared" si="76"/>
        <v>1.1036000000000001E-2</v>
      </c>
      <c r="M413" s="5">
        <f t="shared" si="77"/>
        <v>3.545665949372701</v>
      </c>
      <c r="N413" s="2">
        <f t="shared" si="78"/>
        <v>1.117252111779869E-2</v>
      </c>
      <c r="O413">
        <f t="shared" si="79"/>
        <v>18916.468700000001</v>
      </c>
      <c r="P413">
        <f t="shared" ca="1" si="85"/>
        <v>18916</v>
      </c>
      <c r="Q413" t="str">
        <f t="shared" ca="1" si="80"/>
        <v>0100100111100100</v>
      </c>
      <c r="R413">
        <f t="shared" ca="1" si="81"/>
        <v>3.5467500000000003</v>
      </c>
      <c r="S413">
        <f t="shared" ca="1" si="82"/>
        <v>62.561000000000007</v>
      </c>
      <c r="T413" s="1">
        <f t="shared" ca="1" si="84"/>
        <v>2.391162029459911E-2</v>
      </c>
      <c r="V413" s="4">
        <f t="shared" ca="1" si="83"/>
        <v>1.4610000000000001</v>
      </c>
      <c r="X413" s="2"/>
    </row>
    <row r="414" spans="8:24" x14ac:dyDescent="0.25">
      <c r="H414">
        <v>61.2</v>
      </c>
      <c r="I414">
        <v>3.5156053277026862</v>
      </c>
      <c r="J414" s="4">
        <f t="shared" si="74"/>
        <v>1.2E-5</v>
      </c>
      <c r="K414" s="9">
        <f t="shared" si="75"/>
        <v>2.0599999999999999E-4</v>
      </c>
      <c r="L414" s="4">
        <f t="shared" si="76"/>
        <v>1.1065999999999999E-2</v>
      </c>
      <c r="M414" s="5">
        <f t="shared" si="77"/>
        <v>3.5549902075110031</v>
      </c>
      <c r="N414" s="2">
        <f t="shared" si="78"/>
        <v>1.1202872944231617E-2</v>
      </c>
      <c r="O414">
        <f t="shared" si="79"/>
        <v>18966.214599999999</v>
      </c>
      <c r="P414">
        <f t="shared" ca="1" si="85"/>
        <v>18970</v>
      </c>
      <c r="Q414" t="str">
        <f t="shared" ca="1" si="80"/>
        <v>0100101000011010</v>
      </c>
      <c r="R414">
        <f t="shared" ca="1" si="81"/>
        <v>3.5568750000000002</v>
      </c>
      <c r="S414">
        <f t="shared" ca="1" si="82"/>
        <v>62.682500000000005</v>
      </c>
      <c r="T414" s="1">
        <f t="shared" ca="1" si="84"/>
        <v>2.4223856209150355E-2</v>
      </c>
      <c r="V414" s="4">
        <f t="shared" ca="1" si="83"/>
        <v>1.4824999999999999</v>
      </c>
      <c r="X414" s="2"/>
    </row>
    <row r="415" spans="8:24" x14ac:dyDescent="0.25">
      <c r="H415">
        <v>61.300000000000004</v>
      </c>
      <c r="I415">
        <v>3.5241827878759886</v>
      </c>
      <c r="J415" s="4">
        <f t="shared" si="74"/>
        <v>1.2E-5</v>
      </c>
      <c r="K415" s="9">
        <f t="shared" si="75"/>
        <v>2.0699999999999999E-4</v>
      </c>
      <c r="L415" s="4">
        <f t="shared" si="76"/>
        <v>1.1096999999999999E-2</v>
      </c>
      <c r="M415" s="5">
        <f t="shared" si="77"/>
        <v>3.5637753594133992</v>
      </c>
      <c r="N415" s="2">
        <f t="shared" si="78"/>
        <v>1.1234539727513076E-2</v>
      </c>
      <c r="O415">
        <f t="shared" si="79"/>
        <v>19013.084200000001</v>
      </c>
      <c r="P415">
        <f t="shared" ca="1" si="85"/>
        <v>19014</v>
      </c>
      <c r="Q415" t="str">
        <f t="shared" ca="1" si="80"/>
        <v>0100101001000110</v>
      </c>
      <c r="R415">
        <f t="shared" ca="1" si="81"/>
        <v>3.5651250000000001</v>
      </c>
      <c r="S415">
        <f t="shared" ca="1" si="82"/>
        <v>62.781500000000008</v>
      </c>
      <c r="T415" s="1">
        <f t="shared" ca="1" si="84"/>
        <v>2.4168026101141989E-2</v>
      </c>
      <c r="V415" s="4">
        <f t="shared" ca="1" si="83"/>
        <v>1.4815</v>
      </c>
      <c r="X415" s="2"/>
    </row>
    <row r="416" spans="8:24" x14ac:dyDescent="0.25">
      <c r="H416">
        <v>61.400000000000006</v>
      </c>
      <c r="I416">
        <v>3.5327749518205267</v>
      </c>
      <c r="J416" s="4">
        <f t="shared" si="74"/>
        <v>1.2999999999999999E-5</v>
      </c>
      <c r="K416" s="9">
        <f t="shared" si="75"/>
        <v>2.0699999999999999E-4</v>
      </c>
      <c r="L416" s="4">
        <f t="shared" si="76"/>
        <v>1.1127E-2</v>
      </c>
      <c r="M416" s="5">
        <f t="shared" si="77"/>
        <v>3.5725713073918763</v>
      </c>
      <c r="N416" s="2">
        <f t="shared" si="78"/>
        <v>1.1264899721631458E-2</v>
      </c>
      <c r="O416">
        <f t="shared" si="79"/>
        <v>19060.011399999999</v>
      </c>
      <c r="P416">
        <f t="shared" ca="1" si="85"/>
        <v>19065</v>
      </c>
      <c r="Q416" t="str">
        <f t="shared" ca="1" si="80"/>
        <v>0100101001111001</v>
      </c>
      <c r="R416">
        <f t="shared" ca="1" si="81"/>
        <v>3.5746875</v>
      </c>
      <c r="S416">
        <f t="shared" ca="1" si="82"/>
        <v>62.896250000000002</v>
      </c>
      <c r="T416" s="1">
        <f t="shared" ca="1" si="84"/>
        <v>2.436889250814326E-2</v>
      </c>
      <c r="V416" s="4">
        <f t="shared" ca="1" si="83"/>
        <v>1.4962500000000001</v>
      </c>
      <c r="X416" s="2"/>
    </row>
    <row r="417" spans="8:24" x14ac:dyDescent="0.25">
      <c r="H417">
        <v>61.5</v>
      </c>
      <c r="I417">
        <v>3.5419305523743048</v>
      </c>
      <c r="J417" s="4">
        <f t="shared" si="74"/>
        <v>1.4E-5</v>
      </c>
      <c r="K417" s="9">
        <f t="shared" si="75"/>
        <v>2.0799999999999999E-4</v>
      </c>
      <c r="L417" s="4">
        <f t="shared" si="76"/>
        <v>1.1158E-2</v>
      </c>
      <c r="M417" s="5">
        <f t="shared" si="77"/>
        <v>3.5819412051776771</v>
      </c>
      <c r="N417" s="2">
        <f t="shared" si="78"/>
        <v>1.1296283823676759E-2</v>
      </c>
      <c r="O417">
        <f t="shared" si="79"/>
        <v>19110.000700000001</v>
      </c>
      <c r="P417">
        <f t="shared" ca="1" si="85"/>
        <v>19112</v>
      </c>
      <c r="Q417" t="str">
        <f t="shared" ca="1" si="80"/>
        <v>0100101010101000</v>
      </c>
      <c r="R417">
        <f t="shared" ca="1" si="81"/>
        <v>3.5834999999999999</v>
      </c>
      <c r="S417">
        <f t="shared" ca="1" si="82"/>
        <v>63.002000000000002</v>
      </c>
      <c r="T417" s="1">
        <f t="shared" ca="1" si="84"/>
        <v>2.4422764227642318E-2</v>
      </c>
      <c r="V417" s="4">
        <f t="shared" ca="1" si="83"/>
        <v>1.502</v>
      </c>
      <c r="X417" s="2"/>
    </row>
    <row r="418" spans="8:24" x14ac:dyDescent="0.25">
      <c r="H418">
        <v>61.6</v>
      </c>
      <c r="I418">
        <v>3.5505507140238715</v>
      </c>
      <c r="J418" s="4">
        <f t="shared" si="74"/>
        <v>1.4E-5</v>
      </c>
      <c r="K418" s="9">
        <f t="shared" si="75"/>
        <v>2.0799999999999999E-4</v>
      </c>
      <c r="L418" s="4">
        <f t="shared" si="76"/>
        <v>1.1188E-2</v>
      </c>
      <c r="M418" s="5">
        <f t="shared" si="77"/>
        <v>3.590767572723502</v>
      </c>
      <c r="N418" s="2">
        <f t="shared" si="78"/>
        <v>1.1326935435898172E-2</v>
      </c>
      <c r="O418">
        <f t="shared" si="79"/>
        <v>19157.090199999999</v>
      </c>
      <c r="P418">
        <f t="shared" ca="1" si="85"/>
        <v>19161</v>
      </c>
      <c r="Q418" t="str">
        <f t="shared" ca="1" si="80"/>
        <v>0100101011011001</v>
      </c>
      <c r="R418">
        <f t="shared" ca="1" si="81"/>
        <v>3.5926875000000003</v>
      </c>
      <c r="S418">
        <f t="shared" ca="1" si="82"/>
        <v>63.11225000000001</v>
      </c>
      <c r="T418" s="1">
        <f t="shared" ca="1" si="84"/>
        <v>2.454951298701313E-2</v>
      </c>
      <c r="V418" s="4">
        <f t="shared" ca="1" si="83"/>
        <v>1.5122500000000001</v>
      </c>
      <c r="X418" s="2"/>
    </row>
    <row r="419" spans="8:24" x14ac:dyDescent="0.25">
      <c r="H419">
        <v>61.7</v>
      </c>
      <c r="I419">
        <v>3.5597319716802804</v>
      </c>
      <c r="J419" s="4">
        <f t="shared" si="74"/>
        <v>1.5E-5</v>
      </c>
      <c r="K419" s="9">
        <f t="shared" si="75"/>
        <v>2.0900000000000001E-4</v>
      </c>
      <c r="L419" s="4">
        <f t="shared" si="76"/>
        <v>1.1219E-2</v>
      </c>
      <c r="M419" s="5">
        <f t="shared" si="77"/>
        <v>3.6001645672583522</v>
      </c>
      <c r="N419" s="2">
        <f t="shared" si="78"/>
        <v>1.1358325823330625E-2</v>
      </c>
      <c r="O419">
        <f t="shared" si="79"/>
        <v>19207.224099999999</v>
      </c>
      <c r="P419">
        <f t="shared" ca="1" si="85"/>
        <v>19211</v>
      </c>
      <c r="Q419" t="str">
        <f t="shared" ca="1" si="80"/>
        <v>0100101100001011</v>
      </c>
      <c r="R419">
        <f t="shared" ca="1" si="81"/>
        <v>3.6020625000000002</v>
      </c>
      <c r="S419">
        <f t="shared" ca="1" si="82"/>
        <v>63.22475</v>
      </c>
      <c r="T419" s="1">
        <f t="shared" ca="1" si="84"/>
        <v>2.4712317666126374E-2</v>
      </c>
      <c r="V419" s="4">
        <f t="shared" ca="1" si="83"/>
        <v>1.52475</v>
      </c>
      <c r="X419" s="2"/>
    </row>
    <row r="420" spans="8:24" x14ac:dyDescent="0.25">
      <c r="H420">
        <v>61.800000000000004</v>
      </c>
      <c r="I420">
        <v>3.5678339612738821</v>
      </c>
      <c r="J420" s="4">
        <f t="shared" si="74"/>
        <v>1.5E-5</v>
      </c>
      <c r="K420" s="9">
        <f t="shared" si="75"/>
        <v>2.0900000000000001E-4</v>
      </c>
      <c r="L420" s="4">
        <f t="shared" si="76"/>
        <v>1.1249E-2</v>
      </c>
      <c r="M420" s="5">
        <f t="shared" si="77"/>
        <v>3.6084679649698277</v>
      </c>
      <c r="N420" s="2">
        <f t="shared" si="78"/>
        <v>1.1388983942917956E-2</v>
      </c>
      <c r="O420">
        <f t="shared" si="79"/>
        <v>19251.523499999999</v>
      </c>
      <c r="P420">
        <f t="shared" ca="1" si="85"/>
        <v>19255</v>
      </c>
      <c r="Q420" t="str">
        <f t="shared" ca="1" si="80"/>
        <v>0100101100110111</v>
      </c>
      <c r="R420">
        <f t="shared" ca="1" si="81"/>
        <v>3.6103125</v>
      </c>
      <c r="S420">
        <f t="shared" ca="1" si="82"/>
        <v>63.323750000000004</v>
      </c>
      <c r="T420" s="1">
        <f t="shared" ca="1" si="84"/>
        <v>2.4656148867313911E-2</v>
      </c>
      <c r="V420" s="4">
        <f t="shared" ca="1" si="83"/>
        <v>1.5237499999999999</v>
      </c>
      <c r="X420" s="2"/>
    </row>
    <row r="421" spans="8:24" x14ac:dyDescent="0.25">
      <c r="H421">
        <v>61.900000000000006</v>
      </c>
      <c r="I421">
        <v>3.576496809727634</v>
      </c>
      <c r="J421" s="4">
        <f t="shared" si="74"/>
        <v>1.5999999999999999E-5</v>
      </c>
      <c r="K421" s="9">
        <f t="shared" si="75"/>
        <v>2.1000000000000001E-4</v>
      </c>
      <c r="L421" s="4">
        <f t="shared" si="76"/>
        <v>1.128E-2</v>
      </c>
      <c r="M421" s="5">
        <f t="shared" si="77"/>
        <v>3.6173417706606865</v>
      </c>
      <c r="N421" s="2">
        <f t="shared" si="78"/>
        <v>1.1420382319916871E-2</v>
      </c>
      <c r="O421">
        <f t="shared" si="79"/>
        <v>19298.866099999999</v>
      </c>
      <c r="P421">
        <f t="shared" ca="1" si="85"/>
        <v>19302</v>
      </c>
      <c r="Q421" t="str">
        <f t="shared" ca="1" si="80"/>
        <v>0100101101100110</v>
      </c>
      <c r="R421">
        <f t="shared" ca="1" si="81"/>
        <v>3.6191249999999999</v>
      </c>
      <c r="S421">
        <f t="shared" ca="1" si="82"/>
        <v>63.429499999999997</v>
      </c>
      <c r="T421" s="1">
        <f t="shared" ca="1" si="84"/>
        <v>2.4709208400646065E-2</v>
      </c>
      <c r="V421" s="4">
        <f t="shared" ca="1" si="83"/>
        <v>1.5295000000000001</v>
      </c>
      <c r="X421" s="2"/>
    </row>
    <row r="422" spans="8:24" x14ac:dyDescent="0.25">
      <c r="H422">
        <v>62</v>
      </c>
      <c r="I422">
        <v>3.5851736495232687</v>
      </c>
      <c r="J422" s="4">
        <f t="shared" si="74"/>
        <v>1.7E-5</v>
      </c>
      <c r="K422" s="9">
        <f t="shared" si="75"/>
        <v>2.1000000000000001E-4</v>
      </c>
      <c r="L422" s="4">
        <f t="shared" si="76"/>
        <v>1.1310000000000001E-2</v>
      </c>
      <c r="M422" s="5">
        <f t="shared" si="77"/>
        <v>3.6262266165767518</v>
      </c>
      <c r="N422" s="2">
        <f t="shared" si="78"/>
        <v>1.1450761125320135E-2</v>
      </c>
      <c r="O422">
        <f t="shared" si="79"/>
        <v>19346.2677</v>
      </c>
      <c r="P422">
        <f t="shared" ca="1" si="85"/>
        <v>19351</v>
      </c>
      <c r="Q422" t="str">
        <f t="shared" ca="1" si="80"/>
        <v>0100101110010111</v>
      </c>
      <c r="R422">
        <f t="shared" ca="1" si="81"/>
        <v>3.6283125000000003</v>
      </c>
      <c r="S422">
        <f t="shared" ca="1" si="82"/>
        <v>63.539750000000005</v>
      </c>
      <c r="T422" s="1">
        <f t="shared" ca="1" si="84"/>
        <v>2.4834677419354922E-2</v>
      </c>
      <c r="V422" s="4">
        <f t="shared" ca="1" si="83"/>
        <v>1.53975</v>
      </c>
      <c r="X422" s="2"/>
    </row>
    <row r="423" spans="8:24" x14ac:dyDescent="0.25">
      <c r="H423">
        <v>62.1</v>
      </c>
      <c r="I423">
        <v>3.5944069125081168</v>
      </c>
      <c r="J423" s="4">
        <f t="shared" si="74"/>
        <v>1.7E-5</v>
      </c>
      <c r="K423" s="9">
        <f t="shared" si="75"/>
        <v>2.1100000000000001E-4</v>
      </c>
      <c r="L423" s="4">
        <f t="shared" si="76"/>
        <v>1.1341E-2</v>
      </c>
      <c r="M423" s="5">
        <f t="shared" si="77"/>
        <v>3.6356794958930401</v>
      </c>
      <c r="N423" s="2">
        <f t="shared" si="78"/>
        <v>1.1482446030609238E-2</v>
      </c>
      <c r="O423">
        <f t="shared" si="79"/>
        <v>19396.699700000001</v>
      </c>
      <c r="P423">
        <f t="shared" ca="1" si="85"/>
        <v>19401</v>
      </c>
      <c r="Q423" t="str">
        <f t="shared" ca="1" si="80"/>
        <v>0100101111001001</v>
      </c>
      <c r="R423">
        <f t="shared" ca="1" si="81"/>
        <v>3.6376875000000002</v>
      </c>
      <c r="S423">
        <f t="shared" ca="1" si="82"/>
        <v>63.652250000000009</v>
      </c>
      <c r="T423" s="1">
        <f t="shared" ca="1" si="84"/>
        <v>2.4995974235104797E-2</v>
      </c>
      <c r="V423" s="4">
        <f t="shared" ca="1" si="83"/>
        <v>1.5522499999999999</v>
      </c>
      <c r="X423" s="2"/>
    </row>
    <row r="424" spans="8:24" x14ac:dyDescent="0.25">
      <c r="H424">
        <v>62.2</v>
      </c>
      <c r="I424">
        <v>3.6031103334644881</v>
      </c>
      <c r="J424" s="4">
        <f t="shared" si="74"/>
        <v>1.8E-5</v>
      </c>
      <c r="K424" s="9">
        <f t="shared" si="75"/>
        <v>2.1100000000000001E-4</v>
      </c>
      <c r="L424" s="4">
        <f t="shared" si="76"/>
        <v>1.1370999999999999E-2</v>
      </c>
      <c r="M424" s="5">
        <f t="shared" si="77"/>
        <v>3.6445923333692298</v>
      </c>
      <c r="N424" s="2">
        <f t="shared" si="78"/>
        <v>1.1512830878219516E-2</v>
      </c>
      <c r="O424">
        <f t="shared" si="79"/>
        <v>19444.250499999998</v>
      </c>
      <c r="P424">
        <f t="shared" ca="1" si="85"/>
        <v>19448</v>
      </c>
      <c r="Q424" t="str">
        <f t="shared" ca="1" si="80"/>
        <v>0100101111111000</v>
      </c>
      <c r="R424">
        <f t="shared" ca="1" si="81"/>
        <v>3.6465000000000001</v>
      </c>
      <c r="S424">
        <f t="shared" ca="1" si="82"/>
        <v>63.758000000000003</v>
      </c>
      <c r="T424" s="1">
        <f t="shared" ca="1" si="84"/>
        <v>2.5048231511254015E-2</v>
      </c>
      <c r="V424" s="4">
        <f t="shared" ca="1" si="83"/>
        <v>1.5580000000000001</v>
      </c>
      <c r="X424" s="2"/>
    </row>
    <row r="425" spans="8:24" x14ac:dyDescent="0.25">
      <c r="H425">
        <v>62.300000000000004</v>
      </c>
      <c r="I425">
        <v>3.6112869353161594</v>
      </c>
      <c r="J425" s="4">
        <f t="shared" si="74"/>
        <v>1.8E-5</v>
      </c>
      <c r="K425" s="9">
        <f t="shared" si="75"/>
        <v>2.12E-4</v>
      </c>
      <c r="L425" s="4">
        <f t="shared" si="76"/>
        <v>1.1402000000000001E-2</v>
      </c>
      <c r="M425" s="5">
        <f t="shared" si="77"/>
        <v>3.6529775237256801</v>
      </c>
      <c r="N425" s="2">
        <f t="shared" si="78"/>
        <v>1.1544523920769746E-2</v>
      </c>
      <c r="O425">
        <f t="shared" si="79"/>
        <v>19488.9863</v>
      </c>
      <c r="P425">
        <f t="shared" ca="1" si="85"/>
        <v>19489</v>
      </c>
      <c r="Q425" t="str">
        <f t="shared" ca="1" si="80"/>
        <v>0100110000100001</v>
      </c>
      <c r="R425">
        <f t="shared" ca="1" si="81"/>
        <v>3.6541874999999999</v>
      </c>
      <c r="S425">
        <f t="shared" ca="1" si="82"/>
        <v>63.850250000000003</v>
      </c>
      <c r="T425" s="1">
        <f t="shared" ca="1" si="84"/>
        <v>2.488362760834668E-2</v>
      </c>
      <c r="V425" s="4">
        <f t="shared" ca="1" si="83"/>
        <v>1.5502499999999999</v>
      </c>
      <c r="X425" s="2"/>
    </row>
    <row r="426" spans="8:24" x14ac:dyDescent="0.25">
      <c r="H426">
        <v>62.400000000000006</v>
      </c>
      <c r="I426">
        <v>3.6200185587539888</v>
      </c>
      <c r="J426" s="4">
        <f t="shared" si="74"/>
        <v>1.9000000000000001E-5</v>
      </c>
      <c r="K426" s="9">
        <f t="shared" si="75"/>
        <v>2.12E-4</v>
      </c>
      <c r="L426" s="4">
        <f t="shared" si="76"/>
        <v>1.1431999999999999E-2</v>
      </c>
      <c r="M426" s="5">
        <f t="shared" si="77"/>
        <v>3.6619199647348375</v>
      </c>
      <c r="N426" s="2">
        <f t="shared" si="78"/>
        <v>1.1574914686423916E-2</v>
      </c>
      <c r="O426">
        <f t="shared" si="79"/>
        <v>19536.695100000001</v>
      </c>
      <c r="P426">
        <f t="shared" ca="1" si="85"/>
        <v>19541</v>
      </c>
      <c r="Q426" t="str">
        <f t="shared" ca="1" si="80"/>
        <v>0100110001010101</v>
      </c>
      <c r="R426">
        <f t="shared" ca="1" si="81"/>
        <v>3.6639375000000003</v>
      </c>
      <c r="S426">
        <f t="shared" ca="1" si="82"/>
        <v>63.967250000000007</v>
      </c>
      <c r="T426" s="1">
        <f t="shared" ca="1" si="84"/>
        <v>2.5116185897435916E-2</v>
      </c>
      <c r="V426" s="4">
        <f t="shared" ca="1" si="83"/>
        <v>1.56725</v>
      </c>
      <c r="X426" s="2"/>
    </row>
    <row r="427" spans="8:24" x14ac:dyDescent="0.25">
      <c r="H427">
        <v>62.5</v>
      </c>
      <c r="I427">
        <v>3.6287635833184266</v>
      </c>
      <c r="J427" s="4">
        <f t="shared" si="74"/>
        <v>1.9000000000000001E-5</v>
      </c>
      <c r="K427" s="9">
        <f t="shared" si="75"/>
        <v>2.13E-4</v>
      </c>
      <c r="L427" s="4">
        <f t="shared" si="76"/>
        <v>1.1462999999999999E-2</v>
      </c>
      <c r="M427" s="5">
        <f t="shared" si="77"/>
        <v>3.6708812300039622</v>
      </c>
      <c r="N427" s="2">
        <f t="shared" si="78"/>
        <v>1.1606610824456036E-2</v>
      </c>
      <c r="O427">
        <f t="shared" si="79"/>
        <v>19584.504300000001</v>
      </c>
      <c r="P427">
        <f t="shared" ca="1" si="85"/>
        <v>19588</v>
      </c>
      <c r="Q427" t="str">
        <f t="shared" ca="1" si="80"/>
        <v>0100110010000100</v>
      </c>
      <c r="R427">
        <f t="shared" ca="1" si="81"/>
        <v>3.6727500000000002</v>
      </c>
      <c r="S427">
        <f t="shared" ca="1" si="82"/>
        <v>64.073000000000008</v>
      </c>
      <c r="T427" s="1">
        <f t="shared" ca="1" si="84"/>
        <v>2.5168000000000121E-2</v>
      </c>
      <c r="V427" s="4">
        <f t="shared" ca="1" si="83"/>
        <v>1.573</v>
      </c>
      <c r="X427" s="2"/>
    </row>
    <row r="428" spans="8:24" x14ac:dyDescent="0.25">
      <c r="H428">
        <v>62.6</v>
      </c>
      <c r="I428">
        <v>3.6380592154316029</v>
      </c>
      <c r="J428" s="4">
        <f t="shared" si="74"/>
        <v>2.0000000000000002E-5</v>
      </c>
      <c r="K428" s="9">
        <f t="shared" si="75"/>
        <v>2.13E-4</v>
      </c>
      <c r="L428" s="4">
        <f t="shared" si="76"/>
        <v>1.1493E-2</v>
      </c>
      <c r="M428" s="5">
        <f t="shared" si="77"/>
        <v>3.6803953323927932</v>
      </c>
      <c r="N428" s="2">
        <f t="shared" si="78"/>
        <v>1.1637006011780282E-2</v>
      </c>
      <c r="O428">
        <f t="shared" si="79"/>
        <v>19635.262999999999</v>
      </c>
      <c r="P428">
        <f t="shared" ca="1" si="85"/>
        <v>19636</v>
      </c>
      <c r="Q428" t="str">
        <f t="shared" ca="1" si="80"/>
        <v>0100110010110100</v>
      </c>
      <c r="R428">
        <f t="shared" ca="1" si="81"/>
        <v>3.6817500000000001</v>
      </c>
      <c r="S428">
        <f t="shared" ca="1" si="82"/>
        <v>64.181000000000012</v>
      </c>
      <c r="T428" s="1">
        <f t="shared" ca="1" si="84"/>
        <v>2.525559105431326E-2</v>
      </c>
      <c r="V428" s="4">
        <f t="shared" ca="1" si="83"/>
        <v>1.581</v>
      </c>
      <c r="X428" s="2"/>
    </row>
    <row r="429" spans="8:24" x14ac:dyDescent="0.25">
      <c r="H429">
        <v>62.7</v>
      </c>
      <c r="I429">
        <v>3.646829647040255</v>
      </c>
      <c r="J429" s="4">
        <f t="shared" si="74"/>
        <v>2.0999999999999999E-5</v>
      </c>
      <c r="K429" s="9">
        <f t="shared" si="75"/>
        <v>2.14E-4</v>
      </c>
      <c r="L429" s="4">
        <f t="shared" si="76"/>
        <v>1.1524E-2</v>
      </c>
      <c r="M429" s="5">
        <f t="shared" si="77"/>
        <v>3.6893824216756452</v>
      </c>
      <c r="N429" s="2">
        <f t="shared" si="78"/>
        <v>1.1668429500107245E-2</v>
      </c>
      <c r="O429">
        <f t="shared" si="79"/>
        <v>19683.209900000002</v>
      </c>
      <c r="P429">
        <f t="shared" ca="1" si="85"/>
        <v>19683</v>
      </c>
      <c r="Q429" t="str">
        <f t="shared" ca="1" si="80"/>
        <v>0100110011100011</v>
      </c>
      <c r="R429">
        <f t="shared" ca="1" si="81"/>
        <v>3.6905625</v>
      </c>
      <c r="S429">
        <f t="shared" ca="1" si="82"/>
        <v>64.286749999999998</v>
      </c>
      <c r="T429" s="1">
        <f t="shared" ca="1" si="84"/>
        <v>2.530701754385957E-2</v>
      </c>
      <c r="V429" s="4">
        <f t="shared" ca="1" si="83"/>
        <v>1.5867500000000001</v>
      </c>
      <c r="X429" s="2"/>
    </row>
    <row r="430" spans="8:24" x14ac:dyDescent="0.25">
      <c r="H430">
        <v>62.800000000000004</v>
      </c>
      <c r="I430">
        <v>3.6556131283799989</v>
      </c>
      <c r="J430" s="4">
        <f t="shared" si="74"/>
        <v>2.0999999999999999E-5</v>
      </c>
      <c r="K430" s="9">
        <f t="shared" si="75"/>
        <v>2.14E-4</v>
      </c>
      <c r="L430" s="4">
        <f t="shared" si="76"/>
        <v>1.1554E-2</v>
      </c>
      <c r="M430" s="5">
        <f t="shared" si="77"/>
        <v>3.6983805470890658</v>
      </c>
      <c r="N430" s="2">
        <f t="shared" si="78"/>
        <v>1.1699109617767333E-2</v>
      </c>
      <c r="O430">
        <f t="shared" si="79"/>
        <v>19731.215800000002</v>
      </c>
      <c r="P430">
        <f t="shared" ca="1" si="85"/>
        <v>19734</v>
      </c>
      <c r="Q430" t="str">
        <f t="shared" ca="1" si="80"/>
        <v>0100110100010110</v>
      </c>
      <c r="R430">
        <f t="shared" ca="1" si="81"/>
        <v>3.7001249999999999</v>
      </c>
      <c r="S430">
        <f t="shared" ca="1" si="82"/>
        <v>64.401500000000013</v>
      </c>
      <c r="T430" s="1">
        <f t="shared" ca="1" si="84"/>
        <v>2.5501592356688033E-2</v>
      </c>
      <c r="V430" s="4">
        <f t="shared" ca="1" si="83"/>
        <v>1.6014999999999999</v>
      </c>
      <c r="X430" s="2"/>
    </row>
    <row r="431" spans="8:24" x14ac:dyDescent="0.25">
      <c r="H431">
        <v>62.900000000000006</v>
      </c>
      <c r="I431">
        <v>3.6638753407248594</v>
      </c>
      <c r="J431" s="4">
        <f t="shared" si="74"/>
        <v>2.1999999999999999E-5</v>
      </c>
      <c r="K431" s="9">
        <f t="shared" si="75"/>
        <v>2.1499999999999999E-4</v>
      </c>
      <c r="L431" s="4">
        <f t="shared" si="76"/>
        <v>1.1585E-2</v>
      </c>
      <c r="M431" s="5">
        <f t="shared" si="77"/>
        <v>3.7068545790936596</v>
      </c>
      <c r="N431" s="2">
        <f t="shared" si="78"/>
        <v>1.1730540581191591E-2</v>
      </c>
      <c r="O431">
        <f t="shared" si="79"/>
        <v>19776.425599999999</v>
      </c>
      <c r="P431">
        <f t="shared" ca="1" si="85"/>
        <v>19778</v>
      </c>
      <c r="Q431" t="str">
        <f t="shared" ca="1" si="80"/>
        <v>0100110101000010</v>
      </c>
      <c r="R431">
        <f t="shared" ca="1" si="81"/>
        <v>3.7083750000000002</v>
      </c>
      <c r="S431">
        <f t="shared" ca="1" si="82"/>
        <v>64.500500000000017</v>
      </c>
      <c r="T431" s="1">
        <f t="shared" ca="1" si="84"/>
        <v>2.5445151033386498E-2</v>
      </c>
      <c r="V431" s="4">
        <f t="shared" ca="1" si="83"/>
        <v>1.6005</v>
      </c>
      <c r="X431" s="2"/>
    </row>
    <row r="432" spans="8:24" x14ac:dyDescent="0.25">
      <c r="H432">
        <v>63</v>
      </c>
      <c r="I432">
        <v>3.6726856088528499</v>
      </c>
      <c r="J432" s="4">
        <f t="shared" si="74"/>
        <v>2.1999999999999999E-5</v>
      </c>
      <c r="K432" s="9">
        <f t="shared" si="75"/>
        <v>2.1499999999999999E-4</v>
      </c>
      <c r="L432" s="4">
        <f t="shared" si="76"/>
        <v>1.1615E-2</v>
      </c>
      <c r="M432" s="5">
        <f t="shared" si="77"/>
        <v>3.7158808917404151</v>
      </c>
      <c r="N432" s="2">
        <f t="shared" si="78"/>
        <v>1.1761225296127957E-2</v>
      </c>
      <c r="O432">
        <f t="shared" si="79"/>
        <v>19824.5818</v>
      </c>
      <c r="P432">
        <f t="shared" ca="1" si="85"/>
        <v>19826</v>
      </c>
      <c r="Q432" t="str">
        <f t="shared" ca="1" si="80"/>
        <v>0100110101110010</v>
      </c>
      <c r="R432">
        <f t="shared" ca="1" si="81"/>
        <v>3.7173750000000001</v>
      </c>
      <c r="S432">
        <f t="shared" ca="1" si="82"/>
        <v>64.608500000000006</v>
      </c>
      <c r="T432" s="1">
        <f t="shared" ca="1" si="84"/>
        <v>2.5531746031746134E-2</v>
      </c>
      <c r="V432" s="4">
        <f t="shared" ca="1" si="83"/>
        <v>1.6085</v>
      </c>
      <c r="X432" s="2"/>
    </row>
    <row r="433" spans="8:24" x14ac:dyDescent="0.25">
      <c r="H433">
        <v>63.1</v>
      </c>
      <c r="I433">
        <v>3.6815085742834954</v>
      </c>
      <c r="J433" s="4">
        <f t="shared" si="74"/>
        <v>2.3E-5</v>
      </c>
      <c r="K433" s="9">
        <f t="shared" si="75"/>
        <v>2.1599999999999999E-4</v>
      </c>
      <c r="L433" s="4">
        <f t="shared" si="76"/>
        <v>1.1646E-2</v>
      </c>
      <c r="M433" s="5">
        <f t="shared" si="77"/>
        <v>3.7249233562220576</v>
      </c>
      <c r="N433" s="2">
        <f t="shared" si="78"/>
        <v>1.1792660824377322E-2</v>
      </c>
      <c r="O433">
        <f t="shared" si="79"/>
        <v>19872.824199999999</v>
      </c>
      <c r="P433">
        <f t="shared" ca="1" si="85"/>
        <v>19875</v>
      </c>
      <c r="Q433" t="str">
        <f t="shared" ca="1" si="80"/>
        <v>0100110110100011</v>
      </c>
      <c r="R433">
        <f t="shared" ca="1" si="81"/>
        <v>3.7265625</v>
      </c>
      <c r="S433">
        <f t="shared" ca="1" si="82"/>
        <v>64.718750000000014</v>
      </c>
      <c r="T433" s="1">
        <f t="shared" ca="1" si="84"/>
        <v>2.5653724247226825E-2</v>
      </c>
      <c r="V433" s="4">
        <f t="shared" ca="1" si="83"/>
        <v>1.6187499999999999</v>
      </c>
      <c r="X433" s="2"/>
    </row>
    <row r="434" spans="8:24" x14ac:dyDescent="0.25">
      <c r="H434">
        <v>63.2</v>
      </c>
      <c r="I434">
        <v>3.6892819516350079</v>
      </c>
      <c r="J434" s="4">
        <f t="shared" si="74"/>
        <v>2.3E-5</v>
      </c>
      <c r="K434" s="9">
        <f t="shared" si="75"/>
        <v>2.1599999999999999E-4</v>
      </c>
      <c r="L434" s="4">
        <f t="shared" si="76"/>
        <v>1.1676000000000001E-2</v>
      </c>
      <c r="M434" s="5">
        <f t="shared" si="77"/>
        <v>3.7329016339044765</v>
      </c>
      <c r="N434" s="2">
        <f t="shared" si="78"/>
        <v>1.1823352847872545E-2</v>
      </c>
      <c r="O434">
        <f t="shared" si="79"/>
        <v>19915.3891</v>
      </c>
      <c r="P434">
        <f t="shared" ca="1" si="85"/>
        <v>19918</v>
      </c>
      <c r="Q434" t="str">
        <f t="shared" ca="1" si="80"/>
        <v>0100110111001110</v>
      </c>
      <c r="R434">
        <f t="shared" ca="1" si="81"/>
        <v>3.7346249999999999</v>
      </c>
      <c r="S434">
        <f t="shared" ca="1" si="82"/>
        <v>64.8155</v>
      </c>
      <c r="T434" s="1">
        <f t="shared" ca="1" si="84"/>
        <v>2.5561708860759449E-2</v>
      </c>
      <c r="V434" s="4">
        <f t="shared" ca="1" si="83"/>
        <v>1.6154999999999999</v>
      </c>
      <c r="X434" s="2"/>
    </row>
    <row r="435" spans="8:24" x14ac:dyDescent="0.25">
      <c r="H435">
        <v>63.300000000000004</v>
      </c>
      <c r="I435">
        <v>3.6981320343796904</v>
      </c>
      <c r="J435" s="4">
        <f t="shared" si="74"/>
        <v>2.4000000000000001E-5</v>
      </c>
      <c r="K435" s="9">
        <f t="shared" si="75"/>
        <v>2.1699999999999999E-4</v>
      </c>
      <c r="L435" s="4">
        <f t="shared" si="76"/>
        <v>1.1707E-2</v>
      </c>
      <c r="M435" s="5">
        <f t="shared" si="77"/>
        <v>3.7419726289406996</v>
      </c>
      <c r="N435" s="2">
        <f t="shared" si="78"/>
        <v>1.1854794299782982E-2</v>
      </c>
      <c r="O435">
        <f t="shared" si="79"/>
        <v>19963.783800000001</v>
      </c>
      <c r="P435">
        <f t="shared" ca="1" si="85"/>
        <v>19963</v>
      </c>
      <c r="Q435" t="str">
        <f t="shared" ca="1" si="80"/>
        <v>0100110111111011</v>
      </c>
      <c r="R435">
        <f t="shared" ca="1" si="81"/>
        <v>3.7430625000000002</v>
      </c>
      <c r="S435">
        <f t="shared" ca="1" si="82"/>
        <v>64.916750000000008</v>
      </c>
      <c r="T435" s="1">
        <f t="shared" ca="1" si="84"/>
        <v>2.5541074249605104E-2</v>
      </c>
      <c r="V435" s="4">
        <f t="shared" ca="1" si="83"/>
        <v>1.6167499999999999</v>
      </c>
      <c r="X435" s="2"/>
    </row>
    <row r="436" spans="8:24" x14ac:dyDescent="0.25">
      <c r="H436">
        <v>63.400000000000006</v>
      </c>
      <c r="I436">
        <v>3.7075234757776308</v>
      </c>
      <c r="J436" s="4">
        <f t="shared" si="74"/>
        <v>2.5000000000000001E-5</v>
      </c>
      <c r="K436" s="9">
        <f t="shared" si="75"/>
        <v>2.1699999999999999E-4</v>
      </c>
      <c r="L436" s="4">
        <f t="shared" si="76"/>
        <v>1.1736999999999999E-2</v>
      </c>
      <c r="M436" s="5">
        <f t="shared" si="77"/>
        <v>3.7515881855656144</v>
      </c>
      <c r="N436" s="2">
        <f t="shared" si="78"/>
        <v>1.1885213964489138E-2</v>
      </c>
      <c r="O436">
        <f t="shared" si="79"/>
        <v>20015.083699999999</v>
      </c>
      <c r="P436">
        <f t="shared" ca="1" si="85"/>
        <v>20014</v>
      </c>
      <c r="Q436" t="str">
        <f t="shared" ca="1" si="80"/>
        <v>0100111000101110</v>
      </c>
      <c r="R436">
        <f t="shared" ca="1" si="81"/>
        <v>3.7526250000000001</v>
      </c>
      <c r="S436">
        <f t="shared" ca="1" si="82"/>
        <v>65.031500000000008</v>
      </c>
      <c r="T436" s="1">
        <f t="shared" ca="1" si="84"/>
        <v>2.5733438485804457E-2</v>
      </c>
      <c r="V436" s="4">
        <f t="shared" ca="1" si="83"/>
        <v>1.6315</v>
      </c>
      <c r="X436" s="2"/>
    </row>
    <row r="437" spans="8:24" x14ac:dyDescent="0.25">
      <c r="H437">
        <v>63.5</v>
      </c>
      <c r="I437">
        <v>3.7158691214430664</v>
      </c>
      <c r="J437" s="4">
        <f t="shared" si="74"/>
        <v>2.5000000000000001E-5</v>
      </c>
      <c r="K437" s="9">
        <f t="shared" si="75"/>
        <v>2.1800000000000001E-4</v>
      </c>
      <c r="L437" s="4">
        <f t="shared" si="76"/>
        <v>1.1768000000000001E-2</v>
      </c>
      <c r="M437" s="5">
        <f t="shared" si="77"/>
        <v>3.7601508946270377</v>
      </c>
      <c r="N437" s="2">
        <f t="shared" si="78"/>
        <v>1.1916935644594064E-2</v>
      </c>
      <c r="O437">
        <f t="shared" si="79"/>
        <v>20060.766599999999</v>
      </c>
      <c r="P437">
        <f t="shared" ca="1" si="85"/>
        <v>20061</v>
      </c>
      <c r="Q437" t="str">
        <f t="shared" ca="1" si="80"/>
        <v>0100111001011101</v>
      </c>
      <c r="R437">
        <f t="shared" ca="1" si="81"/>
        <v>3.7614375</v>
      </c>
      <c r="S437">
        <f t="shared" ca="1" si="82"/>
        <v>65.137250000000009</v>
      </c>
      <c r="T437" s="1">
        <f t="shared" ca="1" si="84"/>
        <v>2.5783464566929273E-2</v>
      </c>
      <c r="V437" s="4">
        <f t="shared" ca="1" si="83"/>
        <v>1.6372500000000001</v>
      </c>
      <c r="X437" s="2"/>
    </row>
    <row r="438" spans="8:24" x14ac:dyDescent="0.25">
      <c r="H438">
        <v>63.6</v>
      </c>
      <c r="I438">
        <v>3.7242289493039684</v>
      </c>
      <c r="J438" s="4">
        <f t="shared" si="74"/>
        <v>2.5999999999999998E-5</v>
      </c>
      <c r="K438" s="9">
        <f t="shared" si="75"/>
        <v>2.1800000000000001E-4</v>
      </c>
      <c r="L438" s="4">
        <f t="shared" si="76"/>
        <v>1.1797999999999999E-2</v>
      </c>
      <c r="M438" s="5">
        <f t="shared" si="77"/>
        <v>3.7687236668413626</v>
      </c>
      <c r="N438" s="2">
        <f t="shared" si="78"/>
        <v>1.1947363640387884E-2</v>
      </c>
      <c r="O438">
        <f t="shared" si="79"/>
        <v>20106.503100000002</v>
      </c>
      <c r="P438">
        <f t="shared" ca="1" si="85"/>
        <v>20108</v>
      </c>
      <c r="Q438" t="str">
        <f t="shared" ca="1" si="80"/>
        <v>0100111010001100</v>
      </c>
      <c r="R438">
        <f t="shared" ca="1" si="81"/>
        <v>3.7702499999999999</v>
      </c>
      <c r="S438">
        <f t="shared" ca="1" si="82"/>
        <v>65.243000000000009</v>
      </c>
      <c r="T438" s="1">
        <f t="shared" ca="1" si="84"/>
        <v>2.5833333333333455E-2</v>
      </c>
      <c r="V438" s="4">
        <f t="shared" ca="1" si="83"/>
        <v>1.643</v>
      </c>
      <c r="X438" s="2"/>
    </row>
    <row r="439" spans="8:24" x14ac:dyDescent="0.25">
      <c r="H439">
        <v>63.7</v>
      </c>
      <c r="I439">
        <v>3.7331287517823077</v>
      </c>
      <c r="J439" s="4">
        <f t="shared" si="74"/>
        <v>2.5999999999999998E-5</v>
      </c>
      <c r="K439" s="9">
        <f t="shared" si="75"/>
        <v>2.1900000000000001E-4</v>
      </c>
      <c r="L439" s="4">
        <f t="shared" si="76"/>
        <v>1.1828999999999999E-2</v>
      </c>
      <c r="M439" s="5">
        <f t="shared" si="77"/>
        <v>3.7778482324418623</v>
      </c>
      <c r="N439" s="2">
        <f t="shared" si="78"/>
        <v>1.1979088757172957E-2</v>
      </c>
      <c r="O439">
        <f t="shared" si="79"/>
        <v>20155.1836</v>
      </c>
      <c r="P439">
        <f t="shared" ca="1" si="85"/>
        <v>20155</v>
      </c>
      <c r="Q439" t="str">
        <f t="shared" ca="1" si="80"/>
        <v>0100111010111011</v>
      </c>
      <c r="R439">
        <f t="shared" ca="1" si="81"/>
        <v>3.7790625000000002</v>
      </c>
      <c r="S439">
        <f t="shared" ca="1" si="82"/>
        <v>65.34875000000001</v>
      </c>
      <c r="T439" s="1">
        <f t="shared" ca="1" si="84"/>
        <v>2.5883045525902773E-2</v>
      </c>
      <c r="V439" s="4">
        <f t="shared" ca="1" si="83"/>
        <v>1.6487499999999999</v>
      </c>
      <c r="X439" s="2"/>
    </row>
    <row r="440" spans="8:24" x14ac:dyDescent="0.25">
      <c r="H440">
        <v>63.800000000000004</v>
      </c>
      <c r="I440">
        <v>3.7415155549136481</v>
      </c>
      <c r="J440" s="4">
        <f t="shared" si="74"/>
        <v>2.6999999999999999E-5</v>
      </c>
      <c r="K440" s="9">
        <f t="shared" si="75"/>
        <v>2.1900000000000001E-4</v>
      </c>
      <c r="L440" s="4">
        <f t="shared" si="76"/>
        <v>1.1859E-2</v>
      </c>
      <c r="M440" s="5">
        <f t="shared" si="77"/>
        <v>3.7864493701725239</v>
      </c>
      <c r="N440" s="2">
        <f t="shared" si="78"/>
        <v>1.2009522504821686E-2</v>
      </c>
      <c r="O440">
        <f t="shared" si="79"/>
        <v>20201.071400000001</v>
      </c>
      <c r="P440">
        <f t="shared" ca="1" si="85"/>
        <v>20202</v>
      </c>
      <c r="Q440" t="str">
        <f t="shared" ca="1" si="80"/>
        <v>0100111011101010</v>
      </c>
      <c r="R440">
        <f t="shared" ca="1" si="81"/>
        <v>3.7878750000000001</v>
      </c>
      <c r="S440">
        <f t="shared" ca="1" si="82"/>
        <v>65.45450000000001</v>
      </c>
      <c r="T440" s="1">
        <f t="shared" ca="1" si="84"/>
        <v>2.5932601880877832E-2</v>
      </c>
      <c r="V440" s="4">
        <f t="shared" ca="1" si="83"/>
        <v>1.6545000000000001</v>
      </c>
      <c r="X440" s="2"/>
    </row>
    <row r="441" spans="8:24" x14ac:dyDescent="0.25">
      <c r="H441">
        <v>63.900000000000006</v>
      </c>
      <c r="I441">
        <v>3.7504400346869233</v>
      </c>
      <c r="J441" s="4">
        <f t="shared" si="74"/>
        <v>2.6999999999999999E-5</v>
      </c>
      <c r="K441" s="9">
        <f t="shared" si="75"/>
        <v>2.2000000000000001E-4</v>
      </c>
      <c r="L441" s="4">
        <f t="shared" si="76"/>
        <v>1.189E-2</v>
      </c>
      <c r="M441" s="5">
        <f t="shared" si="77"/>
        <v>3.7956000294166876</v>
      </c>
      <c r="N441" s="2">
        <f t="shared" si="78"/>
        <v>1.2041252309619749E-2</v>
      </c>
      <c r="O441">
        <f t="shared" si="79"/>
        <v>20249.891100000001</v>
      </c>
      <c r="P441">
        <f t="shared" ca="1" si="85"/>
        <v>20251</v>
      </c>
      <c r="Q441" t="str">
        <f t="shared" ca="1" si="80"/>
        <v>0100111100011011</v>
      </c>
      <c r="R441">
        <f t="shared" ca="1" si="81"/>
        <v>3.7970625</v>
      </c>
      <c r="S441">
        <f t="shared" ca="1" si="82"/>
        <v>65.564750000000004</v>
      </c>
      <c r="T441" s="1">
        <f t="shared" ca="1" si="84"/>
        <v>2.6052425665101686E-2</v>
      </c>
      <c r="V441" s="4">
        <f t="shared" ca="1" si="83"/>
        <v>1.66475</v>
      </c>
      <c r="X441" s="2"/>
    </row>
    <row r="442" spans="8:24" x14ac:dyDescent="0.25">
      <c r="H442">
        <v>64</v>
      </c>
      <c r="I442">
        <v>3.7588533434508244</v>
      </c>
      <c r="J442" s="4">
        <f t="shared" si="74"/>
        <v>2.8E-5</v>
      </c>
      <c r="K442" s="9">
        <f t="shared" si="75"/>
        <v>2.2000000000000001E-4</v>
      </c>
      <c r="L442" s="4">
        <f t="shared" si="76"/>
        <v>1.192E-2</v>
      </c>
      <c r="M442" s="5">
        <f t="shared" si="77"/>
        <v>3.8042290625160158</v>
      </c>
      <c r="N442" s="2">
        <f t="shared" si="78"/>
        <v>1.2071691795119105E-2</v>
      </c>
      <c r="O442">
        <f t="shared" si="79"/>
        <v>20295.927800000001</v>
      </c>
      <c r="P442">
        <f t="shared" ca="1" si="85"/>
        <v>20295</v>
      </c>
      <c r="Q442" t="str">
        <f t="shared" ca="1" si="80"/>
        <v>0100111101000111</v>
      </c>
      <c r="R442">
        <f t="shared" ca="1" si="81"/>
        <v>3.8053124999999999</v>
      </c>
      <c r="S442">
        <f t="shared" ca="1" si="82"/>
        <v>65.663750000000007</v>
      </c>
      <c r="T442" s="1">
        <f t="shared" ca="1" si="84"/>
        <v>2.5996093750000115E-2</v>
      </c>
      <c r="V442" s="4">
        <f t="shared" ca="1" si="83"/>
        <v>1.6637500000000001</v>
      </c>
      <c r="X442" s="2"/>
    </row>
    <row r="443" spans="8:24" x14ac:dyDescent="0.25">
      <c r="H443">
        <v>64.099999999999994</v>
      </c>
      <c r="I443">
        <v>3.7672802432056227</v>
      </c>
      <c r="J443" s="4">
        <f t="shared" si="74"/>
        <v>2.9E-5</v>
      </c>
      <c r="K443" s="9">
        <f t="shared" si="75"/>
        <v>2.2100000000000001E-4</v>
      </c>
      <c r="L443" s="4">
        <f t="shared" si="76"/>
        <v>1.1951E-2</v>
      </c>
      <c r="M443" s="5">
        <f t="shared" si="77"/>
        <v>3.8128762339191913</v>
      </c>
      <c r="N443" s="2">
        <f t="shared" si="78"/>
        <v>1.2103158716637022E-2</v>
      </c>
      <c r="O443">
        <f t="shared" si="79"/>
        <v>20342.061300000001</v>
      </c>
      <c r="P443">
        <f t="shared" ca="1" si="85"/>
        <v>20345</v>
      </c>
      <c r="Q443" t="str">
        <f t="shared" ca="1" si="80"/>
        <v>0100111101111001</v>
      </c>
      <c r="R443">
        <f t="shared" ca="1" si="81"/>
        <v>3.8146875000000002</v>
      </c>
      <c r="S443">
        <f t="shared" ca="1" si="82"/>
        <v>65.776250000000005</v>
      </c>
      <c r="T443" s="1">
        <f t="shared" ca="1" si="84"/>
        <v>2.6150546021841036E-2</v>
      </c>
      <c r="V443" s="4">
        <f t="shared" ca="1" si="83"/>
        <v>1.67625</v>
      </c>
      <c r="X443" s="2"/>
    </row>
    <row r="444" spans="8:24" x14ac:dyDescent="0.25">
      <c r="H444">
        <v>64.2</v>
      </c>
      <c r="I444">
        <v>3.7762413806007396</v>
      </c>
      <c r="J444" s="4">
        <f t="shared" si="74"/>
        <v>2.9E-5</v>
      </c>
      <c r="K444" s="9">
        <f t="shared" si="75"/>
        <v>2.2100000000000001E-4</v>
      </c>
      <c r="L444" s="4">
        <f t="shared" si="76"/>
        <v>1.1981E-2</v>
      </c>
      <c r="M444" s="5">
        <f t="shared" si="77"/>
        <v>3.8220618082271085</v>
      </c>
      <c r="N444" s="2">
        <f t="shared" si="78"/>
        <v>1.2133871489719139E-2</v>
      </c>
      <c r="O444">
        <f t="shared" si="79"/>
        <v>20391.067200000001</v>
      </c>
      <c r="P444">
        <f t="shared" ca="1" si="85"/>
        <v>20395</v>
      </c>
      <c r="Q444" t="str">
        <f t="shared" ca="1" si="80"/>
        <v>0100111110101011</v>
      </c>
      <c r="R444">
        <f t="shared" ca="1" si="81"/>
        <v>3.8240625000000001</v>
      </c>
      <c r="S444">
        <f t="shared" ca="1" si="82"/>
        <v>65.888750000000016</v>
      </c>
      <c r="T444" s="1">
        <f t="shared" ca="1" si="84"/>
        <v>2.6304517133956588E-2</v>
      </c>
      <c r="V444" s="4">
        <f t="shared" ca="1" si="83"/>
        <v>1.68875</v>
      </c>
      <c r="X444" s="2"/>
    </row>
    <row r="445" spans="8:24" x14ac:dyDescent="0.25">
      <c r="H445">
        <v>64.300000000000011</v>
      </c>
      <c r="I445">
        <v>3.7846940824041808</v>
      </c>
      <c r="J445" s="4">
        <f t="shared" si="74"/>
        <v>3.0000000000000001E-5</v>
      </c>
      <c r="K445" s="9">
        <f t="shared" si="75"/>
        <v>2.22E-4</v>
      </c>
      <c r="L445" s="4">
        <f t="shared" si="76"/>
        <v>1.2012E-2</v>
      </c>
      <c r="M445" s="5">
        <f t="shared" si="77"/>
        <v>3.8307361888081441</v>
      </c>
      <c r="N445" s="2">
        <f t="shared" si="78"/>
        <v>1.2165344252795102E-2</v>
      </c>
      <c r="O445">
        <f t="shared" si="79"/>
        <v>20437.3459</v>
      </c>
      <c r="P445">
        <f t="shared" ca="1" si="85"/>
        <v>20440</v>
      </c>
      <c r="Q445" t="str">
        <f t="shared" ca="1" si="80"/>
        <v>0100111111011000</v>
      </c>
      <c r="R445">
        <f t="shared" ca="1" si="81"/>
        <v>3.8325</v>
      </c>
      <c r="S445">
        <f t="shared" ca="1" si="82"/>
        <v>65.990000000000009</v>
      </c>
      <c r="T445" s="1">
        <f t="shared" ca="1" si="84"/>
        <v>2.6283048211508512E-2</v>
      </c>
      <c r="V445" s="4">
        <f t="shared" ca="1" si="83"/>
        <v>1.69</v>
      </c>
      <c r="X445" s="2"/>
    </row>
    <row r="446" spans="8:24" x14ac:dyDescent="0.25">
      <c r="H446">
        <v>64.400000000000006</v>
      </c>
      <c r="I446">
        <v>3.793678735983999</v>
      </c>
      <c r="J446" s="4">
        <f t="shared" si="74"/>
        <v>3.0000000000000001E-5</v>
      </c>
      <c r="K446" s="9">
        <f t="shared" si="75"/>
        <v>2.22E-4</v>
      </c>
      <c r="L446" s="4">
        <f t="shared" si="76"/>
        <v>1.2042000000000001E-2</v>
      </c>
      <c r="M446" s="5">
        <f t="shared" si="77"/>
        <v>3.839946675413326</v>
      </c>
      <c r="N446" s="2">
        <f t="shared" si="78"/>
        <v>1.2196061566959793E-2</v>
      </c>
      <c r="O446">
        <f t="shared" si="79"/>
        <v>20486.484700000001</v>
      </c>
      <c r="P446">
        <f t="shared" ca="1" si="85"/>
        <v>20487</v>
      </c>
      <c r="Q446" t="str">
        <f t="shared" ca="1" si="80"/>
        <v>0101000000000111</v>
      </c>
      <c r="R446">
        <f t="shared" ca="1" si="81"/>
        <v>3.8413124999999999</v>
      </c>
      <c r="S446">
        <f t="shared" ca="1" si="82"/>
        <v>66.09575000000001</v>
      </c>
      <c r="T446" s="1">
        <f t="shared" ca="1" si="84"/>
        <v>2.6331521739130493E-2</v>
      </c>
      <c r="V446" s="4">
        <f t="shared" ca="1" si="83"/>
        <v>1.6957500000000001</v>
      </c>
      <c r="X446" s="2"/>
    </row>
    <row r="447" spans="8:24" x14ac:dyDescent="0.25">
      <c r="H447">
        <v>64.5</v>
      </c>
      <c r="I447">
        <v>3.802156773129707</v>
      </c>
      <c r="J447" s="4">
        <f t="shared" si="74"/>
        <v>3.1000000000000001E-5</v>
      </c>
      <c r="K447" s="9">
        <f t="shared" si="75"/>
        <v>2.23E-4</v>
      </c>
      <c r="L447" s="4">
        <f t="shared" si="76"/>
        <v>1.2073E-2</v>
      </c>
      <c r="M447" s="5">
        <f t="shared" si="77"/>
        <v>3.8486477977580402</v>
      </c>
      <c r="N447" s="2">
        <f t="shared" si="78"/>
        <v>1.2227540157441902E-2</v>
      </c>
      <c r="O447">
        <f t="shared" si="79"/>
        <v>20532.905999999999</v>
      </c>
      <c r="P447">
        <f t="shared" ca="1" si="85"/>
        <v>20532</v>
      </c>
      <c r="Q447" t="str">
        <f t="shared" ca="1" si="80"/>
        <v>0101000000110100</v>
      </c>
      <c r="R447">
        <f t="shared" ca="1" si="81"/>
        <v>3.8497500000000002</v>
      </c>
      <c r="S447">
        <f t="shared" ca="1" si="82"/>
        <v>66.197000000000017</v>
      </c>
      <c r="T447" s="1">
        <f t="shared" ca="1" si="84"/>
        <v>2.6310077519380106E-2</v>
      </c>
      <c r="V447" s="4">
        <f t="shared" ca="1" si="83"/>
        <v>1.6970000000000001</v>
      </c>
      <c r="X447" s="2"/>
    </row>
    <row r="448" spans="8:24" x14ac:dyDescent="0.25">
      <c r="H448">
        <v>64.599999999999994</v>
      </c>
      <c r="I448">
        <v>3.8106478155683416</v>
      </c>
      <c r="J448" s="4">
        <f t="shared" si="74"/>
        <v>3.1000000000000001E-5</v>
      </c>
      <c r="K448" s="9">
        <f t="shared" si="75"/>
        <v>2.23E-4</v>
      </c>
      <c r="L448" s="4">
        <f t="shared" si="76"/>
        <v>1.2102999999999999E-2</v>
      </c>
      <c r="M448" s="5">
        <f t="shared" si="77"/>
        <v>3.8573597385095226</v>
      </c>
      <c r="N448" s="2">
        <f t="shared" si="78"/>
        <v>1.2258262952125924E-2</v>
      </c>
      <c r="O448">
        <f t="shared" si="79"/>
        <v>20579.3851</v>
      </c>
      <c r="P448">
        <f t="shared" ca="1" si="85"/>
        <v>20580</v>
      </c>
      <c r="Q448" t="str">
        <f t="shared" ca="1" si="80"/>
        <v>0101000001100100</v>
      </c>
      <c r="R448">
        <f t="shared" ca="1" si="81"/>
        <v>3.8587500000000001</v>
      </c>
      <c r="S448">
        <f t="shared" ca="1" si="82"/>
        <v>66.305000000000007</v>
      </c>
      <c r="T448" s="1">
        <f t="shared" ca="1" si="84"/>
        <v>2.6393188854489359E-2</v>
      </c>
      <c r="V448" s="4">
        <f t="shared" ca="1" si="83"/>
        <v>1.7050000000000001</v>
      </c>
      <c r="X448" s="2"/>
    </row>
    <row r="449" spans="8:24" x14ac:dyDescent="0.25">
      <c r="H449">
        <v>64.7</v>
      </c>
      <c r="I449">
        <v>3.8186361036937413</v>
      </c>
      <c r="J449" s="4">
        <f t="shared" si="74"/>
        <v>3.1999999999999999E-5</v>
      </c>
      <c r="K449" s="9">
        <f t="shared" si="75"/>
        <v>2.24E-4</v>
      </c>
      <c r="L449" s="4">
        <f t="shared" si="76"/>
        <v>1.2134000000000001E-2</v>
      </c>
      <c r="M449" s="5">
        <f t="shared" si="77"/>
        <v>3.8655661799492456</v>
      </c>
      <c r="N449" s="2">
        <f t="shared" si="78"/>
        <v>1.2289748219294612E-2</v>
      </c>
      <c r="O449">
        <f t="shared" si="79"/>
        <v>20623.1672</v>
      </c>
      <c r="P449">
        <f t="shared" ca="1" si="85"/>
        <v>20628</v>
      </c>
      <c r="Q449" t="str">
        <f t="shared" ca="1" si="80"/>
        <v>0101000010010100</v>
      </c>
      <c r="R449">
        <f t="shared" ca="1" si="81"/>
        <v>3.86775</v>
      </c>
      <c r="S449">
        <f t="shared" ca="1" si="82"/>
        <v>66.413000000000011</v>
      </c>
      <c r="T449" s="1">
        <f t="shared" ca="1" si="84"/>
        <v>2.6476043276661639E-2</v>
      </c>
      <c r="V449" s="4">
        <f t="shared" ca="1" si="83"/>
        <v>1.7130000000000001</v>
      </c>
      <c r="X449" s="2"/>
    </row>
    <row r="450" spans="8:24" x14ac:dyDescent="0.25">
      <c r="H450">
        <v>64.800000000000011</v>
      </c>
      <c r="I450">
        <v>3.8271538263751843</v>
      </c>
      <c r="J450" s="4">
        <f t="shared" si="74"/>
        <v>3.3000000000000003E-5</v>
      </c>
      <c r="K450" s="9">
        <f t="shared" si="75"/>
        <v>2.24E-4</v>
      </c>
      <c r="L450" s="4">
        <f t="shared" si="76"/>
        <v>1.2163999999999999E-2</v>
      </c>
      <c r="M450" s="5">
        <f t="shared" si="77"/>
        <v>3.8743051689381476</v>
      </c>
      <c r="N450" s="2">
        <f t="shared" si="78"/>
        <v>1.232021097192787E-2</v>
      </c>
      <c r="O450">
        <f t="shared" si="79"/>
        <v>20669.7906</v>
      </c>
      <c r="P450">
        <f t="shared" ca="1" si="85"/>
        <v>20672</v>
      </c>
      <c r="Q450" t="str">
        <f t="shared" ca="1" si="80"/>
        <v>0101000011000000</v>
      </c>
      <c r="R450">
        <f t="shared" ca="1" si="81"/>
        <v>3.8759999999999999</v>
      </c>
      <c r="S450">
        <f t="shared" ca="1" si="82"/>
        <v>66.512</v>
      </c>
      <c r="T450" s="1">
        <f t="shared" ca="1" si="84"/>
        <v>2.6419753086419581E-2</v>
      </c>
      <c r="V450" s="4">
        <f t="shared" ca="1" si="83"/>
        <v>1.712</v>
      </c>
      <c r="X450" s="2"/>
    </row>
    <row r="451" spans="8:24" x14ac:dyDescent="0.25">
      <c r="H451">
        <v>64.900000000000006</v>
      </c>
      <c r="I451">
        <v>3.8356842021175015</v>
      </c>
      <c r="J451" s="4">
        <f t="shared" ref="J451:J514" si="86">ROUND(H451*0.00000575 -0.00034,6)</f>
        <v>3.3000000000000003E-5</v>
      </c>
      <c r="K451" s="9">
        <f t="shared" ref="K451:K514" si="87">ROUND(H451*0.000005-0.0001,6)</f>
        <v>2.2499999999999999E-4</v>
      </c>
      <c r="L451" s="4">
        <f t="shared" ref="L451:L514" si="88">ROUND(K451+($C$24*(H451-25)),6)</f>
        <v>1.2194999999999999E-2</v>
      </c>
      <c r="M451" s="5">
        <f t="shared" ref="M451:M514" si="89">(I451-J451)/(1-L451)+$C$26+$D$27</f>
        <v>3.8830624412788972</v>
      </c>
      <c r="N451" s="2">
        <f t="shared" ref="N451:N514" si="90">ABS(I451-M451)/I451</f>
        <v>1.2351965559427549E-2</v>
      </c>
      <c r="O451">
        <f t="shared" ref="O451:O514" si="91">ROUND((M451*(2^($C$12-1)))/$C$44,4)</f>
        <v>20716.511500000001</v>
      </c>
      <c r="P451">
        <f t="shared" ca="1" si="85"/>
        <v>20715</v>
      </c>
      <c r="Q451" t="str">
        <f t="shared" ref="Q451:Q514" ca="1" si="92">_xlfn.BASE(P451,2,16)</f>
        <v>0101000011101011</v>
      </c>
      <c r="R451">
        <f t="shared" ref="R451:R514" ca="1" si="93">($C$16/2^($C$12-1)) * P451</f>
        <v>3.8840625000000002</v>
      </c>
      <c r="S451">
        <f t="shared" ref="S451:S514" ca="1" si="94">(R451+5/3)/(1/12)</f>
        <v>66.608750000000001</v>
      </c>
      <c r="T451" s="1">
        <f t="shared" ca="1" si="84"/>
        <v>2.6328967642526884E-2</v>
      </c>
      <c r="V451" s="4">
        <f t="shared" ref="V451:V514" ca="1" si="95">ROUND(ABS(H451-S451),6)</f>
        <v>1.70875</v>
      </c>
      <c r="X451" s="2"/>
    </row>
    <row r="452" spans="8:24" x14ac:dyDescent="0.25">
      <c r="H452">
        <v>65</v>
      </c>
      <c r="I452">
        <v>3.8442271147878468</v>
      </c>
      <c r="J452" s="4">
        <f t="shared" si="86"/>
        <v>3.4E-5</v>
      </c>
      <c r="K452" s="9">
        <f t="shared" si="87"/>
        <v>2.2499999999999999E-4</v>
      </c>
      <c r="L452" s="4">
        <f t="shared" si="88"/>
        <v>1.2225E-2</v>
      </c>
      <c r="M452" s="5">
        <f t="shared" si="89"/>
        <v>3.8918280030754446</v>
      </c>
      <c r="N452" s="2">
        <f t="shared" si="90"/>
        <v>1.2382433936977409E-2</v>
      </c>
      <c r="O452">
        <f t="shared" si="91"/>
        <v>20763.276600000001</v>
      </c>
      <c r="P452">
        <f t="shared" ca="1" si="85"/>
        <v>20768</v>
      </c>
      <c r="Q452" t="str">
        <f t="shared" ca="1" si="92"/>
        <v>0101000100100000</v>
      </c>
      <c r="R452">
        <f t="shared" ca="1" si="93"/>
        <v>3.8940000000000001</v>
      </c>
      <c r="S452">
        <f t="shared" ca="1" si="94"/>
        <v>66.728000000000009</v>
      </c>
      <c r="T452" s="1">
        <f t="shared" ref="T452:T515" ca="1" si="96">ABS(H452-S452)/H452</f>
        <v>2.6584615384615519E-2</v>
      </c>
      <c r="V452" s="4">
        <f t="shared" ca="1" si="95"/>
        <v>1.728</v>
      </c>
      <c r="X452" s="2"/>
    </row>
    <row r="453" spans="8:24" x14ac:dyDescent="0.25">
      <c r="H453">
        <v>65.099999999999994</v>
      </c>
      <c r="I453">
        <v>3.8527824476787114</v>
      </c>
      <c r="J453" s="4">
        <f t="shared" si="86"/>
        <v>3.4E-5</v>
      </c>
      <c r="K453" s="9">
        <f t="shared" si="87"/>
        <v>2.2599999999999999E-4</v>
      </c>
      <c r="L453" s="4">
        <f t="shared" si="88"/>
        <v>1.2256E-2</v>
      </c>
      <c r="M453" s="5">
        <f t="shared" si="89"/>
        <v>3.9006116330048188</v>
      </c>
      <c r="N453" s="2">
        <f t="shared" si="90"/>
        <v>1.2414193112545038E-2</v>
      </c>
      <c r="O453">
        <f t="shared" si="91"/>
        <v>20810.1381</v>
      </c>
      <c r="P453">
        <f t="shared" ca="1" si="85"/>
        <v>20812</v>
      </c>
      <c r="Q453" t="str">
        <f t="shared" ca="1" si="92"/>
        <v>0101000101001100</v>
      </c>
      <c r="R453">
        <f t="shared" ca="1" si="93"/>
        <v>3.90225</v>
      </c>
      <c r="S453">
        <f t="shared" ca="1" si="94"/>
        <v>66.826999999999998</v>
      </c>
      <c r="T453" s="1">
        <f t="shared" ca="1" si="96"/>
        <v>2.6528417818740459E-2</v>
      </c>
      <c r="V453" s="4">
        <f t="shared" ca="1" si="95"/>
        <v>1.7270000000000001</v>
      </c>
      <c r="X453" s="2"/>
    </row>
    <row r="454" spans="8:24" x14ac:dyDescent="0.25">
      <c r="H454">
        <v>65.2</v>
      </c>
      <c r="I454">
        <v>3.8613500845408568</v>
      </c>
      <c r="J454" s="4">
        <f t="shared" si="86"/>
        <v>3.4999999999999997E-5</v>
      </c>
      <c r="K454" s="9">
        <f t="shared" si="87"/>
        <v>2.2599999999999999E-4</v>
      </c>
      <c r="L454" s="4">
        <f t="shared" si="88"/>
        <v>1.2286E-2</v>
      </c>
      <c r="M454" s="5">
        <f t="shared" si="89"/>
        <v>3.9094033009078104</v>
      </c>
      <c r="N454" s="2">
        <f t="shared" si="90"/>
        <v>1.2444667102145821E-2</v>
      </c>
      <c r="O454">
        <f t="shared" si="91"/>
        <v>20857.0425</v>
      </c>
      <c r="P454">
        <f t="shared" ca="1" si="85"/>
        <v>20859</v>
      </c>
      <c r="Q454" t="str">
        <f t="shared" ca="1" si="92"/>
        <v>0101000101111011</v>
      </c>
      <c r="R454">
        <f t="shared" ca="1" si="93"/>
        <v>3.9110624999999999</v>
      </c>
      <c r="S454">
        <f t="shared" ca="1" si="94"/>
        <v>66.932750000000013</v>
      </c>
      <c r="T454" s="1">
        <f t="shared" ca="1" si="96"/>
        <v>2.6575920245398926E-2</v>
      </c>
      <c r="V454" s="4">
        <f t="shared" ca="1" si="95"/>
        <v>1.73275</v>
      </c>
      <c r="X454" s="2"/>
    </row>
    <row r="455" spans="8:24" x14ac:dyDescent="0.25">
      <c r="H455">
        <v>65.300000000000011</v>
      </c>
      <c r="I455">
        <v>3.8699299097942803</v>
      </c>
      <c r="J455" s="4">
        <f t="shared" si="86"/>
        <v>3.4999999999999997E-5</v>
      </c>
      <c r="K455" s="9">
        <f t="shared" si="87"/>
        <v>2.2699999999999999E-4</v>
      </c>
      <c r="L455" s="4">
        <f t="shared" si="88"/>
        <v>1.2317E-2</v>
      </c>
      <c r="M455" s="5">
        <f t="shared" si="89"/>
        <v>3.9182128227460433</v>
      </c>
      <c r="N455" s="2">
        <f t="shared" si="90"/>
        <v>1.2476430859785174E-2</v>
      </c>
      <c r="O455">
        <f t="shared" si="91"/>
        <v>20904.042099999999</v>
      </c>
      <c r="P455">
        <f t="shared" ca="1" si="85"/>
        <v>20904</v>
      </c>
      <c r="Q455" t="str">
        <f t="shared" ca="1" si="92"/>
        <v>0101000110101000</v>
      </c>
      <c r="R455">
        <f t="shared" ca="1" si="93"/>
        <v>3.9195000000000002</v>
      </c>
      <c r="S455">
        <f t="shared" ca="1" si="94"/>
        <v>67.034000000000006</v>
      </c>
      <c r="T455" s="1">
        <f t="shared" ca="1" si="96"/>
        <v>2.6554364471669131E-2</v>
      </c>
      <c r="V455" s="4">
        <f t="shared" ca="1" si="95"/>
        <v>1.734</v>
      </c>
      <c r="X455" s="2"/>
    </row>
    <row r="456" spans="8:24" x14ac:dyDescent="0.25">
      <c r="H456">
        <v>65.400000000000006</v>
      </c>
      <c r="I456">
        <v>3.8780132925564601</v>
      </c>
      <c r="J456" s="4">
        <f t="shared" si="86"/>
        <v>3.6000000000000001E-5</v>
      </c>
      <c r="K456" s="9">
        <f t="shared" si="87"/>
        <v>2.2699999999999999E-4</v>
      </c>
      <c r="L456" s="4">
        <f t="shared" si="88"/>
        <v>1.2347E-2</v>
      </c>
      <c r="M456" s="5">
        <f t="shared" si="89"/>
        <v>3.9265152603500013</v>
      </c>
      <c r="N456" s="2">
        <f t="shared" si="90"/>
        <v>1.2506911177080518E-2</v>
      </c>
      <c r="O456">
        <f t="shared" si="91"/>
        <v>20948.3364</v>
      </c>
      <c r="P456">
        <f t="shared" ca="1" si="85"/>
        <v>20952</v>
      </c>
      <c r="Q456" t="str">
        <f t="shared" ca="1" si="92"/>
        <v>0101000111011000</v>
      </c>
      <c r="R456">
        <f t="shared" ca="1" si="93"/>
        <v>3.9285000000000001</v>
      </c>
      <c r="S456">
        <f t="shared" ca="1" si="94"/>
        <v>67.14200000000001</v>
      </c>
      <c r="T456" s="1">
        <f t="shared" ca="1" si="96"/>
        <v>2.6636085626911381E-2</v>
      </c>
      <c r="V456" s="4">
        <f t="shared" ca="1" si="95"/>
        <v>1.742</v>
      </c>
      <c r="X456" s="2"/>
    </row>
    <row r="457" spans="8:24" x14ac:dyDescent="0.25">
      <c r="H457">
        <v>65.5</v>
      </c>
      <c r="I457">
        <v>3.8866181606996051</v>
      </c>
      <c r="J457" s="4">
        <f t="shared" si="86"/>
        <v>3.6999999999999998E-5</v>
      </c>
      <c r="K457" s="9">
        <f t="shared" si="87"/>
        <v>2.2800000000000001E-4</v>
      </c>
      <c r="L457" s="4">
        <f t="shared" si="88"/>
        <v>1.2378E-2</v>
      </c>
      <c r="M457" s="5">
        <f t="shared" si="89"/>
        <v>3.9353502076458455</v>
      </c>
      <c r="N457" s="2">
        <f t="shared" si="90"/>
        <v>1.2538418988262152E-2</v>
      </c>
      <c r="O457">
        <f t="shared" si="91"/>
        <v>20995.471699999998</v>
      </c>
      <c r="P457">
        <f t="shared" ca="1" si="85"/>
        <v>20997</v>
      </c>
      <c r="Q457" t="str">
        <f t="shared" ca="1" si="92"/>
        <v>0101001000000101</v>
      </c>
      <c r="R457">
        <f t="shared" ca="1" si="93"/>
        <v>3.9369375</v>
      </c>
      <c r="S457">
        <f t="shared" ca="1" si="94"/>
        <v>67.243250000000003</v>
      </c>
      <c r="T457" s="1">
        <f t="shared" ca="1" si="96"/>
        <v>2.6614503816793943E-2</v>
      </c>
      <c r="V457" s="4">
        <f t="shared" ca="1" si="95"/>
        <v>1.74325</v>
      </c>
      <c r="X457" s="2"/>
    </row>
    <row r="458" spans="8:24" x14ac:dyDescent="0.25">
      <c r="H458">
        <v>65.599999999999994</v>
      </c>
      <c r="I458">
        <v>3.8952348690828171</v>
      </c>
      <c r="J458" s="4">
        <f t="shared" si="86"/>
        <v>3.6999999999999998E-5</v>
      </c>
      <c r="K458" s="9">
        <f t="shared" si="87"/>
        <v>2.2800000000000001E-4</v>
      </c>
      <c r="L458" s="4">
        <f t="shared" si="88"/>
        <v>1.2408000000000001E-2</v>
      </c>
      <c r="M458" s="5">
        <f t="shared" si="89"/>
        <v>3.9441947174732253</v>
      </c>
      <c r="N458" s="2">
        <f t="shared" si="90"/>
        <v>1.2569164642422793E-2</v>
      </c>
      <c r="O458">
        <f t="shared" si="91"/>
        <v>21042.657999999999</v>
      </c>
      <c r="P458">
        <f t="shared" ca="1" si="85"/>
        <v>21041</v>
      </c>
      <c r="Q458" t="str">
        <f t="shared" ca="1" si="92"/>
        <v>0101001000110001</v>
      </c>
      <c r="R458">
        <f t="shared" ca="1" si="93"/>
        <v>3.9451875000000003</v>
      </c>
      <c r="S458">
        <f t="shared" ca="1" si="94"/>
        <v>67.342250000000007</v>
      </c>
      <c r="T458" s="1">
        <f t="shared" ca="1" si="96"/>
        <v>2.6558689024390441E-2</v>
      </c>
      <c r="V458" s="4">
        <f t="shared" ca="1" si="95"/>
        <v>1.7422500000000001</v>
      </c>
      <c r="X458" s="2"/>
    </row>
    <row r="459" spans="8:24" x14ac:dyDescent="0.25">
      <c r="H459">
        <v>65.7</v>
      </c>
      <c r="I459">
        <v>3.9038633034790937</v>
      </c>
      <c r="J459" s="4">
        <f t="shared" si="86"/>
        <v>3.8000000000000002E-5</v>
      </c>
      <c r="K459" s="9">
        <f t="shared" si="87"/>
        <v>2.2900000000000001E-4</v>
      </c>
      <c r="L459" s="4">
        <f t="shared" si="88"/>
        <v>1.2439E-2</v>
      </c>
      <c r="M459" s="5">
        <f t="shared" si="89"/>
        <v>3.9530546285415218</v>
      </c>
      <c r="N459" s="2">
        <f t="shared" si="90"/>
        <v>1.2600678158630486E-2</v>
      </c>
      <c r="O459">
        <f t="shared" si="91"/>
        <v>21089.926500000001</v>
      </c>
      <c r="P459">
        <f t="shared" ca="1" si="85"/>
        <v>21095</v>
      </c>
      <c r="Q459" t="str">
        <f t="shared" ca="1" si="92"/>
        <v>0101001001100111</v>
      </c>
      <c r="R459">
        <f t="shared" ca="1" si="93"/>
        <v>3.9553125000000002</v>
      </c>
      <c r="S459">
        <f t="shared" ca="1" si="94"/>
        <v>67.463750000000005</v>
      </c>
      <c r="T459" s="1">
        <f t="shared" ca="1" si="96"/>
        <v>2.6845509893455122E-2</v>
      </c>
      <c r="V459" s="4">
        <f t="shared" ca="1" si="95"/>
        <v>1.7637499999999999</v>
      </c>
      <c r="X459" s="2"/>
    </row>
    <row r="460" spans="8:24" x14ac:dyDescent="0.25">
      <c r="H460">
        <v>65.800000000000011</v>
      </c>
      <c r="I460">
        <v>3.912503348104758</v>
      </c>
      <c r="J460" s="4">
        <f t="shared" si="86"/>
        <v>3.8000000000000002E-5</v>
      </c>
      <c r="K460" s="9">
        <f t="shared" si="87"/>
        <v>2.2900000000000001E-4</v>
      </c>
      <c r="L460" s="4">
        <f t="shared" si="88"/>
        <v>1.2468999999999999E-2</v>
      </c>
      <c r="M460" s="5">
        <f t="shared" si="89"/>
        <v>3.9619238534311916</v>
      </c>
      <c r="N460" s="2">
        <f t="shared" si="90"/>
        <v>1.2631428251779828E-2</v>
      </c>
      <c r="O460">
        <f t="shared" si="91"/>
        <v>21137.244699999999</v>
      </c>
      <c r="P460">
        <f t="shared" ca="1" si="85"/>
        <v>21140</v>
      </c>
      <c r="Q460" t="str">
        <f t="shared" ca="1" si="92"/>
        <v>0101001010010100</v>
      </c>
      <c r="R460">
        <f t="shared" ca="1" si="93"/>
        <v>3.9637500000000001</v>
      </c>
      <c r="S460">
        <f t="shared" ca="1" si="94"/>
        <v>67.565000000000012</v>
      </c>
      <c r="T460" s="1">
        <f t="shared" ca="1" si="96"/>
        <v>2.6823708206686933E-2</v>
      </c>
      <c r="V460" s="4">
        <f t="shared" ca="1" si="95"/>
        <v>1.7649999999999999</v>
      </c>
      <c r="X460" s="2"/>
    </row>
    <row r="461" spans="8:24" x14ac:dyDescent="0.25">
      <c r="H461">
        <v>65.900000000000006</v>
      </c>
      <c r="I461">
        <v>3.9206514305956071</v>
      </c>
      <c r="J461" s="4">
        <f t="shared" si="86"/>
        <v>3.8999999999999999E-5</v>
      </c>
      <c r="K461" s="9">
        <f t="shared" si="87"/>
        <v>2.3000000000000001E-4</v>
      </c>
      <c r="L461" s="4">
        <f t="shared" si="88"/>
        <v>1.2500000000000001E-2</v>
      </c>
      <c r="M461" s="5">
        <f t="shared" si="89"/>
        <v>3.9702984360461842</v>
      </c>
      <c r="N461" s="2">
        <f t="shared" si="90"/>
        <v>1.2662948066014366E-2</v>
      </c>
      <c r="O461">
        <f t="shared" si="91"/>
        <v>21181.923900000002</v>
      </c>
      <c r="P461">
        <f t="shared" ca="1" si="85"/>
        <v>21186</v>
      </c>
      <c r="Q461" t="str">
        <f t="shared" ca="1" si="92"/>
        <v>0101001011000010</v>
      </c>
      <c r="R461">
        <f t="shared" ca="1" si="93"/>
        <v>3.972375</v>
      </c>
      <c r="S461">
        <f t="shared" ca="1" si="94"/>
        <v>67.668500000000009</v>
      </c>
      <c r="T461" s="1">
        <f t="shared" ca="1" si="96"/>
        <v>2.6836115326251943E-2</v>
      </c>
      <c r="V461" s="4">
        <f t="shared" ca="1" si="95"/>
        <v>1.7685</v>
      </c>
      <c r="X461" s="2"/>
    </row>
    <row r="462" spans="8:24" x14ac:dyDescent="0.25">
      <c r="H462">
        <v>66</v>
      </c>
      <c r="I462">
        <v>3.9293153603469024</v>
      </c>
      <c r="J462" s="4">
        <f t="shared" si="86"/>
        <v>4.0000000000000003E-5</v>
      </c>
      <c r="K462" s="9">
        <f t="shared" si="87"/>
        <v>2.3000000000000001E-4</v>
      </c>
      <c r="L462" s="4">
        <f t="shared" si="88"/>
        <v>1.2529999999999999E-2</v>
      </c>
      <c r="M462" s="5">
        <f t="shared" si="89"/>
        <v>3.9791919082168601</v>
      </c>
      <c r="N462" s="2">
        <f t="shared" si="90"/>
        <v>1.2693444861487083E-2</v>
      </c>
      <c r="O462">
        <f t="shared" si="91"/>
        <v>21229.3714</v>
      </c>
      <c r="P462">
        <f t="shared" ca="1" si="85"/>
        <v>21228</v>
      </c>
      <c r="Q462" t="str">
        <f t="shared" ca="1" si="92"/>
        <v>0101001011101100</v>
      </c>
      <c r="R462">
        <f t="shared" ca="1" si="93"/>
        <v>3.9802500000000003</v>
      </c>
      <c r="S462">
        <f t="shared" ca="1" si="94"/>
        <v>67.763000000000005</v>
      </c>
      <c r="T462" s="1">
        <f t="shared" ca="1" si="96"/>
        <v>2.6712121212121291E-2</v>
      </c>
      <c r="V462" s="4">
        <f t="shared" ca="1" si="95"/>
        <v>1.7629999999999999</v>
      </c>
      <c r="X462" s="2"/>
    </row>
    <row r="463" spans="8:24" x14ac:dyDescent="0.25">
      <c r="H463">
        <v>66.099999999999994</v>
      </c>
      <c r="I463">
        <v>3.9374891134776955</v>
      </c>
      <c r="J463" s="4">
        <f t="shared" si="86"/>
        <v>4.0000000000000003E-5</v>
      </c>
      <c r="K463" s="9">
        <f t="shared" si="87"/>
        <v>2.31E-4</v>
      </c>
      <c r="L463" s="4">
        <f t="shared" si="88"/>
        <v>1.2560999999999999E-2</v>
      </c>
      <c r="M463" s="5">
        <f t="shared" si="89"/>
        <v>3.9875945602104998</v>
      </c>
      <c r="N463" s="2">
        <f t="shared" si="90"/>
        <v>1.2725228004135331E-2</v>
      </c>
      <c r="O463">
        <f t="shared" si="91"/>
        <v>21274.200400000002</v>
      </c>
      <c r="P463">
        <f t="shared" ref="P463:P526" ca="1" si="97">ROUND(O463+$C$47+$C$49+RANDBETWEEN($B$45,$D$45) + 1,0)</f>
        <v>21274</v>
      </c>
      <c r="Q463" t="str">
        <f t="shared" ca="1" si="92"/>
        <v>0101001100011010</v>
      </c>
      <c r="R463">
        <f t="shared" ca="1" si="93"/>
        <v>3.9888750000000002</v>
      </c>
      <c r="S463">
        <f t="shared" ca="1" si="94"/>
        <v>67.866500000000016</v>
      </c>
      <c r="T463" s="1">
        <f t="shared" ca="1" si="96"/>
        <v>2.6724659606656914E-2</v>
      </c>
      <c r="V463" s="4">
        <f t="shared" ca="1" si="95"/>
        <v>1.7665</v>
      </c>
      <c r="X463" s="2"/>
    </row>
    <row r="464" spans="8:24" x14ac:dyDescent="0.25">
      <c r="H464">
        <v>66.2</v>
      </c>
      <c r="I464">
        <v>3.9451755966770987</v>
      </c>
      <c r="J464" s="4">
        <f t="shared" si="86"/>
        <v>4.1E-5</v>
      </c>
      <c r="K464" s="9">
        <f t="shared" si="87"/>
        <v>2.31E-4</v>
      </c>
      <c r="L464" s="4">
        <f t="shared" si="88"/>
        <v>1.2591E-2</v>
      </c>
      <c r="M464" s="5">
        <f t="shared" si="89"/>
        <v>3.9954991967858295</v>
      </c>
      <c r="N464" s="2">
        <f t="shared" si="90"/>
        <v>1.2755731367474965E-2</v>
      </c>
      <c r="O464">
        <f t="shared" si="91"/>
        <v>21316.3724</v>
      </c>
      <c r="P464">
        <f t="shared" ca="1" si="97"/>
        <v>21321</v>
      </c>
      <c r="Q464" t="str">
        <f t="shared" ca="1" si="92"/>
        <v>0101001101001001</v>
      </c>
      <c r="R464">
        <f t="shared" ca="1" si="93"/>
        <v>3.9976875000000001</v>
      </c>
      <c r="S464">
        <f t="shared" ca="1" si="94"/>
        <v>67.972250000000003</v>
      </c>
      <c r="T464" s="1">
        <f t="shared" ca="1" si="96"/>
        <v>2.6771148036253769E-2</v>
      </c>
      <c r="V464" s="4">
        <f t="shared" ca="1" si="95"/>
        <v>1.7722500000000001</v>
      </c>
      <c r="X464" s="2"/>
    </row>
    <row r="465" spans="8:24" x14ac:dyDescent="0.25">
      <c r="H465">
        <v>66.300000000000011</v>
      </c>
      <c r="I465">
        <v>3.9538759947824289</v>
      </c>
      <c r="J465" s="4">
        <f t="shared" si="86"/>
        <v>4.1E-5</v>
      </c>
      <c r="K465" s="9">
        <f t="shared" si="87"/>
        <v>2.32E-4</v>
      </c>
      <c r="L465" s="4">
        <f t="shared" si="88"/>
        <v>1.2622E-2</v>
      </c>
      <c r="M465" s="5">
        <f t="shared" si="89"/>
        <v>4.0044362571441017</v>
      </c>
      <c r="N465" s="2">
        <f t="shared" si="90"/>
        <v>1.2787518482722412E-2</v>
      </c>
      <c r="O465">
        <f t="shared" si="91"/>
        <v>21364.0524</v>
      </c>
      <c r="P465">
        <f t="shared" ca="1" si="97"/>
        <v>21369</v>
      </c>
      <c r="Q465" t="str">
        <f t="shared" ca="1" si="92"/>
        <v>0101001101111001</v>
      </c>
      <c r="R465">
        <f t="shared" ca="1" si="93"/>
        <v>4.0066875</v>
      </c>
      <c r="S465">
        <f t="shared" ca="1" si="94"/>
        <v>68.080250000000007</v>
      </c>
      <c r="T465" s="1">
        <f t="shared" ca="1" si="96"/>
        <v>2.6851432880844569E-2</v>
      </c>
      <c r="V465" s="4">
        <f t="shared" ca="1" si="95"/>
        <v>1.7802500000000001</v>
      </c>
      <c r="X465" s="2"/>
    </row>
    <row r="466" spans="8:24" x14ac:dyDescent="0.25">
      <c r="H466">
        <v>66.400000000000006</v>
      </c>
      <c r="I466">
        <v>3.962587314823617</v>
      </c>
      <c r="J466" s="4">
        <f t="shared" si="86"/>
        <v>4.1999999999999998E-5</v>
      </c>
      <c r="K466" s="9">
        <f t="shared" si="87"/>
        <v>2.32E-4</v>
      </c>
      <c r="L466" s="4">
        <f t="shared" si="88"/>
        <v>1.2652E-2</v>
      </c>
      <c r="M466" s="5">
        <f t="shared" si="89"/>
        <v>4.0133798630347322</v>
      </c>
      <c r="N466" s="2">
        <f t="shared" si="90"/>
        <v>1.2818026247927864E-2</v>
      </c>
      <c r="O466">
        <f t="shared" si="91"/>
        <v>21411.767400000001</v>
      </c>
      <c r="P466">
        <f t="shared" ca="1" si="97"/>
        <v>21413</v>
      </c>
      <c r="Q466" t="str">
        <f t="shared" ca="1" si="92"/>
        <v>0101001110100101</v>
      </c>
      <c r="R466">
        <f t="shared" ca="1" si="93"/>
        <v>4.0149375000000003</v>
      </c>
      <c r="S466">
        <f t="shared" ca="1" si="94"/>
        <v>68.17925000000001</v>
      </c>
      <c r="T466" s="1">
        <f t="shared" ca="1" si="96"/>
        <v>2.6795933734939825E-2</v>
      </c>
      <c r="V466" s="4">
        <f t="shared" ca="1" si="95"/>
        <v>1.77925</v>
      </c>
      <c r="X466" s="2"/>
    </row>
    <row r="467" spans="8:24" x14ac:dyDescent="0.25">
      <c r="H467">
        <v>66.5</v>
      </c>
      <c r="I467">
        <v>3.9708120185071025</v>
      </c>
      <c r="J467" s="4">
        <f t="shared" si="86"/>
        <v>4.1999999999999998E-5</v>
      </c>
      <c r="K467" s="9">
        <f t="shared" si="87"/>
        <v>2.33E-4</v>
      </c>
      <c r="L467" s="4">
        <f t="shared" si="88"/>
        <v>1.2683E-2</v>
      </c>
      <c r="M467" s="5">
        <f t="shared" si="89"/>
        <v>4.0218362318212924</v>
      </c>
      <c r="N467" s="2">
        <f t="shared" si="90"/>
        <v>1.2849818393914626E-2</v>
      </c>
      <c r="O467">
        <f t="shared" si="91"/>
        <v>21456.883000000002</v>
      </c>
      <c r="P467">
        <f t="shared" ca="1" si="97"/>
        <v>21458</v>
      </c>
      <c r="Q467" t="str">
        <f t="shared" ca="1" si="92"/>
        <v>0101001111010010</v>
      </c>
      <c r="R467">
        <f t="shared" ca="1" si="93"/>
        <v>4.0233749999999997</v>
      </c>
      <c r="S467">
        <f t="shared" ca="1" si="94"/>
        <v>68.280500000000004</v>
      </c>
      <c r="T467" s="1">
        <f t="shared" ca="1" si="96"/>
        <v>2.6774436090225617E-2</v>
      </c>
      <c r="V467" s="4">
        <f t="shared" ca="1" si="95"/>
        <v>1.7805</v>
      </c>
      <c r="X467" s="2"/>
    </row>
    <row r="468" spans="8:24" x14ac:dyDescent="0.25">
      <c r="H468">
        <v>66.599999999999994</v>
      </c>
      <c r="I468">
        <v>3.9790494193622994</v>
      </c>
      <c r="J468" s="4">
        <f t="shared" si="86"/>
        <v>4.3000000000000002E-5</v>
      </c>
      <c r="K468" s="9">
        <f t="shared" si="87"/>
        <v>2.33E-4</v>
      </c>
      <c r="L468" s="4">
        <f t="shared" si="88"/>
        <v>1.2713E-2</v>
      </c>
      <c r="M468" s="5">
        <f t="shared" si="89"/>
        <v>4.0303008973158763</v>
      </c>
      <c r="N468" s="2">
        <f t="shared" si="90"/>
        <v>1.2880332097456249E-2</v>
      </c>
      <c r="O468">
        <f t="shared" si="91"/>
        <v>21502.042799999999</v>
      </c>
      <c r="P468">
        <f t="shared" ca="1" si="97"/>
        <v>21502</v>
      </c>
      <c r="Q468" t="str">
        <f t="shared" ca="1" si="92"/>
        <v>0101001111111110</v>
      </c>
      <c r="R468">
        <f t="shared" ca="1" si="93"/>
        <v>4.031625</v>
      </c>
      <c r="S468">
        <f t="shared" ca="1" si="94"/>
        <v>68.379500000000007</v>
      </c>
      <c r="T468" s="1">
        <f t="shared" ca="1" si="96"/>
        <v>2.6719219219219416E-2</v>
      </c>
      <c r="V468" s="4">
        <f t="shared" ca="1" si="95"/>
        <v>1.7795000000000001</v>
      </c>
      <c r="X468" s="2"/>
    </row>
    <row r="469" spans="8:24" x14ac:dyDescent="0.25">
      <c r="H469">
        <v>66.7</v>
      </c>
      <c r="I469">
        <v>3.9877948226005637</v>
      </c>
      <c r="J469" s="4">
        <f t="shared" si="86"/>
        <v>4.3999999999999999E-5</v>
      </c>
      <c r="K469" s="9">
        <f t="shared" si="87"/>
        <v>2.34E-4</v>
      </c>
      <c r="L469" s="4">
        <f t="shared" si="88"/>
        <v>1.2744E-2</v>
      </c>
      <c r="M469" s="5">
        <f t="shared" si="89"/>
        <v>4.0392847280224826</v>
      </c>
      <c r="N469" s="2">
        <f t="shared" si="90"/>
        <v>1.29118742845302E-2</v>
      </c>
      <c r="O469">
        <f t="shared" si="91"/>
        <v>21549.972399999999</v>
      </c>
      <c r="P469">
        <f t="shared" ca="1" si="97"/>
        <v>21549</v>
      </c>
      <c r="Q469" t="str">
        <f t="shared" ca="1" si="92"/>
        <v>0101010000101101</v>
      </c>
      <c r="R469">
        <f t="shared" ca="1" si="93"/>
        <v>4.0404375000000003</v>
      </c>
      <c r="S469">
        <f t="shared" ca="1" si="94"/>
        <v>68.485250000000008</v>
      </c>
      <c r="T469" s="1">
        <f t="shared" ca="1" si="96"/>
        <v>2.6765367316341902E-2</v>
      </c>
      <c r="V469" s="4">
        <f t="shared" ca="1" si="95"/>
        <v>1.78525</v>
      </c>
      <c r="X469" s="2"/>
    </row>
    <row r="470" spans="8:24" x14ac:dyDescent="0.25">
      <c r="H470">
        <v>66.800000000000011</v>
      </c>
      <c r="I470">
        <v>3.9960562697270805</v>
      </c>
      <c r="J470" s="4">
        <f t="shared" si="86"/>
        <v>4.3999999999999999E-5</v>
      </c>
      <c r="K470" s="9">
        <f t="shared" si="87"/>
        <v>2.34E-4</v>
      </c>
      <c r="L470" s="4">
        <f t="shared" si="88"/>
        <v>1.2774000000000001E-2</v>
      </c>
      <c r="M470" s="5">
        <f t="shared" si="89"/>
        <v>4.0477758171230098</v>
      </c>
      <c r="N470" s="2">
        <f t="shared" si="90"/>
        <v>1.2942647426599332E-2</v>
      </c>
      <c r="O470">
        <f t="shared" si="91"/>
        <v>21595.2732</v>
      </c>
      <c r="P470">
        <f t="shared" ca="1" si="97"/>
        <v>21595</v>
      </c>
      <c r="Q470" t="str">
        <f t="shared" ca="1" si="92"/>
        <v>0101010001011011</v>
      </c>
      <c r="R470">
        <f t="shared" ca="1" si="93"/>
        <v>4.0490624999999998</v>
      </c>
      <c r="S470">
        <f t="shared" ca="1" si="94"/>
        <v>68.588750000000005</v>
      </c>
      <c r="T470" s="1">
        <f t="shared" ca="1" si="96"/>
        <v>2.6777694610778335E-2</v>
      </c>
      <c r="V470" s="4">
        <f t="shared" ca="1" si="95"/>
        <v>1.7887500000000001</v>
      </c>
      <c r="X470" s="2"/>
    </row>
    <row r="471" spans="8:24" x14ac:dyDescent="0.25">
      <c r="H471">
        <v>66.900000000000006</v>
      </c>
      <c r="I471">
        <v>4.0043300668197448</v>
      </c>
      <c r="J471" s="4">
        <f t="shared" si="86"/>
        <v>4.5000000000000003E-5</v>
      </c>
      <c r="K471" s="9">
        <f t="shared" si="87"/>
        <v>2.3499999999999999E-4</v>
      </c>
      <c r="L471" s="4">
        <f t="shared" si="88"/>
        <v>1.2805E-2</v>
      </c>
      <c r="M471" s="5">
        <f t="shared" si="89"/>
        <v>4.0562830283072184</v>
      </c>
      <c r="N471" s="2">
        <f t="shared" si="90"/>
        <v>1.2974195588410845E-2</v>
      </c>
      <c r="O471">
        <f t="shared" si="91"/>
        <v>21640.66</v>
      </c>
      <c r="P471">
        <f t="shared" ca="1" si="97"/>
        <v>21639</v>
      </c>
      <c r="Q471" t="str">
        <f t="shared" ca="1" si="92"/>
        <v>0101010010000111</v>
      </c>
      <c r="R471">
        <f t="shared" ca="1" si="93"/>
        <v>4.0573125000000001</v>
      </c>
      <c r="S471">
        <f t="shared" ca="1" si="94"/>
        <v>68.687750000000008</v>
      </c>
      <c r="T471" s="1">
        <f t="shared" ca="1" si="96"/>
        <v>2.6722720478325895E-2</v>
      </c>
      <c r="V471" s="4">
        <f t="shared" ca="1" si="95"/>
        <v>1.78775</v>
      </c>
      <c r="X471" s="2"/>
    </row>
    <row r="472" spans="8:24" x14ac:dyDescent="0.25">
      <c r="H472">
        <v>67</v>
      </c>
      <c r="I472">
        <v>4.013108525917664</v>
      </c>
      <c r="J472" s="4">
        <f t="shared" si="86"/>
        <v>4.5000000000000003E-5</v>
      </c>
      <c r="K472" s="9">
        <f t="shared" si="87"/>
        <v>2.3499999999999999E-4</v>
      </c>
      <c r="L472" s="4">
        <f t="shared" si="88"/>
        <v>1.2834999999999999E-2</v>
      </c>
      <c r="M472" s="5">
        <f t="shared" si="89"/>
        <v>4.0652988927764495</v>
      </c>
      <c r="N472" s="2">
        <f t="shared" si="90"/>
        <v>1.3004972709241979E-2</v>
      </c>
      <c r="O472">
        <f t="shared" si="91"/>
        <v>21688.7605</v>
      </c>
      <c r="P472">
        <f t="shared" ca="1" si="97"/>
        <v>21691</v>
      </c>
      <c r="Q472" t="str">
        <f t="shared" ca="1" si="92"/>
        <v>0101010010111011</v>
      </c>
      <c r="R472">
        <f t="shared" ca="1" si="93"/>
        <v>4.0670625000000005</v>
      </c>
      <c r="S472">
        <f t="shared" ca="1" si="94"/>
        <v>68.804750000000013</v>
      </c>
      <c r="T472" s="1">
        <f t="shared" ca="1" si="96"/>
        <v>2.6936567164179293E-2</v>
      </c>
      <c r="V472" s="4">
        <f t="shared" ca="1" si="95"/>
        <v>1.8047500000000001</v>
      </c>
      <c r="X472" s="2"/>
    </row>
    <row r="473" spans="8:24" x14ac:dyDescent="0.25">
      <c r="H473">
        <v>67.099999999999994</v>
      </c>
      <c r="I473">
        <v>4.0214056798206155</v>
      </c>
      <c r="J473" s="4">
        <f t="shared" si="86"/>
        <v>4.6E-5</v>
      </c>
      <c r="K473" s="9">
        <f t="shared" si="87"/>
        <v>2.3599999999999999E-4</v>
      </c>
      <c r="L473" s="4">
        <f t="shared" si="88"/>
        <v>1.2866000000000001E-2</v>
      </c>
      <c r="M473" s="5">
        <f t="shared" si="89"/>
        <v>4.073830841195436</v>
      </c>
      <c r="N473" s="2">
        <f t="shared" si="90"/>
        <v>1.3036526416096152E-2</v>
      </c>
      <c r="O473">
        <f t="shared" si="91"/>
        <v>21734.279200000001</v>
      </c>
      <c r="P473">
        <f t="shared" ca="1" si="97"/>
        <v>21737</v>
      </c>
      <c r="Q473" t="str">
        <f t="shared" ca="1" si="92"/>
        <v>0101010011101001</v>
      </c>
      <c r="R473">
        <f t="shared" ca="1" si="93"/>
        <v>4.0756874999999999</v>
      </c>
      <c r="S473">
        <f t="shared" ca="1" si="94"/>
        <v>68.90825000000001</v>
      </c>
      <c r="T473" s="1">
        <f t="shared" ca="1" si="96"/>
        <v>2.6948584202682792E-2</v>
      </c>
      <c r="V473" s="4">
        <f t="shared" ca="1" si="95"/>
        <v>1.8082499999999999</v>
      </c>
      <c r="X473" s="2"/>
    </row>
    <row r="474" spans="8:24" x14ac:dyDescent="0.25">
      <c r="H474">
        <v>67.2</v>
      </c>
      <c r="I474">
        <v>4.0297148385936792</v>
      </c>
      <c r="J474" s="4">
        <f t="shared" si="86"/>
        <v>4.6E-5</v>
      </c>
      <c r="K474" s="9">
        <f t="shared" si="87"/>
        <v>2.3599999999999999E-4</v>
      </c>
      <c r="L474" s="4">
        <f t="shared" si="88"/>
        <v>1.2895999999999999E-2</v>
      </c>
      <c r="M474" s="5">
        <f t="shared" si="89"/>
        <v>4.0823723646400776</v>
      </c>
      <c r="N474" s="2">
        <f t="shared" si="90"/>
        <v>1.3067308272556383E-2</v>
      </c>
      <c r="O474">
        <f t="shared" si="91"/>
        <v>21779.849099999999</v>
      </c>
      <c r="P474">
        <f t="shared" ca="1" si="97"/>
        <v>21779</v>
      </c>
      <c r="Q474" t="str">
        <f t="shared" ca="1" si="92"/>
        <v>0101010100010011</v>
      </c>
      <c r="R474">
        <f t="shared" ca="1" si="93"/>
        <v>4.0835625000000002</v>
      </c>
      <c r="S474">
        <f t="shared" ca="1" si="94"/>
        <v>69.002750000000006</v>
      </c>
      <c r="T474" s="1">
        <f t="shared" ca="1" si="96"/>
        <v>2.682663690476195E-2</v>
      </c>
      <c r="V474" s="4">
        <f t="shared" ca="1" si="95"/>
        <v>1.8027500000000001</v>
      </c>
      <c r="X474" s="2"/>
    </row>
    <row r="475" spans="8:24" x14ac:dyDescent="0.25">
      <c r="H475">
        <v>67.300000000000011</v>
      </c>
      <c r="I475">
        <v>4.0380358866641162</v>
      </c>
      <c r="J475" s="4">
        <f t="shared" si="86"/>
        <v>4.6999999999999997E-5</v>
      </c>
      <c r="K475" s="9">
        <f t="shared" si="87"/>
        <v>2.3699999999999999E-4</v>
      </c>
      <c r="L475" s="4">
        <f t="shared" si="88"/>
        <v>1.2926999999999999E-2</v>
      </c>
      <c r="M475" s="5">
        <f t="shared" si="89"/>
        <v>4.0909295836256447</v>
      </c>
      <c r="N475" s="2">
        <f t="shared" si="90"/>
        <v>1.3098867480651557E-2</v>
      </c>
      <c r="O475">
        <f t="shared" si="91"/>
        <v>21825.502700000001</v>
      </c>
      <c r="P475">
        <f t="shared" ca="1" si="97"/>
        <v>21828</v>
      </c>
      <c r="Q475" t="str">
        <f t="shared" ca="1" si="92"/>
        <v>0101010101000100</v>
      </c>
      <c r="R475">
        <f t="shared" ca="1" si="93"/>
        <v>4.0927499999999997</v>
      </c>
      <c r="S475">
        <f t="shared" ca="1" si="94"/>
        <v>69.113</v>
      </c>
      <c r="T475" s="1">
        <f t="shared" ca="1" si="96"/>
        <v>2.6939078751857175E-2</v>
      </c>
      <c r="V475" s="4">
        <f t="shared" ca="1" si="95"/>
        <v>1.8129999999999999</v>
      </c>
      <c r="X475" s="2"/>
    </row>
    <row r="476" spans="8:24" x14ac:dyDescent="0.25">
      <c r="H476">
        <v>67.400000000000006</v>
      </c>
      <c r="I476">
        <v>4.0458802580317847</v>
      </c>
      <c r="J476" s="4">
        <f t="shared" si="86"/>
        <v>4.8000000000000001E-5</v>
      </c>
      <c r="K476" s="9">
        <f t="shared" si="87"/>
        <v>2.3699999999999999E-4</v>
      </c>
      <c r="L476" s="4">
        <f t="shared" si="88"/>
        <v>1.2957E-2</v>
      </c>
      <c r="M476" s="5">
        <f t="shared" si="89"/>
        <v>4.0990002528013321</v>
      </c>
      <c r="N476" s="2">
        <f t="shared" si="90"/>
        <v>1.3129403586301096E-2</v>
      </c>
      <c r="O476">
        <f t="shared" si="91"/>
        <v>21868.5605</v>
      </c>
      <c r="P476">
        <f t="shared" ca="1" si="97"/>
        <v>21870</v>
      </c>
      <c r="Q476" t="str">
        <f t="shared" ca="1" si="92"/>
        <v>0101010101101110</v>
      </c>
      <c r="R476">
        <f t="shared" ca="1" si="93"/>
        <v>4.100625</v>
      </c>
      <c r="S476">
        <f t="shared" ca="1" si="94"/>
        <v>69.20750000000001</v>
      </c>
      <c r="T476" s="1">
        <f t="shared" ca="1" si="96"/>
        <v>2.6817507418397692E-2</v>
      </c>
      <c r="V476" s="4">
        <f t="shared" ca="1" si="95"/>
        <v>1.8075000000000001</v>
      </c>
      <c r="X476" s="2"/>
    </row>
    <row r="477" spans="8:24" x14ac:dyDescent="0.25">
      <c r="H477">
        <v>67.5</v>
      </c>
      <c r="I477">
        <v>4.0542257320948458</v>
      </c>
      <c r="J477" s="4">
        <f t="shared" si="86"/>
        <v>4.8000000000000001E-5</v>
      </c>
      <c r="K477" s="9">
        <f t="shared" si="87"/>
        <v>2.3800000000000001E-4</v>
      </c>
      <c r="L477" s="4">
        <f t="shared" si="88"/>
        <v>1.2988E-2</v>
      </c>
      <c r="M477" s="5">
        <f t="shared" si="89"/>
        <v>4.1075842834644831</v>
      </c>
      <c r="N477" s="2">
        <f t="shared" si="90"/>
        <v>1.3161218663092687E-2</v>
      </c>
      <c r="O477">
        <f t="shared" si="91"/>
        <v>21914.357100000001</v>
      </c>
      <c r="P477">
        <f t="shared" ca="1" si="97"/>
        <v>21916</v>
      </c>
      <c r="Q477" t="str">
        <f t="shared" ca="1" si="92"/>
        <v>0101010110011100</v>
      </c>
      <c r="R477">
        <f t="shared" ca="1" si="93"/>
        <v>4.1092500000000003</v>
      </c>
      <c r="S477">
        <f t="shared" ca="1" si="94"/>
        <v>69.311000000000007</v>
      </c>
      <c r="T477" s="1">
        <f t="shared" ca="1" si="96"/>
        <v>2.6829629629629734E-2</v>
      </c>
      <c r="V477" s="4">
        <f t="shared" ca="1" si="95"/>
        <v>1.8109999999999999</v>
      </c>
      <c r="X477" s="2"/>
    </row>
    <row r="478" spans="8:24" x14ac:dyDescent="0.25">
      <c r="H478">
        <v>67.599999999999994</v>
      </c>
      <c r="I478">
        <v>4.0625827505156353</v>
      </c>
      <c r="J478" s="4">
        <f t="shared" si="86"/>
        <v>4.8999999999999998E-5</v>
      </c>
      <c r="K478" s="9">
        <f t="shared" si="87"/>
        <v>2.3800000000000001E-4</v>
      </c>
      <c r="L478" s="4">
        <f t="shared" si="88"/>
        <v>1.3018E-2</v>
      </c>
      <c r="M478" s="5">
        <f t="shared" si="89"/>
        <v>4.1161753663913174</v>
      </c>
      <c r="N478" s="2">
        <f t="shared" si="90"/>
        <v>1.3191759815570515E-2</v>
      </c>
      <c r="O478">
        <f t="shared" si="91"/>
        <v>21960.191299999999</v>
      </c>
      <c r="P478">
        <f t="shared" ca="1" si="97"/>
        <v>21959</v>
      </c>
      <c r="Q478" t="str">
        <f t="shared" ca="1" si="92"/>
        <v>0101010111000111</v>
      </c>
      <c r="R478">
        <f t="shared" ca="1" si="93"/>
        <v>4.1173124999999997</v>
      </c>
      <c r="S478">
        <f t="shared" ca="1" si="94"/>
        <v>69.407750000000007</v>
      </c>
      <c r="T478" s="1">
        <f t="shared" ca="1" si="96"/>
        <v>2.6741863905325635E-2</v>
      </c>
      <c r="V478" s="4">
        <f t="shared" ca="1" si="95"/>
        <v>1.80775</v>
      </c>
      <c r="X478" s="2"/>
    </row>
    <row r="479" spans="8:24" x14ac:dyDescent="0.25">
      <c r="H479">
        <v>67.7</v>
      </c>
      <c r="I479">
        <v>4.0714366819239096</v>
      </c>
      <c r="J479" s="4">
        <f t="shared" si="86"/>
        <v>4.8999999999999998E-5</v>
      </c>
      <c r="K479" s="9">
        <f t="shared" si="87"/>
        <v>2.3900000000000001E-4</v>
      </c>
      <c r="L479" s="4">
        <f t="shared" si="88"/>
        <v>1.3049E-2</v>
      </c>
      <c r="M479" s="5">
        <f t="shared" si="89"/>
        <v>4.1252756469996079</v>
      </c>
      <c r="N479" s="2">
        <f t="shared" si="90"/>
        <v>1.3223579115138622E-2</v>
      </c>
      <c r="O479">
        <f t="shared" si="91"/>
        <v>22008.742200000001</v>
      </c>
      <c r="P479">
        <f t="shared" ca="1" si="97"/>
        <v>22011</v>
      </c>
      <c r="Q479" t="str">
        <f t="shared" ca="1" si="92"/>
        <v>0101010111111011</v>
      </c>
      <c r="R479">
        <f t="shared" ca="1" si="93"/>
        <v>4.1270625000000001</v>
      </c>
      <c r="S479">
        <f t="shared" ca="1" si="94"/>
        <v>69.524750000000012</v>
      </c>
      <c r="T479" s="1">
        <f t="shared" ca="1" si="96"/>
        <v>2.6953471196455078E-2</v>
      </c>
      <c r="V479" s="4">
        <f t="shared" ca="1" si="95"/>
        <v>1.8247500000000001</v>
      </c>
      <c r="X479" s="2"/>
    </row>
    <row r="480" spans="8:24" x14ac:dyDescent="0.25">
      <c r="H480">
        <v>67.800000000000011</v>
      </c>
      <c r="I480">
        <v>4.0788464719702064</v>
      </c>
      <c r="J480" s="4">
        <f t="shared" si="86"/>
        <v>5.0000000000000002E-5</v>
      </c>
      <c r="K480" s="9">
        <f t="shared" si="87"/>
        <v>2.3900000000000001E-4</v>
      </c>
      <c r="L480" s="4">
        <f t="shared" si="88"/>
        <v>1.3079E-2</v>
      </c>
      <c r="M480" s="5">
        <f t="shared" si="89"/>
        <v>4.1329080173470887</v>
      </c>
      <c r="N480" s="2">
        <f t="shared" si="90"/>
        <v>1.3254126074220409E-2</v>
      </c>
      <c r="O480">
        <f t="shared" si="91"/>
        <v>22049.461599999999</v>
      </c>
      <c r="P480">
        <f t="shared" ca="1" si="97"/>
        <v>22052</v>
      </c>
      <c r="Q480" t="str">
        <f t="shared" ca="1" si="92"/>
        <v>0101011000100100</v>
      </c>
      <c r="R480">
        <f t="shared" ca="1" si="93"/>
        <v>4.1347500000000004</v>
      </c>
      <c r="S480">
        <f t="shared" ca="1" si="94"/>
        <v>69.617000000000019</v>
      </c>
      <c r="T480" s="1">
        <f t="shared" ca="1" si="96"/>
        <v>2.6799410029498628E-2</v>
      </c>
      <c r="V480" s="4">
        <f t="shared" ca="1" si="95"/>
        <v>1.8169999999999999</v>
      </c>
      <c r="X480" s="2"/>
    </row>
    <row r="481" spans="8:24" x14ac:dyDescent="0.25">
      <c r="H481">
        <v>67.900000000000006</v>
      </c>
      <c r="I481">
        <v>4.0872384266898321</v>
      </c>
      <c r="J481" s="4">
        <f t="shared" si="86"/>
        <v>5.0000000000000002E-5</v>
      </c>
      <c r="K481" s="9">
        <f t="shared" si="87"/>
        <v>2.4000000000000001E-4</v>
      </c>
      <c r="L481" s="4">
        <f t="shared" si="88"/>
        <v>1.311E-2</v>
      </c>
      <c r="M481" s="5">
        <f t="shared" si="89"/>
        <v>4.1415412723908762</v>
      </c>
      <c r="N481" s="2">
        <f t="shared" si="90"/>
        <v>1.3285950079751741E-2</v>
      </c>
      <c r="O481">
        <f t="shared" si="91"/>
        <v>22095.5209</v>
      </c>
      <c r="P481">
        <f t="shared" ca="1" si="97"/>
        <v>22096</v>
      </c>
      <c r="Q481" t="str">
        <f t="shared" ca="1" si="92"/>
        <v>0101011001010000</v>
      </c>
      <c r="R481">
        <f t="shared" ca="1" si="93"/>
        <v>4.1429999999999998</v>
      </c>
      <c r="S481">
        <f t="shared" ca="1" si="94"/>
        <v>69.716000000000008</v>
      </c>
      <c r="T481" s="1">
        <f t="shared" ca="1" si="96"/>
        <v>2.6745213549337295E-2</v>
      </c>
      <c r="V481" s="4">
        <f t="shared" ca="1" si="95"/>
        <v>1.8160000000000001</v>
      </c>
      <c r="X481" s="2"/>
    </row>
    <row r="482" spans="8:24" x14ac:dyDescent="0.25">
      <c r="H482">
        <v>68</v>
      </c>
      <c r="I482">
        <v>4.0951589489212044</v>
      </c>
      <c r="J482" s="4">
        <f t="shared" si="86"/>
        <v>5.1E-5</v>
      </c>
      <c r="K482" s="9">
        <f t="shared" si="87"/>
        <v>2.4000000000000001E-4</v>
      </c>
      <c r="L482" s="4">
        <f t="shared" si="88"/>
        <v>1.3140000000000001E-2</v>
      </c>
      <c r="M482" s="5">
        <f t="shared" si="89"/>
        <v>4.1496921415410544</v>
      </c>
      <c r="N482" s="2">
        <f t="shared" si="90"/>
        <v>1.3316502069892988E-2</v>
      </c>
      <c r="O482">
        <f t="shared" si="91"/>
        <v>22139.006600000001</v>
      </c>
      <c r="P482">
        <f t="shared" ca="1" si="97"/>
        <v>22139</v>
      </c>
      <c r="Q482" t="str">
        <f t="shared" ca="1" si="92"/>
        <v>0101011001111011</v>
      </c>
      <c r="R482">
        <f t="shared" ca="1" si="93"/>
        <v>4.1510625000000001</v>
      </c>
      <c r="S482">
        <f t="shared" ca="1" si="94"/>
        <v>69.812750000000008</v>
      </c>
      <c r="T482" s="1">
        <f t="shared" ca="1" si="96"/>
        <v>2.6658088235294239E-2</v>
      </c>
      <c r="V482" s="4">
        <f t="shared" ca="1" si="95"/>
        <v>1.8127500000000001</v>
      </c>
      <c r="X482" s="2"/>
    </row>
    <row r="483" spans="8:24" x14ac:dyDescent="0.25">
      <c r="H483">
        <v>68.099999999999994</v>
      </c>
      <c r="I483">
        <v>4.103573950707764</v>
      </c>
      <c r="J483" s="4">
        <f t="shared" si="86"/>
        <v>5.1999999999999997E-5</v>
      </c>
      <c r="K483" s="9">
        <f t="shared" si="87"/>
        <v>2.41E-4</v>
      </c>
      <c r="L483" s="4">
        <f t="shared" si="88"/>
        <v>1.3171E-2</v>
      </c>
      <c r="M483" s="5">
        <f t="shared" si="89"/>
        <v>4.1583487988190093</v>
      </c>
      <c r="N483" s="2">
        <f t="shared" si="90"/>
        <v>1.334808358986635E-2</v>
      </c>
      <c r="O483">
        <f t="shared" si="91"/>
        <v>22185.190699999999</v>
      </c>
      <c r="P483">
        <f t="shared" ca="1" si="97"/>
        <v>22188</v>
      </c>
      <c r="Q483" t="str">
        <f t="shared" ca="1" si="92"/>
        <v>0101011010101100</v>
      </c>
      <c r="R483">
        <f t="shared" ca="1" si="93"/>
        <v>4.1602500000000004</v>
      </c>
      <c r="S483">
        <f t="shared" ca="1" si="94"/>
        <v>69.923000000000016</v>
      </c>
      <c r="T483" s="1">
        <f t="shared" ca="1" si="96"/>
        <v>2.6769456681351275E-2</v>
      </c>
      <c r="V483" s="4">
        <f t="shared" ca="1" si="95"/>
        <v>1.823</v>
      </c>
      <c r="X483" s="2"/>
    </row>
    <row r="484" spans="8:24" x14ac:dyDescent="0.25">
      <c r="H484">
        <v>68.2</v>
      </c>
      <c r="I484">
        <v>4.1115192600529031</v>
      </c>
      <c r="J484" s="4">
        <f t="shared" si="86"/>
        <v>5.1999999999999997E-5</v>
      </c>
      <c r="K484" s="9">
        <f t="shared" si="87"/>
        <v>2.41E-4</v>
      </c>
      <c r="L484" s="4">
        <f t="shared" si="88"/>
        <v>1.3200999999999999E-2</v>
      </c>
      <c r="M484" s="5">
        <f t="shared" si="89"/>
        <v>4.1665268148781092</v>
      </c>
      <c r="N484" s="2">
        <f t="shared" si="90"/>
        <v>1.3378887789643541E-2</v>
      </c>
      <c r="O484">
        <f t="shared" si="91"/>
        <v>22228.821199999998</v>
      </c>
      <c r="P484">
        <f t="shared" ca="1" si="97"/>
        <v>22230</v>
      </c>
      <c r="Q484" t="str">
        <f t="shared" ca="1" si="92"/>
        <v>0101011011010110</v>
      </c>
      <c r="R484">
        <f t="shared" ca="1" si="93"/>
        <v>4.1681249999999999</v>
      </c>
      <c r="S484">
        <f t="shared" ca="1" si="94"/>
        <v>70.017500000000013</v>
      </c>
      <c r="T484" s="1">
        <f t="shared" ca="1" si="96"/>
        <v>2.6649560117302195E-2</v>
      </c>
      <c r="V484" s="4">
        <f t="shared" ca="1" si="95"/>
        <v>1.8174999999999999</v>
      </c>
      <c r="X484" s="2"/>
    </row>
    <row r="485" spans="8:24" x14ac:dyDescent="0.25">
      <c r="H485">
        <v>68.300000000000011</v>
      </c>
      <c r="I485">
        <v>4.1204364250899737</v>
      </c>
      <c r="J485" s="4">
        <f t="shared" si="86"/>
        <v>5.3000000000000001E-5</v>
      </c>
      <c r="K485" s="9">
        <f t="shared" si="87"/>
        <v>2.42E-4</v>
      </c>
      <c r="L485" s="4">
        <f t="shared" si="88"/>
        <v>1.3232000000000001E-2</v>
      </c>
      <c r="M485" s="5">
        <f t="shared" si="89"/>
        <v>4.1756934331412996</v>
      </c>
      <c r="N485" s="2">
        <f t="shared" si="90"/>
        <v>1.3410474607703563E-2</v>
      </c>
      <c r="O485">
        <f t="shared" si="91"/>
        <v>22277.725900000001</v>
      </c>
      <c r="P485">
        <f t="shared" ca="1" si="97"/>
        <v>22281</v>
      </c>
      <c r="Q485" t="str">
        <f t="shared" ca="1" si="92"/>
        <v>0101011100001001</v>
      </c>
      <c r="R485">
        <f t="shared" ca="1" si="93"/>
        <v>4.1776875000000002</v>
      </c>
      <c r="S485">
        <f t="shared" ca="1" si="94"/>
        <v>70.132250000000013</v>
      </c>
      <c r="T485" s="1">
        <f t="shared" ca="1" si="96"/>
        <v>2.6826500732064447E-2</v>
      </c>
      <c r="V485" s="4">
        <f t="shared" ca="1" si="95"/>
        <v>1.8322499999999999</v>
      </c>
      <c r="X485" s="2"/>
    </row>
    <row r="486" spans="8:24" x14ac:dyDescent="0.25">
      <c r="H486">
        <v>68.400000000000006</v>
      </c>
      <c r="I486">
        <v>4.1284050795775551</v>
      </c>
      <c r="J486" s="4">
        <f t="shared" si="86"/>
        <v>5.3000000000000001E-5</v>
      </c>
      <c r="K486" s="9">
        <f t="shared" si="87"/>
        <v>2.42E-4</v>
      </c>
      <c r="L486" s="4">
        <f t="shared" si="88"/>
        <v>1.3261999999999999E-2</v>
      </c>
      <c r="M486" s="5">
        <f t="shared" si="89"/>
        <v>4.1838961410035438</v>
      </c>
      <c r="N486" s="2">
        <f t="shared" si="90"/>
        <v>1.3441283099977898E-2</v>
      </c>
      <c r="O486">
        <f t="shared" si="91"/>
        <v>22321.4882</v>
      </c>
      <c r="P486">
        <f t="shared" ca="1" si="97"/>
        <v>22321</v>
      </c>
      <c r="Q486" t="str">
        <f t="shared" ca="1" si="92"/>
        <v>0101011100110001</v>
      </c>
      <c r="R486">
        <f t="shared" ca="1" si="93"/>
        <v>4.1851875000000005</v>
      </c>
      <c r="S486">
        <f t="shared" ca="1" si="94"/>
        <v>70.222250000000017</v>
      </c>
      <c r="T486" s="1">
        <f t="shared" ca="1" si="96"/>
        <v>2.6641081871345187E-2</v>
      </c>
      <c r="V486" s="4">
        <f t="shared" ca="1" si="95"/>
        <v>1.8222499999999999</v>
      </c>
      <c r="X486" s="2"/>
    </row>
    <row r="487" spans="8:24" x14ac:dyDescent="0.25">
      <c r="H487">
        <v>68.5</v>
      </c>
      <c r="I487">
        <v>4.1368638297236204</v>
      </c>
      <c r="J487" s="4">
        <f t="shared" si="86"/>
        <v>5.3999999999999998E-5</v>
      </c>
      <c r="K487" s="9">
        <f t="shared" si="87"/>
        <v>2.43E-4</v>
      </c>
      <c r="L487" s="4">
        <f t="shared" si="88"/>
        <v>1.3292999999999999E-2</v>
      </c>
      <c r="M487" s="5">
        <f t="shared" si="89"/>
        <v>4.1925992809715753</v>
      </c>
      <c r="N487" s="2">
        <f t="shared" si="90"/>
        <v>1.3472875478156239E-2</v>
      </c>
      <c r="O487">
        <f t="shared" si="91"/>
        <v>22367.920300000002</v>
      </c>
      <c r="P487">
        <f t="shared" ca="1" si="97"/>
        <v>22368</v>
      </c>
      <c r="Q487" t="str">
        <f t="shared" ca="1" si="92"/>
        <v>0101011101100000</v>
      </c>
      <c r="R487">
        <f t="shared" ca="1" si="93"/>
        <v>4.194</v>
      </c>
      <c r="S487">
        <f t="shared" ca="1" si="94"/>
        <v>70.328000000000003</v>
      </c>
      <c r="T487" s="1">
        <f t="shared" ca="1" si="96"/>
        <v>2.6686131386861357E-2</v>
      </c>
      <c r="V487" s="4">
        <f t="shared" ca="1" si="95"/>
        <v>1.8280000000000001</v>
      </c>
      <c r="X487" s="2"/>
    </row>
    <row r="488" spans="8:24" x14ac:dyDescent="0.25">
      <c r="H488">
        <v>68.599999999999994</v>
      </c>
      <c r="I488">
        <v>4.1448563549047961</v>
      </c>
      <c r="J488" s="4">
        <f t="shared" si="86"/>
        <v>5.3999999999999998E-5</v>
      </c>
      <c r="K488" s="9">
        <f t="shared" si="87"/>
        <v>2.43E-4</v>
      </c>
      <c r="L488" s="4">
        <f t="shared" si="88"/>
        <v>1.3323E-2</v>
      </c>
      <c r="M488" s="5">
        <f t="shared" si="89"/>
        <v>4.2008272029963152</v>
      </c>
      <c r="N488" s="2">
        <f t="shared" si="90"/>
        <v>1.350368825816756E-2</v>
      </c>
      <c r="O488">
        <f t="shared" si="91"/>
        <v>22411.816999999999</v>
      </c>
      <c r="P488">
        <f t="shared" ca="1" si="97"/>
        <v>22415</v>
      </c>
      <c r="Q488" t="str">
        <f t="shared" ca="1" si="92"/>
        <v>0101011110001111</v>
      </c>
      <c r="R488">
        <f t="shared" ca="1" si="93"/>
        <v>4.2028125000000003</v>
      </c>
      <c r="S488">
        <f t="shared" ca="1" si="94"/>
        <v>70.433750000000018</v>
      </c>
      <c r="T488" s="1">
        <f t="shared" ca="1" si="96"/>
        <v>2.6731049562682557E-2</v>
      </c>
      <c r="V488" s="4">
        <f t="shared" ca="1" si="95"/>
        <v>1.83375</v>
      </c>
      <c r="X488" s="2"/>
    </row>
    <row r="489" spans="8:24" x14ac:dyDescent="0.25">
      <c r="H489">
        <v>68.7</v>
      </c>
      <c r="I489">
        <v>4.1528611327485789</v>
      </c>
      <c r="J489" s="4">
        <f t="shared" si="86"/>
        <v>5.5000000000000002E-5</v>
      </c>
      <c r="K489" s="9">
        <f t="shared" si="87"/>
        <v>2.4399999999999999E-4</v>
      </c>
      <c r="L489" s="4">
        <f t="shared" si="88"/>
        <v>1.3354E-2</v>
      </c>
      <c r="M489" s="5">
        <f t="shared" si="89"/>
        <v>4.209071296307469</v>
      </c>
      <c r="N489" s="2">
        <f t="shared" si="90"/>
        <v>1.3535286098451185E-2</v>
      </c>
      <c r="O489">
        <f t="shared" si="91"/>
        <v>22455.8001</v>
      </c>
      <c r="P489">
        <f t="shared" ca="1" si="97"/>
        <v>22457</v>
      </c>
      <c r="Q489" t="str">
        <f t="shared" ca="1" si="92"/>
        <v>0101011110111001</v>
      </c>
      <c r="R489">
        <f t="shared" ca="1" si="93"/>
        <v>4.2106874999999997</v>
      </c>
      <c r="S489">
        <f t="shared" ca="1" si="94"/>
        <v>70.52825</v>
      </c>
      <c r="T489" s="1">
        <f t="shared" ca="1" si="96"/>
        <v>2.6612081513828195E-2</v>
      </c>
      <c r="V489" s="4">
        <f t="shared" ca="1" si="95"/>
        <v>1.8282499999999999</v>
      </c>
      <c r="X489" s="2"/>
    </row>
    <row r="490" spans="8:24" x14ac:dyDescent="0.25">
      <c r="H490">
        <v>68.800000000000011</v>
      </c>
      <c r="I490">
        <v>4.1608780482932666</v>
      </c>
      <c r="J490" s="4">
        <f t="shared" si="86"/>
        <v>5.5999999999999999E-5</v>
      </c>
      <c r="K490" s="9">
        <f t="shared" si="87"/>
        <v>2.4399999999999999E-4</v>
      </c>
      <c r="L490" s="4">
        <f t="shared" si="88"/>
        <v>1.3384E-2</v>
      </c>
      <c r="M490" s="5">
        <f t="shared" si="89"/>
        <v>4.2173239355750027</v>
      </c>
      <c r="N490" s="2">
        <f t="shared" si="90"/>
        <v>1.3565859567763461E-2</v>
      </c>
      <c r="O490">
        <f t="shared" si="91"/>
        <v>22499.828699999998</v>
      </c>
      <c r="P490">
        <f t="shared" ca="1" si="97"/>
        <v>22503</v>
      </c>
      <c r="Q490" t="str">
        <f t="shared" ca="1" si="92"/>
        <v>0101011111100111</v>
      </c>
      <c r="R490">
        <f t="shared" ca="1" si="93"/>
        <v>4.2193125</v>
      </c>
      <c r="S490">
        <f t="shared" ca="1" si="94"/>
        <v>70.631750000000011</v>
      </c>
      <c r="T490" s="1">
        <f t="shared" ca="1" si="96"/>
        <v>2.6624273255813943E-2</v>
      </c>
      <c r="V490" s="4">
        <f t="shared" ca="1" si="95"/>
        <v>1.83175</v>
      </c>
      <c r="X490" s="2"/>
    </row>
    <row r="491" spans="8:24" x14ac:dyDescent="0.25">
      <c r="H491">
        <v>68.900000000000006</v>
      </c>
      <c r="I491">
        <v>4.1693806934833866</v>
      </c>
      <c r="J491" s="4">
        <f t="shared" si="86"/>
        <v>5.5999999999999999E-5</v>
      </c>
      <c r="K491" s="9">
        <f t="shared" si="87"/>
        <v>2.4499999999999999E-4</v>
      </c>
      <c r="L491" s="4">
        <f t="shared" si="88"/>
        <v>1.3415E-2</v>
      </c>
      <c r="M491" s="5">
        <f t="shared" si="89"/>
        <v>4.2260747076160561</v>
      </c>
      <c r="N491" s="2">
        <f t="shared" si="90"/>
        <v>1.3597706302348571E-2</v>
      </c>
      <c r="O491">
        <f t="shared" si="91"/>
        <v>22546.514899999998</v>
      </c>
      <c r="P491">
        <f t="shared" ca="1" si="97"/>
        <v>22551</v>
      </c>
      <c r="Q491" t="str">
        <f t="shared" ca="1" si="92"/>
        <v>0101100000010111</v>
      </c>
      <c r="R491">
        <f t="shared" ca="1" si="93"/>
        <v>4.2283125000000004</v>
      </c>
      <c r="S491">
        <f t="shared" ca="1" si="94"/>
        <v>70.739750000000015</v>
      </c>
      <c r="T491" s="1">
        <f t="shared" ca="1" si="96"/>
        <v>2.6701741654571978E-2</v>
      </c>
      <c r="V491" s="4">
        <f t="shared" ca="1" si="95"/>
        <v>1.83975</v>
      </c>
      <c r="X491" s="2"/>
    </row>
    <row r="492" spans="8:24" x14ac:dyDescent="0.25">
      <c r="H492">
        <v>69</v>
      </c>
      <c r="I492">
        <v>4.1778933009403412</v>
      </c>
      <c r="J492" s="4">
        <f t="shared" si="86"/>
        <v>5.7000000000000003E-5</v>
      </c>
      <c r="K492" s="9">
        <f t="shared" si="87"/>
        <v>2.4499999999999999E-4</v>
      </c>
      <c r="L492" s="4">
        <f t="shared" si="88"/>
        <v>1.3445E-2</v>
      </c>
      <c r="M492" s="5">
        <f t="shared" si="89"/>
        <v>4.2348308215257555</v>
      </c>
      <c r="N492" s="2">
        <f t="shared" si="90"/>
        <v>1.3628284995358573E-2</v>
      </c>
      <c r="O492">
        <f t="shared" si="91"/>
        <v>22593.229599999999</v>
      </c>
      <c r="P492">
        <f t="shared" ca="1" si="97"/>
        <v>22595</v>
      </c>
      <c r="Q492" t="str">
        <f t="shared" ca="1" si="92"/>
        <v>0101100001000011</v>
      </c>
      <c r="R492">
        <f t="shared" ca="1" si="93"/>
        <v>4.2365624999999998</v>
      </c>
      <c r="S492">
        <f t="shared" ca="1" si="94"/>
        <v>70.838750000000005</v>
      </c>
      <c r="T492" s="1">
        <f t="shared" ca="1" si="96"/>
        <v>2.6648550724637746E-2</v>
      </c>
      <c r="V492" s="4">
        <f t="shared" ca="1" si="95"/>
        <v>1.8387500000000001</v>
      </c>
      <c r="X492" s="2"/>
    </row>
    <row r="493" spans="8:24" x14ac:dyDescent="0.25">
      <c r="H493">
        <v>69.099999999999994</v>
      </c>
      <c r="I493">
        <v>4.1859439958163076</v>
      </c>
      <c r="J493" s="4">
        <f t="shared" si="86"/>
        <v>5.7000000000000003E-5</v>
      </c>
      <c r="K493" s="9">
        <f t="shared" si="87"/>
        <v>2.4600000000000002E-4</v>
      </c>
      <c r="L493" s="4">
        <f t="shared" si="88"/>
        <v>1.3476E-2</v>
      </c>
      <c r="M493" s="5">
        <f t="shared" si="89"/>
        <v>4.2431245607895072</v>
      </c>
      <c r="N493" s="2">
        <f t="shared" si="90"/>
        <v>1.3660136167695834E-2</v>
      </c>
      <c r="O493">
        <f t="shared" si="91"/>
        <v>22637.477500000001</v>
      </c>
      <c r="P493">
        <f t="shared" ca="1" si="97"/>
        <v>22642</v>
      </c>
      <c r="Q493" t="str">
        <f t="shared" ca="1" si="92"/>
        <v>0101100001110010</v>
      </c>
      <c r="R493">
        <f t="shared" ca="1" si="93"/>
        <v>4.2453750000000001</v>
      </c>
      <c r="S493">
        <f t="shared" ca="1" si="94"/>
        <v>70.944500000000005</v>
      </c>
      <c r="T493" s="1">
        <f t="shared" ca="1" si="96"/>
        <v>2.6693198263386553E-2</v>
      </c>
      <c r="V493" s="4">
        <f t="shared" ca="1" si="95"/>
        <v>1.8445</v>
      </c>
      <c r="X493" s="2"/>
    </row>
    <row r="494" spans="8:24" x14ac:dyDescent="0.25">
      <c r="H494">
        <v>69.2</v>
      </c>
      <c r="I494">
        <v>4.1940063726999801</v>
      </c>
      <c r="J494" s="4">
        <f t="shared" si="86"/>
        <v>5.8E-5</v>
      </c>
      <c r="K494" s="9">
        <f t="shared" si="87"/>
        <v>2.4600000000000002E-4</v>
      </c>
      <c r="L494" s="4">
        <f t="shared" si="88"/>
        <v>1.3506000000000001E-2</v>
      </c>
      <c r="M494" s="5">
        <f t="shared" si="89"/>
        <v>4.2514253399939381</v>
      </c>
      <c r="N494" s="2">
        <f t="shared" si="90"/>
        <v>1.3690720087531326E-2</v>
      </c>
      <c r="O494">
        <f t="shared" si="91"/>
        <v>22681.762999999999</v>
      </c>
      <c r="P494">
        <f t="shared" ca="1" si="97"/>
        <v>22686</v>
      </c>
      <c r="Q494" t="str">
        <f t="shared" ca="1" si="92"/>
        <v>0101100010011110</v>
      </c>
      <c r="R494">
        <f t="shared" ca="1" si="93"/>
        <v>4.2536250000000004</v>
      </c>
      <c r="S494">
        <f t="shared" ca="1" si="94"/>
        <v>71.043500000000009</v>
      </c>
      <c r="T494" s="1">
        <f t="shared" ca="1" si="96"/>
        <v>2.664017341040471E-2</v>
      </c>
      <c r="V494" s="4">
        <f t="shared" ca="1" si="95"/>
        <v>1.8434999999999999</v>
      </c>
      <c r="X494" s="2"/>
    </row>
    <row r="495" spans="8:24" x14ac:dyDescent="0.25">
      <c r="H495">
        <v>69.300000000000011</v>
      </c>
      <c r="I495">
        <v>4.2016104952927673</v>
      </c>
      <c r="J495" s="4">
        <f t="shared" si="86"/>
        <v>5.8E-5</v>
      </c>
      <c r="K495" s="9">
        <f t="shared" si="87"/>
        <v>2.4699999999999999E-4</v>
      </c>
      <c r="L495" s="4">
        <f t="shared" si="88"/>
        <v>1.3537E-2</v>
      </c>
      <c r="M495" s="5">
        <f t="shared" si="89"/>
        <v>4.259267413118148</v>
      </c>
      <c r="N495" s="2">
        <f t="shared" si="90"/>
        <v>1.372257563855005E-2</v>
      </c>
      <c r="O495">
        <f t="shared" si="91"/>
        <v>22723.601200000001</v>
      </c>
      <c r="P495">
        <f t="shared" ca="1" si="97"/>
        <v>22724</v>
      </c>
      <c r="Q495" t="str">
        <f t="shared" ca="1" si="92"/>
        <v>0101100011000100</v>
      </c>
      <c r="R495">
        <f t="shared" ca="1" si="93"/>
        <v>4.2607499999999998</v>
      </c>
      <c r="S495">
        <f t="shared" ca="1" si="94"/>
        <v>71.129000000000005</v>
      </c>
      <c r="T495" s="1">
        <f t="shared" ca="1" si="96"/>
        <v>2.6392496392496294E-2</v>
      </c>
      <c r="V495" s="4">
        <f t="shared" ca="1" si="95"/>
        <v>1.829</v>
      </c>
      <c r="X495" s="2"/>
    </row>
    <row r="496" spans="8:24" x14ac:dyDescent="0.25">
      <c r="H496">
        <v>69.400000000000006</v>
      </c>
      <c r="I496">
        <v>4.2096968627381814</v>
      </c>
      <c r="J496" s="4">
        <f t="shared" si="86"/>
        <v>5.8999999999999998E-5</v>
      </c>
      <c r="K496" s="9">
        <f t="shared" si="87"/>
        <v>2.4699999999999999E-4</v>
      </c>
      <c r="L496" s="4">
        <f t="shared" si="88"/>
        <v>1.3566999999999999E-2</v>
      </c>
      <c r="M496" s="5">
        <f t="shared" si="89"/>
        <v>4.2675935170986588</v>
      </c>
      <c r="N496" s="2">
        <f t="shared" si="90"/>
        <v>1.3753164716667663E-2</v>
      </c>
      <c r="O496">
        <f t="shared" si="91"/>
        <v>22768.021700000001</v>
      </c>
      <c r="P496">
        <f t="shared" ca="1" si="97"/>
        <v>22767</v>
      </c>
      <c r="Q496" t="str">
        <f t="shared" ca="1" si="92"/>
        <v>0101100011101111</v>
      </c>
      <c r="R496">
        <f t="shared" ca="1" si="93"/>
        <v>4.2688125000000001</v>
      </c>
      <c r="S496">
        <f t="shared" ca="1" si="94"/>
        <v>71.225750000000005</v>
      </c>
      <c r="T496" s="1">
        <f t="shared" ca="1" si="96"/>
        <v>2.6307636887608059E-2</v>
      </c>
      <c r="V496" s="4">
        <f t="shared" ca="1" si="95"/>
        <v>1.82575</v>
      </c>
      <c r="X496" s="2"/>
    </row>
    <row r="497" spans="8:24" x14ac:dyDescent="0.25">
      <c r="H497">
        <v>69.5</v>
      </c>
      <c r="I497">
        <v>4.2177945701176851</v>
      </c>
      <c r="J497" s="4">
        <f t="shared" si="86"/>
        <v>6.0000000000000002E-5</v>
      </c>
      <c r="K497" s="9">
        <f t="shared" si="87"/>
        <v>2.4800000000000001E-4</v>
      </c>
      <c r="L497" s="4">
        <f t="shared" si="88"/>
        <v>1.3598000000000001E-2</v>
      </c>
      <c r="M497" s="5">
        <f t="shared" si="89"/>
        <v>4.2759359585987102</v>
      </c>
      <c r="N497" s="2">
        <f t="shared" si="90"/>
        <v>1.3784784326137264E-2</v>
      </c>
      <c r="O497">
        <f t="shared" si="91"/>
        <v>22812.529500000001</v>
      </c>
      <c r="P497">
        <f t="shared" ca="1" si="97"/>
        <v>22812</v>
      </c>
      <c r="Q497" t="str">
        <f t="shared" ca="1" si="92"/>
        <v>0101100100011100</v>
      </c>
      <c r="R497">
        <f t="shared" ca="1" si="93"/>
        <v>4.2772500000000004</v>
      </c>
      <c r="S497">
        <f t="shared" ca="1" si="94"/>
        <v>71.327000000000012</v>
      </c>
      <c r="T497" s="1">
        <f t="shared" ca="1" si="96"/>
        <v>2.628776978417284E-2</v>
      </c>
      <c r="V497" s="4">
        <f t="shared" ca="1" si="95"/>
        <v>1.827</v>
      </c>
      <c r="X497" s="2"/>
    </row>
    <row r="498" spans="8:24" x14ac:dyDescent="0.25">
      <c r="H498">
        <v>69.599999999999994</v>
      </c>
      <c r="I498">
        <v>4.2259035039753483</v>
      </c>
      <c r="J498" s="4">
        <f t="shared" si="86"/>
        <v>6.0000000000000002E-5</v>
      </c>
      <c r="K498" s="9">
        <f t="shared" si="87"/>
        <v>2.4800000000000001E-4</v>
      </c>
      <c r="L498" s="4">
        <f t="shared" si="88"/>
        <v>1.3627999999999999E-2</v>
      </c>
      <c r="M498" s="5">
        <f t="shared" si="89"/>
        <v>4.2842869764666354</v>
      </c>
      <c r="N498" s="2">
        <f t="shared" si="90"/>
        <v>1.3815618940746082E-2</v>
      </c>
      <c r="O498">
        <f t="shared" si="91"/>
        <v>22857.082900000001</v>
      </c>
      <c r="P498">
        <f t="shared" ca="1" si="97"/>
        <v>22858</v>
      </c>
      <c r="Q498" t="str">
        <f t="shared" ca="1" si="92"/>
        <v>0101100101001010</v>
      </c>
      <c r="R498">
        <f t="shared" ca="1" si="93"/>
        <v>4.2858749999999999</v>
      </c>
      <c r="S498">
        <f t="shared" ca="1" si="94"/>
        <v>71.430500000000009</v>
      </c>
      <c r="T498" s="1">
        <f t="shared" ca="1" si="96"/>
        <v>2.6300287356322054E-2</v>
      </c>
      <c r="V498" s="4">
        <f t="shared" ca="1" si="95"/>
        <v>1.8305</v>
      </c>
      <c r="X498" s="2"/>
    </row>
    <row r="499" spans="8:24" x14ac:dyDescent="0.25">
      <c r="H499">
        <v>69.7</v>
      </c>
      <c r="I499">
        <v>4.234023551677228</v>
      </c>
      <c r="J499" s="4">
        <f t="shared" si="86"/>
        <v>6.0999999999999999E-5</v>
      </c>
      <c r="K499" s="9">
        <f t="shared" si="87"/>
        <v>2.4899999999999998E-4</v>
      </c>
      <c r="L499" s="4">
        <f t="shared" si="88"/>
        <v>1.3658999999999999E-2</v>
      </c>
      <c r="M499" s="5">
        <f t="shared" si="89"/>
        <v>4.2926531082609651</v>
      </c>
      <c r="N499" s="2">
        <f t="shared" si="90"/>
        <v>1.3847243849296057E-2</v>
      </c>
      <c r="O499">
        <f t="shared" si="91"/>
        <v>22901.717100000002</v>
      </c>
      <c r="P499">
        <f t="shared" ca="1" si="97"/>
        <v>22906</v>
      </c>
      <c r="Q499" t="str">
        <f t="shared" ca="1" si="92"/>
        <v>0101100101111010</v>
      </c>
      <c r="R499">
        <f t="shared" ca="1" si="93"/>
        <v>4.2948750000000002</v>
      </c>
      <c r="S499">
        <f t="shared" ca="1" si="94"/>
        <v>71.538500000000013</v>
      </c>
      <c r="T499" s="1">
        <f t="shared" ca="1" si="96"/>
        <v>2.6377331420373178E-2</v>
      </c>
      <c r="V499" s="4">
        <f t="shared" ca="1" si="95"/>
        <v>1.8385</v>
      </c>
      <c r="X499" s="2"/>
    </row>
    <row r="500" spans="8:24" x14ac:dyDescent="0.25">
      <c r="H500">
        <v>69.800000000000011</v>
      </c>
      <c r="I500">
        <v>4.2421546003747839</v>
      </c>
      <c r="J500" s="4">
        <f t="shared" si="86"/>
        <v>6.0999999999999999E-5</v>
      </c>
      <c r="K500" s="9">
        <f t="shared" si="87"/>
        <v>2.4899999999999998E-4</v>
      </c>
      <c r="L500" s="4">
        <f t="shared" si="88"/>
        <v>1.3689E-2</v>
      </c>
      <c r="M500" s="5">
        <f t="shared" si="89"/>
        <v>4.3010275728576319</v>
      </c>
      <c r="N500" s="2">
        <f t="shared" si="90"/>
        <v>1.387808272655758E-2</v>
      </c>
      <c r="O500">
        <f t="shared" si="91"/>
        <v>22946.3956</v>
      </c>
      <c r="P500">
        <f t="shared" ca="1" si="97"/>
        <v>22947</v>
      </c>
      <c r="Q500" t="str">
        <f t="shared" ca="1" si="92"/>
        <v>0101100110100011</v>
      </c>
      <c r="R500">
        <f t="shared" ca="1" si="93"/>
        <v>4.3025625000000005</v>
      </c>
      <c r="S500">
        <f t="shared" ca="1" si="94"/>
        <v>71.63075000000002</v>
      </c>
      <c r="T500" s="1">
        <f t="shared" ca="1" si="96"/>
        <v>2.622851002865342E-2</v>
      </c>
      <c r="V500" s="4">
        <f t="shared" ca="1" si="95"/>
        <v>1.8307500000000001</v>
      </c>
      <c r="X500" s="2"/>
    </row>
    <row r="501" spans="8:24" x14ac:dyDescent="0.25">
      <c r="H501">
        <v>69.900000000000006</v>
      </c>
      <c r="I501">
        <v>4.2498325085038147</v>
      </c>
      <c r="J501" s="4">
        <f t="shared" si="86"/>
        <v>6.2000000000000003E-5</v>
      </c>
      <c r="K501" s="9">
        <f t="shared" si="87"/>
        <v>2.5000000000000001E-4</v>
      </c>
      <c r="L501" s="4">
        <f t="shared" si="88"/>
        <v>1.372E-2</v>
      </c>
      <c r="M501" s="5">
        <f t="shared" si="89"/>
        <v>4.3089464581496273</v>
      </c>
      <c r="N501" s="2">
        <f t="shared" si="90"/>
        <v>1.3909712801040277E-2</v>
      </c>
      <c r="O501">
        <f t="shared" si="91"/>
        <v>22988.643599999999</v>
      </c>
      <c r="P501">
        <f t="shared" ca="1" si="97"/>
        <v>22991</v>
      </c>
      <c r="Q501" t="str">
        <f t="shared" ca="1" si="92"/>
        <v>0101100111001111</v>
      </c>
      <c r="R501">
        <f t="shared" ca="1" si="93"/>
        <v>4.3108124999999999</v>
      </c>
      <c r="S501">
        <f t="shared" ca="1" si="94"/>
        <v>71.72975000000001</v>
      </c>
      <c r="T501" s="1">
        <f t="shared" ca="1" si="96"/>
        <v>2.6176680972818368E-2</v>
      </c>
      <c r="V501" s="4">
        <f t="shared" ca="1" si="95"/>
        <v>1.82975</v>
      </c>
      <c r="X501" s="2"/>
    </row>
    <row r="502" spans="8:24" x14ac:dyDescent="0.25">
      <c r="H502">
        <v>70</v>
      </c>
      <c r="I502">
        <v>4.2584492527489077</v>
      </c>
      <c r="J502" s="4">
        <f t="shared" si="86"/>
        <v>6.3E-5</v>
      </c>
      <c r="K502" s="9">
        <f t="shared" si="87"/>
        <v>2.5000000000000001E-4</v>
      </c>
      <c r="L502" s="4">
        <f t="shared" si="88"/>
        <v>1.375E-2</v>
      </c>
      <c r="M502" s="5">
        <f t="shared" si="89"/>
        <v>4.317813389352505</v>
      </c>
      <c r="N502" s="2">
        <f t="shared" si="90"/>
        <v>1.3940317960881334E-2</v>
      </c>
      <c r="O502">
        <f t="shared" si="91"/>
        <v>23035.9496</v>
      </c>
      <c r="P502">
        <f t="shared" ca="1" si="97"/>
        <v>23041</v>
      </c>
      <c r="Q502" t="str">
        <f t="shared" ca="1" si="92"/>
        <v>0101101000000001</v>
      </c>
      <c r="R502">
        <f t="shared" ca="1" si="93"/>
        <v>4.3201875000000003</v>
      </c>
      <c r="S502">
        <f t="shared" ca="1" si="94"/>
        <v>71.842250000000007</v>
      </c>
      <c r="T502" s="1">
        <f t="shared" ca="1" si="96"/>
        <v>2.6317857142857243E-2</v>
      </c>
      <c r="V502" s="4">
        <f t="shared" ca="1" si="95"/>
        <v>1.8422499999999999</v>
      </c>
      <c r="X502" s="2"/>
    </row>
    <row r="503" spans="8:24" x14ac:dyDescent="0.25">
      <c r="H503">
        <v>70.099999999999994</v>
      </c>
      <c r="I503">
        <v>4.2666126326087968</v>
      </c>
      <c r="J503" s="4">
        <f t="shared" si="86"/>
        <v>6.3E-5</v>
      </c>
      <c r="K503" s="9">
        <f t="shared" si="87"/>
        <v>2.5099999999999998E-4</v>
      </c>
      <c r="L503" s="4">
        <f t="shared" si="88"/>
        <v>1.3781E-2</v>
      </c>
      <c r="M503" s="5">
        <f t="shared" si="89"/>
        <v>4.326226561555595</v>
      </c>
      <c r="N503" s="2">
        <f t="shared" si="90"/>
        <v>1.3972191543985487E-2</v>
      </c>
      <c r="O503">
        <f t="shared" si="91"/>
        <v>23080.834699999999</v>
      </c>
      <c r="P503">
        <f t="shared" ca="1" si="97"/>
        <v>23083</v>
      </c>
      <c r="Q503" t="str">
        <f t="shared" ca="1" si="92"/>
        <v>0101101000101011</v>
      </c>
      <c r="R503">
        <f t="shared" ca="1" si="93"/>
        <v>4.3280624999999997</v>
      </c>
      <c r="S503">
        <f t="shared" ca="1" si="94"/>
        <v>71.936750000000004</v>
      </c>
      <c r="T503" s="1">
        <f t="shared" ca="1" si="96"/>
        <v>2.6201854493580732E-2</v>
      </c>
      <c r="V503" s="4">
        <f t="shared" ca="1" si="95"/>
        <v>1.8367500000000001</v>
      </c>
      <c r="X503" s="2"/>
    </row>
    <row r="504" spans="8:24" x14ac:dyDescent="0.25">
      <c r="H504">
        <v>70.2</v>
      </c>
      <c r="I504">
        <v>4.2743254133836475</v>
      </c>
      <c r="J504" s="4">
        <f t="shared" si="86"/>
        <v>6.3999999999999997E-5</v>
      </c>
      <c r="K504" s="9">
        <f t="shared" si="87"/>
        <v>2.5099999999999998E-4</v>
      </c>
      <c r="L504" s="4">
        <f t="shared" si="88"/>
        <v>1.3811E-2</v>
      </c>
      <c r="M504" s="5">
        <f t="shared" si="89"/>
        <v>4.3341779439292543</v>
      </c>
      <c r="N504" s="2">
        <f t="shared" si="90"/>
        <v>1.4002801555117501E-2</v>
      </c>
      <c r="O504">
        <f t="shared" si="91"/>
        <v>23123.256099999999</v>
      </c>
      <c r="P504">
        <f t="shared" ca="1" si="97"/>
        <v>23126</v>
      </c>
      <c r="Q504" t="str">
        <f t="shared" ca="1" si="92"/>
        <v>0101101001010110</v>
      </c>
      <c r="R504">
        <f t="shared" ca="1" si="93"/>
        <v>4.336125</v>
      </c>
      <c r="S504">
        <f t="shared" ca="1" si="94"/>
        <v>72.033500000000004</v>
      </c>
      <c r="T504" s="1">
        <f t="shared" ca="1" si="96"/>
        <v>2.6118233618233629E-2</v>
      </c>
      <c r="V504" s="4">
        <f t="shared" ca="1" si="95"/>
        <v>1.8334999999999999</v>
      </c>
      <c r="X504" s="2"/>
    </row>
    <row r="505" spans="8:24" x14ac:dyDescent="0.25">
      <c r="H505">
        <v>70.300000000000011</v>
      </c>
      <c r="I505">
        <v>4.28251074566474</v>
      </c>
      <c r="J505" s="4">
        <f t="shared" si="86"/>
        <v>6.3999999999999997E-5</v>
      </c>
      <c r="K505" s="9">
        <f t="shared" si="87"/>
        <v>2.52E-4</v>
      </c>
      <c r="L505" s="4">
        <f t="shared" si="88"/>
        <v>1.3842E-2</v>
      </c>
      <c r="M505" s="5">
        <f t="shared" si="89"/>
        <v>4.3426144115129013</v>
      </c>
      <c r="N505" s="2">
        <f t="shared" si="90"/>
        <v>1.4034679518085338E-2</v>
      </c>
      <c r="O505">
        <f t="shared" si="91"/>
        <v>23168.2654</v>
      </c>
      <c r="P505">
        <f t="shared" ca="1" si="97"/>
        <v>23167</v>
      </c>
      <c r="Q505" t="str">
        <f t="shared" ca="1" si="92"/>
        <v>0101101001111111</v>
      </c>
      <c r="R505">
        <f t="shared" ca="1" si="93"/>
        <v>4.3438125000000003</v>
      </c>
      <c r="S505">
        <f t="shared" ca="1" si="94"/>
        <v>72.125750000000011</v>
      </c>
      <c r="T505" s="1">
        <f t="shared" ca="1" si="96"/>
        <v>2.597083926031293E-2</v>
      </c>
      <c r="V505" s="4">
        <f t="shared" ca="1" si="95"/>
        <v>1.82575</v>
      </c>
      <c r="X505" s="2"/>
    </row>
    <row r="506" spans="8:24" x14ac:dyDescent="0.25">
      <c r="H506">
        <v>70.400000000000006</v>
      </c>
      <c r="I506">
        <v>4.2902471687482793</v>
      </c>
      <c r="J506" s="4">
        <f t="shared" si="86"/>
        <v>6.4999999999999994E-5</v>
      </c>
      <c r="K506" s="9">
        <f t="shared" si="87"/>
        <v>2.52E-4</v>
      </c>
      <c r="L506" s="4">
        <f t="shared" si="88"/>
        <v>1.3872000000000001E-2</v>
      </c>
      <c r="M506" s="5">
        <f t="shared" si="89"/>
        <v>4.3505907591836754</v>
      </c>
      <c r="N506" s="2">
        <f t="shared" si="90"/>
        <v>1.4065294623340311E-2</v>
      </c>
      <c r="O506">
        <f t="shared" si="91"/>
        <v>23210.82</v>
      </c>
      <c r="P506">
        <f t="shared" ca="1" si="97"/>
        <v>23211</v>
      </c>
      <c r="Q506" t="str">
        <f t="shared" ca="1" si="92"/>
        <v>0101101010101011</v>
      </c>
      <c r="R506">
        <f t="shared" ca="1" si="93"/>
        <v>4.3520624999999997</v>
      </c>
      <c r="S506">
        <f t="shared" ca="1" si="94"/>
        <v>72.22475</v>
      </c>
      <c r="T506" s="1">
        <f t="shared" ca="1" si="96"/>
        <v>2.5919744318181739E-2</v>
      </c>
      <c r="V506" s="4">
        <f t="shared" ca="1" si="95"/>
        <v>1.8247500000000001</v>
      </c>
      <c r="X506" s="2"/>
    </row>
    <row r="507" spans="8:24" x14ac:dyDescent="0.25">
      <c r="H507">
        <v>70.5</v>
      </c>
      <c r="I507">
        <v>4.2984540044932977</v>
      </c>
      <c r="J507" s="4">
        <f t="shared" si="86"/>
        <v>6.4999999999999994E-5</v>
      </c>
      <c r="K507" s="9">
        <f t="shared" si="87"/>
        <v>2.5300000000000002E-4</v>
      </c>
      <c r="L507" s="4">
        <f t="shared" si="88"/>
        <v>1.3903E-2</v>
      </c>
      <c r="M507" s="5">
        <f t="shared" si="89"/>
        <v>4.3590500712600262</v>
      </c>
      <c r="N507" s="2">
        <f t="shared" si="90"/>
        <v>1.4097176962551106E-2</v>
      </c>
      <c r="O507">
        <f t="shared" si="91"/>
        <v>23255.9512</v>
      </c>
      <c r="P507">
        <f t="shared" ca="1" si="97"/>
        <v>23260</v>
      </c>
      <c r="Q507" t="str">
        <f t="shared" ca="1" si="92"/>
        <v>0101101011011100</v>
      </c>
      <c r="R507">
        <f t="shared" ca="1" si="93"/>
        <v>4.3612500000000001</v>
      </c>
      <c r="S507">
        <f t="shared" ca="1" si="94"/>
        <v>72.335000000000008</v>
      </c>
      <c r="T507" s="1">
        <f t="shared" ca="1" si="96"/>
        <v>2.6028368794326354E-2</v>
      </c>
      <c r="V507" s="4">
        <f t="shared" ca="1" si="95"/>
        <v>1.835</v>
      </c>
      <c r="X507" s="2"/>
    </row>
    <row r="508" spans="8:24" x14ac:dyDescent="0.25">
      <c r="H508">
        <v>70.599999999999994</v>
      </c>
      <c r="I508">
        <v>4.3066709479203569</v>
      </c>
      <c r="J508" s="4">
        <f t="shared" si="86"/>
        <v>6.6000000000000005E-5</v>
      </c>
      <c r="K508" s="9">
        <f t="shared" si="87"/>
        <v>2.5300000000000002E-4</v>
      </c>
      <c r="L508" s="4">
        <f t="shared" si="88"/>
        <v>1.3932999999999999E-2</v>
      </c>
      <c r="M508" s="5">
        <f t="shared" si="89"/>
        <v>4.3675147224340298</v>
      </c>
      <c r="N508" s="2">
        <f t="shared" si="90"/>
        <v>1.4127797375152084E-2</v>
      </c>
      <c r="O508">
        <f t="shared" si="91"/>
        <v>23301.111000000001</v>
      </c>
      <c r="P508">
        <f t="shared" ca="1" si="97"/>
        <v>23306</v>
      </c>
      <c r="Q508" t="str">
        <f t="shared" ca="1" si="92"/>
        <v>0101101100001010</v>
      </c>
      <c r="R508">
        <f t="shared" ca="1" si="93"/>
        <v>4.3698750000000004</v>
      </c>
      <c r="S508">
        <f t="shared" ca="1" si="94"/>
        <v>72.438500000000019</v>
      </c>
      <c r="T508" s="1">
        <f t="shared" ca="1" si="96"/>
        <v>2.6041076487252478E-2</v>
      </c>
      <c r="V508" s="4">
        <f t="shared" ca="1" si="95"/>
        <v>1.8385</v>
      </c>
      <c r="X508" s="2"/>
    </row>
    <row r="509" spans="8:24" x14ac:dyDescent="0.25">
      <c r="H509">
        <v>70.7</v>
      </c>
      <c r="I509">
        <v>4.3144415088048582</v>
      </c>
      <c r="J509" s="4">
        <f t="shared" si="86"/>
        <v>6.7000000000000002E-5</v>
      </c>
      <c r="K509" s="9">
        <f t="shared" si="87"/>
        <v>2.5399999999999999E-4</v>
      </c>
      <c r="L509" s="4">
        <f t="shared" si="88"/>
        <v>1.3964000000000001E-2</v>
      </c>
      <c r="M509" s="5">
        <f t="shared" si="89"/>
        <v>4.3755316224690164</v>
      </c>
      <c r="N509" s="2">
        <f t="shared" si="90"/>
        <v>1.4159448804552393E-2</v>
      </c>
      <c r="O509">
        <f t="shared" si="91"/>
        <v>23343.8819</v>
      </c>
      <c r="P509">
        <f t="shared" ca="1" si="97"/>
        <v>23344</v>
      </c>
      <c r="Q509" t="str">
        <f t="shared" ca="1" si="92"/>
        <v>0101101100110000</v>
      </c>
      <c r="R509">
        <f t="shared" ca="1" si="93"/>
        <v>4.3769999999999998</v>
      </c>
      <c r="S509">
        <f t="shared" ca="1" si="94"/>
        <v>72.524000000000001</v>
      </c>
      <c r="T509" s="1">
        <f t="shared" ca="1" si="96"/>
        <v>2.5799151343705772E-2</v>
      </c>
      <c r="V509" s="4">
        <f t="shared" ca="1" si="95"/>
        <v>1.8240000000000001</v>
      </c>
      <c r="X509" s="2"/>
    </row>
    <row r="510" spans="8:24" x14ac:dyDescent="0.25">
      <c r="H510">
        <v>70.800000000000011</v>
      </c>
      <c r="I510">
        <v>4.3217684309262321</v>
      </c>
      <c r="J510" s="4">
        <f t="shared" si="86"/>
        <v>6.7000000000000002E-5</v>
      </c>
      <c r="K510" s="9">
        <f t="shared" si="87"/>
        <v>2.5399999999999999E-4</v>
      </c>
      <c r="L510" s="4">
        <f t="shared" si="88"/>
        <v>1.3993999999999999E-2</v>
      </c>
      <c r="M510" s="5">
        <f t="shared" si="89"/>
        <v>4.3830956599394248</v>
      </c>
      <c r="N510" s="2">
        <f t="shared" si="90"/>
        <v>1.4190308896316605E-2</v>
      </c>
      <c r="O510">
        <f t="shared" si="91"/>
        <v>23384.236799999999</v>
      </c>
      <c r="P510">
        <f t="shared" ca="1" si="97"/>
        <v>23388</v>
      </c>
      <c r="Q510" t="str">
        <f t="shared" ca="1" si="92"/>
        <v>0101101101011100</v>
      </c>
      <c r="R510">
        <f t="shared" ca="1" si="93"/>
        <v>4.3852500000000001</v>
      </c>
      <c r="S510">
        <f t="shared" ca="1" si="94"/>
        <v>72.623000000000005</v>
      </c>
      <c r="T510" s="1">
        <f t="shared" ca="1" si="96"/>
        <v>2.5748587570621369E-2</v>
      </c>
      <c r="V510" s="4">
        <f t="shared" ca="1" si="95"/>
        <v>1.823</v>
      </c>
      <c r="X510" s="2"/>
    </row>
    <row r="511" spans="8:24" x14ac:dyDescent="0.25">
      <c r="H511">
        <v>70.900000000000006</v>
      </c>
      <c r="I511">
        <v>4.3300178838393677</v>
      </c>
      <c r="J511" s="4">
        <f t="shared" si="86"/>
        <v>6.7999999999999999E-5</v>
      </c>
      <c r="K511" s="9">
        <f t="shared" si="87"/>
        <v>2.5500000000000002E-4</v>
      </c>
      <c r="L511" s="4">
        <f t="shared" si="88"/>
        <v>1.4024999999999999E-2</v>
      </c>
      <c r="M511" s="5">
        <f t="shared" si="89"/>
        <v>4.3915992498687775</v>
      </c>
      <c r="N511" s="2">
        <f t="shared" si="90"/>
        <v>1.4221965747357705E-2</v>
      </c>
      <c r="O511">
        <f t="shared" si="91"/>
        <v>23429.604200000002</v>
      </c>
      <c r="P511">
        <f t="shared" ca="1" si="97"/>
        <v>23429</v>
      </c>
      <c r="Q511" t="str">
        <f t="shared" ca="1" si="92"/>
        <v>0101101110000101</v>
      </c>
      <c r="R511">
        <f t="shared" ca="1" si="93"/>
        <v>4.3929375000000004</v>
      </c>
      <c r="S511">
        <f t="shared" ca="1" si="94"/>
        <v>72.715250000000012</v>
      </c>
      <c r="T511" s="1">
        <f t="shared" ca="1" si="96"/>
        <v>2.5602961918194722E-2</v>
      </c>
      <c r="V511" s="4">
        <f t="shared" ca="1" si="95"/>
        <v>1.81525</v>
      </c>
      <c r="X511" s="2"/>
    </row>
    <row r="512" spans="8:24" x14ac:dyDescent="0.25">
      <c r="H512">
        <v>71</v>
      </c>
      <c r="I512">
        <v>4.3382770016821643</v>
      </c>
      <c r="J512" s="4">
        <f t="shared" si="86"/>
        <v>6.7999999999999999E-5</v>
      </c>
      <c r="K512" s="9">
        <f t="shared" si="87"/>
        <v>2.5500000000000002E-4</v>
      </c>
      <c r="L512" s="4">
        <f t="shared" si="88"/>
        <v>1.4055E-2</v>
      </c>
      <c r="M512" s="5">
        <f t="shared" si="89"/>
        <v>4.4001097287294577</v>
      </c>
      <c r="N512" s="2">
        <f t="shared" si="90"/>
        <v>1.425283056460382E-2</v>
      </c>
      <c r="O512">
        <f t="shared" si="91"/>
        <v>23475.0085</v>
      </c>
      <c r="P512">
        <f t="shared" ca="1" si="97"/>
        <v>23480</v>
      </c>
      <c r="Q512" t="str">
        <f t="shared" ca="1" si="92"/>
        <v>0101101110111000</v>
      </c>
      <c r="R512">
        <f t="shared" ca="1" si="93"/>
        <v>4.4024999999999999</v>
      </c>
      <c r="S512">
        <f t="shared" ca="1" si="94"/>
        <v>72.830000000000013</v>
      </c>
      <c r="T512" s="1">
        <f t="shared" ca="1" si="96"/>
        <v>2.5774647887324118E-2</v>
      </c>
      <c r="V512" s="4">
        <f t="shared" ca="1" si="95"/>
        <v>1.83</v>
      </c>
      <c r="X512" s="2"/>
    </row>
    <row r="513" spans="8:24" x14ac:dyDescent="0.25">
      <c r="H513">
        <v>71.099999999999994</v>
      </c>
      <c r="I513">
        <v>4.3460930907956961</v>
      </c>
      <c r="J513" s="4">
        <f t="shared" si="86"/>
        <v>6.8999999999999997E-5</v>
      </c>
      <c r="K513" s="9">
        <f t="shared" si="87"/>
        <v>2.5599999999999999E-4</v>
      </c>
      <c r="L513" s="4">
        <f t="shared" si="88"/>
        <v>1.4086E-2</v>
      </c>
      <c r="M513" s="5">
        <f t="shared" si="89"/>
        <v>4.4081748243839689</v>
      </c>
      <c r="N513" s="2">
        <f t="shared" si="90"/>
        <v>1.4284492368502565E-2</v>
      </c>
      <c r="O513">
        <f t="shared" si="91"/>
        <v>23518.036499999998</v>
      </c>
      <c r="P513">
        <f t="shared" ca="1" si="97"/>
        <v>23522</v>
      </c>
      <c r="Q513" t="str">
        <f t="shared" ca="1" si="92"/>
        <v>0101101111100010</v>
      </c>
      <c r="R513">
        <f t="shared" ca="1" si="93"/>
        <v>4.4103750000000002</v>
      </c>
      <c r="S513">
        <f t="shared" ca="1" si="94"/>
        <v>72.924500000000009</v>
      </c>
      <c r="T513" s="1">
        <f t="shared" ca="1" si="96"/>
        <v>2.5661040787623275E-2</v>
      </c>
      <c r="V513" s="4">
        <f t="shared" ca="1" si="95"/>
        <v>1.8245</v>
      </c>
      <c r="X513" s="2"/>
    </row>
    <row r="514" spans="8:24" x14ac:dyDescent="0.25">
      <c r="H514">
        <v>71.2</v>
      </c>
      <c r="I514">
        <v>4.3539205175592155</v>
      </c>
      <c r="J514" s="4">
        <f t="shared" si="86"/>
        <v>6.8999999999999997E-5</v>
      </c>
      <c r="K514" s="9">
        <f t="shared" si="87"/>
        <v>2.5599999999999999E-4</v>
      </c>
      <c r="L514" s="4">
        <f t="shared" si="88"/>
        <v>1.4116E-2</v>
      </c>
      <c r="M514" s="5">
        <f t="shared" si="89"/>
        <v>4.416248462122538</v>
      </c>
      <c r="N514" s="2">
        <f t="shared" si="90"/>
        <v>1.431536113531608E-2</v>
      </c>
      <c r="O514">
        <f t="shared" si="91"/>
        <v>23561.110199999999</v>
      </c>
      <c r="P514">
        <f t="shared" ca="1" si="97"/>
        <v>23562</v>
      </c>
      <c r="Q514" t="str">
        <f t="shared" ca="1" si="92"/>
        <v>0101110000001010</v>
      </c>
      <c r="R514">
        <f t="shared" ca="1" si="93"/>
        <v>4.4178750000000004</v>
      </c>
      <c r="S514">
        <f t="shared" ca="1" si="94"/>
        <v>73.014500000000012</v>
      </c>
      <c r="T514" s="1">
        <f t="shared" ca="1" si="96"/>
        <v>2.5484550561797888E-2</v>
      </c>
      <c r="V514" s="4">
        <f t="shared" ca="1" si="95"/>
        <v>1.8145</v>
      </c>
      <c r="X514" s="2"/>
    </row>
    <row r="515" spans="8:24" x14ac:dyDescent="0.25">
      <c r="H515">
        <v>71.300000000000011</v>
      </c>
      <c r="I515">
        <v>4.3617591697134053</v>
      </c>
      <c r="J515" s="4">
        <f t="shared" ref="J515:J578" si="98">ROUND(H515*0.00000575 -0.00034,6)</f>
        <v>6.9999999999999994E-5</v>
      </c>
      <c r="K515" s="9">
        <f t="shared" ref="K515:K578" si="99">ROUND(H515*0.000005-0.0001,6)</f>
        <v>2.5700000000000001E-4</v>
      </c>
      <c r="L515" s="4">
        <f t="shared" ref="L515:L578" si="100">ROUND(K515+($C$24*(H515-25)),6)</f>
        <v>1.4147E-2</v>
      </c>
      <c r="M515" s="5">
        <f t="shared" ref="M515:M578" si="101">(I515-J515)/(1-L515)+$C$26+$D$27</f>
        <v>4.4243374511082338</v>
      </c>
      <c r="N515" s="2">
        <f t="shared" ref="N515:N578" si="102">ABS(I515-M515)/I515</f>
        <v>1.4347028104933256E-2</v>
      </c>
      <c r="O515">
        <f t="shared" ref="O515:O578" si="103">ROUND((M515*(2^($C$12-1)))/$C$44,4)</f>
        <v>23604.2657</v>
      </c>
      <c r="P515">
        <f t="shared" ca="1" si="97"/>
        <v>23607</v>
      </c>
      <c r="Q515" t="str">
        <f t="shared" ref="Q515:Q578" ca="1" si="104">_xlfn.BASE(P515,2,16)</f>
        <v>0101110000110111</v>
      </c>
      <c r="R515">
        <f t="shared" ref="R515:R578" ca="1" si="105">($C$16/2^($C$12-1)) * P515</f>
        <v>4.4263124999999999</v>
      </c>
      <c r="S515">
        <f t="shared" ref="S515:S578" ca="1" si="106">(R515+5/3)/(1/12)</f>
        <v>73.115750000000006</v>
      </c>
      <c r="T515" s="1">
        <f t="shared" ca="1" si="96"/>
        <v>2.5466339410939606E-2</v>
      </c>
      <c r="V515" s="4">
        <f t="shared" ref="V515:V578" ca="1" si="107">ROUND(ABS(H515-S515),6)</f>
        <v>1.81575</v>
      </c>
      <c r="X515" s="2"/>
    </row>
    <row r="516" spans="8:24" x14ac:dyDescent="0.25">
      <c r="H516">
        <v>71.400000000000006</v>
      </c>
      <c r="I516">
        <v>4.3696089348789062</v>
      </c>
      <c r="J516" s="4">
        <f t="shared" si="98"/>
        <v>7.1000000000000005E-5</v>
      </c>
      <c r="K516" s="9">
        <f t="shared" si="99"/>
        <v>2.5700000000000001E-4</v>
      </c>
      <c r="L516" s="4">
        <f t="shared" si="100"/>
        <v>1.4177E-2</v>
      </c>
      <c r="M516" s="5">
        <f t="shared" si="101"/>
        <v>4.4324337255398847</v>
      </c>
      <c r="N516" s="2">
        <f t="shared" si="102"/>
        <v>1.4377668939547677E-2</v>
      </c>
      <c r="O516">
        <f t="shared" si="103"/>
        <v>23647.4601</v>
      </c>
      <c r="P516">
        <f t="shared" ca="1" si="97"/>
        <v>23646</v>
      </c>
      <c r="Q516" t="str">
        <f t="shared" ca="1" si="104"/>
        <v>0101110001011110</v>
      </c>
      <c r="R516">
        <f t="shared" ca="1" si="105"/>
        <v>4.4336250000000001</v>
      </c>
      <c r="S516">
        <f t="shared" ca="1" si="106"/>
        <v>73.203500000000005</v>
      </c>
      <c r="T516" s="1">
        <f t="shared" ref="T516:T579" ca="1" si="108">ABS(H516-S516)/H516</f>
        <v>2.5259103641456577E-2</v>
      </c>
      <c r="V516" s="4">
        <f t="shared" ca="1" si="107"/>
        <v>1.8035000000000001</v>
      </c>
      <c r="X516" s="2"/>
    </row>
    <row r="517" spans="8:24" x14ac:dyDescent="0.25">
      <c r="H517">
        <v>71.5</v>
      </c>
      <c r="I517">
        <v>4.3779185112428358</v>
      </c>
      <c r="J517" s="4">
        <f t="shared" si="98"/>
        <v>7.1000000000000005E-5</v>
      </c>
      <c r="K517" s="9">
        <f t="shared" si="99"/>
        <v>2.5799999999999998E-4</v>
      </c>
      <c r="L517" s="4">
        <f t="shared" si="100"/>
        <v>1.4208E-2</v>
      </c>
      <c r="M517" s="5">
        <f t="shared" si="101"/>
        <v>4.441002449988269</v>
      </c>
      <c r="N517" s="2">
        <f t="shared" si="102"/>
        <v>1.440957354126823E-2</v>
      </c>
      <c r="O517">
        <f t="shared" si="103"/>
        <v>23693.1751</v>
      </c>
      <c r="P517">
        <f t="shared" ca="1" si="97"/>
        <v>23692</v>
      </c>
      <c r="Q517" t="str">
        <f t="shared" ca="1" si="104"/>
        <v>0101110010001100</v>
      </c>
      <c r="R517">
        <f t="shared" ca="1" si="105"/>
        <v>4.4422500000000005</v>
      </c>
      <c r="S517">
        <f t="shared" ca="1" si="106"/>
        <v>73.307000000000016</v>
      </c>
      <c r="T517" s="1">
        <f t="shared" ca="1" si="108"/>
        <v>2.5272727272727502E-2</v>
      </c>
      <c r="V517" s="4">
        <f t="shared" ca="1" si="107"/>
        <v>1.8069999999999999</v>
      </c>
      <c r="X517" s="2"/>
    </row>
    <row r="518" spans="8:24" x14ac:dyDescent="0.25">
      <c r="H518">
        <v>71.599999999999994</v>
      </c>
      <c r="I518">
        <v>4.3857892268427765</v>
      </c>
      <c r="J518" s="4">
        <f t="shared" si="98"/>
        <v>7.2000000000000002E-5</v>
      </c>
      <c r="K518" s="9">
        <f t="shared" si="99"/>
        <v>2.5799999999999998E-4</v>
      </c>
      <c r="L518" s="4">
        <f t="shared" si="100"/>
        <v>1.4238000000000001E-2</v>
      </c>
      <c r="M518" s="5">
        <f t="shared" si="101"/>
        <v>4.4491209856322076</v>
      </c>
      <c r="N518" s="2">
        <f t="shared" si="102"/>
        <v>1.4440219425460647E-2</v>
      </c>
      <c r="O518">
        <f t="shared" si="103"/>
        <v>23736.4882</v>
      </c>
      <c r="P518">
        <f t="shared" ca="1" si="97"/>
        <v>23736</v>
      </c>
      <c r="Q518" t="str">
        <f t="shared" ca="1" si="104"/>
        <v>0101110010111000</v>
      </c>
      <c r="R518">
        <f t="shared" ca="1" si="105"/>
        <v>4.4504999999999999</v>
      </c>
      <c r="S518">
        <f t="shared" ca="1" si="106"/>
        <v>73.406000000000006</v>
      </c>
      <c r="T518" s="1">
        <f t="shared" ca="1" si="108"/>
        <v>2.5223463687151001E-2</v>
      </c>
      <c r="V518" s="4">
        <f t="shared" ca="1" si="107"/>
        <v>1.806</v>
      </c>
      <c r="X518" s="2"/>
    </row>
    <row r="519" spans="8:24" x14ac:dyDescent="0.25">
      <c r="H519">
        <v>71.7</v>
      </c>
      <c r="I519">
        <v>4.3932237916366752</v>
      </c>
      <c r="J519" s="4">
        <f t="shared" si="98"/>
        <v>7.2000000000000002E-5</v>
      </c>
      <c r="K519" s="9">
        <f t="shared" si="99"/>
        <v>2.5900000000000001E-4</v>
      </c>
      <c r="L519" s="4">
        <f t="shared" si="100"/>
        <v>1.4269E-2</v>
      </c>
      <c r="M519" s="5">
        <f t="shared" si="101"/>
        <v>4.4568030872871756</v>
      </c>
      <c r="N519" s="2">
        <f t="shared" si="102"/>
        <v>1.4472127682531324E-2</v>
      </c>
      <c r="O519">
        <f t="shared" si="103"/>
        <v>23777.473000000002</v>
      </c>
      <c r="P519">
        <f t="shared" ca="1" si="97"/>
        <v>23782</v>
      </c>
      <c r="Q519" t="str">
        <f t="shared" ca="1" si="104"/>
        <v>0101110011100110</v>
      </c>
      <c r="R519">
        <f t="shared" ca="1" si="105"/>
        <v>4.4591250000000002</v>
      </c>
      <c r="S519">
        <f t="shared" ca="1" si="106"/>
        <v>73.509500000000017</v>
      </c>
      <c r="T519" s="1">
        <f t="shared" ca="1" si="108"/>
        <v>2.5237099023710099E-2</v>
      </c>
      <c r="V519" s="4">
        <f t="shared" ca="1" si="107"/>
        <v>1.8095000000000001</v>
      </c>
      <c r="X519" s="2"/>
    </row>
    <row r="520" spans="8:24" x14ac:dyDescent="0.25">
      <c r="H520">
        <v>71.800000000000011</v>
      </c>
      <c r="I520">
        <v>4.4011168931974085</v>
      </c>
      <c r="J520" s="4">
        <f t="shared" si="98"/>
        <v>7.2999999999999999E-5</v>
      </c>
      <c r="K520" s="9">
        <f t="shared" si="99"/>
        <v>2.5900000000000001E-4</v>
      </c>
      <c r="L520" s="4">
        <f t="shared" si="100"/>
        <v>1.4298999999999999E-2</v>
      </c>
      <c r="M520" s="5">
        <f t="shared" si="101"/>
        <v>4.4649453169423667</v>
      </c>
      <c r="N520" s="2">
        <f t="shared" si="102"/>
        <v>1.4502778565962359E-2</v>
      </c>
      <c r="O520">
        <f t="shared" si="103"/>
        <v>23820.9126</v>
      </c>
      <c r="P520">
        <f t="shared" ca="1" si="97"/>
        <v>23826</v>
      </c>
      <c r="Q520" t="str">
        <f t="shared" ca="1" si="104"/>
        <v>0101110100010010</v>
      </c>
      <c r="R520">
        <f t="shared" ca="1" si="105"/>
        <v>4.4673749999999997</v>
      </c>
      <c r="S520">
        <f t="shared" ca="1" si="106"/>
        <v>73.608500000000006</v>
      </c>
      <c r="T520" s="1">
        <f t="shared" ca="1" si="108"/>
        <v>2.518802228412249E-2</v>
      </c>
      <c r="V520" s="4">
        <f t="shared" ca="1" si="107"/>
        <v>1.8085</v>
      </c>
      <c r="X520" s="2"/>
    </row>
    <row r="521" spans="8:24" x14ac:dyDescent="0.25">
      <c r="H521">
        <v>71.900000000000006</v>
      </c>
      <c r="I521">
        <v>4.4090205515720555</v>
      </c>
      <c r="J521" s="4">
        <f t="shared" si="98"/>
        <v>7.2999999999999999E-5</v>
      </c>
      <c r="K521" s="9">
        <f t="shared" si="99"/>
        <v>2.5999999999999998E-4</v>
      </c>
      <c r="L521" s="4">
        <f t="shared" si="100"/>
        <v>1.4330000000000001E-2</v>
      </c>
      <c r="M521" s="5">
        <f t="shared" si="101"/>
        <v>4.4731043051244885</v>
      </c>
      <c r="N521" s="2">
        <f t="shared" si="102"/>
        <v>1.4534691504121854E-2</v>
      </c>
      <c r="O521">
        <f t="shared" si="103"/>
        <v>23864.441500000001</v>
      </c>
      <c r="P521">
        <f t="shared" ca="1" si="97"/>
        <v>23863</v>
      </c>
      <c r="Q521" t="str">
        <f t="shared" ca="1" si="104"/>
        <v>0101110100110111</v>
      </c>
      <c r="R521">
        <f t="shared" ca="1" si="105"/>
        <v>4.4743124999999999</v>
      </c>
      <c r="S521">
        <f t="shared" ca="1" si="106"/>
        <v>73.691750000000013</v>
      </c>
      <c r="T521" s="1">
        <f t="shared" ca="1" si="108"/>
        <v>2.4920027816411786E-2</v>
      </c>
      <c r="V521" s="4">
        <f t="shared" ca="1" si="107"/>
        <v>1.79175</v>
      </c>
      <c r="X521" s="2"/>
    </row>
    <row r="522" spans="8:24" x14ac:dyDescent="0.25">
      <c r="H522">
        <v>72</v>
      </c>
      <c r="I522">
        <v>4.417378777763532</v>
      </c>
      <c r="J522" s="4">
        <f t="shared" si="98"/>
        <v>7.3999999999999996E-5</v>
      </c>
      <c r="K522" s="9">
        <f t="shared" si="99"/>
        <v>2.5999999999999998E-4</v>
      </c>
      <c r="L522" s="4">
        <f t="shared" si="100"/>
        <v>1.436E-2</v>
      </c>
      <c r="M522" s="5">
        <f t="shared" si="101"/>
        <v>4.4817194359842665</v>
      </c>
      <c r="N522" s="2">
        <f t="shared" si="102"/>
        <v>1.4565347790553148E-2</v>
      </c>
      <c r="O522">
        <f t="shared" si="103"/>
        <v>23910.4041</v>
      </c>
      <c r="P522">
        <f t="shared" ca="1" si="97"/>
        <v>23909</v>
      </c>
      <c r="Q522" t="str">
        <f t="shared" ca="1" si="104"/>
        <v>0101110101100101</v>
      </c>
      <c r="R522">
        <f t="shared" ca="1" si="105"/>
        <v>4.4829375000000002</v>
      </c>
      <c r="S522">
        <f t="shared" ca="1" si="106"/>
        <v>73.79525000000001</v>
      </c>
      <c r="T522" s="1">
        <f t="shared" ca="1" si="108"/>
        <v>2.4934027777777916E-2</v>
      </c>
      <c r="V522" s="4">
        <f t="shared" ca="1" si="107"/>
        <v>1.79525</v>
      </c>
      <c r="X522" s="2"/>
    </row>
    <row r="523" spans="8:24" x14ac:dyDescent="0.25">
      <c r="H523">
        <v>72.099999999999994</v>
      </c>
      <c r="I523">
        <v>4.4248590963307617</v>
      </c>
      <c r="J523" s="4">
        <f t="shared" si="98"/>
        <v>7.4999999999999993E-5</v>
      </c>
      <c r="K523" s="9">
        <f t="shared" si="99"/>
        <v>2.61E-4</v>
      </c>
      <c r="L523" s="4">
        <f t="shared" si="100"/>
        <v>1.4390999999999999E-2</v>
      </c>
      <c r="M523" s="5">
        <f t="shared" si="101"/>
        <v>4.489448921075966</v>
      </c>
      <c r="N523" s="2">
        <f t="shared" si="102"/>
        <v>1.4597035371988311E-2</v>
      </c>
      <c r="O523">
        <f t="shared" si="103"/>
        <v>23951.641599999999</v>
      </c>
      <c r="P523">
        <f t="shared" ca="1" si="97"/>
        <v>23954</v>
      </c>
      <c r="Q523" t="str">
        <f t="shared" ca="1" si="104"/>
        <v>0101110110010010</v>
      </c>
      <c r="R523">
        <f t="shared" ca="1" si="105"/>
        <v>4.4913749999999997</v>
      </c>
      <c r="S523">
        <f t="shared" ca="1" si="106"/>
        <v>73.896500000000003</v>
      </c>
      <c r="T523" s="1">
        <f t="shared" ca="1" si="108"/>
        <v>2.491678224687946E-2</v>
      </c>
      <c r="V523" s="4">
        <f t="shared" ca="1" si="107"/>
        <v>1.7965</v>
      </c>
      <c r="X523" s="2"/>
    </row>
    <row r="524" spans="8:24" x14ac:dyDescent="0.25">
      <c r="H524">
        <v>72.2</v>
      </c>
      <c r="I524">
        <v>4.4327937628516647</v>
      </c>
      <c r="J524" s="4">
        <f t="shared" si="98"/>
        <v>7.4999999999999993E-5</v>
      </c>
      <c r="K524" s="9">
        <f t="shared" si="99"/>
        <v>2.61E-4</v>
      </c>
      <c r="L524" s="4">
        <f t="shared" si="100"/>
        <v>1.4421E-2</v>
      </c>
      <c r="M524" s="5">
        <f t="shared" si="101"/>
        <v>4.4976363400941626</v>
      </c>
      <c r="N524" s="2">
        <f t="shared" si="102"/>
        <v>1.4627925572784584E-2</v>
      </c>
      <c r="O524">
        <f t="shared" si="103"/>
        <v>23995.3223</v>
      </c>
      <c r="P524">
        <f t="shared" ca="1" si="97"/>
        <v>23994</v>
      </c>
      <c r="Q524" t="str">
        <f t="shared" ca="1" si="104"/>
        <v>0101110110111010</v>
      </c>
      <c r="R524">
        <f t="shared" ca="1" si="105"/>
        <v>4.498875</v>
      </c>
      <c r="S524">
        <f t="shared" ca="1" si="106"/>
        <v>73.986500000000007</v>
      </c>
      <c r="T524" s="1">
        <f t="shared" ca="1" si="108"/>
        <v>2.474376731301944E-2</v>
      </c>
      <c r="V524" s="4">
        <f t="shared" ca="1" si="107"/>
        <v>1.7865</v>
      </c>
      <c r="X524" s="2"/>
    </row>
    <row r="525" spans="8:24" x14ac:dyDescent="0.25">
      <c r="H525">
        <v>72.300000000000011</v>
      </c>
      <c r="I525">
        <v>4.4402972218613002</v>
      </c>
      <c r="J525" s="4">
        <f t="shared" si="98"/>
        <v>7.6000000000000004E-5</v>
      </c>
      <c r="K525" s="9">
        <f t="shared" si="99"/>
        <v>2.6200000000000003E-4</v>
      </c>
      <c r="L525" s="4">
        <f t="shared" si="100"/>
        <v>1.4452E-2</v>
      </c>
      <c r="M525" s="5">
        <f t="shared" si="101"/>
        <v>4.5053902840301037</v>
      </c>
      <c r="N525" s="2">
        <f t="shared" si="102"/>
        <v>1.4659618245446541E-2</v>
      </c>
      <c r="O525">
        <f t="shared" si="103"/>
        <v>24036.690299999998</v>
      </c>
      <c r="P525">
        <f t="shared" ca="1" si="97"/>
        <v>24041</v>
      </c>
      <c r="Q525" t="str">
        <f t="shared" ca="1" si="104"/>
        <v>0101110111101001</v>
      </c>
      <c r="R525">
        <f t="shared" ca="1" si="105"/>
        <v>4.5076875000000003</v>
      </c>
      <c r="S525">
        <f t="shared" ca="1" si="106"/>
        <v>74.092250000000007</v>
      </c>
      <c r="T525" s="1">
        <f t="shared" ca="1" si="108"/>
        <v>2.4789073305670751E-2</v>
      </c>
      <c r="V525" s="4">
        <f t="shared" ca="1" si="107"/>
        <v>1.7922499999999999</v>
      </c>
      <c r="X525" s="2"/>
    </row>
    <row r="526" spans="8:24" x14ac:dyDescent="0.25">
      <c r="H526">
        <v>72.400000000000006</v>
      </c>
      <c r="I526">
        <v>4.4482529418777315</v>
      </c>
      <c r="J526" s="4">
        <f t="shared" si="98"/>
        <v>7.6000000000000004E-5</v>
      </c>
      <c r="K526" s="9">
        <f t="shared" si="99"/>
        <v>2.6200000000000003E-4</v>
      </c>
      <c r="L526" s="4">
        <f t="shared" si="100"/>
        <v>1.4482E-2</v>
      </c>
      <c r="M526" s="5">
        <f t="shared" si="101"/>
        <v>4.5136000579611242</v>
      </c>
      <c r="N526" s="2">
        <f t="shared" si="102"/>
        <v>1.4690512643331807E-2</v>
      </c>
      <c r="O526">
        <f t="shared" si="103"/>
        <v>24080.490300000001</v>
      </c>
      <c r="P526">
        <f t="shared" ca="1" si="97"/>
        <v>24085</v>
      </c>
      <c r="Q526" t="str">
        <f t="shared" ca="1" si="104"/>
        <v>0101111000010101</v>
      </c>
      <c r="R526">
        <f t="shared" ca="1" si="105"/>
        <v>4.5159374999999997</v>
      </c>
      <c r="S526">
        <f t="shared" ca="1" si="106"/>
        <v>74.191250000000011</v>
      </c>
      <c r="T526" s="1">
        <f t="shared" ca="1" si="108"/>
        <v>2.4741022099447584E-2</v>
      </c>
      <c r="V526" s="4">
        <f t="shared" ca="1" si="107"/>
        <v>1.79125</v>
      </c>
      <c r="X526" s="2"/>
    </row>
    <row r="527" spans="8:24" x14ac:dyDescent="0.25">
      <c r="H527">
        <v>72.5</v>
      </c>
      <c r="I527">
        <v>4.4557790931799062</v>
      </c>
      <c r="J527" s="4">
        <f t="shared" si="98"/>
        <v>7.7000000000000001E-5</v>
      </c>
      <c r="K527" s="9">
        <f t="shared" si="99"/>
        <v>2.63E-4</v>
      </c>
      <c r="L527" s="4">
        <f t="shared" si="100"/>
        <v>1.4513E-2</v>
      </c>
      <c r="M527" s="5">
        <f t="shared" si="101"/>
        <v>4.521378010492179</v>
      </c>
      <c r="N527" s="2">
        <f t="shared" si="102"/>
        <v>1.4722210401471588E-2</v>
      </c>
      <c r="O527">
        <f t="shared" si="103"/>
        <v>24121.986400000002</v>
      </c>
      <c r="P527">
        <f t="shared" ref="P527:P590" ca="1" si="109">ROUND(O527+$C$47+$C$49+RANDBETWEEN($B$45,$D$45) + 1,0)</f>
        <v>24124</v>
      </c>
      <c r="Q527" t="str">
        <f t="shared" ca="1" si="104"/>
        <v>0101111000111100</v>
      </c>
      <c r="R527">
        <f t="shared" ca="1" si="105"/>
        <v>4.52325</v>
      </c>
      <c r="S527">
        <f t="shared" ca="1" si="106"/>
        <v>74.279000000000011</v>
      </c>
      <c r="T527" s="1">
        <f t="shared" ca="1" si="108"/>
        <v>2.4537931034482905E-2</v>
      </c>
      <c r="V527" s="4">
        <f t="shared" ca="1" si="107"/>
        <v>1.7789999999999999</v>
      </c>
      <c r="X527" s="2"/>
    </row>
    <row r="528" spans="8:24" x14ac:dyDescent="0.25">
      <c r="H528">
        <v>72.599999999999994</v>
      </c>
      <c r="I528">
        <v>4.4637554252142779</v>
      </c>
      <c r="J528" s="4">
        <f t="shared" si="98"/>
        <v>7.7000000000000001E-5</v>
      </c>
      <c r="K528" s="9">
        <f t="shared" si="99"/>
        <v>2.63E-4</v>
      </c>
      <c r="L528" s="4">
        <f t="shared" si="100"/>
        <v>1.4543E-2</v>
      </c>
      <c r="M528" s="5">
        <f t="shared" si="101"/>
        <v>4.5296096955222582</v>
      </c>
      <c r="N528" s="2">
        <f t="shared" si="102"/>
        <v>1.475310899338062E-2</v>
      </c>
      <c r="O528">
        <f t="shared" si="103"/>
        <v>24165.903200000001</v>
      </c>
      <c r="P528">
        <f t="shared" ca="1" si="109"/>
        <v>24167</v>
      </c>
      <c r="Q528" t="str">
        <f t="shared" ca="1" si="104"/>
        <v>0101111001100111</v>
      </c>
      <c r="R528">
        <f t="shared" ca="1" si="105"/>
        <v>4.5313125000000003</v>
      </c>
      <c r="S528">
        <f t="shared" ca="1" si="106"/>
        <v>74.375750000000011</v>
      </c>
      <c r="T528" s="1">
        <f t="shared" ca="1" si="108"/>
        <v>2.44593663911848E-2</v>
      </c>
      <c r="V528" s="4">
        <f t="shared" ca="1" si="107"/>
        <v>1.7757499999999999</v>
      </c>
      <c r="X528" s="2"/>
    </row>
    <row r="529" spans="8:24" x14ac:dyDescent="0.25">
      <c r="H529">
        <v>72.7</v>
      </c>
      <c r="I529">
        <v>4.4713038231887667</v>
      </c>
      <c r="J529" s="4">
        <f t="shared" si="98"/>
        <v>7.7999999999999999E-5</v>
      </c>
      <c r="K529" s="9">
        <f t="shared" si="99"/>
        <v>2.6400000000000002E-4</v>
      </c>
      <c r="L529" s="4">
        <f t="shared" si="100"/>
        <v>1.4574E-2</v>
      </c>
      <c r="M529" s="5">
        <f t="shared" si="101"/>
        <v>4.5374112088546132</v>
      </c>
      <c r="N529" s="2">
        <f t="shared" si="102"/>
        <v>1.4784811831172142E-2</v>
      </c>
      <c r="O529">
        <f t="shared" si="103"/>
        <v>24207.525099999999</v>
      </c>
      <c r="P529">
        <f t="shared" ca="1" si="109"/>
        <v>24208</v>
      </c>
      <c r="Q529" t="str">
        <f t="shared" ca="1" si="104"/>
        <v>0101111010010000</v>
      </c>
      <c r="R529">
        <f t="shared" ca="1" si="105"/>
        <v>4.5389999999999997</v>
      </c>
      <c r="S529">
        <f t="shared" ca="1" si="106"/>
        <v>74.468000000000004</v>
      </c>
      <c r="T529" s="1">
        <f t="shared" ca="1" si="108"/>
        <v>2.4319119669876214E-2</v>
      </c>
      <c r="V529" s="4">
        <f t="shared" ca="1" si="107"/>
        <v>1.768</v>
      </c>
      <c r="X529" s="2"/>
    </row>
    <row r="530" spans="8:24" x14ac:dyDescent="0.25">
      <c r="H530">
        <v>72.800000000000011</v>
      </c>
      <c r="I530">
        <v>4.4788636407681919</v>
      </c>
      <c r="J530" s="4">
        <f t="shared" si="98"/>
        <v>7.8999999999999996E-5</v>
      </c>
      <c r="K530" s="9">
        <f t="shared" si="99"/>
        <v>2.6400000000000002E-4</v>
      </c>
      <c r="L530" s="4">
        <f t="shared" si="100"/>
        <v>1.4604000000000001E-2</v>
      </c>
      <c r="M530" s="5">
        <f t="shared" si="101"/>
        <v>4.5452201893819248</v>
      </c>
      <c r="N530" s="2">
        <f t="shared" si="102"/>
        <v>1.4815487573618525E-2</v>
      </c>
      <c r="O530">
        <f t="shared" si="103"/>
        <v>24249.186699999998</v>
      </c>
      <c r="P530">
        <f t="shared" ca="1" si="109"/>
        <v>24249</v>
      </c>
      <c r="Q530" t="str">
        <f t="shared" ca="1" si="104"/>
        <v>0101111010111001</v>
      </c>
      <c r="R530">
        <f t="shared" ca="1" si="105"/>
        <v>4.5466875</v>
      </c>
      <c r="S530">
        <f t="shared" ca="1" si="106"/>
        <v>74.560250000000011</v>
      </c>
      <c r="T530" s="1">
        <f t="shared" ca="1" si="108"/>
        <v>2.4179258241758227E-2</v>
      </c>
      <c r="V530" s="4">
        <f t="shared" ca="1" si="107"/>
        <v>1.7602500000000001</v>
      </c>
      <c r="X530" s="2"/>
    </row>
    <row r="531" spans="8:24" x14ac:dyDescent="0.25">
      <c r="H531">
        <v>72.900000000000006</v>
      </c>
      <c r="I531">
        <v>4.4868705295237499</v>
      </c>
      <c r="J531" s="4">
        <f t="shared" si="98"/>
        <v>7.8999999999999996E-5</v>
      </c>
      <c r="K531" s="9">
        <f t="shared" si="99"/>
        <v>2.6499999999999999E-4</v>
      </c>
      <c r="L531" s="4">
        <f t="shared" si="100"/>
        <v>1.4635E-2</v>
      </c>
      <c r="M531" s="5">
        <f t="shared" si="101"/>
        <v>4.5534889920930306</v>
      </c>
      <c r="N531" s="2">
        <f t="shared" si="102"/>
        <v>1.4847422525550744E-2</v>
      </c>
      <c r="O531">
        <f t="shared" si="103"/>
        <v>24293.301599999999</v>
      </c>
      <c r="P531">
        <f t="shared" ca="1" si="109"/>
        <v>24292</v>
      </c>
      <c r="Q531" t="str">
        <f t="shared" ca="1" si="104"/>
        <v>0101111011100100</v>
      </c>
      <c r="R531">
        <f t="shared" ca="1" si="105"/>
        <v>4.5547500000000003</v>
      </c>
      <c r="S531">
        <f t="shared" ca="1" si="106"/>
        <v>74.657000000000011</v>
      </c>
      <c r="T531" s="1">
        <f t="shared" ca="1" si="108"/>
        <v>2.4101508916323799E-2</v>
      </c>
      <c r="V531" s="4">
        <f t="shared" ca="1" si="107"/>
        <v>1.7569999999999999</v>
      </c>
      <c r="X531" s="2"/>
    </row>
    <row r="532" spans="8:24" x14ac:dyDescent="0.25">
      <c r="H532">
        <v>73</v>
      </c>
      <c r="I532">
        <v>4.4948867709269136</v>
      </c>
      <c r="J532" s="4">
        <f t="shared" si="98"/>
        <v>8.0000000000000007E-5</v>
      </c>
      <c r="K532" s="9">
        <f t="shared" si="99"/>
        <v>2.6499999999999999E-4</v>
      </c>
      <c r="L532" s="4">
        <f t="shared" si="100"/>
        <v>1.4664999999999999E-2</v>
      </c>
      <c r="M532" s="5">
        <f t="shared" si="101"/>
        <v>4.5617621624695301</v>
      </c>
      <c r="N532" s="2">
        <f t="shared" si="102"/>
        <v>1.4878103710013111E-2</v>
      </c>
      <c r="O532">
        <f t="shared" si="103"/>
        <v>24337.439699999999</v>
      </c>
      <c r="P532">
        <f t="shared" ca="1" si="109"/>
        <v>24337</v>
      </c>
      <c r="Q532" t="str">
        <f t="shared" ca="1" si="104"/>
        <v>0101111100010001</v>
      </c>
      <c r="R532">
        <f t="shared" ca="1" si="105"/>
        <v>4.5631874999999997</v>
      </c>
      <c r="S532">
        <f t="shared" ca="1" si="106"/>
        <v>74.758250000000004</v>
      </c>
      <c r="T532" s="1">
        <f t="shared" ca="1" si="108"/>
        <v>2.4085616438356217E-2</v>
      </c>
      <c r="V532" s="4">
        <f t="shared" ca="1" si="107"/>
        <v>1.7582500000000001</v>
      </c>
      <c r="X532" s="2"/>
    </row>
    <row r="533" spans="8:24" x14ac:dyDescent="0.25">
      <c r="H533">
        <v>73.099999999999994</v>
      </c>
      <c r="I533">
        <v>4.5024783346726478</v>
      </c>
      <c r="J533" s="4">
        <f t="shared" si="98"/>
        <v>8.0000000000000007E-5</v>
      </c>
      <c r="K533" s="9">
        <f t="shared" si="99"/>
        <v>2.6600000000000001E-4</v>
      </c>
      <c r="L533" s="4">
        <f t="shared" si="100"/>
        <v>1.4696000000000001E-2</v>
      </c>
      <c r="M533" s="5">
        <f t="shared" si="101"/>
        <v>4.5696104778876858</v>
      </c>
      <c r="N533" s="2">
        <f t="shared" si="102"/>
        <v>1.4910042475511179E-2</v>
      </c>
      <c r="O533">
        <f t="shared" si="103"/>
        <v>24379.311300000001</v>
      </c>
      <c r="P533">
        <f t="shared" ca="1" si="109"/>
        <v>24380</v>
      </c>
      <c r="Q533" t="str">
        <f t="shared" ca="1" si="104"/>
        <v>0101111100111100</v>
      </c>
      <c r="R533">
        <f t="shared" ca="1" si="105"/>
        <v>4.57125</v>
      </c>
      <c r="S533">
        <f t="shared" ca="1" si="106"/>
        <v>74.855000000000004</v>
      </c>
      <c r="T533" s="1">
        <f t="shared" ca="1" si="108"/>
        <v>2.400820793433666E-2</v>
      </c>
      <c r="V533" s="4">
        <f t="shared" ca="1" si="107"/>
        <v>1.7549999999999999</v>
      </c>
      <c r="X533" s="2"/>
    </row>
    <row r="534" spans="8:24" x14ac:dyDescent="0.25">
      <c r="H534">
        <v>73.2</v>
      </c>
      <c r="I534">
        <v>4.5100808746053458</v>
      </c>
      <c r="J534" s="4">
        <f t="shared" si="98"/>
        <v>8.1000000000000004E-5</v>
      </c>
      <c r="K534" s="9">
        <f t="shared" si="99"/>
        <v>2.6600000000000001E-4</v>
      </c>
      <c r="L534" s="4">
        <f t="shared" si="100"/>
        <v>1.4726E-2</v>
      </c>
      <c r="M534" s="5">
        <f t="shared" si="101"/>
        <v>4.5774647666510493</v>
      </c>
      <c r="N534" s="2">
        <f t="shared" si="102"/>
        <v>1.4940728097608652E-2</v>
      </c>
      <c r="O534">
        <f t="shared" si="103"/>
        <v>24421.214599999999</v>
      </c>
      <c r="P534">
        <f t="shared" ca="1" si="109"/>
        <v>24422</v>
      </c>
      <c r="Q534" t="str">
        <f t="shared" ca="1" si="104"/>
        <v>0101111101100110</v>
      </c>
      <c r="R534">
        <f t="shared" ca="1" si="105"/>
        <v>4.5791250000000003</v>
      </c>
      <c r="S534">
        <f t="shared" ca="1" si="106"/>
        <v>74.949500000000015</v>
      </c>
      <c r="T534" s="1">
        <f t="shared" ca="1" si="108"/>
        <v>2.3900273224043877E-2</v>
      </c>
      <c r="V534" s="4">
        <f t="shared" ca="1" si="107"/>
        <v>1.7495000000000001</v>
      </c>
      <c r="X534" s="2"/>
    </row>
    <row r="535" spans="8:24" x14ac:dyDescent="0.25">
      <c r="H535">
        <v>73.300000000000011</v>
      </c>
      <c r="I535">
        <v>4.518126365922396</v>
      </c>
      <c r="J535" s="4">
        <f t="shared" si="98"/>
        <v>8.1000000000000004E-5</v>
      </c>
      <c r="K535" s="9">
        <f t="shared" si="99"/>
        <v>2.6699999999999998E-4</v>
      </c>
      <c r="L535" s="4">
        <f t="shared" si="100"/>
        <v>1.4756999999999999E-2</v>
      </c>
      <c r="M535" s="5">
        <f t="shared" si="101"/>
        <v>4.585774788571344</v>
      </c>
      <c r="N535" s="2">
        <f t="shared" si="102"/>
        <v>1.4972671671863976E-2</v>
      </c>
      <c r="O535">
        <f t="shared" si="103"/>
        <v>24465.5494</v>
      </c>
      <c r="P535">
        <f t="shared" ca="1" si="109"/>
        <v>24470</v>
      </c>
      <c r="Q535" t="str">
        <f t="shared" ca="1" si="104"/>
        <v>0101111110010110</v>
      </c>
      <c r="R535">
        <f t="shared" ca="1" si="105"/>
        <v>4.5881249999999998</v>
      </c>
      <c r="S535">
        <f t="shared" ca="1" si="106"/>
        <v>75.057500000000005</v>
      </c>
      <c r="T535" s="1">
        <f t="shared" ca="1" si="108"/>
        <v>2.3976807639836194E-2</v>
      </c>
      <c r="V535" s="4">
        <f t="shared" ca="1" si="107"/>
        <v>1.7575000000000001</v>
      </c>
      <c r="X535" s="2"/>
    </row>
    <row r="536" spans="8:24" x14ac:dyDescent="0.25">
      <c r="H536">
        <v>73.400000000000006</v>
      </c>
      <c r="I536">
        <v>4.5257496099846071</v>
      </c>
      <c r="J536" s="4">
        <f t="shared" si="98"/>
        <v>8.2000000000000001E-5</v>
      </c>
      <c r="K536" s="9">
        <f t="shared" si="99"/>
        <v>2.6699999999999998E-4</v>
      </c>
      <c r="L536" s="4">
        <f t="shared" si="100"/>
        <v>1.4787E-2</v>
      </c>
      <c r="M536" s="5">
        <f t="shared" si="101"/>
        <v>4.5936510707213642</v>
      </c>
      <c r="N536" s="2">
        <f t="shared" si="102"/>
        <v>1.500336222466981E-2</v>
      </c>
      <c r="O536">
        <f t="shared" si="103"/>
        <v>24507.570100000001</v>
      </c>
      <c r="P536">
        <f t="shared" ca="1" si="109"/>
        <v>24508</v>
      </c>
      <c r="Q536" t="str">
        <f t="shared" ca="1" si="104"/>
        <v>0101111110111100</v>
      </c>
      <c r="R536">
        <f t="shared" ca="1" si="105"/>
        <v>4.5952500000000001</v>
      </c>
      <c r="S536">
        <f t="shared" ca="1" si="106"/>
        <v>75.143000000000015</v>
      </c>
      <c r="T536" s="1">
        <f t="shared" ca="1" si="108"/>
        <v>2.3746594005449716E-2</v>
      </c>
      <c r="V536" s="4">
        <f t="shared" ca="1" si="107"/>
        <v>1.7430000000000001</v>
      </c>
      <c r="X536" s="2"/>
    </row>
    <row r="537" spans="8:24" x14ac:dyDescent="0.25">
      <c r="H537">
        <v>73.5</v>
      </c>
      <c r="I537">
        <v>4.5333835006500003</v>
      </c>
      <c r="J537" s="4">
        <f t="shared" si="98"/>
        <v>8.2999999999999998E-5</v>
      </c>
      <c r="K537" s="9">
        <f t="shared" si="99"/>
        <v>2.6800000000000001E-4</v>
      </c>
      <c r="L537" s="4">
        <f t="shared" si="100"/>
        <v>1.4818E-2</v>
      </c>
      <c r="M537" s="5">
        <f t="shared" si="101"/>
        <v>4.6015433099731826</v>
      </c>
      <c r="N537" s="2">
        <f t="shared" si="102"/>
        <v>1.5035085673517258E-2</v>
      </c>
      <c r="O537">
        <f t="shared" si="103"/>
        <v>24549.675999999999</v>
      </c>
      <c r="P537">
        <f t="shared" ca="1" si="109"/>
        <v>24553</v>
      </c>
      <c r="Q537" t="str">
        <f t="shared" ca="1" si="104"/>
        <v>0101111111101001</v>
      </c>
      <c r="R537">
        <f t="shared" ca="1" si="105"/>
        <v>4.6036875000000004</v>
      </c>
      <c r="S537">
        <f t="shared" ca="1" si="106"/>
        <v>75.244250000000008</v>
      </c>
      <c r="T537" s="1">
        <f t="shared" ca="1" si="108"/>
        <v>2.3731292517006914E-2</v>
      </c>
      <c r="V537" s="4">
        <f t="shared" ca="1" si="107"/>
        <v>1.7442500000000001</v>
      </c>
      <c r="X537" s="2"/>
    </row>
    <row r="538" spans="8:24" x14ac:dyDescent="0.25">
      <c r="H538">
        <v>73.599999999999994</v>
      </c>
      <c r="I538">
        <v>4.5410279276778551</v>
      </c>
      <c r="J538" s="4">
        <f t="shared" si="98"/>
        <v>8.2999999999999998E-5</v>
      </c>
      <c r="K538" s="9">
        <f t="shared" si="99"/>
        <v>2.6800000000000001E-4</v>
      </c>
      <c r="L538" s="4">
        <f t="shared" si="100"/>
        <v>1.4848E-2</v>
      </c>
      <c r="M538" s="5">
        <f t="shared" si="101"/>
        <v>4.6094430773056896</v>
      </c>
      <c r="N538" s="2">
        <f t="shared" si="102"/>
        <v>1.5066005036181291E-2</v>
      </c>
      <c r="O538">
        <f t="shared" si="103"/>
        <v>24591.822</v>
      </c>
      <c r="P538">
        <f t="shared" ca="1" si="109"/>
        <v>24592</v>
      </c>
      <c r="Q538" t="str">
        <f t="shared" ca="1" si="104"/>
        <v>0110000000010000</v>
      </c>
      <c r="R538">
        <f t="shared" ca="1" si="105"/>
        <v>4.6109999999999998</v>
      </c>
      <c r="S538">
        <f t="shared" ca="1" si="106"/>
        <v>75.332000000000008</v>
      </c>
      <c r="T538" s="1">
        <f t="shared" ca="1" si="108"/>
        <v>2.3532608695652359E-2</v>
      </c>
      <c r="V538" s="4">
        <f t="shared" ca="1" si="107"/>
        <v>1.732</v>
      </c>
      <c r="X538" s="2"/>
    </row>
    <row r="539" spans="8:24" x14ac:dyDescent="0.25">
      <c r="H539">
        <v>73.7</v>
      </c>
      <c r="I539">
        <v>4.5482543544104681</v>
      </c>
      <c r="J539" s="4">
        <f t="shared" si="98"/>
        <v>8.3999999999999995E-5</v>
      </c>
      <c r="K539" s="9">
        <f t="shared" si="99"/>
        <v>2.6899999999999998E-4</v>
      </c>
      <c r="L539" s="4">
        <f t="shared" si="100"/>
        <v>1.4879E-2</v>
      </c>
      <c r="M539" s="5">
        <f t="shared" si="101"/>
        <v>4.616922684044364</v>
      </c>
      <c r="N539" s="2">
        <f t="shared" si="102"/>
        <v>1.5097732950512725E-2</v>
      </c>
      <c r="O539">
        <f t="shared" si="103"/>
        <v>24631.7264</v>
      </c>
      <c r="P539">
        <f t="shared" ca="1" si="109"/>
        <v>24630</v>
      </c>
      <c r="Q539" t="str">
        <f t="shared" ca="1" si="104"/>
        <v>0110000000110110</v>
      </c>
      <c r="R539">
        <f t="shared" ca="1" si="105"/>
        <v>4.618125</v>
      </c>
      <c r="S539">
        <f t="shared" ca="1" si="106"/>
        <v>75.417500000000004</v>
      </c>
      <c r="T539" s="1">
        <f t="shared" ca="1" si="108"/>
        <v>2.3303934871099066E-2</v>
      </c>
      <c r="V539" s="4">
        <f t="shared" ca="1" si="107"/>
        <v>1.7175</v>
      </c>
      <c r="X539" s="2"/>
    </row>
    <row r="540" spans="8:24" x14ac:dyDescent="0.25">
      <c r="H540">
        <v>73.800000000000011</v>
      </c>
      <c r="I540">
        <v>4.5563479539842797</v>
      </c>
      <c r="J540" s="4">
        <f t="shared" si="98"/>
        <v>8.3999999999999995E-5</v>
      </c>
      <c r="K540" s="9">
        <f t="shared" si="99"/>
        <v>2.6899999999999998E-4</v>
      </c>
      <c r="L540" s="4">
        <f t="shared" si="100"/>
        <v>1.4909E-2</v>
      </c>
      <c r="M540" s="5">
        <f t="shared" si="101"/>
        <v>4.625279379531718</v>
      </c>
      <c r="N540" s="2">
        <f t="shared" si="102"/>
        <v>1.5128657039276698E-2</v>
      </c>
      <c r="O540">
        <f t="shared" si="103"/>
        <v>24676.3102</v>
      </c>
      <c r="P540">
        <f t="shared" ca="1" si="109"/>
        <v>24681</v>
      </c>
      <c r="Q540" t="str">
        <f t="shared" ca="1" si="104"/>
        <v>0110000001101001</v>
      </c>
      <c r="R540">
        <f t="shared" ca="1" si="105"/>
        <v>4.6276875000000004</v>
      </c>
      <c r="S540">
        <f t="shared" ca="1" si="106"/>
        <v>75.532250000000019</v>
      </c>
      <c r="T540" s="1">
        <f t="shared" ca="1" si="108"/>
        <v>2.3472222222222321E-2</v>
      </c>
      <c r="V540" s="4">
        <f t="shared" ca="1" si="107"/>
        <v>1.7322500000000001</v>
      </c>
      <c r="X540" s="2"/>
    </row>
    <row r="541" spans="8:24" x14ac:dyDescent="0.25">
      <c r="H541">
        <v>73.900000000000006</v>
      </c>
      <c r="I541">
        <v>4.5640233351164223</v>
      </c>
      <c r="J541" s="4">
        <f t="shared" si="98"/>
        <v>8.5000000000000006E-5</v>
      </c>
      <c r="K541" s="9">
        <f t="shared" si="99"/>
        <v>2.7E-4</v>
      </c>
      <c r="L541" s="4">
        <f t="shared" si="100"/>
        <v>1.494E-2</v>
      </c>
      <c r="M541" s="5">
        <f t="shared" si="101"/>
        <v>4.6332157113235963</v>
      </c>
      <c r="N541" s="2">
        <f t="shared" si="102"/>
        <v>1.5160390542878106E-2</v>
      </c>
      <c r="O541">
        <f t="shared" si="103"/>
        <v>24718.651300000001</v>
      </c>
      <c r="P541">
        <f t="shared" ca="1" si="109"/>
        <v>24718</v>
      </c>
      <c r="Q541" t="str">
        <f t="shared" ca="1" si="104"/>
        <v>0110000010001110</v>
      </c>
      <c r="R541">
        <f t="shared" ca="1" si="105"/>
        <v>4.6346249999999998</v>
      </c>
      <c r="S541">
        <f t="shared" ca="1" si="106"/>
        <v>75.615500000000011</v>
      </c>
      <c r="T541" s="1">
        <f t="shared" ca="1" si="108"/>
        <v>2.3213802435724028E-2</v>
      </c>
      <c r="V541" s="4">
        <f t="shared" ca="1" si="107"/>
        <v>1.7155</v>
      </c>
      <c r="X541" s="2"/>
    </row>
    <row r="542" spans="8:24" x14ac:dyDescent="0.25">
      <c r="H542">
        <v>74</v>
      </c>
      <c r="I542">
        <v>4.5708574205386405</v>
      </c>
      <c r="J542" s="4">
        <f t="shared" si="98"/>
        <v>8.6000000000000003E-5</v>
      </c>
      <c r="K542" s="9">
        <f t="shared" si="99"/>
        <v>2.7E-4</v>
      </c>
      <c r="L542" s="4">
        <f t="shared" si="100"/>
        <v>1.4970000000000001E-2</v>
      </c>
      <c r="M542" s="5">
        <f t="shared" si="101"/>
        <v>4.6402937497118275</v>
      </c>
      <c r="N542" s="2">
        <f t="shared" si="102"/>
        <v>1.5191094970755934E-2</v>
      </c>
      <c r="O542">
        <f t="shared" si="103"/>
        <v>24756.4133</v>
      </c>
      <c r="P542">
        <f t="shared" ca="1" si="109"/>
        <v>24755</v>
      </c>
      <c r="Q542" t="str">
        <f t="shared" ca="1" si="104"/>
        <v>0110000010110011</v>
      </c>
      <c r="R542">
        <f t="shared" ca="1" si="105"/>
        <v>4.6415625</v>
      </c>
      <c r="S542">
        <f t="shared" ca="1" si="106"/>
        <v>75.698750000000004</v>
      </c>
      <c r="T542" s="1">
        <f t="shared" ca="1" si="108"/>
        <v>2.2956081081081135E-2</v>
      </c>
      <c r="V542" s="4">
        <f t="shared" ca="1" si="107"/>
        <v>1.69875</v>
      </c>
      <c r="X542" s="2"/>
    </row>
    <row r="543" spans="8:24" x14ac:dyDescent="0.25">
      <c r="H543">
        <v>74.099999999999994</v>
      </c>
      <c r="I543">
        <v>4.5785547074970081</v>
      </c>
      <c r="J543" s="4">
        <f t="shared" si="98"/>
        <v>8.6000000000000003E-5</v>
      </c>
      <c r="K543" s="9">
        <f t="shared" si="99"/>
        <v>2.7099999999999997E-4</v>
      </c>
      <c r="L543" s="4">
        <f t="shared" si="100"/>
        <v>1.5001E-2</v>
      </c>
      <c r="M543" s="5">
        <f t="shared" si="101"/>
        <v>4.6482543001962524</v>
      </c>
      <c r="N543" s="2">
        <f t="shared" si="102"/>
        <v>1.5223055560549913E-2</v>
      </c>
      <c r="O543">
        <f t="shared" si="103"/>
        <v>24798.883600000001</v>
      </c>
      <c r="P543">
        <f t="shared" ca="1" si="109"/>
        <v>24799</v>
      </c>
      <c r="Q543" t="str">
        <f t="shared" ca="1" si="104"/>
        <v>0110000011011111</v>
      </c>
      <c r="R543">
        <f t="shared" ca="1" si="105"/>
        <v>4.6498125000000003</v>
      </c>
      <c r="S543">
        <f t="shared" ca="1" si="106"/>
        <v>75.797750000000008</v>
      </c>
      <c r="T543" s="1">
        <f t="shared" ca="1" si="108"/>
        <v>2.2911605937921912E-2</v>
      </c>
      <c r="V543" s="4">
        <f t="shared" ca="1" si="107"/>
        <v>1.6977500000000001</v>
      </c>
      <c r="X543" s="2"/>
    </row>
    <row r="544" spans="8:24" x14ac:dyDescent="0.25">
      <c r="H544">
        <v>74.2</v>
      </c>
      <c r="I544">
        <v>4.5866857613701626</v>
      </c>
      <c r="J544" s="4">
        <f t="shared" si="98"/>
        <v>8.7000000000000001E-5</v>
      </c>
      <c r="K544" s="9">
        <f t="shared" si="99"/>
        <v>2.7099999999999997E-4</v>
      </c>
      <c r="L544" s="4">
        <f t="shared" si="100"/>
        <v>1.5030999999999999E-2</v>
      </c>
      <c r="M544" s="5">
        <f t="shared" si="101"/>
        <v>4.6566499956568812</v>
      </c>
      <c r="N544" s="2">
        <f t="shared" si="102"/>
        <v>1.5253766646926008E-2</v>
      </c>
      <c r="O544">
        <f t="shared" si="103"/>
        <v>24843.675500000001</v>
      </c>
      <c r="P544">
        <f t="shared" ca="1" si="109"/>
        <v>24846</v>
      </c>
      <c r="Q544" t="str">
        <f t="shared" ca="1" si="104"/>
        <v>0110000100001110</v>
      </c>
      <c r="R544">
        <f t="shared" ca="1" si="105"/>
        <v>4.6586249999999998</v>
      </c>
      <c r="S544">
        <f t="shared" ca="1" si="106"/>
        <v>75.903500000000008</v>
      </c>
      <c r="T544" s="1">
        <f t="shared" ca="1" si="108"/>
        <v>2.2958221024258832E-2</v>
      </c>
      <c r="V544" s="4">
        <f t="shared" ca="1" si="107"/>
        <v>1.7035</v>
      </c>
      <c r="X544" s="2"/>
    </row>
    <row r="545" spans="8:24" x14ac:dyDescent="0.25">
      <c r="H545">
        <v>74.300000000000011</v>
      </c>
      <c r="I545">
        <v>4.5939788179735421</v>
      </c>
      <c r="J545" s="4">
        <f t="shared" si="98"/>
        <v>8.7000000000000001E-5</v>
      </c>
      <c r="K545" s="9">
        <f t="shared" si="99"/>
        <v>2.72E-4</v>
      </c>
      <c r="L545" s="4">
        <f t="shared" si="100"/>
        <v>1.5062000000000001E-2</v>
      </c>
      <c r="M545" s="5">
        <f t="shared" si="101"/>
        <v>4.6642011419780154</v>
      </c>
      <c r="N545" s="2">
        <f t="shared" si="102"/>
        <v>1.5285730907102691E-2</v>
      </c>
      <c r="O545">
        <f t="shared" si="103"/>
        <v>24883.961500000001</v>
      </c>
      <c r="P545">
        <f t="shared" ca="1" si="109"/>
        <v>24889</v>
      </c>
      <c r="Q545" t="str">
        <f t="shared" ca="1" si="104"/>
        <v>0110000100111001</v>
      </c>
      <c r="R545">
        <f t="shared" ca="1" si="105"/>
        <v>4.6666875000000001</v>
      </c>
      <c r="S545">
        <f t="shared" ca="1" si="106"/>
        <v>76.000250000000008</v>
      </c>
      <c r="T545" s="1">
        <f t="shared" ca="1" si="108"/>
        <v>2.2883580080753658E-2</v>
      </c>
      <c r="V545" s="4">
        <f t="shared" ca="1" si="107"/>
        <v>1.70025</v>
      </c>
      <c r="X545" s="2"/>
    </row>
    <row r="546" spans="8:24" x14ac:dyDescent="0.25">
      <c r="H546">
        <v>74.400000000000006</v>
      </c>
      <c r="I546">
        <v>4.6017054263967943</v>
      </c>
      <c r="J546" s="4">
        <f t="shared" si="98"/>
        <v>8.7999999999999998E-5</v>
      </c>
      <c r="K546" s="9">
        <f t="shared" si="99"/>
        <v>2.72E-4</v>
      </c>
      <c r="L546" s="4">
        <f t="shared" si="100"/>
        <v>1.5092E-2</v>
      </c>
      <c r="M546" s="5">
        <f t="shared" si="101"/>
        <v>4.6721872002875342</v>
      </c>
      <c r="N546" s="2">
        <f t="shared" si="102"/>
        <v>1.5316446264994467E-2</v>
      </c>
      <c r="O546">
        <f t="shared" si="103"/>
        <v>24926.567899999998</v>
      </c>
      <c r="P546">
        <f t="shared" ca="1" si="109"/>
        <v>24929</v>
      </c>
      <c r="Q546" t="str">
        <f t="shared" ca="1" si="104"/>
        <v>0110000101100001</v>
      </c>
      <c r="R546">
        <f t="shared" ca="1" si="105"/>
        <v>4.6741875000000004</v>
      </c>
      <c r="S546">
        <f t="shared" ca="1" si="106"/>
        <v>76.090250000000012</v>
      </c>
      <c r="T546" s="1">
        <f t="shared" ca="1" si="108"/>
        <v>2.2718413978494702E-2</v>
      </c>
      <c r="V546" s="4">
        <f t="shared" ca="1" si="107"/>
        <v>1.69025</v>
      </c>
      <c r="X546" s="2"/>
    </row>
    <row r="547" spans="8:24" x14ac:dyDescent="0.25">
      <c r="H547">
        <v>74.5</v>
      </c>
      <c r="I547">
        <v>4.6090204172722142</v>
      </c>
      <c r="J547" s="4">
        <f t="shared" si="98"/>
        <v>8.7999999999999998E-5</v>
      </c>
      <c r="K547" s="9">
        <f t="shared" si="99"/>
        <v>2.7300000000000002E-4</v>
      </c>
      <c r="L547" s="4">
        <f t="shared" si="100"/>
        <v>1.5122999999999999E-2</v>
      </c>
      <c r="M547" s="5">
        <f t="shared" si="101"/>
        <v>4.6797615744282934</v>
      </c>
      <c r="N547" s="2">
        <f t="shared" si="102"/>
        <v>1.5348414793516231E-2</v>
      </c>
      <c r="O547">
        <f t="shared" si="103"/>
        <v>24966.977900000002</v>
      </c>
      <c r="P547">
        <f t="shared" ca="1" si="109"/>
        <v>24972</v>
      </c>
      <c r="Q547" t="str">
        <f t="shared" ca="1" si="104"/>
        <v>0110000110001100</v>
      </c>
      <c r="R547">
        <f t="shared" ca="1" si="105"/>
        <v>4.6822499999999998</v>
      </c>
      <c r="S547">
        <f t="shared" ca="1" si="106"/>
        <v>76.187000000000012</v>
      </c>
      <c r="T547" s="1">
        <f t="shared" ca="1" si="108"/>
        <v>2.2644295302013583E-2</v>
      </c>
      <c r="V547" s="4">
        <f t="shared" ca="1" si="107"/>
        <v>1.6870000000000001</v>
      </c>
      <c r="X547" s="2"/>
    </row>
    <row r="548" spans="8:24" x14ac:dyDescent="0.25">
      <c r="H548">
        <v>74.599999999999994</v>
      </c>
      <c r="I548">
        <v>4.6167669372719544</v>
      </c>
      <c r="J548" s="4">
        <f t="shared" si="98"/>
        <v>8.8999999999999995E-5</v>
      </c>
      <c r="K548" s="9">
        <f t="shared" si="99"/>
        <v>2.7300000000000002E-4</v>
      </c>
      <c r="L548" s="4">
        <f t="shared" si="100"/>
        <v>1.5153E-2</v>
      </c>
      <c r="M548" s="5">
        <f t="shared" si="101"/>
        <v>4.6877688193170659</v>
      </c>
      <c r="N548" s="2">
        <f t="shared" si="102"/>
        <v>1.5379135011538285E-2</v>
      </c>
      <c r="O548">
        <f t="shared" si="103"/>
        <v>25009.697400000001</v>
      </c>
      <c r="P548">
        <f t="shared" ca="1" si="109"/>
        <v>25014</v>
      </c>
      <c r="Q548" t="str">
        <f t="shared" ca="1" si="104"/>
        <v>0110000110110110</v>
      </c>
      <c r="R548">
        <f t="shared" ca="1" si="105"/>
        <v>4.6901250000000001</v>
      </c>
      <c r="S548">
        <f t="shared" ca="1" si="106"/>
        <v>76.281500000000008</v>
      </c>
      <c r="T548" s="1">
        <f t="shared" ca="1" si="108"/>
        <v>2.2540214477211985E-2</v>
      </c>
      <c r="V548" s="4">
        <f t="shared" ca="1" si="107"/>
        <v>1.6815</v>
      </c>
      <c r="X548" s="2"/>
    </row>
    <row r="549" spans="8:24" x14ac:dyDescent="0.25">
      <c r="H549">
        <v>74.7</v>
      </c>
      <c r="I549">
        <v>4.6245228020358695</v>
      </c>
      <c r="J549" s="4">
        <f t="shared" si="98"/>
        <v>9.0000000000000006E-5</v>
      </c>
      <c r="K549" s="9">
        <f t="shared" si="99"/>
        <v>2.7399999999999999E-4</v>
      </c>
      <c r="L549" s="4">
        <f t="shared" si="100"/>
        <v>1.5184E-2</v>
      </c>
      <c r="M549" s="5">
        <f t="shared" si="101"/>
        <v>4.6957908090078444</v>
      </c>
      <c r="N549" s="2">
        <f t="shared" si="102"/>
        <v>1.5410888868490458E-2</v>
      </c>
      <c r="O549">
        <f t="shared" si="103"/>
        <v>25052.495500000001</v>
      </c>
      <c r="P549">
        <f t="shared" ca="1" si="109"/>
        <v>25055</v>
      </c>
      <c r="Q549" t="str">
        <f t="shared" ca="1" si="104"/>
        <v>0110000111011111</v>
      </c>
      <c r="R549">
        <f t="shared" ca="1" si="105"/>
        <v>4.6978125000000004</v>
      </c>
      <c r="S549">
        <f t="shared" ca="1" si="106"/>
        <v>76.373750000000015</v>
      </c>
      <c r="T549" s="1">
        <f t="shared" ca="1" si="108"/>
        <v>2.2406291834002844E-2</v>
      </c>
      <c r="V549" s="4">
        <f t="shared" ca="1" si="107"/>
        <v>1.6737500000000001</v>
      </c>
      <c r="X549" s="2"/>
    </row>
    <row r="550" spans="8:24" x14ac:dyDescent="0.25">
      <c r="H550">
        <v>74.800000000000011</v>
      </c>
      <c r="I550">
        <v>4.6318694243886807</v>
      </c>
      <c r="J550" s="4">
        <f t="shared" si="98"/>
        <v>9.0000000000000006E-5</v>
      </c>
      <c r="K550" s="9">
        <f t="shared" si="99"/>
        <v>2.7399999999999999E-4</v>
      </c>
      <c r="L550" s="4">
        <f t="shared" si="100"/>
        <v>1.5214E-2</v>
      </c>
      <c r="M550" s="5">
        <f t="shared" si="101"/>
        <v>4.7033939779573233</v>
      </c>
      <c r="N550" s="2">
        <f t="shared" si="102"/>
        <v>1.5441832878974673E-2</v>
      </c>
      <c r="O550">
        <f t="shared" si="103"/>
        <v>25093.059099999999</v>
      </c>
      <c r="P550">
        <f t="shared" ca="1" si="109"/>
        <v>25093</v>
      </c>
      <c r="Q550" t="str">
        <f t="shared" ca="1" si="104"/>
        <v>0110001000000101</v>
      </c>
      <c r="R550">
        <f t="shared" ca="1" si="105"/>
        <v>4.7049374999999998</v>
      </c>
      <c r="S550">
        <f t="shared" ca="1" si="106"/>
        <v>76.459250000000011</v>
      </c>
      <c r="T550" s="1">
        <f t="shared" ca="1" si="108"/>
        <v>2.2182486631016039E-2</v>
      </c>
      <c r="V550" s="4">
        <f t="shared" ca="1" si="107"/>
        <v>1.6592499999999999</v>
      </c>
      <c r="X550" s="2"/>
    </row>
    <row r="551" spans="8:24" x14ac:dyDescent="0.25">
      <c r="H551">
        <v>74.900000000000006</v>
      </c>
      <c r="I551">
        <v>4.6392269714706584</v>
      </c>
      <c r="J551" s="4">
        <f t="shared" si="98"/>
        <v>9.1000000000000003E-5</v>
      </c>
      <c r="K551" s="9">
        <f t="shared" si="99"/>
        <v>2.7500000000000002E-4</v>
      </c>
      <c r="L551" s="4">
        <f t="shared" si="100"/>
        <v>1.5245E-2</v>
      </c>
      <c r="M551" s="5">
        <f t="shared" si="101"/>
        <v>4.7110124724024329</v>
      </c>
      <c r="N551" s="2">
        <f t="shared" si="102"/>
        <v>1.5473591047220982E-2</v>
      </c>
      <c r="O551">
        <f t="shared" si="103"/>
        <v>25133.7045</v>
      </c>
      <c r="P551">
        <f t="shared" ca="1" si="109"/>
        <v>25133</v>
      </c>
      <c r="Q551" t="str">
        <f t="shared" ca="1" si="104"/>
        <v>0110001000101101</v>
      </c>
      <c r="R551">
        <f t="shared" ca="1" si="105"/>
        <v>4.7124375000000001</v>
      </c>
      <c r="S551">
        <f t="shared" ca="1" si="106"/>
        <v>76.549250000000015</v>
      </c>
      <c r="T551" s="1">
        <f t="shared" ca="1" si="108"/>
        <v>2.2019359145527492E-2</v>
      </c>
      <c r="V551" s="4">
        <f t="shared" ca="1" si="107"/>
        <v>1.6492500000000001</v>
      </c>
      <c r="X551" s="2"/>
    </row>
    <row r="552" spans="8:24" x14ac:dyDescent="0.25">
      <c r="H552">
        <v>75</v>
      </c>
      <c r="I552">
        <v>4.6470120232337786</v>
      </c>
      <c r="J552" s="4">
        <f t="shared" si="98"/>
        <v>9.1000000000000003E-5</v>
      </c>
      <c r="K552" s="9">
        <f t="shared" si="99"/>
        <v>2.7500000000000002E-4</v>
      </c>
      <c r="L552" s="4">
        <f t="shared" si="100"/>
        <v>1.5275E-2</v>
      </c>
      <c r="M552" s="5">
        <f t="shared" si="101"/>
        <v>4.7190618063761747</v>
      </c>
      <c r="N552" s="2">
        <f t="shared" si="102"/>
        <v>1.550453985962744E-2</v>
      </c>
      <c r="O552">
        <f t="shared" si="103"/>
        <v>25176.648499999999</v>
      </c>
      <c r="P552">
        <f t="shared" ca="1" si="109"/>
        <v>25176</v>
      </c>
      <c r="Q552" t="str">
        <f t="shared" ca="1" si="104"/>
        <v>0110001001011000</v>
      </c>
      <c r="R552">
        <f t="shared" ca="1" si="105"/>
        <v>4.7205000000000004</v>
      </c>
      <c r="S552">
        <f t="shared" ca="1" si="106"/>
        <v>76.646000000000015</v>
      </c>
      <c r="T552" s="1">
        <f t="shared" ca="1" si="108"/>
        <v>2.1946666666666868E-2</v>
      </c>
      <c r="V552" s="4">
        <f t="shared" ca="1" si="107"/>
        <v>1.6459999999999999</v>
      </c>
      <c r="X552" s="2"/>
    </row>
    <row r="553" spans="8:24" x14ac:dyDescent="0.25">
      <c r="H553">
        <v>75.099999999999994</v>
      </c>
      <c r="I553">
        <v>4.6543901973967783</v>
      </c>
      <c r="J553" s="4">
        <f t="shared" si="98"/>
        <v>9.2E-5</v>
      </c>
      <c r="K553" s="9">
        <f t="shared" si="99"/>
        <v>2.7599999999999999E-4</v>
      </c>
      <c r="L553" s="4">
        <f t="shared" si="100"/>
        <v>1.5306E-2</v>
      </c>
      <c r="M553" s="5">
        <f t="shared" si="101"/>
        <v>4.726702213732163</v>
      </c>
      <c r="N553" s="2">
        <f t="shared" si="102"/>
        <v>1.5536302988913391E-2</v>
      </c>
      <c r="O553">
        <f t="shared" si="103"/>
        <v>25217.410800000001</v>
      </c>
      <c r="P553">
        <f t="shared" ca="1" si="109"/>
        <v>25216</v>
      </c>
      <c r="Q553" t="str">
        <f t="shared" ca="1" si="104"/>
        <v>0110001010000000</v>
      </c>
      <c r="R553">
        <f t="shared" ca="1" si="105"/>
        <v>4.7279999999999998</v>
      </c>
      <c r="S553">
        <f t="shared" ca="1" si="106"/>
        <v>76.736000000000004</v>
      </c>
      <c r="T553" s="1">
        <f t="shared" ca="1" si="108"/>
        <v>2.1784287616511452E-2</v>
      </c>
      <c r="V553" s="4">
        <f t="shared" ca="1" si="107"/>
        <v>1.6359999999999999</v>
      </c>
      <c r="X553" s="2"/>
    </row>
    <row r="554" spans="8:24" x14ac:dyDescent="0.25">
      <c r="H554">
        <v>75.2</v>
      </c>
      <c r="I554">
        <v>4.6617789695857583</v>
      </c>
      <c r="J554" s="4">
        <f t="shared" si="98"/>
        <v>9.2E-5</v>
      </c>
      <c r="K554" s="9">
        <f t="shared" si="99"/>
        <v>2.7599999999999999E-4</v>
      </c>
      <c r="L554" s="4">
        <f t="shared" si="100"/>
        <v>1.5336000000000001E-2</v>
      </c>
      <c r="M554" s="5">
        <f t="shared" si="101"/>
        <v>4.7343500728144408</v>
      </c>
      <c r="N554" s="2">
        <f t="shared" si="102"/>
        <v>1.5567255269318578E-2</v>
      </c>
      <c r="O554">
        <f t="shared" si="103"/>
        <v>25258.212800000001</v>
      </c>
      <c r="P554">
        <f t="shared" ca="1" si="109"/>
        <v>25257</v>
      </c>
      <c r="Q554" t="str">
        <f t="shared" ca="1" si="104"/>
        <v>0110001010101001</v>
      </c>
      <c r="R554">
        <f t="shared" ca="1" si="105"/>
        <v>4.7356875</v>
      </c>
      <c r="S554">
        <f t="shared" ca="1" si="106"/>
        <v>76.828250000000011</v>
      </c>
      <c r="T554" s="1">
        <f t="shared" ca="1" si="108"/>
        <v>2.1652260638297983E-2</v>
      </c>
      <c r="V554" s="4">
        <f t="shared" ca="1" si="107"/>
        <v>1.62825</v>
      </c>
      <c r="X554" s="2"/>
    </row>
    <row r="555" spans="8:24" x14ac:dyDescent="0.25">
      <c r="H555">
        <v>75.300000000000011</v>
      </c>
      <c r="I555">
        <v>4.6691782309002496</v>
      </c>
      <c r="J555" s="4">
        <f t="shared" si="98"/>
        <v>9.2999999999999997E-5</v>
      </c>
      <c r="K555" s="9">
        <f t="shared" si="99"/>
        <v>2.7700000000000001E-4</v>
      </c>
      <c r="L555" s="4">
        <f t="shared" si="100"/>
        <v>1.5367E-2</v>
      </c>
      <c r="M555" s="5">
        <f t="shared" si="101"/>
        <v>4.7420128510970585</v>
      </c>
      <c r="N555" s="2">
        <f t="shared" si="102"/>
        <v>1.5599023338795497E-2</v>
      </c>
      <c r="O555">
        <f t="shared" si="103"/>
        <v>25299.094499999999</v>
      </c>
      <c r="P555">
        <f t="shared" ca="1" si="109"/>
        <v>25299</v>
      </c>
      <c r="Q555" t="str">
        <f t="shared" ca="1" si="104"/>
        <v>0110001011010011</v>
      </c>
      <c r="R555">
        <f t="shared" ca="1" si="105"/>
        <v>4.7435625000000003</v>
      </c>
      <c r="S555">
        <f t="shared" ca="1" si="106"/>
        <v>76.922750000000008</v>
      </c>
      <c r="T555" s="1">
        <f t="shared" ca="1" si="108"/>
        <v>2.1550464807436866E-2</v>
      </c>
      <c r="V555" s="4">
        <f t="shared" ca="1" si="107"/>
        <v>1.6227499999999999</v>
      </c>
      <c r="X555" s="2"/>
    </row>
    <row r="556" spans="8:24" x14ac:dyDescent="0.25">
      <c r="H556">
        <v>75.400000000000006</v>
      </c>
      <c r="I556">
        <v>4.6770009980452079</v>
      </c>
      <c r="J556" s="4">
        <f t="shared" si="98"/>
        <v>9.3999999999999994E-5</v>
      </c>
      <c r="K556" s="9">
        <f t="shared" si="99"/>
        <v>2.7700000000000001E-4</v>
      </c>
      <c r="L556" s="4">
        <f t="shared" si="100"/>
        <v>1.5396999999999999E-2</v>
      </c>
      <c r="M556" s="5">
        <f t="shared" si="101"/>
        <v>4.750101416529513</v>
      </c>
      <c r="N556" s="2">
        <f t="shared" si="102"/>
        <v>1.5629763285245842E-2</v>
      </c>
      <c r="O556">
        <f t="shared" si="103"/>
        <v>25342.247800000001</v>
      </c>
      <c r="P556">
        <f t="shared" ca="1" si="109"/>
        <v>25342</v>
      </c>
      <c r="Q556" t="str">
        <f t="shared" ca="1" si="104"/>
        <v>0110001011111110</v>
      </c>
      <c r="R556">
        <f t="shared" ca="1" si="105"/>
        <v>4.7516249999999998</v>
      </c>
      <c r="S556">
        <f t="shared" ca="1" si="106"/>
        <v>77.019500000000008</v>
      </c>
      <c r="T556" s="1">
        <f t="shared" ca="1" si="108"/>
        <v>2.1478779840848835E-2</v>
      </c>
      <c r="V556" s="4">
        <f t="shared" ca="1" si="107"/>
        <v>1.6194999999999999</v>
      </c>
      <c r="X556" s="2"/>
    </row>
    <row r="557" spans="8:24" x14ac:dyDescent="0.25">
      <c r="H557">
        <v>75.5</v>
      </c>
      <c r="I557">
        <v>4.6844200248908603</v>
      </c>
      <c r="J557" s="4">
        <f t="shared" si="98"/>
        <v>9.3999999999999994E-5</v>
      </c>
      <c r="K557" s="9">
        <f t="shared" si="99"/>
        <v>2.7799999999999998E-4</v>
      </c>
      <c r="L557" s="4">
        <f t="shared" si="100"/>
        <v>1.5428000000000001E-2</v>
      </c>
      <c r="M557" s="5">
        <f t="shared" si="101"/>
        <v>4.7577862564310793</v>
      </c>
      <c r="N557" s="2">
        <f t="shared" si="102"/>
        <v>1.5661753461556505E-2</v>
      </c>
      <c r="O557">
        <f t="shared" si="103"/>
        <v>25383.247100000001</v>
      </c>
      <c r="P557">
        <f t="shared" ca="1" si="109"/>
        <v>25385</v>
      </c>
      <c r="Q557" t="str">
        <f t="shared" ca="1" si="104"/>
        <v>0110001100101001</v>
      </c>
      <c r="R557">
        <f t="shared" ca="1" si="105"/>
        <v>4.7596875000000001</v>
      </c>
      <c r="S557">
        <f t="shared" ca="1" si="106"/>
        <v>77.116250000000008</v>
      </c>
      <c r="T557" s="1">
        <f t="shared" ca="1" si="108"/>
        <v>2.1407284768212027E-2</v>
      </c>
      <c r="V557" s="4">
        <f t="shared" ca="1" si="107"/>
        <v>1.61625</v>
      </c>
      <c r="X557" s="2"/>
    </row>
    <row r="558" spans="8:24" x14ac:dyDescent="0.25">
      <c r="H558">
        <v>75.599999999999994</v>
      </c>
      <c r="I558">
        <v>4.6918492179696241</v>
      </c>
      <c r="J558" s="4">
        <f t="shared" si="98"/>
        <v>9.5000000000000005E-5</v>
      </c>
      <c r="K558" s="9">
        <f t="shared" si="99"/>
        <v>2.7799999999999998E-4</v>
      </c>
      <c r="L558" s="4">
        <f t="shared" si="100"/>
        <v>1.5458E-2</v>
      </c>
      <c r="M558" s="5">
        <f t="shared" si="101"/>
        <v>4.7654760501894531</v>
      </c>
      <c r="N558" s="2">
        <f t="shared" si="102"/>
        <v>1.5692497520559855E-2</v>
      </c>
      <c r="O558">
        <f t="shared" si="103"/>
        <v>25424.2729</v>
      </c>
      <c r="P558">
        <f t="shared" ca="1" si="109"/>
        <v>25427</v>
      </c>
      <c r="Q558" t="str">
        <f t="shared" ca="1" si="104"/>
        <v>0110001101010011</v>
      </c>
      <c r="R558">
        <f t="shared" ca="1" si="105"/>
        <v>4.7675625000000004</v>
      </c>
      <c r="S558">
        <f t="shared" ca="1" si="106"/>
        <v>77.210750000000019</v>
      </c>
      <c r="T558" s="1">
        <f t="shared" ca="1" si="108"/>
        <v>2.1306216931217255E-2</v>
      </c>
      <c r="V558" s="4">
        <f t="shared" ca="1" si="107"/>
        <v>1.6107499999999999</v>
      </c>
      <c r="X558" s="2"/>
    </row>
    <row r="559" spans="8:24" x14ac:dyDescent="0.25">
      <c r="H559">
        <v>75.7</v>
      </c>
      <c r="I559">
        <v>4.6988780038281339</v>
      </c>
      <c r="J559" s="4">
        <f t="shared" si="98"/>
        <v>9.5000000000000005E-5</v>
      </c>
      <c r="K559" s="9">
        <f t="shared" si="99"/>
        <v>2.7900000000000001E-4</v>
      </c>
      <c r="L559" s="4">
        <f t="shared" si="100"/>
        <v>1.5488999999999999E-2</v>
      </c>
      <c r="M559" s="5">
        <f t="shared" si="101"/>
        <v>4.7727654698283049</v>
      </c>
      <c r="N559" s="2">
        <f t="shared" si="102"/>
        <v>1.5724491238115881E-2</v>
      </c>
      <c r="O559">
        <f t="shared" si="103"/>
        <v>25463.162700000001</v>
      </c>
      <c r="P559">
        <f t="shared" ca="1" si="109"/>
        <v>25466</v>
      </c>
      <c r="Q559" t="str">
        <f t="shared" ca="1" si="104"/>
        <v>0110001101111010</v>
      </c>
      <c r="R559">
        <f t="shared" ca="1" si="105"/>
        <v>4.7748749999999998</v>
      </c>
      <c r="S559">
        <f t="shared" ca="1" si="106"/>
        <v>77.298500000000004</v>
      </c>
      <c r="T559" s="1">
        <f t="shared" ca="1" si="108"/>
        <v>2.1116248348745065E-2</v>
      </c>
      <c r="V559" s="4">
        <f t="shared" ca="1" si="107"/>
        <v>1.5985</v>
      </c>
      <c r="X559" s="2"/>
    </row>
    <row r="560" spans="8:24" x14ac:dyDescent="0.25">
      <c r="H560">
        <v>75.800000000000011</v>
      </c>
      <c r="I560">
        <v>4.7063280906270082</v>
      </c>
      <c r="J560" s="4">
        <f t="shared" si="98"/>
        <v>9.6000000000000002E-5</v>
      </c>
      <c r="K560" s="9">
        <f t="shared" si="99"/>
        <v>2.7900000000000001E-4</v>
      </c>
      <c r="L560" s="4">
        <f t="shared" si="100"/>
        <v>1.5519E-2</v>
      </c>
      <c r="M560" s="5">
        <f t="shared" si="101"/>
        <v>4.7804774195997766</v>
      </c>
      <c r="N560" s="2">
        <f t="shared" si="102"/>
        <v>1.5755240082059328E-2</v>
      </c>
      <c r="O560">
        <f t="shared" si="103"/>
        <v>25504.306700000001</v>
      </c>
      <c r="P560">
        <f t="shared" ca="1" si="109"/>
        <v>25505</v>
      </c>
      <c r="Q560" t="str">
        <f t="shared" ca="1" si="104"/>
        <v>0110001110100001</v>
      </c>
      <c r="R560">
        <f t="shared" ca="1" si="105"/>
        <v>4.7821875</v>
      </c>
      <c r="S560">
        <f t="shared" ca="1" si="106"/>
        <v>77.386250000000004</v>
      </c>
      <c r="T560" s="1">
        <f t="shared" ca="1" si="108"/>
        <v>2.0926781002638423E-2</v>
      </c>
      <c r="V560" s="4">
        <f t="shared" ca="1" si="107"/>
        <v>1.5862499999999999</v>
      </c>
      <c r="X560" s="2"/>
    </row>
    <row r="561" spans="8:24" x14ac:dyDescent="0.25">
      <c r="H561">
        <v>75.900000000000006</v>
      </c>
      <c r="I561">
        <v>4.7137880206501963</v>
      </c>
      <c r="J561" s="4">
        <f t="shared" si="98"/>
        <v>9.6000000000000002E-5</v>
      </c>
      <c r="K561" s="9">
        <f t="shared" si="99"/>
        <v>2.7999999999999998E-4</v>
      </c>
      <c r="L561" s="4">
        <f t="shared" si="100"/>
        <v>1.555E-2</v>
      </c>
      <c r="M561" s="5">
        <f t="shared" si="101"/>
        <v>4.7882057176598058</v>
      </c>
      <c r="N561" s="2">
        <f t="shared" si="102"/>
        <v>1.5787238773487471E-2</v>
      </c>
      <c r="O561">
        <f t="shared" si="103"/>
        <v>25545.537899999999</v>
      </c>
      <c r="P561">
        <f t="shared" ca="1" si="109"/>
        <v>25550</v>
      </c>
      <c r="Q561" t="str">
        <f t="shared" ca="1" si="104"/>
        <v>0110001111001110</v>
      </c>
      <c r="R561">
        <f t="shared" ca="1" si="105"/>
        <v>4.7906250000000004</v>
      </c>
      <c r="S561">
        <f t="shared" ca="1" si="106"/>
        <v>77.487500000000011</v>
      </c>
      <c r="T561" s="1">
        <f t="shared" ca="1" si="108"/>
        <v>2.0915678524374249E-2</v>
      </c>
      <c r="V561" s="4">
        <f t="shared" ca="1" si="107"/>
        <v>1.5874999999999999</v>
      </c>
      <c r="X561" s="2"/>
    </row>
    <row r="562" spans="8:24" x14ac:dyDescent="0.25">
      <c r="H562">
        <v>76</v>
      </c>
      <c r="I562">
        <v>4.7208498690560932</v>
      </c>
      <c r="J562" s="4">
        <f t="shared" si="98"/>
        <v>9.7E-5</v>
      </c>
      <c r="K562" s="9">
        <f t="shared" si="99"/>
        <v>2.7999999999999998E-4</v>
      </c>
      <c r="L562" s="4">
        <f t="shared" si="100"/>
        <v>1.558E-2</v>
      </c>
      <c r="M562" s="5">
        <f t="shared" si="101"/>
        <v>4.7955242329656986</v>
      </c>
      <c r="N562" s="2">
        <f t="shared" si="102"/>
        <v>1.5817991671176822E-2</v>
      </c>
      <c r="O562">
        <f t="shared" si="103"/>
        <v>25584.582900000001</v>
      </c>
      <c r="P562">
        <f t="shared" ca="1" si="109"/>
        <v>25588</v>
      </c>
      <c r="Q562" t="str">
        <f t="shared" ca="1" si="104"/>
        <v>0110001111110100</v>
      </c>
      <c r="R562">
        <f t="shared" ca="1" si="105"/>
        <v>4.7977499999999997</v>
      </c>
      <c r="S562">
        <f t="shared" ca="1" si="106"/>
        <v>77.573000000000008</v>
      </c>
      <c r="T562" s="1">
        <f t="shared" ca="1" si="108"/>
        <v>2.0697368421052732E-2</v>
      </c>
      <c r="V562" s="4">
        <f t="shared" ca="1" si="107"/>
        <v>1.573</v>
      </c>
      <c r="X562" s="2"/>
    </row>
    <row r="563" spans="8:24" x14ac:dyDescent="0.25">
      <c r="H563">
        <v>76.099999999999994</v>
      </c>
      <c r="I563">
        <v>4.7287369848233602</v>
      </c>
      <c r="J563" s="4">
        <f t="shared" si="98"/>
        <v>9.7999999999999997E-5</v>
      </c>
      <c r="K563" s="9">
        <f t="shared" si="99"/>
        <v>2.81E-4</v>
      </c>
      <c r="L563" s="4">
        <f t="shared" si="100"/>
        <v>1.5611E-2</v>
      </c>
      <c r="M563" s="5">
        <f t="shared" si="101"/>
        <v>4.8036864282162437</v>
      </c>
      <c r="N563" s="2">
        <f t="shared" si="102"/>
        <v>1.5849780529860271E-2</v>
      </c>
      <c r="O563">
        <f t="shared" si="103"/>
        <v>25628.129000000001</v>
      </c>
      <c r="P563">
        <f t="shared" ca="1" si="109"/>
        <v>25630</v>
      </c>
      <c r="Q563" t="str">
        <f t="shared" ca="1" si="104"/>
        <v>0110010000011110</v>
      </c>
      <c r="R563">
        <f t="shared" ca="1" si="105"/>
        <v>4.805625</v>
      </c>
      <c r="S563">
        <f t="shared" ca="1" si="106"/>
        <v>77.667500000000004</v>
      </c>
      <c r="T563" s="1">
        <f t="shared" ca="1" si="108"/>
        <v>2.0597897503285278E-2</v>
      </c>
      <c r="V563" s="4">
        <f t="shared" ca="1" si="107"/>
        <v>1.5674999999999999</v>
      </c>
      <c r="X563" s="2"/>
    </row>
    <row r="564" spans="8:24" x14ac:dyDescent="0.25">
      <c r="H564">
        <v>76.2</v>
      </c>
      <c r="I564">
        <v>4.7362258067890339</v>
      </c>
      <c r="J564" s="4">
        <f t="shared" si="98"/>
        <v>9.7999999999999997E-5</v>
      </c>
      <c r="K564" s="9">
        <f t="shared" si="99"/>
        <v>2.81E-4</v>
      </c>
      <c r="L564" s="4">
        <f t="shared" si="100"/>
        <v>1.5640999999999999E-2</v>
      </c>
      <c r="M564" s="5">
        <f t="shared" si="101"/>
        <v>4.8114406427035599</v>
      </c>
      <c r="N564" s="2">
        <f t="shared" si="102"/>
        <v>1.5880753786424406E-2</v>
      </c>
      <c r="O564">
        <f t="shared" si="103"/>
        <v>25669.4984</v>
      </c>
      <c r="P564">
        <f t="shared" ca="1" si="109"/>
        <v>25669</v>
      </c>
      <c r="Q564" t="str">
        <f t="shared" ca="1" si="104"/>
        <v>0110010001000101</v>
      </c>
      <c r="R564">
        <f t="shared" ca="1" si="105"/>
        <v>4.8129375000000003</v>
      </c>
      <c r="S564">
        <f t="shared" ca="1" si="106"/>
        <v>77.755250000000018</v>
      </c>
      <c r="T564" s="1">
        <f t="shared" ca="1" si="108"/>
        <v>2.0410104986876839E-2</v>
      </c>
      <c r="V564" s="4">
        <f t="shared" ca="1" si="107"/>
        <v>1.55525</v>
      </c>
      <c r="X564" s="2"/>
    </row>
    <row r="565" spans="8:24" x14ac:dyDescent="0.25">
      <c r="H565">
        <v>76.300000000000011</v>
      </c>
      <c r="I565">
        <v>4.7433188623282527</v>
      </c>
      <c r="J565" s="4">
        <f t="shared" si="98"/>
        <v>9.8999999999999994E-5</v>
      </c>
      <c r="K565" s="9">
        <f t="shared" si="99"/>
        <v>2.8200000000000002E-4</v>
      </c>
      <c r="L565" s="4">
        <f t="shared" si="100"/>
        <v>1.5671999999999998E-2</v>
      </c>
      <c r="M565" s="5">
        <f t="shared" si="101"/>
        <v>4.818797142164251</v>
      </c>
      <c r="N565" s="2">
        <f t="shared" si="102"/>
        <v>1.5912546051974646E-2</v>
      </c>
      <c r="O565">
        <f t="shared" si="103"/>
        <v>25708.7461</v>
      </c>
      <c r="P565">
        <f t="shared" ca="1" si="109"/>
        <v>25711</v>
      </c>
      <c r="Q565" t="str">
        <f t="shared" ca="1" si="104"/>
        <v>0110010001101111</v>
      </c>
      <c r="R565">
        <f t="shared" ca="1" si="105"/>
        <v>4.8208124999999997</v>
      </c>
      <c r="S565">
        <f t="shared" ca="1" si="106"/>
        <v>77.84975</v>
      </c>
      <c r="T565" s="1">
        <f t="shared" ca="1" si="108"/>
        <v>2.0311271297509679E-2</v>
      </c>
      <c r="V565" s="4">
        <f t="shared" ca="1" si="107"/>
        <v>1.54975</v>
      </c>
      <c r="X565" s="2"/>
    </row>
    <row r="566" spans="8:24" x14ac:dyDescent="0.25">
      <c r="H566">
        <v>76.400000000000006</v>
      </c>
      <c r="I566">
        <v>4.7504229825898188</v>
      </c>
      <c r="J566" s="4">
        <f t="shared" si="98"/>
        <v>9.8999999999999994E-5</v>
      </c>
      <c r="K566" s="9">
        <f t="shared" si="99"/>
        <v>2.8200000000000002E-4</v>
      </c>
      <c r="L566" s="4">
        <f t="shared" si="100"/>
        <v>1.5702000000000001E-2</v>
      </c>
      <c r="M566" s="5">
        <f t="shared" si="101"/>
        <v>4.8261614591046813</v>
      </c>
      <c r="N566" s="2">
        <f t="shared" si="102"/>
        <v>1.5943522669969002E-2</v>
      </c>
      <c r="O566">
        <f t="shared" si="103"/>
        <v>25748.035400000001</v>
      </c>
      <c r="P566">
        <f t="shared" ca="1" si="109"/>
        <v>25748</v>
      </c>
      <c r="Q566" t="str">
        <f t="shared" ca="1" si="104"/>
        <v>0110010010010100</v>
      </c>
      <c r="R566">
        <f t="shared" ca="1" si="105"/>
        <v>4.82775</v>
      </c>
      <c r="S566">
        <f t="shared" ca="1" si="106"/>
        <v>77.933000000000007</v>
      </c>
      <c r="T566" s="1">
        <f t="shared" ca="1" si="108"/>
        <v>2.0065445026178026E-2</v>
      </c>
      <c r="V566" s="4">
        <f t="shared" ca="1" si="107"/>
        <v>1.5329999999999999</v>
      </c>
      <c r="X566" s="2"/>
    </row>
    <row r="567" spans="8:24" x14ac:dyDescent="0.25">
      <c r="H567">
        <v>76.5</v>
      </c>
      <c r="I567">
        <v>4.758344929670824</v>
      </c>
      <c r="J567" s="4">
        <f t="shared" si="98"/>
        <v>1E-4</v>
      </c>
      <c r="K567" s="9">
        <f t="shared" si="99"/>
        <v>2.8299999999999999E-4</v>
      </c>
      <c r="L567" s="4">
        <f t="shared" si="100"/>
        <v>1.5733E-2</v>
      </c>
      <c r="M567" s="5">
        <f t="shared" si="101"/>
        <v>4.8343610190698501</v>
      </c>
      <c r="N567" s="2">
        <f t="shared" si="102"/>
        <v>1.5975321361220599E-2</v>
      </c>
      <c r="O567">
        <f t="shared" si="103"/>
        <v>25791.7808</v>
      </c>
      <c r="P567">
        <f t="shared" ca="1" si="109"/>
        <v>25790</v>
      </c>
      <c r="Q567" t="str">
        <f t="shared" ca="1" si="104"/>
        <v>0110010010111110</v>
      </c>
      <c r="R567">
        <f t="shared" ca="1" si="105"/>
        <v>4.8356250000000003</v>
      </c>
      <c r="S567">
        <f t="shared" ca="1" si="106"/>
        <v>78.027500000000018</v>
      </c>
      <c r="T567" s="1">
        <f t="shared" ca="1" si="108"/>
        <v>1.9967320261438139E-2</v>
      </c>
      <c r="V567" s="4">
        <f t="shared" ca="1" si="107"/>
        <v>1.5275000000000001</v>
      </c>
      <c r="X567" s="2"/>
    </row>
    <row r="568" spans="8:24" x14ac:dyDescent="0.25">
      <c r="H568">
        <v>76.599999999999994</v>
      </c>
      <c r="I568">
        <v>4.7654691055465204</v>
      </c>
      <c r="J568" s="4">
        <f t="shared" si="98"/>
        <v>1E-4</v>
      </c>
      <c r="K568" s="9">
        <f t="shared" si="99"/>
        <v>2.8299999999999999E-4</v>
      </c>
      <c r="L568" s="4">
        <f t="shared" si="100"/>
        <v>1.5762999999999999E-2</v>
      </c>
      <c r="M568" s="5">
        <f t="shared" si="101"/>
        <v>4.8417466436361574</v>
      </c>
      <c r="N568" s="2">
        <f t="shared" si="102"/>
        <v>1.6006302086998679E-2</v>
      </c>
      <c r="O568">
        <f t="shared" si="103"/>
        <v>25831.1839</v>
      </c>
      <c r="P568">
        <f t="shared" ca="1" si="109"/>
        <v>25836</v>
      </c>
      <c r="Q568" t="str">
        <f t="shared" ca="1" si="104"/>
        <v>0110010011101100</v>
      </c>
      <c r="R568">
        <f t="shared" ca="1" si="105"/>
        <v>4.8442499999999997</v>
      </c>
      <c r="S568">
        <f t="shared" ca="1" si="106"/>
        <v>78.131</v>
      </c>
      <c r="T568" s="1">
        <f t="shared" ca="1" si="108"/>
        <v>1.9986945169712871E-2</v>
      </c>
      <c r="V568" s="4">
        <f t="shared" ca="1" si="107"/>
        <v>1.5309999999999999</v>
      </c>
      <c r="X568" s="2"/>
    </row>
    <row r="569" spans="8:24" x14ac:dyDescent="0.25">
      <c r="H569">
        <v>76.7</v>
      </c>
      <c r="I569">
        <v>4.7726040222064894</v>
      </c>
      <c r="J569" s="4">
        <f t="shared" si="98"/>
        <v>1.01E-4</v>
      </c>
      <c r="K569" s="9">
        <f t="shared" si="99"/>
        <v>2.8400000000000002E-4</v>
      </c>
      <c r="L569" s="4">
        <f t="shared" si="100"/>
        <v>1.5793999999999999E-2</v>
      </c>
      <c r="M569" s="5">
        <f t="shared" si="101"/>
        <v>4.8491475424397832</v>
      </c>
      <c r="N569" s="2">
        <f t="shared" si="102"/>
        <v>1.6038104120338459E-2</v>
      </c>
      <c r="O569">
        <f t="shared" si="103"/>
        <v>25870.668399999999</v>
      </c>
      <c r="P569">
        <f t="shared" ca="1" si="109"/>
        <v>25870</v>
      </c>
      <c r="Q569" t="str">
        <f t="shared" ca="1" si="104"/>
        <v>0110010100001110</v>
      </c>
      <c r="R569">
        <f t="shared" ca="1" si="105"/>
        <v>4.850625</v>
      </c>
      <c r="S569">
        <f t="shared" ca="1" si="106"/>
        <v>78.20750000000001</v>
      </c>
      <c r="T569" s="1">
        <f t="shared" ca="1" si="108"/>
        <v>1.9654498044328648E-2</v>
      </c>
      <c r="V569" s="4">
        <f t="shared" ca="1" si="107"/>
        <v>1.5075000000000001</v>
      </c>
      <c r="X569" s="2"/>
    </row>
    <row r="570" spans="8:24" x14ac:dyDescent="0.25">
      <c r="H570">
        <v>76.800000000000011</v>
      </c>
      <c r="I570">
        <v>4.7801503943729688</v>
      </c>
      <c r="J570" s="4">
        <f t="shared" si="98"/>
        <v>1.02E-4</v>
      </c>
      <c r="K570" s="9">
        <f t="shared" si="99"/>
        <v>2.8400000000000002E-4</v>
      </c>
      <c r="L570" s="4">
        <f t="shared" si="100"/>
        <v>1.5824000000000001E-2</v>
      </c>
      <c r="M570" s="5">
        <f t="shared" si="101"/>
        <v>4.8569620439646659</v>
      </c>
      <c r="N570" s="2">
        <f t="shared" si="102"/>
        <v>1.6068877180541671E-2</v>
      </c>
      <c r="O570">
        <f t="shared" si="103"/>
        <v>25912.359499999999</v>
      </c>
      <c r="P570">
        <f t="shared" ca="1" si="109"/>
        <v>25913</v>
      </c>
      <c r="Q570" t="str">
        <f t="shared" ca="1" si="104"/>
        <v>0110010100111001</v>
      </c>
      <c r="R570">
        <f t="shared" ca="1" si="105"/>
        <v>4.8586875000000003</v>
      </c>
      <c r="S570">
        <f t="shared" ca="1" si="106"/>
        <v>78.30425000000001</v>
      </c>
      <c r="T570" s="1">
        <f t="shared" ca="1" si="108"/>
        <v>1.9586588541666651E-2</v>
      </c>
      <c r="V570" s="4">
        <f t="shared" ca="1" si="107"/>
        <v>1.5042500000000001</v>
      </c>
      <c r="X570" s="2"/>
    </row>
    <row r="571" spans="8:24" x14ac:dyDescent="0.25">
      <c r="H571">
        <v>76.900000000000006</v>
      </c>
      <c r="I571">
        <v>4.7873055994001321</v>
      </c>
      <c r="J571" s="4">
        <f t="shared" si="98"/>
        <v>1.02E-4</v>
      </c>
      <c r="K571" s="9">
        <f t="shared" si="99"/>
        <v>2.8499999999999999E-4</v>
      </c>
      <c r="L571" s="4">
        <f t="shared" si="100"/>
        <v>1.5855000000000001E-2</v>
      </c>
      <c r="M571" s="5">
        <f t="shared" si="101"/>
        <v>4.8643855121045494</v>
      </c>
      <c r="N571" s="2">
        <f t="shared" si="102"/>
        <v>1.6100896653448587E-2</v>
      </c>
      <c r="O571">
        <f t="shared" si="103"/>
        <v>25951.964400000001</v>
      </c>
      <c r="P571">
        <f t="shared" ca="1" si="109"/>
        <v>25957</v>
      </c>
      <c r="Q571" t="str">
        <f t="shared" ca="1" si="104"/>
        <v>0110010101100101</v>
      </c>
      <c r="R571">
        <f t="shared" ca="1" si="105"/>
        <v>4.8669374999999997</v>
      </c>
      <c r="S571">
        <f t="shared" ca="1" si="106"/>
        <v>78.40325</v>
      </c>
      <c r="T571" s="1">
        <f t="shared" ca="1" si="108"/>
        <v>1.9548114434330223E-2</v>
      </c>
      <c r="V571" s="4">
        <f t="shared" ca="1" si="107"/>
        <v>1.50325</v>
      </c>
      <c r="X571" s="2"/>
    </row>
    <row r="572" spans="8:24" x14ac:dyDescent="0.25">
      <c r="H572">
        <v>77</v>
      </c>
      <c r="I572">
        <v>4.7944712228992694</v>
      </c>
      <c r="J572" s="4">
        <f t="shared" si="98"/>
        <v>1.03E-4</v>
      </c>
      <c r="K572" s="9">
        <f t="shared" si="99"/>
        <v>2.8499999999999999E-4</v>
      </c>
      <c r="L572" s="4">
        <f t="shared" si="100"/>
        <v>1.5885E-2</v>
      </c>
      <c r="M572" s="5">
        <f t="shared" si="101"/>
        <v>4.8718140680400861</v>
      </c>
      <c r="N572" s="2">
        <f t="shared" si="102"/>
        <v>1.6131673660155294E-2</v>
      </c>
      <c r="O572">
        <f t="shared" si="103"/>
        <v>25991.5965</v>
      </c>
      <c r="P572">
        <f t="shared" ca="1" si="109"/>
        <v>25996</v>
      </c>
      <c r="Q572" t="str">
        <f t="shared" ca="1" si="104"/>
        <v>0110010110001100</v>
      </c>
      <c r="R572">
        <f t="shared" ca="1" si="105"/>
        <v>4.87425</v>
      </c>
      <c r="S572">
        <f t="shared" ca="1" si="106"/>
        <v>78.491000000000014</v>
      </c>
      <c r="T572" s="1">
        <f t="shared" ca="1" si="108"/>
        <v>1.9363636363636545E-2</v>
      </c>
      <c r="V572" s="4">
        <f t="shared" ca="1" si="107"/>
        <v>1.4910000000000001</v>
      </c>
      <c r="X572" s="2"/>
    </row>
    <row r="573" spans="8:24" x14ac:dyDescent="0.25">
      <c r="H573">
        <v>77.099999999999994</v>
      </c>
      <c r="I573">
        <v>4.8016471574234059</v>
      </c>
      <c r="J573" s="4">
        <f t="shared" si="98"/>
        <v>1.03E-4</v>
      </c>
      <c r="K573" s="9">
        <f t="shared" si="99"/>
        <v>2.8600000000000001E-4</v>
      </c>
      <c r="L573" s="4">
        <f t="shared" si="100"/>
        <v>1.5916E-2</v>
      </c>
      <c r="M573" s="5">
        <f t="shared" si="101"/>
        <v>4.8792595289583067</v>
      </c>
      <c r="N573" s="2">
        <f t="shared" si="102"/>
        <v>1.6163697370997196E-2</v>
      </c>
      <c r="O573">
        <f t="shared" si="103"/>
        <v>26031.3187</v>
      </c>
      <c r="P573">
        <f t="shared" ca="1" si="109"/>
        <v>26031</v>
      </c>
      <c r="Q573" t="str">
        <f t="shared" ca="1" si="104"/>
        <v>0110010110101111</v>
      </c>
      <c r="R573">
        <f t="shared" ca="1" si="105"/>
        <v>4.8808125000000002</v>
      </c>
      <c r="S573">
        <f t="shared" ca="1" si="106"/>
        <v>78.569750000000013</v>
      </c>
      <c r="T573" s="1">
        <f t="shared" ca="1" si="108"/>
        <v>1.9062905317769378E-2</v>
      </c>
      <c r="V573" s="4">
        <f t="shared" ca="1" si="107"/>
        <v>1.4697499999999999</v>
      </c>
      <c r="X573" s="2"/>
    </row>
    <row r="574" spans="8:24" x14ac:dyDescent="0.25">
      <c r="H574">
        <v>77.2</v>
      </c>
      <c r="I574">
        <v>4.8092306547737316</v>
      </c>
      <c r="J574" s="4">
        <f t="shared" si="98"/>
        <v>1.0399999999999999E-4</v>
      </c>
      <c r="K574" s="9">
        <f t="shared" si="99"/>
        <v>2.8600000000000001E-4</v>
      </c>
      <c r="L574" s="4">
        <f t="shared" si="100"/>
        <v>1.5945999999999998E-2</v>
      </c>
      <c r="M574" s="5">
        <f t="shared" si="101"/>
        <v>4.8871136440741374</v>
      </c>
      <c r="N574" s="2">
        <f t="shared" si="102"/>
        <v>1.6194479926450966E-2</v>
      </c>
      <c r="O574">
        <f t="shared" si="103"/>
        <v>26073.2212</v>
      </c>
      <c r="P574">
        <f t="shared" ca="1" si="109"/>
        <v>26072</v>
      </c>
      <c r="Q574" t="str">
        <f t="shared" ca="1" si="104"/>
        <v>0110010111011000</v>
      </c>
      <c r="R574">
        <f t="shared" ca="1" si="105"/>
        <v>4.8885000000000005</v>
      </c>
      <c r="S574">
        <f t="shared" ca="1" si="106"/>
        <v>78.66200000000002</v>
      </c>
      <c r="T574" s="1">
        <f t="shared" ca="1" si="108"/>
        <v>1.8937823834197117E-2</v>
      </c>
      <c r="V574" s="4">
        <f t="shared" ca="1" si="107"/>
        <v>1.462</v>
      </c>
      <c r="X574" s="2"/>
    </row>
    <row r="575" spans="8:24" x14ac:dyDescent="0.25">
      <c r="H575">
        <v>77.300000000000011</v>
      </c>
      <c r="I575">
        <v>4.8164260282163109</v>
      </c>
      <c r="J575" s="4">
        <f t="shared" si="98"/>
        <v>1.0399999999999999E-4</v>
      </c>
      <c r="K575" s="9">
        <f t="shared" si="99"/>
        <v>2.8699999999999998E-4</v>
      </c>
      <c r="L575" s="4">
        <f t="shared" si="100"/>
        <v>1.5977000000000002E-2</v>
      </c>
      <c r="M575" s="5">
        <f t="shared" si="101"/>
        <v>4.8945798030638619</v>
      </c>
      <c r="N575" s="2">
        <f t="shared" si="102"/>
        <v>1.6226507869050357E-2</v>
      </c>
      <c r="O575">
        <f t="shared" si="103"/>
        <v>26113.053899999999</v>
      </c>
      <c r="P575">
        <f t="shared" ca="1" si="109"/>
        <v>26112</v>
      </c>
      <c r="Q575" t="str">
        <f t="shared" ca="1" si="104"/>
        <v>0110011000000000</v>
      </c>
      <c r="R575">
        <f t="shared" ca="1" si="105"/>
        <v>4.8959999999999999</v>
      </c>
      <c r="S575">
        <f t="shared" ca="1" si="106"/>
        <v>78.75200000000001</v>
      </c>
      <c r="T575" s="1">
        <f t="shared" ca="1" si="108"/>
        <v>1.8783958602846026E-2</v>
      </c>
      <c r="V575" s="4">
        <f t="shared" ca="1" si="107"/>
        <v>1.452</v>
      </c>
      <c r="X575" s="2"/>
    </row>
    <row r="576" spans="8:24" x14ac:dyDescent="0.25">
      <c r="H576">
        <v>77.400000000000006</v>
      </c>
      <c r="I576">
        <v>4.8232357598133957</v>
      </c>
      <c r="J576" s="4">
        <f t="shared" si="98"/>
        <v>1.05E-4</v>
      </c>
      <c r="K576" s="9">
        <f t="shared" si="99"/>
        <v>2.8699999999999998E-4</v>
      </c>
      <c r="L576" s="4">
        <f t="shared" si="100"/>
        <v>1.6007E-2</v>
      </c>
      <c r="M576" s="5">
        <f t="shared" si="101"/>
        <v>4.9016485192551125</v>
      </c>
      <c r="N576" s="2">
        <f t="shared" si="102"/>
        <v>1.6257293515494764E-2</v>
      </c>
      <c r="O576">
        <f t="shared" si="103"/>
        <v>26150.766100000001</v>
      </c>
      <c r="P576">
        <f t="shared" ca="1" si="109"/>
        <v>26153</v>
      </c>
      <c r="Q576" t="str">
        <f t="shared" ca="1" si="104"/>
        <v>0110011000101001</v>
      </c>
      <c r="R576">
        <f t="shared" ca="1" si="105"/>
        <v>4.9036875000000002</v>
      </c>
      <c r="S576">
        <f t="shared" ca="1" si="106"/>
        <v>78.844250000000017</v>
      </c>
      <c r="T576" s="1">
        <f t="shared" ca="1" si="108"/>
        <v>1.8659560723514351E-2</v>
      </c>
      <c r="V576" s="4">
        <f t="shared" ca="1" si="107"/>
        <v>1.44425</v>
      </c>
      <c r="X576" s="2"/>
    </row>
    <row r="577" spans="8:24" x14ac:dyDescent="0.25">
      <c r="H577">
        <v>77.5</v>
      </c>
      <c r="I577">
        <v>4.830846647530425</v>
      </c>
      <c r="J577" s="4">
        <f t="shared" si="98"/>
        <v>1.06E-4</v>
      </c>
      <c r="K577" s="9">
        <f t="shared" si="99"/>
        <v>2.8800000000000001E-4</v>
      </c>
      <c r="L577" s="4">
        <f t="shared" si="100"/>
        <v>1.6038E-2</v>
      </c>
      <c r="M577" s="5">
        <f t="shared" si="101"/>
        <v>4.9095368696417392</v>
      </c>
      <c r="N577" s="2">
        <f t="shared" si="102"/>
        <v>1.6289116143138459E-2</v>
      </c>
      <c r="O577">
        <f t="shared" si="103"/>
        <v>26192.851200000001</v>
      </c>
      <c r="P577">
        <f t="shared" ca="1" si="109"/>
        <v>26193</v>
      </c>
      <c r="Q577" t="str">
        <f t="shared" ca="1" si="104"/>
        <v>0110011001010001</v>
      </c>
      <c r="R577">
        <f t="shared" ca="1" si="105"/>
        <v>4.9111875000000005</v>
      </c>
      <c r="S577">
        <f t="shared" ca="1" si="106"/>
        <v>78.93425000000002</v>
      </c>
      <c r="T577" s="1">
        <f t="shared" ca="1" si="108"/>
        <v>1.8506451612903485E-2</v>
      </c>
      <c r="V577" s="4">
        <f t="shared" ca="1" si="107"/>
        <v>1.43425</v>
      </c>
      <c r="X577" s="2"/>
    </row>
    <row r="578" spans="8:24" x14ac:dyDescent="0.25">
      <c r="H578">
        <v>77.599999999999994</v>
      </c>
      <c r="I578">
        <v>4.8380716817654843</v>
      </c>
      <c r="J578" s="4">
        <f t="shared" si="98"/>
        <v>1.06E-4</v>
      </c>
      <c r="K578" s="9">
        <f t="shared" si="99"/>
        <v>2.8800000000000001E-4</v>
      </c>
      <c r="L578" s="4">
        <f t="shared" si="100"/>
        <v>1.6067999999999999E-2</v>
      </c>
      <c r="M578" s="5">
        <f t="shared" si="101"/>
        <v>4.9170295811310991</v>
      </c>
      <c r="N578" s="2">
        <f t="shared" si="102"/>
        <v>1.6320117716156265E-2</v>
      </c>
      <c r="O578">
        <f t="shared" si="103"/>
        <v>26232.8256</v>
      </c>
      <c r="P578">
        <f t="shared" ca="1" si="109"/>
        <v>26235</v>
      </c>
      <c r="Q578" t="str">
        <f t="shared" ca="1" si="104"/>
        <v>0110011001111011</v>
      </c>
      <c r="R578">
        <f t="shared" ca="1" si="105"/>
        <v>4.9190624999999999</v>
      </c>
      <c r="S578">
        <f t="shared" ca="1" si="106"/>
        <v>79.028750000000002</v>
      </c>
      <c r="T578" s="1">
        <f t="shared" ca="1" si="108"/>
        <v>1.8411726804123816E-2</v>
      </c>
      <c r="V578" s="4">
        <f t="shared" ca="1" si="107"/>
        <v>1.42875</v>
      </c>
      <c r="X578" s="2"/>
    </row>
    <row r="579" spans="8:24" x14ac:dyDescent="0.25">
      <c r="H579">
        <v>77.7</v>
      </c>
      <c r="I579">
        <v>4.8449133320441602</v>
      </c>
      <c r="J579" s="4">
        <f t="shared" ref="J579:J602" si="110">ROUND(H579*0.00000575 -0.00034,6)</f>
        <v>1.07E-4</v>
      </c>
      <c r="K579" s="9">
        <f t="shared" ref="K579:K602" si="111">ROUND(H579*0.000005-0.0001,6)</f>
        <v>2.8899999999999998E-4</v>
      </c>
      <c r="L579" s="4">
        <f t="shared" ref="L579:L602" si="112">ROUND(K579+($C$24*(H579-25)),6)</f>
        <v>1.6098999999999999E-2</v>
      </c>
      <c r="M579" s="5">
        <f t="shared" ref="M579:M602" si="113">(I579-J579)/(1-L579)+$C$26+$D$27</f>
        <v>4.9241370811719474</v>
      </c>
      <c r="N579" s="2">
        <f t="shared" ref="N579:N602" si="114">ABS(I579-M579)/I579</f>
        <v>1.6351943512343738E-2</v>
      </c>
      <c r="O579">
        <f t="shared" ref="O579:O602" si="115">ROUND((M579*(2^($C$12-1)))/$C$44,4)</f>
        <v>26270.7448</v>
      </c>
      <c r="P579">
        <f t="shared" ca="1" si="109"/>
        <v>26272</v>
      </c>
      <c r="Q579" t="str">
        <f t="shared" ref="Q579:Q602" ca="1" si="116">_xlfn.BASE(P579,2,16)</f>
        <v>0110011010100000</v>
      </c>
      <c r="R579">
        <f t="shared" ref="R579:R602" ca="1" si="117">($C$16/2^($C$12-1)) * P579</f>
        <v>4.9260000000000002</v>
      </c>
      <c r="S579">
        <f t="shared" ref="S579:S602" ca="1" si="118">(R579+5/3)/(1/12)</f>
        <v>79.112000000000009</v>
      </c>
      <c r="T579" s="1">
        <f t="shared" ca="1" si="108"/>
        <v>1.8172458172458252E-2</v>
      </c>
      <c r="V579" s="4">
        <f t="shared" ref="V579:V602" ca="1" si="119">ROUND(ABS(H579-S579),6)</f>
        <v>1.4119999999999999</v>
      </c>
      <c r="X579" s="2"/>
    </row>
    <row r="580" spans="8:24" x14ac:dyDescent="0.25">
      <c r="H580">
        <v>77.800000000000011</v>
      </c>
      <c r="I580">
        <v>4.8521584684919743</v>
      </c>
      <c r="J580" s="4">
        <f t="shared" si="110"/>
        <v>1.07E-4</v>
      </c>
      <c r="K580" s="9">
        <f t="shared" si="111"/>
        <v>2.8899999999999998E-4</v>
      </c>
      <c r="L580" s="4">
        <f t="shared" si="112"/>
        <v>1.6129000000000001E-2</v>
      </c>
      <c r="M580" s="5">
        <f t="shared" si="113"/>
        <v>4.9316511341527232</v>
      </c>
      <c r="N580" s="2">
        <f t="shared" si="114"/>
        <v>1.6382949191981928E-2</v>
      </c>
      <c r="O580">
        <f t="shared" si="115"/>
        <v>26310.832999999999</v>
      </c>
      <c r="P580">
        <f t="shared" ca="1" si="109"/>
        <v>26312</v>
      </c>
      <c r="Q580" t="str">
        <f t="shared" ca="1" si="116"/>
        <v>0110011011001000</v>
      </c>
      <c r="R580">
        <f t="shared" ca="1" si="117"/>
        <v>4.9335000000000004</v>
      </c>
      <c r="S580">
        <f t="shared" ca="1" si="118"/>
        <v>79.202000000000012</v>
      </c>
      <c r="T580" s="1">
        <f t="shared" ref="T580:T602" ca="1" si="120">ABS(H580-S580)/H580</f>
        <v>1.8020565552699239E-2</v>
      </c>
      <c r="V580" s="4">
        <f t="shared" ca="1" si="119"/>
        <v>1.4019999999999999</v>
      </c>
      <c r="X580" s="2"/>
    </row>
    <row r="581" spans="8:24" x14ac:dyDescent="0.25">
      <c r="H581">
        <v>77.900000000000006</v>
      </c>
      <c r="I581">
        <v>4.8594130698894524</v>
      </c>
      <c r="J581" s="4">
        <f t="shared" si="110"/>
        <v>1.08E-4</v>
      </c>
      <c r="K581" s="9">
        <f t="shared" si="111"/>
        <v>2.9E-4</v>
      </c>
      <c r="L581" s="4">
        <f t="shared" si="112"/>
        <v>1.6160000000000001E-2</v>
      </c>
      <c r="M581" s="5">
        <f t="shared" si="113"/>
        <v>4.9391792696062904</v>
      </c>
      <c r="N581" s="2">
        <f t="shared" si="114"/>
        <v>1.6414780667874478E-2</v>
      </c>
      <c r="O581">
        <f t="shared" si="115"/>
        <v>26350.996299999999</v>
      </c>
      <c r="P581">
        <f t="shared" ca="1" si="109"/>
        <v>26355</v>
      </c>
      <c r="Q581" t="str">
        <f t="shared" ca="1" si="116"/>
        <v>0110011011110011</v>
      </c>
      <c r="R581">
        <f t="shared" ca="1" si="117"/>
        <v>4.9415624999999999</v>
      </c>
      <c r="S581">
        <f t="shared" ca="1" si="118"/>
        <v>79.298750000000013</v>
      </c>
      <c r="T581" s="1">
        <f t="shared" ca="1" si="120"/>
        <v>1.7955712451861446E-2</v>
      </c>
      <c r="V581" s="4">
        <f t="shared" ca="1" si="119"/>
        <v>1.3987499999999999</v>
      </c>
      <c r="X581" s="2"/>
    </row>
    <row r="582" spans="8:24" x14ac:dyDescent="0.25">
      <c r="H582">
        <v>78</v>
      </c>
      <c r="I582">
        <v>4.8666770319611752</v>
      </c>
      <c r="J582" s="4">
        <f t="shared" si="110"/>
        <v>1.0900000000000001E-4</v>
      </c>
      <c r="K582" s="9">
        <f t="shared" si="111"/>
        <v>2.9E-4</v>
      </c>
      <c r="L582" s="4">
        <f t="shared" si="112"/>
        <v>1.619E-2</v>
      </c>
      <c r="M582" s="5">
        <f t="shared" si="113"/>
        <v>4.9467123661491295</v>
      </c>
      <c r="N582" s="2">
        <f t="shared" si="114"/>
        <v>1.6445581587258444E-2</v>
      </c>
      <c r="O582">
        <f t="shared" si="115"/>
        <v>26391.186099999999</v>
      </c>
      <c r="P582">
        <f t="shared" ca="1" si="109"/>
        <v>26396</v>
      </c>
      <c r="Q582" t="str">
        <f t="shared" ca="1" si="116"/>
        <v>0110011100011100</v>
      </c>
      <c r="R582">
        <f t="shared" ca="1" si="117"/>
        <v>4.9492500000000001</v>
      </c>
      <c r="S582">
        <f t="shared" ca="1" si="118"/>
        <v>79.391000000000005</v>
      </c>
      <c r="T582" s="1">
        <f t="shared" ca="1" si="120"/>
        <v>1.7833333333333402E-2</v>
      </c>
      <c r="V582" s="4">
        <f t="shared" ca="1" si="119"/>
        <v>1.391</v>
      </c>
      <c r="X582" s="2"/>
    </row>
    <row r="583" spans="8:24" x14ac:dyDescent="0.25">
      <c r="H583">
        <v>78.099999999999994</v>
      </c>
      <c r="I583">
        <v>4.873560604442182</v>
      </c>
      <c r="J583" s="4">
        <f t="shared" si="110"/>
        <v>1.0900000000000001E-4</v>
      </c>
      <c r="K583" s="9">
        <f t="shared" si="111"/>
        <v>2.9100000000000003E-4</v>
      </c>
      <c r="L583" s="4">
        <f t="shared" si="112"/>
        <v>1.6220999999999999E-2</v>
      </c>
      <c r="M583" s="5">
        <f t="shared" si="113"/>
        <v>4.9538653128641519</v>
      </c>
      <c r="N583" s="2">
        <f t="shared" si="114"/>
        <v>1.6477625896100131E-2</v>
      </c>
      <c r="O583">
        <f t="shared" si="115"/>
        <v>26429.347699999998</v>
      </c>
      <c r="P583">
        <f t="shared" ca="1" si="109"/>
        <v>26433</v>
      </c>
      <c r="Q583" t="str">
        <f t="shared" ca="1" si="116"/>
        <v>0110011101000001</v>
      </c>
      <c r="R583">
        <f t="shared" ca="1" si="117"/>
        <v>4.9561875000000004</v>
      </c>
      <c r="S583">
        <f t="shared" ca="1" si="118"/>
        <v>79.474250000000012</v>
      </c>
      <c r="T583" s="1">
        <f t="shared" ca="1" si="120"/>
        <v>1.7596030729833775E-2</v>
      </c>
      <c r="V583" s="4">
        <f t="shared" ca="1" si="119"/>
        <v>1.37425</v>
      </c>
      <c r="X583" s="2"/>
    </row>
    <row r="584" spans="8:24" x14ac:dyDescent="0.25">
      <c r="H584">
        <v>78.2</v>
      </c>
      <c r="I584">
        <v>4.8812326229407175</v>
      </c>
      <c r="J584" s="4">
        <f t="shared" si="110"/>
        <v>1.1E-4</v>
      </c>
      <c r="K584" s="9">
        <f t="shared" si="111"/>
        <v>2.9100000000000003E-4</v>
      </c>
      <c r="L584" s="4">
        <f t="shared" si="112"/>
        <v>1.6251000000000002E-2</v>
      </c>
      <c r="M584" s="5">
        <f t="shared" si="113"/>
        <v>4.9618141216740419</v>
      </c>
      <c r="N584" s="2">
        <f t="shared" si="114"/>
        <v>1.6508432389517588E-2</v>
      </c>
      <c r="O584">
        <f t="shared" si="115"/>
        <v>26471.755399999998</v>
      </c>
      <c r="P584">
        <f t="shared" ca="1" si="109"/>
        <v>26475</v>
      </c>
      <c r="Q584" t="str">
        <f t="shared" ca="1" si="116"/>
        <v>0110011101101011</v>
      </c>
      <c r="R584">
        <f t="shared" ca="1" si="117"/>
        <v>4.9640624999999998</v>
      </c>
      <c r="S584">
        <f t="shared" ca="1" si="118"/>
        <v>79.568750000000009</v>
      </c>
      <c r="T584" s="1">
        <f t="shared" ca="1" si="120"/>
        <v>1.7503196930946364E-2</v>
      </c>
      <c r="V584" s="4">
        <f t="shared" ca="1" si="119"/>
        <v>1.3687499999999999</v>
      </c>
      <c r="X584" s="2"/>
    </row>
    <row r="585" spans="8:24" x14ac:dyDescent="0.25">
      <c r="H585">
        <v>78.300000000000011</v>
      </c>
      <c r="I585">
        <v>4.8881360958303626</v>
      </c>
      <c r="J585" s="4">
        <f t="shared" si="110"/>
        <v>1.1E-4</v>
      </c>
      <c r="K585" s="9">
        <f t="shared" si="111"/>
        <v>2.92E-4</v>
      </c>
      <c r="L585" s="4">
        <f t="shared" si="112"/>
        <v>1.6282000000000001E-2</v>
      </c>
      <c r="M585" s="5">
        <f t="shared" si="113"/>
        <v>4.9689882176338775</v>
      </c>
      <c r="N585" s="2">
        <f t="shared" si="114"/>
        <v>1.6540480915104384E-2</v>
      </c>
      <c r="O585">
        <f t="shared" si="115"/>
        <v>26510.029900000001</v>
      </c>
      <c r="P585">
        <f t="shared" ca="1" si="109"/>
        <v>26511</v>
      </c>
      <c r="Q585" t="str">
        <f t="shared" ca="1" si="116"/>
        <v>0110011110001111</v>
      </c>
      <c r="R585">
        <f t="shared" ca="1" si="117"/>
        <v>4.9708125000000001</v>
      </c>
      <c r="S585">
        <f t="shared" ca="1" si="118"/>
        <v>79.649750000000012</v>
      </c>
      <c r="T585" s="1">
        <f t="shared" ca="1" si="120"/>
        <v>1.7238186462324393E-2</v>
      </c>
      <c r="V585" s="4">
        <f t="shared" ca="1" si="119"/>
        <v>1.34975</v>
      </c>
      <c r="X585" s="2"/>
    </row>
    <row r="586" spans="8:24" x14ac:dyDescent="0.25">
      <c r="H586">
        <v>78.400000000000006</v>
      </c>
      <c r="I586">
        <v>4.8950502098802611</v>
      </c>
      <c r="J586" s="4">
        <f t="shared" si="110"/>
        <v>1.11E-4</v>
      </c>
      <c r="K586" s="9">
        <f t="shared" si="111"/>
        <v>2.92E-4</v>
      </c>
      <c r="L586" s="4">
        <f t="shared" si="112"/>
        <v>1.6312E-2</v>
      </c>
      <c r="M586" s="5">
        <f t="shared" si="113"/>
        <v>4.9761675081776549</v>
      </c>
      <c r="N586" s="2">
        <f t="shared" si="114"/>
        <v>1.6571290348292057E-2</v>
      </c>
      <c r="O586">
        <f t="shared" si="115"/>
        <v>26548.3321</v>
      </c>
      <c r="P586">
        <f t="shared" ca="1" si="109"/>
        <v>26552</v>
      </c>
      <c r="Q586" t="str">
        <f t="shared" ca="1" si="116"/>
        <v>0110011110111000</v>
      </c>
      <c r="R586">
        <f t="shared" ca="1" si="117"/>
        <v>4.9785000000000004</v>
      </c>
      <c r="S586">
        <f t="shared" ca="1" si="118"/>
        <v>79.742000000000019</v>
      </c>
      <c r="T586" s="1">
        <f t="shared" ca="1" si="120"/>
        <v>1.7117346938775674E-2</v>
      </c>
      <c r="V586" s="4">
        <f t="shared" ca="1" si="119"/>
        <v>1.3420000000000001</v>
      </c>
      <c r="X586" s="2"/>
    </row>
    <row r="587" spans="8:24" x14ac:dyDescent="0.25">
      <c r="H587">
        <v>78.5</v>
      </c>
      <c r="I587">
        <v>4.9023611135115335</v>
      </c>
      <c r="J587" s="4">
        <f t="shared" si="110"/>
        <v>1.11E-4</v>
      </c>
      <c r="K587" s="9">
        <f t="shared" si="111"/>
        <v>2.9300000000000002E-4</v>
      </c>
      <c r="L587" s="4">
        <f t="shared" si="112"/>
        <v>1.6343E-2</v>
      </c>
      <c r="M587" s="5">
        <f t="shared" si="113"/>
        <v>4.9837567013883222</v>
      </c>
      <c r="N587" s="2">
        <f t="shared" si="114"/>
        <v>1.6603343978976181E-2</v>
      </c>
      <c r="O587">
        <f t="shared" si="115"/>
        <v>26588.821199999998</v>
      </c>
      <c r="P587">
        <f t="shared" ca="1" si="109"/>
        <v>26588</v>
      </c>
      <c r="Q587" t="str">
        <f t="shared" ca="1" si="116"/>
        <v>0110011111011100</v>
      </c>
      <c r="R587">
        <f t="shared" ca="1" si="117"/>
        <v>4.9852499999999997</v>
      </c>
      <c r="S587">
        <f t="shared" ca="1" si="118"/>
        <v>79.823000000000008</v>
      </c>
      <c r="T587" s="1">
        <f t="shared" ca="1" si="120"/>
        <v>1.6853503184713473E-2</v>
      </c>
      <c r="V587" s="4">
        <f t="shared" ca="1" si="119"/>
        <v>1.323</v>
      </c>
      <c r="X587" s="2"/>
    </row>
    <row r="588" spans="8:24" x14ac:dyDescent="0.25">
      <c r="H588">
        <v>78.599999999999994</v>
      </c>
      <c r="I588">
        <v>4.9096807565813689</v>
      </c>
      <c r="J588" s="4">
        <f t="shared" si="110"/>
        <v>1.12E-4</v>
      </c>
      <c r="K588" s="9">
        <f t="shared" si="111"/>
        <v>2.9300000000000002E-4</v>
      </c>
      <c r="L588" s="4">
        <f t="shared" si="112"/>
        <v>1.6372999999999999E-2</v>
      </c>
      <c r="M588" s="5">
        <f t="shared" si="113"/>
        <v>4.9913491668563079</v>
      </c>
      <c r="N588" s="2">
        <f t="shared" si="114"/>
        <v>1.663415898588996E-2</v>
      </c>
      <c r="O588">
        <f t="shared" si="115"/>
        <v>26629.327700000002</v>
      </c>
      <c r="P588">
        <f t="shared" ca="1" si="109"/>
        <v>26631</v>
      </c>
      <c r="Q588" t="str">
        <f t="shared" ca="1" si="116"/>
        <v>0110100000000111</v>
      </c>
      <c r="R588">
        <f t="shared" ca="1" si="117"/>
        <v>4.9933125</v>
      </c>
      <c r="S588">
        <f t="shared" ca="1" si="118"/>
        <v>79.919750000000008</v>
      </c>
      <c r="T588" s="1">
        <f t="shared" ca="1" si="120"/>
        <v>1.6790712468193556E-2</v>
      </c>
      <c r="V588" s="4">
        <f t="shared" ca="1" si="119"/>
        <v>1.31975</v>
      </c>
      <c r="X588" s="2"/>
    </row>
    <row r="589" spans="8:24" x14ac:dyDescent="0.25">
      <c r="H589">
        <v>78.7</v>
      </c>
      <c r="I589">
        <v>4.9166244669968755</v>
      </c>
      <c r="J589" s="4">
        <f t="shared" si="110"/>
        <v>1.13E-4</v>
      </c>
      <c r="K589" s="9">
        <f t="shared" si="111"/>
        <v>2.9399999999999999E-4</v>
      </c>
      <c r="L589" s="4">
        <f t="shared" si="112"/>
        <v>1.6403999999999998E-2</v>
      </c>
      <c r="M589" s="5">
        <f t="shared" si="113"/>
        <v>4.9985649754216928</v>
      </c>
      <c r="N589" s="2">
        <f t="shared" si="114"/>
        <v>1.666600916438659E-2</v>
      </c>
      <c r="O589">
        <f t="shared" si="115"/>
        <v>26667.824700000001</v>
      </c>
      <c r="P589">
        <f t="shared" ca="1" si="109"/>
        <v>26666</v>
      </c>
      <c r="Q589" t="str">
        <f t="shared" ca="1" si="116"/>
        <v>0110100000101010</v>
      </c>
      <c r="R589">
        <f t="shared" ca="1" si="117"/>
        <v>4.9998750000000003</v>
      </c>
      <c r="S589">
        <f t="shared" ca="1" si="118"/>
        <v>79.998500000000007</v>
      </c>
      <c r="T589" s="1">
        <f t="shared" ca="1" si="120"/>
        <v>1.6499364675984805E-2</v>
      </c>
      <c r="V589" s="4">
        <f t="shared" ca="1" si="119"/>
        <v>1.2985</v>
      </c>
      <c r="X589" s="2"/>
    </row>
    <row r="590" spans="8:24" x14ac:dyDescent="0.25">
      <c r="H590">
        <v>78.800000000000011</v>
      </c>
      <c r="I590">
        <v>4.9239621241694103</v>
      </c>
      <c r="J590" s="4">
        <f t="shared" si="110"/>
        <v>1.13E-4</v>
      </c>
      <c r="K590" s="9">
        <f t="shared" si="111"/>
        <v>2.9399999999999999E-4</v>
      </c>
      <c r="L590" s="4">
        <f t="shared" si="112"/>
        <v>1.6434000000000001E-2</v>
      </c>
      <c r="M590" s="5">
        <f t="shared" si="113"/>
        <v>5.0061776952410009</v>
      </c>
      <c r="N590" s="2">
        <f t="shared" si="114"/>
        <v>1.6697035638847241E-2</v>
      </c>
      <c r="O590">
        <f t="shared" si="115"/>
        <v>26708.439299999998</v>
      </c>
      <c r="P590">
        <f t="shared" ca="1" si="109"/>
        <v>26710</v>
      </c>
      <c r="Q590" t="str">
        <f t="shared" ca="1" si="116"/>
        <v>0110100001010110</v>
      </c>
      <c r="R590">
        <f t="shared" ca="1" si="117"/>
        <v>5.0081249999999997</v>
      </c>
      <c r="S590">
        <f t="shared" ca="1" si="118"/>
        <v>80.097500000000011</v>
      </c>
      <c r="T590" s="1">
        <f t="shared" ca="1" si="120"/>
        <v>1.6465736040609129E-2</v>
      </c>
      <c r="V590" s="4">
        <f t="shared" ca="1" si="119"/>
        <v>1.2975000000000001</v>
      </c>
      <c r="X590" s="2"/>
    </row>
    <row r="591" spans="8:24" x14ac:dyDescent="0.25">
      <c r="H591">
        <v>78.900000000000006</v>
      </c>
      <c r="I591">
        <v>4.9309253252189968</v>
      </c>
      <c r="J591" s="4">
        <f t="shared" si="110"/>
        <v>1.1400000000000001E-4</v>
      </c>
      <c r="K591" s="9">
        <f t="shared" si="111"/>
        <v>2.9500000000000001E-4</v>
      </c>
      <c r="L591" s="4">
        <f t="shared" si="112"/>
        <v>1.6465E-2</v>
      </c>
      <c r="M591" s="5">
        <f t="shared" si="113"/>
        <v>5.0134142356387894</v>
      </c>
      <c r="N591" s="2">
        <f t="shared" si="114"/>
        <v>1.6728890619759889E-2</v>
      </c>
      <c r="O591">
        <f t="shared" si="115"/>
        <v>26747.046999999999</v>
      </c>
      <c r="P591">
        <f t="shared" ref="P591:P602" ca="1" si="121">ROUND(O591+$C$47+$C$49+RANDBETWEEN($B$45,$D$45) + 1,0)</f>
        <v>26751</v>
      </c>
      <c r="Q591" t="str">
        <f t="shared" ca="1" si="116"/>
        <v>0110100001111111</v>
      </c>
      <c r="R591">
        <f t="shared" ca="1" si="117"/>
        <v>5.0158125</v>
      </c>
      <c r="S591">
        <f t="shared" ca="1" si="118"/>
        <v>80.189750000000004</v>
      </c>
      <c r="T591" s="1">
        <f t="shared" ca="1" si="120"/>
        <v>1.6346641318124182E-2</v>
      </c>
      <c r="V591" s="4">
        <f t="shared" ca="1" si="119"/>
        <v>1.28975</v>
      </c>
      <c r="X591" s="2"/>
    </row>
    <row r="592" spans="8:24" x14ac:dyDescent="0.25">
      <c r="H592">
        <v>79</v>
      </c>
      <c r="I592">
        <v>4.937898534937414</v>
      </c>
      <c r="J592" s="4">
        <f t="shared" si="110"/>
        <v>1.1400000000000001E-4</v>
      </c>
      <c r="K592" s="9">
        <f t="shared" si="111"/>
        <v>2.9500000000000001E-4</v>
      </c>
      <c r="L592" s="4">
        <f t="shared" si="112"/>
        <v>1.6494999999999999E-2</v>
      </c>
      <c r="M592" s="5">
        <f t="shared" si="113"/>
        <v>5.0206573207329033</v>
      </c>
      <c r="N592" s="2">
        <f t="shared" si="114"/>
        <v>1.6759920279839888E-2</v>
      </c>
      <c r="O592">
        <f t="shared" si="115"/>
        <v>26785.6895</v>
      </c>
      <c r="P592">
        <f t="shared" ca="1" si="121"/>
        <v>26786</v>
      </c>
      <c r="Q592" t="str">
        <f t="shared" ca="1" si="116"/>
        <v>0110100010100010</v>
      </c>
      <c r="R592">
        <f t="shared" ca="1" si="117"/>
        <v>5.0223750000000003</v>
      </c>
      <c r="S592">
        <f t="shared" ca="1" si="118"/>
        <v>80.268500000000017</v>
      </c>
      <c r="T592" s="1">
        <f t="shared" ca="1" si="120"/>
        <v>1.6056962025316673E-2</v>
      </c>
      <c r="V592" s="4">
        <f t="shared" ca="1" si="119"/>
        <v>1.2685</v>
      </c>
      <c r="X592" s="2"/>
    </row>
    <row r="593" spans="8:24" x14ac:dyDescent="0.25">
      <c r="H593">
        <v>79.099999999999994</v>
      </c>
      <c r="I593">
        <v>4.9445004359531568</v>
      </c>
      <c r="J593" s="4">
        <f t="shared" si="110"/>
        <v>1.15E-4</v>
      </c>
      <c r="K593" s="9">
        <f t="shared" si="111"/>
        <v>2.9599999999999998E-4</v>
      </c>
      <c r="L593" s="4">
        <f t="shared" si="112"/>
        <v>1.6525999999999999E-2</v>
      </c>
      <c r="M593" s="5">
        <f t="shared" si="113"/>
        <v>5.0275273951778665</v>
      </c>
      <c r="N593" s="2">
        <f t="shared" si="114"/>
        <v>1.6791779129190127E-2</v>
      </c>
      <c r="O593">
        <f t="shared" si="115"/>
        <v>26822.342000000001</v>
      </c>
      <c r="P593">
        <f t="shared" ca="1" si="121"/>
        <v>26827</v>
      </c>
      <c r="Q593" t="str">
        <f t="shared" ca="1" si="116"/>
        <v>0110100011001011</v>
      </c>
      <c r="R593">
        <f t="shared" ca="1" si="117"/>
        <v>5.0300625000000005</v>
      </c>
      <c r="S593">
        <f t="shared" ca="1" si="118"/>
        <v>80.36075000000001</v>
      </c>
      <c r="T593" s="1">
        <f t="shared" ca="1" si="120"/>
        <v>1.5938685208596915E-2</v>
      </c>
      <c r="V593" s="4">
        <f t="shared" ca="1" si="119"/>
        <v>1.26075</v>
      </c>
      <c r="X593" s="2"/>
    </row>
    <row r="594" spans="8:24" x14ac:dyDescent="0.25">
      <c r="H594">
        <v>79.2</v>
      </c>
      <c r="I594">
        <v>4.9514941843894169</v>
      </c>
      <c r="J594" s="4">
        <f t="shared" si="110"/>
        <v>1.15E-4</v>
      </c>
      <c r="K594" s="9">
        <f t="shared" si="111"/>
        <v>2.9599999999999998E-4</v>
      </c>
      <c r="L594" s="4">
        <f t="shared" si="112"/>
        <v>1.6556000000000001E-2</v>
      </c>
      <c r="M594" s="5">
        <f t="shared" si="113"/>
        <v>5.0347922445420554</v>
      </c>
      <c r="N594" s="2">
        <f t="shared" si="114"/>
        <v>1.6822812882473424E-2</v>
      </c>
      <c r="O594">
        <f t="shared" si="115"/>
        <v>26861.100699999999</v>
      </c>
      <c r="P594">
        <f t="shared" ca="1" si="121"/>
        <v>26861</v>
      </c>
      <c r="Q594" t="str">
        <f t="shared" ca="1" si="116"/>
        <v>0110100011101101</v>
      </c>
      <c r="R594">
        <f t="shared" ca="1" si="117"/>
        <v>5.0364374999999999</v>
      </c>
      <c r="S594">
        <f t="shared" ca="1" si="118"/>
        <v>80.437250000000006</v>
      </c>
      <c r="T594" s="1">
        <f t="shared" ca="1" si="120"/>
        <v>1.5621843434343472E-2</v>
      </c>
      <c r="V594" s="4">
        <f t="shared" ca="1" si="119"/>
        <v>1.23725</v>
      </c>
      <c r="X594" s="2"/>
    </row>
    <row r="595" spans="8:24" x14ac:dyDescent="0.25">
      <c r="H595">
        <v>79.300000000000011</v>
      </c>
      <c r="I595">
        <v>4.9584976262807077</v>
      </c>
      <c r="J595" s="4">
        <f t="shared" si="110"/>
        <v>1.16E-4</v>
      </c>
      <c r="K595" s="9">
        <f t="shared" si="111"/>
        <v>2.9700000000000001E-4</v>
      </c>
      <c r="L595" s="4">
        <f t="shared" si="112"/>
        <v>1.6587000000000001E-2</v>
      </c>
      <c r="M595" s="5">
        <f t="shared" si="113"/>
        <v>5.0420715042761355</v>
      </c>
      <c r="N595" s="2">
        <f t="shared" si="114"/>
        <v>1.6854677423353993E-2</v>
      </c>
      <c r="O595">
        <f t="shared" si="115"/>
        <v>26899.936300000001</v>
      </c>
      <c r="P595">
        <f t="shared" ca="1" si="121"/>
        <v>26903</v>
      </c>
      <c r="Q595" t="str">
        <f t="shared" ca="1" si="116"/>
        <v>0110100100010111</v>
      </c>
      <c r="R595">
        <f t="shared" ca="1" si="117"/>
        <v>5.0443125000000002</v>
      </c>
      <c r="S595">
        <f t="shared" ca="1" si="118"/>
        <v>80.531750000000017</v>
      </c>
      <c r="T595" s="1">
        <f t="shared" ca="1" si="120"/>
        <v>1.5532786885245965E-2</v>
      </c>
      <c r="V595" s="4">
        <f t="shared" ca="1" si="119"/>
        <v>1.2317499999999999</v>
      </c>
      <c r="X595" s="2"/>
    </row>
    <row r="596" spans="8:24" x14ac:dyDescent="0.25">
      <c r="H596">
        <v>79.400000000000006</v>
      </c>
      <c r="I596">
        <v>4.9658893678497913</v>
      </c>
      <c r="J596" s="4">
        <f t="shared" si="110"/>
        <v>1.17E-4</v>
      </c>
      <c r="K596" s="9">
        <f t="shared" si="111"/>
        <v>2.9700000000000001E-4</v>
      </c>
      <c r="L596" s="4">
        <f t="shared" si="112"/>
        <v>1.6617E-2</v>
      </c>
      <c r="M596" s="5">
        <f t="shared" si="113"/>
        <v>5.0497409494203085</v>
      </c>
      <c r="N596" s="2">
        <f t="shared" si="114"/>
        <v>1.688551140776311E-2</v>
      </c>
      <c r="O596">
        <f t="shared" si="115"/>
        <v>26940.853500000001</v>
      </c>
      <c r="P596">
        <f t="shared" ca="1" si="121"/>
        <v>26939</v>
      </c>
      <c r="Q596" t="str">
        <f t="shared" ca="1" si="116"/>
        <v>0110100100111011</v>
      </c>
      <c r="R596">
        <f t="shared" ca="1" si="117"/>
        <v>5.0510625000000005</v>
      </c>
      <c r="S596">
        <f t="shared" ca="1" si="118"/>
        <v>80.61275000000002</v>
      </c>
      <c r="T596" s="1">
        <f t="shared" ca="1" si="120"/>
        <v>1.5273929471032921E-2</v>
      </c>
      <c r="V596" s="4">
        <f t="shared" ca="1" si="119"/>
        <v>1.21275</v>
      </c>
      <c r="X596" s="2"/>
    </row>
    <row r="597" spans="8:24" x14ac:dyDescent="0.25">
      <c r="H597">
        <v>79.5</v>
      </c>
      <c r="I597">
        <v>4.9725331752448589</v>
      </c>
      <c r="J597" s="4">
        <f t="shared" si="110"/>
        <v>1.17E-4</v>
      </c>
      <c r="K597" s="9">
        <f t="shared" si="111"/>
        <v>2.9799999999999998E-4</v>
      </c>
      <c r="L597" s="4">
        <f t="shared" si="112"/>
        <v>1.6648E-2</v>
      </c>
      <c r="M597" s="5">
        <f t="shared" si="113"/>
        <v>5.056656425838213</v>
      </c>
      <c r="N597" s="2">
        <f t="shared" si="114"/>
        <v>1.6917584584885469E-2</v>
      </c>
      <c r="O597">
        <f t="shared" si="115"/>
        <v>26977.748200000002</v>
      </c>
      <c r="P597">
        <f t="shared" ca="1" si="121"/>
        <v>26976</v>
      </c>
      <c r="Q597" t="str">
        <f t="shared" ca="1" si="116"/>
        <v>0110100101100000</v>
      </c>
      <c r="R597">
        <f t="shared" ca="1" si="117"/>
        <v>5.0579999999999998</v>
      </c>
      <c r="S597">
        <f t="shared" ca="1" si="118"/>
        <v>80.696000000000012</v>
      </c>
      <c r="T597" s="1">
        <f t="shared" ca="1" si="120"/>
        <v>1.5044025157232858E-2</v>
      </c>
      <c r="V597" s="4">
        <f t="shared" ca="1" si="119"/>
        <v>1.196</v>
      </c>
      <c r="X597" s="2"/>
    </row>
    <row r="598" spans="8:24" x14ac:dyDescent="0.25">
      <c r="H598">
        <v>79.599999999999994</v>
      </c>
      <c r="I598">
        <v>4.9795650755986109</v>
      </c>
      <c r="J598" s="4">
        <f t="shared" si="110"/>
        <v>1.18E-4</v>
      </c>
      <c r="K598" s="9">
        <f t="shared" si="111"/>
        <v>2.9799999999999998E-4</v>
      </c>
      <c r="L598" s="4">
        <f t="shared" si="112"/>
        <v>1.6677999999999998E-2</v>
      </c>
      <c r="M598" s="5">
        <f t="shared" si="113"/>
        <v>5.0639608472856414</v>
      </c>
      <c r="N598" s="2">
        <f t="shared" si="114"/>
        <v>1.6948422283021371E-2</v>
      </c>
      <c r="O598">
        <f t="shared" si="115"/>
        <v>27016.718000000001</v>
      </c>
      <c r="P598">
        <f t="shared" ca="1" si="121"/>
        <v>27021</v>
      </c>
      <c r="Q598" t="str">
        <f t="shared" ca="1" si="116"/>
        <v>0110100110001101</v>
      </c>
      <c r="R598">
        <f t="shared" ca="1" si="117"/>
        <v>5.0664375000000001</v>
      </c>
      <c r="S598">
        <f t="shared" ca="1" si="118"/>
        <v>80.797250000000005</v>
      </c>
      <c r="T598" s="1">
        <f t="shared" ca="1" si="120"/>
        <v>1.5040829145728784E-2</v>
      </c>
      <c r="V598" s="4">
        <f t="shared" ca="1" si="119"/>
        <v>1.1972499999999999</v>
      </c>
      <c r="X598" s="2"/>
    </row>
    <row r="599" spans="8:24" x14ac:dyDescent="0.25">
      <c r="H599">
        <v>79.7</v>
      </c>
      <c r="I599">
        <v>4.9866062559969251</v>
      </c>
      <c r="J599" s="4">
        <f t="shared" si="110"/>
        <v>1.18E-4</v>
      </c>
      <c r="K599" s="9">
        <f t="shared" si="111"/>
        <v>2.99E-4</v>
      </c>
      <c r="L599" s="4">
        <f t="shared" si="112"/>
        <v>1.6709000000000002E-2</v>
      </c>
      <c r="M599" s="5">
        <f t="shared" si="113"/>
        <v>5.071281326560424</v>
      </c>
      <c r="N599" s="2">
        <f t="shared" si="114"/>
        <v>1.6980500608338202E-2</v>
      </c>
      <c r="O599">
        <f t="shared" si="115"/>
        <v>27055.773499999999</v>
      </c>
      <c r="P599">
        <f t="shared" ca="1" si="121"/>
        <v>27058</v>
      </c>
      <c r="Q599" t="str">
        <f t="shared" ca="1" si="116"/>
        <v>0110100110110010</v>
      </c>
      <c r="R599">
        <f t="shared" ca="1" si="117"/>
        <v>5.0733750000000004</v>
      </c>
      <c r="S599">
        <f t="shared" ca="1" si="118"/>
        <v>80.880500000000012</v>
      </c>
      <c r="T599" s="1">
        <f t="shared" ca="1" si="120"/>
        <v>1.4811794228356451E-2</v>
      </c>
      <c r="V599" s="4">
        <f t="shared" ca="1" si="119"/>
        <v>1.1805000000000001</v>
      </c>
      <c r="X599" s="2"/>
    </row>
    <row r="600" spans="8:24" x14ac:dyDescent="0.25">
      <c r="H600">
        <v>79.800000000000011</v>
      </c>
      <c r="I600">
        <v>4.9936566138811109</v>
      </c>
      <c r="J600" s="4">
        <f t="shared" si="110"/>
        <v>1.1900000000000001E-4</v>
      </c>
      <c r="K600" s="9">
        <f t="shared" si="111"/>
        <v>2.99E-4</v>
      </c>
      <c r="L600" s="4">
        <f t="shared" si="112"/>
        <v>1.6739E-2</v>
      </c>
      <c r="M600" s="5">
        <f t="shared" si="113"/>
        <v>5.0786054191299268</v>
      </c>
      <c r="N600" s="2">
        <f t="shared" si="114"/>
        <v>1.7011342953113663E-2</v>
      </c>
      <c r="O600">
        <f t="shared" si="115"/>
        <v>27094.8482</v>
      </c>
      <c r="P600">
        <f t="shared" ca="1" si="121"/>
        <v>27099</v>
      </c>
      <c r="Q600" t="str">
        <f t="shared" ca="1" si="116"/>
        <v>0110100111011011</v>
      </c>
      <c r="R600">
        <f t="shared" ca="1" si="117"/>
        <v>5.0810624999999998</v>
      </c>
      <c r="S600">
        <f t="shared" ca="1" si="118"/>
        <v>80.972750000000005</v>
      </c>
      <c r="T600" s="1">
        <f t="shared" ca="1" si="120"/>
        <v>1.4696115288220468E-2</v>
      </c>
      <c r="V600" s="4">
        <f t="shared" ca="1" si="119"/>
        <v>1.17275</v>
      </c>
      <c r="X600" s="2"/>
    </row>
    <row r="601" spans="8:24" x14ac:dyDescent="0.25">
      <c r="H601">
        <v>79.900000000000006</v>
      </c>
      <c r="I601">
        <v>5.0003414789903164</v>
      </c>
      <c r="J601" s="4">
        <f t="shared" si="110"/>
        <v>1.1900000000000001E-4</v>
      </c>
      <c r="K601" s="9">
        <f t="shared" si="111"/>
        <v>2.9999999999999997E-4</v>
      </c>
      <c r="L601" s="4">
        <f t="shared" si="112"/>
        <v>1.677E-2</v>
      </c>
      <c r="M601" s="5">
        <f t="shared" si="113"/>
        <v>5.085564421681922</v>
      </c>
      <c r="N601" s="2">
        <f t="shared" si="114"/>
        <v>1.7043424544040148E-2</v>
      </c>
      <c r="O601">
        <f t="shared" si="115"/>
        <v>27131.975200000001</v>
      </c>
      <c r="P601">
        <f t="shared" ca="1" si="121"/>
        <v>27134</v>
      </c>
      <c r="Q601" t="str">
        <f t="shared" ca="1" si="116"/>
        <v>0110100111111110</v>
      </c>
      <c r="R601">
        <f t="shared" ca="1" si="117"/>
        <v>5.0876250000000001</v>
      </c>
      <c r="S601">
        <f t="shared" ca="1" si="118"/>
        <v>81.051500000000004</v>
      </c>
      <c r="T601" s="1">
        <f t="shared" ca="1" si="120"/>
        <v>1.4411764705882334E-2</v>
      </c>
      <c r="V601" s="4">
        <f t="shared" ca="1" si="119"/>
        <v>1.1515</v>
      </c>
      <c r="X601" s="2"/>
    </row>
    <row r="602" spans="8:24" x14ac:dyDescent="0.25">
      <c r="H602">
        <v>80</v>
      </c>
      <c r="I602">
        <v>5.0022676892994067</v>
      </c>
      <c r="J602" s="4">
        <f t="shared" si="110"/>
        <v>1.2E-4</v>
      </c>
      <c r="K602" s="9">
        <f t="shared" si="111"/>
        <v>2.9999999999999997E-4</v>
      </c>
      <c r="L602" s="4">
        <f t="shared" si="112"/>
        <v>1.6799999999999999E-2</v>
      </c>
      <c r="M602" s="5">
        <f t="shared" si="113"/>
        <v>5.08767770026384</v>
      </c>
      <c r="N602" s="2">
        <f t="shared" si="114"/>
        <v>1.7074258370286349E-2</v>
      </c>
      <c r="O602">
        <f t="shared" si="115"/>
        <v>27143.2497</v>
      </c>
      <c r="P602">
        <f t="shared" ca="1" si="121"/>
        <v>27144</v>
      </c>
      <c r="Q602" t="str">
        <f t="shared" ca="1" si="116"/>
        <v>0110101000001000</v>
      </c>
      <c r="R602">
        <f t="shared" ca="1" si="117"/>
        <v>5.0895000000000001</v>
      </c>
      <c r="S602">
        <f t="shared" ca="1" si="118"/>
        <v>81.074000000000012</v>
      </c>
      <c r="T602" s="1">
        <f t="shared" ca="1" si="120"/>
        <v>1.3425000000000154E-2</v>
      </c>
      <c r="V602" s="4">
        <f t="shared" ca="1" si="119"/>
        <v>1.0740000000000001</v>
      </c>
      <c r="X602" s="2"/>
    </row>
  </sheetData>
  <mergeCells count="5">
    <mergeCell ref="A43:E43"/>
    <mergeCell ref="A2:E2"/>
    <mergeCell ref="A8:E8"/>
    <mergeCell ref="E23:E24"/>
    <mergeCell ref="A32:E3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Sheet2</vt:lpstr>
      <vt:lpstr>Cal_Error</vt:lpstr>
      <vt:lpstr>ADC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nguyen dong</dc:creator>
  <cp:lastModifiedBy>nguyen dong</cp:lastModifiedBy>
  <cp:lastPrinted>2025-11-28T13:48:13Z</cp:lastPrinted>
  <dcterms:created xsi:type="dcterms:W3CDTF">2025-11-26T07:35:39Z</dcterms:created>
  <dcterms:modified xsi:type="dcterms:W3CDTF">2025-11-28T16:38:49Z</dcterms:modified>
</cp:coreProperties>
</file>