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BigProject1\04_ADC\"/>
    </mc:Choice>
  </mc:AlternateContent>
  <xr:revisionPtr revIDLastSave="0" documentId="13_ncr:1_{CDD8E721-6191-43AD-B6B1-EAC681FDD468}" xr6:coauthVersionLast="47" xr6:coauthVersionMax="47" xr10:uidLastSave="{00000000-0000-0000-0000-000000000000}"/>
  <bookViews>
    <workbookView xWindow="-120" yWindow="-120" windowWidth="29040" windowHeight="15720" xr2:uid="{E6E4C7D1-E780-4FA1-B8FF-60F1C49D2116}"/>
  </bookViews>
  <sheets>
    <sheet name="Cal_NTC" sheetId="6" r:id="rId1"/>
    <sheet name="Cal_Error" sheetId="4" r:id="rId2"/>
    <sheet name="ADC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6" l="1"/>
  <c r="B22" i="6" s="1"/>
  <c r="B25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W238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0" i="6"/>
  <c r="W491" i="6"/>
  <c r="W492" i="6"/>
  <c r="W493" i="6"/>
  <c r="W494" i="6"/>
  <c r="W495" i="6"/>
  <c r="W496" i="6"/>
  <c r="W497" i="6"/>
  <c r="W498" i="6"/>
  <c r="W499" i="6"/>
  <c r="W500" i="6"/>
  <c r="W501" i="6"/>
  <c r="W502" i="6"/>
  <c r="W503" i="6"/>
  <c r="W504" i="6"/>
  <c r="W505" i="6"/>
  <c r="W506" i="6"/>
  <c r="W507" i="6"/>
  <c r="W508" i="6"/>
  <c r="W509" i="6"/>
  <c r="W510" i="6"/>
  <c r="W511" i="6"/>
  <c r="W512" i="6"/>
  <c r="W513" i="6"/>
  <c r="W514" i="6"/>
  <c r="W515" i="6"/>
  <c r="W516" i="6"/>
  <c r="W517" i="6"/>
  <c r="W518" i="6"/>
  <c r="W519" i="6"/>
  <c r="W520" i="6"/>
  <c r="W521" i="6"/>
  <c r="W522" i="6"/>
  <c r="W523" i="6"/>
  <c r="W524" i="6"/>
  <c r="W525" i="6"/>
  <c r="W526" i="6"/>
  <c r="W527" i="6"/>
  <c r="W528" i="6"/>
  <c r="W529" i="6"/>
  <c r="W530" i="6"/>
  <c r="W531" i="6"/>
  <c r="W532" i="6"/>
  <c r="W533" i="6"/>
  <c r="W534" i="6"/>
  <c r="W535" i="6"/>
  <c r="W536" i="6"/>
  <c r="W537" i="6"/>
  <c r="W538" i="6"/>
  <c r="W539" i="6"/>
  <c r="W540" i="6"/>
  <c r="W541" i="6"/>
  <c r="W542" i="6"/>
  <c r="W543" i="6"/>
  <c r="W544" i="6"/>
  <c r="W545" i="6"/>
  <c r="W546" i="6"/>
  <c r="W547" i="6"/>
  <c r="W548" i="6"/>
  <c r="W549" i="6"/>
  <c r="W550" i="6"/>
  <c r="W551" i="6"/>
  <c r="W552" i="6"/>
  <c r="W553" i="6"/>
  <c r="W554" i="6"/>
  <c r="W555" i="6"/>
  <c r="W556" i="6"/>
  <c r="W557" i="6"/>
  <c r="W558" i="6"/>
  <c r="W559" i="6"/>
  <c r="W560" i="6"/>
  <c r="W561" i="6"/>
  <c r="W562" i="6"/>
  <c r="W563" i="6"/>
  <c r="W564" i="6"/>
  <c r="W565" i="6"/>
  <c r="W566" i="6"/>
  <c r="W567" i="6"/>
  <c r="W568" i="6"/>
  <c r="W569" i="6"/>
  <c r="W570" i="6"/>
  <c r="W571" i="6"/>
  <c r="W572" i="6"/>
  <c r="W573" i="6"/>
  <c r="W574" i="6"/>
  <c r="W575" i="6"/>
  <c r="W576" i="6"/>
  <c r="W577" i="6"/>
  <c r="W578" i="6"/>
  <c r="W579" i="6"/>
  <c r="W580" i="6"/>
  <c r="W581" i="6"/>
  <c r="W582" i="6"/>
  <c r="W583" i="6"/>
  <c r="W584" i="6"/>
  <c r="W585" i="6"/>
  <c r="W586" i="6"/>
  <c r="W587" i="6"/>
  <c r="W588" i="6"/>
  <c r="W589" i="6"/>
  <c r="W590" i="6"/>
  <c r="W591" i="6"/>
  <c r="W592" i="6"/>
  <c r="W593" i="6"/>
  <c r="W594" i="6"/>
  <c r="W595" i="6"/>
  <c r="W596" i="6"/>
  <c r="W597" i="6"/>
  <c r="W598" i="6"/>
  <c r="W599" i="6"/>
  <c r="W600" i="6"/>
  <c r="W601" i="6"/>
  <c r="W602" i="6"/>
  <c r="W2" i="6"/>
  <c r="B9" i="6"/>
  <c r="B7" i="6"/>
  <c r="E2" i="6" a="1"/>
  <c r="F65" i="6" s="1"/>
  <c r="I2" i="3"/>
  <c r="K2" i="3"/>
  <c r="C16" i="3"/>
  <c r="B16" i="3"/>
  <c r="D16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2" i="4"/>
  <c r="F2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D27" i="3"/>
  <c r="J2" i="3"/>
  <c r="K3" i="3"/>
  <c r="J4" i="3"/>
  <c r="A2" i="4" a="1"/>
  <c r="B25" i="4" s="1"/>
  <c r="D35" i="3"/>
  <c r="D36" i="3"/>
  <c r="D37" i="3"/>
  <c r="D38" i="3"/>
  <c r="D39" i="3"/>
  <c r="D40" i="3"/>
  <c r="D41" i="3"/>
  <c r="D34" i="3"/>
  <c r="C49" i="3"/>
  <c r="C47" i="3"/>
  <c r="B15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L437" i="3" s="1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J3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B27" i="3"/>
  <c r="C26" i="3"/>
  <c r="D20" i="3"/>
  <c r="B20" i="3"/>
  <c r="D30" i="3"/>
  <c r="B30" i="3"/>
  <c r="D29" i="3"/>
  <c r="B29" i="3"/>
  <c r="C24" i="3"/>
  <c r="C17" i="3"/>
  <c r="B23" i="6" l="1"/>
  <c r="X65" i="6"/>
  <c r="G65" i="6"/>
  <c r="I65" i="6" s="1"/>
  <c r="K65" i="6" s="1"/>
  <c r="L65" i="6" s="1"/>
  <c r="H65" i="6"/>
  <c r="F548" i="6"/>
  <c r="X548" i="6" s="1"/>
  <c r="F508" i="6"/>
  <c r="X508" i="6" s="1"/>
  <c r="F452" i="6"/>
  <c r="X452" i="6" s="1"/>
  <c r="F404" i="6"/>
  <c r="X404" i="6" s="1"/>
  <c r="F364" i="6"/>
  <c r="X364" i="6" s="1"/>
  <c r="F316" i="6"/>
  <c r="X316" i="6" s="1"/>
  <c r="F284" i="6"/>
  <c r="X284" i="6" s="1"/>
  <c r="F252" i="6"/>
  <c r="X252" i="6" s="1"/>
  <c r="F204" i="6"/>
  <c r="X204" i="6" s="1"/>
  <c r="F188" i="6"/>
  <c r="X188" i="6" s="1"/>
  <c r="F124" i="6"/>
  <c r="X124" i="6" s="1"/>
  <c r="F595" i="6"/>
  <c r="X595" i="6" s="1"/>
  <c r="F587" i="6"/>
  <c r="X587" i="6" s="1"/>
  <c r="F579" i="6"/>
  <c r="X579" i="6" s="1"/>
  <c r="F571" i="6"/>
  <c r="X571" i="6" s="1"/>
  <c r="F563" i="6"/>
  <c r="X563" i="6" s="1"/>
  <c r="F555" i="6"/>
  <c r="X555" i="6" s="1"/>
  <c r="F547" i="6"/>
  <c r="X547" i="6" s="1"/>
  <c r="F539" i="6"/>
  <c r="X539" i="6" s="1"/>
  <c r="F531" i="6"/>
  <c r="X531" i="6" s="1"/>
  <c r="F523" i="6"/>
  <c r="X523" i="6" s="1"/>
  <c r="F515" i="6"/>
  <c r="X515" i="6" s="1"/>
  <c r="F507" i="6"/>
  <c r="X507" i="6" s="1"/>
  <c r="F499" i="6"/>
  <c r="X499" i="6" s="1"/>
  <c r="F491" i="6"/>
  <c r="X491" i="6" s="1"/>
  <c r="F483" i="6"/>
  <c r="X483" i="6" s="1"/>
  <c r="F475" i="6"/>
  <c r="X475" i="6" s="1"/>
  <c r="F467" i="6"/>
  <c r="X467" i="6" s="1"/>
  <c r="F459" i="6"/>
  <c r="X459" i="6" s="1"/>
  <c r="F451" i="6"/>
  <c r="X451" i="6" s="1"/>
  <c r="F443" i="6"/>
  <c r="X443" i="6" s="1"/>
  <c r="F435" i="6"/>
  <c r="X435" i="6" s="1"/>
  <c r="F427" i="6"/>
  <c r="X427" i="6" s="1"/>
  <c r="F419" i="6"/>
  <c r="X419" i="6" s="1"/>
  <c r="F411" i="6"/>
  <c r="X411" i="6" s="1"/>
  <c r="F403" i="6"/>
  <c r="X403" i="6" s="1"/>
  <c r="F395" i="6"/>
  <c r="X395" i="6" s="1"/>
  <c r="F387" i="6"/>
  <c r="X387" i="6" s="1"/>
  <c r="F379" i="6"/>
  <c r="X379" i="6" s="1"/>
  <c r="F371" i="6"/>
  <c r="X371" i="6" s="1"/>
  <c r="F363" i="6"/>
  <c r="X363" i="6" s="1"/>
  <c r="F355" i="6"/>
  <c r="X355" i="6" s="1"/>
  <c r="F347" i="6"/>
  <c r="X347" i="6" s="1"/>
  <c r="F339" i="6"/>
  <c r="X339" i="6" s="1"/>
  <c r="F331" i="6"/>
  <c r="X331" i="6" s="1"/>
  <c r="F323" i="6"/>
  <c r="X323" i="6" s="1"/>
  <c r="F315" i="6"/>
  <c r="X315" i="6" s="1"/>
  <c r="F307" i="6"/>
  <c r="X307" i="6" s="1"/>
  <c r="F299" i="6"/>
  <c r="X299" i="6" s="1"/>
  <c r="F291" i="6"/>
  <c r="X291" i="6" s="1"/>
  <c r="F283" i="6"/>
  <c r="X283" i="6" s="1"/>
  <c r="F275" i="6"/>
  <c r="X275" i="6" s="1"/>
  <c r="F267" i="6"/>
  <c r="X267" i="6" s="1"/>
  <c r="F259" i="6"/>
  <c r="X259" i="6" s="1"/>
  <c r="F251" i="6"/>
  <c r="X251" i="6" s="1"/>
  <c r="F243" i="6"/>
  <c r="X243" i="6" s="1"/>
  <c r="F235" i="6"/>
  <c r="X235" i="6" s="1"/>
  <c r="F227" i="6"/>
  <c r="X227" i="6" s="1"/>
  <c r="F219" i="6"/>
  <c r="X219" i="6" s="1"/>
  <c r="F211" i="6"/>
  <c r="X211" i="6" s="1"/>
  <c r="F203" i="6"/>
  <c r="X203" i="6" s="1"/>
  <c r="F195" i="6"/>
  <c r="X195" i="6" s="1"/>
  <c r="F187" i="6"/>
  <c r="X187" i="6" s="1"/>
  <c r="F179" i="6"/>
  <c r="X179" i="6" s="1"/>
  <c r="F171" i="6"/>
  <c r="X171" i="6" s="1"/>
  <c r="F163" i="6"/>
  <c r="X163" i="6" s="1"/>
  <c r="F155" i="6"/>
  <c r="X155" i="6" s="1"/>
  <c r="F147" i="6"/>
  <c r="X147" i="6" s="1"/>
  <c r="F139" i="6"/>
  <c r="X139" i="6" s="1"/>
  <c r="F131" i="6"/>
  <c r="X131" i="6" s="1"/>
  <c r="F123" i="6"/>
  <c r="X123" i="6" s="1"/>
  <c r="F115" i="6"/>
  <c r="X115" i="6" s="1"/>
  <c r="F107" i="6"/>
  <c r="X107" i="6" s="1"/>
  <c r="F99" i="6"/>
  <c r="X99" i="6" s="1"/>
  <c r="F91" i="6"/>
  <c r="X91" i="6" s="1"/>
  <c r="F83" i="6"/>
  <c r="X83" i="6" s="1"/>
  <c r="F33" i="6"/>
  <c r="X33" i="6" s="1"/>
  <c r="F588" i="6"/>
  <c r="X588" i="6" s="1"/>
  <c r="F540" i="6"/>
  <c r="X540" i="6" s="1"/>
  <c r="F468" i="6"/>
  <c r="X468" i="6" s="1"/>
  <c r="F428" i="6"/>
  <c r="X428" i="6" s="1"/>
  <c r="F388" i="6"/>
  <c r="X388" i="6" s="1"/>
  <c r="F332" i="6"/>
  <c r="X332" i="6" s="1"/>
  <c r="F268" i="6"/>
  <c r="X268" i="6" s="1"/>
  <c r="F220" i="6"/>
  <c r="X220" i="6" s="1"/>
  <c r="F164" i="6"/>
  <c r="X164" i="6" s="1"/>
  <c r="F132" i="6"/>
  <c r="X132" i="6" s="1"/>
  <c r="F84" i="6"/>
  <c r="X84" i="6" s="1"/>
  <c r="F602" i="6"/>
  <c r="X602" i="6" s="1"/>
  <c r="F594" i="6"/>
  <c r="X594" i="6" s="1"/>
  <c r="F586" i="6"/>
  <c r="X586" i="6" s="1"/>
  <c r="F578" i="6"/>
  <c r="X578" i="6" s="1"/>
  <c r="F570" i="6"/>
  <c r="X570" i="6" s="1"/>
  <c r="F562" i="6"/>
  <c r="X562" i="6" s="1"/>
  <c r="F554" i="6"/>
  <c r="X554" i="6" s="1"/>
  <c r="F546" i="6"/>
  <c r="X546" i="6" s="1"/>
  <c r="F538" i="6"/>
  <c r="X538" i="6" s="1"/>
  <c r="F530" i="6"/>
  <c r="X530" i="6" s="1"/>
  <c r="F522" i="6"/>
  <c r="X522" i="6" s="1"/>
  <c r="F514" i="6"/>
  <c r="X514" i="6" s="1"/>
  <c r="F506" i="6"/>
  <c r="X506" i="6" s="1"/>
  <c r="F498" i="6"/>
  <c r="X498" i="6" s="1"/>
  <c r="F490" i="6"/>
  <c r="X490" i="6" s="1"/>
  <c r="F482" i="6"/>
  <c r="X482" i="6" s="1"/>
  <c r="F474" i="6"/>
  <c r="X474" i="6" s="1"/>
  <c r="F466" i="6"/>
  <c r="X466" i="6" s="1"/>
  <c r="F458" i="6"/>
  <c r="X458" i="6" s="1"/>
  <c r="F450" i="6"/>
  <c r="X450" i="6" s="1"/>
  <c r="F442" i="6"/>
  <c r="X442" i="6" s="1"/>
  <c r="F434" i="6"/>
  <c r="X434" i="6" s="1"/>
  <c r="F426" i="6"/>
  <c r="X426" i="6" s="1"/>
  <c r="F418" i="6"/>
  <c r="X418" i="6" s="1"/>
  <c r="F410" i="6"/>
  <c r="X410" i="6" s="1"/>
  <c r="F402" i="6"/>
  <c r="X402" i="6" s="1"/>
  <c r="F394" i="6"/>
  <c r="X394" i="6" s="1"/>
  <c r="F386" i="6"/>
  <c r="X386" i="6" s="1"/>
  <c r="F378" i="6"/>
  <c r="X378" i="6" s="1"/>
  <c r="F370" i="6"/>
  <c r="X370" i="6" s="1"/>
  <c r="F362" i="6"/>
  <c r="X362" i="6" s="1"/>
  <c r="F354" i="6"/>
  <c r="X354" i="6" s="1"/>
  <c r="F346" i="6"/>
  <c r="X346" i="6" s="1"/>
  <c r="F338" i="6"/>
  <c r="X338" i="6" s="1"/>
  <c r="F330" i="6"/>
  <c r="X330" i="6" s="1"/>
  <c r="F322" i="6"/>
  <c r="X322" i="6" s="1"/>
  <c r="F314" i="6"/>
  <c r="X314" i="6" s="1"/>
  <c r="F306" i="6"/>
  <c r="X306" i="6" s="1"/>
  <c r="F298" i="6"/>
  <c r="X298" i="6" s="1"/>
  <c r="F290" i="6"/>
  <c r="X290" i="6" s="1"/>
  <c r="F282" i="6"/>
  <c r="X282" i="6" s="1"/>
  <c r="F274" i="6"/>
  <c r="X274" i="6" s="1"/>
  <c r="F266" i="6"/>
  <c r="X266" i="6" s="1"/>
  <c r="F258" i="6"/>
  <c r="X258" i="6" s="1"/>
  <c r="F250" i="6"/>
  <c r="X250" i="6" s="1"/>
  <c r="F242" i="6"/>
  <c r="X242" i="6" s="1"/>
  <c r="F234" i="6"/>
  <c r="X234" i="6" s="1"/>
  <c r="F226" i="6"/>
  <c r="X226" i="6" s="1"/>
  <c r="F218" i="6"/>
  <c r="X218" i="6" s="1"/>
  <c r="F210" i="6"/>
  <c r="X210" i="6" s="1"/>
  <c r="F202" i="6"/>
  <c r="X202" i="6" s="1"/>
  <c r="F194" i="6"/>
  <c r="X194" i="6" s="1"/>
  <c r="F186" i="6"/>
  <c r="X186" i="6" s="1"/>
  <c r="F178" i="6"/>
  <c r="X178" i="6" s="1"/>
  <c r="F170" i="6"/>
  <c r="X170" i="6" s="1"/>
  <c r="F162" i="6"/>
  <c r="X162" i="6" s="1"/>
  <c r="F154" i="6"/>
  <c r="X154" i="6" s="1"/>
  <c r="F146" i="6"/>
  <c r="X146" i="6" s="1"/>
  <c r="F138" i="6"/>
  <c r="X138" i="6" s="1"/>
  <c r="F130" i="6"/>
  <c r="X130" i="6" s="1"/>
  <c r="F122" i="6"/>
  <c r="X122" i="6" s="1"/>
  <c r="F114" i="6"/>
  <c r="X114" i="6" s="1"/>
  <c r="F106" i="6"/>
  <c r="X106" i="6" s="1"/>
  <c r="F98" i="6"/>
  <c r="X98" i="6" s="1"/>
  <c r="F90" i="6"/>
  <c r="X90" i="6" s="1"/>
  <c r="F82" i="6"/>
  <c r="X82" i="6" s="1"/>
  <c r="F25" i="6"/>
  <c r="X25" i="6" s="1"/>
  <c r="F601" i="6"/>
  <c r="X601" i="6" s="1"/>
  <c r="F593" i="6"/>
  <c r="X593" i="6" s="1"/>
  <c r="F585" i="6"/>
  <c r="X585" i="6" s="1"/>
  <c r="F577" i="6"/>
  <c r="X577" i="6" s="1"/>
  <c r="F569" i="6"/>
  <c r="X569" i="6" s="1"/>
  <c r="F561" i="6"/>
  <c r="X561" i="6" s="1"/>
  <c r="F553" i="6"/>
  <c r="X553" i="6" s="1"/>
  <c r="F545" i="6"/>
  <c r="X545" i="6" s="1"/>
  <c r="F537" i="6"/>
  <c r="X537" i="6" s="1"/>
  <c r="F529" i="6"/>
  <c r="X529" i="6" s="1"/>
  <c r="F521" i="6"/>
  <c r="X521" i="6" s="1"/>
  <c r="F513" i="6"/>
  <c r="X513" i="6" s="1"/>
  <c r="F505" i="6"/>
  <c r="X505" i="6" s="1"/>
  <c r="F497" i="6"/>
  <c r="X497" i="6" s="1"/>
  <c r="F489" i="6"/>
  <c r="X489" i="6" s="1"/>
  <c r="F481" i="6"/>
  <c r="X481" i="6" s="1"/>
  <c r="F473" i="6"/>
  <c r="X473" i="6" s="1"/>
  <c r="F465" i="6"/>
  <c r="X465" i="6" s="1"/>
  <c r="F457" i="6"/>
  <c r="X457" i="6" s="1"/>
  <c r="F449" i="6"/>
  <c r="X449" i="6" s="1"/>
  <c r="F441" i="6"/>
  <c r="X441" i="6" s="1"/>
  <c r="F433" i="6"/>
  <c r="X433" i="6" s="1"/>
  <c r="F425" i="6"/>
  <c r="X425" i="6" s="1"/>
  <c r="F417" i="6"/>
  <c r="X417" i="6" s="1"/>
  <c r="F409" i="6"/>
  <c r="X409" i="6" s="1"/>
  <c r="F401" i="6"/>
  <c r="X401" i="6" s="1"/>
  <c r="F393" i="6"/>
  <c r="X393" i="6" s="1"/>
  <c r="F385" i="6"/>
  <c r="X385" i="6" s="1"/>
  <c r="F377" i="6"/>
  <c r="X377" i="6" s="1"/>
  <c r="F369" i="6"/>
  <c r="X369" i="6" s="1"/>
  <c r="F361" i="6"/>
  <c r="X361" i="6" s="1"/>
  <c r="F353" i="6"/>
  <c r="X353" i="6" s="1"/>
  <c r="F345" i="6"/>
  <c r="X345" i="6" s="1"/>
  <c r="F337" i="6"/>
  <c r="X337" i="6" s="1"/>
  <c r="F329" i="6"/>
  <c r="X329" i="6" s="1"/>
  <c r="F321" i="6"/>
  <c r="X321" i="6" s="1"/>
  <c r="F313" i="6"/>
  <c r="X313" i="6" s="1"/>
  <c r="F305" i="6"/>
  <c r="X305" i="6" s="1"/>
  <c r="F297" i="6"/>
  <c r="X297" i="6" s="1"/>
  <c r="F289" i="6"/>
  <c r="X289" i="6" s="1"/>
  <c r="F281" i="6"/>
  <c r="X281" i="6" s="1"/>
  <c r="F273" i="6"/>
  <c r="X273" i="6" s="1"/>
  <c r="F265" i="6"/>
  <c r="X265" i="6" s="1"/>
  <c r="F257" i="6"/>
  <c r="X257" i="6" s="1"/>
  <c r="F249" i="6"/>
  <c r="X249" i="6" s="1"/>
  <c r="F241" i="6"/>
  <c r="X241" i="6" s="1"/>
  <c r="F233" i="6"/>
  <c r="X233" i="6" s="1"/>
  <c r="F225" i="6"/>
  <c r="X225" i="6" s="1"/>
  <c r="F217" i="6"/>
  <c r="X217" i="6" s="1"/>
  <c r="F209" i="6"/>
  <c r="X209" i="6" s="1"/>
  <c r="F201" i="6"/>
  <c r="X201" i="6" s="1"/>
  <c r="F193" i="6"/>
  <c r="X193" i="6" s="1"/>
  <c r="F185" i="6"/>
  <c r="X185" i="6" s="1"/>
  <c r="F177" i="6"/>
  <c r="X177" i="6" s="1"/>
  <c r="F169" i="6"/>
  <c r="X169" i="6" s="1"/>
  <c r="F161" i="6"/>
  <c r="X161" i="6" s="1"/>
  <c r="F153" i="6"/>
  <c r="X153" i="6" s="1"/>
  <c r="F145" i="6"/>
  <c r="X145" i="6" s="1"/>
  <c r="F137" i="6"/>
  <c r="X137" i="6" s="1"/>
  <c r="F129" i="6"/>
  <c r="X129" i="6" s="1"/>
  <c r="F121" i="6"/>
  <c r="X121" i="6" s="1"/>
  <c r="F113" i="6"/>
  <c r="X113" i="6" s="1"/>
  <c r="F105" i="6"/>
  <c r="X105" i="6" s="1"/>
  <c r="F97" i="6"/>
  <c r="X97" i="6" s="1"/>
  <c r="F89" i="6"/>
  <c r="X89" i="6" s="1"/>
  <c r="F81" i="6"/>
  <c r="X81" i="6" s="1"/>
  <c r="F17" i="6"/>
  <c r="X17" i="6" s="1"/>
  <c r="F596" i="6"/>
  <c r="X596" i="6" s="1"/>
  <c r="F564" i="6"/>
  <c r="X564" i="6" s="1"/>
  <c r="F516" i="6"/>
  <c r="X516" i="6" s="1"/>
  <c r="F476" i="6"/>
  <c r="X476" i="6" s="1"/>
  <c r="F420" i="6"/>
  <c r="X420" i="6" s="1"/>
  <c r="F372" i="6"/>
  <c r="X372" i="6" s="1"/>
  <c r="F324" i="6"/>
  <c r="X324" i="6" s="1"/>
  <c r="F300" i="6"/>
  <c r="X300" i="6" s="1"/>
  <c r="F236" i="6"/>
  <c r="X236" i="6" s="1"/>
  <c r="F196" i="6"/>
  <c r="X196" i="6" s="1"/>
  <c r="F116" i="6"/>
  <c r="X116" i="6" s="1"/>
  <c r="F600" i="6"/>
  <c r="X600" i="6" s="1"/>
  <c r="F592" i="6"/>
  <c r="X592" i="6" s="1"/>
  <c r="F584" i="6"/>
  <c r="X584" i="6" s="1"/>
  <c r="F576" i="6"/>
  <c r="X576" i="6" s="1"/>
  <c r="F568" i="6"/>
  <c r="X568" i="6" s="1"/>
  <c r="F560" i="6"/>
  <c r="X560" i="6" s="1"/>
  <c r="F552" i="6"/>
  <c r="X552" i="6" s="1"/>
  <c r="F544" i="6"/>
  <c r="X544" i="6" s="1"/>
  <c r="F536" i="6"/>
  <c r="X536" i="6" s="1"/>
  <c r="F528" i="6"/>
  <c r="X528" i="6" s="1"/>
  <c r="F520" i="6"/>
  <c r="X520" i="6" s="1"/>
  <c r="F512" i="6"/>
  <c r="X512" i="6" s="1"/>
  <c r="F504" i="6"/>
  <c r="X504" i="6" s="1"/>
  <c r="F496" i="6"/>
  <c r="X496" i="6" s="1"/>
  <c r="F488" i="6"/>
  <c r="X488" i="6" s="1"/>
  <c r="F480" i="6"/>
  <c r="X480" i="6" s="1"/>
  <c r="F472" i="6"/>
  <c r="X472" i="6" s="1"/>
  <c r="F464" i="6"/>
  <c r="X464" i="6" s="1"/>
  <c r="F456" i="6"/>
  <c r="X456" i="6" s="1"/>
  <c r="F448" i="6"/>
  <c r="X448" i="6" s="1"/>
  <c r="F440" i="6"/>
  <c r="X440" i="6" s="1"/>
  <c r="F432" i="6"/>
  <c r="X432" i="6" s="1"/>
  <c r="F424" i="6"/>
  <c r="X424" i="6" s="1"/>
  <c r="F416" i="6"/>
  <c r="X416" i="6" s="1"/>
  <c r="F408" i="6"/>
  <c r="X408" i="6" s="1"/>
  <c r="F400" i="6"/>
  <c r="X400" i="6" s="1"/>
  <c r="F392" i="6"/>
  <c r="X392" i="6" s="1"/>
  <c r="F384" i="6"/>
  <c r="X384" i="6" s="1"/>
  <c r="F376" i="6"/>
  <c r="X376" i="6" s="1"/>
  <c r="F368" i="6"/>
  <c r="X368" i="6" s="1"/>
  <c r="F360" i="6"/>
  <c r="X360" i="6" s="1"/>
  <c r="F352" i="6"/>
  <c r="X352" i="6" s="1"/>
  <c r="F344" i="6"/>
  <c r="X344" i="6" s="1"/>
  <c r="F336" i="6"/>
  <c r="X336" i="6" s="1"/>
  <c r="F328" i="6"/>
  <c r="X328" i="6" s="1"/>
  <c r="F320" i="6"/>
  <c r="X320" i="6" s="1"/>
  <c r="F312" i="6"/>
  <c r="X312" i="6" s="1"/>
  <c r="F304" i="6"/>
  <c r="X304" i="6" s="1"/>
  <c r="F296" i="6"/>
  <c r="X296" i="6" s="1"/>
  <c r="F288" i="6"/>
  <c r="X288" i="6" s="1"/>
  <c r="F280" i="6"/>
  <c r="X280" i="6" s="1"/>
  <c r="F272" i="6"/>
  <c r="X272" i="6" s="1"/>
  <c r="F264" i="6"/>
  <c r="X264" i="6" s="1"/>
  <c r="F256" i="6"/>
  <c r="X256" i="6" s="1"/>
  <c r="F248" i="6"/>
  <c r="X248" i="6" s="1"/>
  <c r="F240" i="6"/>
  <c r="X240" i="6" s="1"/>
  <c r="F232" i="6"/>
  <c r="X232" i="6" s="1"/>
  <c r="F224" i="6"/>
  <c r="X224" i="6" s="1"/>
  <c r="F216" i="6"/>
  <c r="X216" i="6" s="1"/>
  <c r="F208" i="6"/>
  <c r="X208" i="6" s="1"/>
  <c r="F200" i="6"/>
  <c r="X200" i="6" s="1"/>
  <c r="F192" i="6"/>
  <c r="X192" i="6" s="1"/>
  <c r="F184" i="6"/>
  <c r="X184" i="6" s="1"/>
  <c r="F176" i="6"/>
  <c r="X176" i="6" s="1"/>
  <c r="F168" i="6"/>
  <c r="X168" i="6" s="1"/>
  <c r="F160" i="6"/>
  <c r="X160" i="6" s="1"/>
  <c r="F152" i="6"/>
  <c r="X152" i="6" s="1"/>
  <c r="F144" i="6"/>
  <c r="X144" i="6" s="1"/>
  <c r="F136" i="6"/>
  <c r="X136" i="6" s="1"/>
  <c r="F128" i="6"/>
  <c r="X128" i="6" s="1"/>
  <c r="F120" i="6"/>
  <c r="X120" i="6" s="1"/>
  <c r="F112" i="6"/>
  <c r="X112" i="6" s="1"/>
  <c r="F104" i="6"/>
  <c r="X104" i="6" s="1"/>
  <c r="F96" i="6"/>
  <c r="X96" i="6" s="1"/>
  <c r="F88" i="6"/>
  <c r="X88" i="6" s="1"/>
  <c r="F73" i="6"/>
  <c r="X73" i="6" s="1"/>
  <c r="F9" i="6"/>
  <c r="X9" i="6" s="1"/>
  <c r="F580" i="6"/>
  <c r="X580" i="6" s="1"/>
  <c r="F532" i="6"/>
  <c r="X532" i="6" s="1"/>
  <c r="F492" i="6"/>
  <c r="X492" i="6" s="1"/>
  <c r="F444" i="6"/>
  <c r="X444" i="6" s="1"/>
  <c r="F396" i="6"/>
  <c r="X396" i="6" s="1"/>
  <c r="F348" i="6"/>
  <c r="X348" i="6" s="1"/>
  <c r="F292" i="6"/>
  <c r="X292" i="6" s="1"/>
  <c r="F244" i="6"/>
  <c r="X244" i="6" s="1"/>
  <c r="F180" i="6"/>
  <c r="X180" i="6" s="1"/>
  <c r="F140" i="6"/>
  <c r="X140" i="6" s="1"/>
  <c r="F41" i="6"/>
  <c r="X41" i="6" s="1"/>
  <c r="F599" i="6"/>
  <c r="X599" i="6" s="1"/>
  <c r="F591" i="6"/>
  <c r="X591" i="6" s="1"/>
  <c r="F583" i="6"/>
  <c r="X583" i="6" s="1"/>
  <c r="F575" i="6"/>
  <c r="X575" i="6" s="1"/>
  <c r="F567" i="6"/>
  <c r="X567" i="6" s="1"/>
  <c r="F559" i="6"/>
  <c r="X559" i="6" s="1"/>
  <c r="F551" i="6"/>
  <c r="X551" i="6" s="1"/>
  <c r="F543" i="6"/>
  <c r="X543" i="6" s="1"/>
  <c r="F535" i="6"/>
  <c r="X535" i="6" s="1"/>
  <c r="F527" i="6"/>
  <c r="X527" i="6" s="1"/>
  <c r="F519" i="6"/>
  <c r="X519" i="6" s="1"/>
  <c r="F511" i="6"/>
  <c r="X511" i="6" s="1"/>
  <c r="F503" i="6"/>
  <c r="X503" i="6" s="1"/>
  <c r="F495" i="6"/>
  <c r="X495" i="6" s="1"/>
  <c r="F487" i="6"/>
  <c r="X487" i="6" s="1"/>
  <c r="F479" i="6"/>
  <c r="X479" i="6" s="1"/>
  <c r="F471" i="6"/>
  <c r="X471" i="6" s="1"/>
  <c r="F463" i="6"/>
  <c r="X463" i="6" s="1"/>
  <c r="F455" i="6"/>
  <c r="X455" i="6" s="1"/>
  <c r="F447" i="6"/>
  <c r="X447" i="6" s="1"/>
  <c r="F439" i="6"/>
  <c r="X439" i="6" s="1"/>
  <c r="F431" i="6"/>
  <c r="X431" i="6" s="1"/>
  <c r="F423" i="6"/>
  <c r="X423" i="6" s="1"/>
  <c r="F415" i="6"/>
  <c r="X415" i="6" s="1"/>
  <c r="F407" i="6"/>
  <c r="X407" i="6" s="1"/>
  <c r="F399" i="6"/>
  <c r="X399" i="6" s="1"/>
  <c r="F391" i="6"/>
  <c r="X391" i="6" s="1"/>
  <c r="F383" i="6"/>
  <c r="X383" i="6" s="1"/>
  <c r="F375" i="6"/>
  <c r="X375" i="6" s="1"/>
  <c r="F367" i="6"/>
  <c r="X367" i="6" s="1"/>
  <c r="F359" i="6"/>
  <c r="X359" i="6" s="1"/>
  <c r="F351" i="6"/>
  <c r="X351" i="6" s="1"/>
  <c r="F343" i="6"/>
  <c r="X343" i="6" s="1"/>
  <c r="F335" i="6"/>
  <c r="X335" i="6" s="1"/>
  <c r="F327" i="6"/>
  <c r="X327" i="6" s="1"/>
  <c r="F319" i="6"/>
  <c r="X319" i="6" s="1"/>
  <c r="F311" i="6"/>
  <c r="X311" i="6" s="1"/>
  <c r="F303" i="6"/>
  <c r="X303" i="6" s="1"/>
  <c r="F295" i="6"/>
  <c r="X295" i="6" s="1"/>
  <c r="F287" i="6"/>
  <c r="X287" i="6" s="1"/>
  <c r="F279" i="6"/>
  <c r="X279" i="6" s="1"/>
  <c r="F271" i="6"/>
  <c r="X271" i="6" s="1"/>
  <c r="F263" i="6"/>
  <c r="X263" i="6" s="1"/>
  <c r="F255" i="6"/>
  <c r="X255" i="6" s="1"/>
  <c r="F247" i="6"/>
  <c r="X247" i="6" s="1"/>
  <c r="F239" i="6"/>
  <c r="X239" i="6" s="1"/>
  <c r="F231" i="6"/>
  <c r="X231" i="6" s="1"/>
  <c r="F223" i="6"/>
  <c r="X223" i="6" s="1"/>
  <c r="F215" i="6"/>
  <c r="X215" i="6" s="1"/>
  <c r="F207" i="6"/>
  <c r="X207" i="6" s="1"/>
  <c r="F199" i="6"/>
  <c r="X199" i="6" s="1"/>
  <c r="F191" i="6"/>
  <c r="X191" i="6" s="1"/>
  <c r="F183" i="6"/>
  <c r="X183" i="6" s="1"/>
  <c r="F175" i="6"/>
  <c r="X175" i="6" s="1"/>
  <c r="F167" i="6"/>
  <c r="X167" i="6" s="1"/>
  <c r="F159" i="6"/>
  <c r="X159" i="6" s="1"/>
  <c r="F151" i="6"/>
  <c r="X151" i="6" s="1"/>
  <c r="F143" i="6"/>
  <c r="X143" i="6" s="1"/>
  <c r="F135" i="6"/>
  <c r="X135" i="6" s="1"/>
  <c r="F127" i="6"/>
  <c r="X127" i="6" s="1"/>
  <c r="F119" i="6"/>
  <c r="X119" i="6" s="1"/>
  <c r="F111" i="6"/>
  <c r="X111" i="6" s="1"/>
  <c r="F103" i="6"/>
  <c r="X103" i="6" s="1"/>
  <c r="F95" i="6"/>
  <c r="X95" i="6" s="1"/>
  <c r="F87" i="6"/>
  <c r="X87" i="6" s="1"/>
  <c r="E2" i="6"/>
  <c r="F2" i="6" s="1"/>
  <c r="F10" i="6"/>
  <c r="X10" i="6" s="1"/>
  <c r="F18" i="6"/>
  <c r="X18" i="6" s="1"/>
  <c r="F26" i="6"/>
  <c r="X26" i="6" s="1"/>
  <c r="F34" i="6"/>
  <c r="X34" i="6" s="1"/>
  <c r="F42" i="6"/>
  <c r="X42" i="6" s="1"/>
  <c r="F50" i="6"/>
  <c r="X50" i="6" s="1"/>
  <c r="F58" i="6"/>
  <c r="X58" i="6" s="1"/>
  <c r="F66" i="6"/>
  <c r="X66" i="6" s="1"/>
  <c r="F74" i="6"/>
  <c r="X74" i="6" s="1"/>
  <c r="F3" i="6"/>
  <c r="X3" i="6" s="1"/>
  <c r="F11" i="6"/>
  <c r="X11" i="6" s="1"/>
  <c r="F19" i="6"/>
  <c r="X19" i="6" s="1"/>
  <c r="F27" i="6"/>
  <c r="X27" i="6" s="1"/>
  <c r="F35" i="6"/>
  <c r="X35" i="6" s="1"/>
  <c r="F43" i="6"/>
  <c r="X43" i="6" s="1"/>
  <c r="F51" i="6"/>
  <c r="X51" i="6" s="1"/>
  <c r="F59" i="6"/>
  <c r="X59" i="6" s="1"/>
  <c r="F67" i="6"/>
  <c r="X67" i="6" s="1"/>
  <c r="F75" i="6"/>
  <c r="X75" i="6" s="1"/>
  <c r="F4" i="6"/>
  <c r="X4" i="6" s="1"/>
  <c r="F12" i="6"/>
  <c r="X12" i="6" s="1"/>
  <c r="F20" i="6"/>
  <c r="X20" i="6" s="1"/>
  <c r="F28" i="6"/>
  <c r="X28" i="6" s="1"/>
  <c r="F36" i="6"/>
  <c r="X36" i="6" s="1"/>
  <c r="F44" i="6"/>
  <c r="X44" i="6" s="1"/>
  <c r="F52" i="6"/>
  <c r="X52" i="6" s="1"/>
  <c r="F60" i="6"/>
  <c r="X60" i="6" s="1"/>
  <c r="F68" i="6"/>
  <c r="X68" i="6" s="1"/>
  <c r="F76" i="6"/>
  <c r="X76" i="6" s="1"/>
  <c r="F5" i="6"/>
  <c r="X5" i="6" s="1"/>
  <c r="F13" i="6"/>
  <c r="X13" i="6" s="1"/>
  <c r="F21" i="6"/>
  <c r="X21" i="6" s="1"/>
  <c r="F29" i="6"/>
  <c r="X29" i="6" s="1"/>
  <c r="F37" i="6"/>
  <c r="X37" i="6" s="1"/>
  <c r="F45" i="6"/>
  <c r="X45" i="6" s="1"/>
  <c r="F53" i="6"/>
  <c r="X53" i="6" s="1"/>
  <c r="F61" i="6"/>
  <c r="X61" i="6" s="1"/>
  <c r="F69" i="6"/>
  <c r="X69" i="6" s="1"/>
  <c r="F77" i="6"/>
  <c r="X77" i="6" s="1"/>
  <c r="F6" i="6"/>
  <c r="X6" i="6" s="1"/>
  <c r="F14" i="6"/>
  <c r="X14" i="6" s="1"/>
  <c r="F22" i="6"/>
  <c r="X22" i="6" s="1"/>
  <c r="F30" i="6"/>
  <c r="X30" i="6" s="1"/>
  <c r="F38" i="6"/>
  <c r="X38" i="6" s="1"/>
  <c r="F46" i="6"/>
  <c r="X46" i="6" s="1"/>
  <c r="F54" i="6"/>
  <c r="X54" i="6" s="1"/>
  <c r="F62" i="6"/>
  <c r="X62" i="6" s="1"/>
  <c r="F70" i="6"/>
  <c r="X70" i="6" s="1"/>
  <c r="F78" i="6"/>
  <c r="X78" i="6" s="1"/>
  <c r="F7" i="6"/>
  <c r="X7" i="6" s="1"/>
  <c r="F15" i="6"/>
  <c r="X15" i="6" s="1"/>
  <c r="F23" i="6"/>
  <c r="X23" i="6" s="1"/>
  <c r="F31" i="6"/>
  <c r="X31" i="6" s="1"/>
  <c r="F39" i="6"/>
  <c r="X39" i="6" s="1"/>
  <c r="F47" i="6"/>
  <c r="X47" i="6" s="1"/>
  <c r="F55" i="6"/>
  <c r="X55" i="6" s="1"/>
  <c r="F63" i="6"/>
  <c r="X63" i="6" s="1"/>
  <c r="F71" i="6"/>
  <c r="X71" i="6" s="1"/>
  <c r="F79" i="6"/>
  <c r="X79" i="6" s="1"/>
  <c r="F8" i="6"/>
  <c r="X8" i="6" s="1"/>
  <c r="F16" i="6"/>
  <c r="X16" i="6" s="1"/>
  <c r="F24" i="6"/>
  <c r="X24" i="6" s="1"/>
  <c r="F32" i="6"/>
  <c r="X32" i="6" s="1"/>
  <c r="F40" i="6"/>
  <c r="X40" i="6" s="1"/>
  <c r="F48" i="6"/>
  <c r="X48" i="6" s="1"/>
  <c r="F56" i="6"/>
  <c r="X56" i="6" s="1"/>
  <c r="F64" i="6"/>
  <c r="X64" i="6" s="1"/>
  <c r="F72" i="6"/>
  <c r="X72" i="6" s="1"/>
  <c r="F80" i="6"/>
  <c r="X80" i="6" s="1"/>
  <c r="F556" i="6"/>
  <c r="X556" i="6" s="1"/>
  <c r="F500" i="6"/>
  <c r="X500" i="6" s="1"/>
  <c r="F460" i="6"/>
  <c r="X460" i="6" s="1"/>
  <c r="F380" i="6"/>
  <c r="X380" i="6" s="1"/>
  <c r="F340" i="6"/>
  <c r="X340" i="6" s="1"/>
  <c r="F260" i="6"/>
  <c r="X260" i="6" s="1"/>
  <c r="F228" i="6"/>
  <c r="X228" i="6" s="1"/>
  <c r="F172" i="6"/>
  <c r="X172" i="6" s="1"/>
  <c r="F148" i="6"/>
  <c r="X148" i="6" s="1"/>
  <c r="F100" i="6"/>
  <c r="X100" i="6" s="1"/>
  <c r="F92" i="6"/>
  <c r="X92" i="6" s="1"/>
  <c r="F598" i="6"/>
  <c r="X598" i="6" s="1"/>
  <c r="F590" i="6"/>
  <c r="X590" i="6" s="1"/>
  <c r="F582" i="6"/>
  <c r="X582" i="6" s="1"/>
  <c r="F574" i="6"/>
  <c r="X574" i="6" s="1"/>
  <c r="F566" i="6"/>
  <c r="X566" i="6" s="1"/>
  <c r="F558" i="6"/>
  <c r="X558" i="6" s="1"/>
  <c r="F550" i="6"/>
  <c r="X550" i="6" s="1"/>
  <c r="F542" i="6"/>
  <c r="X542" i="6" s="1"/>
  <c r="F534" i="6"/>
  <c r="X534" i="6" s="1"/>
  <c r="F526" i="6"/>
  <c r="X526" i="6" s="1"/>
  <c r="F518" i="6"/>
  <c r="X518" i="6" s="1"/>
  <c r="F510" i="6"/>
  <c r="X510" i="6" s="1"/>
  <c r="F502" i="6"/>
  <c r="X502" i="6" s="1"/>
  <c r="F494" i="6"/>
  <c r="X494" i="6" s="1"/>
  <c r="F486" i="6"/>
  <c r="X486" i="6" s="1"/>
  <c r="F478" i="6"/>
  <c r="X478" i="6" s="1"/>
  <c r="F470" i="6"/>
  <c r="X470" i="6" s="1"/>
  <c r="F462" i="6"/>
  <c r="X462" i="6" s="1"/>
  <c r="F454" i="6"/>
  <c r="X454" i="6" s="1"/>
  <c r="F446" i="6"/>
  <c r="X446" i="6" s="1"/>
  <c r="F438" i="6"/>
  <c r="X438" i="6" s="1"/>
  <c r="F430" i="6"/>
  <c r="X430" i="6" s="1"/>
  <c r="F422" i="6"/>
  <c r="X422" i="6" s="1"/>
  <c r="F414" i="6"/>
  <c r="X414" i="6" s="1"/>
  <c r="F406" i="6"/>
  <c r="X406" i="6" s="1"/>
  <c r="F398" i="6"/>
  <c r="X398" i="6" s="1"/>
  <c r="F390" i="6"/>
  <c r="X390" i="6" s="1"/>
  <c r="F382" i="6"/>
  <c r="X382" i="6" s="1"/>
  <c r="F374" i="6"/>
  <c r="X374" i="6" s="1"/>
  <c r="F366" i="6"/>
  <c r="X366" i="6" s="1"/>
  <c r="F358" i="6"/>
  <c r="X358" i="6" s="1"/>
  <c r="F350" i="6"/>
  <c r="X350" i="6" s="1"/>
  <c r="F342" i="6"/>
  <c r="X342" i="6" s="1"/>
  <c r="F334" i="6"/>
  <c r="X334" i="6" s="1"/>
  <c r="F326" i="6"/>
  <c r="X326" i="6" s="1"/>
  <c r="F318" i="6"/>
  <c r="X318" i="6" s="1"/>
  <c r="F310" i="6"/>
  <c r="X310" i="6" s="1"/>
  <c r="F302" i="6"/>
  <c r="X302" i="6" s="1"/>
  <c r="F294" i="6"/>
  <c r="X294" i="6" s="1"/>
  <c r="F286" i="6"/>
  <c r="X286" i="6" s="1"/>
  <c r="F278" i="6"/>
  <c r="X278" i="6" s="1"/>
  <c r="F270" i="6"/>
  <c r="X270" i="6" s="1"/>
  <c r="F262" i="6"/>
  <c r="X262" i="6" s="1"/>
  <c r="F254" i="6"/>
  <c r="X254" i="6" s="1"/>
  <c r="F246" i="6"/>
  <c r="X246" i="6" s="1"/>
  <c r="F238" i="6"/>
  <c r="X238" i="6" s="1"/>
  <c r="F230" i="6"/>
  <c r="X230" i="6" s="1"/>
  <c r="F222" i="6"/>
  <c r="X222" i="6" s="1"/>
  <c r="F214" i="6"/>
  <c r="X214" i="6" s="1"/>
  <c r="F206" i="6"/>
  <c r="X206" i="6" s="1"/>
  <c r="F198" i="6"/>
  <c r="X198" i="6" s="1"/>
  <c r="F190" i="6"/>
  <c r="X190" i="6" s="1"/>
  <c r="F182" i="6"/>
  <c r="X182" i="6" s="1"/>
  <c r="F174" i="6"/>
  <c r="X174" i="6" s="1"/>
  <c r="F166" i="6"/>
  <c r="X166" i="6" s="1"/>
  <c r="F158" i="6"/>
  <c r="X158" i="6" s="1"/>
  <c r="F150" i="6"/>
  <c r="X150" i="6" s="1"/>
  <c r="F142" i="6"/>
  <c r="X142" i="6" s="1"/>
  <c r="F134" i="6"/>
  <c r="X134" i="6" s="1"/>
  <c r="F126" i="6"/>
  <c r="X126" i="6" s="1"/>
  <c r="F118" i="6"/>
  <c r="X118" i="6" s="1"/>
  <c r="F110" i="6"/>
  <c r="X110" i="6" s="1"/>
  <c r="F102" i="6"/>
  <c r="X102" i="6" s="1"/>
  <c r="F94" i="6"/>
  <c r="X94" i="6" s="1"/>
  <c r="F86" i="6"/>
  <c r="X86" i="6" s="1"/>
  <c r="F57" i="6"/>
  <c r="X57" i="6" s="1"/>
  <c r="F572" i="6"/>
  <c r="X572" i="6" s="1"/>
  <c r="F524" i="6"/>
  <c r="X524" i="6" s="1"/>
  <c r="F484" i="6"/>
  <c r="X484" i="6" s="1"/>
  <c r="F436" i="6"/>
  <c r="X436" i="6" s="1"/>
  <c r="F412" i="6"/>
  <c r="X412" i="6" s="1"/>
  <c r="F356" i="6"/>
  <c r="X356" i="6" s="1"/>
  <c r="F308" i="6"/>
  <c r="X308" i="6" s="1"/>
  <c r="F276" i="6"/>
  <c r="X276" i="6" s="1"/>
  <c r="F212" i="6"/>
  <c r="X212" i="6" s="1"/>
  <c r="F156" i="6"/>
  <c r="X156" i="6" s="1"/>
  <c r="F108" i="6"/>
  <c r="X108" i="6" s="1"/>
  <c r="F597" i="6"/>
  <c r="X597" i="6" s="1"/>
  <c r="F589" i="6"/>
  <c r="X589" i="6" s="1"/>
  <c r="F581" i="6"/>
  <c r="X581" i="6" s="1"/>
  <c r="F573" i="6"/>
  <c r="X573" i="6" s="1"/>
  <c r="F565" i="6"/>
  <c r="X565" i="6" s="1"/>
  <c r="F557" i="6"/>
  <c r="X557" i="6" s="1"/>
  <c r="F549" i="6"/>
  <c r="X549" i="6" s="1"/>
  <c r="F541" i="6"/>
  <c r="X541" i="6" s="1"/>
  <c r="F533" i="6"/>
  <c r="X533" i="6" s="1"/>
  <c r="F525" i="6"/>
  <c r="X525" i="6" s="1"/>
  <c r="F517" i="6"/>
  <c r="X517" i="6" s="1"/>
  <c r="F509" i="6"/>
  <c r="X509" i="6" s="1"/>
  <c r="F501" i="6"/>
  <c r="X501" i="6" s="1"/>
  <c r="F493" i="6"/>
  <c r="X493" i="6" s="1"/>
  <c r="F485" i="6"/>
  <c r="X485" i="6" s="1"/>
  <c r="F477" i="6"/>
  <c r="X477" i="6" s="1"/>
  <c r="F469" i="6"/>
  <c r="X469" i="6" s="1"/>
  <c r="F461" i="6"/>
  <c r="X461" i="6" s="1"/>
  <c r="F453" i="6"/>
  <c r="X453" i="6" s="1"/>
  <c r="F445" i="6"/>
  <c r="X445" i="6" s="1"/>
  <c r="F437" i="6"/>
  <c r="X437" i="6" s="1"/>
  <c r="F429" i="6"/>
  <c r="X429" i="6" s="1"/>
  <c r="F421" i="6"/>
  <c r="X421" i="6" s="1"/>
  <c r="F413" i="6"/>
  <c r="X413" i="6" s="1"/>
  <c r="F405" i="6"/>
  <c r="X405" i="6" s="1"/>
  <c r="F397" i="6"/>
  <c r="X397" i="6" s="1"/>
  <c r="F389" i="6"/>
  <c r="X389" i="6" s="1"/>
  <c r="F381" i="6"/>
  <c r="X381" i="6" s="1"/>
  <c r="F373" i="6"/>
  <c r="X373" i="6" s="1"/>
  <c r="F365" i="6"/>
  <c r="X365" i="6" s="1"/>
  <c r="F357" i="6"/>
  <c r="X357" i="6" s="1"/>
  <c r="F349" i="6"/>
  <c r="X349" i="6" s="1"/>
  <c r="F341" i="6"/>
  <c r="X341" i="6" s="1"/>
  <c r="F333" i="6"/>
  <c r="X333" i="6" s="1"/>
  <c r="F325" i="6"/>
  <c r="X325" i="6" s="1"/>
  <c r="F317" i="6"/>
  <c r="X317" i="6" s="1"/>
  <c r="F309" i="6"/>
  <c r="X309" i="6" s="1"/>
  <c r="F301" i="6"/>
  <c r="X301" i="6" s="1"/>
  <c r="F293" i="6"/>
  <c r="X293" i="6" s="1"/>
  <c r="F285" i="6"/>
  <c r="X285" i="6" s="1"/>
  <c r="F277" i="6"/>
  <c r="X277" i="6" s="1"/>
  <c r="F269" i="6"/>
  <c r="X269" i="6" s="1"/>
  <c r="F261" i="6"/>
  <c r="X261" i="6" s="1"/>
  <c r="F253" i="6"/>
  <c r="X253" i="6" s="1"/>
  <c r="F245" i="6"/>
  <c r="X245" i="6" s="1"/>
  <c r="F237" i="6"/>
  <c r="X237" i="6" s="1"/>
  <c r="F229" i="6"/>
  <c r="X229" i="6" s="1"/>
  <c r="F221" i="6"/>
  <c r="X221" i="6" s="1"/>
  <c r="F213" i="6"/>
  <c r="X213" i="6" s="1"/>
  <c r="F205" i="6"/>
  <c r="X205" i="6" s="1"/>
  <c r="F197" i="6"/>
  <c r="X197" i="6" s="1"/>
  <c r="F189" i="6"/>
  <c r="X189" i="6" s="1"/>
  <c r="F181" i="6"/>
  <c r="X181" i="6" s="1"/>
  <c r="F173" i="6"/>
  <c r="X173" i="6" s="1"/>
  <c r="F165" i="6"/>
  <c r="X165" i="6" s="1"/>
  <c r="F157" i="6"/>
  <c r="X157" i="6" s="1"/>
  <c r="F149" i="6"/>
  <c r="X149" i="6" s="1"/>
  <c r="F141" i="6"/>
  <c r="X141" i="6" s="1"/>
  <c r="F133" i="6"/>
  <c r="X133" i="6" s="1"/>
  <c r="F125" i="6"/>
  <c r="X125" i="6" s="1"/>
  <c r="F117" i="6"/>
  <c r="X117" i="6" s="1"/>
  <c r="F109" i="6"/>
  <c r="X109" i="6" s="1"/>
  <c r="F101" i="6"/>
  <c r="X101" i="6" s="1"/>
  <c r="F93" i="6"/>
  <c r="X93" i="6" s="1"/>
  <c r="F85" i="6"/>
  <c r="X85" i="6" s="1"/>
  <c r="F49" i="6"/>
  <c r="X49" i="6" s="1"/>
  <c r="L565" i="3"/>
  <c r="L339" i="3"/>
  <c r="M339" i="3" s="1"/>
  <c r="M567" i="3"/>
  <c r="L599" i="3"/>
  <c r="L591" i="3"/>
  <c r="M591" i="3" s="1"/>
  <c r="L583" i="3"/>
  <c r="M583" i="3" s="1"/>
  <c r="L575" i="3"/>
  <c r="M575" i="3" s="1"/>
  <c r="L567" i="3"/>
  <c r="L559" i="3"/>
  <c r="L551" i="3"/>
  <c r="L543" i="3"/>
  <c r="M543" i="3" s="1"/>
  <c r="L535" i="3"/>
  <c r="L527" i="3"/>
  <c r="M527" i="3" s="1"/>
  <c r="L519" i="3"/>
  <c r="M519" i="3" s="1"/>
  <c r="L511" i="3"/>
  <c r="M511" i="3" s="1"/>
  <c r="L503" i="3"/>
  <c r="L495" i="3"/>
  <c r="L487" i="3"/>
  <c r="L479" i="3"/>
  <c r="M479" i="3" s="1"/>
  <c r="L471" i="3"/>
  <c r="L463" i="3"/>
  <c r="L455" i="3"/>
  <c r="M455" i="3" s="1"/>
  <c r="L447" i="3"/>
  <c r="M447" i="3" s="1"/>
  <c r="L439" i="3"/>
  <c r="M439" i="3" s="1"/>
  <c r="L431" i="3"/>
  <c r="L423" i="3"/>
  <c r="L415" i="3"/>
  <c r="M415" i="3" s="1"/>
  <c r="L407" i="3"/>
  <c r="L399" i="3"/>
  <c r="M399" i="3" s="1"/>
  <c r="L391" i="3"/>
  <c r="M391" i="3" s="1"/>
  <c r="L383" i="3"/>
  <c r="M383" i="3" s="1"/>
  <c r="L375" i="3"/>
  <c r="L367" i="3"/>
  <c r="L359" i="3"/>
  <c r="L351" i="3"/>
  <c r="L343" i="3"/>
  <c r="M343" i="3" s="1"/>
  <c r="L335" i="3"/>
  <c r="M335" i="3" s="1"/>
  <c r="L327" i="3"/>
  <c r="L319" i="3"/>
  <c r="M319" i="3" s="1"/>
  <c r="L311" i="3"/>
  <c r="L303" i="3"/>
  <c r="L295" i="3"/>
  <c r="M295" i="3" s="1"/>
  <c r="L287" i="3"/>
  <c r="L279" i="3"/>
  <c r="M279" i="3" s="1"/>
  <c r="L271" i="3"/>
  <c r="M271" i="3" s="1"/>
  <c r="M473" i="3"/>
  <c r="M495" i="3"/>
  <c r="M431" i="3"/>
  <c r="M158" i="3"/>
  <c r="N158" i="3" s="1"/>
  <c r="M599" i="3"/>
  <c r="M551" i="3"/>
  <c r="M503" i="3"/>
  <c r="M463" i="3"/>
  <c r="M375" i="3"/>
  <c r="M541" i="3"/>
  <c r="M525" i="3"/>
  <c r="M461" i="3"/>
  <c r="M437" i="3"/>
  <c r="M397" i="3"/>
  <c r="M285" i="3"/>
  <c r="M269" i="3"/>
  <c r="L597" i="3"/>
  <c r="L589" i="3"/>
  <c r="L581" i="3"/>
  <c r="M581" i="3" s="1"/>
  <c r="L573" i="3"/>
  <c r="M573" i="3" s="1"/>
  <c r="L557" i="3"/>
  <c r="M557" i="3" s="1"/>
  <c r="L549" i="3"/>
  <c r="M549" i="3" s="1"/>
  <c r="L541" i="3"/>
  <c r="L533" i="3"/>
  <c r="M533" i="3" s="1"/>
  <c r="L525" i="3"/>
  <c r="L517" i="3"/>
  <c r="M517" i="3" s="1"/>
  <c r="L509" i="3"/>
  <c r="M509" i="3" s="1"/>
  <c r="L493" i="3"/>
  <c r="M493" i="3" s="1"/>
  <c r="L485" i="3"/>
  <c r="M485" i="3" s="1"/>
  <c r="L477" i="3"/>
  <c r="M477" i="3" s="1"/>
  <c r="L469" i="3"/>
  <c r="M469" i="3" s="1"/>
  <c r="L461" i="3"/>
  <c r="L453" i="3"/>
  <c r="M453" i="3" s="1"/>
  <c r="L445" i="3"/>
  <c r="M445" i="3" s="1"/>
  <c r="L429" i="3"/>
  <c r="M429" i="3" s="1"/>
  <c r="L421" i="3"/>
  <c r="M421" i="3" s="1"/>
  <c r="L413" i="3"/>
  <c r="M413" i="3" s="1"/>
  <c r="L405" i="3"/>
  <c r="M405" i="3" s="1"/>
  <c r="L397" i="3"/>
  <c r="L389" i="3"/>
  <c r="M389" i="3" s="1"/>
  <c r="M471" i="3"/>
  <c r="M423" i="3"/>
  <c r="M359" i="3"/>
  <c r="M311" i="3"/>
  <c r="M565" i="3"/>
  <c r="M444" i="3"/>
  <c r="M396" i="3"/>
  <c r="M559" i="3"/>
  <c r="M407" i="3"/>
  <c r="M367" i="3"/>
  <c r="M327" i="3"/>
  <c r="M287" i="3"/>
  <c r="M597" i="3"/>
  <c r="M595" i="3"/>
  <c r="M523" i="3"/>
  <c r="M315" i="3"/>
  <c r="L371" i="3"/>
  <c r="M371" i="3" s="1"/>
  <c r="M535" i="3"/>
  <c r="M487" i="3"/>
  <c r="M351" i="3"/>
  <c r="M303" i="3"/>
  <c r="M589" i="3"/>
  <c r="C15" i="3"/>
  <c r="C44" i="3" s="1"/>
  <c r="L3" i="3"/>
  <c r="L53" i="3"/>
  <c r="M53" i="3" s="1"/>
  <c r="L117" i="3"/>
  <c r="L181" i="3"/>
  <c r="M181" i="3" s="1"/>
  <c r="L245" i="3"/>
  <c r="M245" i="3" s="1"/>
  <c r="L307" i="3"/>
  <c r="M307" i="3" s="1"/>
  <c r="M482" i="3"/>
  <c r="M434" i="3"/>
  <c r="N434" i="3" s="1"/>
  <c r="L501" i="3"/>
  <c r="M501" i="3" s="1"/>
  <c r="L598" i="3"/>
  <c r="M598" i="3" s="1"/>
  <c r="L590" i="3"/>
  <c r="M590" i="3" s="1"/>
  <c r="L582" i="3"/>
  <c r="M582" i="3" s="1"/>
  <c r="N582" i="3" s="1"/>
  <c r="L574" i="3"/>
  <c r="M574" i="3" s="1"/>
  <c r="L566" i="3"/>
  <c r="M566" i="3" s="1"/>
  <c r="L558" i="3"/>
  <c r="M558" i="3" s="1"/>
  <c r="L550" i="3"/>
  <c r="M550" i="3" s="1"/>
  <c r="L542" i="3"/>
  <c r="M542" i="3" s="1"/>
  <c r="O542" i="3" s="1"/>
  <c r="P542" i="3" s="1"/>
  <c r="Q542" i="3" s="1"/>
  <c r="L534" i="3"/>
  <c r="M534" i="3" s="1"/>
  <c r="L526" i="3"/>
  <c r="M526" i="3" s="1"/>
  <c r="L518" i="3"/>
  <c r="M518" i="3" s="1"/>
  <c r="L510" i="3"/>
  <c r="M510" i="3" s="1"/>
  <c r="L502" i="3"/>
  <c r="M502" i="3" s="1"/>
  <c r="L494" i="3"/>
  <c r="M494" i="3" s="1"/>
  <c r="L486" i="3"/>
  <c r="M486" i="3" s="1"/>
  <c r="O486" i="3" s="1"/>
  <c r="P486" i="3" s="1"/>
  <c r="Q486" i="3" s="1"/>
  <c r="L478" i="3"/>
  <c r="M478" i="3" s="1"/>
  <c r="N478" i="3" s="1"/>
  <c r="L470" i="3"/>
  <c r="M470" i="3" s="1"/>
  <c r="N470" i="3" s="1"/>
  <c r="L462" i="3"/>
  <c r="M462" i="3" s="1"/>
  <c r="L454" i="3"/>
  <c r="M454" i="3" s="1"/>
  <c r="O454" i="3" s="1"/>
  <c r="P454" i="3" s="1"/>
  <c r="Q454" i="3" s="1"/>
  <c r="L446" i="3"/>
  <c r="M446" i="3" s="1"/>
  <c r="L438" i="3"/>
  <c r="M438" i="3" s="1"/>
  <c r="L430" i="3"/>
  <c r="M430" i="3" s="1"/>
  <c r="L422" i="3"/>
  <c r="M422" i="3" s="1"/>
  <c r="L414" i="3"/>
  <c r="M414" i="3" s="1"/>
  <c r="O414" i="3" s="1"/>
  <c r="P414" i="3" s="1"/>
  <c r="Q414" i="3" s="1"/>
  <c r="L406" i="3"/>
  <c r="M406" i="3" s="1"/>
  <c r="L398" i="3"/>
  <c r="M398" i="3" s="1"/>
  <c r="N398" i="3" s="1"/>
  <c r="L390" i="3"/>
  <c r="M390" i="3" s="1"/>
  <c r="O390" i="3" s="1"/>
  <c r="P390" i="3" s="1"/>
  <c r="Q390" i="3" s="1"/>
  <c r="L382" i="3"/>
  <c r="M382" i="3" s="1"/>
  <c r="L374" i="3"/>
  <c r="M374" i="3" s="1"/>
  <c r="L366" i="3"/>
  <c r="M366" i="3" s="1"/>
  <c r="N366" i="3" s="1"/>
  <c r="L358" i="3"/>
  <c r="M358" i="3" s="1"/>
  <c r="L350" i="3"/>
  <c r="M350" i="3" s="1"/>
  <c r="L342" i="3"/>
  <c r="M342" i="3" s="1"/>
  <c r="O342" i="3" s="1"/>
  <c r="P342" i="3" s="1"/>
  <c r="Q342" i="3" s="1"/>
  <c r="L334" i="3"/>
  <c r="M334" i="3" s="1"/>
  <c r="L326" i="3"/>
  <c r="M326" i="3" s="1"/>
  <c r="L318" i="3"/>
  <c r="M318" i="3" s="1"/>
  <c r="L310" i="3"/>
  <c r="M310" i="3" s="1"/>
  <c r="O310" i="3" s="1"/>
  <c r="P310" i="3" s="1"/>
  <c r="Q310" i="3" s="1"/>
  <c r="L302" i="3"/>
  <c r="M302" i="3" s="1"/>
  <c r="L294" i="3"/>
  <c r="M294" i="3" s="1"/>
  <c r="L286" i="3"/>
  <c r="M286" i="3" s="1"/>
  <c r="N286" i="3" s="1"/>
  <c r="L278" i="3"/>
  <c r="M278" i="3" s="1"/>
  <c r="L270" i="3"/>
  <c r="M270" i="3" s="1"/>
  <c r="L262" i="3"/>
  <c r="M262" i="3" s="1"/>
  <c r="L254" i="3"/>
  <c r="M254" i="3" s="1"/>
  <c r="O254" i="3" s="1"/>
  <c r="P254" i="3" s="1"/>
  <c r="L246" i="3"/>
  <c r="M246" i="3" s="1"/>
  <c r="L238" i="3"/>
  <c r="M238" i="3" s="1"/>
  <c r="L230" i="3"/>
  <c r="M230" i="3" s="1"/>
  <c r="N230" i="3" s="1"/>
  <c r="L222" i="3"/>
  <c r="M222" i="3" s="1"/>
  <c r="L214" i="3"/>
  <c r="M214" i="3" s="1"/>
  <c r="O214" i="3" s="1"/>
  <c r="P214" i="3" s="1"/>
  <c r="Q214" i="3" s="1"/>
  <c r="L206" i="3"/>
  <c r="M206" i="3" s="1"/>
  <c r="L198" i="3"/>
  <c r="M198" i="3" s="1"/>
  <c r="L190" i="3"/>
  <c r="M190" i="3" s="1"/>
  <c r="L182" i="3"/>
  <c r="M182" i="3" s="1"/>
  <c r="L174" i="3"/>
  <c r="M174" i="3" s="1"/>
  <c r="L166" i="3"/>
  <c r="M166" i="3" s="1"/>
  <c r="L158" i="3"/>
  <c r="L150" i="3"/>
  <c r="M150" i="3" s="1"/>
  <c r="O150" i="3" s="1"/>
  <c r="P150" i="3" s="1"/>
  <c r="Q150" i="3" s="1"/>
  <c r="L142" i="3"/>
  <c r="M142" i="3" s="1"/>
  <c r="L134" i="3"/>
  <c r="M134" i="3" s="1"/>
  <c r="O134" i="3" s="1"/>
  <c r="P134" i="3" s="1"/>
  <c r="L126" i="3"/>
  <c r="M126" i="3" s="1"/>
  <c r="L118" i="3"/>
  <c r="M118" i="3" s="1"/>
  <c r="O118" i="3" s="1"/>
  <c r="P118" i="3" s="1"/>
  <c r="Q118" i="3" s="1"/>
  <c r="L110" i="3"/>
  <c r="M110" i="3" s="1"/>
  <c r="L102" i="3"/>
  <c r="M102" i="3" s="1"/>
  <c r="L94" i="3"/>
  <c r="M94" i="3" s="1"/>
  <c r="N94" i="3" s="1"/>
  <c r="L86" i="3"/>
  <c r="M86" i="3" s="1"/>
  <c r="L78" i="3"/>
  <c r="M78" i="3" s="1"/>
  <c r="L70" i="3"/>
  <c r="M70" i="3" s="1"/>
  <c r="N70" i="3" s="1"/>
  <c r="L62" i="3"/>
  <c r="M62" i="3" s="1"/>
  <c r="N62" i="3" s="1"/>
  <c r="L54" i="3"/>
  <c r="M54" i="3" s="1"/>
  <c r="L46" i="3"/>
  <c r="M46" i="3" s="1"/>
  <c r="L38" i="3"/>
  <c r="M38" i="3" s="1"/>
  <c r="L30" i="3"/>
  <c r="M30" i="3" s="1"/>
  <c r="L22" i="3"/>
  <c r="M22" i="3" s="1"/>
  <c r="O22" i="3" s="1"/>
  <c r="P22" i="3" s="1"/>
  <c r="Q22" i="3" s="1"/>
  <c r="L14" i="3"/>
  <c r="M14" i="3" s="1"/>
  <c r="L6" i="3"/>
  <c r="M6" i="3" s="1"/>
  <c r="M133" i="3"/>
  <c r="M117" i="3"/>
  <c r="M101" i="3"/>
  <c r="L381" i="3"/>
  <c r="M381" i="3" s="1"/>
  <c r="L373" i="3"/>
  <c r="M373" i="3" s="1"/>
  <c r="L365" i="3"/>
  <c r="M365" i="3" s="1"/>
  <c r="L357" i="3"/>
  <c r="M357" i="3" s="1"/>
  <c r="L349" i="3"/>
  <c r="M349" i="3" s="1"/>
  <c r="L341" i="3"/>
  <c r="M341" i="3" s="1"/>
  <c r="L333" i="3"/>
  <c r="M333" i="3" s="1"/>
  <c r="L325" i="3"/>
  <c r="M325" i="3" s="1"/>
  <c r="L317" i="3"/>
  <c r="M317" i="3" s="1"/>
  <c r="L309" i="3"/>
  <c r="M309" i="3" s="1"/>
  <c r="L301" i="3"/>
  <c r="M301" i="3" s="1"/>
  <c r="L293" i="3"/>
  <c r="M293" i="3" s="1"/>
  <c r="L285" i="3"/>
  <c r="L277" i="3"/>
  <c r="M277" i="3" s="1"/>
  <c r="L269" i="3"/>
  <c r="L261" i="3"/>
  <c r="M261" i="3" s="1"/>
  <c r="L253" i="3"/>
  <c r="M253" i="3" s="1"/>
  <c r="L237" i="3"/>
  <c r="M237" i="3" s="1"/>
  <c r="L229" i="3"/>
  <c r="M229" i="3" s="1"/>
  <c r="L221" i="3"/>
  <c r="M221" i="3" s="1"/>
  <c r="L213" i="3"/>
  <c r="M213" i="3" s="1"/>
  <c r="L205" i="3"/>
  <c r="M205" i="3" s="1"/>
  <c r="L197" i="3"/>
  <c r="M197" i="3" s="1"/>
  <c r="L189" i="3"/>
  <c r="M189" i="3" s="1"/>
  <c r="L173" i="3"/>
  <c r="M173" i="3" s="1"/>
  <c r="L165" i="3"/>
  <c r="M165" i="3" s="1"/>
  <c r="L157" i="3"/>
  <c r="M157" i="3" s="1"/>
  <c r="L149" i="3"/>
  <c r="M149" i="3" s="1"/>
  <c r="L141" i="3"/>
  <c r="M141" i="3" s="1"/>
  <c r="L133" i="3"/>
  <c r="L125" i="3"/>
  <c r="M125" i="3" s="1"/>
  <c r="L109" i="3"/>
  <c r="M109" i="3" s="1"/>
  <c r="L101" i="3"/>
  <c r="L93" i="3"/>
  <c r="M93" i="3" s="1"/>
  <c r="L85" i="3"/>
  <c r="M85" i="3" s="1"/>
  <c r="L77" i="3"/>
  <c r="M77" i="3" s="1"/>
  <c r="L69" i="3"/>
  <c r="M69" i="3" s="1"/>
  <c r="L61" i="3"/>
  <c r="M61" i="3" s="1"/>
  <c r="L45" i="3"/>
  <c r="M45" i="3" s="1"/>
  <c r="L37" i="3"/>
  <c r="M37" i="3" s="1"/>
  <c r="L29" i="3"/>
  <c r="M29" i="3" s="1"/>
  <c r="L21" i="3"/>
  <c r="M21" i="3" s="1"/>
  <c r="M20" i="3"/>
  <c r="M3" i="3"/>
  <c r="N3" i="3" s="1"/>
  <c r="L596" i="3"/>
  <c r="M596" i="3" s="1"/>
  <c r="L588" i="3"/>
  <c r="M588" i="3" s="1"/>
  <c r="L580" i="3"/>
  <c r="M580" i="3" s="1"/>
  <c r="L572" i="3"/>
  <c r="M572" i="3" s="1"/>
  <c r="L564" i="3"/>
  <c r="M564" i="3" s="1"/>
  <c r="L556" i="3"/>
  <c r="M556" i="3" s="1"/>
  <c r="L548" i="3"/>
  <c r="M548" i="3" s="1"/>
  <c r="L540" i="3"/>
  <c r="M540" i="3" s="1"/>
  <c r="L532" i="3"/>
  <c r="M532" i="3" s="1"/>
  <c r="L524" i="3"/>
  <c r="M524" i="3" s="1"/>
  <c r="L516" i="3"/>
  <c r="M516" i="3" s="1"/>
  <c r="L508" i="3"/>
  <c r="M508" i="3" s="1"/>
  <c r="L500" i="3"/>
  <c r="M500" i="3" s="1"/>
  <c r="L492" i="3"/>
  <c r="M492" i="3" s="1"/>
  <c r="L484" i="3"/>
  <c r="M484" i="3" s="1"/>
  <c r="L476" i="3"/>
  <c r="M476" i="3" s="1"/>
  <c r="L468" i="3"/>
  <c r="M468" i="3" s="1"/>
  <c r="L460" i="3"/>
  <c r="M460" i="3" s="1"/>
  <c r="L452" i="3"/>
  <c r="M452" i="3" s="1"/>
  <c r="L444" i="3"/>
  <c r="L436" i="3"/>
  <c r="M436" i="3" s="1"/>
  <c r="L428" i="3"/>
  <c r="M428" i="3" s="1"/>
  <c r="L420" i="3"/>
  <c r="M420" i="3" s="1"/>
  <c r="L412" i="3"/>
  <c r="M412" i="3" s="1"/>
  <c r="L404" i="3"/>
  <c r="M404" i="3" s="1"/>
  <c r="L396" i="3"/>
  <c r="L388" i="3"/>
  <c r="M388" i="3" s="1"/>
  <c r="L380" i="3"/>
  <c r="M380" i="3" s="1"/>
  <c r="L372" i="3"/>
  <c r="M372" i="3" s="1"/>
  <c r="L364" i="3"/>
  <c r="M364" i="3" s="1"/>
  <c r="L356" i="3"/>
  <c r="M356" i="3" s="1"/>
  <c r="L348" i="3"/>
  <c r="M348" i="3" s="1"/>
  <c r="L340" i="3"/>
  <c r="M340" i="3" s="1"/>
  <c r="L332" i="3"/>
  <c r="M332" i="3" s="1"/>
  <c r="L324" i="3"/>
  <c r="M324" i="3" s="1"/>
  <c r="L316" i="3"/>
  <c r="M316" i="3" s="1"/>
  <c r="L308" i="3"/>
  <c r="M308" i="3" s="1"/>
  <c r="L300" i="3"/>
  <c r="M300" i="3" s="1"/>
  <c r="L292" i="3"/>
  <c r="M292" i="3" s="1"/>
  <c r="L284" i="3"/>
  <c r="M284" i="3" s="1"/>
  <c r="L12" i="3"/>
  <c r="M12" i="3" s="1"/>
  <c r="M123" i="3"/>
  <c r="M107" i="3"/>
  <c r="L2" i="3"/>
  <c r="L595" i="3"/>
  <c r="L587" i="3"/>
  <c r="M587" i="3" s="1"/>
  <c r="L579" i="3"/>
  <c r="M579" i="3" s="1"/>
  <c r="L571" i="3"/>
  <c r="M571" i="3" s="1"/>
  <c r="L563" i="3"/>
  <c r="M563" i="3" s="1"/>
  <c r="L555" i="3"/>
  <c r="M555" i="3" s="1"/>
  <c r="L547" i="3"/>
  <c r="M547" i="3" s="1"/>
  <c r="L539" i="3"/>
  <c r="M539" i="3" s="1"/>
  <c r="L531" i="3"/>
  <c r="M531" i="3" s="1"/>
  <c r="L523" i="3"/>
  <c r="L515" i="3"/>
  <c r="M515" i="3" s="1"/>
  <c r="L507" i="3"/>
  <c r="M507" i="3" s="1"/>
  <c r="L499" i="3"/>
  <c r="M499" i="3" s="1"/>
  <c r="L491" i="3"/>
  <c r="M491" i="3" s="1"/>
  <c r="L483" i="3"/>
  <c r="M483" i="3" s="1"/>
  <c r="L475" i="3"/>
  <c r="M475" i="3" s="1"/>
  <c r="L467" i="3"/>
  <c r="M467" i="3" s="1"/>
  <c r="L459" i="3"/>
  <c r="M459" i="3" s="1"/>
  <c r="L451" i="3"/>
  <c r="M451" i="3" s="1"/>
  <c r="L443" i="3"/>
  <c r="M443" i="3" s="1"/>
  <c r="L435" i="3"/>
  <c r="M435" i="3" s="1"/>
  <c r="L427" i="3"/>
  <c r="M427" i="3" s="1"/>
  <c r="L419" i="3"/>
  <c r="M419" i="3" s="1"/>
  <c r="L411" i="3"/>
  <c r="M411" i="3" s="1"/>
  <c r="L403" i="3"/>
  <c r="M403" i="3" s="1"/>
  <c r="L395" i="3"/>
  <c r="M395" i="3" s="1"/>
  <c r="L387" i="3"/>
  <c r="M387" i="3" s="1"/>
  <c r="L379" i="3"/>
  <c r="M379" i="3" s="1"/>
  <c r="L363" i="3"/>
  <c r="M363" i="3" s="1"/>
  <c r="L355" i="3"/>
  <c r="M355" i="3" s="1"/>
  <c r="L347" i="3"/>
  <c r="M347" i="3" s="1"/>
  <c r="L331" i="3"/>
  <c r="M331" i="3" s="1"/>
  <c r="L323" i="3"/>
  <c r="M323" i="3" s="1"/>
  <c r="L315" i="3"/>
  <c r="M250" i="3"/>
  <c r="N250" i="3" s="1"/>
  <c r="M234" i="3"/>
  <c r="L602" i="3"/>
  <c r="M602" i="3" s="1"/>
  <c r="L594" i="3"/>
  <c r="M594" i="3" s="1"/>
  <c r="N594" i="3" s="1"/>
  <c r="L586" i="3"/>
  <c r="M586" i="3" s="1"/>
  <c r="O586" i="3" s="1"/>
  <c r="P586" i="3" s="1"/>
  <c r="R586" i="3" s="1"/>
  <c r="L578" i="3"/>
  <c r="M578" i="3" s="1"/>
  <c r="N578" i="3" s="1"/>
  <c r="L570" i="3"/>
  <c r="M570" i="3" s="1"/>
  <c r="N570" i="3" s="1"/>
  <c r="L562" i="3"/>
  <c r="M562" i="3" s="1"/>
  <c r="L554" i="3"/>
  <c r="M554" i="3" s="1"/>
  <c r="O554" i="3" s="1"/>
  <c r="P554" i="3" s="1"/>
  <c r="Q554" i="3" s="1"/>
  <c r="L546" i="3"/>
  <c r="M546" i="3" s="1"/>
  <c r="L538" i="3"/>
  <c r="M538" i="3" s="1"/>
  <c r="L530" i="3"/>
  <c r="M530" i="3" s="1"/>
  <c r="O530" i="3" s="1"/>
  <c r="P530" i="3" s="1"/>
  <c r="Q530" i="3" s="1"/>
  <c r="L522" i="3"/>
  <c r="M522" i="3" s="1"/>
  <c r="O522" i="3" s="1"/>
  <c r="P522" i="3" s="1"/>
  <c r="Q522" i="3" s="1"/>
  <c r="L514" i="3"/>
  <c r="M514" i="3" s="1"/>
  <c r="L506" i="3"/>
  <c r="M506" i="3" s="1"/>
  <c r="N506" i="3" s="1"/>
  <c r="L498" i="3"/>
  <c r="M498" i="3" s="1"/>
  <c r="L490" i="3"/>
  <c r="M490" i="3" s="1"/>
  <c r="O490" i="3" s="1"/>
  <c r="P490" i="3" s="1"/>
  <c r="Q490" i="3" s="1"/>
  <c r="L482" i="3"/>
  <c r="L474" i="3"/>
  <c r="M474" i="3" s="1"/>
  <c r="L466" i="3"/>
  <c r="M466" i="3" s="1"/>
  <c r="L458" i="3"/>
  <c r="M458" i="3" s="1"/>
  <c r="O458" i="3" s="1"/>
  <c r="P458" i="3" s="1"/>
  <c r="Q458" i="3" s="1"/>
  <c r="L450" i="3"/>
  <c r="M450" i="3" s="1"/>
  <c r="L442" i="3"/>
  <c r="M442" i="3" s="1"/>
  <c r="N442" i="3" s="1"/>
  <c r="L434" i="3"/>
  <c r="L426" i="3"/>
  <c r="M426" i="3" s="1"/>
  <c r="O426" i="3" s="1"/>
  <c r="P426" i="3" s="1"/>
  <c r="Q426" i="3" s="1"/>
  <c r="L418" i="3"/>
  <c r="M418" i="3" s="1"/>
  <c r="L410" i="3"/>
  <c r="M410" i="3" s="1"/>
  <c r="N410" i="3" s="1"/>
  <c r="L402" i="3"/>
  <c r="M402" i="3" s="1"/>
  <c r="N402" i="3" s="1"/>
  <c r="L394" i="3"/>
  <c r="M394" i="3" s="1"/>
  <c r="O394" i="3" s="1"/>
  <c r="P394" i="3" s="1"/>
  <c r="Q394" i="3" s="1"/>
  <c r="L386" i="3"/>
  <c r="M386" i="3" s="1"/>
  <c r="N386" i="3" s="1"/>
  <c r="L378" i="3"/>
  <c r="M378" i="3" s="1"/>
  <c r="L370" i="3"/>
  <c r="M370" i="3" s="1"/>
  <c r="L362" i="3"/>
  <c r="M362" i="3" s="1"/>
  <c r="O362" i="3" s="1"/>
  <c r="P362" i="3" s="1"/>
  <c r="Q362" i="3" s="1"/>
  <c r="L354" i="3"/>
  <c r="M354" i="3" s="1"/>
  <c r="L346" i="3"/>
  <c r="M346" i="3" s="1"/>
  <c r="M297" i="3"/>
  <c r="M89" i="3"/>
  <c r="O89" i="3" s="1"/>
  <c r="P89" i="3" s="1"/>
  <c r="Q89" i="3" s="1"/>
  <c r="M41" i="3"/>
  <c r="O41" i="3" s="1"/>
  <c r="P41" i="3" s="1"/>
  <c r="Q41" i="3" s="1"/>
  <c r="L601" i="3"/>
  <c r="M601" i="3" s="1"/>
  <c r="L593" i="3"/>
  <c r="M593" i="3" s="1"/>
  <c r="O593" i="3" s="1"/>
  <c r="P593" i="3" s="1"/>
  <c r="Q593" i="3" s="1"/>
  <c r="L585" i="3"/>
  <c r="M585" i="3" s="1"/>
  <c r="N585" i="3" s="1"/>
  <c r="L577" i="3"/>
  <c r="M577" i="3" s="1"/>
  <c r="L569" i="3"/>
  <c r="M569" i="3" s="1"/>
  <c r="O569" i="3" s="1"/>
  <c r="P569" i="3" s="1"/>
  <c r="Q569" i="3" s="1"/>
  <c r="L561" i="3"/>
  <c r="M561" i="3" s="1"/>
  <c r="O561" i="3" s="1"/>
  <c r="P561" i="3" s="1"/>
  <c r="Q561" i="3" s="1"/>
  <c r="L553" i="3"/>
  <c r="M553" i="3" s="1"/>
  <c r="L545" i="3"/>
  <c r="M545" i="3" s="1"/>
  <c r="O545" i="3" s="1"/>
  <c r="P545" i="3" s="1"/>
  <c r="Q545" i="3" s="1"/>
  <c r="L537" i="3"/>
  <c r="M537" i="3" s="1"/>
  <c r="O537" i="3" s="1"/>
  <c r="P537" i="3" s="1"/>
  <c r="Q537" i="3" s="1"/>
  <c r="L529" i="3"/>
  <c r="M529" i="3" s="1"/>
  <c r="O529" i="3" s="1"/>
  <c r="P529" i="3" s="1"/>
  <c r="Q529" i="3" s="1"/>
  <c r="L521" i="3"/>
  <c r="M521" i="3" s="1"/>
  <c r="O521" i="3" s="1"/>
  <c r="P521" i="3" s="1"/>
  <c r="Q521" i="3" s="1"/>
  <c r="L513" i="3"/>
  <c r="M513" i="3" s="1"/>
  <c r="L505" i="3"/>
  <c r="M505" i="3" s="1"/>
  <c r="L497" i="3"/>
  <c r="M497" i="3" s="1"/>
  <c r="L489" i="3"/>
  <c r="M489" i="3" s="1"/>
  <c r="O489" i="3" s="1"/>
  <c r="P489" i="3" s="1"/>
  <c r="Q489" i="3" s="1"/>
  <c r="L481" i="3"/>
  <c r="M481" i="3" s="1"/>
  <c r="O481" i="3" s="1"/>
  <c r="P481" i="3" s="1"/>
  <c r="Q481" i="3" s="1"/>
  <c r="L473" i="3"/>
  <c r="L465" i="3"/>
  <c r="M465" i="3" s="1"/>
  <c r="N465" i="3" s="1"/>
  <c r="L457" i="3"/>
  <c r="M457" i="3" s="1"/>
  <c r="O457" i="3" s="1"/>
  <c r="P457" i="3" s="1"/>
  <c r="Q457" i="3" s="1"/>
  <c r="L449" i="3"/>
  <c r="M449" i="3" s="1"/>
  <c r="O449" i="3" s="1"/>
  <c r="P449" i="3" s="1"/>
  <c r="Q449" i="3" s="1"/>
  <c r="L441" i="3"/>
  <c r="M441" i="3" s="1"/>
  <c r="N441" i="3" s="1"/>
  <c r="L433" i="3"/>
  <c r="M433" i="3" s="1"/>
  <c r="O433" i="3" s="1"/>
  <c r="P433" i="3" s="1"/>
  <c r="Q433" i="3" s="1"/>
  <c r="L425" i="3"/>
  <c r="M425" i="3" s="1"/>
  <c r="L417" i="3"/>
  <c r="M417" i="3" s="1"/>
  <c r="L409" i="3"/>
  <c r="M409" i="3" s="1"/>
  <c r="O409" i="3" s="1"/>
  <c r="P409" i="3" s="1"/>
  <c r="Q409" i="3" s="1"/>
  <c r="L401" i="3"/>
  <c r="M401" i="3" s="1"/>
  <c r="O401" i="3" s="1"/>
  <c r="P401" i="3" s="1"/>
  <c r="Q401" i="3" s="1"/>
  <c r="L393" i="3"/>
  <c r="M393" i="3" s="1"/>
  <c r="O393" i="3" s="1"/>
  <c r="P393" i="3" s="1"/>
  <c r="Q393" i="3" s="1"/>
  <c r="L385" i="3"/>
  <c r="M385" i="3" s="1"/>
  <c r="N385" i="3" s="1"/>
  <c r="L377" i="3"/>
  <c r="M377" i="3" s="1"/>
  <c r="O377" i="3" s="1"/>
  <c r="P377" i="3" s="1"/>
  <c r="Q377" i="3" s="1"/>
  <c r="M280" i="3"/>
  <c r="O280" i="3" s="1"/>
  <c r="P280" i="3" s="1"/>
  <c r="Q280" i="3" s="1"/>
  <c r="M232" i="3"/>
  <c r="M152" i="3"/>
  <c r="O152" i="3" s="1"/>
  <c r="P152" i="3" s="1"/>
  <c r="Q152" i="3" s="1"/>
  <c r="M24" i="3"/>
  <c r="L600" i="3"/>
  <c r="M600" i="3" s="1"/>
  <c r="L592" i="3"/>
  <c r="M592" i="3" s="1"/>
  <c r="O592" i="3" s="1"/>
  <c r="P592" i="3" s="1"/>
  <c r="Q592" i="3" s="1"/>
  <c r="L584" i="3"/>
  <c r="M584" i="3" s="1"/>
  <c r="O584" i="3" s="1"/>
  <c r="P584" i="3" s="1"/>
  <c r="Q584" i="3" s="1"/>
  <c r="L576" i="3"/>
  <c r="M576" i="3" s="1"/>
  <c r="O576" i="3" s="1"/>
  <c r="P576" i="3" s="1"/>
  <c r="Q576" i="3" s="1"/>
  <c r="L568" i="3"/>
  <c r="M568" i="3" s="1"/>
  <c r="L560" i="3"/>
  <c r="M560" i="3" s="1"/>
  <c r="O560" i="3" s="1"/>
  <c r="P560" i="3" s="1"/>
  <c r="Q560" i="3" s="1"/>
  <c r="L552" i="3"/>
  <c r="M552" i="3" s="1"/>
  <c r="O552" i="3" s="1"/>
  <c r="P552" i="3" s="1"/>
  <c r="Q552" i="3" s="1"/>
  <c r="L544" i="3"/>
  <c r="M544" i="3" s="1"/>
  <c r="O544" i="3" s="1"/>
  <c r="P544" i="3" s="1"/>
  <c r="R544" i="3" s="1"/>
  <c r="L536" i="3"/>
  <c r="M536" i="3" s="1"/>
  <c r="L528" i="3"/>
  <c r="M528" i="3" s="1"/>
  <c r="O528" i="3" s="1"/>
  <c r="P528" i="3" s="1"/>
  <c r="R528" i="3" s="1"/>
  <c r="L520" i="3"/>
  <c r="M520" i="3" s="1"/>
  <c r="O520" i="3" s="1"/>
  <c r="P520" i="3" s="1"/>
  <c r="Q520" i="3" s="1"/>
  <c r="L512" i="3"/>
  <c r="M512" i="3" s="1"/>
  <c r="O512" i="3" s="1"/>
  <c r="P512" i="3" s="1"/>
  <c r="Q512" i="3" s="1"/>
  <c r="L504" i="3"/>
  <c r="M504" i="3" s="1"/>
  <c r="L496" i="3"/>
  <c r="M496" i="3" s="1"/>
  <c r="L488" i="3"/>
  <c r="M488" i="3" s="1"/>
  <c r="O488" i="3" s="1"/>
  <c r="P488" i="3" s="1"/>
  <c r="Q488" i="3" s="1"/>
  <c r="L480" i="3"/>
  <c r="M480" i="3" s="1"/>
  <c r="O480" i="3" s="1"/>
  <c r="P480" i="3" s="1"/>
  <c r="Q480" i="3" s="1"/>
  <c r="L472" i="3"/>
  <c r="M472" i="3" s="1"/>
  <c r="L464" i="3"/>
  <c r="M464" i="3" s="1"/>
  <c r="O464" i="3" s="1"/>
  <c r="P464" i="3" s="1"/>
  <c r="Q464" i="3" s="1"/>
  <c r="L456" i="3"/>
  <c r="M456" i="3" s="1"/>
  <c r="O456" i="3" s="1"/>
  <c r="P456" i="3" s="1"/>
  <c r="Q456" i="3" s="1"/>
  <c r="L448" i="3"/>
  <c r="M448" i="3" s="1"/>
  <c r="O448" i="3" s="1"/>
  <c r="P448" i="3" s="1"/>
  <c r="L440" i="3"/>
  <c r="M440" i="3" s="1"/>
  <c r="N440" i="3" s="1"/>
  <c r="L432" i="3"/>
  <c r="M432" i="3" s="1"/>
  <c r="O432" i="3" s="1"/>
  <c r="P432" i="3" s="1"/>
  <c r="Q432" i="3" s="1"/>
  <c r="L424" i="3"/>
  <c r="M424" i="3" s="1"/>
  <c r="O424" i="3" s="1"/>
  <c r="P424" i="3" s="1"/>
  <c r="L416" i="3"/>
  <c r="M416" i="3" s="1"/>
  <c r="O416" i="3" s="1"/>
  <c r="P416" i="3" s="1"/>
  <c r="Q416" i="3" s="1"/>
  <c r="L408" i="3"/>
  <c r="M408" i="3" s="1"/>
  <c r="L400" i="3"/>
  <c r="M400" i="3" s="1"/>
  <c r="O400" i="3" s="1"/>
  <c r="P400" i="3" s="1"/>
  <c r="Q400" i="3" s="1"/>
  <c r="L392" i="3"/>
  <c r="M392" i="3" s="1"/>
  <c r="O392" i="3" s="1"/>
  <c r="P392" i="3" s="1"/>
  <c r="Q392" i="3" s="1"/>
  <c r="L384" i="3"/>
  <c r="M384" i="3" s="1"/>
  <c r="O384" i="3" s="1"/>
  <c r="P384" i="3" s="1"/>
  <c r="L376" i="3"/>
  <c r="M376" i="3" s="1"/>
  <c r="L368" i="3"/>
  <c r="M368" i="3" s="1"/>
  <c r="O368" i="3" s="1"/>
  <c r="P368" i="3" s="1"/>
  <c r="L360" i="3"/>
  <c r="M360" i="3" s="1"/>
  <c r="N360" i="3" s="1"/>
  <c r="L352" i="3"/>
  <c r="M352" i="3" s="1"/>
  <c r="O352" i="3" s="1"/>
  <c r="P352" i="3" s="1"/>
  <c r="Q352" i="3" s="1"/>
  <c r="L13" i="3"/>
  <c r="M13" i="3" s="1"/>
  <c r="L5" i="3"/>
  <c r="M5" i="3" s="1"/>
  <c r="L276" i="3"/>
  <c r="M276" i="3" s="1"/>
  <c r="L268" i="3"/>
  <c r="M268" i="3" s="1"/>
  <c r="L260" i="3"/>
  <c r="M260" i="3" s="1"/>
  <c r="L252" i="3"/>
  <c r="M252" i="3" s="1"/>
  <c r="L244" i="3"/>
  <c r="M244" i="3" s="1"/>
  <c r="L236" i="3"/>
  <c r="M236" i="3" s="1"/>
  <c r="L228" i="3"/>
  <c r="M228" i="3" s="1"/>
  <c r="L220" i="3"/>
  <c r="M220" i="3" s="1"/>
  <c r="L212" i="3"/>
  <c r="M212" i="3" s="1"/>
  <c r="L204" i="3"/>
  <c r="M204" i="3" s="1"/>
  <c r="L196" i="3"/>
  <c r="M196" i="3" s="1"/>
  <c r="L188" i="3"/>
  <c r="M188" i="3" s="1"/>
  <c r="L180" i="3"/>
  <c r="M180" i="3" s="1"/>
  <c r="L172" i="3"/>
  <c r="M172" i="3" s="1"/>
  <c r="L164" i="3"/>
  <c r="M164" i="3" s="1"/>
  <c r="L156" i="3"/>
  <c r="M156" i="3" s="1"/>
  <c r="L148" i="3"/>
  <c r="M148" i="3" s="1"/>
  <c r="L140" i="3"/>
  <c r="M140" i="3" s="1"/>
  <c r="L132" i="3"/>
  <c r="M132" i="3" s="1"/>
  <c r="L124" i="3"/>
  <c r="M124" i="3" s="1"/>
  <c r="L116" i="3"/>
  <c r="M116" i="3" s="1"/>
  <c r="L108" i="3"/>
  <c r="M108" i="3" s="1"/>
  <c r="L100" i="3"/>
  <c r="M100" i="3" s="1"/>
  <c r="L92" i="3"/>
  <c r="M92" i="3" s="1"/>
  <c r="L84" i="3"/>
  <c r="M84" i="3" s="1"/>
  <c r="L76" i="3"/>
  <c r="M76" i="3" s="1"/>
  <c r="L68" i="3"/>
  <c r="M68" i="3" s="1"/>
  <c r="L60" i="3"/>
  <c r="M60" i="3" s="1"/>
  <c r="L52" i="3"/>
  <c r="M52" i="3" s="1"/>
  <c r="L44" i="3"/>
  <c r="M44" i="3" s="1"/>
  <c r="L36" i="3"/>
  <c r="M36" i="3" s="1"/>
  <c r="L28" i="3"/>
  <c r="M28" i="3" s="1"/>
  <c r="L20" i="3"/>
  <c r="L4" i="3"/>
  <c r="M4" i="3" s="1"/>
  <c r="N4" i="3" s="1"/>
  <c r="L299" i="3"/>
  <c r="M299" i="3" s="1"/>
  <c r="L291" i="3"/>
  <c r="M291" i="3" s="1"/>
  <c r="L283" i="3"/>
  <c r="M283" i="3" s="1"/>
  <c r="L275" i="3"/>
  <c r="M275" i="3" s="1"/>
  <c r="L267" i="3"/>
  <c r="M267" i="3" s="1"/>
  <c r="L259" i="3"/>
  <c r="M259" i="3" s="1"/>
  <c r="L251" i="3"/>
  <c r="M251" i="3" s="1"/>
  <c r="L243" i="3"/>
  <c r="M243" i="3" s="1"/>
  <c r="L235" i="3"/>
  <c r="M235" i="3" s="1"/>
  <c r="L227" i="3"/>
  <c r="M227" i="3" s="1"/>
  <c r="L219" i="3"/>
  <c r="M219" i="3" s="1"/>
  <c r="L211" i="3"/>
  <c r="M211" i="3" s="1"/>
  <c r="L203" i="3"/>
  <c r="M203" i="3" s="1"/>
  <c r="L195" i="3"/>
  <c r="M195" i="3" s="1"/>
  <c r="L187" i="3"/>
  <c r="M187" i="3" s="1"/>
  <c r="L179" i="3"/>
  <c r="M179" i="3" s="1"/>
  <c r="L171" i="3"/>
  <c r="M171" i="3" s="1"/>
  <c r="L163" i="3"/>
  <c r="M163" i="3" s="1"/>
  <c r="L155" i="3"/>
  <c r="M155" i="3" s="1"/>
  <c r="L147" i="3"/>
  <c r="M147" i="3" s="1"/>
  <c r="L139" i="3"/>
  <c r="M139" i="3" s="1"/>
  <c r="L131" i="3"/>
  <c r="M131" i="3" s="1"/>
  <c r="L123" i="3"/>
  <c r="L115" i="3"/>
  <c r="M115" i="3" s="1"/>
  <c r="L107" i="3"/>
  <c r="L99" i="3"/>
  <c r="M99" i="3" s="1"/>
  <c r="L91" i="3"/>
  <c r="M91" i="3" s="1"/>
  <c r="L83" i="3"/>
  <c r="M83" i="3" s="1"/>
  <c r="L75" i="3"/>
  <c r="M75" i="3" s="1"/>
  <c r="L67" i="3"/>
  <c r="M67" i="3" s="1"/>
  <c r="L59" i="3"/>
  <c r="M59" i="3" s="1"/>
  <c r="L51" i="3"/>
  <c r="M51" i="3" s="1"/>
  <c r="L43" i="3"/>
  <c r="M43" i="3" s="1"/>
  <c r="L35" i="3"/>
  <c r="M35" i="3" s="1"/>
  <c r="L27" i="3"/>
  <c r="M27" i="3" s="1"/>
  <c r="L19" i="3"/>
  <c r="M19" i="3" s="1"/>
  <c r="L11" i="3"/>
  <c r="M11" i="3" s="1"/>
  <c r="L338" i="3"/>
  <c r="M338" i="3" s="1"/>
  <c r="L330" i="3"/>
  <c r="M330" i="3" s="1"/>
  <c r="O330" i="3" s="1"/>
  <c r="P330" i="3" s="1"/>
  <c r="Q330" i="3" s="1"/>
  <c r="L322" i="3"/>
  <c r="M322" i="3" s="1"/>
  <c r="L314" i="3"/>
  <c r="M314" i="3" s="1"/>
  <c r="N314" i="3" s="1"/>
  <c r="L306" i="3"/>
  <c r="M306" i="3" s="1"/>
  <c r="N306" i="3" s="1"/>
  <c r="L298" i="3"/>
  <c r="M298" i="3" s="1"/>
  <c r="L290" i="3"/>
  <c r="M290" i="3" s="1"/>
  <c r="L282" i="3"/>
  <c r="M282" i="3" s="1"/>
  <c r="L274" i="3"/>
  <c r="M274" i="3" s="1"/>
  <c r="L266" i="3"/>
  <c r="M266" i="3" s="1"/>
  <c r="L258" i="3"/>
  <c r="M258" i="3" s="1"/>
  <c r="L250" i="3"/>
  <c r="L242" i="3"/>
  <c r="M242" i="3" s="1"/>
  <c r="N242" i="3" s="1"/>
  <c r="L234" i="3"/>
  <c r="L226" i="3"/>
  <c r="M226" i="3" s="1"/>
  <c r="L218" i="3"/>
  <c r="M218" i="3" s="1"/>
  <c r="L210" i="3"/>
  <c r="M210" i="3" s="1"/>
  <c r="N210" i="3" s="1"/>
  <c r="L202" i="3"/>
  <c r="M202" i="3" s="1"/>
  <c r="L194" i="3"/>
  <c r="M194" i="3" s="1"/>
  <c r="L186" i="3"/>
  <c r="M186" i="3" s="1"/>
  <c r="N186" i="3" s="1"/>
  <c r="L178" i="3"/>
  <c r="M178" i="3" s="1"/>
  <c r="N178" i="3" s="1"/>
  <c r="L170" i="3"/>
  <c r="M170" i="3" s="1"/>
  <c r="L162" i="3"/>
  <c r="M162" i="3" s="1"/>
  <c r="N162" i="3" s="1"/>
  <c r="L154" i="3"/>
  <c r="M154" i="3" s="1"/>
  <c r="L146" i="3"/>
  <c r="M146" i="3" s="1"/>
  <c r="L138" i="3"/>
  <c r="M138" i="3" s="1"/>
  <c r="L130" i="3"/>
  <c r="M130" i="3" s="1"/>
  <c r="L122" i="3"/>
  <c r="M122" i="3" s="1"/>
  <c r="L114" i="3"/>
  <c r="M114" i="3" s="1"/>
  <c r="N114" i="3" s="1"/>
  <c r="L106" i="3"/>
  <c r="M106" i="3" s="1"/>
  <c r="L98" i="3"/>
  <c r="M98" i="3" s="1"/>
  <c r="N98" i="3" s="1"/>
  <c r="L90" i="3"/>
  <c r="M90" i="3" s="1"/>
  <c r="L82" i="3"/>
  <c r="M82" i="3" s="1"/>
  <c r="L74" i="3"/>
  <c r="M74" i="3" s="1"/>
  <c r="N74" i="3" s="1"/>
  <c r="L66" i="3"/>
  <c r="M66" i="3" s="1"/>
  <c r="N66" i="3" s="1"/>
  <c r="L58" i="3"/>
  <c r="M58" i="3" s="1"/>
  <c r="N58" i="3" s="1"/>
  <c r="L50" i="3"/>
  <c r="M50" i="3" s="1"/>
  <c r="O50" i="3" s="1"/>
  <c r="P50" i="3" s="1"/>
  <c r="L42" i="3"/>
  <c r="M42" i="3" s="1"/>
  <c r="L34" i="3"/>
  <c r="M34" i="3" s="1"/>
  <c r="O34" i="3" s="1"/>
  <c r="P34" i="3" s="1"/>
  <c r="Q34" i="3" s="1"/>
  <c r="L26" i="3"/>
  <c r="M26" i="3" s="1"/>
  <c r="O26" i="3" s="1"/>
  <c r="P26" i="3" s="1"/>
  <c r="Q26" i="3" s="1"/>
  <c r="L18" i="3"/>
  <c r="M18" i="3" s="1"/>
  <c r="O18" i="3" s="1"/>
  <c r="P18" i="3" s="1"/>
  <c r="L10" i="3"/>
  <c r="M10" i="3" s="1"/>
  <c r="O10" i="3" s="1"/>
  <c r="L369" i="3"/>
  <c r="M369" i="3" s="1"/>
  <c r="O369" i="3" s="1"/>
  <c r="P369" i="3" s="1"/>
  <c r="Q369" i="3" s="1"/>
  <c r="L361" i="3"/>
  <c r="M361" i="3" s="1"/>
  <c r="N361" i="3" s="1"/>
  <c r="L353" i="3"/>
  <c r="M353" i="3" s="1"/>
  <c r="N353" i="3" s="1"/>
  <c r="L345" i="3"/>
  <c r="M345" i="3" s="1"/>
  <c r="O345" i="3" s="1"/>
  <c r="P345" i="3" s="1"/>
  <c r="Q345" i="3" s="1"/>
  <c r="L337" i="3"/>
  <c r="M337" i="3" s="1"/>
  <c r="L329" i="3"/>
  <c r="M329" i="3" s="1"/>
  <c r="L321" i="3"/>
  <c r="M321" i="3" s="1"/>
  <c r="N321" i="3" s="1"/>
  <c r="L313" i="3"/>
  <c r="M313" i="3" s="1"/>
  <c r="O313" i="3" s="1"/>
  <c r="P313" i="3" s="1"/>
  <c r="Q313" i="3" s="1"/>
  <c r="L305" i="3"/>
  <c r="M305" i="3" s="1"/>
  <c r="O305" i="3" s="1"/>
  <c r="P305" i="3" s="1"/>
  <c r="Q305" i="3" s="1"/>
  <c r="L297" i="3"/>
  <c r="L289" i="3"/>
  <c r="M289" i="3" s="1"/>
  <c r="N289" i="3" s="1"/>
  <c r="L281" i="3"/>
  <c r="M281" i="3" s="1"/>
  <c r="L273" i="3"/>
  <c r="M273" i="3" s="1"/>
  <c r="O273" i="3" s="1"/>
  <c r="P273" i="3" s="1"/>
  <c r="Q273" i="3" s="1"/>
  <c r="L265" i="3"/>
  <c r="M265" i="3" s="1"/>
  <c r="O265" i="3" s="1"/>
  <c r="P265" i="3" s="1"/>
  <c r="Q265" i="3" s="1"/>
  <c r="L257" i="3"/>
  <c r="M257" i="3" s="1"/>
  <c r="L249" i="3"/>
  <c r="M249" i="3" s="1"/>
  <c r="N249" i="3" s="1"/>
  <c r="L241" i="3"/>
  <c r="M241" i="3" s="1"/>
  <c r="O241" i="3" s="1"/>
  <c r="P241" i="3" s="1"/>
  <c r="Q241" i="3" s="1"/>
  <c r="L233" i="3"/>
  <c r="M233" i="3" s="1"/>
  <c r="L225" i="3"/>
  <c r="M225" i="3" s="1"/>
  <c r="L217" i="3"/>
  <c r="M217" i="3" s="1"/>
  <c r="L209" i="3"/>
  <c r="M209" i="3" s="1"/>
  <c r="L201" i="3"/>
  <c r="M201" i="3" s="1"/>
  <c r="O201" i="3" s="1"/>
  <c r="P201" i="3" s="1"/>
  <c r="Q201" i="3" s="1"/>
  <c r="L193" i="3"/>
  <c r="M193" i="3" s="1"/>
  <c r="O193" i="3" s="1"/>
  <c r="P193" i="3" s="1"/>
  <c r="Q193" i="3" s="1"/>
  <c r="L185" i="3"/>
  <c r="M185" i="3" s="1"/>
  <c r="O185" i="3" s="1"/>
  <c r="P185" i="3" s="1"/>
  <c r="Q185" i="3" s="1"/>
  <c r="L177" i="3"/>
  <c r="M177" i="3" s="1"/>
  <c r="O177" i="3" s="1"/>
  <c r="P177" i="3" s="1"/>
  <c r="Q177" i="3" s="1"/>
  <c r="L169" i="3"/>
  <c r="M169" i="3" s="1"/>
  <c r="L161" i="3"/>
  <c r="M161" i="3" s="1"/>
  <c r="L153" i="3"/>
  <c r="M153" i="3" s="1"/>
  <c r="L145" i="3"/>
  <c r="M145" i="3" s="1"/>
  <c r="O145" i="3" s="1"/>
  <c r="P145" i="3" s="1"/>
  <c r="Q145" i="3" s="1"/>
  <c r="L137" i="3"/>
  <c r="M137" i="3" s="1"/>
  <c r="N137" i="3" s="1"/>
  <c r="L129" i="3"/>
  <c r="M129" i="3" s="1"/>
  <c r="N129" i="3" s="1"/>
  <c r="L121" i="3"/>
  <c r="M121" i="3" s="1"/>
  <c r="O121" i="3" s="1"/>
  <c r="P121" i="3" s="1"/>
  <c r="Q121" i="3" s="1"/>
  <c r="L113" i="3"/>
  <c r="M113" i="3" s="1"/>
  <c r="O113" i="3" s="1"/>
  <c r="P113" i="3" s="1"/>
  <c r="Q113" i="3" s="1"/>
  <c r="L105" i="3"/>
  <c r="M105" i="3" s="1"/>
  <c r="L97" i="3"/>
  <c r="M97" i="3" s="1"/>
  <c r="N97" i="3" s="1"/>
  <c r="L89" i="3"/>
  <c r="L81" i="3"/>
  <c r="M81" i="3" s="1"/>
  <c r="O81" i="3" s="1"/>
  <c r="P81" i="3" s="1"/>
  <c r="Q81" i="3" s="1"/>
  <c r="L73" i="3"/>
  <c r="M73" i="3" s="1"/>
  <c r="O73" i="3" s="1"/>
  <c r="P73" i="3" s="1"/>
  <c r="Q73" i="3" s="1"/>
  <c r="L65" i="3"/>
  <c r="M65" i="3" s="1"/>
  <c r="O65" i="3" s="1"/>
  <c r="P65" i="3" s="1"/>
  <c r="Q65" i="3" s="1"/>
  <c r="L57" i="3"/>
  <c r="M57" i="3" s="1"/>
  <c r="N57" i="3" s="1"/>
  <c r="L49" i="3"/>
  <c r="M49" i="3" s="1"/>
  <c r="N49" i="3" s="1"/>
  <c r="L41" i="3"/>
  <c r="L33" i="3"/>
  <c r="M33" i="3" s="1"/>
  <c r="O33" i="3" s="1"/>
  <c r="P33" i="3" s="1"/>
  <c r="Q33" i="3" s="1"/>
  <c r="L25" i="3"/>
  <c r="M25" i="3" s="1"/>
  <c r="L17" i="3"/>
  <c r="M17" i="3" s="1"/>
  <c r="L9" i="3"/>
  <c r="M9" i="3" s="1"/>
  <c r="L344" i="3"/>
  <c r="M344" i="3" s="1"/>
  <c r="L336" i="3"/>
  <c r="M336" i="3" s="1"/>
  <c r="O336" i="3" s="1"/>
  <c r="P336" i="3" s="1"/>
  <c r="Q336" i="3" s="1"/>
  <c r="L328" i="3"/>
  <c r="M328" i="3" s="1"/>
  <c r="O328" i="3" s="1"/>
  <c r="P328" i="3" s="1"/>
  <c r="Q328" i="3" s="1"/>
  <c r="L320" i="3"/>
  <c r="M320" i="3" s="1"/>
  <c r="N320" i="3" s="1"/>
  <c r="L312" i="3"/>
  <c r="M312" i="3" s="1"/>
  <c r="O312" i="3" s="1"/>
  <c r="P312" i="3" s="1"/>
  <c r="L304" i="3"/>
  <c r="M304" i="3" s="1"/>
  <c r="L296" i="3"/>
  <c r="M296" i="3" s="1"/>
  <c r="N296" i="3" s="1"/>
  <c r="L288" i="3"/>
  <c r="M288" i="3" s="1"/>
  <c r="L280" i="3"/>
  <c r="L272" i="3"/>
  <c r="M272" i="3" s="1"/>
  <c r="L264" i="3"/>
  <c r="M264" i="3" s="1"/>
  <c r="L256" i="3"/>
  <c r="M256" i="3" s="1"/>
  <c r="L248" i="3"/>
  <c r="M248" i="3" s="1"/>
  <c r="N248" i="3" s="1"/>
  <c r="L240" i="3"/>
  <c r="M240" i="3" s="1"/>
  <c r="N240" i="3" s="1"/>
  <c r="L232" i="3"/>
  <c r="L224" i="3"/>
  <c r="M224" i="3" s="1"/>
  <c r="L216" i="3"/>
  <c r="M216" i="3" s="1"/>
  <c r="L208" i="3"/>
  <c r="M208" i="3" s="1"/>
  <c r="L200" i="3"/>
  <c r="M200" i="3" s="1"/>
  <c r="L192" i="3"/>
  <c r="M192" i="3" s="1"/>
  <c r="O192" i="3" s="1"/>
  <c r="P192" i="3" s="1"/>
  <c r="Q192" i="3" s="1"/>
  <c r="L184" i="3"/>
  <c r="M184" i="3" s="1"/>
  <c r="O184" i="3" s="1"/>
  <c r="P184" i="3" s="1"/>
  <c r="Q184" i="3" s="1"/>
  <c r="L176" i="3"/>
  <c r="M176" i="3" s="1"/>
  <c r="L168" i="3"/>
  <c r="M168" i="3" s="1"/>
  <c r="L160" i="3"/>
  <c r="M160" i="3" s="1"/>
  <c r="L152" i="3"/>
  <c r="L144" i="3"/>
  <c r="M144" i="3" s="1"/>
  <c r="O144" i="3" s="1"/>
  <c r="P144" i="3" s="1"/>
  <c r="Q144" i="3" s="1"/>
  <c r="L136" i="3"/>
  <c r="M136" i="3" s="1"/>
  <c r="O136" i="3" s="1"/>
  <c r="P136" i="3" s="1"/>
  <c r="Q136" i="3" s="1"/>
  <c r="L128" i="3"/>
  <c r="M128" i="3" s="1"/>
  <c r="L120" i="3"/>
  <c r="M120" i="3" s="1"/>
  <c r="N120" i="3" s="1"/>
  <c r="L112" i="3"/>
  <c r="M112" i="3" s="1"/>
  <c r="L104" i="3"/>
  <c r="M104" i="3" s="1"/>
  <c r="L96" i="3"/>
  <c r="M96" i="3" s="1"/>
  <c r="L88" i="3"/>
  <c r="M88" i="3" s="1"/>
  <c r="L80" i="3"/>
  <c r="M80" i="3" s="1"/>
  <c r="L72" i="3"/>
  <c r="M72" i="3" s="1"/>
  <c r="N72" i="3" s="1"/>
  <c r="L64" i="3"/>
  <c r="M64" i="3" s="1"/>
  <c r="N64" i="3" s="1"/>
  <c r="L56" i="3"/>
  <c r="M56" i="3" s="1"/>
  <c r="O56" i="3" s="1"/>
  <c r="P56" i="3" s="1"/>
  <c r="Q56" i="3" s="1"/>
  <c r="L48" i="3"/>
  <c r="M48" i="3" s="1"/>
  <c r="L40" i="3"/>
  <c r="M40" i="3" s="1"/>
  <c r="L32" i="3"/>
  <c r="M32" i="3" s="1"/>
  <c r="O32" i="3" s="1"/>
  <c r="P32" i="3" s="1"/>
  <c r="Q32" i="3" s="1"/>
  <c r="L24" i="3"/>
  <c r="L16" i="3"/>
  <c r="M16" i="3" s="1"/>
  <c r="N16" i="3" s="1"/>
  <c r="L8" i="3"/>
  <c r="M8" i="3" s="1"/>
  <c r="L263" i="3"/>
  <c r="M263" i="3" s="1"/>
  <c r="L255" i="3"/>
  <c r="M255" i="3" s="1"/>
  <c r="L247" i="3"/>
  <c r="M247" i="3" s="1"/>
  <c r="L239" i="3"/>
  <c r="M239" i="3" s="1"/>
  <c r="L231" i="3"/>
  <c r="M231" i="3" s="1"/>
  <c r="L223" i="3"/>
  <c r="M223" i="3" s="1"/>
  <c r="L215" i="3"/>
  <c r="M215" i="3" s="1"/>
  <c r="L207" i="3"/>
  <c r="M207" i="3" s="1"/>
  <c r="L199" i="3"/>
  <c r="M199" i="3" s="1"/>
  <c r="L191" i="3"/>
  <c r="M191" i="3" s="1"/>
  <c r="L183" i="3"/>
  <c r="M183" i="3" s="1"/>
  <c r="L175" i="3"/>
  <c r="M175" i="3" s="1"/>
  <c r="L167" i="3"/>
  <c r="M167" i="3" s="1"/>
  <c r="L159" i="3"/>
  <c r="M159" i="3" s="1"/>
  <c r="L151" i="3"/>
  <c r="M151" i="3" s="1"/>
  <c r="L143" i="3"/>
  <c r="M143" i="3" s="1"/>
  <c r="L135" i="3"/>
  <c r="M135" i="3" s="1"/>
  <c r="L127" i="3"/>
  <c r="M127" i="3" s="1"/>
  <c r="L119" i="3"/>
  <c r="M119" i="3" s="1"/>
  <c r="L111" i="3"/>
  <c r="M111" i="3" s="1"/>
  <c r="L103" i="3"/>
  <c r="M103" i="3" s="1"/>
  <c r="L95" i="3"/>
  <c r="M95" i="3" s="1"/>
  <c r="L87" i="3"/>
  <c r="M87" i="3" s="1"/>
  <c r="L79" i="3"/>
  <c r="M79" i="3" s="1"/>
  <c r="L71" i="3"/>
  <c r="M71" i="3" s="1"/>
  <c r="L63" i="3"/>
  <c r="M63" i="3" s="1"/>
  <c r="L55" i="3"/>
  <c r="M55" i="3" s="1"/>
  <c r="L47" i="3"/>
  <c r="M47" i="3" s="1"/>
  <c r="L39" i="3"/>
  <c r="M39" i="3" s="1"/>
  <c r="L31" i="3"/>
  <c r="M31" i="3" s="1"/>
  <c r="L23" i="3"/>
  <c r="M23" i="3" s="1"/>
  <c r="L15" i="3"/>
  <c r="M15" i="3" s="1"/>
  <c r="L7" i="3"/>
  <c r="M7" i="3" s="1"/>
  <c r="M2" i="3"/>
  <c r="O578" i="3"/>
  <c r="P578" i="3" s="1"/>
  <c r="Q578" i="3" s="1"/>
  <c r="O314" i="3"/>
  <c r="P314" i="3" s="1"/>
  <c r="Q314" i="3" s="1"/>
  <c r="O386" i="3"/>
  <c r="P386" i="3" s="1"/>
  <c r="Q386" i="3" s="1"/>
  <c r="O434" i="3"/>
  <c r="P434" i="3" s="1"/>
  <c r="Q434" i="3" s="1"/>
  <c r="O570" i="3"/>
  <c r="P570" i="3" s="1"/>
  <c r="Q570" i="3" s="1"/>
  <c r="O506" i="3"/>
  <c r="P506" i="3" s="1"/>
  <c r="Q506" i="3" s="1"/>
  <c r="O306" i="3"/>
  <c r="P306" i="3" s="1"/>
  <c r="Q306" i="3" s="1"/>
  <c r="O442" i="3"/>
  <c r="P442" i="3" s="1"/>
  <c r="Q442" i="3" s="1"/>
  <c r="N486" i="3"/>
  <c r="O366" i="3"/>
  <c r="P366" i="3" s="1"/>
  <c r="Q366" i="3" s="1"/>
  <c r="O230" i="3"/>
  <c r="P230" i="3" s="1"/>
  <c r="O470" i="3"/>
  <c r="P470" i="3" s="1"/>
  <c r="Q470" i="3" s="1"/>
  <c r="O62" i="3"/>
  <c r="P62" i="3" s="1"/>
  <c r="N310" i="3"/>
  <c r="N118" i="3"/>
  <c r="N254" i="3"/>
  <c r="O360" i="3"/>
  <c r="P360" i="3" s="1"/>
  <c r="Q360" i="3" s="1"/>
  <c r="O240" i="3"/>
  <c r="P240" i="3" s="1"/>
  <c r="Q240" i="3" s="1"/>
  <c r="O16" i="3"/>
  <c r="P16" i="3" s="1"/>
  <c r="Q16" i="3" s="1"/>
  <c r="O440" i="3"/>
  <c r="P440" i="3" s="1"/>
  <c r="Q440" i="3" s="1"/>
  <c r="O248" i="3"/>
  <c r="P248" i="3" s="1"/>
  <c r="Q248" i="3" s="1"/>
  <c r="N192" i="3"/>
  <c r="O320" i="3"/>
  <c r="P320" i="3" s="1"/>
  <c r="Q320" i="3" s="1"/>
  <c r="O64" i="3"/>
  <c r="P64" i="3" s="1"/>
  <c r="Q64" i="3" s="1"/>
  <c r="N449" i="3"/>
  <c r="N185" i="3"/>
  <c r="N545" i="3"/>
  <c r="N481" i="3"/>
  <c r="N273" i="3"/>
  <c r="N81" i="3"/>
  <c r="N537" i="3"/>
  <c r="N313" i="3"/>
  <c r="N121" i="3"/>
  <c r="N409" i="3"/>
  <c r="N593" i="3"/>
  <c r="N561" i="3"/>
  <c r="O361" i="3"/>
  <c r="P361" i="3" s="1"/>
  <c r="Q361" i="3" s="1"/>
  <c r="O289" i="3"/>
  <c r="P289" i="3" s="1"/>
  <c r="Q289" i="3" s="1"/>
  <c r="O249" i="3"/>
  <c r="P249" i="3" s="1"/>
  <c r="Q249" i="3" s="1"/>
  <c r="O97" i="3"/>
  <c r="P97" i="3" s="1"/>
  <c r="Q97" i="3" s="1"/>
  <c r="N34" i="3"/>
  <c r="N50" i="3"/>
  <c r="B429" i="4"/>
  <c r="B333" i="4"/>
  <c r="F333" i="4" s="1"/>
  <c r="B307" i="4"/>
  <c r="C307" i="4" s="1"/>
  <c r="B125" i="4"/>
  <c r="C125" i="4" s="1"/>
  <c r="C25" i="4"/>
  <c r="F25" i="4"/>
  <c r="B335" i="4"/>
  <c r="B107" i="4"/>
  <c r="C429" i="4"/>
  <c r="F429" i="4"/>
  <c r="B578" i="4"/>
  <c r="B514" i="4"/>
  <c r="B513" i="4"/>
  <c r="B235" i="4"/>
  <c r="B498" i="4"/>
  <c r="B227" i="4"/>
  <c r="B450" i="4"/>
  <c r="B205" i="4"/>
  <c r="F125" i="4"/>
  <c r="B449" i="4"/>
  <c r="B127" i="4"/>
  <c r="B577" i="4"/>
  <c r="B562" i="4"/>
  <c r="B561" i="4"/>
  <c r="B497" i="4"/>
  <c r="B428" i="4"/>
  <c r="B303" i="4"/>
  <c r="B204" i="4"/>
  <c r="B99" i="4"/>
  <c r="B546" i="4"/>
  <c r="B482" i="4"/>
  <c r="B399" i="4"/>
  <c r="B284" i="4"/>
  <c r="B179" i="4"/>
  <c r="B73" i="4"/>
  <c r="B545" i="4"/>
  <c r="B481" i="4"/>
  <c r="B397" i="4"/>
  <c r="B283" i="4"/>
  <c r="B175" i="4"/>
  <c r="B71" i="4"/>
  <c r="B594" i="4"/>
  <c r="B530" i="4"/>
  <c r="B466" i="4"/>
  <c r="B367" i="4"/>
  <c r="B255" i="4"/>
  <c r="B156" i="4"/>
  <c r="B22" i="4"/>
  <c r="B593" i="4"/>
  <c r="B529" i="4"/>
  <c r="B465" i="4"/>
  <c r="B365" i="4"/>
  <c r="B253" i="4"/>
  <c r="B155" i="4"/>
  <c r="B14" i="4"/>
  <c r="B591" i="4"/>
  <c r="B575" i="4"/>
  <c r="B559" i="4"/>
  <c r="B543" i="4"/>
  <c r="B527" i="4"/>
  <c r="B511" i="4"/>
  <c r="B495" i="4"/>
  <c r="B479" i="4"/>
  <c r="B463" i="4"/>
  <c r="B446" i="4"/>
  <c r="B426" i="4"/>
  <c r="B395" i="4"/>
  <c r="B363" i="4"/>
  <c r="B331" i="4"/>
  <c r="B301" i="4"/>
  <c r="B275" i="4"/>
  <c r="B252" i="4"/>
  <c r="B223" i="4"/>
  <c r="B203" i="4"/>
  <c r="B173" i="4"/>
  <c r="B147" i="4"/>
  <c r="B124" i="4"/>
  <c r="B95" i="4"/>
  <c r="B70" i="4"/>
  <c r="B9" i="4"/>
  <c r="B587" i="4"/>
  <c r="B571" i="4"/>
  <c r="B555" i="4"/>
  <c r="B539" i="4"/>
  <c r="B523" i="4"/>
  <c r="B507" i="4"/>
  <c r="B491" i="4"/>
  <c r="B475" i="4"/>
  <c r="B459" i="4"/>
  <c r="B442" i="4"/>
  <c r="B419" i="4"/>
  <c r="B387" i="4"/>
  <c r="B355" i="4"/>
  <c r="B323" i="4"/>
  <c r="B300" i="4"/>
  <c r="B271" i="4"/>
  <c r="B251" i="4"/>
  <c r="B221" i="4"/>
  <c r="B195" i="4"/>
  <c r="B172" i="4"/>
  <c r="B143" i="4"/>
  <c r="B123" i="4"/>
  <c r="B93" i="4"/>
  <c r="B54" i="4"/>
  <c r="B7" i="4"/>
  <c r="B602" i="4"/>
  <c r="B586" i="4"/>
  <c r="B570" i="4"/>
  <c r="B554" i="4"/>
  <c r="B538" i="4"/>
  <c r="B522" i="4"/>
  <c r="B506" i="4"/>
  <c r="B490" i="4"/>
  <c r="B474" i="4"/>
  <c r="B458" i="4"/>
  <c r="B441" i="4"/>
  <c r="B415" i="4"/>
  <c r="B383" i="4"/>
  <c r="B351" i="4"/>
  <c r="B319" i="4"/>
  <c r="B299" i="4"/>
  <c r="B269" i="4"/>
  <c r="B243" i="4"/>
  <c r="B220" i="4"/>
  <c r="B191" i="4"/>
  <c r="B171" i="4"/>
  <c r="B141" i="4"/>
  <c r="B115" i="4"/>
  <c r="B92" i="4"/>
  <c r="B46" i="4"/>
  <c r="B6" i="4"/>
  <c r="B601" i="4"/>
  <c r="B585" i="4"/>
  <c r="B569" i="4"/>
  <c r="B553" i="4"/>
  <c r="B537" i="4"/>
  <c r="B521" i="4"/>
  <c r="B505" i="4"/>
  <c r="B489" i="4"/>
  <c r="B473" i="4"/>
  <c r="B457" i="4"/>
  <c r="B439" i="4"/>
  <c r="B413" i="4"/>
  <c r="B381" i="4"/>
  <c r="B349" i="4"/>
  <c r="B317" i="4"/>
  <c r="B291" i="4"/>
  <c r="B268" i="4"/>
  <c r="B239" i="4"/>
  <c r="B219" i="4"/>
  <c r="B189" i="4"/>
  <c r="B163" i="4"/>
  <c r="B140" i="4"/>
  <c r="B111" i="4"/>
  <c r="B91" i="4"/>
  <c r="B41" i="4"/>
  <c r="B599" i="4"/>
  <c r="B583" i="4"/>
  <c r="B567" i="4"/>
  <c r="B551" i="4"/>
  <c r="B535" i="4"/>
  <c r="B519" i="4"/>
  <c r="B503" i="4"/>
  <c r="B487" i="4"/>
  <c r="B471" i="4"/>
  <c r="B455" i="4"/>
  <c r="B437" i="4"/>
  <c r="B411" i="4"/>
  <c r="B379" i="4"/>
  <c r="B347" i="4"/>
  <c r="B316" i="4"/>
  <c r="B287" i="4"/>
  <c r="B267" i="4"/>
  <c r="B237" i="4"/>
  <c r="B211" i="4"/>
  <c r="B188" i="4"/>
  <c r="B159" i="4"/>
  <c r="B139" i="4"/>
  <c r="B109" i="4"/>
  <c r="B83" i="4"/>
  <c r="B39" i="4"/>
  <c r="B595" i="4"/>
  <c r="B579" i="4"/>
  <c r="B563" i="4"/>
  <c r="B547" i="4"/>
  <c r="B531" i="4"/>
  <c r="B515" i="4"/>
  <c r="B499" i="4"/>
  <c r="B483" i="4"/>
  <c r="B467" i="4"/>
  <c r="B451" i="4"/>
  <c r="B431" i="4"/>
  <c r="B403" i="4"/>
  <c r="B371" i="4"/>
  <c r="B339" i="4"/>
  <c r="B315" i="4"/>
  <c r="B285" i="4"/>
  <c r="B259" i="4"/>
  <c r="B236" i="4"/>
  <c r="B207" i="4"/>
  <c r="B187" i="4"/>
  <c r="B157" i="4"/>
  <c r="B131" i="4"/>
  <c r="B108" i="4"/>
  <c r="B78" i="4"/>
  <c r="B38" i="4"/>
  <c r="B600" i="4"/>
  <c r="B592" i="4"/>
  <c r="B584" i="4"/>
  <c r="B576" i="4"/>
  <c r="B568" i="4"/>
  <c r="B560" i="4"/>
  <c r="B552" i="4"/>
  <c r="B544" i="4"/>
  <c r="B536" i="4"/>
  <c r="B528" i="4"/>
  <c r="B520" i="4"/>
  <c r="B512" i="4"/>
  <c r="B504" i="4"/>
  <c r="B496" i="4"/>
  <c r="B488" i="4"/>
  <c r="B480" i="4"/>
  <c r="B472" i="4"/>
  <c r="B464" i="4"/>
  <c r="B456" i="4"/>
  <c r="B447" i="4"/>
  <c r="B438" i="4"/>
  <c r="B427" i="4"/>
  <c r="B412" i="4"/>
  <c r="B396" i="4"/>
  <c r="B380" i="4"/>
  <c r="B364" i="4"/>
  <c r="B348" i="4"/>
  <c r="B332" i="4"/>
  <c r="B598" i="4"/>
  <c r="B590" i="4"/>
  <c r="B582" i="4"/>
  <c r="B574" i="4"/>
  <c r="B566" i="4"/>
  <c r="B558" i="4"/>
  <c r="B550" i="4"/>
  <c r="B542" i="4"/>
  <c r="B534" i="4"/>
  <c r="B526" i="4"/>
  <c r="B518" i="4"/>
  <c r="B510" i="4"/>
  <c r="B502" i="4"/>
  <c r="B494" i="4"/>
  <c r="B486" i="4"/>
  <c r="B478" i="4"/>
  <c r="B470" i="4"/>
  <c r="B462" i="4"/>
  <c r="B454" i="4"/>
  <c r="B445" i="4"/>
  <c r="B436" i="4"/>
  <c r="B423" i="4"/>
  <c r="B407" i="4"/>
  <c r="B391" i="4"/>
  <c r="B375" i="4"/>
  <c r="B359" i="4"/>
  <c r="B343" i="4"/>
  <c r="B327" i="4"/>
  <c r="B311" i="4"/>
  <c r="B295" i="4"/>
  <c r="B279" i="4"/>
  <c r="B263" i="4"/>
  <c r="B247" i="4"/>
  <c r="B231" i="4"/>
  <c r="B215" i="4"/>
  <c r="B199" i="4"/>
  <c r="B183" i="4"/>
  <c r="B167" i="4"/>
  <c r="B151" i="4"/>
  <c r="B135" i="4"/>
  <c r="B119" i="4"/>
  <c r="B103" i="4"/>
  <c r="B87" i="4"/>
  <c r="B62" i="4"/>
  <c r="B30" i="4"/>
  <c r="B597" i="4"/>
  <c r="B589" i="4"/>
  <c r="B581" i="4"/>
  <c r="B573" i="4"/>
  <c r="B565" i="4"/>
  <c r="B557" i="4"/>
  <c r="B549" i="4"/>
  <c r="B541" i="4"/>
  <c r="B533" i="4"/>
  <c r="B525" i="4"/>
  <c r="B517" i="4"/>
  <c r="B509" i="4"/>
  <c r="B501" i="4"/>
  <c r="B493" i="4"/>
  <c r="B485" i="4"/>
  <c r="B477" i="4"/>
  <c r="B469" i="4"/>
  <c r="B461" i="4"/>
  <c r="B453" i="4"/>
  <c r="B444" i="4"/>
  <c r="B435" i="4"/>
  <c r="B421" i="4"/>
  <c r="B405" i="4"/>
  <c r="B389" i="4"/>
  <c r="B373" i="4"/>
  <c r="B357" i="4"/>
  <c r="B341" i="4"/>
  <c r="B325" i="4"/>
  <c r="B309" i="4"/>
  <c r="B293" i="4"/>
  <c r="B277" i="4"/>
  <c r="B261" i="4"/>
  <c r="B245" i="4"/>
  <c r="B229" i="4"/>
  <c r="B213" i="4"/>
  <c r="B197" i="4"/>
  <c r="B181" i="4"/>
  <c r="B165" i="4"/>
  <c r="B149" i="4"/>
  <c r="B133" i="4"/>
  <c r="B117" i="4"/>
  <c r="B101" i="4"/>
  <c r="B85" i="4"/>
  <c r="B57" i="4"/>
  <c r="A2" i="4"/>
  <c r="B2" i="4" s="1"/>
  <c r="B10" i="4"/>
  <c r="B18" i="4"/>
  <c r="B26" i="4"/>
  <c r="B34" i="4"/>
  <c r="B42" i="4"/>
  <c r="B50" i="4"/>
  <c r="B58" i="4"/>
  <c r="B66" i="4"/>
  <c r="B74" i="4"/>
  <c r="B3" i="4"/>
  <c r="B11" i="4"/>
  <c r="B19" i="4"/>
  <c r="B27" i="4"/>
  <c r="B35" i="4"/>
  <c r="B43" i="4"/>
  <c r="B51" i="4"/>
  <c r="B59" i="4"/>
  <c r="B67" i="4"/>
  <c r="B75" i="4"/>
  <c r="B5" i="4"/>
  <c r="B13" i="4"/>
  <c r="B21" i="4"/>
  <c r="B29" i="4"/>
  <c r="B37" i="4"/>
  <c r="B45" i="4"/>
  <c r="B53" i="4"/>
  <c r="B61" i="4"/>
  <c r="B69" i="4"/>
  <c r="B77" i="4"/>
  <c r="B8" i="4"/>
  <c r="B16" i="4"/>
  <c r="B24" i="4"/>
  <c r="B32" i="4"/>
  <c r="B40" i="4"/>
  <c r="B48" i="4"/>
  <c r="B56" i="4"/>
  <c r="B64" i="4"/>
  <c r="B72" i="4"/>
  <c r="B80" i="4"/>
  <c r="B15" i="4"/>
  <c r="B31" i="4"/>
  <c r="B47" i="4"/>
  <c r="B63" i="4"/>
  <c r="B79" i="4"/>
  <c r="B88" i="4"/>
  <c r="B96" i="4"/>
  <c r="B104" i="4"/>
  <c r="B112" i="4"/>
  <c r="B120" i="4"/>
  <c r="B128" i="4"/>
  <c r="B136" i="4"/>
  <c r="B144" i="4"/>
  <c r="B152" i="4"/>
  <c r="B160" i="4"/>
  <c r="B168" i="4"/>
  <c r="B176" i="4"/>
  <c r="B184" i="4"/>
  <c r="B192" i="4"/>
  <c r="B200" i="4"/>
  <c r="B208" i="4"/>
  <c r="B216" i="4"/>
  <c r="B224" i="4"/>
  <c r="B232" i="4"/>
  <c r="B240" i="4"/>
  <c r="B248" i="4"/>
  <c r="B256" i="4"/>
  <c r="B264" i="4"/>
  <c r="B272" i="4"/>
  <c r="B280" i="4"/>
  <c r="B288" i="4"/>
  <c r="B296" i="4"/>
  <c r="B304" i="4"/>
  <c r="B312" i="4"/>
  <c r="B320" i="4"/>
  <c r="B328" i="4"/>
  <c r="B336" i="4"/>
  <c r="B344" i="4"/>
  <c r="B352" i="4"/>
  <c r="B360" i="4"/>
  <c r="B368" i="4"/>
  <c r="B376" i="4"/>
  <c r="B384" i="4"/>
  <c r="B392" i="4"/>
  <c r="B400" i="4"/>
  <c r="B408" i="4"/>
  <c r="B416" i="4"/>
  <c r="B424" i="4"/>
  <c r="B432" i="4"/>
  <c r="B440" i="4"/>
  <c r="B448" i="4"/>
  <c r="B17" i="4"/>
  <c r="B33" i="4"/>
  <c r="B49" i="4"/>
  <c r="B65" i="4"/>
  <c r="B81" i="4"/>
  <c r="B89" i="4"/>
  <c r="B97" i="4"/>
  <c r="B105" i="4"/>
  <c r="B113" i="4"/>
  <c r="B121" i="4"/>
  <c r="B129" i="4"/>
  <c r="B137" i="4"/>
  <c r="B145" i="4"/>
  <c r="B153" i="4"/>
  <c r="B161" i="4"/>
  <c r="B169" i="4"/>
  <c r="B177" i="4"/>
  <c r="B185" i="4"/>
  <c r="B193" i="4"/>
  <c r="B201" i="4"/>
  <c r="B209" i="4"/>
  <c r="B217" i="4"/>
  <c r="B225" i="4"/>
  <c r="B233" i="4"/>
  <c r="B241" i="4"/>
  <c r="B249" i="4"/>
  <c r="B257" i="4"/>
  <c r="B265" i="4"/>
  <c r="B273" i="4"/>
  <c r="B281" i="4"/>
  <c r="B289" i="4"/>
  <c r="B297" i="4"/>
  <c r="B305" i="4"/>
  <c r="B313" i="4"/>
  <c r="B321" i="4"/>
  <c r="B329" i="4"/>
  <c r="B337" i="4"/>
  <c r="B345" i="4"/>
  <c r="B353" i="4"/>
  <c r="B361" i="4"/>
  <c r="B369" i="4"/>
  <c r="B377" i="4"/>
  <c r="B385" i="4"/>
  <c r="B393" i="4"/>
  <c r="B401" i="4"/>
  <c r="B409" i="4"/>
  <c r="B417" i="4"/>
  <c r="B425" i="4"/>
  <c r="B433" i="4"/>
  <c r="B4" i="4"/>
  <c r="B20" i="4"/>
  <c r="B36" i="4"/>
  <c r="B52" i="4"/>
  <c r="B68" i="4"/>
  <c r="B82" i="4"/>
  <c r="B90" i="4"/>
  <c r="B98" i="4"/>
  <c r="B106" i="4"/>
  <c r="B114" i="4"/>
  <c r="B122" i="4"/>
  <c r="B130" i="4"/>
  <c r="B138" i="4"/>
  <c r="B146" i="4"/>
  <c r="B154" i="4"/>
  <c r="B162" i="4"/>
  <c r="B170" i="4"/>
  <c r="B178" i="4"/>
  <c r="B186" i="4"/>
  <c r="B194" i="4"/>
  <c r="B202" i="4"/>
  <c r="B210" i="4"/>
  <c r="B218" i="4"/>
  <c r="B226" i="4"/>
  <c r="B234" i="4"/>
  <c r="B242" i="4"/>
  <c r="B250" i="4"/>
  <c r="B258" i="4"/>
  <c r="B266" i="4"/>
  <c r="B274" i="4"/>
  <c r="B282" i="4"/>
  <c r="B290" i="4"/>
  <c r="B298" i="4"/>
  <c r="B306" i="4"/>
  <c r="B314" i="4"/>
  <c r="B322" i="4"/>
  <c r="B330" i="4"/>
  <c r="B338" i="4"/>
  <c r="B346" i="4"/>
  <c r="B354" i="4"/>
  <c r="B362" i="4"/>
  <c r="B370" i="4"/>
  <c r="B378" i="4"/>
  <c r="B386" i="4"/>
  <c r="B394" i="4"/>
  <c r="B402" i="4"/>
  <c r="B410" i="4"/>
  <c r="B418" i="4"/>
  <c r="B12" i="4"/>
  <c r="B28" i="4"/>
  <c r="B44" i="4"/>
  <c r="B60" i="4"/>
  <c r="B76" i="4"/>
  <c r="B86" i="4"/>
  <c r="B94" i="4"/>
  <c r="B102" i="4"/>
  <c r="B110" i="4"/>
  <c r="B118" i="4"/>
  <c r="B126" i="4"/>
  <c r="B134" i="4"/>
  <c r="B142" i="4"/>
  <c r="B150" i="4"/>
  <c r="B158" i="4"/>
  <c r="B166" i="4"/>
  <c r="B174" i="4"/>
  <c r="B182" i="4"/>
  <c r="B190" i="4"/>
  <c r="B198" i="4"/>
  <c r="B206" i="4"/>
  <c r="B214" i="4"/>
  <c r="B222" i="4"/>
  <c r="B230" i="4"/>
  <c r="B238" i="4"/>
  <c r="B246" i="4"/>
  <c r="B254" i="4"/>
  <c r="B262" i="4"/>
  <c r="B270" i="4"/>
  <c r="B278" i="4"/>
  <c r="B286" i="4"/>
  <c r="B294" i="4"/>
  <c r="B302" i="4"/>
  <c r="B310" i="4"/>
  <c r="B318" i="4"/>
  <c r="B326" i="4"/>
  <c r="B334" i="4"/>
  <c r="B342" i="4"/>
  <c r="B350" i="4"/>
  <c r="B358" i="4"/>
  <c r="B366" i="4"/>
  <c r="B374" i="4"/>
  <c r="B382" i="4"/>
  <c r="B390" i="4"/>
  <c r="B398" i="4"/>
  <c r="B406" i="4"/>
  <c r="B414" i="4"/>
  <c r="B422" i="4"/>
  <c r="B430" i="4"/>
  <c r="B596" i="4"/>
  <c r="B588" i="4"/>
  <c r="B580" i="4"/>
  <c r="B572" i="4"/>
  <c r="B564" i="4"/>
  <c r="B556" i="4"/>
  <c r="B548" i="4"/>
  <c r="B540" i="4"/>
  <c r="B532" i="4"/>
  <c r="B524" i="4"/>
  <c r="B516" i="4"/>
  <c r="B508" i="4"/>
  <c r="B500" i="4"/>
  <c r="B492" i="4"/>
  <c r="B484" i="4"/>
  <c r="B476" i="4"/>
  <c r="B468" i="4"/>
  <c r="B460" i="4"/>
  <c r="B452" i="4"/>
  <c r="B443" i="4"/>
  <c r="B434" i="4"/>
  <c r="B420" i="4"/>
  <c r="B404" i="4"/>
  <c r="B388" i="4"/>
  <c r="B372" i="4"/>
  <c r="B356" i="4"/>
  <c r="B340" i="4"/>
  <c r="B324" i="4"/>
  <c r="B308" i="4"/>
  <c r="B292" i="4"/>
  <c r="B276" i="4"/>
  <c r="B260" i="4"/>
  <c r="B244" i="4"/>
  <c r="B228" i="4"/>
  <c r="B212" i="4"/>
  <c r="B196" i="4"/>
  <c r="B180" i="4"/>
  <c r="B164" i="4"/>
  <c r="B148" i="4"/>
  <c r="B132" i="4"/>
  <c r="B116" i="4"/>
  <c r="B100" i="4"/>
  <c r="B84" i="4"/>
  <c r="B55" i="4"/>
  <c r="B23" i="4"/>
  <c r="N522" i="3"/>
  <c r="N458" i="3"/>
  <c r="N586" i="3"/>
  <c r="N584" i="3"/>
  <c r="N560" i="3"/>
  <c r="N552" i="3"/>
  <c r="N394" i="3"/>
  <c r="N488" i="3"/>
  <c r="N432" i="3"/>
  <c r="N424" i="3"/>
  <c r="N368" i="3"/>
  <c r="N312" i="3"/>
  <c r="P10" i="3"/>
  <c r="Q10" i="3" s="1"/>
  <c r="B24" i="6" l="1"/>
  <c r="J65" i="6"/>
  <c r="X2" i="6"/>
  <c r="B26" i="6"/>
  <c r="C25" i="6" s="1"/>
  <c r="B28" i="6" s="1"/>
  <c r="O65" i="6" s="1"/>
  <c r="R65" i="6" s="1"/>
  <c r="G109" i="6"/>
  <c r="I109" i="6" s="1"/>
  <c r="K109" i="6" s="1"/>
  <c r="L109" i="6" s="1"/>
  <c r="H109" i="6"/>
  <c r="G237" i="6"/>
  <c r="I237" i="6" s="1"/>
  <c r="H237" i="6"/>
  <c r="G429" i="6"/>
  <c r="I429" i="6" s="1"/>
  <c r="H429" i="6"/>
  <c r="G493" i="6"/>
  <c r="I493" i="6" s="1"/>
  <c r="K493" i="6" s="1"/>
  <c r="L493" i="6" s="1"/>
  <c r="O493" i="6" s="1"/>
  <c r="R493" i="6" s="1"/>
  <c r="H493" i="6"/>
  <c r="G557" i="6"/>
  <c r="I557" i="6" s="1"/>
  <c r="H557" i="6"/>
  <c r="G572" i="6"/>
  <c r="I572" i="6" s="1"/>
  <c r="H572" i="6"/>
  <c r="G134" i="6"/>
  <c r="I134" i="6" s="1"/>
  <c r="K134" i="6" s="1"/>
  <c r="L134" i="6" s="1"/>
  <c r="H134" i="6"/>
  <c r="G198" i="6"/>
  <c r="I198" i="6" s="1"/>
  <c r="J198" i="6" s="1"/>
  <c r="H198" i="6"/>
  <c r="G262" i="6"/>
  <c r="I262" i="6" s="1"/>
  <c r="K262" i="6" s="1"/>
  <c r="L262" i="6" s="1"/>
  <c r="H262" i="6"/>
  <c r="G326" i="6"/>
  <c r="I326" i="6" s="1"/>
  <c r="J326" i="6" s="1"/>
  <c r="H326" i="6"/>
  <c r="G390" i="6"/>
  <c r="I390" i="6" s="1"/>
  <c r="J390" i="6" s="1"/>
  <c r="H390" i="6"/>
  <c r="G518" i="6"/>
  <c r="I518" i="6" s="1"/>
  <c r="K518" i="6" s="1"/>
  <c r="L518" i="6" s="1"/>
  <c r="O518" i="6" s="1"/>
  <c r="R518" i="6" s="1"/>
  <c r="H518" i="6"/>
  <c r="G582" i="6"/>
  <c r="I582" i="6" s="1"/>
  <c r="K582" i="6" s="1"/>
  <c r="L582" i="6" s="1"/>
  <c r="H582" i="6"/>
  <c r="G64" i="6"/>
  <c r="I64" i="6" s="1"/>
  <c r="H64" i="6"/>
  <c r="G79" i="6"/>
  <c r="I79" i="6" s="1"/>
  <c r="J79" i="6" s="1"/>
  <c r="H79" i="6"/>
  <c r="G15" i="6"/>
  <c r="I15" i="6" s="1"/>
  <c r="K15" i="6" s="1"/>
  <c r="L15" i="6" s="1"/>
  <c r="O15" i="6" s="1"/>
  <c r="R15" i="6" s="1"/>
  <c r="H15" i="6"/>
  <c r="G30" i="6"/>
  <c r="I30" i="6" s="1"/>
  <c r="K30" i="6" s="1"/>
  <c r="L30" i="6" s="1"/>
  <c r="H30" i="6"/>
  <c r="G45" i="6"/>
  <c r="I45" i="6" s="1"/>
  <c r="K45" i="6" s="1"/>
  <c r="L45" i="6" s="1"/>
  <c r="O45" i="6" s="1"/>
  <c r="R45" i="6" s="1"/>
  <c r="H45" i="6"/>
  <c r="G60" i="6"/>
  <c r="I60" i="6" s="1"/>
  <c r="K60" i="6" s="1"/>
  <c r="L60" i="6" s="1"/>
  <c r="H60" i="6"/>
  <c r="G75" i="6"/>
  <c r="I75" i="6" s="1"/>
  <c r="K75" i="6" s="1"/>
  <c r="L75" i="6" s="1"/>
  <c r="O75" i="6" s="1"/>
  <c r="R75" i="6" s="1"/>
  <c r="H75" i="6"/>
  <c r="G11" i="6"/>
  <c r="I11" i="6" s="1"/>
  <c r="K11" i="6" s="1"/>
  <c r="L11" i="6" s="1"/>
  <c r="H11" i="6"/>
  <c r="G26" i="6"/>
  <c r="I26" i="6" s="1"/>
  <c r="K26" i="6" s="1"/>
  <c r="L26" i="6" s="1"/>
  <c r="O26" i="6" s="1"/>
  <c r="R26" i="6" s="1"/>
  <c r="H26" i="6"/>
  <c r="G119" i="6"/>
  <c r="I119" i="6" s="1"/>
  <c r="K119" i="6" s="1"/>
  <c r="L119" i="6" s="1"/>
  <c r="H119" i="6"/>
  <c r="G247" i="6"/>
  <c r="I247" i="6" s="1"/>
  <c r="K247" i="6" s="1"/>
  <c r="L247" i="6" s="1"/>
  <c r="O247" i="6" s="1"/>
  <c r="R247" i="6" s="1"/>
  <c r="H247" i="6"/>
  <c r="G311" i="6"/>
  <c r="I311" i="6" s="1"/>
  <c r="K311" i="6" s="1"/>
  <c r="L311" i="6" s="1"/>
  <c r="H311" i="6"/>
  <c r="G375" i="6"/>
  <c r="I375" i="6" s="1"/>
  <c r="J375" i="6" s="1"/>
  <c r="H375" i="6"/>
  <c r="G439" i="6"/>
  <c r="I439" i="6" s="1"/>
  <c r="K439" i="6" s="1"/>
  <c r="L439" i="6" s="1"/>
  <c r="H439" i="6"/>
  <c r="G503" i="6"/>
  <c r="I503" i="6" s="1"/>
  <c r="K503" i="6" s="1"/>
  <c r="L503" i="6" s="1"/>
  <c r="O503" i="6" s="1"/>
  <c r="R503" i="6" s="1"/>
  <c r="H503" i="6"/>
  <c r="G567" i="6"/>
  <c r="I567" i="6" s="1"/>
  <c r="H567" i="6"/>
  <c r="G244" i="6"/>
  <c r="I244" i="6" s="1"/>
  <c r="K244" i="6" s="1"/>
  <c r="L244" i="6" s="1"/>
  <c r="O244" i="6" s="1"/>
  <c r="R244" i="6" s="1"/>
  <c r="H244" i="6"/>
  <c r="G9" i="6"/>
  <c r="I9" i="6" s="1"/>
  <c r="H9" i="6"/>
  <c r="G200" i="6"/>
  <c r="I200" i="6" s="1"/>
  <c r="H200" i="6"/>
  <c r="G264" i="6"/>
  <c r="I264" i="6" s="1"/>
  <c r="K264" i="6" s="1"/>
  <c r="L264" i="6" s="1"/>
  <c r="H264" i="6"/>
  <c r="G392" i="6"/>
  <c r="I392" i="6" s="1"/>
  <c r="H392" i="6"/>
  <c r="G520" i="6"/>
  <c r="I520" i="6" s="1"/>
  <c r="J520" i="6" s="1"/>
  <c r="H520" i="6"/>
  <c r="G584" i="6"/>
  <c r="I584" i="6" s="1"/>
  <c r="K584" i="6" s="1"/>
  <c r="L584" i="6" s="1"/>
  <c r="O584" i="6" s="1"/>
  <c r="R584" i="6" s="1"/>
  <c r="H584" i="6"/>
  <c r="G372" i="6"/>
  <c r="I372" i="6" s="1"/>
  <c r="K372" i="6" s="1"/>
  <c r="L372" i="6" s="1"/>
  <c r="H372" i="6"/>
  <c r="G89" i="6"/>
  <c r="I89" i="6" s="1"/>
  <c r="H89" i="6"/>
  <c r="G153" i="6"/>
  <c r="I153" i="6" s="1"/>
  <c r="J153" i="6" s="1"/>
  <c r="H153" i="6"/>
  <c r="G217" i="6"/>
  <c r="I217" i="6" s="1"/>
  <c r="K217" i="6" s="1"/>
  <c r="L217" i="6" s="1"/>
  <c r="O217" i="6" s="1"/>
  <c r="R217" i="6" s="1"/>
  <c r="H217" i="6"/>
  <c r="G281" i="6"/>
  <c r="I281" i="6" s="1"/>
  <c r="K281" i="6" s="1"/>
  <c r="L281" i="6" s="1"/>
  <c r="H281" i="6"/>
  <c r="G345" i="6"/>
  <c r="I345" i="6" s="1"/>
  <c r="H345" i="6"/>
  <c r="G409" i="6"/>
  <c r="I409" i="6" s="1"/>
  <c r="J409" i="6" s="1"/>
  <c r="H409" i="6"/>
  <c r="G473" i="6"/>
  <c r="I473" i="6" s="1"/>
  <c r="K473" i="6" s="1"/>
  <c r="L473" i="6" s="1"/>
  <c r="O473" i="6" s="1"/>
  <c r="R473" i="6" s="1"/>
  <c r="H473" i="6"/>
  <c r="G537" i="6"/>
  <c r="I537" i="6" s="1"/>
  <c r="H537" i="6"/>
  <c r="G601" i="6"/>
  <c r="I601" i="6" s="1"/>
  <c r="H601" i="6"/>
  <c r="G130" i="6"/>
  <c r="I130" i="6" s="1"/>
  <c r="J130" i="6" s="1"/>
  <c r="H130" i="6"/>
  <c r="G194" i="6"/>
  <c r="I194" i="6" s="1"/>
  <c r="K194" i="6" s="1"/>
  <c r="L194" i="6" s="1"/>
  <c r="O194" i="6" s="1"/>
  <c r="R194" i="6" s="1"/>
  <c r="H194" i="6"/>
  <c r="G258" i="6"/>
  <c r="I258" i="6" s="1"/>
  <c r="K258" i="6" s="1"/>
  <c r="L258" i="6" s="1"/>
  <c r="H258" i="6"/>
  <c r="G322" i="6"/>
  <c r="I322" i="6" s="1"/>
  <c r="J322" i="6" s="1"/>
  <c r="H322" i="6"/>
  <c r="G386" i="6"/>
  <c r="I386" i="6" s="1"/>
  <c r="J386" i="6" s="1"/>
  <c r="H386" i="6"/>
  <c r="G450" i="6"/>
  <c r="I450" i="6" s="1"/>
  <c r="K450" i="6" s="1"/>
  <c r="L450" i="6" s="1"/>
  <c r="O450" i="6" s="1"/>
  <c r="R450" i="6" s="1"/>
  <c r="H450" i="6"/>
  <c r="G514" i="6"/>
  <c r="I514" i="6" s="1"/>
  <c r="J514" i="6" s="1"/>
  <c r="H514" i="6"/>
  <c r="G578" i="6"/>
  <c r="I578" i="6" s="1"/>
  <c r="H578" i="6"/>
  <c r="G268" i="6"/>
  <c r="I268" i="6" s="1"/>
  <c r="J268" i="6" s="1"/>
  <c r="H268" i="6"/>
  <c r="G83" i="6"/>
  <c r="I83" i="6" s="1"/>
  <c r="K83" i="6" s="1"/>
  <c r="L83" i="6" s="1"/>
  <c r="O83" i="6" s="1"/>
  <c r="R83" i="6" s="1"/>
  <c r="H83" i="6"/>
  <c r="G147" i="6"/>
  <c r="I147" i="6" s="1"/>
  <c r="K147" i="6" s="1"/>
  <c r="L147" i="6" s="1"/>
  <c r="H147" i="6"/>
  <c r="G211" i="6"/>
  <c r="I211" i="6" s="1"/>
  <c r="H211" i="6"/>
  <c r="G275" i="6"/>
  <c r="I275" i="6" s="1"/>
  <c r="J275" i="6" s="1"/>
  <c r="H275" i="6"/>
  <c r="G339" i="6"/>
  <c r="I339" i="6" s="1"/>
  <c r="K339" i="6" s="1"/>
  <c r="L339" i="6" s="1"/>
  <c r="O339" i="6" s="1"/>
  <c r="R339" i="6" s="1"/>
  <c r="H339" i="6"/>
  <c r="G403" i="6"/>
  <c r="I403" i="6" s="1"/>
  <c r="K403" i="6" s="1"/>
  <c r="L403" i="6" s="1"/>
  <c r="H403" i="6"/>
  <c r="G467" i="6"/>
  <c r="I467" i="6" s="1"/>
  <c r="K467" i="6" s="1"/>
  <c r="L467" i="6" s="1"/>
  <c r="O467" i="6" s="1"/>
  <c r="R467" i="6" s="1"/>
  <c r="H467" i="6"/>
  <c r="G531" i="6"/>
  <c r="I531" i="6" s="1"/>
  <c r="J531" i="6" s="1"/>
  <c r="H531" i="6"/>
  <c r="G595" i="6"/>
  <c r="I595" i="6" s="1"/>
  <c r="K595" i="6" s="1"/>
  <c r="L595" i="6" s="1"/>
  <c r="O595" i="6" s="1"/>
  <c r="R595" i="6" s="1"/>
  <c r="H595" i="6"/>
  <c r="G404" i="6"/>
  <c r="I404" i="6" s="1"/>
  <c r="K404" i="6" s="1"/>
  <c r="L404" i="6" s="1"/>
  <c r="H404" i="6"/>
  <c r="G117" i="6"/>
  <c r="I117" i="6" s="1"/>
  <c r="H117" i="6"/>
  <c r="G181" i="6"/>
  <c r="I181" i="6" s="1"/>
  <c r="J181" i="6" s="1"/>
  <c r="H181" i="6"/>
  <c r="G245" i="6"/>
  <c r="I245" i="6" s="1"/>
  <c r="H245" i="6"/>
  <c r="G309" i="6"/>
  <c r="I309" i="6" s="1"/>
  <c r="J309" i="6" s="1"/>
  <c r="H309" i="6"/>
  <c r="G373" i="6"/>
  <c r="I373" i="6" s="1"/>
  <c r="H373" i="6"/>
  <c r="G437" i="6"/>
  <c r="I437" i="6" s="1"/>
  <c r="J437" i="6" s="1"/>
  <c r="H437" i="6"/>
  <c r="G501" i="6"/>
  <c r="I501" i="6" s="1"/>
  <c r="H501" i="6"/>
  <c r="G565" i="6"/>
  <c r="I565" i="6" s="1"/>
  <c r="K565" i="6" s="1"/>
  <c r="L565" i="6" s="1"/>
  <c r="H565" i="6"/>
  <c r="G276" i="6"/>
  <c r="I276" i="6" s="1"/>
  <c r="K276" i="6" s="1"/>
  <c r="L276" i="6" s="1"/>
  <c r="O276" i="6" s="1"/>
  <c r="R276" i="6" s="1"/>
  <c r="H276" i="6"/>
  <c r="G57" i="6"/>
  <c r="I57" i="6" s="1"/>
  <c r="J57" i="6" s="1"/>
  <c r="H57" i="6"/>
  <c r="G142" i="6"/>
  <c r="I142" i="6" s="1"/>
  <c r="J142" i="6" s="1"/>
  <c r="H142" i="6"/>
  <c r="G206" i="6"/>
  <c r="I206" i="6" s="1"/>
  <c r="K206" i="6" s="1"/>
  <c r="L206" i="6" s="1"/>
  <c r="H206" i="6"/>
  <c r="G270" i="6"/>
  <c r="I270" i="6" s="1"/>
  <c r="K270" i="6" s="1"/>
  <c r="L270" i="6" s="1"/>
  <c r="O270" i="6" s="1"/>
  <c r="R270" i="6" s="1"/>
  <c r="H270" i="6"/>
  <c r="G334" i="6"/>
  <c r="I334" i="6" s="1"/>
  <c r="J334" i="6" s="1"/>
  <c r="H334" i="6"/>
  <c r="G398" i="6"/>
  <c r="I398" i="6" s="1"/>
  <c r="K398" i="6" s="1"/>
  <c r="L398" i="6" s="1"/>
  <c r="O398" i="6" s="1"/>
  <c r="R398" i="6" s="1"/>
  <c r="H398" i="6"/>
  <c r="G462" i="6"/>
  <c r="I462" i="6" s="1"/>
  <c r="K462" i="6" s="1"/>
  <c r="L462" i="6" s="1"/>
  <c r="H462" i="6"/>
  <c r="G526" i="6"/>
  <c r="I526" i="6" s="1"/>
  <c r="K526" i="6" s="1"/>
  <c r="L526" i="6" s="1"/>
  <c r="O526" i="6" s="1"/>
  <c r="R526" i="6" s="1"/>
  <c r="H526" i="6"/>
  <c r="G590" i="6"/>
  <c r="I590" i="6" s="1"/>
  <c r="J590" i="6" s="1"/>
  <c r="H590" i="6"/>
  <c r="G340" i="6"/>
  <c r="I340" i="6" s="1"/>
  <c r="J340" i="6" s="1"/>
  <c r="H340" i="6"/>
  <c r="G56" i="6"/>
  <c r="I56" i="6" s="1"/>
  <c r="J56" i="6" s="1"/>
  <c r="H56" i="6"/>
  <c r="G71" i="6"/>
  <c r="I71" i="6" s="1"/>
  <c r="H71" i="6"/>
  <c r="G7" i="6"/>
  <c r="I7" i="6" s="1"/>
  <c r="J7" i="6" s="1"/>
  <c r="H7" i="6"/>
  <c r="G22" i="6"/>
  <c r="I22" i="6" s="1"/>
  <c r="K22" i="6" s="1"/>
  <c r="L22" i="6" s="1"/>
  <c r="O22" i="6" s="1"/>
  <c r="R22" i="6" s="1"/>
  <c r="H22" i="6"/>
  <c r="G37" i="6"/>
  <c r="I37" i="6" s="1"/>
  <c r="K37" i="6" s="1"/>
  <c r="L37" i="6" s="1"/>
  <c r="H37" i="6"/>
  <c r="G52" i="6"/>
  <c r="I52" i="6" s="1"/>
  <c r="K52" i="6" s="1"/>
  <c r="L52" i="6" s="1"/>
  <c r="O52" i="6" s="1"/>
  <c r="R52" i="6" s="1"/>
  <c r="H52" i="6"/>
  <c r="G67" i="6"/>
  <c r="I67" i="6" s="1"/>
  <c r="J67" i="6" s="1"/>
  <c r="H67" i="6"/>
  <c r="G3" i="6"/>
  <c r="I3" i="6" s="1"/>
  <c r="J3" i="6" s="1"/>
  <c r="H3" i="6"/>
  <c r="G18" i="6"/>
  <c r="I18" i="6" s="1"/>
  <c r="H18" i="6"/>
  <c r="G127" i="6"/>
  <c r="I127" i="6" s="1"/>
  <c r="H127" i="6"/>
  <c r="G191" i="6"/>
  <c r="I191" i="6" s="1"/>
  <c r="J191" i="6" s="1"/>
  <c r="H191" i="6"/>
  <c r="G255" i="6"/>
  <c r="I255" i="6" s="1"/>
  <c r="H255" i="6"/>
  <c r="G319" i="6"/>
  <c r="I319" i="6" s="1"/>
  <c r="K319" i="6" s="1"/>
  <c r="L319" i="6" s="1"/>
  <c r="H319" i="6"/>
  <c r="G383" i="6"/>
  <c r="I383" i="6" s="1"/>
  <c r="H383" i="6"/>
  <c r="G447" i="6"/>
  <c r="I447" i="6" s="1"/>
  <c r="J447" i="6" s="1"/>
  <c r="H447" i="6"/>
  <c r="G511" i="6"/>
  <c r="I511" i="6" s="1"/>
  <c r="H511" i="6"/>
  <c r="G575" i="6"/>
  <c r="I575" i="6" s="1"/>
  <c r="K575" i="6" s="1"/>
  <c r="L575" i="6" s="1"/>
  <c r="H575" i="6"/>
  <c r="G292" i="6"/>
  <c r="I292" i="6" s="1"/>
  <c r="H292" i="6"/>
  <c r="G73" i="6"/>
  <c r="I73" i="6" s="1"/>
  <c r="J73" i="6" s="1"/>
  <c r="H73" i="6"/>
  <c r="G144" i="6"/>
  <c r="I144" i="6" s="1"/>
  <c r="K144" i="6" s="1"/>
  <c r="L144" i="6" s="1"/>
  <c r="O144" i="6" s="1"/>
  <c r="R144" i="6" s="1"/>
  <c r="H144" i="6"/>
  <c r="G208" i="6"/>
  <c r="I208" i="6" s="1"/>
  <c r="K208" i="6" s="1"/>
  <c r="L208" i="6" s="1"/>
  <c r="H208" i="6"/>
  <c r="G272" i="6"/>
  <c r="I272" i="6" s="1"/>
  <c r="K272" i="6" s="1"/>
  <c r="L272" i="6" s="1"/>
  <c r="O272" i="6" s="1"/>
  <c r="R272" i="6" s="1"/>
  <c r="H272" i="6"/>
  <c r="G336" i="6"/>
  <c r="I336" i="6" s="1"/>
  <c r="J336" i="6" s="1"/>
  <c r="H336" i="6"/>
  <c r="G400" i="6"/>
  <c r="I400" i="6" s="1"/>
  <c r="K400" i="6" s="1"/>
  <c r="L400" i="6" s="1"/>
  <c r="O400" i="6" s="1"/>
  <c r="R400" i="6" s="1"/>
  <c r="H400" i="6"/>
  <c r="G464" i="6"/>
  <c r="I464" i="6" s="1"/>
  <c r="H464" i="6"/>
  <c r="G528" i="6"/>
  <c r="I528" i="6" s="1"/>
  <c r="H528" i="6"/>
  <c r="G592" i="6"/>
  <c r="I592" i="6" s="1"/>
  <c r="J592" i="6" s="1"/>
  <c r="H592" i="6"/>
  <c r="G420" i="6"/>
  <c r="I420" i="6" s="1"/>
  <c r="H420" i="6"/>
  <c r="G97" i="6"/>
  <c r="I97" i="6" s="1"/>
  <c r="K97" i="6" s="1"/>
  <c r="L97" i="6" s="1"/>
  <c r="H97" i="6"/>
  <c r="G161" i="6"/>
  <c r="I161" i="6" s="1"/>
  <c r="H161" i="6"/>
  <c r="G225" i="6"/>
  <c r="I225" i="6" s="1"/>
  <c r="J225" i="6" s="1"/>
  <c r="H225" i="6"/>
  <c r="G289" i="6"/>
  <c r="I289" i="6" s="1"/>
  <c r="H289" i="6"/>
  <c r="G353" i="6"/>
  <c r="I353" i="6" s="1"/>
  <c r="J353" i="6" s="1"/>
  <c r="H353" i="6"/>
  <c r="G417" i="6"/>
  <c r="I417" i="6" s="1"/>
  <c r="K417" i="6" s="1"/>
  <c r="L417" i="6" s="1"/>
  <c r="O417" i="6" s="1"/>
  <c r="R417" i="6" s="1"/>
  <c r="H417" i="6"/>
  <c r="G481" i="6"/>
  <c r="I481" i="6" s="1"/>
  <c r="J481" i="6" s="1"/>
  <c r="H481" i="6"/>
  <c r="G545" i="6"/>
  <c r="I545" i="6" s="1"/>
  <c r="H545" i="6"/>
  <c r="G25" i="6"/>
  <c r="I25" i="6" s="1"/>
  <c r="H25" i="6"/>
  <c r="G138" i="6"/>
  <c r="I138" i="6" s="1"/>
  <c r="J138" i="6" s="1"/>
  <c r="H138" i="6"/>
  <c r="G202" i="6"/>
  <c r="I202" i="6" s="1"/>
  <c r="J202" i="6" s="1"/>
  <c r="H202" i="6"/>
  <c r="G266" i="6"/>
  <c r="I266" i="6" s="1"/>
  <c r="J266" i="6" s="1"/>
  <c r="H266" i="6"/>
  <c r="G330" i="6"/>
  <c r="I330" i="6" s="1"/>
  <c r="K330" i="6" s="1"/>
  <c r="L330" i="6" s="1"/>
  <c r="H330" i="6"/>
  <c r="G394" i="6"/>
  <c r="I394" i="6" s="1"/>
  <c r="H394" i="6"/>
  <c r="G458" i="6"/>
  <c r="I458" i="6" s="1"/>
  <c r="J458" i="6" s="1"/>
  <c r="H458" i="6"/>
  <c r="G522" i="6"/>
  <c r="I522" i="6" s="1"/>
  <c r="H522" i="6"/>
  <c r="G586" i="6"/>
  <c r="I586" i="6" s="1"/>
  <c r="J586" i="6" s="1"/>
  <c r="H586" i="6"/>
  <c r="G332" i="6"/>
  <c r="I332" i="6" s="1"/>
  <c r="H332" i="6"/>
  <c r="G91" i="6"/>
  <c r="I91" i="6" s="1"/>
  <c r="J91" i="6" s="1"/>
  <c r="H91" i="6"/>
  <c r="G155" i="6"/>
  <c r="I155" i="6" s="1"/>
  <c r="H155" i="6"/>
  <c r="G219" i="6"/>
  <c r="I219" i="6" s="1"/>
  <c r="J219" i="6" s="1"/>
  <c r="H219" i="6"/>
  <c r="G283" i="6"/>
  <c r="I283" i="6" s="1"/>
  <c r="H283" i="6"/>
  <c r="G347" i="6"/>
  <c r="I347" i="6" s="1"/>
  <c r="J347" i="6" s="1"/>
  <c r="H347" i="6"/>
  <c r="G411" i="6"/>
  <c r="I411" i="6" s="1"/>
  <c r="H411" i="6"/>
  <c r="G475" i="6"/>
  <c r="I475" i="6" s="1"/>
  <c r="K475" i="6" s="1"/>
  <c r="L475" i="6" s="1"/>
  <c r="H475" i="6"/>
  <c r="G539" i="6"/>
  <c r="I539" i="6" s="1"/>
  <c r="H539" i="6"/>
  <c r="G124" i="6"/>
  <c r="I124" i="6" s="1"/>
  <c r="J124" i="6" s="1"/>
  <c r="H124" i="6"/>
  <c r="G452" i="6"/>
  <c r="I452" i="6" s="1"/>
  <c r="J452" i="6" s="1"/>
  <c r="H452" i="6"/>
  <c r="G183" i="6"/>
  <c r="I183" i="6" s="1"/>
  <c r="K183" i="6" s="1"/>
  <c r="L183" i="6" s="1"/>
  <c r="H183" i="6"/>
  <c r="G125" i="6"/>
  <c r="I125" i="6" s="1"/>
  <c r="K125" i="6" s="1"/>
  <c r="L125" i="6" s="1"/>
  <c r="O125" i="6" s="1"/>
  <c r="R125" i="6" s="1"/>
  <c r="H125" i="6"/>
  <c r="G189" i="6"/>
  <c r="I189" i="6" s="1"/>
  <c r="K189" i="6" s="1"/>
  <c r="L189" i="6" s="1"/>
  <c r="H189" i="6"/>
  <c r="G253" i="6"/>
  <c r="I253" i="6" s="1"/>
  <c r="K253" i="6" s="1"/>
  <c r="L253" i="6" s="1"/>
  <c r="O253" i="6" s="1"/>
  <c r="R253" i="6" s="1"/>
  <c r="H253" i="6"/>
  <c r="G317" i="6"/>
  <c r="I317" i="6" s="1"/>
  <c r="K317" i="6" s="1"/>
  <c r="L317" i="6" s="1"/>
  <c r="H317" i="6"/>
  <c r="G381" i="6"/>
  <c r="I381" i="6" s="1"/>
  <c r="K381" i="6" s="1"/>
  <c r="L381" i="6" s="1"/>
  <c r="O381" i="6" s="1"/>
  <c r="R381" i="6" s="1"/>
  <c r="H381" i="6"/>
  <c r="G445" i="6"/>
  <c r="I445" i="6" s="1"/>
  <c r="K445" i="6" s="1"/>
  <c r="L445" i="6" s="1"/>
  <c r="H445" i="6"/>
  <c r="G509" i="6"/>
  <c r="I509" i="6" s="1"/>
  <c r="K509" i="6" s="1"/>
  <c r="L509" i="6" s="1"/>
  <c r="O509" i="6" s="1"/>
  <c r="R509" i="6" s="1"/>
  <c r="H509" i="6"/>
  <c r="G573" i="6"/>
  <c r="I573" i="6" s="1"/>
  <c r="H573" i="6"/>
  <c r="G308" i="6"/>
  <c r="I308" i="6" s="1"/>
  <c r="J308" i="6" s="1"/>
  <c r="H308" i="6"/>
  <c r="G86" i="6"/>
  <c r="I86" i="6" s="1"/>
  <c r="K86" i="6" s="1"/>
  <c r="L86" i="6" s="1"/>
  <c r="H86" i="6"/>
  <c r="G150" i="6"/>
  <c r="I150" i="6" s="1"/>
  <c r="K150" i="6" s="1"/>
  <c r="L150" i="6" s="1"/>
  <c r="O150" i="6" s="1"/>
  <c r="R150" i="6" s="1"/>
  <c r="H150" i="6"/>
  <c r="G214" i="6"/>
  <c r="I214" i="6" s="1"/>
  <c r="K214" i="6" s="1"/>
  <c r="L214" i="6" s="1"/>
  <c r="H214" i="6"/>
  <c r="G278" i="6"/>
  <c r="I278" i="6" s="1"/>
  <c r="K278" i="6" s="1"/>
  <c r="L278" i="6" s="1"/>
  <c r="O278" i="6" s="1"/>
  <c r="R278" i="6" s="1"/>
  <c r="H278" i="6"/>
  <c r="G342" i="6"/>
  <c r="I342" i="6" s="1"/>
  <c r="K342" i="6" s="1"/>
  <c r="L342" i="6" s="1"/>
  <c r="H342" i="6"/>
  <c r="G406" i="6"/>
  <c r="I406" i="6" s="1"/>
  <c r="K406" i="6" s="1"/>
  <c r="L406" i="6" s="1"/>
  <c r="O406" i="6" s="1"/>
  <c r="R406" i="6" s="1"/>
  <c r="H406" i="6"/>
  <c r="G470" i="6"/>
  <c r="I470" i="6" s="1"/>
  <c r="K470" i="6" s="1"/>
  <c r="L470" i="6" s="1"/>
  <c r="H470" i="6"/>
  <c r="G534" i="6"/>
  <c r="I534" i="6" s="1"/>
  <c r="H534" i="6"/>
  <c r="G598" i="6"/>
  <c r="I598" i="6" s="1"/>
  <c r="K598" i="6" s="1"/>
  <c r="L598" i="6" s="1"/>
  <c r="H598" i="6"/>
  <c r="G380" i="6"/>
  <c r="I380" i="6" s="1"/>
  <c r="K380" i="6" s="1"/>
  <c r="L380" i="6" s="1"/>
  <c r="O380" i="6" s="1"/>
  <c r="R380" i="6" s="1"/>
  <c r="H380" i="6"/>
  <c r="G48" i="6"/>
  <c r="I48" i="6" s="1"/>
  <c r="H48" i="6"/>
  <c r="G63" i="6"/>
  <c r="I63" i="6" s="1"/>
  <c r="K63" i="6" s="1"/>
  <c r="L63" i="6" s="1"/>
  <c r="O63" i="6" s="1"/>
  <c r="R63" i="6" s="1"/>
  <c r="H63" i="6"/>
  <c r="G78" i="6"/>
  <c r="I78" i="6" s="1"/>
  <c r="K78" i="6" s="1"/>
  <c r="L78" i="6" s="1"/>
  <c r="H78" i="6"/>
  <c r="G14" i="6"/>
  <c r="I14" i="6" s="1"/>
  <c r="K14" i="6" s="1"/>
  <c r="L14" i="6" s="1"/>
  <c r="O14" i="6" s="1"/>
  <c r="R14" i="6" s="1"/>
  <c r="H14" i="6"/>
  <c r="G29" i="6"/>
  <c r="I29" i="6" s="1"/>
  <c r="K29" i="6" s="1"/>
  <c r="L29" i="6" s="1"/>
  <c r="H29" i="6"/>
  <c r="G44" i="6"/>
  <c r="I44" i="6" s="1"/>
  <c r="H44" i="6"/>
  <c r="G59" i="6"/>
  <c r="I59" i="6" s="1"/>
  <c r="K59" i="6" s="1"/>
  <c r="L59" i="6" s="1"/>
  <c r="H59" i="6"/>
  <c r="G74" i="6"/>
  <c r="I74" i="6" s="1"/>
  <c r="K74" i="6" s="1"/>
  <c r="L74" i="6" s="1"/>
  <c r="O74" i="6" s="1"/>
  <c r="R74" i="6" s="1"/>
  <c r="H74" i="6"/>
  <c r="G10" i="6"/>
  <c r="I10" i="6" s="1"/>
  <c r="H10" i="6"/>
  <c r="G135" i="6"/>
  <c r="I135" i="6" s="1"/>
  <c r="K135" i="6" s="1"/>
  <c r="L135" i="6" s="1"/>
  <c r="O135" i="6" s="1"/>
  <c r="R135" i="6" s="1"/>
  <c r="H135" i="6"/>
  <c r="G199" i="6"/>
  <c r="I199" i="6" s="1"/>
  <c r="K199" i="6" s="1"/>
  <c r="L199" i="6" s="1"/>
  <c r="H199" i="6"/>
  <c r="G263" i="6"/>
  <c r="I263" i="6" s="1"/>
  <c r="K263" i="6" s="1"/>
  <c r="L263" i="6" s="1"/>
  <c r="O263" i="6" s="1"/>
  <c r="R263" i="6" s="1"/>
  <c r="H263" i="6"/>
  <c r="G327" i="6"/>
  <c r="I327" i="6" s="1"/>
  <c r="H327" i="6"/>
  <c r="G391" i="6"/>
  <c r="I391" i="6" s="1"/>
  <c r="K391" i="6" s="1"/>
  <c r="L391" i="6" s="1"/>
  <c r="O391" i="6" s="1"/>
  <c r="R391" i="6" s="1"/>
  <c r="H391" i="6"/>
  <c r="G455" i="6"/>
  <c r="I455" i="6" s="1"/>
  <c r="K455" i="6" s="1"/>
  <c r="L455" i="6" s="1"/>
  <c r="H455" i="6"/>
  <c r="G519" i="6"/>
  <c r="I519" i="6" s="1"/>
  <c r="K519" i="6" s="1"/>
  <c r="L519" i="6" s="1"/>
  <c r="O519" i="6" s="1"/>
  <c r="R519" i="6" s="1"/>
  <c r="H519" i="6"/>
  <c r="G583" i="6"/>
  <c r="I583" i="6" s="1"/>
  <c r="K583" i="6" s="1"/>
  <c r="L583" i="6" s="1"/>
  <c r="H583" i="6"/>
  <c r="G348" i="6"/>
  <c r="I348" i="6" s="1"/>
  <c r="K348" i="6" s="1"/>
  <c r="L348" i="6" s="1"/>
  <c r="O348" i="6" s="1"/>
  <c r="R348" i="6" s="1"/>
  <c r="H348" i="6"/>
  <c r="G88" i="6"/>
  <c r="I88" i="6" s="1"/>
  <c r="K88" i="6" s="1"/>
  <c r="L88" i="6" s="1"/>
  <c r="H88" i="6"/>
  <c r="G152" i="6"/>
  <c r="I152" i="6" s="1"/>
  <c r="K152" i="6" s="1"/>
  <c r="L152" i="6" s="1"/>
  <c r="O152" i="6" s="1"/>
  <c r="R152" i="6" s="1"/>
  <c r="H152" i="6"/>
  <c r="G216" i="6"/>
  <c r="I216" i="6" s="1"/>
  <c r="H216" i="6"/>
  <c r="G280" i="6"/>
  <c r="I280" i="6" s="1"/>
  <c r="H280" i="6"/>
  <c r="G344" i="6"/>
  <c r="I344" i="6" s="1"/>
  <c r="K344" i="6" s="1"/>
  <c r="L344" i="6" s="1"/>
  <c r="H344" i="6"/>
  <c r="G408" i="6"/>
  <c r="I408" i="6" s="1"/>
  <c r="K408" i="6" s="1"/>
  <c r="L408" i="6" s="1"/>
  <c r="O408" i="6" s="1"/>
  <c r="R408" i="6" s="1"/>
  <c r="H408" i="6"/>
  <c r="G472" i="6"/>
  <c r="I472" i="6" s="1"/>
  <c r="K472" i="6" s="1"/>
  <c r="L472" i="6" s="1"/>
  <c r="H472" i="6"/>
  <c r="G536" i="6"/>
  <c r="I536" i="6" s="1"/>
  <c r="K536" i="6" s="1"/>
  <c r="L536" i="6" s="1"/>
  <c r="O536" i="6" s="1"/>
  <c r="R536" i="6" s="1"/>
  <c r="H536" i="6"/>
  <c r="G600" i="6"/>
  <c r="I600" i="6" s="1"/>
  <c r="K600" i="6" s="1"/>
  <c r="L600" i="6" s="1"/>
  <c r="H600" i="6"/>
  <c r="G476" i="6"/>
  <c r="I476" i="6" s="1"/>
  <c r="K476" i="6" s="1"/>
  <c r="L476" i="6" s="1"/>
  <c r="O476" i="6" s="1"/>
  <c r="R476" i="6" s="1"/>
  <c r="H476" i="6"/>
  <c r="G105" i="6"/>
  <c r="I105" i="6" s="1"/>
  <c r="K105" i="6" s="1"/>
  <c r="L105" i="6" s="1"/>
  <c r="H105" i="6"/>
  <c r="G169" i="6"/>
  <c r="I169" i="6" s="1"/>
  <c r="H169" i="6"/>
  <c r="G233" i="6"/>
  <c r="I233" i="6" s="1"/>
  <c r="K233" i="6" s="1"/>
  <c r="L233" i="6" s="1"/>
  <c r="H233" i="6"/>
  <c r="G297" i="6"/>
  <c r="I297" i="6" s="1"/>
  <c r="K297" i="6" s="1"/>
  <c r="L297" i="6" s="1"/>
  <c r="O297" i="6" s="1"/>
  <c r="R297" i="6" s="1"/>
  <c r="H297" i="6"/>
  <c r="G361" i="6"/>
  <c r="I361" i="6" s="1"/>
  <c r="H361" i="6"/>
  <c r="G425" i="6"/>
  <c r="I425" i="6" s="1"/>
  <c r="K425" i="6" s="1"/>
  <c r="L425" i="6" s="1"/>
  <c r="O425" i="6" s="1"/>
  <c r="R425" i="6" s="1"/>
  <c r="H425" i="6"/>
  <c r="G489" i="6"/>
  <c r="I489" i="6" s="1"/>
  <c r="K489" i="6" s="1"/>
  <c r="L489" i="6" s="1"/>
  <c r="H489" i="6"/>
  <c r="G553" i="6"/>
  <c r="I553" i="6" s="1"/>
  <c r="K553" i="6" s="1"/>
  <c r="L553" i="6" s="1"/>
  <c r="O553" i="6" s="1"/>
  <c r="R553" i="6" s="1"/>
  <c r="H553" i="6"/>
  <c r="G82" i="6"/>
  <c r="I82" i="6" s="1"/>
  <c r="K82" i="6" s="1"/>
  <c r="L82" i="6" s="1"/>
  <c r="H82" i="6"/>
  <c r="G146" i="6"/>
  <c r="I146" i="6" s="1"/>
  <c r="K146" i="6" s="1"/>
  <c r="L146" i="6" s="1"/>
  <c r="O146" i="6" s="1"/>
  <c r="R146" i="6" s="1"/>
  <c r="H146" i="6"/>
  <c r="G210" i="6"/>
  <c r="I210" i="6" s="1"/>
  <c r="K210" i="6" s="1"/>
  <c r="L210" i="6" s="1"/>
  <c r="H210" i="6"/>
  <c r="G274" i="6"/>
  <c r="I274" i="6" s="1"/>
  <c r="K274" i="6" s="1"/>
  <c r="L274" i="6" s="1"/>
  <c r="O274" i="6" s="1"/>
  <c r="R274" i="6" s="1"/>
  <c r="H274" i="6"/>
  <c r="G338" i="6"/>
  <c r="I338" i="6" s="1"/>
  <c r="H338" i="6"/>
  <c r="G402" i="6"/>
  <c r="I402" i="6" s="1"/>
  <c r="K402" i="6" s="1"/>
  <c r="L402" i="6" s="1"/>
  <c r="O402" i="6" s="1"/>
  <c r="R402" i="6" s="1"/>
  <c r="H402" i="6"/>
  <c r="G466" i="6"/>
  <c r="I466" i="6" s="1"/>
  <c r="K466" i="6" s="1"/>
  <c r="L466" i="6" s="1"/>
  <c r="H466" i="6"/>
  <c r="G530" i="6"/>
  <c r="I530" i="6" s="1"/>
  <c r="K530" i="6" s="1"/>
  <c r="L530" i="6" s="1"/>
  <c r="O530" i="6" s="1"/>
  <c r="R530" i="6" s="1"/>
  <c r="H530" i="6"/>
  <c r="G594" i="6"/>
  <c r="I594" i="6" s="1"/>
  <c r="H594" i="6"/>
  <c r="G388" i="6"/>
  <c r="I388" i="6" s="1"/>
  <c r="K388" i="6" s="1"/>
  <c r="L388" i="6" s="1"/>
  <c r="O388" i="6" s="1"/>
  <c r="R388" i="6" s="1"/>
  <c r="H388" i="6"/>
  <c r="G99" i="6"/>
  <c r="I99" i="6" s="1"/>
  <c r="K99" i="6" s="1"/>
  <c r="L99" i="6" s="1"/>
  <c r="H99" i="6"/>
  <c r="G163" i="6"/>
  <c r="I163" i="6" s="1"/>
  <c r="K163" i="6" s="1"/>
  <c r="L163" i="6" s="1"/>
  <c r="O163" i="6" s="1"/>
  <c r="R163" i="6" s="1"/>
  <c r="H163" i="6"/>
  <c r="G227" i="6"/>
  <c r="I227" i="6" s="1"/>
  <c r="K227" i="6" s="1"/>
  <c r="L227" i="6" s="1"/>
  <c r="H227" i="6"/>
  <c r="G291" i="6"/>
  <c r="I291" i="6" s="1"/>
  <c r="K291" i="6" s="1"/>
  <c r="L291" i="6" s="1"/>
  <c r="O291" i="6" s="1"/>
  <c r="R291" i="6" s="1"/>
  <c r="H291" i="6"/>
  <c r="G355" i="6"/>
  <c r="I355" i="6" s="1"/>
  <c r="K355" i="6" s="1"/>
  <c r="L355" i="6" s="1"/>
  <c r="H355" i="6"/>
  <c r="G419" i="6"/>
  <c r="I419" i="6" s="1"/>
  <c r="K419" i="6" s="1"/>
  <c r="L419" i="6" s="1"/>
  <c r="O419" i="6" s="1"/>
  <c r="R419" i="6" s="1"/>
  <c r="H419" i="6"/>
  <c r="G483" i="6"/>
  <c r="I483" i="6" s="1"/>
  <c r="H483" i="6"/>
  <c r="G547" i="6"/>
  <c r="I547" i="6" s="1"/>
  <c r="H547" i="6"/>
  <c r="G188" i="6"/>
  <c r="I188" i="6" s="1"/>
  <c r="K188" i="6" s="1"/>
  <c r="L188" i="6" s="1"/>
  <c r="H188" i="6"/>
  <c r="G508" i="6"/>
  <c r="I508" i="6" s="1"/>
  <c r="K508" i="6" s="1"/>
  <c r="L508" i="6" s="1"/>
  <c r="O508" i="6" s="1"/>
  <c r="R508" i="6" s="1"/>
  <c r="H508" i="6"/>
  <c r="G173" i="6"/>
  <c r="I173" i="6" s="1"/>
  <c r="H173" i="6"/>
  <c r="G365" i="6"/>
  <c r="I365" i="6" s="1"/>
  <c r="J365" i="6" s="1"/>
  <c r="H365" i="6"/>
  <c r="G212" i="6"/>
  <c r="I212" i="6" s="1"/>
  <c r="K212" i="6" s="1"/>
  <c r="L212" i="6" s="1"/>
  <c r="H212" i="6"/>
  <c r="G136" i="6"/>
  <c r="I136" i="6" s="1"/>
  <c r="K136" i="6" s="1"/>
  <c r="L136" i="6" s="1"/>
  <c r="O136" i="6" s="1"/>
  <c r="R136" i="6" s="1"/>
  <c r="H136" i="6"/>
  <c r="G133" i="6"/>
  <c r="I133" i="6" s="1"/>
  <c r="K133" i="6" s="1"/>
  <c r="L133" i="6" s="1"/>
  <c r="H133" i="6"/>
  <c r="G197" i="6"/>
  <c r="I197" i="6" s="1"/>
  <c r="K197" i="6" s="1"/>
  <c r="L197" i="6" s="1"/>
  <c r="O197" i="6" s="1"/>
  <c r="R197" i="6" s="1"/>
  <c r="H197" i="6"/>
  <c r="G261" i="6"/>
  <c r="I261" i="6" s="1"/>
  <c r="K261" i="6" s="1"/>
  <c r="L261" i="6" s="1"/>
  <c r="H261" i="6"/>
  <c r="G325" i="6"/>
  <c r="I325" i="6" s="1"/>
  <c r="H325" i="6"/>
  <c r="G389" i="6"/>
  <c r="I389" i="6" s="1"/>
  <c r="J389" i="6" s="1"/>
  <c r="H389" i="6"/>
  <c r="G453" i="6"/>
  <c r="I453" i="6" s="1"/>
  <c r="K453" i="6" s="1"/>
  <c r="L453" i="6" s="1"/>
  <c r="O453" i="6" s="1"/>
  <c r="R453" i="6" s="1"/>
  <c r="H453" i="6"/>
  <c r="G517" i="6"/>
  <c r="I517" i="6" s="1"/>
  <c r="J517" i="6" s="1"/>
  <c r="H517" i="6"/>
  <c r="G581" i="6"/>
  <c r="I581" i="6" s="1"/>
  <c r="H581" i="6"/>
  <c r="G356" i="6"/>
  <c r="I356" i="6" s="1"/>
  <c r="H356" i="6"/>
  <c r="G94" i="6"/>
  <c r="I94" i="6" s="1"/>
  <c r="H94" i="6"/>
  <c r="G158" i="6"/>
  <c r="I158" i="6" s="1"/>
  <c r="H158" i="6"/>
  <c r="G222" i="6"/>
  <c r="I222" i="6" s="1"/>
  <c r="K222" i="6" s="1"/>
  <c r="L222" i="6" s="1"/>
  <c r="O222" i="6" s="1"/>
  <c r="R222" i="6" s="1"/>
  <c r="H222" i="6"/>
  <c r="G286" i="6"/>
  <c r="I286" i="6" s="1"/>
  <c r="K286" i="6" s="1"/>
  <c r="L286" i="6" s="1"/>
  <c r="H286" i="6"/>
  <c r="G350" i="6"/>
  <c r="I350" i="6" s="1"/>
  <c r="H350" i="6"/>
  <c r="G414" i="6"/>
  <c r="I414" i="6" s="1"/>
  <c r="K414" i="6" s="1"/>
  <c r="L414" i="6" s="1"/>
  <c r="H414" i="6"/>
  <c r="G478" i="6"/>
  <c r="I478" i="6" s="1"/>
  <c r="H478" i="6"/>
  <c r="G542" i="6"/>
  <c r="I542" i="6" s="1"/>
  <c r="J542" i="6" s="1"/>
  <c r="H542" i="6"/>
  <c r="G92" i="6"/>
  <c r="I92" i="6" s="1"/>
  <c r="K92" i="6" s="1"/>
  <c r="L92" i="6" s="1"/>
  <c r="O92" i="6" s="1"/>
  <c r="R92" i="6" s="1"/>
  <c r="H92" i="6"/>
  <c r="G460" i="6"/>
  <c r="I460" i="6" s="1"/>
  <c r="K460" i="6" s="1"/>
  <c r="L460" i="6" s="1"/>
  <c r="H460" i="6"/>
  <c r="G40" i="6"/>
  <c r="I40" i="6" s="1"/>
  <c r="K40" i="6" s="1"/>
  <c r="L40" i="6" s="1"/>
  <c r="O40" i="6" s="1"/>
  <c r="R40" i="6" s="1"/>
  <c r="H40" i="6"/>
  <c r="G55" i="6"/>
  <c r="I55" i="6" s="1"/>
  <c r="K55" i="6" s="1"/>
  <c r="L55" i="6" s="1"/>
  <c r="H55" i="6"/>
  <c r="G70" i="6"/>
  <c r="I70" i="6" s="1"/>
  <c r="J70" i="6" s="1"/>
  <c r="H70" i="6"/>
  <c r="G6" i="6"/>
  <c r="I6" i="6" s="1"/>
  <c r="K6" i="6" s="1"/>
  <c r="L6" i="6" s="1"/>
  <c r="H6" i="6"/>
  <c r="G21" i="6"/>
  <c r="I21" i="6" s="1"/>
  <c r="K21" i="6" s="1"/>
  <c r="L21" i="6" s="1"/>
  <c r="O21" i="6" s="1"/>
  <c r="R21" i="6" s="1"/>
  <c r="H21" i="6"/>
  <c r="G36" i="6"/>
  <c r="I36" i="6" s="1"/>
  <c r="H36" i="6"/>
  <c r="G51" i="6"/>
  <c r="I51" i="6" s="1"/>
  <c r="J51" i="6" s="1"/>
  <c r="H51" i="6"/>
  <c r="G66" i="6"/>
  <c r="I66" i="6" s="1"/>
  <c r="K66" i="6" s="1"/>
  <c r="L66" i="6" s="1"/>
  <c r="H66" i="6"/>
  <c r="G2" i="6"/>
  <c r="I2" i="6" s="1"/>
  <c r="K2" i="6" s="1"/>
  <c r="L2" i="6" s="1"/>
  <c r="O2" i="6" s="1"/>
  <c r="R2" i="6" s="1"/>
  <c r="H2" i="6"/>
  <c r="G143" i="6"/>
  <c r="I143" i="6" s="1"/>
  <c r="K143" i="6" s="1"/>
  <c r="L143" i="6" s="1"/>
  <c r="H143" i="6"/>
  <c r="G207" i="6"/>
  <c r="I207" i="6" s="1"/>
  <c r="K207" i="6" s="1"/>
  <c r="L207" i="6" s="1"/>
  <c r="O207" i="6" s="1"/>
  <c r="R207" i="6" s="1"/>
  <c r="H207" i="6"/>
  <c r="G271" i="6"/>
  <c r="I271" i="6" s="1"/>
  <c r="J271" i="6" s="1"/>
  <c r="H271" i="6"/>
  <c r="G335" i="6"/>
  <c r="I335" i="6" s="1"/>
  <c r="K335" i="6" s="1"/>
  <c r="L335" i="6" s="1"/>
  <c r="O335" i="6" s="1"/>
  <c r="R335" i="6" s="1"/>
  <c r="H335" i="6"/>
  <c r="G399" i="6"/>
  <c r="I399" i="6" s="1"/>
  <c r="H399" i="6"/>
  <c r="G463" i="6"/>
  <c r="I463" i="6" s="1"/>
  <c r="H463" i="6"/>
  <c r="G527" i="6"/>
  <c r="I527" i="6" s="1"/>
  <c r="K527" i="6" s="1"/>
  <c r="L527" i="6" s="1"/>
  <c r="H527" i="6"/>
  <c r="G591" i="6"/>
  <c r="I591" i="6" s="1"/>
  <c r="K591" i="6" s="1"/>
  <c r="L591" i="6" s="1"/>
  <c r="O591" i="6" s="1"/>
  <c r="R591" i="6" s="1"/>
  <c r="H591" i="6"/>
  <c r="G396" i="6"/>
  <c r="I396" i="6" s="1"/>
  <c r="K396" i="6" s="1"/>
  <c r="L396" i="6" s="1"/>
  <c r="H396" i="6"/>
  <c r="G96" i="6"/>
  <c r="I96" i="6" s="1"/>
  <c r="K96" i="6" s="1"/>
  <c r="L96" i="6" s="1"/>
  <c r="O96" i="6" s="1"/>
  <c r="R96" i="6" s="1"/>
  <c r="H96" i="6"/>
  <c r="G160" i="6"/>
  <c r="I160" i="6" s="1"/>
  <c r="J160" i="6" s="1"/>
  <c r="H160" i="6"/>
  <c r="G224" i="6"/>
  <c r="I224" i="6" s="1"/>
  <c r="H224" i="6"/>
  <c r="G288" i="6"/>
  <c r="I288" i="6" s="1"/>
  <c r="H288" i="6"/>
  <c r="G352" i="6"/>
  <c r="I352" i="6" s="1"/>
  <c r="H352" i="6"/>
  <c r="G416" i="6"/>
  <c r="I416" i="6" s="1"/>
  <c r="H416" i="6"/>
  <c r="G480" i="6"/>
  <c r="I480" i="6" s="1"/>
  <c r="K480" i="6" s="1"/>
  <c r="L480" i="6" s="1"/>
  <c r="O480" i="6" s="1"/>
  <c r="R480" i="6" s="1"/>
  <c r="H480" i="6"/>
  <c r="G544" i="6"/>
  <c r="I544" i="6" s="1"/>
  <c r="K544" i="6" s="1"/>
  <c r="L544" i="6" s="1"/>
  <c r="H544" i="6"/>
  <c r="G116" i="6"/>
  <c r="I116" i="6" s="1"/>
  <c r="H116" i="6"/>
  <c r="G516" i="6"/>
  <c r="I516" i="6" s="1"/>
  <c r="K516" i="6" s="1"/>
  <c r="L516" i="6" s="1"/>
  <c r="H516" i="6"/>
  <c r="G113" i="6"/>
  <c r="I113" i="6" s="1"/>
  <c r="K113" i="6" s="1"/>
  <c r="L113" i="6" s="1"/>
  <c r="O113" i="6" s="1"/>
  <c r="R113" i="6" s="1"/>
  <c r="H113" i="6"/>
  <c r="G177" i="6"/>
  <c r="I177" i="6" s="1"/>
  <c r="K177" i="6" s="1"/>
  <c r="L177" i="6" s="1"/>
  <c r="H177" i="6"/>
  <c r="G241" i="6"/>
  <c r="I241" i="6" s="1"/>
  <c r="K241" i="6" s="1"/>
  <c r="L241" i="6" s="1"/>
  <c r="O241" i="6" s="1"/>
  <c r="R241" i="6" s="1"/>
  <c r="H241" i="6"/>
  <c r="G305" i="6"/>
  <c r="I305" i="6" s="1"/>
  <c r="K305" i="6" s="1"/>
  <c r="L305" i="6" s="1"/>
  <c r="H305" i="6"/>
  <c r="G369" i="6"/>
  <c r="I369" i="6" s="1"/>
  <c r="H369" i="6"/>
  <c r="G433" i="6"/>
  <c r="I433" i="6" s="1"/>
  <c r="K433" i="6" s="1"/>
  <c r="L433" i="6" s="1"/>
  <c r="H433" i="6"/>
  <c r="G497" i="6"/>
  <c r="I497" i="6" s="1"/>
  <c r="J497" i="6" s="1"/>
  <c r="H497" i="6"/>
  <c r="G561" i="6"/>
  <c r="I561" i="6" s="1"/>
  <c r="K561" i="6" s="1"/>
  <c r="L561" i="6" s="1"/>
  <c r="H561" i="6"/>
  <c r="G90" i="6"/>
  <c r="I90" i="6" s="1"/>
  <c r="K90" i="6" s="1"/>
  <c r="L90" i="6" s="1"/>
  <c r="O90" i="6" s="1"/>
  <c r="R90" i="6" s="1"/>
  <c r="H90" i="6"/>
  <c r="G154" i="6"/>
  <c r="I154" i="6" s="1"/>
  <c r="H154" i="6"/>
  <c r="G218" i="6"/>
  <c r="I218" i="6" s="1"/>
  <c r="H218" i="6"/>
  <c r="G282" i="6"/>
  <c r="I282" i="6" s="1"/>
  <c r="K282" i="6" s="1"/>
  <c r="L282" i="6" s="1"/>
  <c r="H282" i="6"/>
  <c r="G346" i="6"/>
  <c r="I346" i="6" s="1"/>
  <c r="H346" i="6"/>
  <c r="G410" i="6"/>
  <c r="I410" i="6" s="1"/>
  <c r="K410" i="6" s="1"/>
  <c r="L410" i="6" s="1"/>
  <c r="H410" i="6"/>
  <c r="G474" i="6"/>
  <c r="I474" i="6" s="1"/>
  <c r="K474" i="6" s="1"/>
  <c r="L474" i="6" s="1"/>
  <c r="O474" i="6" s="1"/>
  <c r="R474" i="6" s="1"/>
  <c r="H474" i="6"/>
  <c r="G538" i="6"/>
  <c r="I538" i="6" s="1"/>
  <c r="J538" i="6" s="1"/>
  <c r="H538" i="6"/>
  <c r="G602" i="6"/>
  <c r="I602" i="6" s="1"/>
  <c r="K602" i="6" s="1"/>
  <c r="L602" i="6" s="1"/>
  <c r="O602" i="6" s="1"/>
  <c r="R602" i="6" s="1"/>
  <c r="H602" i="6"/>
  <c r="G428" i="6"/>
  <c r="I428" i="6" s="1"/>
  <c r="H428" i="6"/>
  <c r="G107" i="6"/>
  <c r="I107" i="6" s="1"/>
  <c r="H107" i="6"/>
  <c r="G171" i="6"/>
  <c r="I171" i="6" s="1"/>
  <c r="K171" i="6" s="1"/>
  <c r="L171" i="6" s="1"/>
  <c r="H171" i="6"/>
  <c r="G235" i="6"/>
  <c r="I235" i="6" s="1"/>
  <c r="K235" i="6" s="1"/>
  <c r="L235" i="6" s="1"/>
  <c r="O235" i="6" s="1"/>
  <c r="R235" i="6" s="1"/>
  <c r="H235" i="6"/>
  <c r="G299" i="6"/>
  <c r="I299" i="6" s="1"/>
  <c r="K299" i="6" s="1"/>
  <c r="L299" i="6" s="1"/>
  <c r="H299" i="6"/>
  <c r="G363" i="6"/>
  <c r="I363" i="6" s="1"/>
  <c r="K363" i="6" s="1"/>
  <c r="L363" i="6" s="1"/>
  <c r="O363" i="6" s="1"/>
  <c r="R363" i="6" s="1"/>
  <c r="H363" i="6"/>
  <c r="G427" i="6"/>
  <c r="I427" i="6" s="1"/>
  <c r="J427" i="6" s="1"/>
  <c r="H427" i="6"/>
  <c r="G491" i="6"/>
  <c r="I491" i="6" s="1"/>
  <c r="K491" i="6" s="1"/>
  <c r="L491" i="6" s="1"/>
  <c r="O491" i="6" s="1"/>
  <c r="R491" i="6" s="1"/>
  <c r="H491" i="6"/>
  <c r="G555" i="6"/>
  <c r="I555" i="6" s="1"/>
  <c r="H555" i="6"/>
  <c r="G204" i="6"/>
  <c r="I204" i="6" s="1"/>
  <c r="J204" i="6" s="1"/>
  <c r="H204" i="6"/>
  <c r="G548" i="6"/>
  <c r="I548" i="6" s="1"/>
  <c r="H548" i="6"/>
  <c r="G301" i="6"/>
  <c r="I301" i="6" s="1"/>
  <c r="J301" i="6" s="1"/>
  <c r="H301" i="6"/>
  <c r="G328" i="6"/>
  <c r="I328" i="6" s="1"/>
  <c r="J328" i="6" s="1"/>
  <c r="H328" i="6"/>
  <c r="G49" i="6"/>
  <c r="I49" i="6" s="1"/>
  <c r="J49" i="6" s="1"/>
  <c r="H49" i="6"/>
  <c r="G141" i="6"/>
  <c r="I141" i="6" s="1"/>
  <c r="K141" i="6" s="1"/>
  <c r="L141" i="6" s="1"/>
  <c r="H141" i="6"/>
  <c r="G205" i="6"/>
  <c r="I205" i="6" s="1"/>
  <c r="K205" i="6" s="1"/>
  <c r="L205" i="6" s="1"/>
  <c r="O205" i="6" s="1"/>
  <c r="R205" i="6" s="1"/>
  <c r="H205" i="6"/>
  <c r="G269" i="6"/>
  <c r="I269" i="6" s="1"/>
  <c r="K269" i="6" s="1"/>
  <c r="L269" i="6" s="1"/>
  <c r="H269" i="6"/>
  <c r="G333" i="6"/>
  <c r="I333" i="6" s="1"/>
  <c r="K333" i="6" s="1"/>
  <c r="L333" i="6" s="1"/>
  <c r="O333" i="6" s="1"/>
  <c r="R333" i="6" s="1"/>
  <c r="H333" i="6"/>
  <c r="G397" i="6"/>
  <c r="I397" i="6" s="1"/>
  <c r="K397" i="6" s="1"/>
  <c r="L397" i="6" s="1"/>
  <c r="H397" i="6"/>
  <c r="G461" i="6"/>
  <c r="I461" i="6" s="1"/>
  <c r="K461" i="6" s="1"/>
  <c r="L461" i="6" s="1"/>
  <c r="O461" i="6" s="1"/>
  <c r="R461" i="6" s="1"/>
  <c r="H461" i="6"/>
  <c r="G525" i="6"/>
  <c r="I525" i="6" s="1"/>
  <c r="H525" i="6"/>
  <c r="G589" i="6"/>
  <c r="I589" i="6" s="1"/>
  <c r="J589" i="6" s="1"/>
  <c r="H589" i="6"/>
  <c r="G412" i="6"/>
  <c r="I412" i="6" s="1"/>
  <c r="K412" i="6" s="1"/>
  <c r="L412" i="6" s="1"/>
  <c r="H412" i="6"/>
  <c r="G102" i="6"/>
  <c r="I102" i="6" s="1"/>
  <c r="K102" i="6" s="1"/>
  <c r="L102" i="6" s="1"/>
  <c r="O102" i="6" s="1"/>
  <c r="R102" i="6" s="1"/>
  <c r="H102" i="6"/>
  <c r="G166" i="6"/>
  <c r="I166" i="6" s="1"/>
  <c r="H166" i="6"/>
  <c r="G230" i="6"/>
  <c r="I230" i="6" s="1"/>
  <c r="K230" i="6" s="1"/>
  <c r="L230" i="6" s="1"/>
  <c r="O230" i="6" s="1"/>
  <c r="R230" i="6" s="1"/>
  <c r="H230" i="6"/>
  <c r="G294" i="6"/>
  <c r="I294" i="6" s="1"/>
  <c r="K294" i="6" s="1"/>
  <c r="L294" i="6" s="1"/>
  <c r="H294" i="6"/>
  <c r="G358" i="6"/>
  <c r="I358" i="6" s="1"/>
  <c r="K358" i="6" s="1"/>
  <c r="L358" i="6" s="1"/>
  <c r="O358" i="6" s="1"/>
  <c r="R358" i="6" s="1"/>
  <c r="H358" i="6"/>
  <c r="G422" i="6"/>
  <c r="I422" i="6" s="1"/>
  <c r="K422" i="6" s="1"/>
  <c r="L422" i="6" s="1"/>
  <c r="H422" i="6"/>
  <c r="G486" i="6"/>
  <c r="I486" i="6" s="1"/>
  <c r="J486" i="6" s="1"/>
  <c r="H486" i="6"/>
  <c r="G550" i="6"/>
  <c r="I550" i="6" s="1"/>
  <c r="K550" i="6" s="1"/>
  <c r="L550" i="6" s="1"/>
  <c r="H550" i="6"/>
  <c r="G100" i="6"/>
  <c r="I100" i="6" s="1"/>
  <c r="K100" i="6" s="1"/>
  <c r="L100" i="6" s="1"/>
  <c r="O100" i="6" s="1"/>
  <c r="R100" i="6" s="1"/>
  <c r="H100" i="6"/>
  <c r="G500" i="6"/>
  <c r="I500" i="6" s="1"/>
  <c r="K500" i="6" s="1"/>
  <c r="L500" i="6" s="1"/>
  <c r="H500" i="6"/>
  <c r="G32" i="6"/>
  <c r="I32" i="6" s="1"/>
  <c r="K32" i="6" s="1"/>
  <c r="L32" i="6" s="1"/>
  <c r="O32" i="6" s="1"/>
  <c r="R32" i="6" s="1"/>
  <c r="H32" i="6"/>
  <c r="G47" i="6"/>
  <c r="I47" i="6" s="1"/>
  <c r="K47" i="6" s="1"/>
  <c r="L47" i="6" s="1"/>
  <c r="H47" i="6"/>
  <c r="G62" i="6"/>
  <c r="I62" i="6" s="1"/>
  <c r="K62" i="6" s="1"/>
  <c r="L62" i="6" s="1"/>
  <c r="O62" i="6" s="1"/>
  <c r="R62" i="6" s="1"/>
  <c r="H62" i="6"/>
  <c r="G77" i="6"/>
  <c r="I77" i="6" s="1"/>
  <c r="H77" i="6"/>
  <c r="G13" i="6"/>
  <c r="I13" i="6" s="1"/>
  <c r="J13" i="6" s="1"/>
  <c r="H13" i="6"/>
  <c r="G28" i="6"/>
  <c r="I28" i="6" s="1"/>
  <c r="K28" i="6" s="1"/>
  <c r="L28" i="6" s="1"/>
  <c r="H28" i="6"/>
  <c r="G43" i="6"/>
  <c r="I43" i="6" s="1"/>
  <c r="K43" i="6" s="1"/>
  <c r="L43" i="6" s="1"/>
  <c r="O43" i="6" s="1"/>
  <c r="R43" i="6" s="1"/>
  <c r="H43" i="6"/>
  <c r="G58" i="6"/>
  <c r="I58" i="6" s="1"/>
  <c r="K58" i="6" s="1"/>
  <c r="L58" i="6" s="1"/>
  <c r="O58" i="6" s="1"/>
  <c r="R58" i="6" s="1"/>
  <c r="H58" i="6"/>
  <c r="G87" i="6"/>
  <c r="I87" i="6" s="1"/>
  <c r="K87" i="6" s="1"/>
  <c r="L87" i="6" s="1"/>
  <c r="O87" i="6" s="1"/>
  <c r="R87" i="6" s="1"/>
  <c r="H87" i="6"/>
  <c r="G151" i="6"/>
  <c r="I151" i="6" s="1"/>
  <c r="K151" i="6" s="1"/>
  <c r="L151" i="6" s="1"/>
  <c r="H151" i="6"/>
  <c r="G215" i="6"/>
  <c r="I215" i="6" s="1"/>
  <c r="K215" i="6" s="1"/>
  <c r="L215" i="6" s="1"/>
  <c r="O215" i="6" s="1"/>
  <c r="R215" i="6" s="1"/>
  <c r="H215" i="6"/>
  <c r="G279" i="6"/>
  <c r="I279" i="6" s="1"/>
  <c r="K279" i="6" s="1"/>
  <c r="L279" i="6" s="1"/>
  <c r="O279" i="6" s="1"/>
  <c r="R279" i="6" s="1"/>
  <c r="H279" i="6"/>
  <c r="G343" i="6"/>
  <c r="I343" i="6" s="1"/>
  <c r="J343" i="6" s="1"/>
  <c r="H343" i="6"/>
  <c r="G407" i="6"/>
  <c r="I407" i="6" s="1"/>
  <c r="K407" i="6" s="1"/>
  <c r="L407" i="6" s="1"/>
  <c r="H407" i="6"/>
  <c r="G471" i="6"/>
  <c r="I471" i="6" s="1"/>
  <c r="K471" i="6" s="1"/>
  <c r="L471" i="6" s="1"/>
  <c r="O471" i="6" s="1"/>
  <c r="R471" i="6" s="1"/>
  <c r="H471" i="6"/>
  <c r="G535" i="6"/>
  <c r="I535" i="6" s="1"/>
  <c r="H535" i="6"/>
  <c r="G599" i="6"/>
  <c r="I599" i="6" s="1"/>
  <c r="H599" i="6"/>
  <c r="G444" i="6"/>
  <c r="I444" i="6" s="1"/>
  <c r="K444" i="6" s="1"/>
  <c r="L444" i="6" s="1"/>
  <c r="H444" i="6"/>
  <c r="G104" i="6"/>
  <c r="I104" i="6" s="1"/>
  <c r="K104" i="6" s="1"/>
  <c r="L104" i="6" s="1"/>
  <c r="O104" i="6" s="1"/>
  <c r="R104" i="6" s="1"/>
  <c r="H104" i="6"/>
  <c r="G168" i="6"/>
  <c r="I168" i="6" s="1"/>
  <c r="K168" i="6" s="1"/>
  <c r="L168" i="6" s="1"/>
  <c r="O168" i="6" s="1"/>
  <c r="R168" i="6" s="1"/>
  <c r="H168" i="6"/>
  <c r="G232" i="6"/>
  <c r="I232" i="6" s="1"/>
  <c r="J232" i="6" s="1"/>
  <c r="H232" i="6"/>
  <c r="G296" i="6"/>
  <c r="I296" i="6" s="1"/>
  <c r="K296" i="6" s="1"/>
  <c r="L296" i="6" s="1"/>
  <c r="H296" i="6"/>
  <c r="G360" i="6"/>
  <c r="I360" i="6" s="1"/>
  <c r="K360" i="6" s="1"/>
  <c r="L360" i="6" s="1"/>
  <c r="O360" i="6" s="1"/>
  <c r="R360" i="6" s="1"/>
  <c r="H360" i="6"/>
  <c r="G424" i="6"/>
  <c r="I424" i="6" s="1"/>
  <c r="K424" i="6" s="1"/>
  <c r="L424" i="6" s="1"/>
  <c r="O424" i="6" s="1"/>
  <c r="R424" i="6" s="1"/>
  <c r="H424" i="6"/>
  <c r="G488" i="6"/>
  <c r="I488" i="6" s="1"/>
  <c r="H488" i="6"/>
  <c r="G552" i="6"/>
  <c r="I552" i="6" s="1"/>
  <c r="K552" i="6" s="1"/>
  <c r="L552" i="6" s="1"/>
  <c r="H552" i="6"/>
  <c r="G196" i="6"/>
  <c r="I196" i="6" s="1"/>
  <c r="K196" i="6" s="1"/>
  <c r="L196" i="6" s="1"/>
  <c r="O196" i="6" s="1"/>
  <c r="R196" i="6" s="1"/>
  <c r="H196" i="6"/>
  <c r="G564" i="6"/>
  <c r="I564" i="6" s="1"/>
  <c r="H564" i="6"/>
  <c r="G121" i="6"/>
  <c r="I121" i="6" s="1"/>
  <c r="J121" i="6" s="1"/>
  <c r="H121" i="6"/>
  <c r="G185" i="6"/>
  <c r="I185" i="6" s="1"/>
  <c r="K185" i="6" s="1"/>
  <c r="L185" i="6" s="1"/>
  <c r="H185" i="6"/>
  <c r="G249" i="6"/>
  <c r="I249" i="6" s="1"/>
  <c r="K249" i="6" s="1"/>
  <c r="L249" i="6" s="1"/>
  <c r="O249" i="6" s="1"/>
  <c r="R249" i="6" s="1"/>
  <c r="H249" i="6"/>
  <c r="G313" i="6"/>
  <c r="I313" i="6" s="1"/>
  <c r="J313" i="6" s="1"/>
  <c r="H313" i="6"/>
  <c r="G377" i="6"/>
  <c r="I377" i="6" s="1"/>
  <c r="K377" i="6" s="1"/>
  <c r="L377" i="6" s="1"/>
  <c r="O377" i="6" s="1"/>
  <c r="R377" i="6" s="1"/>
  <c r="H377" i="6"/>
  <c r="G441" i="6"/>
  <c r="I441" i="6" s="1"/>
  <c r="K441" i="6" s="1"/>
  <c r="L441" i="6" s="1"/>
  <c r="H441" i="6"/>
  <c r="G505" i="6"/>
  <c r="I505" i="6" s="1"/>
  <c r="K505" i="6" s="1"/>
  <c r="L505" i="6" s="1"/>
  <c r="O505" i="6" s="1"/>
  <c r="R505" i="6" s="1"/>
  <c r="H505" i="6"/>
  <c r="G569" i="6"/>
  <c r="I569" i="6" s="1"/>
  <c r="K569" i="6" s="1"/>
  <c r="L569" i="6" s="1"/>
  <c r="O569" i="6" s="1"/>
  <c r="R569" i="6" s="1"/>
  <c r="H569" i="6"/>
  <c r="G98" i="6"/>
  <c r="I98" i="6" s="1"/>
  <c r="J98" i="6" s="1"/>
  <c r="H98" i="6"/>
  <c r="G162" i="6"/>
  <c r="I162" i="6" s="1"/>
  <c r="K162" i="6" s="1"/>
  <c r="L162" i="6" s="1"/>
  <c r="H162" i="6"/>
  <c r="G226" i="6"/>
  <c r="I226" i="6" s="1"/>
  <c r="K226" i="6" s="1"/>
  <c r="L226" i="6" s="1"/>
  <c r="O226" i="6" s="1"/>
  <c r="R226" i="6" s="1"/>
  <c r="H226" i="6"/>
  <c r="G290" i="6"/>
  <c r="I290" i="6" s="1"/>
  <c r="K290" i="6" s="1"/>
  <c r="L290" i="6" s="1"/>
  <c r="O290" i="6" s="1"/>
  <c r="R290" i="6" s="1"/>
  <c r="H290" i="6"/>
  <c r="G354" i="6"/>
  <c r="I354" i="6" s="1"/>
  <c r="H354" i="6"/>
  <c r="G418" i="6"/>
  <c r="I418" i="6" s="1"/>
  <c r="K418" i="6" s="1"/>
  <c r="L418" i="6" s="1"/>
  <c r="H418" i="6"/>
  <c r="G482" i="6"/>
  <c r="I482" i="6" s="1"/>
  <c r="K482" i="6" s="1"/>
  <c r="L482" i="6" s="1"/>
  <c r="O482" i="6" s="1"/>
  <c r="R482" i="6" s="1"/>
  <c r="H482" i="6"/>
  <c r="G546" i="6"/>
  <c r="I546" i="6" s="1"/>
  <c r="J546" i="6" s="1"/>
  <c r="H546" i="6"/>
  <c r="G84" i="6"/>
  <c r="I84" i="6" s="1"/>
  <c r="J84" i="6" s="1"/>
  <c r="H84" i="6"/>
  <c r="G468" i="6"/>
  <c r="I468" i="6" s="1"/>
  <c r="K468" i="6" s="1"/>
  <c r="L468" i="6" s="1"/>
  <c r="H468" i="6"/>
  <c r="G115" i="6"/>
  <c r="I115" i="6" s="1"/>
  <c r="K115" i="6" s="1"/>
  <c r="L115" i="6" s="1"/>
  <c r="O115" i="6" s="1"/>
  <c r="R115" i="6" s="1"/>
  <c r="H115" i="6"/>
  <c r="G179" i="6"/>
  <c r="I179" i="6" s="1"/>
  <c r="K179" i="6" s="1"/>
  <c r="L179" i="6" s="1"/>
  <c r="O179" i="6" s="1"/>
  <c r="R179" i="6" s="1"/>
  <c r="H179" i="6"/>
  <c r="G243" i="6"/>
  <c r="I243" i="6" s="1"/>
  <c r="K243" i="6" s="1"/>
  <c r="L243" i="6" s="1"/>
  <c r="O243" i="6" s="1"/>
  <c r="R243" i="6" s="1"/>
  <c r="H243" i="6"/>
  <c r="G307" i="6"/>
  <c r="I307" i="6" s="1"/>
  <c r="K307" i="6" s="1"/>
  <c r="L307" i="6" s="1"/>
  <c r="H307" i="6"/>
  <c r="G371" i="6"/>
  <c r="I371" i="6" s="1"/>
  <c r="K371" i="6" s="1"/>
  <c r="L371" i="6" s="1"/>
  <c r="O371" i="6" s="1"/>
  <c r="R371" i="6" s="1"/>
  <c r="H371" i="6"/>
  <c r="G435" i="6"/>
  <c r="I435" i="6" s="1"/>
  <c r="K435" i="6" s="1"/>
  <c r="L435" i="6" s="1"/>
  <c r="O435" i="6" s="1"/>
  <c r="R435" i="6" s="1"/>
  <c r="H435" i="6"/>
  <c r="G499" i="6"/>
  <c r="I499" i="6" s="1"/>
  <c r="J499" i="6" s="1"/>
  <c r="H499" i="6"/>
  <c r="G563" i="6"/>
  <c r="I563" i="6" s="1"/>
  <c r="K563" i="6" s="1"/>
  <c r="L563" i="6" s="1"/>
  <c r="H563" i="6"/>
  <c r="G252" i="6"/>
  <c r="I252" i="6" s="1"/>
  <c r="K252" i="6" s="1"/>
  <c r="L252" i="6" s="1"/>
  <c r="O252" i="6" s="1"/>
  <c r="R252" i="6" s="1"/>
  <c r="H252" i="6"/>
  <c r="G456" i="6"/>
  <c r="I456" i="6" s="1"/>
  <c r="K456" i="6" s="1"/>
  <c r="L456" i="6" s="1"/>
  <c r="O456" i="6" s="1"/>
  <c r="R456" i="6" s="1"/>
  <c r="H456" i="6"/>
  <c r="G85" i="6"/>
  <c r="I85" i="6" s="1"/>
  <c r="K85" i="6" s="1"/>
  <c r="L85" i="6" s="1"/>
  <c r="O85" i="6" s="1"/>
  <c r="R85" i="6" s="1"/>
  <c r="H85" i="6"/>
  <c r="G149" i="6"/>
  <c r="I149" i="6" s="1"/>
  <c r="J149" i="6" s="1"/>
  <c r="H149" i="6"/>
  <c r="G213" i="6"/>
  <c r="I213" i="6" s="1"/>
  <c r="K213" i="6" s="1"/>
  <c r="L213" i="6" s="1"/>
  <c r="O213" i="6" s="1"/>
  <c r="R213" i="6" s="1"/>
  <c r="H213" i="6"/>
  <c r="G277" i="6"/>
  <c r="I277" i="6" s="1"/>
  <c r="K277" i="6" s="1"/>
  <c r="L277" i="6" s="1"/>
  <c r="O277" i="6" s="1"/>
  <c r="R277" i="6" s="1"/>
  <c r="H277" i="6"/>
  <c r="G341" i="6"/>
  <c r="I341" i="6" s="1"/>
  <c r="H341" i="6"/>
  <c r="G405" i="6"/>
  <c r="I405" i="6" s="1"/>
  <c r="J405" i="6" s="1"/>
  <c r="H405" i="6"/>
  <c r="G469" i="6"/>
  <c r="I469" i="6" s="1"/>
  <c r="K469" i="6" s="1"/>
  <c r="L469" i="6" s="1"/>
  <c r="O469" i="6" s="1"/>
  <c r="R469" i="6" s="1"/>
  <c r="H469" i="6"/>
  <c r="G533" i="6"/>
  <c r="I533" i="6" s="1"/>
  <c r="H533" i="6"/>
  <c r="G597" i="6"/>
  <c r="I597" i="6" s="1"/>
  <c r="J597" i="6" s="1"/>
  <c r="H597" i="6"/>
  <c r="G436" i="6"/>
  <c r="I436" i="6" s="1"/>
  <c r="J436" i="6" s="1"/>
  <c r="H436" i="6"/>
  <c r="G110" i="6"/>
  <c r="I110" i="6" s="1"/>
  <c r="K110" i="6" s="1"/>
  <c r="L110" i="6" s="1"/>
  <c r="O110" i="6" s="1"/>
  <c r="R110" i="6" s="1"/>
  <c r="H110" i="6"/>
  <c r="G174" i="6"/>
  <c r="I174" i="6" s="1"/>
  <c r="K174" i="6" s="1"/>
  <c r="L174" i="6" s="1"/>
  <c r="O174" i="6" s="1"/>
  <c r="R174" i="6" s="1"/>
  <c r="H174" i="6"/>
  <c r="G238" i="6"/>
  <c r="I238" i="6" s="1"/>
  <c r="K238" i="6" s="1"/>
  <c r="L238" i="6" s="1"/>
  <c r="O238" i="6" s="1"/>
  <c r="R238" i="6" s="1"/>
  <c r="H238" i="6"/>
  <c r="G302" i="6"/>
  <c r="I302" i="6" s="1"/>
  <c r="J302" i="6" s="1"/>
  <c r="H302" i="6"/>
  <c r="G366" i="6"/>
  <c r="I366" i="6" s="1"/>
  <c r="K366" i="6" s="1"/>
  <c r="L366" i="6" s="1"/>
  <c r="O366" i="6" s="1"/>
  <c r="R366" i="6" s="1"/>
  <c r="H366" i="6"/>
  <c r="G430" i="6"/>
  <c r="I430" i="6" s="1"/>
  <c r="K430" i="6" s="1"/>
  <c r="L430" i="6" s="1"/>
  <c r="O430" i="6" s="1"/>
  <c r="R430" i="6" s="1"/>
  <c r="H430" i="6"/>
  <c r="G494" i="6"/>
  <c r="I494" i="6" s="1"/>
  <c r="K494" i="6" s="1"/>
  <c r="L494" i="6" s="1"/>
  <c r="O494" i="6" s="1"/>
  <c r="R494" i="6" s="1"/>
  <c r="H494" i="6"/>
  <c r="G558" i="6"/>
  <c r="I558" i="6" s="1"/>
  <c r="J558" i="6" s="1"/>
  <c r="H558" i="6"/>
  <c r="G148" i="6"/>
  <c r="I148" i="6" s="1"/>
  <c r="K148" i="6" s="1"/>
  <c r="L148" i="6" s="1"/>
  <c r="O148" i="6" s="1"/>
  <c r="R148" i="6" s="1"/>
  <c r="H148" i="6"/>
  <c r="G556" i="6"/>
  <c r="I556" i="6" s="1"/>
  <c r="J556" i="6" s="1"/>
  <c r="H556" i="6"/>
  <c r="G24" i="6"/>
  <c r="I24" i="6" s="1"/>
  <c r="J24" i="6" s="1"/>
  <c r="H24" i="6"/>
  <c r="G39" i="6"/>
  <c r="I39" i="6" s="1"/>
  <c r="J39" i="6" s="1"/>
  <c r="H39" i="6"/>
  <c r="G54" i="6"/>
  <c r="I54" i="6" s="1"/>
  <c r="K54" i="6" s="1"/>
  <c r="L54" i="6" s="1"/>
  <c r="O54" i="6" s="1"/>
  <c r="R54" i="6" s="1"/>
  <c r="H54" i="6"/>
  <c r="G69" i="6"/>
  <c r="I69" i="6" s="1"/>
  <c r="K69" i="6" s="1"/>
  <c r="L69" i="6" s="1"/>
  <c r="O69" i="6" s="1"/>
  <c r="R69" i="6" s="1"/>
  <c r="H69" i="6"/>
  <c r="G5" i="6"/>
  <c r="I5" i="6" s="1"/>
  <c r="H5" i="6"/>
  <c r="G20" i="6"/>
  <c r="I20" i="6" s="1"/>
  <c r="J20" i="6" s="1"/>
  <c r="H20" i="6"/>
  <c r="G35" i="6"/>
  <c r="I35" i="6" s="1"/>
  <c r="K35" i="6" s="1"/>
  <c r="L35" i="6" s="1"/>
  <c r="O35" i="6" s="1"/>
  <c r="R35" i="6" s="1"/>
  <c r="H35" i="6"/>
  <c r="G50" i="6"/>
  <c r="I50" i="6" s="1"/>
  <c r="H50" i="6"/>
  <c r="G95" i="6"/>
  <c r="I95" i="6" s="1"/>
  <c r="K95" i="6" s="1"/>
  <c r="L95" i="6" s="1"/>
  <c r="O95" i="6" s="1"/>
  <c r="R95" i="6" s="1"/>
  <c r="H95" i="6"/>
  <c r="G159" i="6"/>
  <c r="I159" i="6" s="1"/>
  <c r="J159" i="6" s="1"/>
  <c r="H159" i="6"/>
  <c r="G223" i="6"/>
  <c r="I223" i="6" s="1"/>
  <c r="K223" i="6" s="1"/>
  <c r="L223" i="6" s="1"/>
  <c r="O223" i="6" s="1"/>
  <c r="R223" i="6" s="1"/>
  <c r="H223" i="6"/>
  <c r="G287" i="6"/>
  <c r="I287" i="6" s="1"/>
  <c r="K287" i="6" s="1"/>
  <c r="L287" i="6" s="1"/>
  <c r="O287" i="6" s="1"/>
  <c r="R287" i="6" s="1"/>
  <c r="H287" i="6"/>
  <c r="G351" i="6"/>
  <c r="I351" i="6" s="1"/>
  <c r="K351" i="6" s="1"/>
  <c r="L351" i="6" s="1"/>
  <c r="O351" i="6" s="1"/>
  <c r="R351" i="6" s="1"/>
  <c r="H351" i="6"/>
  <c r="G415" i="6"/>
  <c r="I415" i="6" s="1"/>
  <c r="J415" i="6" s="1"/>
  <c r="H415" i="6"/>
  <c r="G479" i="6"/>
  <c r="I479" i="6" s="1"/>
  <c r="K479" i="6" s="1"/>
  <c r="L479" i="6" s="1"/>
  <c r="O479" i="6" s="1"/>
  <c r="R479" i="6" s="1"/>
  <c r="H479" i="6"/>
  <c r="G543" i="6"/>
  <c r="I543" i="6" s="1"/>
  <c r="K543" i="6" s="1"/>
  <c r="L543" i="6" s="1"/>
  <c r="O543" i="6" s="1"/>
  <c r="R543" i="6" s="1"/>
  <c r="H543" i="6"/>
  <c r="G41" i="6"/>
  <c r="I41" i="6" s="1"/>
  <c r="J41" i="6" s="1"/>
  <c r="H41" i="6"/>
  <c r="G492" i="6"/>
  <c r="I492" i="6" s="1"/>
  <c r="J492" i="6" s="1"/>
  <c r="H492" i="6"/>
  <c r="G112" i="6"/>
  <c r="I112" i="6" s="1"/>
  <c r="K112" i="6" s="1"/>
  <c r="L112" i="6" s="1"/>
  <c r="O112" i="6" s="1"/>
  <c r="R112" i="6" s="1"/>
  <c r="H112" i="6"/>
  <c r="G176" i="6"/>
  <c r="I176" i="6" s="1"/>
  <c r="K176" i="6" s="1"/>
  <c r="L176" i="6" s="1"/>
  <c r="O176" i="6" s="1"/>
  <c r="R176" i="6" s="1"/>
  <c r="H176" i="6"/>
  <c r="G240" i="6"/>
  <c r="I240" i="6" s="1"/>
  <c r="J240" i="6" s="1"/>
  <c r="H240" i="6"/>
  <c r="G304" i="6"/>
  <c r="I304" i="6" s="1"/>
  <c r="J304" i="6" s="1"/>
  <c r="H304" i="6"/>
  <c r="G368" i="6"/>
  <c r="I368" i="6" s="1"/>
  <c r="K368" i="6" s="1"/>
  <c r="L368" i="6" s="1"/>
  <c r="O368" i="6" s="1"/>
  <c r="R368" i="6" s="1"/>
  <c r="H368" i="6"/>
  <c r="G432" i="6"/>
  <c r="I432" i="6" s="1"/>
  <c r="K432" i="6" s="1"/>
  <c r="L432" i="6" s="1"/>
  <c r="O432" i="6" s="1"/>
  <c r="R432" i="6" s="1"/>
  <c r="H432" i="6"/>
  <c r="G496" i="6"/>
  <c r="I496" i="6" s="1"/>
  <c r="K496" i="6" s="1"/>
  <c r="L496" i="6" s="1"/>
  <c r="O496" i="6" s="1"/>
  <c r="R496" i="6" s="1"/>
  <c r="H496" i="6"/>
  <c r="G560" i="6"/>
  <c r="I560" i="6" s="1"/>
  <c r="J560" i="6" s="1"/>
  <c r="H560" i="6"/>
  <c r="G236" i="6"/>
  <c r="I236" i="6" s="1"/>
  <c r="K236" i="6" s="1"/>
  <c r="L236" i="6" s="1"/>
  <c r="O236" i="6" s="1"/>
  <c r="R236" i="6" s="1"/>
  <c r="H236" i="6"/>
  <c r="G596" i="6"/>
  <c r="I596" i="6" s="1"/>
  <c r="H596" i="6"/>
  <c r="G129" i="6"/>
  <c r="I129" i="6" s="1"/>
  <c r="K129" i="6" s="1"/>
  <c r="L129" i="6" s="1"/>
  <c r="O129" i="6" s="1"/>
  <c r="R129" i="6" s="1"/>
  <c r="H129" i="6"/>
  <c r="G193" i="6"/>
  <c r="I193" i="6" s="1"/>
  <c r="J193" i="6" s="1"/>
  <c r="H193" i="6"/>
  <c r="G257" i="6"/>
  <c r="I257" i="6" s="1"/>
  <c r="K257" i="6" s="1"/>
  <c r="L257" i="6" s="1"/>
  <c r="O257" i="6" s="1"/>
  <c r="R257" i="6" s="1"/>
  <c r="H257" i="6"/>
  <c r="G321" i="6"/>
  <c r="I321" i="6" s="1"/>
  <c r="K321" i="6" s="1"/>
  <c r="L321" i="6" s="1"/>
  <c r="O321" i="6" s="1"/>
  <c r="R321" i="6" s="1"/>
  <c r="H321" i="6"/>
  <c r="G385" i="6"/>
  <c r="I385" i="6" s="1"/>
  <c r="H385" i="6"/>
  <c r="G449" i="6"/>
  <c r="I449" i="6" s="1"/>
  <c r="J449" i="6" s="1"/>
  <c r="H449" i="6"/>
  <c r="G513" i="6"/>
  <c r="I513" i="6" s="1"/>
  <c r="K513" i="6" s="1"/>
  <c r="L513" i="6" s="1"/>
  <c r="O513" i="6" s="1"/>
  <c r="R513" i="6" s="1"/>
  <c r="H513" i="6"/>
  <c r="G577" i="6"/>
  <c r="I577" i="6" s="1"/>
  <c r="H577" i="6"/>
  <c r="G106" i="6"/>
  <c r="I106" i="6" s="1"/>
  <c r="K106" i="6" s="1"/>
  <c r="L106" i="6" s="1"/>
  <c r="O106" i="6" s="1"/>
  <c r="R106" i="6" s="1"/>
  <c r="H106" i="6"/>
  <c r="G170" i="6"/>
  <c r="I170" i="6" s="1"/>
  <c r="J170" i="6" s="1"/>
  <c r="H170" i="6"/>
  <c r="G234" i="6"/>
  <c r="I234" i="6" s="1"/>
  <c r="K234" i="6" s="1"/>
  <c r="L234" i="6" s="1"/>
  <c r="O234" i="6" s="1"/>
  <c r="R234" i="6" s="1"/>
  <c r="H234" i="6"/>
  <c r="G298" i="6"/>
  <c r="I298" i="6" s="1"/>
  <c r="K298" i="6" s="1"/>
  <c r="L298" i="6" s="1"/>
  <c r="O298" i="6" s="1"/>
  <c r="R298" i="6" s="1"/>
  <c r="H298" i="6"/>
  <c r="G362" i="6"/>
  <c r="I362" i="6" s="1"/>
  <c r="K362" i="6" s="1"/>
  <c r="L362" i="6" s="1"/>
  <c r="O362" i="6" s="1"/>
  <c r="R362" i="6" s="1"/>
  <c r="H362" i="6"/>
  <c r="G426" i="6"/>
  <c r="I426" i="6" s="1"/>
  <c r="J426" i="6" s="1"/>
  <c r="H426" i="6"/>
  <c r="G490" i="6"/>
  <c r="I490" i="6" s="1"/>
  <c r="K490" i="6" s="1"/>
  <c r="L490" i="6" s="1"/>
  <c r="O490" i="6" s="1"/>
  <c r="R490" i="6" s="1"/>
  <c r="H490" i="6"/>
  <c r="G554" i="6"/>
  <c r="I554" i="6" s="1"/>
  <c r="K554" i="6" s="1"/>
  <c r="L554" i="6" s="1"/>
  <c r="O554" i="6" s="1"/>
  <c r="R554" i="6" s="1"/>
  <c r="H554" i="6"/>
  <c r="G132" i="6"/>
  <c r="I132" i="6" s="1"/>
  <c r="K132" i="6" s="1"/>
  <c r="L132" i="6" s="1"/>
  <c r="O132" i="6" s="1"/>
  <c r="R132" i="6" s="1"/>
  <c r="H132" i="6"/>
  <c r="G540" i="6"/>
  <c r="I540" i="6" s="1"/>
  <c r="J540" i="6" s="1"/>
  <c r="H540" i="6"/>
  <c r="G123" i="6"/>
  <c r="I123" i="6" s="1"/>
  <c r="K123" i="6" s="1"/>
  <c r="L123" i="6" s="1"/>
  <c r="O123" i="6" s="1"/>
  <c r="R123" i="6" s="1"/>
  <c r="H123" i="6"/>
  <c r="G187" i="6"/>
  <c r="I187" i="6" s="1"/>
  <c r="K187" i="6" s="1"/>
  <c r="L187" i="6" s="1"/>
  <c r="O187" i="6" s="1"/>
  <c r="R187" i="6" s="1"/>
  <c r="H187" i="6"/>
  <c r="G251" i="6"/>
  <c r="I251" i="6" s="1"/>
  <c r="J251" i="6" s="1"/>
  <c r="H251" i="6"/>
  <c r="G315" i="6"/>
  <c r="I315" i="6" s="1"/>
  <c r="J315" i="6" s="1"/>
  <c r="H315" i="6"/>
  <c r="G379" i="6"/>
  <c r="I379" i="6" s="1"/>
  <c r="K379" i="6" s="1"/>
  <c r="L379" i="6" s="1"/>
  <c r="O379" i="6" s="1"/>
  <c r="R379" i="6" s="1"/>
  <c r="H379" i="6"/>
  <c r="G443" i="6"/>
  <c r="I443" i="6" s="1"/>
  <c r="H443" i="6"/>
  <c r="G507" i="6"/>
  <c r="I507" i="6" s="1"/>
  <c r="H507" i="6"/>
  <c r="G571" i="6"/>
  <c r="I571" i="6" s="1"/>
  <c r="J571" i="6" s="1"/>
  <c r="H571" i="6"/>
  <c r="G284" i="6"/>
  <c r="I284" i="6" s="1"/>
  <c r="K284" i="6" s="1"/>
  <c r="L284" i="6" s="1"/>
  <c r="O284" i="6" s="1"/>
  <c r="R284" i="6" s="1"/>
  <c r="H284" i="6"/>
  <c r="G260" i="6"/>
  <c r="I260" i="6" s="1"/>
  <c r="J260" i="6" s="1"/>
  <c r="H260" i="6"/>
  <c r="G93" i="6"/>
  <c r="I93" i="6" s="1"/>
  <c r="H93" i="6"/>
  <c r="G157" i="6"/>
  <c r="I157" i="6" s="1"/>
  <c r="J157" i="6" s="1"/>
  <c r="H157" i="6"/>
  <c r="G221" i="6"/>
  <c r="I221" i="6" s="1"/>
  <c r="K221" i="6" s="1"/>
  <c r="L221" i="6" s="1"/>
  <c r="O221" i="6" s="1"/>
  <c r="R221" i="6" s="1"/>
  <c r="H221" i="6"/>
  <c r="G285" i="6"/>
  <c r="I285" i="6" s="1"/>
  <c r="K285" i="6" s="1"/>
  <c r="L285" i="6" s="1"/>
  <c r="O285" i="6" s="1"/>
  <c r="R285" i="6" s="1"/>
  <c r="H285" i="6"/>
  <c r="G349" i="6"/>
  <c r="I349" i="6" s="1"/>
  <c r="J349" i="6" s="1"/>
  <c r="H349" i="6"/>
  <c r="G413" i="6"/>
  <c r="I413" i="6" s="1"/>
  <c r="J413" i="6" s="1"/>
  <c r="H413" i="6"/>
  <c r="G477" i="6"/>
  <c r="I477" i="6" s="1"/>
  <c r="J477" i="6" s="1"/>
  <c r="H477" i="6"/>
  <c r="G541" i="6"/>
  <c r="I541" i="6" s="1"/>
  <c r="J541" i="6" s="1"/>
  <c r="H541" i="6"/>
  <c r="G108" i="6"/>
  <c r="I108" i="6" s="1"/>
  <c r="J108" i="6" s="1"/>
  <c r="H108" i="6"/>
  <c r="G484" i="6"/>
  <c r="I484" i="6" s="1"/>
  <c r="J484" i="6" s="1"/>
  <c r="H484" i="6"/>
  <c r="G118" i="6"/>
  <c r="I118" i="6" s="1"/>
  <c r="K118" i="6" s="1"/>
  <c r="L118" i="6" s="1"/>
  <c r="O118" i="6" s="1"/>
  <c r="R118" i="6" s="1"/>
  <c r="H118" i="6"/>
  <c r="G182" i="6"/>
  <c r="I182" i="6" s="1"/>
  <c r="J182" i="6" s="1"/>
  <c r="H182" i="6"/>
  <c r="G246" i="6"/>
  <c r="I246" i="6" s="1"/>
  <c r="J246" i="6" s="1"/>
  <c r="H246" i="6"/>
  <c r="G310" i="6"/>
  <c r="I310" i="6" s="1"/>
  <c r="J310" i="6" s="1"/>
  <c r="H310" i="6"/>
  <c r="G374" i="6"/>
  <c r="I374" i="6" s="1"/>
  <c r="K374" i="6" s="1"/>
  <c r="L374" i="6" s="1"/>
  <c r="O374" i="6" s="1"/>
  <c r="R374" i="6" s="1"/>
  <c r="H374" i="6"/>
  <c r="G438" i="6"/>
  <c r="I438" i="6" s="1"/>
  <c r="K438" i="6" s="1"/>
  <c r="L438" i="6" s="1"/>
  <c r="O438" i="6" s="1"/>
  <c r="R438" i="6" s="1"/>
  <c r="H438" i="6"/>
  <c r="G502" i="6"/>
  <c r="I502" i="6" s="1"/>
  <c r="J502" i="6" s="1"/>
  <c r="H502" i="6"/>
  <c r="G566" i="6"/>
  <c r="I566" i="6" s="1"/>
  <c r="K566" i="6" s="1"/>
  <c r="L566" i="6" s="1"/>
  <c r="O566" i="6" s="1"/>
  <c r="R566" i="6" s="1"/>
  <c r="H566" i="6"/>
  <c r="G172" i="6"/>
  <c r="I172" i="6" s="1"/>
  <c r="K172" i="6" s="1"/>
  <c r="L172" i="6" s="1"/>
  <c r="O172" i="6" s="1"/>
  <c r="R172" i="6" s="1"/>
  <c r="H172" i="6"/>
  <c r="G80" i="6"/>
  <c r="I80" i="6" s="1"/>
  <c r="H80" i="6"/>
  <c r="G16" i="6"/>
  <c r="I16" i="6" s="1"/>
  <c r="K16" i="6" s="1"/>
  <c r="L16" i="6" s="1"/>
  <c r="O16" i="6" s="1"/>
  <c r="R16" i="6" s="1"/>
  <c r="H16" i="6"/>
  <c r="G31" i="6"/>
  <c r="I31" i="6" s="1"/>
  <c r="K31" i="6" s="1"/>
  <c r="L31" i="6" s="1"/>
  <c r="O31" i="6" s="1"/>
  <c r="R31" i="6" s="1"/>
  <c r="H31" i="6"/>
  <c r="G46" i="6"/>
  <c r="I46" i="6" s="1"/>
  <c r="J46" i="6" s="1"/>
  <c r="H46" i="6"/>
  <c r="G61" i="6"/>
  <c r="I61" i="6" s="1"/>
  <c r="K61" i="6" s="1"/>
  <c r="L61" i="6" s="1"/>
  <c r="O61" i="6" s="1"/>
  <c r="R61" i="6" s="1"/>
  <c r="H61" i="6"/>
  <c r="G76" i="6"/>
  <c r="I76" i="6" s="1"/>
  <c r="J76" i="6" s="1"/>
  <c r="H76" i="6"/>
  <c r="G12" i="6"/>
  <c r="I12" i="6" s="1"/>
  <c r="K12" i="6" s="1"/>
  <c r="L12" i="6" s="1"/>
  <c r="O12" i="6" s="1"/>
  <c r="R12" i="6" s="1"/>
  <c r="H12" i="6"/>
  <c r="G27" i="6"/>
  <c r="I27" i="6" s="1"/>
  <c r="K27" i="6" s="1"/>
  <c r="L27" i="6" s="1"/>
  <c r="O27" i="6" s="1"/>
  <c r="R27" i="6" s="1"/>
  <c r="H27" i="6"/>
  <c r="G42" i="6"/>
  <c r="I42" i="6" s="1"/>
  <c r="H42" i="6"/>
  <c r="G103" i="6"/>
  <c r="I103" i="6" s="1"/>
  <c r="J103" i="6" s="1"/>
  <c r="H103" i="6"/>
  <c r="G167" i="6"/>
  <c r="I167" i="6" s="1"/>
  <c r="J167" i="6" s="1"/>
  <c r="H167" i="6"/>
  <c r="G231" i="6"/>
  <c r="I231" i="6" s="1"/>
  <c r="J231" i="6" s="1"/>
  <c r="H231" i="6"/>
  <c r="G295" i="6"/>
  <c r="I295" i="6" s="1"/>
  <c r="J295" i="6" s="1"/>
  <c r="H295" i="6"/>
  <c r="G359" i="6"/>
  <c r="I359" i="6" s="1"/>
  <c r="J359" i="6" s="1"/>
  <c r="H359" i="6"/>
  <c r="G423" i="6"/>
  <c r="I423" i="6" s="1"/>
  <c r="J423" i="6" s="1"/>
  <c r="H423" i="6"/>
  <c r="G487" i="6"/>
  <c r="I487" i="6" s="1"/>
  <c r="K487" i="6" s="1"/>
  <c r="L487" i="6" s="1"/>
  <c r="O487" i="6" s="1"/>
  <c r="R487" i="6" s="1"/>
  <c r="H487" i="6"/>
  <c r="G551" i="6"/>
  <c r="I551" i="6" s="1"/>
  <c r="J551" i="6" s="1"/>
  <c r="H551" i="6"/>
  <c r="G140" i="6"/>
  <c r="I140" i="6" s="1"/>
  <c r="K140" i="6" s="1"/>
  <c r="L140" i="6" s="1"/>
  <c r="O140" i="6" s="1"/>
  <c r="R140" i="6" s="1"/>
  <c r="H140" i="6"/>
  <c r="G532" i="6"/>
  <c r="I532" i="6" s="1"/>
  <c r="J532" i="6" s="1"/>
  <c r="H532" i="6"/>
  <c r="G120" i="6"/>
  <c r="I120" i="6" s="1"/>
  <c r="K120" i="6" s="1"/>
  <c r="L120" i="6" s="1"/>
  <c r="O120" i="6" s="1"/>
  <c r="R120" i="6" s="1"/>
  <c r="H120" i="6"/>
  <c r="G184" i="6"/>
  <c r="I184" i="6" s="1"/>
  <c r="J184" i="6" s="1"/>
  <c r="H184" i="6"/>
  <c r="G248" i="6"/>
  <c r="I248" i="6" s="1"/>
  <c r="J248" i="6" s="1"/>
  <c r="H248" i="6"/>
  <c r="G312" i="6"/>
  <c r="I312" i="6" s="1"/>
  <c r="K312" i="6" s="1"/>
  <c r="L312" i="6" s="1"/>
  <c r="O312" i="6" s="1"/>
  <c r="R312" i="6" s="1"/>
  <c r="H312" i="6"/>
  <c r="G376" i="6"/>
  <c r="I376" i="6" s="1"/>
  <c r="J376" i="6" s="1"/>
  <c r="H376" i="6"/>
  <c r="G440" i="6"/>
  <c r="I440" i="6" s="1"/>
  <c r="H440" i="6"/>
  <c r="G504" i="6"/>
  <c r="I504" i="6" s="1"/>
  <c r="H504" i="6"/>
  <c r="G568" i="6"/>
  <c r="I568" i="6" s="1"/>
  <c r="K568" i="6" s="1"/>
  <c r="L568" i="6" s="1"/>
  <c r="O568" i="6" s="1"/>
  <c r="R568" i="6" s="1"/>
  <c r="H568" i="6"/>
  <c r="G300" i="6"/>
  <c r="I300" i="6" s="1"/>
  <c r="J300" i="6" s="1"/>
  <c r="H300" i="6"/>
  <c r="G17" i="6"/>
  <c r="I17" i="6" s="1"/>
  <c r="K17" i="6" s="1"/>
  <c r="L17" i="6" s="1"/>
  <c r="O17" i="6" s="1"/>
  <c r="R17" i="6" s="1"/>
  <c r="H17" i="6"/>
  <c r="G137" i="6"/>
  <c r="I137" i="6" s="1"/>
  <c r="J137" i="6" s="1"/>
  <c r="H137" i="6"/>
  <c r="G201" i="6"/>
  <c r="I201" i="6" s="1"/>
  <c r="J201" i="6" s="1"/>
  <c r="H201" i="6"/>
  <c r="G265" i="6"/>
  <c r="I265" i="6" s="1"/>
  <c r="J265" i="6" s="1"/>
  <c r="H265" i="6"/>
  <c r="G329" i="6"/>
  <c r="I329" i="6" s="1"/>
  <c r="J329" i="6" s="1"/>
  <c r="H329" i="6"/>
  <c r="G393" i="6"/>
  <c r="I393" i="6" s="1"/>
  <c r="K393" i="6" s="1"/>
  <c r="L393" i="6" s="1"/>
  <c r="O393" i="6" s="1"/>
  <c r="R393" i="6" s="1"/>
  <c r="H393" i="6"/>
  <c r="G457" i="6"/>
  <c r="I457" i="6" s="1"/>
  <c r="J457" i="6" s="1"/>
  <c r="H457" i="6"/>
  <c r="G521" i="6"/>
  <c r="I521" i="6" s="1"/>
  <c r="J521" i="6" s="1"/>
  <c r="H521" i="6"/>
  <c r="G585" i="6"/>
  <c r="I585" i="6" s="1"/>
  <c r="J585" i="6" s="1"/>
  <c r="H585" i="6"/>
  <c r="G114" i="6"/>
  <c r="I114" i="6" s="1"/>
  <c r="J114" i="6" s="1"/>
  <c r="H114" i="6"/>
  <c r="G178" i="6"/>
  <c r="I178" i="6" s="1"/>
  <c r="K178" i="6" s="1"/>
  <c r="L178" i="6" s="1"/>
  <c r="O178" i="6" s="1"/>
  <c r="R178" i="6" s="1"/>
  <c r="H178" i="6"/>
  <c r="G242" i="6"/>
  <c r="I242" i="6" s="1"/>
  <c r="J242" i="6" s="1"/>
  <c r="H242" i="6"/>
  <c r="G306" i="6"/>
  <c r="I306" i="6" s="1"/>
  <c r="K306" i="6" s="1"/>
  <c r="L306" i="6" s="1"/>
  <c r="O306" i="6" s="1"/>
  <c r="R306" i="6" s="1"/>
  <c r="H306" i="6"/>
  <c r="G370" i="6"/>
  <c r="I370" i="6" s="1"/>
  <c r="K370" i="6" s="1"/>
  <c r="L370" i="6" s="1"/>
  <c r="O370" i="6" s="1"/>
  <c r="R370" i="6" s="1"/>
  <c r="H370" i="6"/>
  <c r="G434" i="6"/>
  <c r="I434" i="6" s="1"/>
  <c r="J434" i="6" s="1"/>
  <c r="H434" i="6"/>
  <c r="G498" i="6"/>
  <c r="I498" i="6" s="1"/>
  <c r="K498" i="6" s="1"/>
  <c r="L498" i="6" s="1"/>
  <c r="O498" i="6" s="1"/>
  <c r="R498" i="6" s="1"/>
  <c r="H498" i="6"/>
  <c r="G562" i="6"/>
  <c r="I562" i="6" s="1"/>
  <c r="K562" i="6" s="1"/>
  <c r="L562" i="6" s="1"/>
  <c r="O562" i="6" s="1"/>
  <c r="R562" i="6" s="1"/>
  <c r="H562" i="6"/>
  <c r="G164" i="6"/>
  <c r="I164" i="6" s="1"/>
  <c r="K164" i="6" s="1"/>
  <c r="L164" i="6" s="1"/>
  <c r="O164" i="6" s="1"/>
  <c r="R164" i="6" s="1"/>
  <c r="H164" i="6"/>
  <c r="G588" i="6"/>
  <c r="I588" i="6" s="1"/>
  <c r="J588" i="6" s="1"/>
  <c r="H588" i="6"/>
  <c r="G131" i="6"/>
  <c r="I131" i="6" s="1"/>
  <c r="J131" i="6" s="1"/>
  <c r="H131" i="6"/>
  <c r="G195" i="6"/>
  <c r="I195" i="6" s="1"/>
  <c r="J195" i="6" s="1"/>
  <c r="H195" i="6"/>
  <c r="G259" i="6"/>
  <c r="I259" i="6" s="1"/>
  <c r="J259" i="6" s="1"/>
  <c r="H259" i="6"/>
  <c r="G323" i="6"/>
  <c r="I323" i="6" s="1"/>
  <c r="K323" i="6" s="1"/>
  <c r="L323" i="6" s="1"/>
  <c r="O323" i="6" s="1"/>
  <c r="R323" i="6" s="1"/>
  <c r="H323" i="6"/>
  <c r="G387" i="6"/>
  <c r="I387" i="6" s="1"/>
  <c r="K387" i="6" s="1"/>
  <c r="L387" i="6" s="1"/>
  <c r="O387" i="6" s="1"/>
  <c r="R387" i="6" s="1"/>
  <c r="H387" i="6"/>
  <c r="G451" i="6"/>
  <c r="I451" i="6" s="1"/>
  <c r="J451" i="6" s="1"/>
  <c r="H451" i="6"/>
  <c r="G515" i="6"/>
  <c r="I515" i="6" s="1"/>
  <c r="J515" i="6" s="1"/>
  <c r="H515" i="6"/>
  <c r="G579" i="6"/>
  <c r="I579" i="6" s="1"/>
  <c r="J579" i="6" s="1"/>
  <c r="H579" i="6"/>
  <c r="G316" i="6"/>
  <c r="I316" i="6" s="1"/>
  <c r="J316" i="6" s="1"/>
  <c r="H316" i="6"/>
  <c r="G454" i="6"/>
  <c r="I454" i="6" s="1"/>
  <c r="J454" i="6" s="1"/>
  <c r="H454" i="6"/>
  <c r="G101" i="6"/>
  <c r="I101" i="6" s="1"/>
  <c r="J101" i="6" s="1"/>
  <c r="H101" i="6"/>
  <c r="G165" i="6"/>
  <c r="I165" i="6" s="1"/>
  <c r="J165" i="6" s="1"/>
  <c r="H165" i="6"/>
  <c r="G229" i="6"/>
  <c r="I229" i="6" s="1"/>
  <c r="J229" i="6" s="1"/>
  <c r="H229" i="6"/>
  <c r="G293" i="6"/>
  <c r="I293" i="6" s="1"/>
  <c r="H293" i="6"/>
  <c r="G357" i="6"/>
  <c r="I357" i="6" s="1"/>
  <c r="J357" i="6" s="1"/>
  <c r="H357" i="6"/>
  <c r="G421" i="6"/>
  <c r="I421" i="6" s="1"/>
  <c r="J421" i="6" s="1"/>
  <c r="H421" i="6"/>
  <c r="G485" i="6"/>
  <c r="I485" i="6" s="1"/>
  <c r="J485" i="6" s="1"/>
  <c r="H485" i="6"/>
  <c r="G549" i="6"/>
  <c r="I549" i="6" s="1"/>
  <c r="J549" i="6" s="1"/>
  <c r="H549" i="6"/>
  <c r="G156" i="6"/>
  <c r="I156" i="6" s="1"/>
  <c r="J156" i="6" s="1"/>
  <c r="H156" i="6"/>
  <c r="G524" i="6"/>
  <c r="I524" i="6" s="1"/>
  <c r="J524" i="6" s="1"/>
  <c r="H524" i="6"/>
  <c r="G126" i="6"/>
  <c r="I126" i="6" s="1"/>
  <c r="H126" i="6"/>
  <c r="G190" i="6"/>
  <c r="I190" i="6" s="1"/>
  <c r="J190" i="6" s="1"/>
  <c r="H190" i="6"/>
  <c r="G254" i="6"/>
  <c r="I254" i="6" s="1"/>
  <c r="J254" i="6" s="1"/>
  <c r="H254" i="6"/>
  <c r="G318" i="6"/>
  <c r="I318" i="6" s="1"/>
  <c r="J318" i="6" s="1"/>
  <c r="H318" i="6"/>
  <c r="G382" i="6"/>
  <c r="I382" i="6" s="1"/>
  <c r="K382" i="6" s="1"/>
  <c r="L382" i="6" s="1"/>
  <c r="O382" i="6" s="1"/>
  <c r="R382" i="6" s="1"/>
  <c r="H382" i="6"/>
  <c r="G446" i="6"/>
  <c r="I446" i="6" s="1"/>
  <c r="J446" i="6" s="1"/>
  <c r="H446" i="6"/>
  <c r="G510" i="6"/>
  <c r="I510" i="6" s="1"/>
  <c r="J510" i="6" s="1"/>
  <c r="H510" i="6"/>
  <c r="G574" i="6"/>
  <c r="I574" i="6" s="1"/>
  <c r="J574" i="6" s="1"/>
  <c r="H574" i="6"/>
  <c r="G228" i="6"/>
  <c r="I228" i="6" s="1"/>
  <c r="J228" i="6" s="1"/>
  <c r="H228" i="6"/>
  <c r="G72" i="6"/>
  <c r="I72" i="6" s="1"/>
  <c r="H72" i="6"/>
  <c r="G8" i="6"/>
  <c r="I8" i="6" s="1"/>
  <c r="K8" i="6" s="1"/>
  <c r="L8" i="6" s="1"/>
  <c r="O8" i="6" s="1"/>
  <c r="R8" i="6" s="1"/>
  <c r="H8" i="6"/>
  <c r="G23" i="6"/>
  <c r="I23" i="6" s="1"/>
  <c r="K23" i="6" s="1"/>
  <c r="L23" i="6" s="1"/>
  <c r="O23" i="6" s="1"/>
  <c r="R23" i="6" s="1"/>
  <c r="H23" i="6"/>
  <c r="G38" i="6"/>
  <c r="I38" i="6" s="1"/>
  <c r="J38" i="6" s="1"/>
  <c r="H38" i="6"/>
  <c r="G53" i="6"/>
  <c r="I53" i="6" s="1"/>
  <c r="J53" i="6" s="1"/>
  <c r="H53" i="6"/>
  <c r="G68" i="6"/>
  <c r="I68" i="6" s="1"/>
  <c r="J68" i="6" s="1"/>
  <c r="H68" i="6"/>
  <c r="G4" i="6"/>
  <c r="I4" i="6" s="1"/>
  <c r="J4" i="6" s="1"/>
  <c r="H4" i="6"/>
  <c r="G19" i="6"/>
  <c r="I19" i="6" s="1"/>
  <c r="J19" i="6" s="1"/>
  <c r="H19" i="6"/>
  <c r="G34" i="6"/>
  <c r="I34" i="6" s="1"/>
  <c r="J34" i="6" s="1"/>
  <c r="H34" i="6"/>
  <c r="G111" i="6"/>
  <c r="I111" i="6" s="1"/>
  <c r="K111" i="6" s="1"/>
  <c r="L111" i="6" s="1"/>
  <c r="O111" i="6" s="1"/>
  <c r="R111" i="6" s="1"/>
  <c r="H111" i="6"/>
  <c r="G175" i="6"/>
  <c r="I175" i="6" s="1"/>
  <c r="J175" i="6" s="1"/>
  <c r="H175" i="6"/>
  <c r="G239" i="6"/>
  <c r="I239" i="6" s="1"/>
  <c r="K239" i="6" s="1"/>
  <c r="L239" i="6" s="1"/>
  <c r="O239" i="6" s="1"/>
  <c r="R239" i="6" s="1"/>
  <c r="H239" i="6"/>
  <c r="G303" i="6"/>
  <c r="I303" i="6" s="1"/>
  <c r="J303" i="6" s="1"/>
  <c r="H303" i="6"/>
  <c r="G367" i="6"/>
  <c r="I367" i="6" s="1"/>
  <c r="J367" i="6" s="1"/>
  <c r="H367" i="6"/>
  <c r="G431" i="6"/>
  <c r="I431" i="6" s="1"/>
  <c r="J431" i="6" s="1"/>
  <c r="H431" i="6"/>
  <c r="G495" i="6"/>
  <c r="I495" i="6" s="1"/>
  <c r="H495" i="6"/>
  <c r="G559" i="6"/>
  <c r="I559" i="6" s="1"/>
  <c r="J559" i="6" s="1"/>
  <c r="H559" i="6"/>
  <c r="G180" i="6"/>
  <c r="I180" i="6" s="1"/>
  <c r="J180" i="6" s="1"/>
  <c r="H180" i="6"/>
  <c r="G580" i="6"/>
  <c r="I580" i="6" s="1"/>
  <c r="J580" i="6" s="1"/>
  <c r="H580" i="6"/>
  <c r="G128" i="6"/>
  <c r="I128" i="6" s="1"/>
  <c r="K128" i="6" s="1"/>
  <c r="L128" i="6" s="1"/>
  <c r="O128" i="6" s="1"/>
  <c r="R128" i="6" s="1"/>
  <c r="H128" i="6"/>
  <c r="G192" i="6"/>
  <c r="I192" i="6" s="1"/>
  <c r="J192" i="6" s="1"/>
  <c r="H192" i="6"/>
  <c r="G256" i="6"/>
  <c r="I256" i="6" s="1"/>
  <c r="J256" i="6" s="1"/>
  <c r="H256" i="6"/>
  <c r="G320" i="6"/>
  <c r="I320" i="6" s="1"/>
  <c r="J320" i="6" s="1"/>
  <c r="H320" i="6"/>
  <c r="G384" i="6"/>
  <c r="I384" i="6" s="1"/>
  <c r="J384" i="6" s="1"/>
  <c r="H384" i="6"/>
  <c r="G448" i="6"/>
  <c r="I448" i="6" s="1"/>
  <c r="J448" i="6" s="1"/>
  <c r="H448" i="6"/>
  <c r="G512" i="6"/>
  <c r="I512" i="6" s="1"/>
  <c r="H512" i="6"/>
  <c r="G576" i="6"/>
  <c r="I576" i="6" s="1"/>
  <c r="J576" i="6" s="1"/>
  <c r="H576" i="6"/>
  <c r="G324" i="6"/>
  <c r="I324" i="6" s="1"/>
  <c r="J324" i="6" s="1"/>
  <c r="H324" i="6"/>
  <c r="G81" i="6"/>
  <c r="I81" i="6" s="1"/>
  <c r="J81" i="6" s="1"/>
  <c r="H81" i="6"/>
  <c r="G145" i="6"/>
  <c r="I145" i="6" s="1"/>
  <c r="J145" i="6" s="1"/>
  <c r="H145" i="6"/>
  <c r="G209" i="6"/>
  <c r="I209" i="6" s="1"/>
  <c r="J209" i="6" s="1"/>
  <c r="H209" i="6"/>
  <c r="G273" i="6"/>
  <c r="I273" i="6" s="1"/>
  <c r="J273" i="6" s="1"/>
  <c r="H273" i="6"/>
  <c r="G337" i="6"/>
  <c r="I337" i="6" s="1"/>
  <c r="H337" i="6"/>
  <c r="G401" i="6"/>
  <c r="I401" i="6" s="1"/>
  <c r="H401" i="6"/>
  <c r="G465" i="6"/>
  <c r="I465" i="6" s="1"/>
  <c r="J465" i="6" s="1"/>
  <c r="H465" i="6"/>
  <c r="G529" i="6"/>
  <c r="I529" i="6" s="1"/>
  <c r="K529" i="6" s="1"/>
  <c r="L529" i="6" s="1"/>
  <c r="O529" i="6" s="1"/>
  <c r="R529" i="6" s="1"/>
  <c r="H529" i="6"/>
  <c r="G593" i="6"/>
  <c r="I593" i="6" s="1"/>
  <c r="J593" i="6" s="1"/>
  <c r="H593" i="6"/>
  <c r="G122" i="6"/>
  <c r="I122" i="6" s="1"/>
  <c r="K122" i="6" s="1"/>
  <c r="L122" i="6" s="1"/>
  <c r="O122" i="6" s="1"/>
  <c r="R122" i="6" s="1"/>
  <c r="H122" i="6"/>
  <c r="G186" i="6"/>
  <c r="I186" i="6" s="1"/>
  <c r="J186" i="6" s="1"/>
  <c r="H186" i="6"/>
  <c r="G250" i="6"/>
  <c r="I250" i="6" s="1"/>
  <c r="J250" i="6" s="1"/>
  <c r="H250" i="6"/>
  <c r="G314" i="6"/>
  <c r="I314" i="6" s="1"/>
  <c r="J314" i="6" s="1"/>
  <c r="H314" i="6"/>
  <c r="G378" i="6"/>
  <c r="I378" i="6" s="1"/>
  <c r="J378" i="6" s="1"/>
  <c r="H378" i="6"/>
  <c r="G442" i="6"/>
  <c r="I442" i="6" s="1"/>
  <c r="J442" i="6" s="1"/>
  <c r="H442" i="6"/>
  <c r="G506" i="6"/>
  <c r="I506" i="6" s="1"/>
  <c r="J506" i="6" s="1"/>
  <c r="H506" i="6"/>
  <c r="G570" i="6"/>
  <c r="I570" i="6" s="1"/>
  <c r="J570" i="6" s="1"/>
  <c r="H570" i="6"/>
  <c r="G220" i="6"/>
  <c r="I220" i="6" s="1"/>
  <c r="J220" i="6" s="1"/>
  <c r="H220" i="6"/>
  <c r="G33" i="6"/>
  <c r="I33" i="6" s="1"/>
  <c r="J33" i="6" s="1"/>
  <c r="H33" i="6"/>
  <c r="G139" i="6"/>
  <c r="I139" i="6" s="1"/>
  <c r="K139" i="6" s="1"/>
  <c r="L139" i="6" s="1"/>
  <c r="O139" i="6" s="1"/>
  <c r="R139" i="6" s="1"/>
  <c r="H139" i="6"/>
  <c r="G203" i="6"/>
  <c r="I203" i="6" s="1"/>
  <c r="J203" i="6" s="1"/>
  <c r="H203" i="6"/>
  <c r="G267" i="6"/>
  <c r="I267" i="6" s="1"/>
  <c r="J267" i="6" s="1"/>
  <c r="H267" i="6"/>
  <c r="G331" i="6"/>
  <c r="I331" i="6" s="1"/>
  <c r="J331" i="6" s="1"/>
  <c r="H331" i="6"/>
  <c r="G395" i="6"/>
  <c r="I395" i="6" s="1"/>
  <c r="J395" i="6" s="1"/>
  <c r="H395" i="6"/>
  <c r="G459" i="6"/>
  <c r="I459" i="6" s="1"/>
  <c r="J459" i="6" s="1"/>
  <c r="H459" i="6"/>
  <c r="G523" i="6"/>
  <c r="I523" i="6" s="1"/>
  <c r="J523" i="6" s="1"/>
  <c r="H523" i="6"/>
  <c r="G587" i="6"/>
  <c r="I587" i="6" s="1"/>
  <c r="J587" i="6" s="1"/>
  <c r="H587" i="6"/>
  <c r="G364" i="6"/>
  <c r="I364" i="6" s="1"/>
  <c r="K364" i="6" s="1"/>
  <c r="L364" i="6" s="1"/>
  <c r="O364" i="6" s="1"/>
  <c r="R364" i="6" s="1"/>
  <c r="H364" i="6"/>
  <c r="K551" i="6"/>
  <c r="L551" i="6" s="1"/>
  <c r="O551" i="6" s="1"/>
  <c r="R551" i="6" s="1"/>
  <c r="K173" i="6"/>
  <c r="L173" i="6" s="1"/>
  <c r="O173" i="6" s="1"/>
  <c r="R173" i="6" s="1"/>
  <c r="J173" i="6"/>
  <c r="K429" i="6"/>
  <c r="L429" i="6" s="1"/>
  <c r="O429" i="6" s="1"/>
  <c r="R429" i="6" s="1"/>
  <c r="J429" i="6"/>
  <c r="K557" i="6"/>
  <c r="L557" i="6" s="1"/>
  <c r="O557" i="6" s="1"/>
  <c r="R557" i="6" s="1"/>
  <c r="J557" i="6"/>
  <c r="J134" i="6"/>
  <c r="K198" i="6"/>
  <c r="L198" i="6" s="1"/>
  <c r="O198" i="6" s="1"/>
  <c r="R198" i="6" s="1"/>
  <c r="K326" i="6"/>
  <c r="L326" i="6" s="1"/>
  <c r="O326" i="6" s="1"/>
  <c r="R326" i="6" s="1"/>
  <c r="K390" i="6"/>
  <c r="L390" i="6" s="1"/>
  <c r="O390" i="6" s="1"/>
  <c r="R390" i="6" s="1"/>
  <c r="K79" i="6"/>
  <c r="L79" i="6" s="1"/>
  <c r="J30" i="6"/>
  <c r="J183" i="6"/>
  <c r="K567" i="6"/>
  <c r="L567" i="6" s="1"/>
  <c r="O567" i="6" s="1"/>
  <c r="R567" i="6" s="1"/>
  <c r="J567" i="6"/>
  <c r="J244" i="6"/>
  <c r="K9" i="6"/>
  <c r="L9" i="6" s="1"/>
  <c r="O9" i="6" s="1"/>
  <c r="R9" i="6" s="1"/>
  <c r="J9" i="6"/>
  <c r="J264" i="6"/>
  <c r="K328" i="6"/>
  <c r="L328" i="6" s="1"/>
  <c r="O328" i="6" s="1"/>
  <c r="R328" i="6" s="1"/>
  <c r="J372" i="6"/>
  <c r="K153" i="6"/>
  <c r="L153" i="6" s="1"/>
  <c r="O153" i="6" s="1"/>
  <c r="R153" i="6" s="1"/>
  <c r="K537" i="6"/>
  <c r="L537" i="6" s="1"/>
  <c r="O537" i="6" s="1"/>
  <c r="R537" i="6" s="1"/>
  <c r="J537" i="6"/>
  <c r="K386" i="6"/>
  <c r="L386" i="6" s="1"/>
  <c r="O386" i="6" s="1"/>
  <c r="R386" i="6" s="1"/>
  <c r="K514" i="6"/>
  <c r="L514" i="6" s="1"/>
  <c r="O514" i="6" s="1"/>
  <c r="R514" i="6" s="1"/>
  <c r="K268" i="6"/>
  <c r="L268" i="6" s="1"/>
  <c r="O268" i="6" s="1"/>
  <c r="R268" i="6" s="1"/>
  <c r="J403" i="6"/>
  <c r="K531" i="6"/>
  <c r="L531" i="6" s="1"/>
  <c r="O531" i="6" s="1"/>
  <c r="R531" i="6" s="1"/>
  <c r="J404" i="6"/>
  <c r="K502" i="6"/>
  <c r="L502" i="6" s="1"/>
  <c r="O502" i="6" s="1"/>
  <c r="R502" i="6" s="1"/>
  <c r="K485" i="6"/>
  <c r="L485" i="6" s="1"/>
  <c r="O485" i="6" s="1"/>
  <c r="R485" i="6" s="1"/>
  <c r="K303" i="6"/>
  <c r="L303" i="6" s="1"/>
  <c r="O303" i="6" s="1"/>
  <c r="R303" i="6" s="1"/>
  <c r="K245" i="6"/>
  <c r="L245" i="6" s="1"/>
  <c r="O245" i="6" s="1"/>
  <c r="R245" i="6" s="1"/>
  <c r="J245" i="6"/>
  <c r="K309" i="6"/>
  <c r="L309" i="6" s="1"/>
  <c r="O309" i="6" s="1"/>
  <c r="R309" i="6" s="1"/>
  <c r="K501" i="6"/>
  <c r="L501" i="6" s="1"/>
  <c r="O501" i="6" s="1"/>
  <c r="R501" i="6" s="1"/>
  <c r="J501" i="6"/>
  <c r="J565" i="6"/>
  <c r="K57" i="6"/>
  <c r="L57" i="6" s="1"/>
  <c r="O57" i="6" s="1"/>
  <c r="R57" i="6" s="1"/>
  <c r="K142" i="6"/>
  <c r="L142" i="6" s="1"/>
  <c r="O142" i="6" s="1"/>
  <c r="R142" i="6" s="1"/>
  <c r="K334" i="6"/>
  <c r="L334" i="6" s="1"/>
  <c r="O334" i="6" s="1"/>
  <c r="R334" i="6" s="1"/>
  <c r="J398" i="6"/>
  <c r="J526" i="6"/>
  <c r="K340" i="6"/>
  <c r="L340" i="6" s="1"/>
  <c r="O340" i="6" s="1"/>
  <c r="R340" i="6" s="1"/>
  <c r="K56" i="6"/>
  <c r="L56" i="6" s="1"/>
  <c r="O56" i="6" s="1"/>
  <c r="R56" i="6" s="1"/>
  <c r="K7" i="6"/>
  <c r="L7" i="6" s="1"/>
  <c r="O7" i="6" s="1"/>
  <c r="R7" i="6" s="1"/>
  <c r="J22" i="6"/>
  <c r="J37" i="6"/>
  <c r="K3" i="6"/>
  <c r="L3" i="6" s="1"/>
  <c r="O3" i="6" s="1"/>
  <c r="R3" i="6" s="1"/>
  <c r="K18" i="6"/>
  <c r="L18" i="6" s="1"/>
  <c r="O18" i="6" s="1"/>
  <c r="R18" i="6" s="1"/>
  <c r="J18" i="6"/>
  <c r="K255" i="6"/>
  <c r="L255" i="6" s="1"/>
  <c r="O255" i="6" s="1"/>
  <c r="R255" i="6" s="1"/>
  <c r="J255" i="6"/>
  <c r="K511" i="6"/>
  <c r="L511" i="6" s="1"/>
  <c r="O511" i="6" s="1"/>
  <c r="R511" i="6" s="1"/>
  <c r="J511" i="6"/>
  <c r="J144" i="6"/>
  <c r="J208" i="6"/>
  <c r="K336" i="6"/>
  <c r="L336" i="6" s="1"/>
  <c r="O336" i="6" s="1"/>
  <c r="R336" i="6" s="1"/>
  <c r="J400" i="6"/>
  <c r="K464" i="6"/>
  <c r="L464" i="6" s="1"/>
  <c r="O464" i="6" s="1"/>
  <c r="R464" i="6" s="1"/>
  <c r="J464" i="6"/>
  <c r="K592" i="6"/>
  <c r="L592" i="6" s="1"/>
  <c r="O592" i="6" s="1"/>
  <c r="R592" i="6" s="1"/>
  <c r="K420" i="6"/>
  <c r="L420" i="6" s="1"/>
  <c r="O420" i="6" s="1"/>
  <c r="R420" i="6" s="1"/>
  <c r="J420" i="6"/>
  <c r="K289" i="6"/>
  <c r="L289" i="6" s="1"/>
  <c r="O289" i="6" s="1"/>
  <c r="R289" i="6" s="1"/>
  <c r="J289" i="6"/>
  <c r="K353" i="6"/>
  <c r="L353" i="6" s="1"/>
  <c r="O353" i="6" s="1"/>
  <c r="R353" i="6" s="1"/>
  <c r="K481" i="6"/>
  <c r="L481" i="6" s="1"/>
  <c r="K545" i="6"/>
  <c r="L545" i="6" s="1"/>
  <c r="O545" i="6" s="1"/>
  <c r="R545" i="6" s="1"/>
  <c r="J545" i="6"/>
  <c r="K25" i="6"/>
  <c r="L25" i="6" s="1"/>
  <c r="O25" i="6" s="1"/>
  <c r="R25" i="6" s="1"/>
  <c r="J25" i="6"/>
  <c r="K266" i="6"/>
  <c r="L266" i="6" s="1"/>
  <c r="O266" i="6" s="1"/>
  <c r="R266" i="6" s="1"/>
  <c r="K522" i="6"/>
  <c r="L522" i="6" s="1"/>
  <c r="O522" i="6" s="1"/>
  <c r="R522" i="6" s="1"/>
  <c r="J522" i="6"/>
  <c r="K586" i="6"/>
  <c r="L586" i="6" s="1"/>
  <c r="O586" i="6" s="1"/>
  <c r="R586" i="6" s="1"/>
  <c r="K155" i="6"/>
  <c r="L155" i="6" s="1"/>
  <c r="O155" i="6" s="1"/>
  <c r="R155" i="6" s="1"/>
  <c r="J155" i="6"/>
  <c r="K219" i="6"/>
  <c r="L219" i="6" s="1"/>
  <c r="O219" i="6" s="1"/>
  <c r="R219" i="6" s="1"/>
  <c r="K411" i="6"/>
  <c r="L411" i="6" s="1"/>
  <c r="O411" i="6" s="1"/>
  <c r="R411" i="6" s="1"/>
  <c r="J411" i="6"/>
  <c r="J475" i="6"/>
  <c r="K124" i="6"/>
  <c r="L124" i="6" s="1"/>
  <c r="O124" i="6" s="1"/>
  <c r="R124" i="6" s="1"/>
  <c r="K452" i="6"/>
  <c r="L452" i="6" s="1"/>
  <c r="O452" i="6" s="1"/>
  <c r="R452" i="6" s="1"/>
  <c r="K53" i="6"/>
  <c r="L53" i="6" s="1"/>
  <c r="O53" i="6" s="1"/>
  <c r="R53" i="6" s="1"/>
  <c r="K573" i="6"/>
  <c r="L573" i="6" s="1"/>
  <c r="J573" i="6"/>
  <c r="K48" i="6"/>
  <c r="L48" i="6" s="1"/>
  <c r="O48" i="6" s="1"/>
  <c r="R48" i="6" s="1"/>
  <c r="J48" i="6"/>
  <c r="K10" i="6"/>
  <c r="L10" i="6" s="1"/>
  <c r="O10" i="6" s="1"/>
  <c r="R10" i="6" s="1"/>
  <c r="J10" i="6"/>
  <c r="K327" i="6"/>
  <c r="L327" i="6" s="1"/>
  <c r="O327" i="6" s="1"/>
  <c r="R327" i="6" s="1"/>
  <c r="J327" i="6"/>
  <c r="K216" i="6"/>
  <c r="L216" i="6" s="1"/>
  <c r="O216" i="6" s="1"/>
  <c r="R216" i="6" s="1"/>
  <c r="J216" i="6"/>
  <c r="K169" i="6"/>
  <c r="L169" i="6" s="1"/>
  <c r="O169" i="6" s="1"/>
  <c r="R169" i="6" s="1"/>
  <c r="J169" i="6"/>
  <c r="K361" i="6"/>
  <c r="L361" i="6" s="1"/>
  <c r="O361" i="6" s="1"/>
  <c r="R361" i="6" s="1"/>
  <c r="J361" i="6"/>
  <c r="K338" i="6"/>
  <c r="L338" i="6" s="1"/>
  <c r="O338" i="6" s="1"/>
  <c r="R338" i="6" s="1"/>
  <c r="J338" i="6"/>
  <c r="K594" i="6"/>
  <c r="L594" i="6" s="1"/>
  <c r="O594" i="6" s="1"/>
  <c r="R594" i="6" s="1"/>
  <c r="J594" i="6"/>
  <c r="K483" i="6"/>
  <c r="L483" i="6" s="1"/>
  <c r="O483" i="6" s="1"/>
  <c r="R483" i="6" s="1"/>
  <c r="J483" i="6"/>
  <c r="J31" i="6"/>
  <c r="J27" i="6"/>
  <c r="K457" i="6"/>
  <c r="L457" i="6" s="1"/>
  <c r="O457" i="6" s="1"/>
  <c r="R457" i="6" s="1"/>
  <c r="K389" i="6"/>
  <c r="L389" i="6" s="1"/>
  <c r="O389" i="6" s="1"/>
  <c r="R389" i="6" s="1"/>
  <c r="K517" i="6"/>
  <c r="L517" i="6" s="1"/>
  <c r="O517" i="6" s="1"/>
  <c r="R517" i="6" s="1"/>
  <c r="K356" i="6"/>
  <c r="L356" i="6" s="1"/>
  <c r="J356" i="6"/>
  <c r="K158" i="6"/>
  <c r="L158" i="6" s="1"/>
  <c r="O158" i="6" s="1"/>
  <c r="R158" i="6" s="1"/>
  <c r="J158" i="6"/>
  <c r="J222" i="6"/>
  <c r="J414" i="6"/>
  <c r="K542" i="6"/>
  <c r="L542" i="6" s="1"/>
  <c r="O542" i="6" s="1"/>
  <c r="R542" i="6" s="1"/>
  <c r="J40" i="6"/>
  <c r="K36" i="6"/>
  <c r="L36" i="6" s="1"/>
  <c r="O36" i="6" s="1"/>
  <c r="R36" i="6" s="1"/>
  <c r="J36" i="6"/>
  <c r="J2" i="6"/>
  <c r="K399" i="6"/>
  <c r="L399" i="6" s="1"/>
  <c r="O399" i="6" s="1"/>
  <c r="R399" i="6" s="1"/>
  <c r="J399" i="6"/>
  <c r="K463" i="6"/>
  <c r="L463" i="6" s="1"/>
  <c r="O463" i="6" s="1"/>
  <c r="R463" i="6" s="1"/>
  <c r="J463" i="6"/>
  <c r="K160" i="6"/>
  <c r="L160" i="6" s="1"/>
  <c r="O160" i="6" s="1"/>
  <c r="R160" i="6" s="1"/>
  <c r="K288" i="6"/>
  <c r="L288" i="6" s="1"/>
  <c r="O288" i="6" s="1"/>
  <c r="R288" i="6" s="1"/>
  <c r="J288" i="6"/>
  <c r="K416" i="6"/>
  <c r="L416" i="6" s="1"/>
  <c r="J416" i="6"/>
  <c r="J480" i="6"/>
  <c r="J544" i="6"/>
  <c r="J516" i="6"/>
  <c r="J433" i="6"/>
  <c r="K154" i="6"/>
  <c r="L154" i="6" s="1"/>
  <c r="O154" i="6" s="1"/>
  <c r="R154" i="6" s="1"/>
  <c r="J154" i="6"/>
  <c r="K428" i="6"/>
  <c r="L428" i="6" s="1"/>
  <c r="O428" i="6" s="1"/>
  <c r="R428" i="6" s="1"/>
  <c r="J428" i="6"/>
  <c r="K427" i="6"/>
  <c r="L427" i="6" s="1"/>
  <c r="O427" i="6" s="1"/>
  <c r="R427" i="6" s="1"/>
  <c r="K555" i="6"/>
  <c r="L555" i="6" s="1"/>
  <c r="O555" i="6" s="1"/>
  <c r="R555" i="6" s="1"/>
  <c r="J555" i="6"/>
  <c r="K548" i="6"/>
  <c r="L548" i="6" s="1"/>
  <c r="O548" i="6" s="1"/>
  <c r="R548" i="6" s="1"/>
  <c r="J548" i="6"/>
  <c r="K167" i="6"/>
  <c r="L167" i="6" s="1"/>
  <c r="O167" i="6" s="1"/>
  <c r="R167" i="6" s="1"/>
  <c r="K184" i="6"/>
  <c r="L184" i="6" s="1"/>
  <c r="O184" i="6" s="1"/>
  <c r="R184" i="6" s="1"/>
  <c r="K165" i="6"/>
  <c r="L165" i="6" s="1"/>
  <c r="O165" i="6" s="1"/>
  <c r="R165" i="6" s="1"/>
  <c r="K68" i="6"/>
  <c r="L68" i="6" s="1"/>
  <c r="O68" i="6" s="1"/>
  <c r="R68" i="6" s="1"/>
  <c r="K175" i="6"/>
  <c r="L175" i="6" s="1"/>
  <c r="O175" i="6" s="1"/>
  <c r="R175" i="6" s="1"/>
  <c r="K593" i="6"/>
  <c r="L593" i="6" s="1"/>
  <c r="O593" i="6" s="1"/>
  <c r="R593" i="6" s="1"/>
  <c r="K525" i="6"/>
  <c r="L525" i="6" s="1"/>
  <c r="J525" i="6"/>
  <c r="K166" i="6"/>
  <c r="L166" i="6" s="1"/>
  <c r="O166" i="6" s="1"/>
  <c r="R166" i="6" s="1"/>
  <c r="J166" i="6"/>
  <c r="J500" i="6"/>
  <c r="J32" i="6"/>
  <c r="K77" i="6"/>
  <c r="L77" i="6" s="1"/>
  <c r="O77" i="6" s="1"/>
  <c r="R77" i="6" s="1"/>
  <c r="J77" i="6"/>
  <c r="K535" i="6"/>
  <c r="L535" i="6" s="1"/>
  <c r="O535" i="6" s="1"/>
  <c r="R535" i="6" s="1"/>
  <c r="J535" i="6"/>
  <c r="K564" i="6"/>
  <c r="L564" i="6" s="1"/>
  <c r="O564" i="6" s="1"/>
  <c r="R564" i="6" s="1"/>
  <c r="J564" i="6"/>
  <c r="K313" i="6"/>
  <c r="L313" i="6" s="1"/>
  <c r="O313" i="6" s="1"/>
  <c r="R313" i="6" s="1"/>
  <c r="J290" i="6"/>
  <c r="K546" i="6"/>
  <c r="L546" i="6" s="1"/>
  <c r="O546" i="6" s="1"/>
  <c r="R546" i="6" s="1"/>
  <c r="J435" i="6"/>
  <c r="J323" i="6"/>
  <c r="K405" i="6"/>
  <c r="L405" i="6" s="1"/>
  <c r="O405" i="6" s="1"/>
  <c r="R405" i="6" s="1"/>
  <c r="K533" i="6"/>
  <c r="L533" i="6" s="1"/>
  <c r="O533" i="6" s="1"/>
  <c r="R533" i="6" s="1"/>
  <c r="J533" i="6"/>
  <c r="J430" i="6"/>
  <c r="K556" i="6"/>
  <c r="L556" i="6" s="1"/>
  <c r="O556" i="6" s="1"/>
  <c r="R556" i="6" s="1"/>
  <c r="K20" i="6"/>
  <c r="L20" i="6" s="1"/>
  <c r="O20" i="6" s="1"/>
  <c r="R20" i="6" s="1"/>
  <c r="K50" i="6"/>
  <c r="L50" i="6" s="1"/>
  <c r="O50" i="6" s="1"/>
  <c r="R50" i="6" s="1"/>
  <c r="J50" i="6"/>
  <c r="J543" i="6"/>
  <c r="K492" i="6"/>
  <c r="L492" i="6" s="1"/>
  <c r="O492" i="6" s="1"/>
  <c r="R492" i="6" s="1"/>
  <c r="K596" i="6"/>
  <c r="L596" i="6" s="1"/>
  <c r="O596" i="6" s="1"/>
  <c r="R596" i="6" s="1"/>
  <c r="J596" i="6"/>
  <c r="K577" i="6"/>
  <c r="L577" i="6" s="1"/>
  <c r="O577" i="6" s="1"/>
  <c r="R577" i="6" s="1"/>
  <c r="J577" i="6"/>
  <c r="J106" i="6"/>
  <c r="J554" i="6"/>
  <c r="K443" i="6"/>
  <c r="L443" i="6" s="1"/>
  <c r="O443" i="6" s="1"/>
  <c r="R443" i="6" s="1"/>
  <c r="J443" i="6"/>
  <c r="R552" i="3"/>
  <c r="S552" i="3" s="1"/>
  <c r="V552" i="3" s="1"/>
  <c r="N2" i="3"/>
  <c r="O2" i="3"/>
  <c r="Q544" i="3"/>
  <c r="R560" i="3"/>
  <c r="S560" i="3" s="1"/>
  <c r="V560" i="3" s="1"/>
  <c r="F307" i="4"/>
  <c r="C333" i="4"/>
  <c r="N529" i="3"/>
  <c r="N336" i="3"/>
  <c r="O385" i="3"/>
  <c r="P385" i="3" s="1"/>
  <c r="Q385" i="3" s="1"/>
  <c r="R584" i="3"/>
  <c r="S584" i="3" s="1"/>
  <c r="V584" i="3" s="1"/>
  <c r="N456" i="3"/>
  <c r="N330" i="3"/>
  <c r="N10" i="3"/>
  <c r="N345" i="3"/>
  <c r="N184" i="3"/>
  <c r="N144" i="3"/>
  <c r="N520" i="3"/>
  <c r="O74" i="3"/>
  <c r="P74" i="3" s="1"/>
  <c r="Q74" i="3" s="1"/>
  <c r="O3" i="3"/>
  <c r="P3" i="3" s="1"/>
  <c r="Q3" i="3" s="1"/>
  <c r="O57" i="3"/>
  <c r="P57" i="3" s="1"/>
  <c r="Q57" i="3" s="1"/>
  <c r="N392" i="3"/>
  <c r="N576" i="3"/>
  <c r="N145" i="3"/>
  <c r="O321" i="3"/>
  <c r="P321" i="3" s="1"/>
  <c r="Q321" i="3" s="1"/>
  <c r="N214" i="3"/>
  <c r="N377" i="3"/>
  <c r="N464" i="3"/>
  <c r="N490" i="3"/>
  <c r="N457" i="3"/>
  <c r="N542" i="3"/>
  <c r="N569" i="3"/>
  <c r="N512" i="3"/>
  <c r="N592" i="3"/>
  <c r="O478" i="3"/>
  <c r="P478" i="3" s="1"/>
  <c r="Q478" i="3" s="1"/>
  <c r="O210" i="3"/>
  <c r="P210" i="3" s="1"/>
  <c r="Q210" i="3" s="1"/>
  <c r="N177" i="3"/>
  <c r="N554" i="3"/>
  <c r="O441" i="3"/>
  <c r="P441" i="3" s="1"/>
  <c r="Q441" i="3" s="1"/>
  <c r="N521" i="3"/>
  <c r="N193" i="3"/>
  <c r="N393" i="3"/>
  <c r="N22" i="3"/>
  <c r="N150" i="3"/>
  <c r="N241" i="3"/>
  <c r="O465" i="3"/>
  <c r="P465" i="3" s="1"/>
  <c r="Q465" i="3" s="1"/>
  <c r="N342" i="3"/>
  <c r="N400" i="3"/>
  <c r="N18" i="3"/>
  <c r="N65" i="3"/>
  <c r="N362" i="3"/>
  <c r="N448" i="3"/>
  <c r="N528" i="3"/>
  <c r="N426" i="3"/>
  <c r="O129" i="3"/>
  <c r="P129" i="3" s="1"/>
  <c r="Q129" i="3" s="1"/>
  <c r="O585" i="3"/>
  <c r="P585" i="3" s="1"/>
  <c r="Q585" i="3" s="1"/>
  <c r="N369" i="3"/>
  <c r="O72" i="3"/>
  <c r="P72" i="3" s="1"/>
  <c r="Q72" i="3" s="1"/>
  <c r="N414" i="3"/>
  <c r="R336" i="3"/>
  <c r="S336" i="3" s="1"/>
  <c r="V336" i="3" s="1"/>
  <c r="Q528" i="3"/>
  <c r="N354" i="3"/>
  <c r="O354" i="3"/>
  <c r="P354" i="3" s="1"/>
  <c r="Q354" i="3" s="1"/>
  <c r="N418" i="3"/>
  <c r="O418" i="3"/>
  <c r="P418" i="3" s="1"/>
  <c r="Q418" i="3" s="1"/>
  <c r="N546" i="3"/>
  <c r="O546" i="3"/>
  <c r="P546" i="3" s="1"/>
  <c r="Q546" i="3" s="1"/>
  <c r="O270" i="3"/>
  <c r="P270" i="3" s="1"/>
  <c r="R270" i="3" s="1"/>
  <c r="S270" i="3" s="1"/>
  <c r="V270" i="3" s="1"/>
  <c r="N270" i="3"/>
  <c r="N334" i="3"/>
  <c r="O334" i="3"/>
  <c r="P334" i="3" s="1"/>
  <c r="Q334" i="3" s="1"/>
  <c r="O344" i="3"/>
  <c r="P344" i="3" s="1"/>
  <c r="Q344" i="3" s="1"/>
  <c r="N344" i="3"/>
  <c r="N534" i="3"/>
  <c r="O534" i="3"/>
  <c r="P534" i="3" s="1"/>
  <c r="Q534" i="3" s="1"/>
  <c r="O408" i="3"/>
  <c r="P408" i="3" s="1"/>
  <c r="Q408" i="3" s="1"/>
  <c r="N408" i="3"/>
  <c r="O472" i="3"/>
  <c r="P472" i="3" s="1"/>
  <c r="Q472" i="3" s="1"/>
  <c r="N472" i="3"/>
  <c r="O536" i="3"/>
  <c r="P536" i="3" s="1"/>
  <c r="Q536" i="3" s="1"/>
  <c r="N536" i="3"/>
  <c r="N370" i="3"/>
  <c r="O370" i="3"/>
  <c r="P370" i="3" s="1"/>
  <c r="Q370" i="3" s="1"/>
  <c r="N498" i="3"/>
  <c r="O498" i="3"/>
  <c r="P498" i="3" s="1"/>
  <c r="Q498" i="3" s="1"/>
  <c r="N562" i="3"/>
  <c r="O562" i="3"/>
  <c r="P562" i="3" s="1"/>
  <c r="Q562" i="3" s="1"/>
  <c r="O40" i="3"/>
  <c r="P40" i="3" s="1"/>
  <c r="Q40" i="3" s="1"/>
  <c r="N40" i="3"/>
  <c r="O104" i="3"/>
  <c r="P104" i="3" s="1"/>
  <c r="Q104" i="3" s="1"/>
  <c r="N104" i="3"/>
  <c r="N168" i="3"/>
  <c r="O168" i="3"/>
  <c r="P168" i="3" s="1"/>
  <c r="Q168" i="3" s="1"/>
  <c r="O38" i="3"/>
  <c r="P38" i="3" s="1"/>
  <c r="Q38" i="3" s="1"/>
  <c r="N38" i="3"/>
  <c r="N25" i="3"/>
  <c r="O25" i="3"/>
  <c r="P25" i="3" s="1"/>
  <c r="Q25" i="3" s="1"/>
  <c r="O153" i="3"/>
  <c r="P153" i="3" s="1"/>
  <c r="Q153" i="3" s="1"/>
  <c r="N153" i="3"/>
  <c r="N217" i="3"/>
  <c r="O217" i="3"/>
  <c r="P217" i="3" s="1"/>
  <c r="Q217" i="3" s="1"/>
  <c r="O281" i="3"/>
  <c r="P281" i="3" s="1"/>
  <c r="Q281" i="3" s="1"/>
  <c r="N281" i="3"/>
  <c r="O42" i="3"/>
  <c r="P42" i="3" s="1"/>
  <c r="Q42" i="3" s="1"/>
  <c r="N42" i="3"/>
  <c r="N106" i="3"/>
  <c r="O106" i="3"/>
  <c r="P106" i="3" s="1"/>
  <c r="Q106" i="3" s="1"/>
  <c r="N417" i="3"/>
  <c r="O417" i="3"/>
  <c r="P417" i="3" s="1"/>
  <c r="Q417" i="3" s="1"/>
  <c r="N553" i="3"/>
  <c r="O553" i="3"/>
  <c r="P553" i="3" s="1"/>
  <c r="Q553" i="3" s="1"/>
  <c r="O169" i="3"/>
  <c r="P169" i="3" s="1"/>
  <c r="Q169" i="3" s="1"/>
  <c r="N169" i="3"/>
  <c r="O233" i="3"/>
  <c r="P233" i="3" s="1"/>
  <c r="Q233" i="3" s="1"/>
  <c r="N233" i="3"/>
  <c r="O122" i="3"/>
  <c r="P122" i="3" s="1"/>
  <c r="Q122" i="3" s="1"/>
  <c r="N122" i="3"/>
  <c r="O510" i="3"/>
  <c r="P510" i="3" s="1"/>
  <c r="Q510" i="3" s="1"/>
  <c r="N510" i="3"/>
  <c r="N201" i="3"/>
  <c r="N113" i="3"/>
  <c r="N305" i="3"/>
  <c r="N152" i="3"/>
  <c r="O398" i="3"/>
  <c r="P398" i="3" s="1"/>
  <c r="Q398" i="3" s="1"/>
  <c r="O162" i="3"/>
  <c r="P162" i="3" s="1"/>
  <c r="Q162" i="3" s="1"/>
  <c r="R576" i="3"/>
  <c r="S576" i="3" s="1"/>
  <c r="V576" i="3" s="1"/>
  <c r="N416" i="3"/>
  <c r="N89" i="3"/>
  <c r="N280" i="3"/>
  <c r="O296" i="3"/>
  <c r="P296" i="3" s="1"/>
  <c r="Q296" i="3" s="1"/>
  <c r="N328" i="3"/>
  <c r="N352" i="3"/>
  <c r="N480" i="3"/>
  <c r="N544" i="3"/>
  <c r="N401" i="3"/>
  <c r="N134" i="3"/>
  <c r="O98" i="3"/>
  <c r="P98" i="3" s="1"/>
  <c r="Q98" i="3" s="1"/>
  <c r="O66" i="3"/>
  <c r="P66" i="3" s="1"/>
  <c r="Q66" i="3" s="1"/>
  <c r="N384" i="3"/>
  <c r="N433" i="3"/>
  <c r="O158" i="3"/>
  <c r="P158" i="3" s="1"/>
  <c r="R158" i="3" s="1"/>
  <c r="S158" i="3" s="1"/>
  <c r="V158" i="3" s="1"/>
  <c r="O410" i="3"/>
  <c r="P410" i="3" s="1"/>
  <c r="Q410" i="3" s="1"/>
  <c r="Q586" i="3"/>
  <c r="R592" i="3"/>
  <c r="S592" i="3" s="1"/>
  <c r="V592" i="3" s="1"/>
  <c r="O577" i="3"/>
  <c r="P577" i="3" s="1"/>
  <c r="Q577" i="3" s="1"/>
  <c r="N577" i="3"/>
  <c r="O167" i="3"/>
  <c r="P167" i="3" s="1"/>
  <c r="Q167" i="3" s="1"/>
  <c r="N167" i="3"/>
  <c r="N96" i="3"/>
  <c r="O96" i="3"/>
  <c r="P96" i="3" s="1"/>
  <c r="Q96" i="3" s="1"/>
  <c r="N160" i="3"/>
  <c r="O160" i="3"/>
  <c r="P160" i="3" s="1"/>
  <c r="Q160" i="3" s="1"/>
  <c r="N288" i="3"/>
  <c r="O288" i="3"/>
  <c r="P288" i="3" s="1"/>
  <c r="Q288" i="3" s="1"/>
  <c r="O9" i="3"/>
  <c r="P9" i="3" s="1"/>
  <c r="Q9" i="3" s="1"/>
  <c r="N9" i="3"/>
  <c r="O329" i="3"/>
  <c r="P329" i="3" s="1"/>
  <c r="Q329" i="3" s="1"/>
  <c r="N329" i="3"/>
  <c r="N218" i="3"/>
  <c r="O218" i="3"/>
  <c r="P218" i="3" s="1"/>
  <c r="Q218" i="3" s="1"/>
  <c r="N139" i="3"/>
  <c r="O139" i="3"/>
  <c r="P139" i="3" s="1"/>
  <c r="Q139" i="3" s="1"/>
  <c r="O435" i="3"/>
  <c r="P435" i="3" s="1"/>
  <c r="Q435" i="3" s="1"/>
  <c r="N435" i="3"/>
  <c r="O292" i="3"/>
  <c r="P292" i="3" s="1"/>
  <c r="Q292" i="3" s="1"/>
  <c r="N292" i="3"/>
  <c r="O484" i="3"/>
  <c r="P484" i="3" s="1"/>
  <c r="Q484" i="3" s="1"/>
  <c r="N484" i="3"/>
  <c r="N237" i="3"/>
  <c r="O237" i="3"/>
  <c r="P237" i="3" s="1"/>
  <c r="Q237" i="3" s="1"/>
  <c r="O309" i="3"/>
  <c r="P309" i="3" s="1"/>
  <c r="Q309" i="3" s="1"/>
  <c r="N309" i="3"/>
  <c r="O6" i="3"/>
  <c r="P6" i="3" s="1"/>
  <c r="Q6" i="3" s="1"/>
  <c r="N6" i="3"/>
  <c r="N198" i="3"/>
  <c r="O198" i="3"/>
  <c r="P198" i="3" s="1"/>
  <c r="R198" i="3" s="1"/>
  <c r="S198" i="3" s="1"/>
  <c r="V198" i="3" s="1"/>
  <c r="O326" i="3"/>
  <c r="P326" i="3" s="1"/>
  <c r="Q326" i="3" s="1"/>
  <c r="N326" i="3"/>
  <c r="O518" i="3"/>
  <c r="P518" i="3" s="1"/>
  <c r="Q518" i="3" s="1"/>
  <c r="N518" i="3"/>
  <c r="O371" i="3"/>
  <c r="P371" i="3" s="1"/>
  <c r="Q371" i="3" s="1"/>
  <c r="N371" i="3"/>
  <c r="N566" i="3"/>
  <c r="O566" i="3"/>
  <c r="P566" i="3" s="1"/>
  <c r="Q566" i="3" s="1"/>
  <c r="N469" i="3"/>
  <c r="O469" i="3"/>
  <c r="P469" i="3" s="1"/>
  <c r="Q469" i="3" s="1"/>
  <c r="O142" i="3"/>
  <c r="P142" i="3" s="1"/>
  <c r="Q142" i="3" s="1"/>
  <c r="N142" i="3"/>
  <c r="N26" i="3"/>
  <c r="O70" i="3"/>
  <c r="P70" i="3" s="1"/>
  <c r="R70" i="3" s="1"/>
  <c r="S70" i="3" s="1"/>
  <c r="V70" i="3" s="1"/>
  <c r="O47" i="3"/>
  <c r="P47" i="3" s="1"/>
  <c r="N47" i="3"/>
  <c r="N111" i="3"/>
  <c r="O111" i="3"/>
  <c r="P111" i="3" s="1"/>
  <c r="Q111" i="3" s="1"/>
  <c r="O175" i="3"/>
  <c r="P175" i="3" s="1"/>
  <c r="Q175" i="3" s="1"/>
  <c r="N175" i="3"/>
  <c r="O239" i="3"/>
  <c r="P239" i="3" s="1"/>
  <c r="Q239" i="3" s="1"/>
  <c r="N239" i="3"/>
  <c r="N17" i="3"/>
  <c r="O17" i="3"/>
  <c r="P17" i="3" s="1"/>
  <c r="Q17" i="3" s="1"/>
  <c r="O209" i="3"/>
  <c r="P209" i="3" s="1"/>
  <c r="Q209" i="3" s="1"/>
  <c r="N209" i="3"/>
  <c r="O337" i="3"/>
  <c r="P337" i="3" s="1"/>
  <c r="Q337" i="3" s="1"/>
  <c r="N337" i="3"/>
  <c r="O226" i="3"/>
  <c r="P226" i="3" s="1"/>
  <c r="Q226" i="3" s="1"/>
  <c r="N226" i="3"/>
  <c r="N290" i="3"/>
  <c r="O290" i="3"/>
  <c r="P290" i="3" s="1"/>
  <c r="Q290" i="3" s="1"/>
  <c r="O19" i="3"/>
  <c r="P19" i="3" s="1"/>
  <c r="Q19" i="3" s="1"/>
  <c r="N19" i="3"/>
  <c r="O83" i="3"/>
  <c r="P83" i="3" s="1"/>
  <c r="Q83" i="3" s="1"/>
  <c r="N83" i="3"/>
  <c r="O147" i="3"/>
  <c r="P147" i="3" s="1"/>
  <c r="Q147" i="3" s="1"/>
  <c r="N147" i="3"/>
  <c r="O211" i="3"/>
  <c r="P211" i="3" s="1"/>
  <c r="Q211" i="3" s="1"/>
  <c r="N211" i="3"/>
  <c r="O275" i="3"/>
  <c r="P275" i="3" s="1"/>
  <c r="Q275" i="3" s="1"/>
  <c r="N275" i="3"/>
  <c r="O44" i="3"/>
  <c r="P44" i="3" s="1"/>
  <c r="Q44" i="3" s="1"/>
  <c r="N44" i="3"/>
  <c r="N108" i="3"/>
  <c r="O108" i="3"/>
  <c r="P108" i="3" s="1"/>
  <c r="Q108" i="3" s="1"/>
  <c r="N172" i="3"/>
  <c r="O172" i="3"/>
  <c r="P172" i="3" s="1"/>
  <c r="Q172" i="3" s="1"/>
  <c r="O236" i="3"/>
  <c r="P236" i="3" s="1"/>
  <c r="Q236" i="3" s="1"/>
  <c r="N236" i="3"/>
  <c r="O24" i="3"/>
  <c r="P24" i="3" s="1"/>
  <c r="Q24" i="3" s="1"/>
  <c r="N24" i="3"/>
  <c r="N497" i="3"/>
  <c r="O497" i="3"/>
  <c r="P497" i="3" s="1"/>
  <c r="Q497" i="3" s="1"/>
  <c r="N346" i="3"/>
  <c r="O346" i="3"/>
  <c r="P346" i="3" s="1"/>
  <c r="Q346" i="3" s="1"/>
  <c r="O474" i="3"/>
  <c r="P474" i="3" s="1"/>
  <c r="Q474" i="3" s="1"/>
  <c r="N474" i="3"/>
  <c r="O538" i="3"/>
  <c r="P538" i="3" s="1"/>
  <c r="Q538" i="3" s="1"/>
  <c r="N538" i="3"/>
  <c r="N602" i="3"/>
  <c r="O602" i="3"/>
  <c r="P602" i="3" s="1"/>
  <c r="Q602" i="3" s="1"/>
  <c r="N571" i="3"/>
  <c r="O571" i="3"/>
  <c r="P571" i="3" s="1"/>
  <c r="Q571" i="3" s="1"/>
  <c r="O300" i="3"/>
  <c r="P300" i="3" s="1"/>
  <c r="Q300" i="3" s="1"/>
  <c r="N300" i="3"/>
  <c r="O364" i="3"/>
  <c r="P364" i="3" s="1"/>
  <c r="Q364" i="3" s="1"/>
  <c r="N364" i="3"/>
  <c r="O428" i="3"/>
  <c r="P428" i="3" s="1"/>
  <c r="Q428" i="3" s="1"/>
  <c r="N428" i="3"/>
  <c r="N492" i="3"/>
  <c r="O492" i="3"/>
  <c r="P492" i="3" s="1"/>
  <c r="Q492" i="3" s="1"/>
  <c r="N556" i="3"/>
  <c r="O556" i="3"/>
  <c r="P556" i="3" s="1"/>
  <c r="Q556" i="3" s="1"/>
  <c r="N253" i="3"/>
  <c r="O253" i="3"/>
  <c r="P253" i="3" s="1"/>
  <c r="Q253" i="3" s="1"/>
  <c r="O317" i="3"/>
  <c r="P317" i="3" s="1"/>
  <c r="R317" i="3" s="1"/>
  <c r="S317" i="3" s="1"/>
  <c r="V317" i="3" s="1"/>
  <c r="N317" i="3"/>
  <c r="N381" i="3"/>
  <c r="O381" i="3"/>
  <c r="P381" i="3" s="1"/>
  <c r="Q381" i="3" s="1"/>
  <c r="O14" i="3"/>
  <c r="P14" i="3" s="1"/>
  <c r="Q14" i="3" s="1"/>
  <c r="N14" i="3"/>
  <c r="O526" i="3"/>
  <c r="P526" i="3" s="1"/>
  <c r="Q526" i="3" s="1"/>
  <c r="N526" i="3"/>
  <c r="O590" i="3"/>
  <c r="P590" i="3" s="1"/>
  <c r="Q590" i="3" s="1"/>
  <c r="N590" i="3"/>
  <c r="N482" i="3"/>
  <c r="O482" i="3"/>
  <c r="P482" i="3" s="1"/>
  <c r="Q482" i="3" s="1"/>
  <c r="O315" i="3"/>
  <c r="P315" i="3" s="1"/>
  <c r="R315" i="3" s="1"/>
  <c r="S315" i="3" s="1"/>
  <c r="V315" i="3" s="1"/>
  <c r="N315" i="3"/>
  <c r="O595" i="3"/>
  <c r="P595" i="3" s="1"/>
  <c r="Q595" i="3" s="1"/>
  <c r="N595" i="3"/>
  <c r="O405" i="3"/>
  <c r="P405" i="3" s="1"/>
  <c r="Q405" i="3" s="1"/>
  <c r="N405" i="3"/>
  <c r="O477" i="3"/>
  <c r="P477" i="3" s="1"/>
  <c r="Q477" i="3" s="1"/>
  <c r="N477" i="3"/>
  <c r="O549" i="3"/>
  <c r="P549" i="3" s="1"/>
  <c r="Q549" i="3" s="1"/>
  <c r="N549" i="3"/>
  <c r="O269" i="3"/>
  <c r="P269" i="3" s="1"/>
  <c r="R269" i="3" s="1"/>
  <c r="S269" i="3" s="1"/>
  <c r="V269" i="3" s="1"/>
  <c r="N269" i="3"/>
  <c r="N461" i="3"/>
  <c r="O461" i="3"/>
  <c r="P461" i="3" s="1"/>
  <c r="Q461" i="3" s="1"/>
  <c r="O319" i="3"/>
  <c r="P319" i="3" s="1"/>
  <c r="Q319" i="3" s="1"/>
  <c r="N319" i="3"/>
  <c r="O383" i="3"/>
  <c r="P383" i="3" s="1"/>
  <c r="Q383" i="3" s="1"/>
  <c r="N383" i="3"/>
  <c r="O511" i="3"/>
  <c r="P511" i="3" s="1"/>
  <c r="Q511" i="3" s="1"/>
  <c r="N511" i="3"/>
  <c r="O575" i="3"/>
  <c r="P575" i="3" s="1"/>
  <c r="Q575" i="3" s="1"/>
  <c r="N575" i="3"/>
  <c r="N224" i="3"/>
  <c r="O224" i="3"/>
  <c r="P224" i="3" s="1"/>
  <c r="Q224" i="3" s="1"/>
  <c r="N282" i="3"/>
  <c r="O282" i="3"/>
  <c r="P282" i="3" s="1"/>
  <c r="Q282" i="3" s="1"/>
  <c r="N466" i="3"/>
  <c r="O466" i="3"/>
  <c r="P466" i="3" s="1"/>
  <c r="Q466" i="3" s="1"/>
  <c r="N363" i="3"/>
  <c r="O363" i="3"/>
  <c r="P363" i="3" s="1"/>
  <c r="R363" i="3" s="1"/>
  <c r="S363" i="3" s="1"/>
  <c r="V363" i="3" s="1"/>
  <c r="O107" i="3"/>
  <c r="P107" i="3" s="1"/>
  <c r="Q107" i="3" s="1"/>
  <c r="N107" i="3"/>
  <c r="O548" i="3"/>
  <c r="P548" i="3" s="1"/>
  <c r="Q548" i="3" s="1"/>
  <c r="N548" i="3"/>
  <c r="N262" i="3"/>
  <c r="O262" i="3"/>
  <c r="P262" i="3" s="1"/>
  <c r="Q262" i="3" s="1"/>
  <c r="N245" i="3"/>
  <c r="O245" i="3"/>
  <c r="P245" i="3" s="1"/>
  <c r="Q245" i="3" s="1"/>
  <c r="O380" i="3"/>
  <c r="P380" i="3" s="1"/>
  <c r="Q380" i="3" s="1"/>
  <c r="N380" i="3"/>
  <c r="O479" i="3"/>
  <c r="P479" i="3" s="1"/>
  <c r="Q479" i="3" s="1"/>
  <c r="N479" i="3"/>
  <c r="N265" i="3"/>
  <c r="N136" i="3"/>
  <c r="O114" i="3"/>
  <c r="P114" i="3" s="1"/>
  <c r="Q114" i="3" s="1"/>
  <c r="O55" i="3"/>
  <c r="P55" i="3" s="1"/>
  <c r="R55" i="3" s="1"/>
  <c r="S55" i="3" s="1"/>
  <c r="V55" i="3" s="1"/>
  <c r="N55" i="3"/>
  <c r="O119" i="3"/>
  <c r="P119" i="3" s="1"/>
  <c r="Q119" i="3" s="1"/>
  <c r="N119" i="3"/>
  <c r="O247" i="3"/>
  <c r="P247" i="3" s="1"/>
  <c r="Q247" i="3" s="1"/>
  <c r="N247" i="3"/>
  <c r="O48" i="3"/>
  <c r="P48" i="3" s="1"/>
  <c r="Q48" i="3" s="1"/>
  <c r="N48" i="3"/>
  <c r="N112" i="3"/>
  <c r="O112" i="3"/>
  <c r="P112" i="3" s="1"/>
  <c r="Q112" i="3" s="1"/>
  <c r="O176" i="3"/>
  <c r="P176" i="3" s="1"/>
  <c r="Q176" i="3" s="1"/>
  <c r="N176" i="3"/>
  <c r="O304" i="3"/>
  <c r="P304" i="3" s="1"/>
  <c r="Q304" i="3" s="1"/>
  <c r="N304" i="3"/>
  <c r="O27" i="3"/>
  <c r="P27" i="3" s="1"/>
  <c r="Q27" i="3" s="1"/>
  <c r="N27" i="3"/>
  <c r="O91" i="3"/>
  <c r="P91" i="3" s="1"/>
  <c r="Q91" i="3" s="1"/>
  <c r="N91" i="3"/>
  <c r="N155" i="3"/>
  <c r="O155" i="3"/>
  <c r="P155" i="3" s="1"/>
  <c r="Q155" i="3" s="1"/>
  <c r="N219" i="3"/>
  <c r="O219" i="3"/>
  <c r="P219" i="3" s="1"/>
  <c r="Q219" i="3" s="1"/>
  <c r="O283" i="3"/>
  <c r="P283" i="3" s="1"/>
  <c r="Q283" i="3" s="1"/>
  <c r="N283" i="3"/>
  <c r="N52" i="3"/>
  <c r="O52" i="3"/>
  <c r="P52" i="3" s="1"/>
  <c r="Q52" i="3" s="1"/>
  <c r="O116" i="3"/>
  <c r="P116" i="3" s="1"/>
  <c r="Q116" i="3" s="1"/>
  <c r="N116" i="3"/>
  <c r="O180" i="3"/>
  <c r="P180" i="3" s="1"/>
  <c r="Q180" i="3" s="1"/>
  <c r="N180" i="3"/>
  <c r="O244" i="3"/>
  <c r="P244" i="3" s="1"/>
  <c r="Q244" i="3" s="1"/>
  <c r="N244" i="3"/>
  <c r="O505" i="3"/>
  <c r="P505" i="3" s="1"/>
  <c r="Q505" i="3" s="1"/>
  <c r="N505" i="3"/>
  <c r="O105" i="3"/>
  <c r="P105" i="3" s="1"/>
  <c r="Q105" i="3" s="1"/>
  <c r="N105" i="3"/>
  <c r="N298" i="3"/>
  <c r="O298" i="3"/>
  <c r="P298" i="3" s="1"/>
  <c r="Q298" i="3" s="1"/>
  <c r="O387" i="3"/>
  <c r="P387" i="3" s="1"/>
  <c r="R387" i="3" s="1"/>
  <c r="S387" i="3" s="1"/>
  <c r="V387" i="3" s="1"/>
  <c r="N387" i="3"/>
  <c r="O451" i="3"/>
  <c r="P451" i="3" s="1"/>
  <c r="Q451" i="3" s="1"/>
  <c r="N451" i="3"/>
  <c r="O515" i="3"/>
  <c r="P515" i="3" s="1"/>
  <c r="Q515" i="3" s="1"/>
  <c r="N515" i="3"/>
  <c r="O579" i="3"/>
  <c r="P579" i="3" s="1"/>
  <c r="R579" i="3" s="1"/>
  <c r="S579" i="3" s="1"/>
  <c r="V579" i="3" s="1"/>
  <c r="N579" i="3"/>
  <c r="N171" i="3"/>
  <c r="O171" i="3"/>
  <c r="P171" i="3" s="1"/>
  <c r="Q171" i="3" s="1"/>
  <c r="O308" i="3"/>
  <c r="P308" i="3" s="1"/>
  <c r="Q308" i="3" s="1"/>
  <c r="N308" i="3"/>
  <c r="O372" i="3"/>
  <c r="P372" i="3" s="1"/>
  <c r="Q372" i="3" s="1"/>
  <c r="N372" i="3"/>
  <c r="O436" i="3"/>
  <c r="P436" i="3" s="1"/>
  <c r="Q436" i="3" s="1"/>
  <c r="N436" i="3"/>
  <c r="O500" i="3"/>
  <c r="P500" i="3" s="1"/>
  <c r="Q500" i="3" s="1"/>
  <c r="N500" i="3"/>
  <c r="O564" i="3"/>
  <c r="P564" i="3" s="1"/>
  <c r="R564" i="3" s="1"/>
  <c r="S564" i="3" s="1"/>
  <c r="V564" i="3" s="1"/>
  <c r="N564" i="3"/>
  <c r="N84" i="3"/>
  <c r="O84" i="3"/>
  <c r="P84" i="3" s="1"/>
  <c r="Q84" i="3" s="1"/>
  <c r="N37" i="3"/>
  <c r="O37" i="3"/>
  <c r="P37" i="3" s="1"/>
  <c r="R37" i="3" s="1"/>
  <c r="S37" i="3" s="1"/>
  <c r="V37" i="3" s="1"/>
  <c r="O109" i="3"/>
  <c r="P109" i="3" s="1"/>
  <c r="Q109" i="3" s="1"/>
  <c r="N109" i="3"/>
  <c r="O189" i="3"/>
  <c r="P189" i="3" s="1"/>
  <c r="Q189" i="3" s="1"/>
  <c r="N189" i="3"/>
  <c r="O261" i="3"/>
  <c r="P261" i="3" s="1"/>
  <c r="Q261" i="3" s="1"/>
  <c r="N261" i="3"/>
  <c r="O325" i="3"/>
  <c r="P325" i="3" s="1"/>
  <c r="Q325" i="3" s="1"/>
  <c r="N325" i="3"/>
  <c r="N5" i="3"/>
  <c r="O5" i="3"/>
  <c r="P5" i="3" s="1"/>
  <c r="Q5" i="3" s="1"/>
  <c r="O133" i="3"/>
  <c r="P133" i="3" s="1"/>
  <c r="Q133" i="3" s="1"/>
  <c r="N133" i="3"/>
  <c r="O86" i="3"/>
  <c r="P86" i="3" s="1"/>
  <c r="Q86" i="3" s="1"/>
  <c r="N86" i="3"/>
  <c r="O278" i="3"/>
  <c r="P278" i="3" s="1"/>
  <c r="Q278" i="3" s="1"/>
  <c r="N278" i="3"/>
  <c r="O406" i="3"/>
  <c r="P406" i="3" s="1"/>
  <c r="Q406" i="3" s="1"/>
  <c r="N406" i="3"/>
  <c r="N598" i="3"/>
  <c r="O598" i="3"/>
  <c r="P598" i="3" s="1"/>
  <c r="Q598" i="3" s="1"/>
  <c r="O407" i="3"/>
  <c r="P407" i="3" s="1"/>
  <c r="Q407" i="3" s="1"/>
  <c r="N407" i="3"/>
  <c r="O444" i="3"/>
  <c r="P444" i="3" s="1"/>
  <c r="Q444" i="3" s="1"/>
  <c r="N444" i="3"/>
  <c r="N485" i="3"/>
  <c r="O485" i="3"/>
  <c r="P485" i="3" s="1"/>
  <c r="R485" i="3" s="1"/>
  <c r="S485" i="3" s="1"/>
  <c r="V485" i="3" s="1"/>
  <c r="O525" i="3"/>
  <c r="P525" i="3" s="1"/>
  <c r="R525" i="3" s="1"/>
  <c r="S525" i="3" s="1"/>
  <c r="V525" i="3" s="1"/>
  <c r="N525" i="3"/>
  <c r="O206" i="3"/>
  <c r="P206" i="3" s="1"/>
  <c r="Q206" i="3" s="1"/>
  <c r="N206" i="3"/>
  <c r="O473" i="3"/>
  <c r="P473" i="3" s="1"/>
  <c r="Q473" i="3" s="1"/>
  <c r="N473" i="3"/>
  <c r="O339" i="3"/>
  <c r="P339" i="3" s="1"/>
  <c r="Q339" i="3" s="1"/>
  <c r="N339" i="3"/>
  <c r="O63" i="3"/>
  <c r="P63" i="3" s="1"/>
  <c r="Q63" i="3" s="1"/>
  <c r="N63" i="3"/>
  <c r="N127" i="3"/>
  <c r="O127" i="3"/>
  <c r="P127" i="3" s="1"/>
  <c r="Q127" i="3" s="1"/>
  <c r="O191" i="3"/>
  <c r="P191" i="3" s="1"/>
  <c r="Q191" i="3" s="1"/>
  <c r="N191" i="3"/>
  <c r="O255" i="3"/>
  <c r="P255" i="3" s="1"/>
  <c r="Q255" i="3" s="1"/>
  <c r="N255" i="3"/>
  <c r="O161" i="3"/>
  <c r="P161" i="3" s="1"/>
  <c r="Q161" i="3" s="1"/>
  <c r="N161" i="3"/>
  <c r="O225" i="3"/>
  <c r="P225" i="3" s="1"/>
  <c r="Q225" i="3" s="1"/>
  <c r="N225" i="3"/>
  <c r="O35" i="3"/>
  <c r="P35" i="3" s="1"/>
  <c r="Q35" i="3" s="1"/>
  <c r="N35" i="3"/>
  <c r="O99" i="3"/>
  <c r="P99" i="3" s="1"/>
  <c r="Q99" i="3" s="1"/>
  <c r="N99" i="3"/>
  <c r="O163" i="3"/>
  <c r="P163" i="3" s="1"/>
  <c r="Q163" i="3" s="1"/>
  <c r="N163" i="3"/>
  <c r="O227" i="3"/>
  <c r="P227" i="3" s="1"/>
  <c r="Q227" i="3" s="1"/>
  <c r="N227" i="3"/>
  <c r="O291" i="3"/>
  <c r="P291" i="3" s="1"/>
  <c r="Q291" i="3" s="1"/>
  <c r="N291" i="3"/>
  <c r="O60" i="3"/>
  <c r="P60" i="3" s="1"/>
  <c r="Q60" i="3" s="1"/>
  <c r="N60" i="3"/>
  <c r="N124" i="3"/>
  <c r="O124" i="3"/>
  <c r="P124" i="3" s="1"/>
  <c r="Q124" i="3" s="1"/>
  <c r="N188" i="3"/>
  <c r="O188" i="3"/>
  <c r="P188" i="3" s="1"/>
  <c r="Q188" i="3" s="1"/>
  <c r="O252" i="3"/>
  <c r="P252" i="3" s="1"/>
  <c r="R252" i="3" s="1"/>
  <c r="S252" i="3" s="1"/>
  <c r="V252" i="3" s="1"/>
  <c r="N252" i="3"/>
  <c r="O496" i="3"/>
  <c r="P496" i="3" s="1"/>
  <c r="Q496" i="3" s="1"/>
  <c r="N496" i="3"/>
  <c r="O88" i="3"/>
  <c r="P88" i="3" s="1"/>
  <c r="Q88" i="3" s="1"/>
  <c r="N88" i="3"/>
  <c r="O513" i="3"/>
  <c r="P513" i="3" s="1"/>
  <c r="Q513" i="3" s="1"/>
  <c r="N513" i="3"/>
  <c r="N45" i="3"/>
  <c r="O45" i="3"/>
  <c r="P45" i="3" s="1"/>
  <c r="Q45" i="3" s="1"/>
  <c r="O125" i="3"/>
  <c r="P125" i="3" s="1"/>
  <c r="Q125" i="3" s="1"/>
  <c r="N125" i="3"/>
  <c r="O30" i="3"/>
  <c r="P30" i="3" s="1"/>
  <c r="R30" i="3" s="1"/>
  <c r="S30" i="3" s="1"/>
  <c r="V30" i="3" s="1"/>
  <c r="N30" i="3"/>
  <c r="O350" i="3"/>
  <c r="P350" i="3" s="1"/>
  <c r="Q350" i="3" s="1"/>
  <c r="N350" i="3"/>
  <c r="N53" i="3"/>
  <c r="O53" i="3"/>
  <c r="P53" i="3" s="1"/>
  <c r="Q53" i="3" s="1"/>
  <c r="O379" i="3"/>
  <c r="P379" i="3" s="1"/>
  <c r="Q379" i="3" s="1"/>
  <c r="N379" i="3"/>
  <c r="O421" i="3"/>
  <c r="P421" i="3" s="1"/>
  <c r="Q421" i="3" s="1"/>
  <c r="N421" i="3"/>
  <c r="O493" i="3"/>
  <c r="P493" i="3" s="1"/>
  <c r="R493" i="3" s="1"/>
  <c r="S493" i="3" s="1"/>
  <c r="V493" i="3" s="1"/>
  <c r="N493" i="3"/>
  <c r="O333" i="3"/>
  <c r="P333" i="3" s="1"/>
  <c r="Q333" i="3" s="1"/>
  <c r="N333" i="3"/>
  <c r="O271" i="3"/>
  <c r="P271" i="3" s="1"/>
  <c r="R271" i="3" s="1"/>
  <c r="S271" i="3" s="1"/>
  <c r="V271" i="3" s="1"/>
  <c r="N271" i="3"/>
  <c r="O335" i="3"/>
  <c r="P335" i="3" s="1"/>
  <c r="Q335" i="3" s="1"/>
  <c r="N335" i="3"/>
  <c r="O399" i="3"/>
  <c r="P399" i="3" s="1"/>
  <c r="R399" i="3" s="1"/>
  <c r="S399" i="3" s="1"/>
  <c r="V399" i="3" s="1"/>
  <c r="N399" i="3"/>
  <c r="O527" i="3"/>
  <c r="P527" i="3" s="1"/>
  <c r="Q527" i="3" s="1"/>
  <c r="N527" i="3"/>
  <c r="O591" i="3"/>
  <c r="P591" i="3" s="1"/>
  <c r="Q591" i="3" s="1"/>
  <c r="N591" i="3"/>
  <c r="O267" i="3"/>
  <c r="P267" i="3" s="1"/>
  <c r="Q267" i="3" s="1"/>
  <c r="N267" i="3"/>
  <c r="N297" i="3"/>
  <c r="O297" i="3"/>
  <c r="P297" i="3" s="1"/>
  <c r="Q297" i="3" s="1"/>
  <c r="O4" i="3"/>
  <c r="P4" i="3" s="1"/>
  <c r="Q4" i="3" s="1"/>
  <c r="O353" i="3"/>
  <c r="P353" i="3" s="1"/>
  <c r="Q353" i="3" s="1"/>
  <c r="N489" i="3"/>
  <c r="O594" i="3"/>
  <c r="P594" i="3" s="1"/>
  <c r="Q594" i="3" s="1"/>
  <c r="O402" i="3"/>
  <c r="P402" i="3" s="1"/>
  <c r="Q402" i="3" s="1"/>
  <c r="N7" i="3"/>
  <c r="O7" i="3"/>
  <c r="P7" i="3" s="1"/>
  <c r="Q7" i="3" s="1"/>
  <c r="O71" i="3"/>
  <c r="P71" i="3" s="1"/>
  <c r="Q71" i="3" s="1"/>
  <c r="N71" i="3"/>
  <c r="O135" i="3"/>
  <c r="P135" i="3" s="1"/>
  <c r="Q135" i="3" s="1"/>
  <c r="N135" i="3"/>
  <c r="O199" i="3"/>
  <c r="P199" i="3" s="1"/>
  <c r="Q199" i="3" s="1"/>
  <c r="N199" i="3"/>
  <c r="O263" i="3"/>
  <c r="P263" i="3" s="1"/>
  <c r="Q263" i="3" s="1"/>
  <c r="N263" i="3"/>
  <c r="O128" i="3"/>
  <c r="P128" i="3" s="1"/>
  <c r="Q128" i="3" s="1"/>
  <c r="N128" i="3"/>
  <c r="O256" i="3"/>
  <c r="P256" i="3" s="1"/>
  <c r="Q256" i="3" s="1"/>
  <c r="N256" i="3"/>
  <c r="O299" i="3"/>
  <c r="P299" i="3" s="1"/>
  <c r="Q299" i="3" s="1"/>
  <c r="N299" i="3"/>
  <c r="N68" i="3"/>
  <c r="O68" i="3"/>
  <c r="P68" i="3" s="1"/>
  <c r="Q68" i="3" s="1"/>
  <c r="O132" i="3"/>
  <c r="P132" i="3" s="1"/>
  <c r="Q132" i="3" s="1"/>
  <c r="N132" i="3"/>
  <c r="O196" i="3"/>
  <c r="P196" i="3" s="1"/>
  <c r="Q196" i="3" s="1"/>
  <c r="N196" i="3"/>
  <c r="O260" i="3"/>
  <c r="P260" i="3" s="1"/>
  <c r="Q260" i="3" s="1"/>
  <c r="N260" i="3"/>
  <c r="O376" i="3"/>
  <c r="P376" i="3" s="1"/>
  <c r="Q376" i="3" s="1"/>
  <c r="N376" i="3"/>
  <c r="N504" i="3"/>
  <c r="O504" i="3"/>
  <c r="P504" i="3" s="1"/>
  <c r="Q504" i="3" s="1"/>
  <c r="O568" i="3"/>
  <c r="P568" i="3" s="1"/>
  <c r="Q568" i="3" s="1"/>
  <c r="N568" i="3"/>
  <c r="N323" i="3"/>
  <c r="O323" i="3"/>
  <c r="P323" i="3" s="1"/>
  <c r="Q323" i="3" s="1"/>
  <c r="O403" i="3"/>
  <c r="P403" i="3" s="1"/>
  <c r="Q403" i="3" s="1"/>
  <c r="N403" i="3"/>
  <c r="O467" i="3"/>
  <c r="P467" i="3" s="1"/>
  <c r="Q467" i="3" s="1"/>
  <c r="N467" i="3"/>
  <c r="O531" i="3"/>
  <c r="P531" i="3" s="1"/>
  <c r="Q531" i="3" s="1"/>
  <c r="N531" i="3"/>
  <c r="O235" i="3"/>
  <c r="P235" i="3" s="1"/>
  <c r="Q235" i="3" s="1"/>
  <c r="N235" i="3"/>
  <c r="O324" i="3"/>
  <c r="P324" i="3" s="1"/>
  <c r="Q324" i="3" s="1"/>
  <c r="N324" i="3"/>
  <c r="O388" i="3"/>
  <c r="P388" i="3" s="1"/>
  <c r="Q388" i="3" s="1"/>
  <c r="N388" i="3"/>
  <c r="O452" i="3"/>
  <c r="P452" i="3" s="1"/>
  <c r="R452" i="3" s="1"/>
  <c r="S452" i="3" s="1"/>
  <c r="V452" i="3" s="1"/>
  <c r="N452" i="3"/>
  <c r="O516" i="3"/>
  <c r="P516" i="3" s="1"/>
  <c r="Q516" i="3" s="1"/>
  <c r="N516" i="3"/>
  <c r="O580" i="3"/>
  <c r="P580" i="3" s="1"/>
  <c r="Q580" i="3" s="1"/>
  <c r="N580" i="3"/>
  <c r="O148" i="3"/>
  <c r="P148" i="3" s="1"/>
  <c r="Q148" i="3" s="1"/>
  <c r="N148" i="3"/>
  <c r="N61" i="3"/>
  <c r="O61" i="3"/>
  <c r="P61" i="3" s="1"/>
  <c r="Q61" i="3" s="1"/>
  <c r="N277" i="3"/>
  <c r="O277" i="3"/>
  <c r="P277" i="3" s="1"/>
  <c r="Q277" i="3" s="1"/>
  <c r="O341" i="3"/>
  <c r="P341" i="3" s="1"/>
  <c r="Q341" i="3" s="1"/>
  <c r="N341" i="3"/>
  <c r="N102" i="3"/>
  <c r="O102" i="3"/>
  <c r="P102" i="3" s="1"/>
  <c r="R102" i="3" s="1"/>
  <c r="S102" i="3" s="1"/>
  <c r="V102" i="3" s="1"/>
  <c r="O166" i="3"/>
  <c r="P166" i="3" s="1"/>
  <c r="R166" i="3" s="1"/>
  <c r="S166" i="3" s="1"/>
  <c r="V166" i="3" s="1"/>
  <c r="N166" i="3"/>
  <c r="O294" i="3"/>
  <c r="P294" i="3" s="1"/>
  <c r="Q294" i="3" s="1"/>
  <c r="N294" i="3"/>
  <c r="O358" i="3"/>
  <c r="P358" i="3" s="1"/>
  <c r="Q358" i="3" s="1"/>
  <c r="N358" i="3"/>
  <c r="O422" i="3"/>
  <c r="P422" i="3" s="1"/>
  <c r="Q422" i="3" s="1"/>
  <c r="N422" i="3"/>
  <c r="N550" i="3"/>
  <c r="O550" i="3"/>
  <c r="P550" i="3" s="1"/>
  <c r="Q550" i="3" s="1"/>
  <c r="N501" i="3"/>
  <c r="O501" i="3"/>
  <c r="P501" i="3" s="1"/>
  <c r="Q501" i="3" s="1"/>
  <c r="O447" i="3"/>
  <c r="P447" i="3" s="1"/>
  <c r="Q447" i="3" s="1"/>
  <c r="N447" i="3"/>
  <c r="O508" i="3"/>
  <c r="P508" i="3" s="1"/>
  <c r="Q508" i="3" s="1"/>
  <c r="N508" i="3"/>
  <c r="O509" i="3"/>
  <c r="P509" i="3" s="1"/>
  <c r="Q509" i="3" s="1"/>
  <c r="N509" i="3"/>
  <c r="O343" i="3"/>
  <c r="P343" i="3" s="1"/>
  <c r="Q343" i="3" s="1"/>
  <c r="N343" i="3"/>
  <c r="O231" i="3"/>
  <c r="P231" i="3" s="1"/>
  <c r="Q231" i="3" s="1"/>
  <c r="N231" i="3"/>
  <c r="N154" i="3"/>
  <c r="O154" i="3"/>
  <c r="P154" i="3" s="1"/>
  <c r="Q154" i="3" s="1"/>
  <c r="O75" i="3"/>
  <c r="P75" i="3" s="1"/>
  <c r="Q75" i="3" s="1"/>
  <c r="N75" i="3"/>
  <c r="O13" i="3"/>
  <c r="P13" i="3" s="1"/>
  <c r="Q13" i="3" s="1"/>
  <c r="N13" i="3"/>
  <c r="O425" i="3"/>
  <c r="P425" i="3" s="1"/>
  <c r="Q425" i="3" s="1"/>
  <c r="N425" i="3"/>
  <c r="O499" i="3"/>
  <c r="P499" i="3" s="1"/>
  <c r="Q499" i="3" s="1"/>
  <c r="N499" i="3"/>
  <c r="O356" i="3"/>
  <c r="P356" i="3" s="1"/>
  <c r="Q356" i="3" s="1"/>
  <c r="N356" i="3"/>
  <c r="O20" i="3"/>
  <c r="P20" i="3" s="1"/>
  <c r="Q20" i="3" s="1"/>
  <c r="N20" i="3"/>
  <c r="N32" i="3"/>
  <c r="N530" i="3"/>
  <c r="O15" i="3"/>
  <c r="P15" i="3" s="1"/>
  <c r="Q15" i="3" s="1"/>
  <c r="N15" i="3"/>
  <c r="O79" i="3"/>
  <c r="P79" i="3" s="1"/>
  <c r="Q79" i="3" s="1"/>
  <c r="N79" i="3"/>
  <c r="O143" i="3"/>
  <c r="P143" i="3" s="1"/>
  <c r="Q143" i="3" s="1"/>
  <c r="N143" i="3"/>
  <c r="O207" i="3"/>
  <c r="P207" i="3" s="1"/>
  <c r="Q207" i="3" s="1"/>
  <c r="N207" i="3"/>
  <c r="N8" i="3"/>
  <c r="O8" i="3"/>
  <c r="P8" i="3" s="1"/>
  <c r="Q8" i="3" s="1"/>
  <c r="N200" i="3"/>
  <c r="O200" i="3"/>
  <c r="P200" i="3" s="1"/>
  <c r="Q200" i="3" s="1"/>
  <c r="O264" i="3"/>
  <c r="P264" i="3" s="1"/>
  <c r="Q264" i="3" s="1"/>
  <c r="N264" i="3"/>
  <c r="N130" i="3"/>
  <c r="O130" i="3"/>
  <c r="P130" i="3" s="1"/>
  <c r="Q130" i="3" s="1"/>
  <c r="N194" i="3"/>
  <c r="O194" i="3"/>
  <c r="P194" i="3" s="1"/>
  <c r="Q194" i="3" s="1"/>
  <c r="N258" i="3"/>
  <c r="O258" i="3"/>
  <c r="P258" i="3" s="1"/>
  <c r="Q258" i="3" s="1"/>
  <c r="N322" i="3"/>
  <c r="O322" i="3"/>
  <c r="P322" i="3" s="1"/>
  <c r="Q322" i="3" s="1"/>
  <c r="O51" i="3"/>
  <c r="P51" i="3" s="1"/>
  <c r="Q51" i="3" s="1"/>
  <c r="N51" i="3"/>
  <c r="O115" i="3"/>
  <c r="P115" i="3" s="1"/>
  <c r="Q115" i="3" s="1"/>
  <c r="N115" i="3"/>
  <c r="O179" i="3"/>
  <c r="P179" i="3" s="1"/>
  <c r="R179" i="3" s="1"/>
  <c r="S179" i="3" s="1"/>
  <c r="V179" i="3" s="1"/>
  <c r="N179" i="3"/>
  <c r="O243" i="3"/>
  <c r="P243" i="3" s="1"/>
  <c r="R243" i="3" s="1"/>
  <c r="S243" i="3" s="1"/>
  <c r="V243" i="3" s="1"/>
  <c r="N243" i="3"/>
  <c r="O76" i="3"/>
  <c r="P76" i="3" s="1"/>
  <c r="Q76" i="3" s="1"/>
  <c r="N76" i="3"/>
  <c r="O140" i="3"/>
  <c r="P140" i="3" s="1"/>
  <c r="Q140" i="3" s="1"/>
  <c r="N140" i="3"/>
  <c r="O204" i="3"/>
  <c r="P204" i="3" s="1"/>
  <c r="Q204" i="3" s="1"/>
  <c r="N204" i="3"/>
  <c r="O268" i="3"/>
  <c r="P268" i="3" s="1"/>
  <c r="Q268" i="3" s="1"/>
  <c r="N268" i="3"/>
  <c r="N378" i="3"/>
  <c r="O378" i="3"/>
  <c r="P378" i="3" s="1"/>
  <c r="Q378" i="3" s="1"/>
  <c r="O411" i="3"/>
  <c r="P411" i="3" s="1"/>
  <c r="Q411" i="3" s="1"/>
  <c r="N411" i="3"/>
  <c r="O475" i="3"/>
  <c r="P475" i="3" s="1"/>
  <c r="Q475" i="3" s="1"/>
  <c r="N475" i="3"/>
  <c r="O539" i="3"/>
  <c r="P539" i="3" s="1"/>
  <c r="Q539" i="3" s="1"/>
  <c r="N539" i="3"/>
  <c r="O588" i="3"/>
  <c r="P588" i="3" s="1"/>
  <c r="Q588" i="3" s="1"/>
  <c r="N588" i="3"/>
  <c r="O141" i="3"/>
  <c r="P141" i="3" s="1"/>
  <c r="Q141" i="3" s="1"/>
  <c r="N141" i="3"/>
  <c r="O213" i="3"/>
  <c r="P213" i="3" s="1"/>
  <c r="Q213" i="3" s="1"/>
  <c r="N213" i="3"/>
  <c r="O69" i="3"/>
  <c r="P69" i="3" s="1"/>
  <c r="Q69" i="3" s="1"/>
  <c r="N69" i="3"/>
  <c r="O46" i="3"/>
  <c r="P46" i="3" s="1"/>
  <c r="Q46" i="3" s="1"/>
  <c r="N46" i="3"/>
  <c r="O110" i="3"/>
  <c r="P110" i="3" s="1"/>
  <c r="Q110" i="3" s="1"/>
  <c r="N110" i="3"/>
  <c r="N174" i="3"/>
  <c r="O174" i="3"/>
  <c r="P174" i="3" s="1"/>
  <c r="Q174" i="3" s="1"/>
  <c r="O238" i="3"/>
  <c r="P238" i="3" s="1"/>
  <c r="Q238" i="3" s="1"/>
  <c r="N238" i="3"/>
  <c r="O302" i="3"/>
  <c r="P302" i="3" s="1"/>
  <c r="Q302" i="3" s="1"/>
  <c r="N302" i="3"/>
  <c r="N430" i="3"/>
  <c r="O430" i="3"/>
  <c r="P430" i="3" s="1"/>
  <c r="Q430" i="3" s="1"/>
  <c r="O494" i="3"/>
  <c r="P494" i="3" s="1"/>
  <c r="Q494" i="3" s="1"/>
  <c r="N494" i="3"/>
  <c r="O558" i="3"/>
  <c r="P558" i="3" s="1"/>
  <c r="Q558" i="3" s="1"/>
  <c r="N558" i="3"/>
  <c r="N555" i="3"/>
  <c r="O555" i="3"/>
  <c r="P555" i="3" s="1"/>
  <c r="Q555" i="3" s="1"/>
  <c r="O443" i="3"/>
  <c r="P443" i="3" s="1"/>
  <c r="Q443" i="3" s="1"/>
  <c r="N443" i="3"/>
  <c r="O519" i="3"/>
  <c r="P519" i="3" s="1"/>
  <c r="Q519" i="3" s="1"/>
  <c r="N519" i="3"/>
  <c r="N445" i="3"/>
  <c r="O445" i="3"/>
  <c r="P445" i="3" s="1"/>
  <c r="Q445" i="3" s="1"/>
  <c r="O517" i="3"/>
  <c r="P517" i="3" s="1"/>
  <c r="Q517" i="3" s="1"/>
  <c r="N517" i="3"/>
  <c r="O397" i="3"/>
  <c r="P397" i="3" s="1"/>
  <c r="Q397" i="3" s="1"/>
  <c r="N397" i="3"/>
  <c r="O462" i="3"/>
  <c r="P462" i="3" s="1"/>
  <c r="Q462" i="3" s="1"/>
  <c r="N462" i="3"/>
  <c r="O543" i="3"/>
  <c r="P543" i="3" s="1"/>
  <c r="Q543" i="3" s="1"/>
  <c r="N543" i="3"/>
  <c r="O39" i="3"/>
  <c r="P39" i="3" s="1"/>
  <c r="Q39" i="3" s="1"/>
  <c r="N39" i="3"/>
  <c r="O439" i="3"/>
  <c r="P439" i="3" s="1"/>
  <c r="Q439" i="3" s="1"/>
  <c r="N439" i="3"/>
  <c r="O49" i="3"/>
  <c r="P49" i="3" s="1"/>
  <c r="Q49" i="3" s="1"/>
  <c r="N33" i="3"/>
  <c r="N56" i="3"/>
  <c r="N454" i="3"/>
  <c r="O178" i="3"/>
  <c r="P178" i="3" s="1"/>
  <c r="Q178" i="3" s="1"/>
  <c r="O242" i="3"/>
  <c r="P242" i="3" s="1"/>
  <c r="Q242" i="3" s="1"/>
  <c r="O23" i="3"/>
  <c r="P23" i="3" s="1"/>
  <c r="Q23" i="3" s="1"/>
  <c r="N23" i="3"/>
  <c r="O87" i="3"/>
  <c r="P87" i="3" s="1"/>
  <c r="Q87" i="3" s="1"/>
  <c r="N87" i="3"/>
  <c r="O151" i="3"/>
  <c r="P151" i="3" s="1"/>
  <c r="Q151" i="3" s="1"/>
  <c r="N151" i="3"/>
  <c r="O215" i="3"/>
  <c r="P215" i="3" s="1"/>
  <c r="Q215" i="3" s="1"/>
  <c r="N215" i="3"/>
  <c r="O80" i="3"/>
  <c r="P80" i="3" s="1"/>
  <c r="Q80" i="3" s="1"/>
  <c r="N80" i="3"/>
  <c r="O208" i="3"/>
  <c r="P208" i="3" s="1"/>
  <c r="Q208" i="3" s="1"/>
  <c r="N208" i="3"/>
  <c r="O272" i="3"/>
  <c r="P272" i="3" s="1"/>
  <c r="Q272" i="3" s="1"/>
  <c r="N272" i="3"/>
  <c r="N138" i="3"/>
  <c r="O138" i="3"/>
  <c r="P138" i="3" s="1"/>
  <c r="Q138" i="3" s="1"/>
  <c r="N202" i="3"/>
  <c r="O202" i="3"/>
  <c r="P202" i="3" s="1"/>
  <c r="Q202" i="3" s="1"/>
  <c r="N266" i="3"/>
  <c r="O266" i="3"/>
  <c r="P266" i="3" s="1"/>
  <c r="Q266" i="3" s="1"/>
  <c r="O276" i="3"/>
  <c r="P276" i="3" s="1"/>
  <c r="Q276" i="3" s="1"/>
  <c r="N276" i="3"/>
  <c r="O601" i="3"/>
  <c r="P601" i="3" s="1"/>
  <c r="Q601" i="3" s="1"/>
  <c r="N601" i="3"/>
  <c r="N450" i="3"/>
  <c r="O450" i="3"/>
  <c r="P450" i="3" s="1"/>
  <c r="Q450" i="3" s="1"/>
  <c r="N514" i="3"/>
  <c r="O514" i="3"/>
  <c r="P514" i="3" s="1"/>
  <c r="Q514" i="3" s="1"/>
  <c r="N170" i="3"/>
  <c r="O170" i="3"/>
  <c r="P170" i="3" s="1"/>
  <c r="Q170" i="3" s="1"/>
  <c r="N347" i="3"/>
  <c r="O347" i="3"/>
  <c r="P347" i="3" s="1"/>
  <c r="Q347" i="3" s="1"/>
  <c r="O419" i="3"/>
  <c r="P419" i="3" s="1"/>
  <c r="Q419" i="3" s="1"/>
  <c r="N419" i="3"/>
  <c r="O483" i="3"/>
  <c r="P483" i="3" s="1"/>
  <c r="Q483" i="3" s="1"/>
  <c r="N483" i="3"/>
  <c r="O547" i="3"/>
  <c r="P547" i="3" s="1"/>
  <c r="Q547" i="3" s="1"/>
  <c r="N547" i="3"/>
  <c r="N43" i="3"/>
  <c r="O43" i="3"/>
  <c r="P43" i="3" s="1"/>
  <c r="Q43" i="3" s="1"/>
  <c r="O12" i="3"/>
  <c r="P12" i="3" s="1"/>
  <c r="Q12" i="3" s="1"/>
  <c r="N12" i="3"/>
  <c r="O340" i="3"/>
  <c r="P340" i="3" s="1"/>
  <c r="Q340" i="3" s="1"/>
  <c r="N340" i="3"/>
  <c r="O404" i="3"/>
  <c r="P404" i="3" s="1"/>
  <c r="Q404" i="3" s="1"/>
  <c r="N404" i="3"/>
  <c r="O468" i="3"/>
  <c r="P468" i="3" s="1"/>
  <c r="Q468" i="3" s="1"/>
  <c r="N468" i="3"/>
  <c r="O532" i="3"/>
  <c r="P532" i="3" s="1"/>
  <c r="Q532" i="3" s="1"/>
  <c r="N532" i="3"/>
  <c r="O596" i="3"/>
  <c r="P596" i="3" s="1"/>
  <c r="Q596" i="3" s="1"/>
  <c r="N596" i="3"/>
  <c r="O212" i="3"/>
  <c r="P212" i="3" s="1"/>
  <c r="Q212" i="3" s="1"/>
  <c r="N212" i="3"/>
  <c r="O77" i="3"/>
  <c r="P77" i="3" s="1"/>
  <c r="Q77" i="3" s="1"/>
  <c r="N77" i="3"/>
  <c r="O293" i="3"/>
  <c r="P293" i="3" s="1"/>
  <c r="Q293" i="3" s="1"/>
  <c r="N293" i="3"/>
  <c r="O357" i="3"/>
  <c r="P357" i="3" s="1"/>
  <c r="Q357" i="3" s="1"/>
  <c r="N357" i="3"/>
  <c r="O54" i="3"/>
  <c r="P54" i="3" s="1"/>
  <c r="Q54" i="3" s="1"/>
  <c r="N54" i="3"/>
  <c r="O182" i="3"/>
  <c r="P182" i="3" s="1"/>
  <c r="Q182" i="3" s="1"/>
  <c r="N182" i="3"/>
  <c r="O246" i="3"/>
  <c r="P246" i="3" s="1"/>
  <c r="Q246" i="3" s="1"/>
  <c r="N246" i="3"/>
  <c r="N438" i="3"/>
  <c r="O438" i="3"/>
  <c r="P438" i="3" s="1"/>
  <c r="Q438" i="3" s="1"/>
  <c r="O502" i="3"/>
  <c r="P502" i="3" s="1"/>
  <c r="Q502" i="3" s="1"/>
  <c r="N502" i="3"/>
  <c r="O316" i="3"/>
  <c r="P316" i="3" s="1"/>
  <c r="Q316" i="3" s="1"/>
  <c r="N316" i="3"/>
  <c r="O572" i="3"/>
  <c r="P572" i="3" s="1"/>
  <c r="Q572" i="3" s="1"/>
  <c r="N572" i="3"/>
  <c r="N453" i="3"/>
  <c r="O453" i="3"/>
  <c r="P453" i="3" s="1"/>
  <c r="Q453" i="3" s="1"/>
  <c r="O78" i="3"/>
  <c r="P78" i="3" s="1"/>
  <c r="Q78" i="3" s="1"/>
  <c r="N78" i="3"/>
  <c r="O295" i="3"/>
  <c r="P295" i="3" s="1"/>
  <c r="Q295" i="3" s="1"/>
  <c r="N295" i="3"/>
  <c r="N103" i="3"/>
  <c r="O103" i="3"/>
  <c r="P103" i="3" s="1"/>
  <c r="Q103" i="3" s="1"/>
  <c r="N90" i="3"/>
  <c r="O90" i="3"/>
  <c r="P90" i="3" s="1"/>
  <c r="Q90" i="3" s="1"/>
  <c r="O11" i="3"/>
  <c r="P11" i="3" s="1"/>
  <c r="Q11" i="3" s="1"/>
  <c r="N11" i="3"/>
  <c r="O203" i="3"/>
  <c r="P203" i="3" s="1"/>
  <c r="Q203" i="3" s="1"/>
  <c r="N203" i="3"/>
  <c r="O232" i="3"/>
  <c r="P232" i="3" s="1"/>
  <c r="Q232" i="3" s="1"/>
  <c r="N232" i="3"/>
  <c r="N234" i="3"/>
  <c r="O234" i="3"/>
  <c r="P234" i="3" s="1"/>
  <c r="Q234" i="3" s="1"/>
  <c r="N563" i="3"/>
  <c r="O563" i="3"/>
  <c r="P563" i="3" s="1"/>
  <c r="Q563" i="3" s="1"/>
  <c r="O420" i="3"/>
  <c r="P420" i="3" s="1"/>
  <c r="Q420" i="3" s="1"/>
  <c r="N420" i="3"/>
  <c r="O373" i="3"/>
  <c r="P373" i="3" s="1"/>
  <c r="Q373" i="3" s="1"/>
  <c r="N373" i="3"/>
  <c r="O137" i="3"/>
  <c r="P137" i="3" s="1"/>
  <c r="Q137" i="3" s="1"/>
  <c r="N41" i="3"/>
  <c r="N73" i="3"/>
  <c r="O120" i="3"/>
  <c r="P120" i="3" s="1"/>
  <c r="Q120" i="3" s="1"/>
  <c r="N390" i="3"/>
  <c r="O31" i="3"/>
  <c r="P31" i="3" s="1"/>
  <c r="Q31" i="3" s="1"/>
  <c r="N31" i="3"/>
  <c r="N95" i="3"/>
  <c r="O95" i="3"/>
  <c r="P95" i="3" s="1"/>
  <c r="Q95" i="3" s="1"/>
  <c r="O159" i="3"/>
  <c r="P159" i="3" s="1"/>
  <c r="Q159" i="3" s="1"/>
  <c r="N159" i="3"/>
  <c r="O223" i="3"/>
  <c r="P223" i="3" s="1"/>
  <c r="Q223" i="3" s="1"/>
  <c r="N223" i="3"/>
  <c r="O257" i="3"/>
  <c r="P257" i="3" s="1"/>
  <c r="Q257" i="3" s="1"/>
  <c r="N257" i="3"/>
  <c r="O82" i="3"/>
  <c r="P82" i="3" s="1"/>
  <c r="Q82" i="3" s="1"/>
  <c r="N82" i="3"/>
  <c r="N146" i="3"/>
  <c r="O146" i="3"/>
  <c r="P146" i="3" s="1"/>
  <c r="Q146" i="3" s="1"/>
  <c r="N274" i="3"/>
  <c r="O274" i="3"/>
  <c r="P274" i="3" s="1"/>
  <c r="Q274" i="3" s="1"/>
  <c r="N338" i="3"/>
  <c r="O338" i="3"/>
  <c r="P338" i="3" s="1"/>
  <c r="Q338" i="3" s="1"/>
  <c r="O67" i="3"/>
  <c r="P67" i="3" s="1"/>
  <c r="Q67" i="3" s="1"/>
  <c r="N67" i="3"/>
  <c r="O131" i="3"/>
  <c r="P131" i="3" s="1"/>
  <c r="Q131" i="3" s="1"/>
  <c r="N131" i="3"/>
  <c r="O195" i="3"/>
  <c r="P195" i="3" s="1"/>
  <c r="R195" i="3" s="1"/>
  <c r="S195" i="3" s="1"/>
  <c r="V195" i="3" s="1"/>
  <c r="N195" i="3"/>
  <c r="O259" i="3"/>
  <c r="P259" i="3" s="1"/>
  <c r="Q259" i="3" s="1"/>
  <c r="N259" i="3"/>
  <c r="O28" i="3"/>
  <c r="P28" i="3" s="1"/>
  <c r="Q28" i="3" s="1"/>
  <c r="N28" i="3"/>
  <c r="N92" i="3"/>
  <c r="O92" i="3"/>
  <c r="P92" i="3" s="1"/>
  <c r="Q92" i="3" s="1"/>
  <c r="O156" i="3"/>
  <c r="P156" i="3" s="1"/>
  <c r="Q156" i="3" s="1"/>
  <c r="N156" i="3"/>
  <c r="O220" i="3"/>
  <c r="P220" i="3" s="1"/>
  <c r="Q220" i="3" s="1"/>
  <c r="N220" i="3"/>
  <c r="O216" i="3"/>
  <c r="P216" i="3" s="1"/>
  <c r="Q216" i="3" s="1"/>
  <c r="N216" i="3"/>
  <c r="O355" i="3"/>
  <c r="P355" i="3" s="1"/>
  <c r="Q355" i="3" s="1"/>
  <c r="N355" i="3"/>
  <c r="O427" i="3"/>
  <c r="P427" i="3" s="1"/>
  <c r="Q427" i="3" s="1"/>
  <c r="N427" i="3"/>
  <c r="O491" i="3"/>
  <c r="P491" i="3" s="1"/>
  <c r="Q491" i="3" s="1"/>
  <c r="N491" i="3"/>
  <c r="O284" i="3"/>
  <c r="P284" i="3" s="1"/>
  <c r="Q284" i="3" s="1"/>
  <c r="N284" i="3"/>
  <c r="O348" i="3"/>
  <c r="P348" i="3" s="1"/>
  <c r="Q348" i="3" s="1"/>
  <c r="N348" i="3"/>
  <c r="O412" i="3"/>
  <c r="P412" i="3" s="1"/>
  <c r="R412" i="3" s="1"/>
  <c r="S412" i="3" s="1"/>
  <c r="V412" i="3" s="1"/>
  <c r="N412" i="3"/>
  <c r="O476" i="3"/>
  <c r="P476" i="3" s="1"/>
  <c r="Q476" i="3" s="1"/>
  <c r="N476" i="3"/>
  <c r="O540" i="3"/>
  <c r="P540" i="3" s="1"/>
  <c r="Q540" i="3" s="1"/>
  <c r="N540" i="3"/>
  <c r="O157" i="3"/>
  <c r="P157" i="3" s="1"/>
  <c r="Q157" i="3" s="1"/>
  <c r="N157" i="3"/>
  <c r="N229" i="3"/>
  <c r="O229" i="3"/>
  <c r="P229" i="3" s="1"/>
  <c r="Q229" i="3" s="1"/>
  <c r="O301" i="3"/>
  <c r="P301" i="3" s="1"/>
  <c r="R301" i="3" s="1"/>
  <c r="S301" i="3" s="1"/>
  <c r="V301" i="3" s="1"/>
  <c r="N301" i="3"/>
  <c r="N365" i="3"/>
  <c r="O365" i="3"/>
  <c r="P365" i="3" s="1"/>
  <c r="Q365" i="3" s="1"/>
  <c r="O197" i="3"/>
  <c r="P197" i="3" s="1"/>
  <c r="Q197" i="3" s="1"/>
  <c r="N197" i="3"/>
  <c r="O126" i="3"/>
  <c r="P126" i="3" s="1"/>
  <c r="Q126" i="3" s="1"/>
  <c r="N126" i="3"/>
  <c r="N190" i="3"/>
  <c r="O190" i="3"/>
  <c r="P190" i="3" s="1"/>
  <c r="Q190" i="3" s="1"/>
  <c r="O318" i="3"/>
  <c r="P318" i="3" s="1"/>
  <c r="Q318" i="3" s="1"/>
  <c r="N318" i="3"/>
  <c r="O382" i="3"/>
  <c r="P382" i="3" s="1"/>
  <c r="Q382" i="3" s="1"/>
  <c r="N382" i="3"/>
  <c r="O446" i="3"/>
  <c r="P446" i="3" s="1"/>
  <c r="Q446" i="3" s="1"/>
  <c r="N446" i="3"/>
  <c r="O574" i="3"/>
  <c r="P574" i="3" s="1"/>
  <c r="Q574" i="3" s="1"/>
  <c r="N574" i="3"/>
  <c r="N307" i="3"/>
  <c r="O307" i="3"/>
  <c r="P307" i="3" s="1"/>
  <c r="Q307" i="3" s="1"/>
  <c r="O507" i="3"/>
  <c r="P507" i="3" s="1"/>
  <c r="Q507" i="3" s="1"/>
  <c r="N507" i="3"/>
  <c r="O389" i="3"/>
  <c r="P389" i="3" s="1"/>
  <c r="Q389" i="3" s="1"/>
  <c r="N389" i="3"/>
  <c r="O533" i="3"/>
  <c r="P533" i="3" s="1"/>
  <c r="Q533" i="3" s="1"/>
  <c r="N533" i="3"/>
  <c r="O205" i="3"/>
  <c r="P205" i="3" s="1"/>
  <c r="Q205" i="3" s="1"/>
  <c r="N205" i="3"/>
  <c r="O375" i="3"/>
  <c r="P375" i="3" s="1"/>
  <c r="Q375" i="3" s="1"/>
  <c r="N375" i="3"/>
  <c r="O279" i="3"/>
  <c r="P279" i="3" s="1"/>
  <c r="Q279" i="3" s="1"/>
  <c r="N279" i="3"/>
  <c r="O183" i="3"/>
  <c r="P183" i="3" s="1"/>
  <c r="Q183" i="3" s="1"/>
  <c r="N183" i="3"/>
  <c r="O600" i="3"/>
  <c r="P600" i="3" s="1"/>
  <c r="Q600" i="3" s="1"/>
  <c r="N600" i="3"/>
  <c r="O487" i="3"/>
  <c r="P487" i="3" s="1"/>
  <c r="Q487" i="3" s="1"/>
  <c r="N487" i="3"/>
  <c r="O455" i="3"/>
  <c r="P455" i="3" s="1"/>
  <c r="Q455" i="3" s="1"/>
  <c r="N455" i="3"/>
  <c r="O583" i="3"/>
  <c r="P583" i="3" s="1"/>
  <c r="Q583" i="3" s="1"/>
  <c r="N583" i="3"/>
  <c r="O415" i="3"/>
  <c r="P415" i="3" s="1"/>
  <c r="Q415" i="3" s="1"/>
  <c r="N415" i="3"/>
  <c r="O59" i="3"/>
  <c r="P59" i="3" s="1"/>
  <c r="Q59" i="3" s="1"/>
  <c r="N59" i="3"/>
  <c r="N123" i="3"/>
  <c r="O123" i="3"/>
  <c r="P123" i="3" s="1"/>
  <c r="Q123" i="3" s="1"/>
  <c r="O187" i="3"/>
  <c r="P187" i="3" s="1"/>
  <c r="Q187" i="3" s="1"/>
  <c r="N187" i="3"/>
  <c r="O251" i="3"/>
  <c r="P251" i="3" s="1"/>
  <c r="Q251" i="3" s="1"/>
  <c r="N251" i="3"/>
  <c r="N36" i="3"/>
  <c r="O36" i="3"/>
  <c r="P36" i="3" s="1"/>
  <c r="Q36" i="3" s="1"/>
  <c r="O100" i="3"/>
  <c r="P100" i="3" s="1"/>
  <c r="Q100" i="3" s="1"/>
  <c r="N100" i="3"/>
  <c r="O164" i="3"/>
  <c r="P164" i="3" s="1"/>
  <c r="Q164" i="3" s="1"/>
  <c r="N164" i="3"/>
  <c r="O228" i="3"/>
  <c r="P228" i="3" s="1"/>
  <c r="Q228" i="3" s="1"/>
  <c r="N228" i="3"/>
  <c r="O21" i="3"/>
  <c r="P21" i="3" s="1"/>
  <c r="Q21" i="3" s="1"/>
  <c r="N21" i="3"/>
  <c r="O85" i="3"/>
  <c r="P85" i="3" s="1"/>
  <c r="R85" i="3" s="1"/>
  <c r="S85" i="3" s="1"/>
  <c r="V85" i="3" s="1"/>
  <c r="N85" i="3"/>
  <c r="N149" i="3"/>
  <c r="O149" i="3"/>
  <c r="P149" i="3" s="1"/>
  <c r="Q149" i="3" s="1"/>
  <c r="N587" i="3"/>
  <c r="O587" i="3"/>
  <c r="P587" i="3" s="1"/>
  <c r="O535" i="3"/>
  <c r="P535" i="3" s="1"/>
  <c r="Q535" i="3" s="1"/>
  <c r="N535" i="3"/>
  <c r="O331" i="3"/>
  <c r="P331" i="3" s="1"/>
  <c r="R331" i="3" s="1"/>
  <c r="S331" i="3" s="1"/>
  <c r="V331" i="3" s="1"/>
  <c r="N331" i="3"/>
  <c r="O395" i="3"/>
  <c r="P395" i="3" s="1"/>
  <c r="Q395" i="3" s="1"/>
  <c r="N395" i="3"/>
  <c r="O459" i="3"/>
  <c r="P459" i="3" s="1"/>
  <c r="Q459" i="3" s="1"/>
  <c r="N459" i="3"/>
  <c r="O523" i="3"/>
  <c r="P523" i="3" s="1"/>
  <c r="Q523" i="3" s="1"/>
  <c r="N523" i="3"/>
  <c r="O557" i="3"/>
  <c r="P557" i="3" s="1"/>
  <c r="Q557" i="3" s="1"/>
  <c r="N557" i="3"/>
  <c r="O582" i="3"/>
  <c r="P582" i="3" s="1"/>
  <c r="Q582" i="3" s="1"/>
  <c r="O332" i="3"/>
  <c r="P332" i="3" s="1"/>
  <c r="Q332" i="3" s="1"/>
  <c r="N332" i="3"/>
  <c r="O396" i="3"/>
  <c r="P396" i="3" s="1"/>
  <c r="Q396" i="3" s="1"/>
  <c r="N396" i="3"/>
  <c r="O460" i="3"/>
  <c r="P460" i="3" s="1"/>
  <c r="Q460" i="3" s="1"/>
  <c r="N460" i="3"/>
  <c r="O524" i="3"/>
  <c r="P524" i="3" s="1"/>
  <c r="Q524" i="3" s="1"/>
  <c r="N524" i="3"/>
  <c r="O565" i="3"/>
  <c r="P565" i="3" s="1"/>
  <c r="Q565" i="3" s="1"/>
  <c r="N565" i="3"/>
  <c r="O221" i="3"/>
  <c r="P221" i="3" s="1"/>
  <c r="R221" i="3" s="1"/>
  <c r="S221" i="3" s="1"/>
  <c r="V221" i="3" s="1"/>
  <c r="N221" i="3"/>
  <c r="O285" i="3"/>
  <c r="P285" i="3" s="1"/>
  <c r="Q285" i="3" s="1"/>
  <c r="N285" i="3"/>
  <c r="O349" i="3"/>
  <c r="P349" i="3" s="1"/>
  <c r="Q349" i="3" s="1"/>
  <c r="N349" i="3"/>
  <c r="O413" i="3"/>
  <c r="P413" i="3" s="1"/>
  <c r="Q413" i="3" s="1"/>
  <c r="N413" i="3"/>
  <c r="O541" i="3"/>
  <c r="P541" i="3" s="1"/>
  <c r="Q541" i="3" s="1"/>
  <c r="N541" i="3"/>
  <c r="O463" i="3"/>
  <c r="P463" i="3" s="1"/>
  <c r="Q463" i="3" s="1"/>
  <c r="N463" i="3"/>
  <c r="O94" i="3"/>
  <c r="P94" i="3" s="1"/>
  <c r="R94" i="3" s="1"/>
  <c r="S94" i="3" s="1"/>
  <c r="V94" i="3" s="1"/>
  <c r="O222" i="3"/>
  <c r="P222" i="3" s="1"/>
  <c r="R222" i="3" s="1"/>
  <c r="S222" i="3" s="1"/>
  <c r="V222" i="3" s="1"/>
  <c r="N222" i="3"/>
  <c r="O286" i="3"/>
  <c r="P286" i="3" s="1"/>
  <c r="Q286" i="3" s="1"/>
  <c r="O567" i="3"/>
  <c r="P567" i="3" s="1"/>
  <c r="Q567" i="3" s="1"/>
  <c r="N567" i="3"/>
  <c r="O58" i="3"/>
  <c r="P58" i="3" s="1"/>
  <c r="Q58" i="3" s="1"/>
  <c r="O29" i="3"/>
  <c r="P29" i="3" s="1"/>
  <c r="Q29" i="3" s="1"/>
  <c r="N29" i="3"/>
  <c r="N93" i="3"/>
  <c r="O93" i="3"/>
  <c r="P93" i="3" s="1"/>
  <c r="Q93" i="3" s="1"/>
  <c r="O573" i="3"/>
  <c r="P573" i="3" s="1"/>
  <c r="R573" i="3" s="1"/>
  <c r="S573" i="3" s="1"/>
  <c r="V573" i="3" s="1"/>
  <c r="N573" i="3"/>
  <c r="O597" i="3"/>
  <c r="P597" i="3" s="1"/>
  <c r="Q597" i="3" s="1"/>
  <c r="N597" i="3"/>
  <c r="O559" i="3"/>
  <c r="P559" i="3" s="1"/>
  <c r="R559" i="3" s="1"/>
  <c r="S559" i="3" s="1"/>
  <c r="V559" i="3" s="1"/>
  <c r="N559" i="3"/>
  <c r="O503" i="3"/>
  <c r="P503" i="3" s="1"/>
  <c r="Q503" i="3" s="1"/>
  <c r="N503" i="3"/>
  <c r="O431" i="3"/>
  <c r="P431" i="3" s="1"/>
  <c r="Q431" i="3" s="1"/>
  <c r="N431" i="3"/>
  <c r="N101" i="3"/>
  <c r="O101" i="3"/>
  <c r="P101" i="3" s="1"/>
  <c r="Q101" i="3" s="1"/>
  <c r="O165" i="3"/>
  <c r="P165" i="3" s="1"/>
  <c r="Q165" i="3" s="1"/>
  <c r="N165" i="3"/>
  <c r="O589" i="3"/>
  <c r="P589" i="3" s="1"/>
  <c r="Q589" i="3" s="1"/>
  <c r="N589" i="3"/>
  <c r="O374" i="3"/>
  <c r="P374" i="3" s="1"/>
  <c r="Q374" i="3" s="1"/>
  <c r="N374" i="3"/>
  <c r="O311" i="3"/>
  <c r="P311" i="3" s="1"/>
  <c r="Q311" i="3" s="1"/>
  <c r="N311" i="3"/>
  <c r="O429" i="3"/>
  <c r="P429" i="3" s="1"/>
  <c r="R429" i="3" s="1"/>
  <c r="S429" i="3" s="1"/>
  <c r="V429" i="3" s="1"/>
  <c r="N429" i="3"/>
  <c r="O581" i="3"/>
  <c r="P581" i="3" s="1"/>
  <c r="Q581" i="3" s="1"/>
  <c r="N581" i="3"/>
  <c r="O551" i="3"/>
  <c r="P551" i="3" s="1"/>
  <c r="Q551" i="3" s="1"/>
  <c r="N551" i="3"/>
  <c r="O495" i="3"/>
  <c r="P495" i="3" s="1"/>
  <c r="Q495" i="3" s="1"/>
  <c r="N495" i="3"/>
  <c r="O186" i="3"/>
  <c r="P186" i="3" s="1"/>
  <c r="Q186" i="3" s="1"/>
  <c r="O173" i="3"/>
  <c r="P173" i="3" s="1"/>
  <c r="Q173" i="3" s="1"/>
  <c r="N173" i="3"/>
  <c r="O303" i="3"/>
  <c r="P303" i="3" s="1"/>
  <c r="Q303" i="3" s="1"/>
  <c r="N303" i="3"/>
  <c r="O287" i="3"/>
  <c r="P287" i="3" s="1"/>
  <c r="Q287" i="3" s="1"/>
  <c r="N287" i="3"/>
  <c r="O359" i="3"/>
  <c r="P359" i="3" s="1"/>
  <c r="Q359" i="3" s="1"/>
  <c r="N359" i="3"/>
  <c r="O437" i="3"/>
  <c r="P437" i="3" s="1"/>
  <c r="Q437" i="3" s="1"/>
  <c r="N437" i="3"/>
  <c r="O599" i="3"/>
  <c r="P599" i="3" s="1"/>
  <c r="Q599" i="3" s="1"/>
  <c r="N599" i="3"/>
  <c r="O250" i="3"/>
  <c r="P250" i="3" s="1"/>
  <c r="Q250" i="3" s="1"/>
  <c r="O117" i="3"/>
  <c r="P117" i="3" s="1"/>
  <c r="Q117" i="3" s="1"/>
  <c r="N117" i="3"/>
  <c r="O181" i="3"/>
  <c r="P181" i="3" s="1"/>
  <c r="Q181" i="3" s="1"/>
  <c r="N181" i="3"/>
  <c r="N351" i="3"/>
  <c r="O351" i="3"/>
  <c r="P351" i="3" s="1"/>
  <c r="Q351" i="3" s="1"/>
  <c r="O327" i="3"/>
  <c r="P327" i="3" s="1"/>
  <c r="Q327" i="3" s="1"/>
  <c r="N327" i="3"/>
  <c r="O423" i="3"/>
  <c r="P423" i="3" s="1"/>
  <c r="Q423" i="3" s="1"/>
  <c r="N423" i="3"/>
  <c r="O391" i="3"/>
  <c r="P391" i="3" s="1"/>
  <c r="Q391" i="3" s="1"/>
  <c r="N391" i="3"/>
  <c r="N367" i="3"/>
  <c r="O367" i="3"/>
  <c r="P367" i="3" s="1"/>
  <c r="Q367" i="3" s="1"/>
  <c r="O471" i="3"/>
  <c r="P471" i="3" s="1"/>
  <c r="Q471" i="3" s="1"/>
  <c r="N471" i="3"/>
  <c r="R360" i="3"/>
  <c r="S360" i="3" s="1"/>
  <c r="V360" i="3" s="1"/>
  <c r="P2" i="3"/>
  <c r="R2" i="3" s="1"/>
  <c r="C476" i="4"/>
  <c r="F476" i="4"/>
  <c r="C110" i="4"/>
  <c r="F110" i="4"/>
  <c r="C106" i="4"/>
  <c r="F106" i="4"/>
  <c r="C249" i="4"/>
  <c r="F249" i="4"/>
  <c r="C336" i="4"/>
  <c r="F336" i="4"/>
  <c r="C69" i="4"/>
  <c r="F69" i="4"/>
  <c r="C373" i="4"/>
  <c r="F373" i="4"/>
  <c r="C494" i="4"/>
  <c r="F494" i="4"/>
  <c r="C464" i="4"/>
  <c r="F464" i="4"/>
  <c r="C188" i="4"/>
  <c r="F188" i="4"/>
  <c r="C537" i="4"/>
  <c r="F537" i="4"/>
  <c r="C475" i="4"/>
  <c r="F475" i="4"/>
  <c r="C463" i="4"/>
  <c r="F463" i="4"/>
  <c r="C399" i="4"/>
  <c r="F399" i="4"/>
  <c r="C148" i="4"/>
  <c r="F148" i="4"/>
  <c r="C276" i="4"/>
  <c r="F276" i="4"/>
  <c r="C404" i="4"/>
  <c r="F404" i="4"/>
  <c r="C484" i="4"/>
  <c r="F484" i="4"/>
  <c r="C548" i="4"/>
  <c r="F548" i="4"/>
  <c r="C422" i="4"/>
  <c r="F422" i="4"/>
  <c r="C358" i="4"/>
  <c r="F358" i="4"/>
  <c r="C294" i="4"/>
  <c r="F294" i="4"/>
  <c r="C230" i="4"/>
  <c r="F230" i="4"/>
  <c r="C166" i="4"/>
  <c r="F166" i="4"/>
  <c r="C102" i="4"/>
  <c r="F102" i="4"/>
  <c r="C418" i="4"/>
  <c r="F418" i="4"/>
  <c r="C354" i="4"/>
  <c r="F354" i="4"/>
  <c r="C290" i="4"/>
  <c r="F290" i="4"/>
  <c r="C226" i="4"/>
  <c r="F226" i="4"/>
  <c r="C162" i="4"/>
  <c r="F162" i="4"/>
  <c r="C98" i="4"/>
  <c r="F98" i="4"/>
  <c r="C433" i="4"/>
  <c r="F433" i="4"/>
  <c r="C369" i="4"/>
  <c r="F369" i="4"/>
  <c r="C305" i="4"/>
  <c r="F305" i="4"/>
  <c r="C241" i="4"/>
  <c r="F241" i="4"/>
  <c r="C177" i="4"/>
  <c r="F177" i="4"/>
  <c r="C113" i="4"/>
  <c r="F113" i="4"/>
  <c r="C17" i="4"/>
  <c r="F17" i="4"/>
  <c r="C392" i="4"/>
  <c r="F392" i="4"/>
  <c r="C328" i="4"/>
  <c r="F328" i="4"/>
  <c r="C264" i="4"/>
  <c r="F264" i="4"/>
  <c r="C200" i="4"/>
  <c r="F200" i="4"/>
  <c r="C136" i="4"/>
  <c r="F136" i="4"/>
  <c r="C63" i="4"/>
  <c r="F63" i="4"/>
  <c r="C48" i="4"/>
  <c r="F48" i="4"/>
  <c r="C61" i="4"/>
  <c r="F61" i="4"/>
  <c r="C75" i="4"/>
  <c r="F75" i="4"/>
  <c r="C11" i="4"/>
  <c r="F11" i="4"/>
  <c r="C26" i="4"/>
  <c r="F26" i="4"/>
  <c r="C133" i="4"/>
  <c r="F133" i="4"/>
  <c r="C261" i="4"/>
  <c r="F261" i="4"/>
  <c r="C389" i="4"/>
  <c r="F389" i="4"/>
  <c r="C477" i="4"/>
  <c r="F477" i="4"/>
  <c r="C541" i="4"/>
  <c r="F541" i="4"/>
  <c r="C30" i="4"/>
  <c r="F30" i="4"/>
  <c r="C183" i="4"/>
  <c r="F183" i="4"/>
  <c r="C311" i="4"/>
  <c r="F311" i="4"/>
  <c r="C436" i="4"/>
  <c r="F436" i="4"/>
  <c r="C502" i="4"/>
  <c r="F502" i="4"/>
  <c r="C566" i="4"/>
  <c r="F566" i="4"/>
  <c r="C380" i="4"/>
  <c r="F380" i="4"/>
  <c r="C472" i="4"/>
  <c r="F472" i="4"/>
  <c r="C536" i="4"/>
  <c r="F536" i="4"/>
  <c r="C600" i="4"/>
  <c r="F600" i="4"/>
  <c r="C236" i="4"/>
  <c r="F236" i="4"/>
  <c r="C451" i="4"/>
  <c r="F451" i="4"/>
  <c r="C579" i="4"/>
  <c r="F579" i="4"/>
  <c r="C211" i="4"/>
  <c r="F211" i="4"/>
  <c r="C437" i="4"/>
  <c r="F437" i="4"/>
  <c r="C567" i="4"/>
  <c r="F567" i="4"/>
  <c r="C189" i="4"/>
  <c r="F189" i="4"/>
  <c r="C413" i="4"/>
  <c r="F413" i="4"/>
  <c r="C553" i="4"/>
  <c r="F553" i="4"/>
  <c r="C141" i="4"/>
  <c r="F141" i="4"/>
  <c r="C351" i="4"/>
  <c r="F351" i="4"/>
  <c r="C522" i="4"/>
  <c r="F522" i="4"/>
  <c r="C93" i="4"/>
  <c r="F93" i="4"/>
  <c r="C300" i="4"/>
  <c r="F300" i="4"/>
  <c r="C491" i="4"/>
  <c r="F491" i="4"/>
  <c r="C70" i="4"/>
  <c r="F70" i="4"/>
  <c r="C275" i="4"/>
  <c r="F275" i="4"/>
  <c r="C479" i="4"/>
  <c r="F479" i="4"/>
  <c r="C14" i="4"/>
  <c r="F14" i="4"/>
  <c r="C156" i="4"/>
  <c r="F156" i="4"/>
  <c r="C283" i="4"/>
  <c r="F283" i="4"/>
  <c r="C482" i="4"/>
  <c r="F482" i="4"/>
  <c r="C562" i="4"/>
  <c r="F562" i="4"/>
  <c r="C227" i="4"/>
  <c r="F227" i="4"/>
  <c r="C578" i="4"/>
  <c r="F578" i="4"/>
  <c r="C388" i="4"/>
  <c r="F388" i="4"/>
  <c r="C302" i="4"/>
  <c r="F302" i="4"/>
  <c r="C298" i="4"/>
  <c r="F298" i="4"/>
  <c r="C4" i="4"/>
  <c r="F4" i="4"/>
  <c r="C33" i="4"/>
  <c r="F33" i="4"/>
  <c r="C144" i="4"/>
  <c r="F144" i="4"/>
  <c r="C5" i="4"/>
  <c r="F5" i="4"/>
  <c r="C117" i="4"/>
  <c r="F117" i="4"/>
  <c r="C597" i="4"/>
  <c r="F597" i="4"/>
  <c r="C558" i="4"/>
  <c r="F558" i="4"/>
  <c r="C528" i="4"/>
  <c r="F528" i="4"/>
  <c r="C563" i="4"/>
  <c r="F563" i="4"/>
  <c r="C381" i="4"/>
  <c r="F381" i="4"/>
  <c r="C271" i="4"/>
  <c r="F271" i="4"/>
  <c r="C591" i="4"/>
  <c r="F591" i="4"/>
  <c r="C450" i="4"/>
  <c r="F450" i="4"/>
  <c r="C132" i="4"/>
  <c r="F132" i="4"/>
  <c r="C430" i="4"/>
  <c r="F430" i="4"/>
  <c r="C12" i="4"/>
  <c r="F12" i="4"/>
  <c r="C170" i="4"/>
  <c r="F170" i="4"/>
  <c r="C185" i="4"/>
  <c r="F185" i="4"/>
  <c r="C208" i="4"/>
  <c r="F208" i="4"/>
  <c r="C34" i="4"/>
  <c r="F34" i="4"/>
  <c r="C533" i="4"/>
  <c r="F533" i="4"/>
  <c r="C295" i="4"/>
  <c r="F295" i="4"/>
  <c r="C592" i="4"/>
  <c r="F592" i="4"/>
  <c r="C411" i="4"/>
  <c r="F411" i="4"/>
  <c r="C115" i="4"/>
  <c r="F115" i="4"/>
  <c r="C54" i="4"/>
  <c r="F54" i="4"/>
  <c r="C252" i="4"/>
  <c r="F252" i="4"/>
  <c r="C22" i="4"/>
  <c r="F22" i="4"/>
  <c r="C514" i="4"/>
  <c r="F514" i="4"/>
  <c r="C164" i="4"/>
  <c r="F164" i="4"/>
  <c r="C292" i="4"/>
  <c r="F292" i="4"/>
  <c r="C420" i="4"/>
  <c r="F420" i="4"/>
  <c r="C492" i="4"/>
  <c r="F492" i="4"/>
  <c r="C556" i="4"/>
  <c r="F556" i="4"/>
  <c r="C414" i="4"/>
  <c r="F414" i="4"/>
  <c r="C350" i="4"/>
  <c r="F350" i="4"/>
  <c r="C286" i="4"/>
  <c r="F286" i="4"/>
  <c r="C222" i="4"/>
  <c r="F222" i="4"/>
  <c r="C158" i="4"/>
  <c r="F158" i="4"/>
  <c r="C94" i="4"/>
  <c r="F94" i="4"/>
  <c r="C410" i="4"/>
  <c r="F410" i="4"/>
  <c r="C346" i="4"/>
  <c r="F346" i="4"/>
  <c r="C282" i="4"/>
  <c r="F282" i="4"/>
  <c r="C218" i="4"/>
  <c r="F218" i="4"/>
  <c r="C154" i="4"/>
  <c r="F154" i="4"/>
  <c r="C90" i="4"/>
  <c r="F90" i="4"/>
  <c r="C425" i="4"/>
  <c r="F425" i="4"/>
  <c r="C361" i="4"/>
  <c r="F361" i="4"/>
  <c r="C297" i="4"/>
  <c r="F297" i="4"/>
  <c r="C233" i="4"/>
  <c r="F233" i="4"/>
  <c r="C169" i="4"/>
  <c r="F169" i="4"/>
  <c r="C105" i="4"/>
  <c r="F105" i="4"/>
  <c r="C448" i="4"/>
  <c r="F448" i="4"/>
  <c r="C384" i="4"/>
  <c r="F384" i="4"/>
  <c r="C320" i="4"/>
  <c r="F320" i="4"/>
  <c r="C256" i="4"/>
  <c r="F256" i="4"/>
  <c r="C192" i="4"/>
  <c r="F192" i="4"/>
  <c r="C128" i="4"/>
  <c r="F128" i="4"/>
  <c r="C47" i="4"/>
  <c r="F47" i="4"/>
  <c r="C40" i="4"/>
  <c r="F40" i="4"/>
  <c r="C53" i="4"/>
  <c r="F53" i="4"/>
  <c r="C67" i="4"/>
  <c r="F67" i="4"/>
  <c r="C3" i="4"/>
  <c r="F3" i="4"/>
  <c r="C18" i="4"/>
  <c r="F18" i="4"/>
  <c r="C149" i="4"/>
  <c r="F149" i="4"/>
  <c r="C277" i="4"/>
  <c r="F277" i="4"/>
  <c r="C405" i="4"/>
  <c r="F405" i="4"/>
  <c r="C485" i="4"/>
  <c r="F485" i="4"/>
  <c r="C549" i="4"/>
  <c r="F549" i="4"/>
  <c r="C62" i="4"/>
  <c r="F62" i="4"/>
  <c r="C199" i="4"/>
  <c r="F199" i="4"/>
  <c r="C327" i="4"/>
  <c r="F327" i="4"/>
  <c r="C445" i="4"/>
  <c r="F445" i="4"/>
  <c r="C510" i="4"/>
  <c r="F510" i="4"/>
  <c r="C574" i="4"/>
  <c r="F574" i="4"/>
  <c r="C396" i="4"/>
  <c r="F396" i="4"/>
  <c r="C480" i="4"/>
  <c r="F480" i="4"/>
  <c r="C544" i="4"/>
  <c r="F544" i="4"/>
  <c r="C38" i="4"/>
  <c r="F38" i="4"/>
  <c r="C259" i="4"/>
  <c r="F259" i="4"/>
  <c r="C467" i="4"/>
  <c r="F467" i="4"/>
  <c r="C595" i="4"/>
  <c r="F595" i="4"/>
  <c r="C237" i="4"/>
  <c r="F237" i="4"/>
  <c r="C455" i="4"/>
  <c r="F455" i="4"/>
  <c r="C583" i="4"/>
  <c r="F583" i="4"/>
  <c r="C219" i="4"/>
  <c r="F219" i="4"/>
  <c r="C439" i="4"/>
  <c r="F439" i="4"/>
  <c r="C569" i="4"/>
  <c r="F569" i="4"/>
  <c r="C171" i="4"/>
  <c r="F171" i="4"/>
  <c r="C383" i="4"/>
  <c r="F383" i="4"/>
  <c r="C538" i="4"/>
  <c r="F538" i="4"/>
  <c r="C123" i="4"/>
  <c r="F123" i="4"/>
  <c r="C323" i="4"/>
  <c r="F323" i="4"/>
  <c r="C507" i="4"/>
  <c r="F507" i="4"/>
  <c r="C95" i="4"/>
  <c r="F95" i="4"/>
  <c r="C301" i="4"/>
  <c r="F301" i="4"/>
  <c r="C495" i="4"/>
  <c r="F495" i="4"/>
  <c r="C155" i="4"/>
  <c r="F155" i="4"/>
  <c r="C255" i="4"/>
  <c r="F255" i="4"/>
  <c r="C397" i="4"/>
  <c r="F397" i="4"/>
  <c r="C546" i="4"/>
  <c r="F546" i="4"/>
  <c r="C577" i="4"/>
  <c r="F577" i="4"/>
  <c r="C498" i="4"/>
  <c r="F498" i="4"/>
  <c r="C23" i="4"/>
  <c r="F23" i="4"/>
  <c r="C180" i="4"/>
  <c r="F180" i="4"/>
  <c r="C308" i="4"/>
  <c r="F308" i="4"/>
  <c r="C434" i="4"/>
  <c r="F434" i="4"/>
  <c r="C500" i="4"/>
  <c r="F500" i="4"/>
  <c r="C564" i="4"/>
  <c r="F564" i="4"/>
  <c r="C406" i="4"/>
  <c r="F406" i="4"/>
  <c r="C342" i="4"/>
  <c r="F342" i="4"/>
  <c r="C278" i="4"/>
  <c r="F278" i="4"/>
  <c r="C214" i="4"/>
  <c r="F214" i="4"/>
  <c r="C150" i="4"/>
  <c r="F150" i="4"/>
  <c r="C86" i="4"/>
  <c r="F86" i="4"/>
  <c r="C402" i="4"/>
  <c r="F402" i="4"/>
  <c r="C338" i="4"/>
  <c r="F338" i="4"/>
  <c r="C274" i="4"/>
  <c r="F274" i="4"/>
  <c r="C210" i="4"/>
  <c r="F210" i="4"/>
  <c r="C146" i="4"/>
  <c r="F146" i="4"/>
  <c r="C82" i="4"/>
  <c r="F82" i="4"/>
  <c r="C417" i="4"/>
  <c r="F417" i="4"/>
  <c r="C353" i="4"/>
  <c r="F353" i="4"/>
  <c r="C289" i="4"/>
  <c r="F289" i="4"/>
  <c r="C225" i="4"/>
  <c r="F225" i="4"/>
  <c r="C161" i="4"/>
  <c r="F161" i="4"/>
  <c r="C97" i="4"/>
  <c r="F97" i="4"/>
  <c r="C440" i="4"/>
  <c r="F440" i="4"/>
  <c r="C376" i="4"/>
  <c r="F376" i="4"/>
  <c r="C312" i="4"/>
  <c r="F312" i="4"/>
  <c r="C248" i="4"/>
  <c r="F248" i="4"/>
  <c r="C184" i="4"/>
  <c r="F184" i="4"/>
  <c r="C120" i="4"/>
  <c r="F120" i="4"/>
  <c r="C31" i="4"/>
  <c r="F31" i="4"/>
  <c r="C32" i="4"/>
  <c r="F32" i="4"/>
  <c r="C45" i="4"/>
  <c r="F45" i="4"/>
  <c r="C59" i="4"/>
  <c r="F59" i="4"/>
  <c r="C74" i="4"/>
  <c r="F74" i="4"/>
  <c r="C10" i="4"/>
  <c r="F10" i="4"/>
  <c r="C165" i="4"/>
  <c r="F165" i="4"/>
  <c r="C293" i="4"/>
  <c r="F293" i="4"/>
  <c r="C421" i="4"/>
  <c r="F421" i="4"/>
  <c r="C493" i="4"/>
  <c r="F493" i="4"/>
  <c r="C557" i="4"/>
  <c r="F557" i="4"/>
  <c r="C87" i="4"/>
  <c r="F87" i="4"/>
  <c r="C215" i="4"/>
  <c r="F215" i="4"/>
  <c r="C343" i="4"/>
  <c r="F343" i="4"/>
  <c r="C454" i="4"/>
  <c r="F454" i="4"/>
  <c r="C518" i="4"/>
  <c r="F518" i="4"/>
  <c r="C582" i="4"/>
  <c r="F582" i="4"/>
  <c r="C412" i="4"/>
  <c r="F412" i="4"/>
  <c r="C488" i="4"/>
  <c r="F488" i="4"/>
  <c r="C552" i="4"/>
  <c r="F552" i="4"/>
  <c r="C78" i="4"/>
  <c r="F78" i="4"/>
  <c r="C285" i="4"/>
  <c r="F285" i="4"/>
  <c r="C483" i="4"/>
  <c r="F483" i="4"/>
  <c r="C39" i="4"/>
  <c r="F39" i="4"/>
  <c r="C267" i="4"/>
  <c r="F267" i="4"/>
  <c r="C471" i="4"/>
  <c r="F471" i="4"/>
  <c r="C599" i="4"/>
  <c r="F599" i="4"/>
  <c r="C239" i="4"/>
  <c r="F239" i="4"/>
  <c r="C457" i="4"/>
  <c r="F457" i="4"/>
  <c r="C585" i="4"/>
  <c r="F585" i="4"/>
  <c r="C191" i="4"/>
  <c r="F191" i="4"/>
  <c r="C415" i="4"/>
  <c r="F415" i="4"/>
  <c r="C554" i="4"/>
  <c r="F554" i="4"/>
  <c r="C143" i="4"/>
  <c r="F143" i="4"/>
  <c r="C355" i="4"/>
  <c r="F355" i="4"/>
  <c r="C523" i="4"/>
  <c r="F523" i="4"/>
  <c r="C124" i="4"/>
  <c r="F124" i="4"/>
  <c r="C331" i="4"/>
  <c r="F331" i="4"/>
  <c r="C511" i="4"/>
  <c r="F511" i="4"/>
  <c r="C253" i="4"/>
  <c r="F253" i="4"/>
  <c r="C367" i="4"/>
  <c r="F367" i="4"/>
  <c r="C481" i="4"/>
  <c r="F481" i="4"/>
  <c r="C99" i="4"/>
  <c r="F99" i="4"/>
  <c r="C127" i="4"/>
  <c r="F127" i="4"/>
  <c r="C55" i="4"/>
  <c r="F55" i="4"/>
  <c r="C196" i="4"/>
  <c r="F196" i="4"/>
  <c r="C324" i="4"/>
  <c r="F324" i="4"/>
  <c r="C443" i="4"/>
  <c r="F443" i="4"/>
  <c r="C508" i="4"/>
  <c r="F508" i="4"/>
  <c r="C572" i="4"/>
  <c r="F572" i="4"/>
  <c r="C398" i="4"/>
  <c r="F398" i="4"/>
  <c r="C334" i="4"/>
  <c r="F334" i="4"/>
  <c r="C270" i="4"/>
  <c r="F270" i="4"/>
  <c r="C206" i="4"/>
  <c r="F206" i="4"/>
  <c r="C142" i="4"/>
  <c r="F142" i="4"/>
  <c r="C76" i="4"/>
  <c r="F76" i="4"/>
  <c r="C394" i="4"/>
  <c r="F394" i="4"/>
  <c r="C330" i="4"/>
  <c r="F330" i="4"/>
  <c r="C266" i="4"/>
  <c r="F266" i="4"/>
  <c r="C202" i="4"/>
  <c r="F202" i="4"/>
  <c r="C138" i="4"/>
  <c r="F138" i="4"/>
  <c r="C68" i="4"/>
  <c r="F68" i="4"/>
  <c r="C409" i="4"/>
  <c r="F409" i="4"/>
  <c r="C345" i="4"/>
  <c r="F345" i="4"/>
  <c r="C281" i="4"/>
  <c r="F281" i="4"/>
  <c r="C217" i="4"/>
  <c r="F217" i="4"/>
  <c r="C153" i="4"/>
  <c r="F153" i="4"/>
  <c r="C89" i="4"/>
  <c r="F89" i="4"/>
  <c r="C432" i="4"/>
  <c r="F432" i="4"/>
  <c r="C368" i="4"/>
  <c r="F368" i="4"/>
  <c r="C304" i="4"/>
  <c r="F304" i="4"/>
  <c r="C240" i="4"/>
  <c r="F240" i="4"/>
  <c r="C176" i="4"/>
  <c r="F176" i="4"/>
  <c r="C112" i="4"/>
  <c r="F112" i="4"/>
  <c r="C15" i="4"/>
  <c r="F15" i="4"/>
  <c r="C24" i="4"/>
  <c r="F24" i="4"/>
  <c r="C37" i="4"/>
  <c r="F37" i="4"/>
  <c r="C51" i="4"/>
  <c r="F51" i="4"/>
  <c r="C66" i="4"/>
  <c r="F66" i="4"/>
  <c r="C2" i="4"/>
  <c r="C181" i="4"/>
  <c r="F181" i="4"/>
  <c r="C309" i="4"/>
  <c r="F309" i="4"/>
  <c r="C435" i="4"/>
  <c r="F435" i="4"/>
  <c r="C501" i="4"/>
  <c r="F501" i="4"/>
  <c r="C565" i="4"/>
  <c r="F565" i="4"/>
  <c r="C103" i="4"/>
  <c r="F103" i="4"/>
  <c r="C231" i="4"/>
  <c r="F231" i="4"/>
  <c r="C359" i="4"/>
  <c r="F359" i="4"/>
  <c r="C462" i="4"/>
  <c r="F462" i="4"/>
  <c r="C526" i="4"/>
  <c r="F526" i="4"/>
  <c r="C590" i="4"/>
  <c r="F590" i="4"/>
  <c r="C427" i="4"/>
  <c r="F427" i="4"/>
  <c r="C496" i="4"/>
  <c r="F496" i="4"/>
  <c r="C560" i="4"/>
  <c r="F560" i="4"/>
  <c r="C108" i="4"/>
  <c r="F108" i="4"/>
  <c r="C315" i="4"/>
  <c r="F315" i="4"/>
  <c r="C499" i="4"/>
  <c r="F499" i="4"/>
  <c r="C83" i="4"/>
  <c r="F83" i="4"/>
  <c r="C287" i="4"/>
  <c r="F287" i="4"/>
  <c r="C487" i="4"/>
  <c r="F487" i="4"/>
  <c r="C41" i="4"/>
  <c r="F41" i="4"/>
  <c r="C268" i="4"/>
  <c r="F268" i="4"/>
  <c r="C473" i="4"/>
  <c r="F473" i="4"/>
  <c r="C601" i="4"/>
  <c r="F601" i="4"/>
  <c r="C220" i="4"/>
  <c r="F220" i="4"/>
  <c r="C441" i="4"/>
  <c r="F441" i="4"/>
  <c r="C570" i="4"/>
  <c r="F570" i="4"/>
  <c r="C172" i="4"/>
  <c r="F172" i="4"/>
  <c r="C387" i="4"/>
  <c r="F387" i="4"/>
  <c r="C539" i="4"/>
  <c r="F539" i="4"/>
  <c r="C147" i="4"/>
  <c r="F147" i="4"/>
  <c r="C363" i="4"/>
  <c r="F363" i="4"/>
  <c r="C527" i="4"/>
  <c r="F527" i="4"/>
  <c r="C365" i="4"/>
  <c r="F365" i="4"/>
  <c r="C466" i="4"/>
  <c r="F466" i="4"/>
  <c r="C545" i="4"/>
  <c r="F545" i="4"/>
  <c r="C204" i="4"/>
  <c r="F204" i="4"/>
  <c r="C449" i="4"/>
  <c r="F449" i="4"/>
  <c r="C107" i="4"/>
  <c r="F107" i="4"/>
  <c r="C84" i="4"/>
  <c r="F84" i="4"/>
  <c r="C212" i="4"/>
  <c r="F212" i="4"/>
  <c r="C340" i="4"/>
  <c r="F340" i="4"/>
  <c r="C452" i="4"/>
  <c r="F452" i="4"/>
  <c r="C516" i="4"/>
  <c r="F516" i="4"/>
  <c r="C580" i="4"/>
  <c r="F580" i="4"/>
  <c r="C390" i="4"/>
  <c r="F390" i="4"/>
  <c r="C326" i="4"/>
  <c r="F326" i="4"/>
  <c r="C262" i="4"/>
  <c r="F262" i="4"/>
  <c r="C198" i="4"/>
  <c r="F198" i="4"/>
  <c r="C134" i="4"/>
  <c r="F134" i="4"/>
  <c r="C60" i="4"/>
  <c r="F60" i="4"/>
  <c r="C386" i="4"/>
  <c r="F386" i="4"/>
  <c r="C322" i="4"/>
  <c r="F322" i="4"/>
  <c r="C258" i="4"/>
  <c r="F258" i="4"/>
  <c r="C194" i="4"/>
  <c r="F194" i="4"/>
  <c r="C130" i="4"/>
  <c r="F130" i="4"/>
  <c r="C52" i="4"/>
  <c r="F52" i="4"/>
  <c r="C401" i="4"/>
  <c r="F401" i="4"/>
  <c r="C337" i="4"/>
  <c r="F337" i="4"/>
  <c r="C273" i="4"/>
  <c r="F273" i="4"/>
  <c r="C209" i="4"/>
  <c r="F209" i="4"/>
  <c r="C145" i="4"/>
  <c r="F145" i="4"/>
  <c r="C81" i="4"/>
  <c r="F81" i="4"/>
  <c r="C424" i="4"/>
  <c r="F424" i="4"/>
  <c r="C360" i="4"/>
  <c r="F360" i="4"/>
  <c r="C296" i="4"/>
  <c r="F296" i="4"/>
  <c r="C232" i="4"/>
  <c r="F232" i="4"/>
  <c r="C168" i="4"/>
  <c r="F168" i="4"/>
  <c r="C104" i="4"/>
  <c r="F104" i="4"/>
  <c r="C80" i="4"/>
  <c r="F80" i="4"/>
  <c r="C16" i="4"/>
  <c r="F16" i="4"/>
  <c r="C29" i="4"/>
  <c r="F29" i="4"/>
  <c r="C43" i="4"/>
  <c r="F43" i="4"/>
  <c r="C58" i="4"/>
  <c r="F58" i="4"/>
  <c r="C57" i="4"/>
  <c r="F57" i="4"/>
  <c r="C197" i="4"/>
  <c r="F197" i="4"/>
  <c r="C325" i="4"/>
  <c r="F325" i="4"/>
  <c r="C444" i="4"/>
  <c r="F444" i="4"/>
  <c r="C509" i="4"/>
  <c r="F509" i="4"/>
  <c r="C573" i="4"/>
  <c r="F573" i="4"/>
  <c r="C119" i="4"/>
  <c r="F119" i="4"/>
  <c r="C247" i="4"/>
  <c r="F247" i="4"/>
  <c r="C375" i="4"/>
  <c r="F375" i="4"/>
  <c r="C470" i="4"/>
  <c r="F470" i="4"/>
  <c r="C534" i="4"/>
  <c r="F534" i="4"/>
  <c r="C598" i="4"/>
  <c r="F598" i="4"/>
  <c r="C438" i="4"/>
  <c r="F438" i="4"/>
  <c r="C504" i="4"/>
  <c r="F504" i="4"/>
  <c r="C568" i="4"/>
  <c r="F568" i="4"/>
  <c r="C131" i="4"/>
  <c r="F131" i="4"/>
  <c r="C339" i="4"/>
  <c r="F339" i="4"/>
  <c r="C515" i="4"/>
  <c r="F515" i="4"/>
  <c r="C109" i="4"/>
  <c r="F109" i="4"/>
  <c r="C316" i="4"/>
  <c r="F316" i="4"/>
  <c r="C503" i="4"/>
  <c r="F503" i="4"/>
  <c r="C91" i="4"/>
  <c r="F91" i="4"/>
  <c r="C291" i="4"/>
  <c r="F291" i="4"/>
  <c r="C489" i="4"/>
  <c r="F489" i="4"/>
  <c r="C6" i="4"/>
  <c r="F6" i="4"/>
  <c r="C243" i="4"/>
  <c r="F243" i="4"/>
  <c r="C458" i="4"/>
  <c r="F458" i="4"/>
  <c r="C586" i="4"/>
  <c r="F586" i="4"/>
  <c r="C195" i="4"/>
  <c r="F195" i="4"/>
  <c r="C419" i="4"/>
  <c r="F419" i="4"/>
  <c r="C555" i="4"/>
  <c r="F555" i="4"/>
  <c r="C173" i="4"/>
  <c r="F173" i="4"/>
  <c r="C395" i="4"/>
  <c r="F395" i="4"/>
  <c r="C543" i="4"/>
  <c r="F543" i="4"/>
  <c r="C465" i="4"/>
  <c r="F465" i="4"/>
  <c r="C530" i="4"/>
  <c r="F530" i="4"/>
  <c r="C73" i="4"/>
  <c r="F73" i="4"/>
  <c r="C303" i="4"/>
  <c r="F303" i="4"/>
  <c r="C335" i="4"/>
  <c r="F335" i="4"/>
  <c r="C540" i="4"/>
  <c r="F540" i="4"/>
  <c r="C238" i="4"/>
  <c r="F238" i="4"/>
  <c r="C234" i="4"/>
  <c r="F234" i="4"/>
  <c r="C313" i="4"/>
  <c r="F313" i="4"/>
  <c r="C400" i="4"/>
  <c r="F400" i="4"/>
  <c r="C79" i="4"/>
  <c r="F79" i="4"/>
  <c r="C19" i="4"/>
  <c r="F19" i="4"/>
  <c r="C469" i="4"/>
  <c r="F469" i="4"/>
  <c r="C167" i="4"/>
  <c r="F167" i="4"/>
  <c r="C364" i="4"/>
  <c r="F364" i="4"/>
  <c r="C431" i="4"/>
  <c r="F431" i="4"/>
  <c r="C163" i="4"/>
  <c r="F163" i="4"/>
  <c r="C506" i="4"/>
  <c r="F506" i="4"/>
  <c r="C561" i="4"/>
  <c r="F561" i="4"/>
  <c r="C100" i="4"/>
  <c r="F100" i="4"/>
  <c r="C228" i="4"/>
  <c r="F228" i="4"/>
  <c r="C356" i="4"/>
  <c r="F356" i="4"/>
  <c r="C460" i="4"/>
  <c r="F460" i="4"/>
  <c r="C524" i="4"/>
  <c r="F524" i="4"/>
  <c r="C588" i="4"/>
  <c r="F588" i="4"/>
  <c r="C382" i="4"/>
  <c r="F382" i="4"/>
  <c r="C318" i="4"/>
  <c r="F318" i="4"/>
  <c r="C254" i="4"/>
  <c r="F254" i="4"/>
  <c r="C190" i="4"/>
  <c r="F190" i="4"/>
  <c r="C126" i="4"/>
  <c r="F126" i="4"/>
  <c r="C44" i="4"/>
  <c r="F44" i="4"/>
  <c r="C378" i="4"/>
  <c r="F378" i="4"/>
  <c r="C314" i="4"/>
  <c r="F314" i="4"/>
  <c r="C250" i="4"/>
  <c r="F250" i="4"/>
  <c r="C186" i="4"/>
  <c r="F186" i="4"/>
  <c r="C122" i="4"/>
  <c r="F122" i="4"/>
  <c r="C36" i="4"/>
  <c r="F36" i="4"/>
  <c r="C393" i="4"/>
  <c r="F393" i="4"/>
  <c r="C329" i="4"/>
  <c r="F329" i="4"/>
  <c r="C265" i="4"/>
  <c r="F265" i="4"/>
  <c r="C201" i="4"/>
  <c r="F201" i="4"/>
  <c r="C137" i="4"/>
  <c r="F137" i="4"/>
  <c r="C65" i="4"/>
  <c r="F65" i="4"/>
  <c r="C416" i="4"/>
  <c r="F416" i="4"/>
  <c r="C352" i="4"/>
  <c r="F352" i="4"/>
  <c r="C288" i="4"/>
  <c r="F288" i="4"/>
  <c r="C224" i="4"/>
  <c r="F224" i="4"/>
  <c r="C160" i="4"/>
  <c r="F160" i="4"/>
  <c r="C96" i="4"/>
  <c r="F96" i="4"/>
  <c r="C72" i="4"/>
  <c r="F72" i="4"/>
  <c r="C8" i="4"/>
  <c r="F8" i="4"/>
  <c r="C21" i="4"/>
  <c r="F21" i="4"/>
  <c r="C35" i="4"/>
  <c r="F35" i="4"/>
  <c r="C50" i="4"/>
  <c r="F50" i="4"/>
  <c r="C85" i="4"/>
  <c r="F85" i="4"/>
  <c r="C213" i="4"/>
  <c r="F213" i="4"/>
  <c r="C341" i="4"/>
  <c r="F341" i="4"/>
  <c r="C453" i="4"/>
  <c r="F453" i="4"/>
  <c r="C517" i="4"/>
  <c r="F517" i="4"/>
  <c r="C581" i="4"/>
  <c r="F581" i="4"/>
  <c r="C135" i="4"/>
  <c r="F135" i="4"/>
  <c r="C263" i="4"/>
  <c r="F263" i="4"/>
  <c r="C391" i="4"/>
  <c r="F391" i="4"/>
  <c r="C478" i="4"/>
  <c r="F478" i="4"/>
  <c r="C542" i="4"/>
  <c r="F542" i="4"/>
  <c r="C332" i="4"/>
  <c r="F332" i="4"/>
  <c r="C447" i="4"/>
  <c r="F447" i="4"/>
  <c r="C512" i="4"/>
  <c r="F512" i="4"/>
  <c r="C576" i="4"/>
  <c r="F576" i="4"/>
  <c r="C157" i="4"/>
  <c r="F157" i="4"/>
  <c r="C371" i="4"/>
  <c r="F371" i="4"/>
  <c r="C531" i="4"/>
  <c r="F531" i="4"/>
  <c r="C139" i="4"/>
  <c r="F139" i="4"/>
  <c r="C347" i="4"/>
  <c r="F347" i="4"/>
  <c r="C519" i="4"/>
  <c r="F519" i="4"/>
  <c r="C111" i="4"/>
  <c r="F111" i="4"/>
  <c r="C317" i="4"/>
  <c r="F317" i="4"/>
  <c r="C505" i="4"/>
  <c r="F505" i="4"/>
  <c r="C46" i="4"/>
  <c r="F46" i="4"/>
  <c r="C269" i="4"/>
  <c r="F269" i="4"/>
  <c r="C474" i="4"/>
  <c r="F474" i="4"/>
  <c r="C602" i="4"/>
  <c r="F602" i="4"/>
  <c r="C221" i="4"/>
  <c r="F221" i="4"/>
  <c r="C442" i="4"/>
  <c r="F442" i="4"/>
  <c r="C571" i="4"/>
  <c r="F571" i="4"/>
  <c r="C203" i="4"/>
  <c r="F203" i="4"/>
  <c r="C426" i="4"/>
  <c r="F426" i="4"/>
  <c r="C559" i="4"/>
  <c r="F559" i="4"/>
  <c r="C529" i="4"/>
  <c r="F529" i="4"/>
  <c r="C594" i="4"/>
  <c r="F594" i="4"/>
  <c r="C179" i="4"/>
  <c r="F179" i="4"/>
  <c r="C428" i="4"/>
  <c r="F428" i="4"/>
  <c r="C235" i="4"/>
  <c r="F235" i="4"/>
  <c r="C260" i="4"/>
  <c r="F260" i="4"/>
  <c r="C366" i="4"/>
  <c r="F366" i="4"/>
  <c r="C174" i="4"/>
  <c r="F174" i="4"/>
  <c r="C362" i="4"/>
  <c r="F362" i="4"/>
  <c r="C377" i="4"/>
  <c r="F377" i="4"/>
  <c r="C121" i="4"/>
  <c r="F121" i="4"/>
  <c r="C272" i="4"/>
  <c r="F272" i="4"/>
  <c r="C56" i="4"/>
  <c r="F56" i="4"/>
  <c r="C245" i="4"/>
  <c r="F245" i="4"/>
  <c r="C423" i="4"/>
  <c r="F423" i="4"/>
  <c r="C207" i="4"/>
  <c r="F207" i="4"/>
  <c r="C551" i="4"/>
  <c r="F551" i="4"/>
  <c r="C319" i="4"/>
  <c r="F319" i="4"/>
  <c r="C9" i="4"/>
  <c r="F9" i="4"/>
  <c r="C175" i="4"/>
  <c r="F175" i="4"/>
  <c r="C116" i="4"/>
  <c r="F116" i="4"/>
  <c r="C244" i="4"/>
  <c r="F244" i="4"/>
  <c r="C372" i="4"/>
  <c r="F372" i="4"/>
  <c r="C468" i="4"/>
  <c r="F468" i="4"/>
  <c r="C532" i="4"/>
  <c r="F532" i="4"/>
  <c r="C596" i="4"/>
  <c r="F596" i="4"/>
  <c r="C374" i="4"/>
  <c r="F374" i="4"/>
  <c r="C310" i="4"/>
  <c r="F310" i="4"/>
  <c r="C246" i="4"/>
  <c r="F246" i="4"/>
  <c r="C182" i="4"/>
  <c r="F182" i="4"/>
  <c r="C118" i="4"/>
  <c r="F118" i="4"/>
  <c r="C28" i="4"/>
  <c r="F28" i="4"/>
  <c r="C370" i="4"/>
  <c r="F370" i="4"/>
  <c r="C306" i="4"/>
  <c r="F306" i="4"/>
  <c r="C242" i="4"/>
  <c r="F242" i="4"/>
  <c r="C178" i="4"/>
  <c r="F178" i="4"/>
  <c r="C114" i="4"/>
  <c r="F114" i="4"/>
  <c r="C20" i="4"/>
  <c r="F20" i="4"/>
  <c r="C385" i="4"/>
  <c r="F385" i="4"/>
  <c r="C321" i="4"/>
  <c r="F321" i="4"/>
  <c r="C257" i="4"/>
  <c r="F257" i="4"/>
  <c r="C193" i="4"/>
  <c r="F193" i="4"/>
  <c r="C129" i="4"/>
  <c r="F129" i="4"/>
  <c r="C49" i="4"/>
  <c r="F49" i="4"/>
  <c r="C408" i="4"/>
  <c r="F408" i="4"/>
  <c r="C344" i="4"/>
  <c r="F344" i="4"/>
  <c r="C280" i="4"/>
  <c r="F280" i="4"/>
  <c r="C216" i="4"/>
  <c r="F216" i="4"/>
  <c r="C152" i="4"/>
  <c r="F152" i="4"/>
  <c r="C88" i="4"/>
  <c r="F88" i="4"/>
  <c r="C64" i="4"/>
  <c r="F64" i="4"/>
  <c r="C77" i="4"/>
  <c r="F77" i="4"/>
  <c r="C13" i="4"/>
  <c r="F13" i="4"/>
  <c r="C27" i="4"/>
  <c r="F27" i="4"/>
  <c r="C42" i="4"/>
  <c r="F42" i="4"/>
  <c r="C101" i="4"/>
  <c r="F101" i="4"/>
  <c r="C229" i="4"/>
  <c r="F229" i="4"/>
  <c r="C357" i="4"/>
  <c r="F357" i="4"/>
  <c r="C461" i="4"/>
  <c r="F461" i="4"/>
  <c r="C525" i="4"/>
  <c r="F525" i="4"/>
  <c r="C589" i="4"/>
  <c r="F589" i="4"/>
  <c r="C151" i="4"/>
  <c r="F151" i="4"/>
  <c r="C279" i="4"/>
  <c r="F279" i="4"/>
  <c r="C407" i="4"/>
  <c r="F407" i="4"/>
  <c r="C486" i="4"/>
  <c r="F486" i="4"/>
  <c r="C550" i="4"/>
  <c r="F550" i="4"/>
  <c r="C348" i="4"/>
  <c r="F348" i="4"/>
  <c r="C456" i="4"/>
  <c r="F456" i="4"/>
  <c r="C520" i="4"/>
  <c r="F520" i="4"/>
  <c r="C584" i="4"/>
  <c r="F584" i="4"/>
  <c r="C187" i="4"/>
  <c r="F187" i="4"/>
  <c r="C403" i="4"/>
  <c r="F403" i="4"/>
  <c r="C547" i="4"/>
  <c r="F547" i="4"/>
  <c r="C159" i="4"/>
  <c r="F159" i="4"/>
  <c r="C379" i="4"/>
  <c r="F379" i="4"/>
  <c r="C535" i="4"/>
  <c r="F535" i="4"/>
  <c r="C140" i="4"/>
  <c r="F140" i="4"/>
  <c r="C349" i="4"/>
  <c r="F349" i="4"/>
  <c r="C521" i="4"/>
  <c r="F521" i="4"/>
  <c r="C92" i="4"/>
  <c r="F92" i="4"/>
  <c r="C299" i="4"/>
  <c r="F299" i="4"/>
  <c r="C490" i="4"/>
  <c r="F490" i="4"/>
  <c r="C7" i="4"/>
  <c r="F7" i="4"/>
  <c r="C251" i="4"/>
  <c r="F251" i="4"/>
  <c r="C459" i="4"/>
  <c r="F459" i="4"/>
  <c r="C587" i="4"/>
  <c r="F587" i="4"/>
  <c r="C223" i="4"/>
  <c r="F223" i="4"/>
  <c r="C446" i="4"/>
  <c r="F446" i="4"/>
  <c r="C575" i="4"/>
  <c r="F575" i="4"/>
  <c r="C593" i="4"/>
  <c r="F593" i="4"/>
  <c r="C71" i="4"/>
  <c r="F71" i="4"/>
  <c r="C284" i="4"/>
  <c r="F284" i="4"/>
  <c r="C497" i="4"/>
  <c r="F497" i="4"/>
  <c r="C205" i="4"/>
  <c r="F205" i="4"/>
  <c r="C513" i="4"/>
  <c r="F513" i="4"/>
  <c r="R458" i="3"/>
  <c r="S458" i="3" s="1"/>
  <c r="V458" i="3" s="1"/>
  <c r="R490" i="3"/>
  <c r="S490" i="3" s="1"/>
  <c r="V490" i="3" s="1"/>
  <c r="R554" i="3"/>
  <c r="S554" i="3" s="1"/>
  <c r="V554" i="3" s="1"/>
  <c r="R522" i="3"/>
  <c r="S522" i="3" s="1"/>
  <c r="V522" i="3" s="1"/>
  <c r="R362" i="3"/>
  <c r="S362" i="3" s="1"/>
  <c r="V362" i="3" s="1"/>
  <c r="R426" i="3"/>
  <c r="S426" i="3" s="1"/>
  <c r="V426" i="3" s="1"/>
  <c r="R50" i="3"/>
  <c r="S50" i="3" s="1"/>
  <c r="V50" i="3" s="1"/>
  <c r="Q50" i="3"/>
  <c r="R448" i="3"/>
  <c r="S448" i="3" s="1"/>
  <c r="V448" i="3" s="1"/>
  <c r="Q448" i="3"/>
  <c r="R134" i="3"/>
  <c r="S134" i="3" s="1"/>
  <c r="V134" i="3" s="1"/>
  <c r="Q134" i="3"/>
  <c r="R230" i="3"/>
  <c r="S230" i="3" s="1"/>
  <c r="V230" i="3" s="1"/>
  <c r="Q230" i="3"/>
  <c r="R18" i="3"/>
  <c r="S18" i="3" s="1"/>
  <c r="V18" i="3" s="1"/>
  <c r="Q18" i="3"/>
  <c r="R368" i="3"/>
  <c r="S368" i="3" s="1"/>
  <c r="V368" i="3" s="1"/>
  <c r="Q368" i="3"/>
  <c r="R62" i="3"/>
  <c r="S62" i="3" s="1"/>
  <c r="V62" i="3" s="1"/>
  <c r="Q62" i="3"/>
  <c r="R254" i="3"/>
  <c r="S254" i="3" s="1"/>
  <c r="V254" i="3" s="1"/>
  <c r="Q254" i="3"/>
  <c r="R312" i="3"/>
  <c r="S312" i="3" s="1"/>
  <c r="V312" i="3" s="1"/>
  <c r="Q312" i="3"/>
  <c r="R384" i="3"/>
  <c r="S384" i="3" s="1"/>
  <c r="V384" i="3" s="1"/>
  <c r="Q384" i="3"/>
  <c r="R424" i="3"/>
  <c r="S424" i="3" s="1"/>
  <c r="V424" i="3" s="1"/>
  <c r="Q424" i="3"/>
  <c r="S544" i="3"/>
  <c r="V544" i="3" s="1"/>
  <c r="S528" i="3"/>
  <c r="V528" i="3" s="1"/>
  <c r="S586" i="3"/>
  <c r="V586" i="3" s="1"/>
  <c r="R456" i="3"/>
  <c r="R464" i="3"/>
  <c r="R488" i="3"/>
  <c r="R512" i="3"/>
  <c r="R416" i="3"/>
  <c r="R520" i="3"/>
  <c r="R330" i="3"/>
  <c r="R352" i="3"/>
  <c r="R400" i="3"/>
  <c r="R248" i="3"/>
  <c r="R570" i="3"/>
  <c r="R328" i="3"/>
  <c r="R394" i="3"/>
  <c r="R118" i="3"/>
  <c r="R530" i="3"/>
  <c r="R81" i="3"/>
  <c r="R144" i="3"/>
  <c r="R16" i="3"/>
  <c r="R454" i="3"/>
  <c r="R390" i="3"/>
  <c r="R152" i="3"/>
  <c r="R392" i="3"/>
  <c r="R265" i="3"/>
  <c r="R65" i="3"/>
  <c r="R569" i="3"/>
  <c r="R377" i="3"/>
  <c r="R313" i="3"/>
  <c r="R249" i="3"/>
  <c r="R136" i="3"/>
  <c r="R320" i="3"/>
  <c r="R578" i="3"/>
  <c r="R97" i="3"/>
  <c r="R177" i="3"/>
  <c r="R561" i="3"/>
  <c r="R433" i="3"/>
  <c r="R369" i="3"/>
  <c r="R305" i="3"/>
  <c r="R240" i="3"/>
  <c r="R121" i="3"/>
  <c r="R193" i="3"/>
  <c r="R457" i="3"/>
  <c r="R480" i="3"/>
  <c r="R33" i="3"/>
  <c r="R489" i="3"/>
  <c r="R361" i="3"/>
  <c r="R26" i="3"/>
  <c r="R366" i="3"/>
  <c r="R442" i="3"/>
  <c r="R386" i="3"/>
  <c r="R486" i="3"/>
  <c r="R41" i="3"/>
  <c r="R22" i="3"/>
  <c r="R150" i="3"/>
  <c r="R214" i="3"/>
  <c r="R145" i="3"/>
  <c r="R545" i="3"/>
  <c r="R481" i="3"/>
  <c r="R289" i="3"/>
  <c r="R10" i="3"/>
  <c r="R89" i="3"/>
  <c r="R449" i="3"/>
  <c r="R393" i="3"/>
  <c r="R434" i="3"/>
  <c r="R314" i="3"/>
  <c r="R537" i="3"/>
  <c r="R409" i="3"/>
  <c r="R345" i="3"/>
  <c r="R192" i="3"/>
  <c r="R64" i="3"/>
  <c r="R542" i="3"/>
  <c r="R414" i="3"/>
  <c r="R201" i="3"/>
  <c r="R73" i="3"/>
  <c r="R280" i="3"/>
  <c r="R34" i="3"/>
  <c r="R506" i="3"/>
  <c r="R310" i="3"/>
  <c r="R521" i="3"/>
  <c r="R32" i="3"/>
  <c r="R432" i="3"/>
  <c r="R440" i="3"/>
  <c r="R306" i="3"/>
  <c r="R241" i="3"/>
  <c r="R113" i="3"/>
  <c r="R593" i="3"/>
  <c r="R529" i="3"/>
  <c r="R401" i="3"/>
  <c r="R273" i="3"/>
  <c r="R470" i="3"/>
  <c r="R342" i="3"/>
  <c r="R185" i="3"/>
  <c r="R184" i="3"/>
  <c r="R56" i="3"/>
  <c r="J218" i="6" l="1"/>
  <c r="K218" i="6"/>
  <c r="L218" i="6" s="1"/>
  <c r="O218" i="6" s="1"/>
  <c r="R218" i="6" s="1"/>
  <c r="K116" i="6"/>
  <c r="L116" i="6" s="1"/>
  <c r="O116" i="6" s="1"/>
  <c r="R116" i="6" s="1"/>
  <c r="J116" i="6"/>
  <c r="J94" i="6"/>
  <c r="K94" i="6"/>
  <c r="L94" i="6" s="1"/>
  <c r="O94" i="6" s="1"/>
  <c r="R94" i="6" s="1"/>
  <c r="J280" i="6"/>
  <c r="K280" i="6"/>
  <c r="L280" i="6" s="1"/>
  <c r="O280" i="6" s="1"/>
  <c r="R280" i="6" s="1"/>
  <c r="K332" i="6"/>
  <c r="L332" i="6" s="1"/>
  <c r="O332" i="6" s="1"/>
  <c r="R332" i="6" s="1"/>
  <c r="J332" i="6"/>
  <c r="K161" i="6"/>
  <c r="L161" i="6" s="1"/>
  <c r="O161" i="6" s="1"/>
  <c r="R161" i="6" s="1"/>
  <c r="J161" i="6"/>
  <c r="J292" i="6"/>
  <c r="K292" i="6"/>
  <c r="L292" i="6" s="1"/>
  <c r="O292" i="6" s="1"/>
  <c r="R292" i="6" s="1"/>
  <c r="K127" i="6"/>
  <c r="L127" i="6" s="1"/>
  <c r="O127" i="6" s="1"/>
  <c r="R127" i="6" s="1"/>
  <c r="J127" i="6"/>
  <c r="K117" i="6"/>
  <c r="L117" i="6" s="1"/>
  <c r="O117" i="6" s="1"/>
  <c r="R117" i="6" s="1"/>
  <c r="J117" i="6"/>
  <c r="J211" i="6"/>
  <c r="K211" i="6"/>
  <c r="L211" i="6" s="1"/>
  <c r="O211" i="6" s="1"/>
  <c r="R211" i="6" s="1"/>
  <c r="K601" i="6"/>
  <c r="L601" i="6" s="1"/>
  <c r="O601" i="6" s="1"/>
  <c r="R601" i="6" s="1"/>
  <c r="J601" i="6"/>
  <c r="J345" i="6"/>
  <c r="K345" i="6"/>
  <c r="L345" i="6" s="1"/>
  <c r="O345" i="6" s="1"/>
  <c r="R345" i="6" s="1"/>
  <c r="K89" i="6"/>
  <c r="L89" i="6" s="1"/>
  <c r="O89" i="6" s="1"/>
  <c r="R89" i="6" s="1"/>
  <c r="J89" i="6"/>
  <c r="J392" i="6"/>
  <c r="K392" i="6"/>
  <c r="L392" i="6" s="1"/>
  <c r="O392" i="6" s="1"/>
  <c r="R392" i="6" s="1"/>
  <c r="K237" i="6"/>
  <c r="L237" i="6" s="1"/>
  <c r="O237" i="6" s="1"/>
  <c r="R237" i="6" s="1"/>
  <c r="J237" i="6"/>
  <c r="J370" i="6"/>
  <c r="J197" i="6"/>
  <c r="K308" i="6"/>
  <c r="L308" i="6" s="1"/>
  <c r="O308" i="6" s="1"/>
  <c r="R308" i="6" s="1"/>
  <c r="K515" i="6"/>
  <c r="L515" i="6" s="1"/>
  <c r="O515" i="6" s="1"/>
  <c r="R515" i="6" s="1"/>
  <c r="J504" i="6"/>
  <c r="K504" i="6"/>
  <c r="L504" i="6" s="1"/>
  <c r="O504" i="6" s="1"/>
  <c r="R504" i="6" s="1"/>
  <c r="K5" i="6"/>
  <c r="L5" i="6" s="1"/>
  <c r="O5" i="6" s="1"/>
  <c r="R5" i="6" s="1"/>
  <c r="J5" i="6"/>
  <c r="K547" i="6"/>
  <c r="L547" i="6" s="1"/>
  <c r="O547" i="6" s="1"/>
  <c r="R547" i="6" s="1"/>
  <c r="J547" i="6"/>
  <c r="J44" i="6"/>
  <c r="K44" i="6"/>
  <c r="L44" i="6" s="1"/>
  <c r="O44" i="6" s="1"/>
  <c r="R44" i="6" s="1"/>
  <c r="K534" i="6"/>
  <c r="L534" i="6" s="1"/>
  <c r="O534" i="6" s="1"/>
  <c r="R534" i="6" s="1"/>
  <c r="J534" i="6"/>
  <c r="J283" i="6"/>
  <c r="K283" i="6"/>
  <c r="L283" i="6" s="1"/>
  <c r="O283" i="6" s="1"/>
  <c r="R283" i="6" s="1"/>
  <c r="K71" i="6"/>
  <c r="L71" i="6" s="1"/>
  <c r="O71" i="6" s="1"/>
  <c r="R71" i="6" s="1"/>
  <c r="J71" i="6"/>
  <c r="K572" i="6"/>
  <c r="L572" i="6" s="1"/>
  <c r="O572" i="6" s="1"/>
  <c r="R572" i="6" s="1"/>
  <c r="J572" i="6"/>
  <c r="K265" i="6"/>
  <c r="L265" i="6" s="1"/>
  <c r="O265" i="6" s="1"/>
  <c r="R265" i="6" s="1"/>
  <c r="K138" i="6"/>
  <c r="L138" i="6" s="1"/>
  <c r="O138" i="6" s="1"/>
  <c r="R138" i="6" s="1"/>
  <c r="K375" i="6"/>
  <c r="L375" i="6" s="1"/>
  <c r="O375" i="6" s="1"/>
  <c r="R375" i="6" s="1"/>
  <c r="J373" i="6"/>
  <c r="K373" i="6"/>
  <c r="L373" i="6" s="1"/>
  <c r="O373" i="6" s="1"/>
  <c r="R373" i="6" s="1"/>
  <c r="J578" i="6"/>
  <c r="K578" i="6"/>
  <c r="L578" i="6" s="1"/>
  <c r="O578" i="6" s="1"/>
  <c r="R578" i="6" s="1"/>
  <c r="J140" i="6"/>
  <c r="J474" i="6"/>
  <c r="J270" i="6"/>
  <c r="J401" i="6"/>
  <c r="K401" i="6"/>
  <c r="L401" i="6" s="1"/>
  <c r="O401" i="6" s="1"/>
  <c r="R401" i="6" s="1"/>
  <c r="K93" i="6"/>
  <c r="L93" i="6" s="1"/>
  <c r="O93" i="6" s="1"/>
  <c r="R93" i="6" s="1"/>
  <c r="J93" i="6"/>
  <c r="K385" i="6"/>
  <c r="L385" i="6" s="1"/>
  <c r="O385" i="6" s="1"/>
  <c r="R385" i="6" s="1"/>
  <c r="J385" i="6"/>
  <c r="J496" i="6"/>
  <c r="J494" i="6"/>
  <c r="K246" i="6"/>
  <c r="L246" i="6" s="1"/>
  <c r="O246" i="6" s="1"/>
  <c r="R246" i="6" s="1"/>
  <c r="K51" i="6"/>
  <c r="L51" i="6" s="1"/>
  <c r="O51" i="6" s="1"/>
  <c r="R51" i="6" s="1"/>
  <c r="K359" i="6"/>
  <c r="L359" i="6" s="1"/>
  <c r="O359" i="6" s="1"/>
  <c r="R359" i="6" s="1"/>
  <c r="J26" i="6"/>
  <c r="K495" i="6"/>
  <c r="L495" i="6" s="1"/>
  <c r="O495" i="6" s="1"/>
  <c r="R495" i="6" s="1"/>
  <c r="J495" i="6"/>
  <c r="J126" i="6"/>
  <c r="K126" i="6"/>
  <c r="L126" i="6" s="1"/>
  <c r="O126" i="6" s="1"/>
  <c r="R126" i="6" s="1"/>
  <c r="J512" i="6"/>
  <c r="K512" i="6"/>
  <c r="L512" i="6" s="1"/>
  <c r="O512" i="6" s="1"/>
  <c r="R512" i="6" s="1"/>
  <c r="J341" i="6"/>
  <c r="K341" i="6"/>
  <c r="L341" i="6" s="1"/>
  <c r="O341" i="6" s="1"/>
  <c r="R341" i="6" s="1"/>
  <c r="K599" i="6"/>
  <c r="L599" i="6" s="1"/>
  <c r="O599" i="6" s="1"/>
  <c r="R599" i="6" s="1"/>
  <c r="J599" i="6"/>
  <c r="K539" i="6"/>
  <c r="L539" i="6" s="1"/>
  <c r="O539" i="6" s="1"/>
  <c r="R539" i="6" s="1"/>
  <c r="J539" i="6"/>
  <c r="K394" i="6"/>
  <c r="L394" i="6" s="1"/>
  <c r="O394" i="6" s="1"/>
  <c r="R394" i="6" s="1"/>
  <c r="J394" i="6"/>
  <c r="J528" i="6"/>
  <c r="K528" i="6"/>
  <c r="L528" i="6" s="1"/>
  <c r="O528" i="6" s="1"/>
  <c r="R528" i="6" s="1"/>
  <c r="K64" i="6"/>
  <c r="L64" i="6" s="1"/>
  <c r="O64" i="6" s="1"/>
  <c r="R64" i="6" s="1"/>
  <c r="J64" i="6"/>
  <c r="J132" i="6"/>
  <c r="K156" i="6"/>
  <c r="L156" i="6" s="1"/>
  <c r="O156" i="6" s="1"/>
  <c r="R156" i="6" s="1"/>
  <c r="J507" i="6"/>
  <c r="K507" i="6"/>
  <c r="L507" i="6" s="1"/>
  <c r="O507" i="6" s="1"/>
  <c r="R507" i="6" s="1"/>
  <c r="K354" i="6"/>
  <c r="L354" i="6" s="1"/>
  <c r="O354" i="6" s="1"/>
  <c r="R354" i="6" s="1"/>
  <c r="J354" i="6"/>
  <c r="K488" i="6"/>
  <c r="L488" i="6" s="1"/>
  <c r="O488" i="6" s="1"/>
  <c r="R488" i="6" s="1"/>
  <c r="J488" i="6"/>
  <c r="J107" i="6"/>
  <c r="K107" i="6"/>
  <c r="L107" i="6" s="1"/>
  <c r="O107" i="6" s="1"/>
  <c r="R107" i="6" s="1"/>
  <c r="J352" i="6"/>
  <c r="K352" i="6"/>
  <c r="L352" i="6" s="1"/>
  <c r="O352" i="6" s="1"/>
  <c r="R352" i="6" s="1"/>
  <c r="K350" i="6"/>
  <c r="L350" i="6" s="1"/>
  <c r="O350" i="6" s="1"/>
  <c r="R350" i="6" s="1"/>
  <c r="J350" i="6"/>
  <c r="J383" i="6"/>
  <c r="K383" i="6"/>
  <c r="L383" i="6" s="1"/>
  <c r="O383" i="6" s="1"/>
  <c r="R383" i="6" s="1"/>
  <c r="K41" i="6"/>
  <c r="L41" i="6" s="1"/>
  <c r="O41" i="6" s="1"/>
  <c r="R41" i="6" s="1"/>
  <c r="J276" i="6"/>
  <c r="K322" i="6"/>
  <c r="L322" i="6" s="1"/>
  <c r="O322" i="6" s="1"/>
  <c r="R322" i="6" s="1"/>
  <c r="J337" i="6"/>
  <c r="K337" i="6"/>
  <c r="L337" i="6" s="1"/>
  <c r="O337" i="6" s="1"/>
  <c r="R337" i="6" s="1"/>
  <c r="J72" i="6"/>
  <c r="K72" i="6"/>
  <c r="L72" i="6" s="1"/>
  <c r="O72" i="6" s="1"/>
  <c r="R72" i="6" s="1"/>
  <c r="J293" i="6"/>
  <c r="K293" i="6"/>
  <c r="L293" i="6" s="1"/>
  <c r="O293" i="6" s="1"/>
  <c r="R293" i="6" s="1"/>
  <c r="J440" i="6"/>
  <c r="K440" i="6"/>
  <c r="L440" i="6" s="1"/>
  <c r="O440" i="6" s="1"/>
  <c r="R440" i="6" s="1"/>
  <c r="K42" i="6"/>
  <c r="L42" i="6" s="1"/>
  <c r="O42" i="6" s="1"/>
  <c r="R42" i="6" s="1"/>
  <c r="J42" i="6"/>
  <c r="K80" i="6"/>
  <c r="L80" i="6" s="1"/>
  <c r="O80" i="6" s="1"/>
  <c r="R80" i="6" s="1"/>
  <c r="J80" i="6"/>
  <c r="K346" i="6"/>
  <c r="L346" i="6" s="1"/>
  <c r="O346" i="6" s="1"/>
  <c r="R346" i="6" s="1"/>
  <c r="J346" i="6"/>
  <c r="K369" i="6"/>
  <c r="L369" i="6" s="1"/>
  <c r="O369" i="6" s="1"/>
  <c r="R369" i="6" s="1"/>
  <c r="J369" i="6"/>
  <c r="K224" i="6"/>
  <c r="L224" i="6" s="1"/>
  <c r="O224" i="6" s="1"/>
  <c r="R224" i="6" s="1"/>
  <c r="J224" i="6"/>
  <c r="K478" i="6"/>
  <c r="L478" i="6" s="1"/>
  <c r="O478" i="6" s="1"/>
  <c r="R478" i="6" s="1"/>
  <c r="J478" i="6"/>
  <c r="K581" i="6"/>
  <c r="L581" i="6" s="1"/>
  <c r="O581" i="6" s="1"/>
  <c r="R581" i="6" s="1"/>
  <c r="J581" i="6"/>
  <c r="K325" i="6"/>
  <c r="L325" i="6" s="1"/>
  <c r="O325" i="6" s="1"/>
  <c r="R325" i="6" s="1"/>
  <c r="J325" i="6"/>
  <c r="K200" i="6"/>
  <c r="L200" i="6" s="1"/>
  <c r="O200" i="6" s="1"/>
  <c r="R200" i="6" s="1"/>
  <c r="J200" i="6"/>
  <c r="K203" i="6"/>
  <c r="L203" i="6" s="1"/>
  <c r="O203" i="6" s="1"/>
  <c r="R203" i="6" s="1"/>
  <c r="J491" i="6"/>
  <c r="K454" i="6"/>
  <c r="L454" i="6" s="1"/>
  <c r="O454" i="6" s="1"/>
  <c r="R454" i="6" s="1"/>
  <c r="K585" i="6"/>
  <c r="L585" i="6" s="1"/>
  <c r="O585" i="6" s="1"/>
  <c r="R585" i="6" s="1"/>
  <c r="J113" i="6"/>
  <c r="K446" i="6"/>
  <c r="L446" i="6" s="1"/>
  <c r="O446" i="6" s="1"/>
  <c r="R446" i="6" s="1"/>
  <c r="K170" i="6"/>
  <c r="L170" i="6" s="1"/>
  <c r="O170" i="6" s="1"/>
  <c r="R170" i="6" s="1"/>
  <c r="O573" i="6"/>
  <c r="R573" i="6" s="1"/>
  <c r="J493" i="6"/>
  <c r="O500" i="6"/>
  <c r="R500" i="6" s="1"/>
  <c r="O422" i="6"/>
  <c r="R422" i="6" s="1"/>
  <c r="O269" i="6"/>
  <c r="R269" i="6" s="1"/>
  <c r="O299" i="6"/>
  <c r="R299" i="6" s="1"/>
  <c r="O410" i="6"/>
  <c r="R410" i="6" s="1"/>
  <c r="O433" i="6"/>
  <c r="R433" i="6" s="1"/>
  <c r="O177" i="6"/>
  <c r="R177" i="6" s="1"/>
  <c r="O544" i="6"/>
  <c r="R544" i="6" s="1"/>
  <c r="O396" i="6"/>
  <c r="R396" i="6" s="1"/>
  <c r="O143" i="6"/>
  <c r="R143" i="6" s="1"/>
  <c r="O55" i="6"/>
  <c r="R55" i="6" s="1"/>
  <c r="O286" i="6"/>
  <c r="R286" i="6" s="1"/>
  <c r="O133" i="6"/>
  <c r="R133" i="6" s="1"/>
  <c r="O227" i="6"/>
  <c r="R227" i="6" s="1"/>
  <c r="O82" i="6"/>
  <c r="R82" i="6" s="1"/>
  <c r="O105" i="6"/>
  <c r="R105" i="6" s="1"/>
  <c r="O472" i="6"/>
  <c r="R472" i="6" s="1"/>
  <c r="O583" i="6"/>
  <c r="R583" i="6" s="1"/>
  <c r="O29" i="6"/>
  <c r="R29" i="6" s="1"/>
  <c r="O470" i="6"/>
  <c r="R470" i="6" s="1"/>
  <c r="O214" i="6"/>
  <c r="R214" i="6" s="1"/>
  <c r="O317" i="6"/>
  <c r="R317" i="6" s="1"/>
  <c r="O183" i="6"/>
  <c r="R183" i="6" s="1"/>
  <c r="O475" i="6"/>
  <c r="R475" i="6" s="1"/>
  <c r="O330" i="6"/>
  <c r="R330" i="6" s="1"/>
  <c r="O97" i="6"/>
  <c r="R97" i="6" s="1"/>
  <c r="O208" i="6"/>
  <c r="R208" i="6" s="1"/>
  <c r="O575" i="6"/>
  <c r="R575" i="6" s="1"/>
  <c r="O319" i="6"/>
  <c r="R319" i="6" s="1"/>
  <c r="O37" i="6"/>
  <c r="R37" i="6" s="1"/>
  <c r="O462" i="6"/>
  <c r="R462" i="6" s="1"/>
  <c r="O206" i="6"/>
  <c r="R206" i="6" s="1"/>
  <c r="O565" i="6"/>
  <c r="R565" i="6" s="1"/>
  <c r="O404" i="6"/>
  <c r="R404" i="6" s="1"/>
  <c r="O403" i="6"/>
  <c r="R403" i="6" s="1"/>
  <c r="O147" i="6"/>
  <c r="R147" i="6" s="1"/>
  <c r="O258" i="6"/>
  <c r="R258" i="6" s="1"/>
  <c r="O281" i="6"/>
  <c r="R281" i="6" s="1"/>
  <c r="O372" i="6"/>
  <c r="R372" i="6" s="1"/>
  <c r="O264" i="6"/>
  <c r="R264" i="6" s="1"/>
  <c r="O311" i="6"/>
  <c r="R311" i="6" s="1"/>
  <c r="O11" i="6"/>
  <c r="R11" i="6" s="1"/>
  <c r="O30" i="6"/>
  <c r="R30" i="6" s="1"/>
  <c r="O582" i="6"/>
  <c r="R582" i="6" s="1"/>
  <c r="O262" i="6"/>
  <c r="R262" i="6" s="1"/>
  <c r="O109" i="6"/>
  <c r="R109" i="6" s="1"/>
  <c r="K540" i="6"/>
  <c r="L540" i="6" s="1"/>
  <c r="O540" i="6" s="1"/>
  <c r="R540" i="6" s="1"/>
  <c r="J279" i="6"/>
  <c r="O525" i="6"/>
  <c r="R525" i="6" s="1"/>
  <c r="O416" i="6"/>
  <c r="R416" i="6" s="1"/>
  <c r="O356" i="6"/>
  <c r="R356" i="6" s="1"/>
  <c r="O481" i="6"/>
  <c r="R481" i="6" s="1"/>
  <c r="O79" i="6"/>
  <c r="R79" i="6" s="1"/>
  <c r="O563" i="6"/>
  <c r="R563" i="6" s="1"/>
  <c r="O307" i="6"/>
  <c r="R307" i="6" s="1"/>
  <c r="O468" i="6"/>
  <c r="R468" i="6" s="1"/>
  <c r="O418" i="6"/>
  <c r="R418" i="6" s="1"/>
  <c r="O162" i="6"/>
  <c r="R162" i="6" s="1"/>
  <c r="O441" i="6"/>
  <c r="R441" i="6" s="1"/>
  <c r="O185" i="6"/>
  <c r="R185" i="6" s="1"/>
  <c r="O552" i="6"/>
  <c r="R552" i="6" s="1"/>
  <c r="O296" i="6"/>
  <c r="R296" i="6" s="1"/>
  <c r="O444" i="6"/>
  <c r="R444" i="6" s="1"/>
  <c r="O407" i="6"/>
  <c r="R407" i="6" s="1"/>
  <c r="O151" i="6"/>
  <c r="R151" i="6" s="1"/>
  <c r="O28" i="6"/>
  <c r="R28" i="6" s="1"/>
  <c r="O47" i="6"/>
  <c r="R47" i="6" s="1"/>
  <c r="O550" i="6"/>
  <c r="R550" i="6" s="1"/>
  <c r="O294" i="6"/>
  <c r="R294" i="6" s="1"/>
  <c r="O412" i="6"/>
  <c r="R412" i="6" s="1"/>
  <c r="O397" i="6"/>
  <c r="R397" i="6" s="1"/>
  <c r="O141" i="6"/>
  <c r="R141" i="6" s="1"/>
  <c r="O171" i="6"/>
  <c r="R171" i="6" s="1"/>
  <c r="O282" i="6"/>
  <c r="R282" i="6" s="1"/>
  <c r="O561" i="6"/>
  <c r="R561" i="6" s="1"/>
  <c r="O305" i="6"/>
  <c r="R305" i="6" s="1"/>
  <c r="O516" i="6"/>
  <c r="R516" i="6" s="1"/>
  <c r="O527" i="6"/>
  <c r="R527" i="6" s="1"/>
  <c r="O66" i="6"/>
  <c r="R66" i="6" s="1"/>
  <c r="O6" i="6"/>
  <c r="R6" i="6" s="1"/>
  <c r="O460" i="6"/>
  <c r="R460" i="6" s="1"/>
  <c r="O414" i="6"/>
  <c r="R414" i="6" s="1"/>
  <c r="O261" i="6"/>
  <c r="R261" i="6" s="1"/>
  <c r="O212" i="6"/>
  <c r="R212" i="6" s="1"/>
  <c r="O188" i="6"/>
  <c r="R188" i="6" s="1"/>
  <c r="O355" i="6"/>
  <c r="R355" i="6" s="1"/>
  <c r="O99" i="6"/>
  <c r="R99" i="6" s="1"/>
  <c r="O466" i="6"/>
  <c r="R466" i="6" s="1"/>
  <c r="O210" i="6"/>
  <c r="R210" i="6" s="1"/>
  <c r="O489" i="6"/>
  <c r="R489" i="6" s="1"/>
  <c r="O233" i="6"/>
  <c r="R233" i="6" s="1"/>
  <c r="O600" i="6"/>
  <c r="R600" i="6" s="1"/>
  <c r="O344" i="6"/>
  <c r="R344" i="6" s="1"/>
  <c r="O88" i="6"/>
  <c r="R88" i="6" s="1"/>
  <c r="O455" i="6"/>
  <c r="R455" i="6" s="1"/>
  <c r="O199" i="6"/>
  <c r="R199" i="6" s="1"/>
  <c r="O59" i="6"/>
  <c r="R59" i="6" s="1"/>
  <c r="O78" i="6"/>
  <c r="R78" i="6" s="1"/>
  <c r="O598" i="6"/>
  <c r="R598" i="6" s="1"/>
  <c r="O342" i="6"/>
  <c r="R342" i="6" s="1"/>
  <c r="O86" i="6"/>
  <c r="R86" i="6" s="1"/>
  <c r="O445" i="6"/>
  <c r="R445" i="6" s="1"/>
  <c r="O189" i="6"/>
  <c r="R189" i="6" s="1"/>
  <c r="O439" i="6"/>
  <c r="R439" i="6" s="1"/>
  <c r="O119" i="6"/>
  <c r="R119" i="6" s="1"/>
  <c r="O60" i="6"/>
  <c r="R60" i="6" s="1"/>
  <c r="K192" i="6"/>
  <c r="L192" i="6" s="1"/>
  <c r="O192" i="6" s="1"/>
  <c r="R192" i="6" s="1"/>
  <c r="J306" i="6"/>
  <c r="K315" i="6"/>
  <c r="L315" i="6" s="1"/>
  <c r="O315" i="6" s="1"/>
  <c r="R315" i="6" s="1"/>
  <c r="J432" i="6"/>
  <c r="J351" i="6"/>
  <c r="J69" i="6"/>
  <c r="J238" i="6"/>
  <c r="J277" i="6"/>
  <c r="K103" i="6"/>
  <c r="L103" i="6" s="1"/>
  <c r="O103" i="6" s="1"/>
  <c r="R103" i="6" s="1"/>
  <c r="J243" i="6"/>
  <c r="J569" i="6"/>
  <c r="J424" i="6"/>
  <c r="J333" i="6"/>
  <c r="K81" i="6"/>
  <c r="L81" i="6" s="1"/>
  <c r="O81" i="6" s="1"/>
  <c r="R81" i="6" s="1"/>
  <c r="K451" i="6"/>
  <c r="L451" i="6" s="1"/>
  <c r="O451" i="6" s="1"/>
  <c r="R451" i="6" s="1"/>
  <c r="J393" i="6"/>
  <c r="J221" i="6"/>
  <c r="J363" i="6"/>
  <c r="J207" i="6"/>
  <c r="J55" i="6"/>
  <c r="J286" i="6"/>
  <c r="J133" i="6"/>
  <c r="K242" i="6"/>
  <c r="L242" i="6" s="1"/>
  <c r="O242" i="6" s="1"/>
  <c r="R242" i="6" s="1"/>
  <c r="J438" i="6"/>
  <c r="J227" i="6"/>
  <c r="J146" i="6"/>
  <c r="J105" i="6"/>
  <c r="J583" i="6"/>
  <c r="J470" i="6"/>
  <c r="J317" i="6"/>
  <c r="K295" i="6"/>
  <c r="L295" i="6" s="1"/>
  <c r="O295" i="6" s="1"/>
  <c r="R295" i="6" s="1"/>
  <c r="J97" i="6"/>
  <c r="J319" i="6"/>
  <c r="J206" i="6"/>
  <c r="K101" i="6"/>
  <c r="L101" i="6" s="1"/>
  <c r="O101" i="6" s="1"/>
  <c r="R101" i="6" s="1"/>
  <c r="J147" i="6"/>
  <c r="J11" i="6"/>
  <c r="J262" i="6"/>
  <c r="J109" i="6"/>
  <c r="K251" i="6"/>
  <c r="L251" i="6" s="1"/>
  <c r="O251" i="6" s="1"/>
  <c r="R251" i="6" s="1"/>
  <c r="J298" i="6"/>
  <c r="J321" i="6"/>
  <c r="J179" i="6"/>
  <c r="J87" i="6"/>
  <c r="J422" i="6"/>
  <c r="J269" i="6"/>
  <c r="K448" i="6"/>
  <c r="L448" i="6" s="1"/>
  <c r="O448" i="6" s="1"/>
  <c r="R448" i="6" s="1"/>
  <c r="K195" i="6"/>
  <c r="L195" i="6" s="1"/>
  <c r="O195" i="6" s="1"/>
  <c r="R195" i="6" s="1"/>
  <c r="J17" i="6"/>
  <c r="J299" i="6"/>
  <c r="J410" i="6"/>
  <c r="J96" i="6"/>
  <c r="J16" i="6"/>
  <c r="J330" i="6"/>
  <c r="J462" i="6"/>
  <c r="K259" i="6"/>
  <c r="L259" i="6" s="1"/>
  <c r="O259" i="6" s="1"/>
  <c r="R259" i="6" s="1"/>
  <c r="J456" i="6"/>
  <c r="K260" i="6"/>
  <c r="L260" i="6" s="1"/>
  <c r="O260" i="6" s="1"/>
  <c r="R260" i="6" s="1"/>
  <c r="J61" i="6"/>
  <c r="J187" i="6"/>
  <c r="J176" i="6"/>
  <c r="J287" i="6"/>
  <c r="K24" i="6"/>
  <c r="L24" i="6" s="1"/>
  <c r="O24" i="6" s="1"/>
  <c r="R24" i="6" s="1"/>
  <c r="J174" i="6"/>
  <c r="J85" i="6"/>
  <c r="J377" i="6"/>
  <c r="J168" i="6"/>
  <c r="J58" i="6"/>
  <c r="K431" i="6"/>
  <c r="L431" i="6" s="1"/>
  <c r="O431" i="6" s="1"/>
  <c r="R431" i="6" s="1"/>
  <c r="J562" i="6"/>
  <c r="J177" i="6"/>
  <c r="J396" i="6"/>
  <c r="J143" i="6"/>
  <c r="J453" i="6"/>
  <c r="K570" i="6"/>
  <c r="L570" i="6" s="1"/>
  <c r="O570" i="6" s="1"/>
  <c r="R570" i="6" s="1"/>
  <c r="K137" i="6"/>
  <c r="L137" i="6" s="1"/>
  <c r="O137" i="6" s="1"/>
  <c r="R137" i="6" s="1"/>
  <c r="J285" i="6"/>
  <c r="J388" i="6"/>
  <c r="J82" i="6"/>
  <c r="J472" i="6"/>
  <c r="J391" i="6"/>
  <c r="J29" i="6"/>
  <c r="J214" i="6"/>
  <c r="J125" i="6"/>
  <c r="K182" i="6"/>
  <c r="L182" i="6" s="1"/>
  <c r="O182" i="6" s="1"/>
  <c r="R182" i="6" s="1"/>
  <c r="J575" i="6"/>
  <c r="J52" i="6"/>
  <c r="J164" i="6"/>
  <c r="J467" i="6"/>
  <c r="J258" i="6"/>
  <c r="J281" i="6"/>
  <c r="J311" i="6"/>
  <c r="J45" i="6"/>
  <c r="J582" i="6"/>
  <c r="K384" i="6"/>
  <c r="L384" i="6" s="1"/>
  <c r="O384" i="6" s="1"/>
  <c r="R384" i="6" s="1"/>
  <c r="J129" i="6"/>
  <c r="J230" i="6"/>
  <c r="K204" i="6"/>
  <c r="L204" i="6" s="1"/>
  <c r="O204" i="6" s="1"/>
  <c r="R204" i="6" s="1"/>
  <c r="K256" i="6"/>
  <c r="L256" i="6" s="1"/>
  <c r="O256" i="6" s="1"/>
  <c r="R256" i="6" s="1"/>
  <c r="J272" i="6"/>
  <c r="K506" i="6"/>
  <c r="L506" i="6" s="1"/>
  <c r="O506" i="6" s="1"/>
  <c r="R506" i="6" s="1"/>
  <c r="K329" i="6"/>
  <c r="L329" i="6" s="1"/>
  <c r="O329" i="6" s="1"/>
  <c r="R329" i="6" s="1"/>
  <c r="K365" i="6"/>
  <c r="L365" i="6" s="1"/>
  <c r="O365" i="6" s="1"/>
  <c r="R365" i="6" s="1"/>
  <c r="K34" i="6"/>
  <c r="L34" i="6" s="1"/>
  <c r="O34" i="6" s="1"/>
  <c r="R34" i="6" s="1"/>
  <c r="O134" i="6"/>
  <c r="R134" i="6" s="1"/>
  <c r="K240" i="6"/>
  <c r="L240" i="6" s="1"/>
  <c r="O240" i="6" s="1"/>
  <c r="R240" i="6" s="1"/>
  <c r="K415" i="6"/>
  <c r="L415" i="6" s="1"/>
  <c r="O415" i="6" s="1"/>
  <c r="R415" i="6" s="1"/>
  <c r="K597" i="6"/>
  <c r="L597" i="6" s="1"/>
  <c r="O597" i="6" s="1"/>
  <c r="R597" i="6" s="1"/>
  <c r="K149" i="6"/>
  <c r="L149" i="6" s="1"/>
  <c r="O149" i="6" s="1"/>
  <c r="R149" i="6" s="1"/>
  <c r="J312" i="6"/>
  <c r="J566" i="6"/>
  <c r="K499" i="6"/>
  <c r="L499" i="6" s="1"/>
  <c r="O499" i="6" s="1"/>
  <c r="R499" i="6" s="1"/>
  <c r="K84" i="6"/>
  <c r="L84" i="6" s="1"/>
  <c r="O84" i="6" s="1"/>
  <c r="R84" i="6" s="1"/>
  <c r="K98" i="6"/>
  <c r="L98" i="6" s="1"/>
  <c r="O98" i="6" s="1"/>
  <c r="R98" i="6" s="1"/>
  <c r="K121" i="6"/>
  <c r="L121" i="6" s="1"/>
  <c r="O121" i="6" s="1"/>
  <c r="R121" i="6" s="1"/>
  <c r="K232" i="6"/>
  <c r="L232" i="6" s="1"/>
  <c r="O232" i="6" s="1"/>
  <c r="R232" i="6" s="1"/>
  <c r="K343" i="6"/>
  <c r="L343" i="6" s="1"/>
  <c r="O343" i="6" s="1"/>
  <c r="R343" i="6" s="1"/>
  <c r="K13" i="6"/>
  <c r="L13" i="6" s="1"/>
  <c r="O13" i="6" s="1"/>
  <c r="R13" i="6" s="1"/>
  <c r="K486" i="6"/>
  <c r="L486" i="6" s="1"/>
  <c r="O486" i="6" s="1"/>
  <c r="R486" i="6" s="1"/>
  <c r="K589" i="6"/>
  <c r="L589" i="6" s="1"/>
  <c r="O589" i="6" s="1"/>
  <c r="R589" i="6" s="1"/>
  <c r="K49" i="6"/>
  <c r="L49" i="6" s="1"/>
  <c r="O49" i="6" s="1"/>
  <c r="R49" i="6" s="1"/>
  <c r="K108" i="6"/>
  <c r="L108" i="6" s="1"/>
  <c r="O108" i="6" s="1"/>
  <c r="R108" i="6" s="1"/>
  <c r="J171" i="6"/>
  <c r="K538" i="6"/>
  <c r="L538" i="6" s="1"/>
  <c r="O538" i="6" s="1"/>
  <c r="R538" i="6" s="1"/>
  <c r="K497" i="6"/>
  <c r="L497" i="6" s="1"/>
  <c r="O497" i="6" s="1"/>
  <c r="R497" i="6" s="1"/>
  <c r="J527" i="6"/>
  <c r="K271" i="6"/>
  <c r="L271" i="6" s="1"/>
  <c r="O271" i="6" s="1"/>
  <c r="R271" i="6" s="1"/>
  <c r="K70" i="6"/>
  <c r="L70" i="6" s="1"/>
  <c r="O70" i="6" s="1"/>
  <c r="R70" i="6" s="1"/>
  <c r="J261" i="6"/>
  <c r="K186" i="6"/>
  <c r="L186" i="6" s="1"/>
  <c r="O186" i="6" s="1"/>
  <c r="R186" i="6" s="1"/>
  <c r="K357" i="6"/>
  <c r="L357" i="6" s="1"/>
  <c r="O357" i="6" s="1"/>
  <c r="R357" i="6" s="1"/>
  <c r="J111" i="6"/>
  <c r="K91" i="6"/>
  <c r="L91" i="6" s="1"/>
  <c r="O91" i="6" s="1"/>
  <c r="R91" i="6" s="1"/>
  <c r="K447" i="6"/>
  <c r="L447" i="6" s="1"/>
  <c r="O447" i="6" s="1"/>
  <c r="R447" i="6" s="1"/>
  <c r="K181" i="6"/>
  <c r="L181" i="6" s="1"/>
  <c r="O181" i="6" s="1"/>
  <c r="R181" i="6" s="1"/>
  <c r="K510" i="6"/>
  <c r="L510" i="6" s="1"/>
  <c r="O510" i="6" s="1"/>
  <c r="R510" i="6" s="1"/>
  <c r="K376" i="6"/>
  <c r="L376" i="6" s="1"/>
  <c r="O376" i="6" s="1"/>
  <c r="R376" i="6" s="1"/>
  <c r="K349" i="6"/>
  <c r="L349" i="6" s="1"/>
  <c r="O349" i="6" s="1"/>
  <c r="R349" i="6" s="1"/>
  <c r="K275" i="6"/>
  <c r="L275" i="6" s="1"/>
  <c r="O275" i="6" s="1"/>
  <c r="R275" i="6" s="1"/>
  <c r="K520" i="6"/>
  <c r="L520" i="6" s="1"/>
  <c r="O520" i="6" s="1"/>
  <c r="R520" i="6" s="1"/>
  <c r="J439" i="6"/>
  <c r="J119" i="6"/>
  <c r="K574" i="6"/>
  <c r="L574" i="6" s="1"/>
  <c r="O574" i="6" s="1"/>
  <c r="R574" i="6" s="1"/>
  <c r="K560" i="6"/>
  <c r="L560" i="6" s="1"/>
  <c r="O560" i="6" s="1"/>
  <c r="R560" i="6" s="1"/>
  <c r="K302" i="6"/>
  <c r="L302" i="6" s="1"/>
  <c r="O302" i="6" s="1"/>
  <c r="R302" i="6" s="1"/>
  <c r="K587" i="6"/>
  <c r="L587" i="6" s="1"/>
  <c r="O587" i="6" s="1"/>
  <c r="R587" i="6" s="1"/>
  <c r="K579" i="6"/>
  <c r="L579" i="6" s="1"/>
  <c r="O579" i="6" s="1"/>
  <c r="R579" i="6" s="1"/>
  <c r="K347" i="6"/>
  <c r="L347" i="6" s="1"/>
  <c r="O347" i="6" s="1"/>
  <c r="R347" i="6" s="1"/>
  <c r="K73" i="6"/>
  <c r="L73" i="6" s="1"/>
  <c r="O73" i="6" s="1"/>
  <c r="R73" i="6" s="1"/>
  <c r="K437" i="6"/>
  <c r="L437" i="6" s="1"/>
  <c r="O437" i="6" s="1"/>
  <c r="R437" i="6" s="1"/>
  <c r="K423" i="6"/>
  <c r="L423" i="6" s="1"/>
  <c r="O423" i="6" s="1"/>
  <c r="R423" i="6" s="1"/>
  <c r="K254" i="6"/>
  <c r="L254" i="6" s="1"/>
  <c r="O254" i="6" s="1"/>
  <c r="R254" i="6" s="1"/>
  <c r="K193" i="6"/>
  <c r="L193" i="6" s="1"/>
  <c r="O193" i="6" s="1"/>
  <c r="R193" i="6" s="1"/>
  <c r="K558" i="6"/>
  <c r="L558" i="6" s="1"/>
  <c r="O558" i="6" s="1"/>
  <c r="R558" i="6" s="1"/>
  <c r="K477" i="6"/>
  <c r="L477" i="6" s="1"/>
  <c r="O477" i="6" s="1"/>
  <c r="R477" i="6" s="1"/>
  <c r="K250" i="6"/>
  <c r="L250" i="6" s="1"/>
  <c r="O250" i="6" s="1"/>
  <c r="R250" i="6" s="1"/>
  <c r="J12" i="6"/>
  <c r="J90" i="6"/>
  <c r="J305" i="6"/>
  <c r="J21" i="6"/>
  <c r="J460" i="6"/>
  <c r="K523" i="6"/>
  <c r="L523" i="6" s="1"/>
  <c r="O523" i="6" s="1"/>
  <c r="R523" i="6" s="1"/>
  <c r="K225" i="6"/>
  <c r="L225" i="6" s="1"/>
  <c r="O225" i="6" s="1"/>
  <c r="R225" i="6" s="1"/>
  <c r="K590" i="6"/>
  <c r="L590" i="6" s="1"/>
  <c r="O590" i="6" s="1"/>
  <c r="R590" i="6" s="1"/>
  <c r="J122" i="6"/>
  <c r="K588" i="6"/>
  <c r="L588" i="6" s="1"/>
  <c r="O588" i="6" s="1"/>
  <c r="R588" i="6" s="1"/>
  <c r="K409" i="6"/>
  <c r="L409" i="6" s="1"/>
  <c r="O409" i="6" s="1"/>
  <c r="R409" i="6" s="1"/>
  <c r="K521" i="6"/>
  <c r="L521" i="6" s="1"/>
  <c r="O521" i="6" s="1"/>
  <c r="R521" i="6" s="1"/>
  <c r="J561" i="6"/>
  <c r="J6" i="6"/>
  <c r="K571" i="6"/>
  <c r="L571" i="6" s="1"/>
  <c r="O571" i="6" s="1"/>
  <c r="R571" i="6" s="1"/>
  <c r="J362" i="6"/>
  <c r="K304" i="6"/>
  <c r="L304" i="6" s="1"/>
  <c r="O304" i="6" s="1"/>
  <c r="R304" i="6" s="1"/>
  <c r="J95" i="6"/>
  <c r="K436" i="6"/>
  <c r="L436" i="6" s="1"/>
  <c r="O436" i="6" s="1"/>
  <c r="R436" i="6" s="1"/>
  <c r="J568" i="6"/>
  <c r="J8" i="6"/>
  <c r="K131" i="6"/>
  <c r="L131" i="6" s="1"/>
  <c r="O131" i="6" s="1"/>
  <c r="R131" i="6" s="1"/>
  <c r="J602" i="6"/>
  <c r="J282" i="6"/>
  <c r="J241" i="6"/>
  <c r="J335" i="6"/>
  <c r="J66" i="6"/>
  <c r="J92" i="6"/>
  <c r="J364" i="6"/>
  <c r="K524" i="6"/>
  <c r="L524" i="6" s="1"/>
  <c r="O524" i="6" s="1"/>
  <c r="R524" i="6" s="1"/>
  <c r="J291" i="6"/>
  <c r="J402" i="6"/>
  <c r="J425" i="6"/>
  <c r="J536" i="6"/>
  <c r="J348" i="6"/>
  <c r="J135" i="6"/>
  <c r="J63" i="6"/>
  <c r="J278" i="6"/>
  <c r="J381" i="6"/>
  <c r="K320" i="6"/>
  <c r="L320" i="6" s="1"/>
  <c r="O320" i="6" s="1"/>
  <c r="R320" i="6" s="1"/>
  <c r="K202" i="6"/>
  <c r="L202" i="6" s="1"/>
  <c r="O202" i="6" s="1"/>
  <c r="R202" i="6" s="1"/>
  <c r="J417" i="6"/>
  <c r="K67" i="6"/>
  <c r="L67" i="6" s="1"/>
  <c r="O67" i="6" s="1"/>
  <c r="R67" i="6" s="1"/>
  <c r="J118" i="6"/>
  <c r="J60" i="6"/>
  <c r="K301" i="6"/>
  <c r="L301" i="6" s="1"/>
  <c r="O301" i="6" s="1"/>
  <c r="R301" i="6" s="1"/>
  <c r="K367" i="6"/>
  <c r="L367" i="6" s="1"/>
  <c r="O367" i="6" s="1"/>
  <c r="R367" i="6" s="1"/>
  <c r="K248" i="6"/>
  <c r="L248" i="6" s="1"/>
  <c r="O248" i="6" s="1"/>
  <c r="R248" i="6" s="1"/>
  <c r="K426" i="6"/>
  <c r="L426" i="6" s="1"/>
  <c r="O426" i="6" s="1"/>
  <c r="R426" i="6" s="1"/>
  <c r="K159" i="6"/>
  <c r="L159" i="6" s="1"/>
  <c r="O159" i="6" s="1"/>
  <c r="R159" i="6" s="1"/>
  <c r="K449" i="6"/>
  <c r="L449" i="6" s="1"/>
  <c r="O449" i="6" s="1"/>
  <c r="R449" i="6" s="1"/>
  <c r="K39" i="6"/>
  <c r="L39" i="6" s="1"/>
  <c r="O39" i="6" s="1"/>
  <c r="R39" i="6" s="1"/>
  <c r="J235" i="6"/>
  <c r="J591" i="6"/>
  <c r="K484" i="6"/>
  <c r="L484" i="6" s="1"/>
  <c r="O484" i="6" s="1"/>
  <c r="R484" i="6" s="1"/>
  <c r="K180" i="6"/>
  <c r="L180" i="6" s="1"/>
  <c r="O180" i="6" s="1"/>
  <c r="R180" i="6" s="1"/>
  <c r="K458" i="6"/>
  <c r="L458" i="6" s="1"/>
  <c r="O458" i="6" s="1"/>
  <c r="R458" i="6" s="1"/>
  <c r="K191" i="6"/>
  <c r="L191" i="6" s="1"/>
  <c r="O191" i="6" s="1"/>
  <c r="R191" i="6" s="1"/>
  <c r="K300" i="6"/>
  <c r="L300" i="6" s="1"/>
  <c r="O300" i="6" s="1"/>
  <c r="R300" i="6" s="1"/>
  <c r="K130" i="6"/>
  <c r="L130" i="6" s="1"/>
  <c r="O130" i="6" s="1"/>
  <c r="R130" i="6" s="1"/>
  <c r="K331" i="6"/>
  <c r="L331" i="6" s="1"/>
  <c r="O331" i="6" s="1"/>
  <c r="R331" i="6" s="1"/>
  <c r="K421" i="6"/>
  <c r="L421" i="6" s="1"/>
  <c r="O421" i="6" s="1"/>
  <c r="R421" i="6" s="1"/>
  <c r="J387" i="6"/>
  <c r="K209" i="6"/>
  <c r="L209" i="6" s="1"/>
  <c r="O209" i="6" s="1"/>
  <c r="R209" i="6" s="1"/>
  <c r="J120" i="6"/>
  <c r="J252" i="6"/>
  <c r="J371" i="6"/>
  <c r="J115" i="6"/>
  <c r="J482" i="6"/>
  <c r="J226" i="6"/>
  <c r="J505" i="6"/>
  <c r="J249" i="6"/>
  <c r="J196" i="6"/>
  <c r="J360" i="6"/>
  <c r="J104" i="6"/>
  <c r="J471" i="6"/>
  <c r="J215" i="6"/>
  <c r="J43" i="6"/>
  <c r="J62" i="6"/>
  <c r="J100" i="6"/>
  <c r="J358" i="6"/>
  <c r="J102" i="6"/>
  <c r="J461" i="6"/>
  <c r="J205" i="6"/>
  <c r="J239" i="6"/>
  <c r="J508" i="6"/>
  <c r="J419" i="6"/>
  <c r="J163" i="6"/>
  <c r="J530" i="6"/>
  <c r="J274" i="6"/>
  <c r="J553" i="6"/>
  <c r="J297" i="6"/>
  <c r="J476" i="6"/>
  <c r="J408" i="6"/>
  <c r="J152" i="6"/>
  <c r="J519" i="6"/>
  <c r="J263" i="6"/>
  <c r="J74" i="6"/>
  <c r="J14" i="6"/>
  <c r="J380" i="6"/>
  <c r="J406" i="6"/>
  <c r="J150" i="6"/>
  <c r="J509" i="6"/>
  <c r="J253" i="6"/>
  <c r="J136" i="6"/>
  <c r="J503" i="6"/>
  <c r="J247" i="6"/>
  <c r="J529" i="6"/>
  <c r="K231" i="6"/>
  <c r="L231" i="6" s="1"/>
  <c r="O231" i="6" s="1"/>
  <c r="R231" i="6" s="1"/>
  <c r="J284" i="6"/>
  <c r="J379" i="6"/>
  <c r="J123" i="6"/>
  <c r="J490" i="6"/>
  <c r="J234" i="6"/>
  <c r="J513" i="6"/>
  <c r="J257" i="6"/>
  <c r="J236" i="6"/>
  <c r="J368" i="6"/>
  <c r="J112" i="6"/>
  <c r="J479" i="6"/>
  <c r="J223" i="6"/>
  <c r="J35" i="6"/>
  <c r="J54" i="6"/>
  <c r="J148" i="6"/>
  <c r="J366" i="6"/>
  <c r="J110" i="6"/>
  <c r="J469" i="6"/>
  <c r="J213" i="6"/>
  <c r="J178" i="6"/>
  <c r="J563" i="6"/>
  <c r="J307" i="6"/>
  <c r="J468" i="6"/>
  <c r="J418" i="6"/>
  <c r="J162" i="6"/>
  <c r="J441" i="6"/>
  <c r="J185" i="6"/>
  <c r="J552" i="6"/>
  <c r="J296" i="6"/>
  <c r="J444" i="6"/>
  <c r="J407" i="6"/>
  <c r="J151" i="6"/>
  <c r="J28" i="6"/>
  <c r="J47" i="6"/>
  <c r="J550" i="6"/>
  <c r="J294" i="6"/>
  <c r="J412" i="6"/>
  <c r="J397" i="6"/>
  <c r="J141" i="6"/>
  <c r="K33" i="6"/>
  <c r="L33" i="6" s="1"/>
  <c r="O33" i="6" s="1"/>
  <c r="R33" i="6" s="1"/>
  <c r="J487" i="6"/>
  <c r="J374" i="6"/>
  <c r="K4" i="6"/>
  <c r="L4" i="6" s="1"/>
  <c r="O4" i="6" s="1"/>
  <c r="R4" i="6" s="1"/>
  <c r="J498" i="6"/>
  <c r="J188" i="6"/>
  <c r="J355" i="6"/>
  <c r="J99" i="6"/>
  <c r="J466" i="6"/>
  <c r="J210" i="6"/>
  <c r="J489" i="6"/>
  <c r="J233" i="6"/>
  <c r="J600" i="6"/>
  <c r="J344" i="6"/>
  <c r="J88" i="6"/>
  <c r="J455" i="6"/>
  <c r="J199" i="6"/>
  <c r="J59" i="6"/>
  <c r="J78" i="6"/>
  <c r="J598" i="6"/>
  <c r="J342" i="6"/>
  <c r="J86" i="6"/>
  <c r="J445" i="6"/>
  <c r="J189" i="6"/>
  <c r="J595" i="6"/>
  <c r="J339" i="6"/>
  <c r="J83" i="6"/>
  <c r="J450" i="6"/>
  <c r="J194" i="6"/>
  <c r="J473" i="6"/>
  <c r="J217" i="6"/>
  <c r="J584" i="6"/>
  <c r="J75" i="6"/>
  <c r="J15" i="6"/>
  <c r="J212" i="6"/>
  <c r="K229" i="6"/>
  <c r="L229" i="6" s="1"/>
  <c r="O229" i="6" s="1"/>
  <c r="R229" i="6" s="1"/>
  <c r="J172" i="6"/>
  <c r="K442" i="6"/>
  <c r="L442" i="6" s="1"/>
  <c r="O442" i="6" s="1"/>
  <c r="R442" i="6" s="1"/>
  <c r="J128" i="6"/>
  <c r="J382" i="6"/>
  <c r="K273" i="6"/>
  <c r="L273" i="6" s="1"/>
  <c r="O273" i="6" s="1"/>
  <c r="R273" i="6" s="1"/>
  <c r="K532" i="6"/>
  <c r="L532" i="6" s="1"/>
  <c r="O532" i="6" s="1"/>
  <c r="R532" i="6" s="1"/>
  <c r="J139" i="6"/>
  <c r="J23" i="6"/>
  <c r="K434" i="6"/>
  <c r="L434" i="6" s="1"/>
  <c r="O434" i="6" s="1"/>
  <c r="R434" i="6" s="1"/>
  <c r="J518" i="6"/>
  <c r="K310" i="6"/>
  <c r="L310" i="6" s="1"/>
  <c r="O310" i="6" s="1"/>
  <c r="R310" i="6" s="1"/>
  <c r="K576" i="6"/>
  <c r="L576" i="6" s="1"/>
  <c r="O576" i="6" s="1"/>
  <c r="R576" i="6" s="1"/>
  <c r="K318" i="6"/>
  <c r="L318" i="6" s="1"/>
  <c r="O318" i="6" s="1"/>
  <c r="R318" i="6" s="1"/>
  <c r="K413" i="6"/>
  <c r="L413" i="6" s="1"/>
  <c r="O413" i="6" s="1"/>
  <c r="R413" i="6" s="1"/>
  <c r="K395" i="6"/>
  <c r="L395" i="6" s="1"/>
  <c r="O395" i="6" s="1"/>
  <c r="R395" i="6" s="1"/>
  <c r="K157" i="6"/>
  <c r="L157" i="6" s="1"/>
  <c r="O157" i="6" s="1"/>
  <c r="R157" i="6" s="1"/>
  <c r="K220" i="6"/>
  <c r="L220" i="6" s="1"/>
  <c r="O220" i="6" s="1"/>
  <c r="R220" i="6" s="1"/>
  <c r="K190" i="6"/>
  <c r="L190" i="6" s="1"/>
  <c r="O190" i="6" s="1"/>
  <c r="R190" i="6" s="1"/>
  <c r="K38" i="6"/>
  <c r="L38" i="6" s="1"/>
  <c r="O38" i="6" s="1"/>
  <c r="R38" i="6" s="1"/>
  <c r="K76" i="6"/>
  <c r="L76" i="6" s="1"/>
  <c r="O76" i="6" s="1"/>
  <c r="R76" i="6" s="1"/>
  <c r="K378" i="6"/>
  <c r="L378" i="6" s="1"/>
  <c r="O378" i="6" s="1"/>
  <c r="R378" i="6" s="1"/>
  <c r="K228" i="6"/>
  <c r="L228" i="6" s="1"/>
  <c r="O228" i="6" s="1"/>
  <c r="R228" i="6" s="1"/>
  <c r="K314" i="6"/>
  <c r="L314" i="6" s="1"/>
  <c r="O314" i="6" s="1"/>
  <c r="R314" i="6" s="1"/>
  <c r="K559" i="6"/>
  <c r="L559" i="6" s="1"/>
  <c r="O559" i="6" s="1"/>
  <c r="R559" i="6" s="1"/>
  <c r="K114" i="6"/>
  <c r="L114" i="6" s="1"/>
  <c r="O114" i="6" s="1"/>
  <c r="R114" i="6" s="1"/>
  <c r="K145" i="6"/>
  <c r="L145" i="6" s="1"/>
  <c r="O145" i="6" s="1"/>
  <c r="R145" i="6" s="1"/>
  <c r="K201" i="6"/>
  <c r="L201" i="6" s="1"/>
  <c r="O201" i="6" s="1"/>
  <c r="R201" i="6" s="1"/>
  <c r="K324" i="6"/>
  <c r="L324" i="6" s="1"/>
  <c r="O324" i="6" s="1"/>
  <c r="R324" i="6" s="1"/>
  <c r="K459" i="6"/>
  <c r="L459" i="6" s="1"/>
  <c r="O459" i="6" s="1"/>
  <c r="R459" i="6" s="1"/>
  <c r="K19" i="6"/>
  <c r="L19" i="6" s="1"/>
  <c r="O19" i="6" s="1"/>
  <c r="R19" i="6" s="1"/>
  <c r="K316" i="6"/>
  <c r="L316" i="6" s="1"/>
  <c r="O316" i="6" s="1"/>
  <c r="R316" i="6" s="1"/>
  <c r="K46" i="6"/>
  <c r="L46" i="6" s="1"/>
  <c r="O46" i="6" s="1"/>
  <c r="R46" i="6" s="1"/>
  <c r="K580" i="6"/>
  <c r="L580" i="6" s="1"/>
  <c r="O580" i="6" s="1"/>
  <c r="R580" i="6" s="1"/>
  <c r="K549" i="6"/>
  <c r="L549" i="6" s="1"/>
  <c r="O549" i="6" s="1"/>
  <c r="R549" i="6" s="1"/>
  <c r="K541" i="6"/>
  <c r="L541" i="6" s="1"/>
  <c r="O541" i="6" s="1"/>
  <c r="R541" i="6" s="1"/>
  <c r="K267" i="6"/>
  <c r="L267" i="6" s="1"/>
  <c r="O267" i="6" s="1"/>
  <c r="R267" i="6" s="1"/>
  <c r="K465" i="6"/>
  <c r="L465" i="6" s="1"/>
  <c r="O465" i="6" s="1"/>
  <c r="R465" i="6" s="1"/>
  <c r="R410" i="3"/>
  <c r="S410" i="3" s="1"/>
  <c r="V410" i="3" s="1"/>
  <c r="R119" i="3"/>
  <c r="S119" i="3" s="1"/>
  <c r="V119" i="3" s="1"/>
  <c r="R72" i="3"/>
  <c r="S72" i="3" s="1"/>
  <c r="V72" i="3" s="1"/>
  <c r="R385" i="3"/>
  <c r="S385" i="3" s="1"/>
  <c r="V385" i="3" s="1"/>
  <c r="R321" i="3"/>
  <c r="S321" i="3" s="1"/>
  <c r="V321" i="3" s="1"/>
  <c r="R61" i="3"/>
  <c r="S61" i="3" s="1"/>
  <c r="V61" i="3" s="1"/>
  <c r="R228" i="3"/>
  <c r="S228" i="3" s="1"/>
  <c r="V228" i="3" s="1"/>
  <c r="R239" i="3"/>
  <c r="S239" i="3" s="1"/>
  <c r="V239" i="3" s="1"/>
  <c r="R478" i="3"/>
  <c r="S478" i="3" s="1"/>
  <c r="V478" i="3" s="1"/>
  <c r="R74" i="3"/>
  <c r="S74" i="3" s="1"/>
  <c r="V74" i="3" s="1"/>
  <c r="R38" i="3"/>
  <c r="S38" i="3" s="1"/>
  <c r="V38" i="3" s="1"/>
  <c r="K3" i="4"/>
  <c r="K2" i="4"/>
  <c r="R344" i="3"/>
  <c r="S344" i="3" s="1"/>
  <c r="V344" i="3" s="1"/>
  <c r="R183" i="3"/>
  <c r="S183" i="3" s="1"/>
  <c r="V183" i="3" s="1"/>
  <c r="R407" i="3"/>
  <c r="S407" i="3" s="1"/>
  <c r="V407" i="3" s="1"/>
  <c r="R346" i="3"/>
  <c r="S346" i="3" s="1"/>
  <c r="V346" i="3" s="1"/>
  <c r="R86" i="3"/>
  <c r="S86" i="3" s="1"/>
  <c r="V86" i="3" s="1"/>
  <c r="R290" i="3"/>
  <c r="S290" i="3" s="1"/>
  <c r="V290" i="3" s="1"/>
  <c r="R224" i="3"/>
  <c r="S224" i="3" s="1"/>
  <c r="V224" i="3" s="1"/>
  <c r="R354" i="3"/>
  <c r="S354" i="3" s="1"/>
  <c r="V354" i="3" s="1"/>
  <c r="H2" i="4"/>
  <c r="H3" i="4"/>
  <c r="Q270" i="3"/>
  <c r="R341" i="3"/>
  <c r="S341" i="3" s="1"/>
  <c r="V341" i="3" s="1"/>
  <c r="R324" i="3"/>
  <c r="S324" i="3" s="1"/>
  <c r="V324" i="3" s="1"/>
  <c r="R468" i="3"/>
  <c r="S468" i="3" s="1"/>
  <c r="V468" i="3" s="1"/>
  <c r="R178" i="3"/>
  <c r="S178" i="3" s="1"/>
  <c r="V178" i="3" s="1"/>
  <c r="R124" i="3"/>
  <c r="S124" i="3" s="1"/>
  <c r="V124" i="3" s="1"/>
  <c r="R580" i="3"/>
  <c r="S580" i="3" s="1"/>
  <c r="V580" i="3" s="1"/>
  <c r="R553" i="3"/>
  <c r="S553" i="3" s="1"/>
  <c r="V553" i="3" s="1"/>
  <c r="R562" i="3"/>
  <c r="S562" i="3" s="1"/>
  <c r="V562" i="3" s="1"/>
  <c r="R358" i="3"/>
  <c r="S358" i="3" s="1"/>
  <c r="V358" i="3" s="1"/>
  <c r="R403" i="3"/>
  <c r="S403" i="3" s="1"/>
  <c r="V403" i="3" s="1"/>
  <c r="R107" i="3"/>
  <c r="S107" i="3" s="1"/>
  <c r="V107" i="3" s="1"/>
  <c r="R39" i="3"/>
  <c r="S39" i="3" s="1"/>
  <c r="V39" i="3" s="1"/>
  <c r="R316" i="3"/>
  <c r="S316" i="3" s="1"/>
  <c r="V316" i="3" s="1"/>
  <c r="R588" i="3"/>
  <c r="S588" i="3" s="1"/>
  <c r="V588" i="3" s="1"/>
  <c r="R295" i="3"/>
  <c r="S295" i="3" s="1"/>
  <c r="V295" i="3" s="1"/>
  <c r="R598" i="3"/>
  <c r="S598" i="3" s="1"/>
  <c r="V598" i="3" s="1"/>
  <c r="R51" i="3"/>
  <c r="S51" i="3" s="1"/>
  <c r="V51" i="3" s="1"/>
  <c r="R380" i="3"/>
  <c r="S380" i="3" s="1"/>
  <c r="V380" i="3" s="1"/>
  <c r="R376" i="3"/>
  <c r="S376" i="3" s="1"/>
  <c r="V376" i="3" s="1"/>
  <c r="R263" i="3"/>
  <c r="S263" i="3" s="1"/>
  <c r="V263" i="3" s="1"/>
  <c r="R52" i="3"/>
  <c r="S52" i="3" s="1"/>
  <c r="V52" i="3" s="1"/>
  <c r="R129" i="3"/>
  <c r="S129" i="3" s="1"/>
  <c r="V129" i="3" s="1"/>
  <c r="R211" i="3"/>
  <c r="S211" i="3" s="1"/>
  <c r="V211" i="3" s="1"/>
  <c r="R112" i="3"/>
  <c r="S112" i="3" s="1"/>
  <c r="V112" i="3" s="1"/>
  <c r="R420" i="3"/>
  <c r="S420" i="3" s="1"/>
  <c r="V420" i="3" s="1"/>
  <c r="R484" i="3"/>
  <c r="S484" i="3" s="1"/>
  <c r="V484" i="3" s="1"/>
  <c r="R441" i="3"/>
  <c r="S441" i="3" s="1"/>
  <c r="V441" i="3" s="1"/>
  <c r="R215" i="3"/>
  <c r="S215" i="3" s="1"/>
  <c r="V215" i="3" s="1"/>
  <c r="R334" i="3"/>
  <c r="S334" i="3" s="1"/>
  <c r="V334" i="3" s="1"/>
  <c r="R477" i="3"/>
  <c r="S477" i="3" s="1"/>
  <c r="V477" i="3" s="1"/>
  <c r="R319" i="3"/>
  <c r="S319" i="3" s="1"/>
  <c r="V319" i="3" s="1"/>
  <c r="R425" i="3"/>
  <c r="S425" i="3" s="1"/>
  <c r="V425" i="3" s="1"/>
  <c r="R77" i="3"/>
  <c r="S77" i="3" s="1"/>
  <c r="V77" i="3" s="1"/>
  <c r="R57" i="3"/>
  <c r="S57" i="3" s="1"/>
  <c r="V57" i="3" s="1"/>
  <c r="R3" i="3"/>
  <c r="S3" i="3" s="1"/>
  <c r="V3" i="3" s="1"/>
  <c r="R5" i="3"/>
  <c r="S5" i="3" s="1"/>
  <c r="V5" i="3" s="1"/>
  <c r="R371" i="3"/>
  <c r="S371" i="3" s="1"/>
  <c r="V371" i="3" s="1"/>
  <c r="R210" i="3"/>
  <c r="S210" i="3" s="1"/>
  <c r="V210" i="3" s="1"/>
  <c r="R428" i="3"/>
  <c r="S428" i="3" s="1"/>
  <c r="V428" i="3" s="1"/>
  <c r="R217" i="3"/>
  <c r="S217" i="3" s="1"/>
  <c r="V217" i="3" s="1"/>
  <c r="R36" i="3"/>
  <c r="S36" i="3" s="1"/>
  <c r="V36" i="3" s="1"/>
  <c r="R165" i="3"/>
  <c r="S165" i="3" s="1"/>
  <c r="V165" i="3" s="1"/>
  <c r="R277" i="3"/>
  <c r="S277" i="3" s="1"/>
  <c r="V277" i="3" s="1"/>
  <c r="R497" i="3"/>
  <c r="S497" i="3" s="1"/>
  <c r="V497" i="3" s="1"/>
  <c r="R465" i="3"/>
  <c r="S465" i="3" s="1"/>
  <c r="V465" i="3" s="1"/>
  <c r="R120" i="3"/>
  <c r="S120" i="3" s="1"/>
  <c r="V120" i="3" s="1"/>
  <c r="R279" i="3"/>
  <c r="S279" i="3" s="1"/>
  <c r="V279" i="3" s="1"/>
  <c r="R281" i="3"/>
  <c r="S281" i="3" s="1"/>
  <c r="V281" i="3" s="1"/>
  <c r="R100" i="3"/>
  <c r="S100" i="3" s="1"/>
  <c r="V100" i="3" s="1"/>
  <c r="R88" i="3"/>
  <c r="S88" i="3" s="1"/>
  <c r="V88" i="3" s="1"/>
  <c r="R445" i="3"/>
  <c r="S445" i="3" s="1"/>
  <c r="V445" i="3" s="1"/>
  <c r="R156" i="3"/>
  <c r="S156" i="3" s="1"/>
  <c r="V156" i="3" s="1"/>
  <c r="R472" i="3"/>
  <c r="S472" i="3" s="1"/>
  <c r="V472" i="3" s="1"/>
  <c r="R510" i="3"/>
  <c r="S510" i="3" s="1"/>
  <c r="V510" i="3" s="1"/>
  <c r="R189" i="3"/>
  <c r="S189" i="3" s="1"/>
  <c r="V189" i="3" s="1"/>
  <c r="R404" i="3"/>
  <c r="S404" i="3" s="1"/>
  <c r="V404" i="3" s="1"/>
  <c r="R101" i="3"/>
  <c r="S101" i="3" s="1"/>
  <c r="V101" i="3" s="1"/>
  <c r="R79" i="3"/>
  <c r="S79" i="3" s="1"/>
  <c r="V79" i="3" s="1"/>
  <c r="R169" i="3"/>
  <c r="S169" i="3" s="1"/>
  <c r="V169" i="3" s="1"/>
  <c r="R40" i="3"/>
  <c r="S40" i="3" s="1"/>
  <c r="V40" i="3" s="1"/>
  <c r="R585" i="3"/>
  <c r="S585" i="3" s="1"/>
  <c r="V585" i="3" s="1"/>
  <c r="R350" i="3"/>
  <c r="S350" i="3" s="1"/>
  <c r="V350" i="3" s="1"/>
  <c r="R17" i="3"/>
  <c r="S17" i="3" s="1"/>
  <c r="V17" i="3" s="1"/>
  <c r="R42" i="3"/>
  <c r="S42" i="3" s="1"/>
  <c r="V42" i="3" s="1"/>
  <c r="R381" i="3"/>
  <c r="S381" i="3" s="1"/>
  <c r="V381" i="3" s="1"/>
  <c r="R105" i="3"/>
  <c r="S105" i="3" s="1"/>
  <c r="V105" i="3" s="1"/>
  <c r="R536" i="3"/>
  <c r="S536" i="3" s="1"/>
  <c r="V536" i="3" s="1"/>
  <c r="S2" i="3"/>
  <c r="V2" i="3" s="1"/>
  <c r="R549" i="3"/>
  <c r="S549" i="3" s="1"/>
  <c r="V549" i="3" s="1"/>
  <c r="R71" i="3"/>
  <c r="S71" i="3" s="1"/>
  <c r="V71" i="3" s="1"/>
  <c r="R275" i="3"/>
  <c r="S275" i="3" s="1"/>
  <c r="V275" i="3" s="1"/>
  <c r="R303" i="3"/>
  <c r="S303" i="3" s="1"/>
  <c r="V303" i="3" s="1"/>
  <c r="R80" i="3"/>
  <c r="S80" i="3" s="1"/>
  <c r="V80" i="3" s="1"/>
  <c r="R12" i="3"/>
  <c r="S12" i="3" s="1"/>
  <c r="V12" i="3" s="1"/>
  <c r="R572" i="3"/>
  <c r="S572" i="3" s="1"/>
  <c r="V572" i="3" s="1"/>
  <c r="R14" i="3"/>
  <c r="S14" i="3" s="1"/>
  <c r="V14" i="3" s="1"/>
  <c r="R175" i="3"/>
  <c r="S175" i="3" s="1"/>
  <c r="V175" i="3" s="1"/>
  <c r="Q37" i="3"/>
  <c r="Q179" i="3"/>
  <c r="R123" i="3"/>
  <c r="S123" i="3" s="1"/>
  <c r="V123" i="3" s="1"/>
  <c r="R302" i="3"/>
  <c r="S302" i="3" s="1"/>
  <c r="V302" i="3" s="1"/>
  <c r="R167" i="3"/>
  <c r="S167" i="3" s="1"/>
  <c r="V167" i="3" s="1"/>
  <c r="R274" i="3"/>
  <c r="S274" i="3" s="1"/>
  <c r="V274" i="3" s="1"/>
  <c r="R173" i="3"/>
  <c r="S173" i="3" s="1"/>
  <c r="V173" i="3" s="1"/>
  <c r="R517" i="3"/>
  <c r="S517" i="3" s="1"/>
  <c r="V517" i="3" s="1"/>
  <c r="R203" i="3"/>
  <c r="S203" i="3" s="1"/>
  <c r="V203" i="3" s="1"/>
  <c r="R467" i="3"/>
  <c r="S467" i="3" s="1"/>
  <c r="V467" i="3" s="1"/>
  <c r="R93" i="3"/>
  <c r="S93" i="3" s="1"/>
  <c r="V93" i="3" s="1"/>
  <c r="R524" i="3"/>
  <c r="S524" i="3" s="1"/>
  <c r="V524" i="3" s="1"/>
  <c r="R44" i="3"/>
  <c r="S44" i="3" s="1"/>
  <c r="V44" i="3" s="1"/>
  <c r="R45" i="3"/>
  <c r="S45" i="3" s="1"/>
  <c r="V45" i="3" s="1"/>
  <c r="R202" i="3"/>
  <c r="S202" i="3" s="1"/>
  <c r="V202" i="3" s="1"/>
  <c r="R75" i="3"/>
  <c r="S75" i="3" s="1"/>
  <c r="V75" i="3" s="1"/>
  <c r="R139" i="3"/>
  <c r="S139" i="3" s="1"/>
  <c r="V139" i="3" s="1"/>
  <c r="R367" i="3"/>
  <c r="S367" i="3" s="1"/>
  <c r="V367" i="3" s="1"/>
  <c r="R115" i="3"/>
  <c r="S115" i="3" s="1"/>
  <c r="R84" i="3"/>
  <c r="S84" i="3" s="1"/>
  <c r="V84" i="3" s="1"/>
  <c r="R538" i="3"/>
  <c r="S538" i="3" s="1"/>
  <c r="V538" i="3" s="1"/>
  <c r="R219" i="3"/>
  <c r="S219" i="3" s="1"/>
  <c r="V219" i="3" s="1"/>
  <c r="R231" i="3"/>
  <c r="S231" i="3" s="1"/>
  <c r="V231" i="3" s="1"/>
  <c r="R601" i="3"/>
  <c r="S601" i="3" s="1"/>
  <c r="V601" i="3" s="1"/>
  <c r="R475" i="3"/>
  <c r="S475" i="3" s="1"/>
  <c r="V475" i="3" s="1"/>
  <c r="R142" i="3"/>
  <c r="S142" i="3" s="1"/>
  <c r="V142" i="3" s="1"/>
  <c r="R76" i="3"/>
  <c r="S76" i="3" s="1"/>
  <c r="V76" i="3" s="1"/>
  <c r="R518" i="3"/>
  <c r="S518" i="3" s="1"/>
  <c r="V518" i="3" s="1"/>
  <c r="R182" i="3"/>
  <c r="S182" i="3" s="1"/>
  <c r="V182" i="3" s="1"/>
  <c r="Q94" i="3"/>
  <c r="R349" i="3"/>
  <c r="S349" i="3" s="1"/>
  <c r="V349" i="3" s="1"/>
  <c r="R444" i="3"/>
  <c r="S444" i="3" s="1"/>
  <c r="V444" i="3" s="1"/>
  <c r="R447" i="3"/>
  <c r="S447" i="3" s="1"/>
  <c r="V447" i="3" s="1"/>
  <c r="R111" i="3"/>
  <c r="S111" i="3" s="1"/>
  <c r="V111" i="3" s="1"/>
  <c r="R437" i="3"/>
  <c r="S437" i="3" s="1"/>
  <c r="V437" i="3" s="1"/>
  <c r="R46" i="3"/>
  <c r="S46" i="3" s="1"/>
  <c r="V46" i="3" s="1"/>
  <c r="R106" i="3"/>
  <c r="S106" i="3" s="1"/>
  <c r="V106" i="3" s="1"/>
  <c r="R511" i="3"/>
  <c r="S511" i="3" s="1"/>
  <c r="V511" i="3" s="1"/>
  <c r="R565" i="3"/>
  <c r="S565" i="3" s="1"/>
  <c r="V565" i="3" s="1"/>
  <c r="R509" i="3"/>
  <c r="S509" i="3" s="1"/>
  <c r="V509" i="3" s="1"/>
  <c r="R207" i="3"/>
  <c r="S207" i="3" s="1"/>
  <c r="V207" i="3" s="1"/>
  <c r="R229" i="3"/>
  <c r="S229" i="3" s="1"/>
  <c r="V229" i="3" s="1"/>
  <c r="Q221" i="3"/>
  <c r="R337" i="3"/>
  <c r="S337" i="3" s="1"/>
  <c r="V337" i="3" s="1"/>
  <c r="R597" i="3"/>
  <c r="S597" i="3" s="1"/>
  <c r="V597" i="3" s="1"/>
  <c r="R408" i="3"/>
  <c r="S408" i="3" s="1"/>
  <c r="V408" i="3" s="1"/>
  <c r="R256" i="3"/>
  <c r="S256" i="3" s="1"/>
  <c r="V256" i="3" s="1"/>
  <c r="R132" i="3"/>
  <c r="S132" i="3" s="1"/>
  <c r="V132" i="3" s="1"/>
  <c r="R204" i="3"/>
  <c r="S204" i="3" s="1"/>
  <c r="V204" i="3" s="1"/>
  <c r="R353" i="3"/>
  <c r="S353" i="3" s="1"/>
  <c r="V353" i="3" s="1"/>
  <c r="R568" i="3"/>
  <c r="S568" i="3" s="1"/>
  <c r="V568" i="3" s="1"/>
  <c r="R596" i="3"/>
  <c r="S596" i="3" s="1"/>
  <c r="V596" i="3" s="1"/>
  <c r="R307" i="3"/>
  <c r="S307" i="3" s="1"/>
  <c r="V307" i="3" s="1"/>
  <c r="R25" i="3"/>
  <c r="S25" i="3" s="1"/>
  <c r="V25" i="3" s="1"/>
  <c r="R190" i="3"/>
  <c r="S190" i="3" s="1"/>
  <c r="R443" i="3"/>
  <c r="S443" i="3" s="1"/>
  <c r="V443" i="3" s="1"/>
  <c r="Q452" i="3"/>
  <c r="R595" i="3"/>
  <c r="S595" i="3" s="1"/>
  <c r="V595" i="3" s="1"/>
  <c r="R258" i="3"/>
  <c r="S258" i="3" s="1"/>
  <c r="V258" i="3" s="1"/>
  <c r="R494" i="3"/>
  <c r="S494" i="3" s="1"/>
  <c r="V494" i="3" s="1"/>
  <c r="R396" i="3"/>
  <c r="S396" i="3" s="1"/>
  <c r="V396" i="3" s="1"/>
  <c r="R49" i="3"/>
  <c r="S49" i="3" s="1"/>
  <c r="V49" i="3" s="1"/>
  <c r="R496" i="3"/>
  <c r="S496" i="3" s="1"/>
  <c r="V496" i="3" s="1"/>
  <c r="R340" i="3"/>
  <c r="S340" i="3" s="1"/>
  <c r="V340" i="3" s="1"/>
  <c r="R9" i="3"/>
  <c r="S9" i="3" s="1"/>
  <c r="V9" i="3" s="1"/>
  <c r="R24" i="3"/>
  <c r="S24" i="3" s="1"/>
  <c r="V24" i="3" s="1"/>
  <c r="R287" i="3"/>
  <c r="S287" i="3" s="1"/>
  <c r="V287" i="3" s="1"/>
  <c r="R196" i="3"/>
  <c r="S196" i="3" s="1"/>
  <c r="V196" i="3" s="1"/>
  <c r="R357" i="3"/>
  <c r="S357" i="3" s="1"/>
  <c r="V357" i="3" s="1"/>
  <c r="R137" i="3"/>
  <c r="S137" i="3" s="1"/>
  <c r="V137" i="3" s="1"/>
  <c r="R546" i="3"/>
  <c r="S546" i="3" s="1"/>
  <c r="V546" i="3" s="1"/>
  <c r="Q166" i="3"/>
  <c r="R364" i="3"/>
  <c r="S364" i="3" s="1"/>
  <c r="V364" i="3" s="1"/>
  <c r="R213" i="3"/>
  <c r="S213" i="3" s="1"/>
  <c r="V213" i="3" s="1"/>
  <c r="R110" i="3"/>
  <c r="S110" i="3" s="1"/>
  <c r="V110" i="3" s="1"/>
  <c r="R531" i="3"/>
  <c r="S531" i="3" s="1"/>
  <c r="V531" i="3" s="1"/>
  <c r="R154" i="3"/>
  <c r="S154" i="3" s="1"/>
  <c r="V154" i="3" s="1"/>
  <c r="R135" i="3"/>
  <c r="S135" i="3" s="1"/>
  <c r="V135" i="3" s="1"/>
  <c r="R356" i="3"/>
  <c r="S356" i="3" s="1"/>
  <c r="V356" i="3" s="1"/>
  <c r="R365" i="3"/>
  <c r="S365" i="3" s="1"/>
  <c r="V365" i="3" s="1"/>
  <c r="R95" i="3"/>
  <c r="S95" i="3" s="1"/>
  <c r="V95" i="3" s="1"/>
  <c r="R534" i="3"/>
  <c r="S534" i="3" s="1"/>
  <c r="V534" i="3" s="1"/>
  <c r="R140" i="3"/>
  <c r="S140" i="3" s="1"/>
  <c r="V140" i="3" s="1"/>
  <c r="R327" i="3"/>
  <c r="S327" i="3" s="1"/>
  <c r="V327" i="3" s="1"/>
  <c r="R462" i="3"/>
  <c r="S462" i="3" s="1"/>
  <c r="V462" i="3" s="1"/>
  <c r="R419" i="3"/>
  <c r="S419" i="3" s="1"/>
  <c r="V419" i="3" s="1"/>
  <c r="R309" i="3"/>
  <c r="S309" i="3" s="1"/>
  <c r="V309" i="3" s="1"/>
  <c r="R53" i="3"/>
  <c r="S53" i="3" s="1"/>
  <c r="V53" i="3" s="1"/>
  <c r="R296" i="3"/>
  <c r="S296" i="3" s="1"/>
  <c r="V296" i="3" s="1"/>
  <c r="R471" i="3"/>
  <c r="S471" i="3" s="1"/>
  <c r="V471" i="3" s="1"/>
  <c r="R577" i="3"/>
  <c r="S577" i="3" s="1"/>
  <c r="V577" i="3" s="1"/>
  <c r="Q269" i="3"/>
  <c r="Q387" i="3"/>
  <c r="R298" i="3"/>
  <c r="S298" i="3" s="1"/>
  <c r="V298" i="3" s="1"/>
  <c r="R208" i="3"/>
  <c r="S208" i="3" s="1"/>
  <c r="V208" i="3" s="1"/>
  <c r="R83" i="3"/>
  <c r="S83" i="3" s="1"/>
  <c r="V83" i="3" s="1"/>
  <c r="R82" i="3"/>
  <c r="S82" i="3" s="1"/>
  <c r="V82" i="3" s="1"/>
  <c r="R379" i="3"/>
  <c r="S379" i="3" s="1"/>
  <c r="V379" i="3" s="1"/>
  <c r="R232" i="3"/>
  <c r="S232" i="3" s="1"/>
  <c r="V232" i="3" s="1"/>
  <c r="R450" i="3"/>
  <c r="S450" i="3" s="1"/>
  <c r="V450" i="3" s="1"/>
  <c r="R541" i="3"/>
  <c r="S541" i="3" s="1"/>
  <c r="V541" i="3" s="1"/>
  <c r="R567" i="3"/>
  <c r="S567" i="3" s="1"/>
  <c r="V567" i="3" s="1"/>
  <c r="R250" i="3"/>
  <c r="S250" i="3" s="1"/>
  <c r="V250" i="3" s="1"/>
  <c r="R87" i="3"/>
  <c r="S87" i="3" s="1"/>
  <c r="V87" i="3" s="1"/>
  <c r="R526" i="3"/>
  <c r="S526" i="3" s="1"/>
  <c r="V526" i="3" s="1"/>
  <c r="R411" i="3"/>
  <c r="S411" i="3" s="1"/>
  <c r="V411" i="3" s="1"/>
  <c r="R233" i="3"/>
  <c r="S233" i="3" s="1"/>
  <c r="V233" i="3" s="1"/>
  <c r="R519" i="3"/>
  <c r="S519" i="3" s="1"/>
  <c r="V519" i="3" s="1"/>
  <c r="R370" i="3"/>
  <c r="S370" i="3" s="1"/>
  <c r="V370" i="3" s="1"/>
  <c r="R483" i="3"/>
  <c r="S483" i="3" s="1"/>
  <c r="V483" i="3" s="1"/>
  <c r="R236" i="3"/>
  <c r="S236" i="3" s="1"/>
  <c r="V236" i="3" s="1"/>
  <c r="R98" i="3"/>
  <c r="S98" i="3" s="1"/>
  <c r="V98" i="3" s="1"/>
  <c r="R128" i="3"/>
  <c r="S128" i="3" s="1"/>
  <c r="V128" i="3" s="1"/>
  <c r="R435" i="3"/>
  <c r="S435" i="3" s="1"/>
  <c r="V435" i="3" s="1"/>
  <c r="R27" i="3"/>
  <c r="S27" i="3" s="1"/>
  <c r="V27" i="3" s="1"/>
  <c r="R300" i="3"/>
  <c r="S300" i="3" s="1"/>
  <c r="V300" i="3" s="1"/>
  <c r="R469" i="3"/>
  <c r="S469" i="3" s="1"/>
  <c r="V469" i="3" s="1"/>
  <c r="R149" i="3"/>
  <c r="S149" i="3" s="1"/>
  <c r="V149" i="3" s="1"/>
  <c r="R413" i="3"/>
  <c r="S413" i="3" s="1"/>
  <c r="V413" i="3" s="1"/>
  <c r="R148" i="3"/>
  <c r="S148" i="3" s="1"/>
  <c r="V148" i="3" s="1"/>
  <c r="R508" i="3"/>
  <c r="S508" i="3" s="1"/>
  <c r="V508" i="3" s="1"/>
  <c r="R180" i="3"/>
  <c r="S180" i="3" s="1"/>
  <c r="V180" i="3" s="1"/>
  <c r="R155" i="3"/>
  <c r="S155" i="3" s="1"/>
  <c r="V155" i="3" s="1"/>
  <c r="R527" i="3"/>
  <c r="S527" i="3" s="1"/>
  <c r="V527" i="3" s="1"/>
  <c r="R599" i="3"/>
  <c r="S599" i="3" s="1"/>
  <c r="V599" i="3" s="1"/>
  <c r="R282" i="3"/>
  <c r="S282" i="3" s="1"/>
  <c r="V282" i="3" s="1"/>
  <c r="R382" i="3"/>
  <c r="S382" i="3" s="1"/>
  <c r="V382" i="3" s="1"/>
  <c r="R499" i="3"/>
  <c r="S499" i="3" s="1"/>
  <c r="V499" i="3" s="1"/>
  <c r="R325" i="3"/>
  <c r="S325" i="3" s="1"/>
  <c r="V325" i="3" s="1"/>
  <c r="Q271" i="3"/>
  <c r="Q252" i="3"/>
  <c r="R23" i="3"/>
  <c r="S23" i="3" s="1"/>
  <c r="V23" i="3" s="1"/>
  <c r="R127" i="3"/>
  <c r="S127" i="3" s="1"/>
  <c r="V127" i="3" s="1"/>
  <c r="R431" i="3"/>
  <c r="S431" i="3" s="1"/>
  <c r="V431" i="3" s="1"/>
  <c r="R122" i="3"/>
  <c r="S122" i="3" s="1"/>
  <c r="V122" i="3" s="1"/>
  <c r="R205" i="3"/>
  <c r="S205" i="3" s="1"/>
  <c r="V205" i="3" s="1"/>
  <c r="R333" i="3"/>
  <c r="S333" i="3" s="1"/>
  <c r="V333" i="3" s="1"/>
  <c r="R304" i="3"/>
  <c r="S304" i="3" s="1"/>
  <c r="V304" i="3" s="1"/>
  <c r="R383" i="3"/>
  <c r="S383" i="3" s="1"/>
  <c r="V383" i="3" s="1"/>
  <c r="R388" i="3"/>
  <c r="S388" i="3" s="1"/>
  <c r="V388" i="3" s="1"/>
  <c r="R332" i="3"/>
  <c r="S332" i="3" s="1"/>
  <c r="V332" i="3" s="1"/>
  <c r="R288" i="3"/>
  <c r="S288" i="3" s="1"/>
  <c r="V288" i="3" s="1"/>
  <c r="R8" i="3"/>
  <c r="S8" i="3" s="1"/>
  <c r="V8" i="3" s="1"/>
  <c r="R398" i="3"/>
  <c r="S398" i="3" s="1"/>
  <c r="V398" i="3" s="1"/>
  <c r="R284" i="3"/>
  <c r="S284" i="3" s="1"/>
  <c r="V284" i="3" s="1"/>
  <c r="R153" i="3"/>
  <c r="S153" i="3" s="1"/>
  <c r="V153" i="3" s="1"/>
  <c r="R351" i="3"/>
  <c r="S351" i="3" s="1"/>
  <c r="V351" i="3" s="1"/>
  <c r="R209" i="3"/>
  <c r="S209" i="3" s="1"/>
  <c r="V209" i="3" s="1"/>
  <c r="R548" i="3"/>
  <c r="S548" i="3" s="1"/>
  <c r="V548" i="3" s="1"/>
  <c r="R28" i="3"/>
  <c r="S28" i="3" s="1"/>
  <c r="V28" i="3" s="1"/>
  <c r="R251" i="3"/>
  <c r="S251" i="3" s="1"/>
  <c r="Q579" i="3"/>
  <c r="R4" i="3"/>
  <c r="S4" i="3" s="1"/>
  <c r="V4" i="3" s="1"/>
  <c r="R318" i="3"/>
  <c r="S318" i="3" s="1"/>
  <c r="V318" i="3" s="1"/>
  <c r="R600" i="3"/>
  <c r="S600" i="3" s="1"/>
  <c r="V600" i="3" s="1"/>
  <c r="R551" i="3"/>
  <c r="S551" i="3" s="1"/>
  <c r="V551" i="3" s="1"/>
  <c r="R278" i="3"/>
  <c r="S278" i="3" s="1"/>
  <c r="V278" i="3" s="1"/>
  <c r="R48" i="3"/>
  <c r="S48" i="3" s="1"/>
  <c r="V48" i="3" s="1"/>
  <c r="R59" i="3"/>
  <c r="S59" i="3" s="1"/>
  <c r="V59" i="3" s="1"/>
  <c r="R373" i="3"/>
  <c r="S373" i="3" s="1"/>
  <c r="V373" i="3" s="1"/>
  <c r="R247" i="3"/>
  <c r="S247" i="3" s="1"/>
  <c r="V247" i="3" s="1"/>
  <c r="R473" i="3"/>
  <c r="S473" i="3" s="1"/>
  <c r="V473" i="3" s="1"/>
  <c r="R141" i="3"/>
  <c r="S141" i="3" s="1"/>
  <c r="V141" i="3" s="1"/>
  <c r="R418" i="3"/>
  <c r="S418" i="3" s="1"/>
  <c r="V418" i="3" s="1"/>
  <c r="R216" i="3"/>
  <c r="S216" i="3" s="1"/>
  <c r="V216" i="3" s="1"/>
  <c r="R430" i="3"/>
  <c r="S430" i="3" s="1"/>
  <c r="V430" i="3" s="1"/>
  <c r="R297" i="3"/>
  <c r="S297" i="3" s="1"/>
  <c r="V297" i="3" s="1"/>
  <c r="R338" i="3"/>
  <c r="S338" i="3" s="1"/>
  <c r="V338" i="3" s="1"/>
  <c r="R237" i="3"/>
  <c r="S237" i="3" s="1"/>
  <c r="V237" i="3" s="1"/>
  <c r="R540" i="3"/>
  <c r="S540" i="3" s="1"/>
  <c r="V540" i="3" s="1"/>
  <c r="R262" i="3"/>
  <c r="S262" i="3" s="1"/>
  <c r="V262" i="3" s="1"/>
  <c r="R415" i="3"/>
  <c r="S415" i="3" s="1"/>
  <c r="V415" i="3" s="1"/>
  <c r="R397" i="3"/>
  <c r="S397" i="3" s="1"/>
  <c r="V397" i="3" s="1"/>
  <c r="R422" i="3"/>
  <c r="S422" i="3" s="1"/>
  <c r="V422" i="3" s="1"/>
  <c r="Q573" i="3"/>
  <c r="Q315" i="3"/>
  <c r="Q102" i="3"/>
  <c r="R19" i="3"/>
  <c r="S19" i="3" s="1"/>
  <c r="V19" i="3" s="1"/>
  <c r="R550" i="3"/>
  <c r="S550" i="3" s="1"/>
  <c r="V550" i="3" s="1"/>
  <c r="R436" i="3"/>
  <c r="S436" i="3" s="1"/>
  <c r="V436" i="3" s="1"/>
  <c r="R439" i="3"/>
  <c r="S439" i="3" s="1"/>
  <c r="V439" i="3" s="1"/>
  <c r="R474" i="3"/>
  <c r="S474" i="3" s="1"/>
  <c r="V474" i="3" s="1"/>
  <c r="R293" i="3"/>
  <c r="S293" i="3" s="1"/>
  <c r="V293" i="3" s="1"/>
  <c r="R188" i="3"/>
  <c r="S188" i="3" s="1"/>
  <c r="V188" i="3" s="1"/>
  <c r="R66" i="3"/>
  <c r="S66" i="3" s="1"/>
  <c r="V66" i="3" s="1"/>
  <c r="R104" i="3"/>
  <c r="S104" i="3" s="1"/>
  <c r="V104" i="3" s="1"/>
  <c r="R246" i="3"/>
  <c r="S246" i="3" s="1"/>
  <c r="V246" i="3" s="1"/>
  <c r="R532" i="3"/>
  <c r="S532" i="3" s="1"/>
  <c r="V532" i="3" s="1"/>
  <c r="R15" i="3"/>
  <c r="S15" i="3" s="1"/>
  <c r="V15" i="3" s="1"/>
  <c r="R326" i="3"/>
  <c r="S326" i="3" s="1"/>
  <c r="V326" i="3" s="1"/>
  <c r="R479" i="3"/>
  <c r="S479" i="3" s="1"/>
  <c r="V479" i="3" s="1"/>
  <c r="R504" i="3"/>
  <c r="S504" i="3" s="1"/>
  <c r="V504" i="3" s="1"/>
  <c r="R556" i="3"/>
  <c r="S556" i="3" s="1"/>
  <c r="V556" i="3" s="1"/>
  <c r="R459" i="3"/>
  <c r="S459" i="3" s="1"/>
  <c r="V459" i="3" s="1"/>
  <c r="R191" i="3"/>
  <c r="S191" i="3" s="1"/>
  <c r="V191" i="3" s="1"/>
  <c r="R35" i="3"/>
  <c r="S35" i="3" s="1"/>
  <c r="V35" i="3" s="1"/>
  <c r="R103" i="3"/>
  <c r="S103" i="3" s="1"/>
  <c r="V103" i="3" s="1"/>
  <c r="R286" i="3"/>
  <c r="S286" i="3" s="1"/>
  <c r="V286" i="3" s="1"/>
  <c r="R157" i="3"/>
  <c r="S157" i="3" s="1"/>
  <c r="V157" i="3" s="1"/>
  <c r="R194" i="3"/>
  <c r="S194" i="3" s="1"/>
  <c r="V194" i="3" s="1"/>
  <c r="R291" i="3"/>
  <c r="S291" i="3" s="1"/>
  <c r="V291" i="3" s="1"/>
  <c r="R374" i="3"/>
  <c r="S374" i="3" s="1"/>
  <c r="V374" i="3" s="1"/>
  <c r="R67" i="3"/>
  <c r="S67" i="3" s="1"/>
  <c r="V67" i="3" s="1"/>
  <c r="Q2" i="3"/>
  <c r="R405" i="3"/>
  <c r="S405" i="3" s="1"/>
  <c r="V405" i="3" s="1"/>
  <c r="R151" i="3"/>
  <c r="S151" i="3" s="1"/>
  <c r="V151" i="3" s="1"/>
  <c r="R294" i="3"/>
  <c r="S294" i="3" s="1"/>
  <c r="V294" i="3" s="1"/>
  <c r="R168" i="3"/>
  <c r="S168" i="3" s="1"/>
  <c r="V168" i="3" s="1"/>
  <c r="R460" i="3"/>
  <c r="S460" i="3" s="1"/>
  <c r="V460" i="3" s="1"/>
  <c r="R147" i="3"/>
  <c r="S147" i="3" s="1"/>
  <c r="V147" i="3" s="1"/>
  <c r="R543" i="3"/>
  <c r="S543" i="3" s="1"/>
  <c r="V543" i="3" s="1"/>
  <c r="R92" i="3"/>
  <c r="S92" i="3" s="1"/>
  <c r="V92" i="3" s="1"/>
  <c r="Q243" i="3"/>
  <c r="R539" i="3"/>
  <c r="S539" i="3" s="1"/>
  <c r="V539" i="3" s="1"/>
  <c r="R547" i="3"/>
  <c r="S547" i="3" s="1"/>
  <c r="V547" i="3" s="1"/>
  <c r="R226" i="3"/>
  <c r="S226" i="3" s="1"/>
  <c r="V226" i="3" s="1"/>
  <c r="R58" i="3"/>
  <c r="S58" i="3" s="1"/>
  <c r="V58" i="3" s="1"/>
  <c r="R292" i="3"/>
  <c r="S292" i="3" s="1"/>
  <c r="V292" i="3" s="1"/>
  <c r="R235" i="3"/>
  <c r="S235" i="3" s="1"/>
  <c r="V235" i="3" s="1"/>
  <c r="R13" i="3"/>
  <c r="S13" i="3" s="1"/>
  <c r="V13" i="3" s="1"/>
  <c r="R558" i="3"/>
  <c r="S558" i="3" s="1"/>
  <c r="V558" i="3" s="1"/>
  <c r="R143" i="3"/>
  <c r="S143" i="3" s="1"/>
  <c r="V143" i="3" s="1"/>
  <c r="R299" i="3"/>
  <c r="S299" i="3" s="1"/>
  <c r="V299" i="3" s="1"/>
  <c r="Q317" i="3"/>
  <c r="Q158" i="3"/>
  <c r="Q485" i="3"/>
  <c r="R590" i="3"/>
  <c r="S590" i="3" s="1"/>
  <c r="V590" i="3" s="1"/>
  <c r="R417" i="3"/>
  <c r="S417" i="3" s="1"/>
  <c r="V417" i="3" s="1"/>
  <c r="R171" i="3"/>
  <c r="S171" i="3" s="1"/>
  <c r="V171" i="3" s="1"/>
  <c r="R329" i="3"/>
  <c r="S329" i="3" s="1"/>
  <c r="V329" i="3" s="1"/>
  <c r="R260" i="3"/>
  <c r="S260" i="3" s="1"/>
  <c r="V260" i="3" s="1"/>
  <c r="R264" i="3"/>
  <c r="S264" i="3" s="1"/>
  <c r="V264" i="3" s="1"/>
  <c r="R78" i="3"/>
  <c r="S78" i="3" s="1"/>
  <c r="V78" i="3" s="1"/>
  <c r="R272" i="3"/>
  <c r="S272" i="3" s="1"/>
  <c r="V272" i="3" s="1"/>
  <c r="R594" i="3"/>
  <c r="S594" i="3" s="1"/>
  <c r="V594" i="3" s="1"/>
  <c r="R343" i="3"/>
  <c r="S343" i="3" s="1"/>
  <c r="V343" i="3" s="1"/>
  <c r="R11" i="3"/>
  <c r="S11" i="3" s="1"/>
  <c r="V11" i="3" s="1"/>
  <c r="R146" i="3"/>
  <c r="S146" i="3" s="1"/>
  <c r="V146" i="3" s="1"/>
  <c r="R238" i="3"/>
  <c r="S238" i="3" s="1"/>
  <c r="V238" i="3" s="1"/>
  <c r="R359" i="3"/>
  <c r="S359" i="3" s="1"/>
  <c r="V359" i="3" s="1"/>
  <c r="R502" i="3"/>
  <c r="S502" i="3" s="1"/>
  <c r="V502" i="3" s="1"/>
  <c r="R199" i="3"/>
  <c r="S199" i="3" s="1"/>
  <c r="V199" i="3" s="1"/>
  <c r="R54" i="3"/>
  <c r="S54" i="3" s="1"/>
  <c r="V54" i="3" s="1"/>
  <c r="R212" i="3"/>
  <c r="S212" i="3" s="1"/>
  <c r="V212" i="3" s="1"/>
  <c r="R285" i="3"/>
  <c r="S285" i="3" s="1"/>
  <c r="V285" i="3" s="1"/>
  <c r="R20" i="3"/>
  <c r="S20" i="3" s="1"/>
  <c r="V20" i="3" s="1"/>
  <c r="R268" i="3"/>
  <c r="S268" i="3" s="1"/>
  <c r="V268" i="3" s="1"/>
  <c r="R6" i="3"/>
  <c r="S6" i="3" s="1"/>
  <c r="V6" i="3" s="1"/>
  <c r="R276" i="3"/>
  <c r="S276" i="3" s="1"/>
  <c r="V276" i="3" s="1"/>
  <c r="R114" i="3"/>
  <c r="S114" i="3" s="1"/>
  <c r="V114" i="3" s="1"/>
  <c r="R162" i="3"/>
  <c r="S162" i="3" s="1"/>
  <c r="V162" i="3" s="1"/>
  <c r="R575" i="3"/>
  <c r="S575" i="3" s="1"/>
  <c r="V575" i="3" s="1"/>
  <c r="R69" i="3"/>
  <c r="S69" i="3" s="1"/>
  <c r="V69" i="3" s="1"/>
  <c r="R516" i="3"/>
  <c r="S516" i="3" s="1"/>
  <c r="V516" i="3" s="1"/>
  <c r="R498" i="3"/>
  <c r="S498" i="3" s="1"/>
  <c r="V498" i="3" s="1"/>
  <c r="R463" i="3"/>
  <c r="S463" i="3" s="1"/>
  <c r="V463" i="3" s="1"/>
  <c r="R348" i="3"/>
  <c r="S348" i="3" s="1"/>
  <c r="V348" i="3" s="1"/>
  <c r="R174" i="3"/>
  <c r="S174" i="3" s="1"/>
  <c r="V174" i="3" s="1"/>
  <c r="R197" i="3"/>
  <c r="S197" i="3" s="1"/>
  <c r="V197" i="3" s="1"/>
  <c r="R99" i="3"/>
  <c r="S99" i="3" s="1"/>
  <c r="V99" i="3" s="1"/>
  <c r="R355" i="3"/>
  <c r="S355" i="3" s="1"/>
  <c r="V355" i="3" s="1"/>
  <c r="R126" i="3"/>
  <c r="S126" i="3" s="1"/>
  <c r="V126" i="3" s="1"/>
  <c r="R466" i="3"/>
  <c r="S466" i="3" s="1"/>
  <c r="V466" i="3" s="1"/>
  <c r="R29" i="3"/>
  <c r="S29" i="3" s="1"/>
  <c r="V29" i="3" s="1"/>
  <c r="R500" i="3"/>
  <c r="S500" i="3" s="1"/>
  <c r="V500" i="3" s="1"/>
  <c r="R487" i="3"/>
  <c r="S487" i="3" s="1"/>
  <c r="V487" i="3" s="1"/>
  <c r="R255" i="3"/>
  <c r="S255" i="3" s="1"/>
  <c r="V255" i="3" s="1"/>
  <c r="R117" i="3"/>
  <c r="S117" i="3" s="1"/>
  <c r="V117" i="3" s="1"/>
  <c r="R159" i="3"/>
  <c r="S159" i="3" s="1"/>
  <c r="V159" i="3" s="1"/>
  <c r="R514" i="3"/>
  <c r="S514" i="3" s="1"/>
  <c r="V514" i="3" s="1"/>
  <c r="R283" i="3"/>
  <c r="S283" i="3" s="1"/>
  <c r="V283" i="3" s="1"/>
  <c r="R591" i="3"/>
  <c r="S591" i="3" s="1"/>
  <c r="V591" i="3" s="1"/>
  <c r="R131" i="3"/>
  <c r="S131" i="3" s="1"/>
  <c r="V131" i="3" s="1"/>
  <c r="R253" i="3"/>
  <c r="S253" i="3" s="1"/>
  <c r="V253" i="3" s="1"/>
  <c r="R507" i="3"/>
  <c r="S507" i="3" s="1"/>
  <c r="V507" i="3" s="1"/>
  <c r="R60" i="3"/>
  <c r="S60" i="3" s="1"/>
  <c r="V60" i="3" s="1"/>
  <c r="R266" i="3"/>
  <c r="S266" i="3" s="1"/>
  <c r="V266" i="3" s="1"/>
  <c r="R125" i="3"/>
  <c r="S125" i="3" s="1"/>
  <c r="V125" i="3" s="1"/>
  <c r="R109" i="3"/>
  <c r="S109" i="3" s="1"/>
  <c r="V109" i="3" s="1"/>
  <c r="R234" i="3"/>
  <c r="S234" i="3" s="1"/>
  <c r="V234" i="3" s="1"/>
  <c r="R21" i="3"/>
  <c r="S21" i="3" s="1"/>
  <c r="V21" i="3" s="1"/>
  <c r="R200" i="3"/>
  <c r="S200" i="3" s="1"/>
  <c r="V200" i="3" s="1"/>
  <c r="R311" i="3"/>
  <c r="S311" i="3" s="1"/>
  <c r="V311" i="3" s="1"/>
  <c r="R244" i="3"/>
  <c r="S244" i="3" s="1"/>
  <c r="V244" i="3" s="1"/>
  <c r="R535" i="3"/>
  <c r="S535" i="3" s="1"/>
  <c r="V535" i="3" s="1"/>
  <c r="R453" i="3"/>
  <c r="S453" i="3" s="1"/>
  <c r="V453" i="3" s="1"/>
  <c r="R406" i="3"/>
  <c r="S406" i="3" s="1"/>
  <c r="V406" i="3" s="1"/>
  <c r="R495" i="3"/>
  <c r="S495" i="3" s="1"/>
  <c r="V495" i="3" s="1"/>
  <c r="R90" i="3"/>
  <c r="S90" i="3" s="1"/>
  <c r="V90" i="3" s="1"/>
  <c r="R523" i="3"/>
  <c r="S523" i="3" s="1"/>
  <c r="V523" i="3" s="1"/>
  <c r="R375" i="3"/>
  <c r="S375" i="3" s="1"/>
  <c r="V375" i="3" s="1"/>
  <c r="R339" i="3"/>
  <c r="S339" i="3" s="1"/>
  <c r="V339" i="3" s="1"/>
  <c r="R423" i="3"/>
  <c r="S423" i="3" s="1"/>
  <c r="V423" i="3" s="1"/>
  <c r="R438" i="3"/>
  <c r="S438" i="3" s="1"/>
  <c r="V438" i="3" s="1"/>
  <c r="R308" i="3"/>
  <c r="S308" i="3" s="1"/>
  <c r="V308" i="3" s="1"/>
  <c r="R347" i="3"/>
  <c r="S347" i="3" s="1"/>
  <c r="V347" i="3" s="1"/>
  <c r="R245" i="3"/>
  <c r="S245" i="3" s="1"/>
  <c r="V245" i="3" s="1"/>
  <c r="R181" i="3"/>
  <c r="S181" i="3" s="1"/>
  <c r="V181" i="3" s="1"/>
  <c r="R91" i="3"/>
  <c r="S91" i="3" s="1"/>
  <c r="V91" i="3" s="1"/>
  <c r="R225" i="3"/>
  <c r="S225" i="3" s="1"/>
  <c r="V225" i="3" s="1"/>
  <c r="R602" i="3"/>
  <c r="S602" i="3" s="1"/>
  <c r="V602" i="3" s="1"/>
  <c r="R563" i="3"/>
  <c r="S563" i="3" s="1"/>
  <c r="V563" i="3" s="1"/>
  <c r="R581" i="3"/>
  <c r="S581" i="3" s="1"/>
  <c r="V581" i="3" s="1"/>
  <c r="R582" i="3"/>
  <c r="S582" i="3" s="1"/>
  <c r="V582" i="3" s="1"/>
  <c r="Q301" i="3"/>
  <c r="Q399" i="3"/>
  <c r="Q47" i="3"/>
  <c r="R47" i="3"/>
  <c r="S47" i="3" s="1"/>
  <c r="V47" i="3" s="1"/>
  <c r="R133" i="3"/>
  <c r="S133" i="3" s="1"/>
  <c r="V133" i="3" s="1"/>
  <c r="R391" i="3"/>
  <c r="S391" i="3" s="1"/>
  <c r="V391" i="3" s="1"/>
  <c r="R505" i="3"/>
  <c r="S505" i="3" s="1"/>
  <c r="V505" i="3" s="1"/>
  <c r="R130" i="3"/>
  <c r="S130" i="3" s="1"/>
  <c r="V130" i="3" s="1"/>
  <c r="R7" i="3"/>
  <c r="S7" i="3" s="1"/>
  <c r="V7" i="3" s="1"/>
  <c r="Q363" i="3"/>
  <c r="Q559" i="3"/>
  <c r="Q564" i="3"/>
  <c r="Q30" i="3"/>
  <c r="Q198" i="3"/>
  <c r="Q429" i="3"/>
  <c r="Q70" i="3"/>
  <c r="R259" i="3"/>
  <c r="S259" i="3" s="1"/>
  <c r="V259" i="3" s="1"/>
  <c r="R492" i="3"/>
  <c r="S492" i="3" s="1"/>
  <c r="V492" i="3" s="1"/>
  <c r="R322" i="3"/>
  <c r="S322" i="3" s="1"/>
  <c r="V322" i="3" s="1"/>
  <c r="R571" i="3"/>
  <c r="S571" i="3" s="1"/>
  <c r="V571" i="3" s="1"/>
  <c r="R574" i="3"/>
  <c r="S574" i="3" s="1"/>
  <c r="V574" i="3" s="1"/>
  <c r="R451" i="3"/>
  <c r="S451" i="3" s="1"/>
  <c r="V451" i="3" s="1"/>
  <c r="R533" i="3"/>
  <c r="S533" i="3" s="1"/>
  <c r="V533" i="3" s="1"/>
  <c r="R176" i="3"/>
  <c r="S176" i="3" s="1"/>
  <c r="V176" i="3" s="1"/>
  <c r="R395" i="3"/>
  <c r="S395" i="3" s="1"/>
  <c r="V395" i="3" s="1"/>
  <c r="R63" i="3"/>
  <c r="S63" i="3" s="1"/>
  <c r="V63" i="3" s="1"/>
  <c r="R68" i="3"/>
  <c r="S68" i="3" s="1"/>
  <c r="V68" i="3" s="1"/>
  <c r="R378" i="3"/>
  <c r="S378" i="3" s="1"/>
  <c r="V378" i="3" s="1"/>
  <c r="R43" i="3"/>
  <c r="S43" i="3" s="1"/>
  <c r="V43" i="3" s="1"/>
  <c r="R455" i="3"/>
  <c r="S455" i="3" s="1"/>
  <c r="V455" i="3" s="1"/>
  <c r="R206" i="3"/>
  <c r="S206" i="3" s="1"/>
  <c r="V206" i="3" s="1"/>
  <c r="R116" i="3"/>
  <c r="S116" i="3" s="1"/>
  <c r="V116" i="3" s="1"/>
  <c r="R446" i="3"/>
  <c r="S446" i="3" s="1"/>
  <c r="V446" i="3" s="1"/>
  <c r="R501" i="3"/>
  <c r="S501" i="3" s="1"/>
  <c r="V501" i="3" s="1"/>
  <c r="R566" i="3"/>
  <c r="S566" i="3" s="1"/>
  <c r="V566" i="3" s="1"/>
  <c r="R427" i="3"/>
  <c r="S427" i="3" s="1"/>
  <c r="V427" i="3" s="1"/>
  <c r="R461" i="3"/>
  <c r="S461" i="3" s="1"/>
  <c r="V461" i="3" s="1"/>
  <c r="R242" i="3"/>
  <c r="S242" i="3" s="1"/>
  <c r="V242" i="3" s="1"/>
  <c r="R261" i="3"/>
  <c r="S261" i="3" s="1"/>
  <c r="V261" i="3" s="1"/>
  <c r="R513" i="3"/>
  <c r="S513" i="3" s="1"/>
  <c r="V513" i="3" s="1"/>
  <c r="R503" i="3"/>
  <c r="S503" i="3" s="1"/>
  <c r="V503" i="3" s="1"/>
  <c r="R223" i="3"/>
  <c r="S223" i="3" s="1"/>
  <c r="V223" i="3" s="1"/>
  <c r="R402" i="3"/>
  <c r="S402" i="3" s="1"/>
  <c r="V402" i="3" s="1"/>
  <c r="R172" i="3"/>
  <c r="S172" i="3" s="1"/>
  <c r="V172" i="3" s="1"/>
  <c r="R491" i="3"/>
  <c r="S491" i="3" s="1"/>
  <c r="V491" i="3" s="1"/>
  <c r="Q55" i="3"/>
  <c r="Q412" i="3"/>
  <c r="Q525" i="3"/>
  <c r="Q195" i="3"/>
  <c r="Q85" i="3"/>
  <c r="Q331" i="3"/>
  <c r="Q222" i="3"/>
  <c r="Q493" i="3"/>
  <c r="Q587" i="3"/>
  <c r="R587" i="3"/>
  <c r="S587" i="3" s="1"/>
  <c r="V587" i="3" s="1"/>
  <c r="R589" i="3"/>
  <c r="S589" i="3" s="1"/>
  <c r="V589" i="3" s="1"/>
  <c r="R138" i="3"/>
  <c r="S138" i="3" s="1"/>
  <c r="V138" i="3" s="1"/>
  <c r="R220" i="3"/>
  <c r="S220" i="3" s="1"/>
  <c r="V220" i="3" s="1"/>
  <c r="R323" i="3"/>
  <c r="S323" i="3" s="1"/>
  <c r="V323" i="3" s="1"/>
  <c r="R267" i="3"/>
  <c r="S267" i="3" s="1"/>
  <c r="V267" i="3" s="1"/>
  <c r="R421" i="3"/>
  <c r="S421" i="3" s="1"/>
  <c r="V421" i="3" s="1"/>
  <c r="R515" i="3"/>
  <c r="S515" i="3" s="1"/>
  <c r="V515" i="3" s="1"/>
  <c r="R187" i="3"/>
  <c r="S187" i="3" s="1"/>
  <c r="V187" i="3" s="1"/>
  <c r="R557" i="3"/>
  <c r="S557" i="3" s="1"/>
  <c r="V557" i="3" s="1"/>
  <c r="R583" i="3"/>
  <c r="S583" i="3" s="1"/>
  <c r="V583" i="3" s="1"/>
  <c r="R227" i="3"/>
  <c r="S227" i="3" s="1"/>
  <c r="V227" i="3" s="1"/>
  <c r="R170" i="3"/>
  <c r="S170" i="3" s="1"/>
  <c r="V170" i="3" s="1"/>
  <c r="R108" i="3"/>
  <c r="S108" i="3" s="1"/>
  <c r="V108" i="3" s="1"/>
  <c r="R555" i="3"/>
  <c r="S555" i="3" s="1"/>
  <c r="V555" i="3" s="1"/>
  <c r="R389" i="3"/>
  <c r="S389" i="3" s="1"/>
  <c r="V389" i="3" s="1"/>
  <c r="R218" i="3"/>
  <c r="S218" i="3" s="1"/>
  <c r="V218" i="3" s="1"/>
  <c r="R257" i="3"/>
  <c r="S257" i="3" s="1"/>
  <c r="V257" i="3" s="1"/>
  <c r="R372" i="3"/>
  <c r="S372" i="3" s="1"/>
  <c r="V372" i="3" s="1"/>
  <c r="R482" i="3"/>
  <c r="S482" i="3" s="1"/>
  <c r="V482" i="3" s="1"/>
  <c r="R31" i="3"/>
  <c r="S31" i="3" s="1"/>
  <c r="V31" i="3" s="1"/>
  <c r="R96" i="3"/>
  <c r="S96" i="3" s="1"/>
  <c r="V96" i="3" s="1"/>
  <c r="R161" i="3"/>
  <c r="S161" i="3" s="1"/>
  <c r="V161" i="3" s="1"/>
  <c r="R163" i="3"/>
  <c r="S163" i="3" s="1"/>
  <c r="V163" i="3" s="1"/>
  <c r="R335" i="3"/>
  <c r="S335" i="3" s="1"/>
  <c r="V335" i="3" s="1"/>
  <c r="R186" i="3"/>
  <c r="S186" i="3" s="1"/>
  <c r="V186" i="3" s="1"/>
  <c r="R164" i="3"/>
  <c r="S164" i="3" s="1"/>
  <c r="V164" i="3" s="1"/>
  <c r="R476" i="3"/>
  <c r="S476" i="3" s="1"/>
  <c r="V476" i="3" s="1"/>
  <c r="R160" i="3"/>
  <c r="S160" i="3" s="1"/>
  <c r="V160" i="3" s="1"/>
  <c r="T426" i="3"/>
  <c r="T424" i="3"/>
  <c r="T55" i="3"/>
  <c r="T254" i="3"/>
  <c r="T412" i="3"/>
  <c r="T525" i="3"/>
  <c r="T195" i="3"/>
  <c r="T579" i="3"/>
  <c r="T230" i="3"/>
  <c r="T85" i="3"/>
  <c r="T331" i="3"/>
  <c r="T222" i="3"/>
  <c r="T50" i="3"/>
  <c r="T452" i="3"/>
  <c r="T493" i="3"/>
  <c r="T362" i="3"/>
  <c r="T522" i="3"/>
  <c r="T592" i="3"/>
  <c r="T384" i="3"/>
  <c r="T317" i="3"/>
  <c r="T37" i="3"/>
  <c r="T315" i="3"/>
  <c r="T166" i="3"/>
  <c r="T271" i="3"/>
  <c r="T158" i="3"/>
  <c r="T252" i="3"/>
  <c r="T554" i="3"/>
  <c r="T360" i="3"/>
  <c r="T584" i="3"/>
  <c r="T586" i="3"/>
  <c r="T552" i="3"/>
  <c r="T490" i="3"/>
  <c r="T576" i="3"/>
  <c r="T336" i="3"/>
  <c r="T312" i="3"/>
  <c r="T270" i="3"/>
  <c r="T18" i="3"/>
  <c r="T102" i="3"/>
  <c r="T134" i="3"/>
  <c r="T243" i="3"/>
  <c r="T94" i="3"/>
  <c r="T179" i="3"/>
  <c r="T485" i="3"/>
  <c r="T301" i="3"/>
  <c r="T399" i="3"/>
  <c r="T458" i="3"/>
  <c r="T528" i="3"/>
  <c r="T544" i="3"/>
  <c r="T560" i="3"/>
  <c r="T363" i="3"/>
  <c r="T573" i="3"/>
  <c r="T62" i="3"/>
  <c r="T368" i="3"/>
  <c r="T269" i="3"/>
  <c r="T221" i="3"/>
  <c r="T387" i="3"/>
  <c r="T559" i="3"/>
  <c r="T448" i="3"/>
  <c r="T564" i="3"/>
  <c r="T30" i="3"/>
  <c r="T198" i="3"/>
  <c r="T429" i="3"/>
  <c r="T70" i="3"/>
  <c r="S593" i="3"/>
  <c r="V593" i="3" s="1"/>
  <c r="S440" i="3"/>
  <c r="V440" i="3" s="1"/>
  <c r="S521" i="3"/>
  <c r="V521" i="3" s="1"/>
  <c r="S201" i="3"/>
  <c r="V201" i="3" s="1"/>
  <c r="S537" i="3"/>
  <c r="V537" i="3" s="1"/>
  <c r="S289" i="3"/>
  <c r="V289" i="3" s="1"/>
  <c r="S545" i="3"/>
  <c r="V545" i="3" s="1"/>
  <c r="S150" i="3"/>
  <c r="V150" i="3" s="1"/>
  <c r="S442" i="3"/>
  <c r="V442" i="3" s="1"/>
  <c r="S390" i="3"/>
  <c r="V390" i="3" s="1"/>
  <c r="S81" i="3"/>
  <c r="V81" i="3" s="1"/>
  <c r="S530" i="3"/>
  <c r="V530" i="3" s="1"/>
  <c r="S34" i="3"/>
  <c r="V34" i="3" s="1"/>
  <c r="S192" i="3"/>
  <c r="V192" i="3" s="1"/>
  <c r="S56" i="3"/>
  <c r="V56" i="3" s="1"/>
  <c r="S121" i="3"/>
  <c r="V121" i="3" s="1"/>
  <c r="S433" i="3"/>
  <c r="V433" i="3" s="1"/>
  <c r="S177" i="3"/>
  <c r="V177" i="3" s="1"/>
  <c r="S248" i="3"/>
  <c r="V248" i="3" s="1"/>
  <c r="S400" i="3"/>
  <c r="V400" i="3" s="1"/>
  <c r="S369" i="3"/>
  <c r="V369" i="3" s="1"/>
  <c r="S185" i="3"/>
  <c r="V185" i="3" s="1"/>
  <c r="S401" i="3"/>
  <c r="V401" i="3" s="1"/>
  <c r="S113" i="3"/>
  <c r="V113" i="3" s="1"/>
  <c r="S542" i="3"/>
  <c r="V542" i="3" s="1"/>
  <c r="S345" i="3"/>
  <c r="V345" i="3" s="1"/>
  <c r="S434" i="3"/>
  <c r="V434" i="3" s="1"/>
  <c r="S393" i="3"/>
  <c r="V393" i="3" s="1"/>
  <c r="S361" i="3"/>
  <c r="V361" i="3" s="1"/>
  <c r="S33" i="3"/>
  <c r="V33" i="3" s="1"/>
  <c r="S480" i="3"/>
  <c r="V480" i="3" s="1"/>
  <c r="S578" i="3"/>
  <c r="V578" i="3" s="1"/>
  <c r="S249" i="3"/>
  <c r="V249" i="3" s="1"/>
  <c r="S392" i="3"/>
  <c r="V392" i="3" s="1"/>
  <c r="S454" i="3"/>
  <c r="V454" i="3" s="1"/>
  <c r="S394" i="3"/>
  <c r="V394" i="3" s="1"/>
  <c r="S352" i="3"/>
  <c r="V352" i="3" s="1"/>
  <c r="S456" i="3"/>
  <c r="V456" i="3" s="1"/>
  <c r="S464" i="3"/>
  <c r="V464" i="3" s="1"/>
  <c r="S184" i="3"/>
  <c r="V184" i="3" s="1"/>
  <c r="S470" i="3"/>
  <c r="V470" i="3" s="1"/>
  <c r="S193" i="3"/>
  <c r="V193" i="3" s="1"/>
  <c r="S97" i="3"/>
  <c r="V97" i="3" s="1"/>
  <c r="S152" i="3"/>
  <c r="V152" i="3" s="1"/>
  <c r="S416" i="3"/>
  <c r="V416" i="3" s="1"/>
  <c r="S144" i="3"/>
  <c r="V144" i="3" s="1"/>
  <c r="S241" i="3"/>
  <c r="V241" i="3" s="1"/>
  <c r="S310" i="3"/>
  <c r="V310" i="3" s="1"/>
  <c r="S506" i="3"/>
  <c r="V506" i="3" s="1"/>
  <c r="S409" i="3"/>
  <c r="V409" i="3" s="1"/>
  <c r="S145" i="3"/>
  <c r="V145" i="3" s="1"/>
  <c r="S22" i="3"/>
  <c r="V22" i="3" s="1"/>
  <c r="S41" i="3"/>
  <c r="V41" i="3" s="1"/>
  <c r="S366" i="3"/>
  <c r="V366" i="3" s="1"/>
  <c r="S457" i="3"/>
  <c r="V457" i="3" s="1"/>
  <c r="S240" i="3"/>
  <c r="V240" i="3" s="1"/>
  <c r="S320" i="3"/>
  <c r="V320" i="3" s="1"/>
  <c r="S313" i="3"/>
  <c r="V313" i="3" s="1"/>
  <c r="S569" i="3"/>
  <c r="V569" i="3" s="1"/>
  <c r="S265" i="3"/>
  <c r="V265" i="3" s="1"/>
  <c r="S328" i="3"/>
  <c r="V328" i="3" s="1"/>
  <c r="S32" i="3"/>
  <c r="V32" i="3" s="1"/>
  <c r="S280" i="3"/>
  <c r="V280" i="3" s="1"/>
  <c r="S64" i="3"/>
  <c r="V64" i="3" s="1"/>
  <c r="S449" i="3"/>
  <c r="V449" i="3" s="1"/>
  <c r="S10" i="3"/>
  <c r="V10" i="3" s="1"/>
  <c r="S486" i="3"/>
  <c r="V486" i="3" s="1"/>
  <c r="S26" i="3"/>
  <c r="V26" i="3" s="1"/>
  <c r="S305" i="3"/>
  <c r="V305" i="3" s="1"/>
  <c r="S561" i="3"/>
  <c r="V561" i="3" s="1"/>
  <c r="S136" i="3"/>
  <c r="V136" i="3" s="1"/>
  <c r="S16" i="3"/>
  <c r="V16" i="3" s="1"/>
  <c r="S512" i="3"/>
  <c r="V512" i="3" s="1"/>
  <c r="S342" i="3"/>
  <c r="V342" i="3" s="1"/>
  <c r="S273" i="3"/>
  <c r="V273" i="3" s="1"/>
  <c r="S529" i="3"/>
  <c r="V529" i="3" s="1"/>
  <c r="S306" i="3"/>
  <c r="V306" i="3" s="1"/>
  <c r="S432" i="3"/>
  <c r="V432" i="3" s="1"/>
  <c r="S73" i="3"/>
  <c r="V73" i="3" s="1"/>
  <c r="S414" i="3"/>
  <c r="V414" i="3" s="1"/>
  <c r="S314" i="3"/>
  <c r="V314" i="3" s="1"/>
  <c r="S89" i="3"/>
  <c r="V89" i="3" s="1"/>
  <c r="S481" i="3"/>
  <c r="V481" i="3" s="1"/>
  <c r="S214" i="3"/>
  <c r="V214" i="3" s="1"/>
  <c r="S386" i="3"/>
  <c r="V386" i="3" s="1"/>
  <c r="S489" i="3"/>
  <c r="V489" i="3" s="1"/>
  <c r="S377" i="3"/>
  <c r="V377" i="3" s="1"/>
  <c r="S65" i="3"/>
  <c r="V65" i="3" s="1"/>
  <c r="S118" i="3"/>
  <c r="V118" i="3" s="1"/>
  <c r="S570" i="3"/>
  <c r="V570" i="3" s="1"/>
  <c r="S330" i="3"/>
  <c r="V330" i="3" s="1"/>
  <c r="S520" i="3"/>
  <c r="V520" i="3" s="1"/>
  <c r="S488" i="3"/>
  <c r="V488" i="3" s="1"/>
  <c r="B13" i="6" l="1"/>
  <c r="B12" i="6"/>
  <c r="T119" i="3"/>
  <c r="T77" i="3"/>
  <c r="T61" i="3"/>
  <c r="T239" i="3"/>
  <c r="T38" i="3"/>
  <c r="T2" i="3"/>
  <c r="T4" i="3"/>
  <c r="T126" i="3"/>
  <c r="T445" i="3"/>
  <c r="T428" i="3"/>
  <c r="T367" i="3"/>
  <c r="T82" i="3"/>
  <c r="T139" i="3"/>
  <c r="T443" i="3"/>
  <c r="T47" i="3"/>
  <c r="T190" i="3"/>
  <c r="V190" i="3"/>
  <c r="T251" i="3"/>
  <c r="V251" i="3"/>
  <c r="T115" i="3"/>
  <c r="V115" i="3"/>
  <c r="T587" i="3"/>
  <c r="T589" i="3"/>
  <c r="T116" i="3"/>
  <c r="T432" i="3"/>
  <c r="T96" i="3"/>
  <c r="T279" i="3"/>
  <c r="T144" i="3"/>
  <c r="T464" i="3"/>
  <c r="T327" i="3"/>
  <c r="T492" i="3"/>
  <c r="T256" i="3"/>
  <c r="T237" i="3"/>
  <c r="T247" i="3"/>
  <c r="T75" i="3"/>
  <c r="T602" i="3"/>
  <c r="T532" i="3"/>
  <c r="T565" i="3"/>
  <c r="T206" i="3"/>
  <c r="T526" i="3"/>
  <c r="T293" i="3"/>
  <c r="T473" i="3"/>
  <c r="T306" i="3"/>
  <c r="T491" i="3"/>
  <c r="T512" i="3"/>
  <c r="T499" i="3"/>
  <c r="T568" i="3"/>
  <c r="T26" i="3"/>
  <c r="T216" i="3"/>
  <c r="T280" i="3"/>
  <c r="T534" i="3"/>
  <c r="T32" i="3"/>
  <c r="T290" i="3"/>
  <c r="T461" i="3"/>
  <c r="T9" i="3"/>
  <c r="T501" i="3"/>
  <c r="T425" i="3"/>
  <c r="T5" i="3"/>
  <c r="T135" i="3"/>
  <c r="T375" i="3"/>
  <c r="T465" i="3"/>
  <c r="T326" i="3"/>
  <c r="T416" i="3"/>
  <c r="T164" i="3"/>
  <c r="T6" i="3"/>
  <c r="T227" i="3"/>
  <c r="T403" i="3"/>
  <c r="T550" i="3"/>
  <c r="T307" i="3"/>
  <c r="T352" i="3"/>
  <c r="T454" i="3"/>
  <c r="T536" i="3"/>
  <c r="T112" i="3"/>
  <c r="T480" i="3"/>
  <c r="T558" i="3"/>
  <c r="T69" i="3"/>
  <c r="T444" i="3"/>
  <c r="T345" i="3"/>
  <c r="T334" i="3"/>
  <c r="T103" i="3"/>
  <c r="T597" i="3"/>
  <c r="T12" i="3"/>
  <c r="T44" i="3"/>
  <c r="T93" i="3"/>
  <c r="T107" i="3"/>
  <c r="T523" i="3"/>
  <c r="T259" i="3"/>
  <c r="T34" i="3"/>
  <c r="T11" i="3"/>
  <c r="T25" i="3"/>
  <c r="T282" i="3"/>
  <c r="T438" i="3"/>
  <c r="T600" i="3"/>
  <c r="T442" i="3"/>
  <c r="T511" i="3"/>
  <c r="T487" i="3"/>
  <c r="T478" i="3"/>
  <c r="T440" i="3"/>
  <c r="T539" i="3"/>
  <c r="T374" i="3"/>
  <c r="T261" i="3"/>
  <c r="T182" i="3"/>
  <c r="T409" i="3"/>
  <c r="T193" i="3"/>
  <c r="T287" i="3"/>
  <c r="T601" i="3"/>
  <c r="T551" i="3"/>
  <c r="T413" i="3"/>
  <c r="T148" i="3"/>
  <c r="T245" i="3"/>
  <c r="T572" i="3"/>
  <c r="T439" i="3"/>
  <c r="T529" i="3"/>
  <c r="T594" i="3"/>
  <c r="T422" i="3"/>
  <c r="T382" i="3"/>
  <c r="T561" i="3"/>
  <c r="T264" i="3"/>
  <c r="T467" i="3"/>
  <c r="T395" i="3"/>
  <c r="T533" i="3"/>
  <c r="T598" i="3"/>
  <c r="T513" i="3"/>
  <c r="T265" i="3"/>
  <c r="T468" i="3"/>
  <c r="T120" i="3"/>
  <c r="T391" i="3"/>
  <c r="T22" i="3"/>
  <c r="T178" i="3"/>
  <c r="T63" i="3"/>
  <c r="T278" i="3"/>
  <c r="T563" i="3"/>
  <c r="T27" i="3"/>
  <c r="T173" i="3"/>
  <c r="T274" i="3"/>
  <c r="T557" i="3"/>
  <c r="T3" i="3"/>
  <c r="T59" i="3"/>
  <c r="T8" i="3"/>
  <c r="T215" i="3"/>
  <c r="T153" i="3"/>
  <c r="T505" i="3"/>
  <c r="T335" i="3"/>
  <c r="T244" i="3"/>
  <c r="T302" i="3"/>
  <c r="T86" i="3"/>
  <c r="T304" i="3"/>
  <c r="T567" i="3"/>
  <c r="T204" i="3"/>
  <c r="T482" i="3"/>
  <c r="T400" i="3"/>
  <c r="T147" i="3"/>
  <c r="T338" i="3"/>
  <c r="T35" i="3"/>
  <c r="T124" i="3"/>
  <c r="T373" i="3"/>
  <c r="T318" i="3"/>
  <c r="T149" i="3"/>
  <c r="T220" i="3"/>
  <c r="T389" i="3"/>
  <c r="T441" i="3"/>
  <c r="T309" i="3"/>
  <c r="T553" i="3"/>
  <c r="T13" i="3"/>
  <c r="T255" i="3"/>
  <c r="T484" i="3"/>
  <c r="T201" i="3"/>
  <c r="T593" i="3"/>
  <c r="T137" i="3"/>
  <c r="T187" i="3"/>
  <c r="T141" i="3"/>
  <c r="T508" i="3"/>
  <c r="T300" i="3"/>
  <c r="T456" i="3"/>
  <c r="T294" i="3"/>
  <c r="T410" i="3"/>
  <c r="T390" i="3"/>
  <c r="T21" i="3"/>
  <c r="T214" i="3"/>
  <c r="T273" i="3"/>
  <c r="T358" i="3"/>
  <c r="T292" i="3"/>
  <c r="T305" i="3"/>
  <c r="T104" i="3"/>
  <c r="T449" i="3"/>
  <c r="T29" i="3"/>
  <c r="T277" i="3"/>
  <c r="T515" i="3"/>
  <c r="T351" i="3"/>
  <c r="T100" i="3"/>
  <c r="T183" i="3"/>
  <c r="T483" i="3"/>
  <c r="T366" i="3"/>
  <c r="T402" i="3"/>
  <c r="T378" i="3"/>
  <c r="T350" i="3"/>
  <c r="T556" i="3"/>
  <c r="T108" i="3"/>
  <c r="T160" i="3"/>
  <c r="T509" i="3"/>
  <c r="T497" i="3"/>
  <c r="T411" i="3"/>
  <c r="T333" i="3"/>
  <c r="T48" i="3"/>
  <c r="T253" i="3"/>
  <c r="T394" i="3"/>
  <c r="T476" i="3"/>
  <c r="T249" i="3"/>
  <c r="T502" i="3"/>
  <c r="T78" i="3"/>
  <c r="T580" i="3"/>
  <c r="T376" i="3"/>
  <c r="T474" i="3"/>
  <c r="T311" i="3"/>
  <c r="T466" i="3"/>
  <c r="T325" i="3"/>
  <c r="T248" i="3"/>
  <c r="T128" i="3"/>
  <c r="T177" i="3"/>
  <c r="T52" i="3"/>
  <c r="T133" i="3"/>
  <c r="T123" i="3"/>
  <c r="T397" i="3"/>
  <c r="T431" i="3"/>
  <c r="T54" i="3"/>
  <c r="T346" i="3"/>
  <c r="T407" i="3"/>
  <c r="T332" i="3"/>
  <c r="T297" i="3"/>
  <c r="T423" i="3"/>
  <c r="T217" i="3"/>
  <c r="T196" i="3"/>
  <c r="T436" i="3"/>
  <c r="T337" i="3"/>
  <c r="T284" i="3"/>
  <c r="T172" i="3"/>
  <c r="T235" i="3"/>
  <c r="T88" i="3"/>
  <c r="T60" i="3"/>
  <c r="T200" i="3"/>
  <c r="T142" i="3"/>
  <c r="T266" i="3"/>
  <c r="T524" i="3"/>
  <c r="T455" i="3"/>
  <c r="T354" i="3"/>
  <c r="T475" i="3"/>
  <c r="T585" i="3"/>
  <c r="T562" i="3"/>
  <c r="T457" i="3"/>
  <c r="T145" i="3"/>
  <c r="T298" i="3"/>
  <c r="T159" i="3"/>
  <c r="T231" i="3"/>
  <c r="T170" i="3"/>
  <c r="T404" i="3"/>
  <c r="T246" i="3"/>
  <c r="T66" i="3"/>
  <c r="T541" i="3"/>
  <c r="T470" i="3"/>
  <c r="T496" i="3"/>
  <c r="T7" i="3"/>
  <c r="T71" i="3"/>
  <c r="T471" i="3"/>
  <c r="T437" i="3"/>
  <c r="T344" i="3"/>
  <c r="T260" i="3"/>
  <c r="T17" i="3"/>
  <c r="T393" i="3"/>
  <c r="T542" i="3"/>
  <c r="T113" i="3"/>
  <c r="T40" i="3"/>
  <c r="T74" i="3"/>
  <c r="T58" i="3"/>
  <c r="T433" i="3"/>
  <c r="T125" i="3"/>
  <c r="T421" i="3"/>
  <c r="T495" i="3"/>
  <c r="T581" i="3"/>
  <c r="T341" i="3"/>
  <c r="T530" i="3"/>
  <c r="T202" i="3"/>
  <c r="T340" i="3"/>
  <c r="T143" i="3"/>
  <c r="T519" i="3"/>
  <c r="T356" i="3"/>
  <c r="T191" i="3"/>
  <c r="T408" i="3"/>
  <c r="T162" i="3"/>
  <c r="T106" i="3"/>
  <c r="T570" i="3"/>
  <c r="T314" i="3"/>
  <c r="T303" i="3"/>
  <c r="T161" i="3"/>
  <c r="T435" i="3"/>
  <c r="T53" i="3"/>
  <c r="T371" i="3"/>
  <c r="T516" i="3"/>
  <c r="T118" i="3"/>
  <c r="T188" i="3"/>
  <c r="T489" i="3"/>
  <c r="T288" i="3"/>
  <c r="T91" i="3"/>
  <c r="T258" i="3"/>
  <c r="T342" i="3"/>
  <c r="T203" i="3"/>
  <c r="T268" i="3"/>
  <c r="T19" i="3"/>
  <c r="T451" i="3"/>
  <c r="T518" i="3"/>
  <c r="T320" i="3"/>
  <c r="T324" i="3"/>
  <c r="T92" i="3"/>
  <c r="T520" i="3"/>
  <c r="T415" i="3"/>
  <c r="T377" i="3"/>
  <c r="T181" i="3"/>
  <c r="T291" i="3"/>
  <c r="T154" i="3"/>
  <c r="T481" i="3"/>
  <c r="T590" i="3"/>
  <c r="T73" i="3"/>
  <c r="T127" i="3"/>
  <c r="T99" i="3"/>
  <c r="T16" i="3"/>
  <c r="T136" i="3"/>
  <c r="T446" i="3"/>
  <c r="T486" i="3"/>
  <c r="T205" i="3"/>
  <c r="T140" i="3"/>
  <c r="T189" i="3"/>
  <c r="T548" i="3"/>
  <c r="T540" i="3"/>
  <c r="T569" i="3"/>
  <c r="T219" i="3"/>
  <c r="T180" i="3"/>
  <c r="T194" i="3"/>
  <c r="T417" i="3"/>
  <c r="T169" i="3"/>
  <c r="T506" i="3"/>
  <c r="T538" i="3"/>
  <c r="T283" i="3"/>
  <c r="T229" i="3"/>
  <c r="T175" i="3"/>
  <c r="T460" i="3"/>
  <c r="T357" i="3"/>
  <c r="T285" i="3"/>
  <c r="T469" i="3"/>
  <c r="T388" i="3"/>
  <c r="T209" i="3"/>
  <c r="T114" i="3"/>
  <c r="T186" i="3"/>
  <c r="T272" i="3"/>
  <c r="T33" i="3"/>
  <c r="T385" i="3"/>
  <c r="T353" i="3"/>
  <c r="T514" i="3"/>
  <c r="T286" i="3"/>
  <c r="T401" i="3"/>
  <c r="T369" i="3"/>
  <c r="T24" i="3"/>
  <c r="T381" i="3"/>
  <c r="T121" i="3"/>
  <c r="T365" i="3"/>
  <c r="T339" i="3"/>
  <c r="T406" i="3"/>
  <c r="T49" i="3"/>
  <c r="T129" i="3"/>
  <c r="T81" i="3"/>
  <c r="T67" i="3"/>
  <c r="T226" i="3"/>
  <c r="T355" i="3"/>
  <c r="T263" i="3"/>
  <c r="T150" i="3"/>
  <c r="T380" i="3"/>
  <c r="T537" i="3"/>
  <c r="T156" i="3"/>
  <c r="T57" i="3"/>
  <c r="T386" i="3"/>
  <c r="T45" i="3"/>
  <c r="T10" i="3"/>
  <c r="T546" i="3"/>
  <c r="T241" i="3"/>
  <c r="T267" i="3"/>
  <c r="T359" i="3"/>
  <c r="T238" i="3"/>
  <c r="T84" i="3"/>
  <c r="T218" i="3"/>
  <c r="T289" i="3"/>
  <c r="T588" i="3"/>
  <c r="T225" i="3"/>
  <c r="T36" i="3"/>
  <c r="T122" i="3"/>
  <c r="T577" i="3"/>
  <c r="T547" i="3"/>
  <c r="T414" i="3"/>
  <c r="T109" i="3"/>
  <c r="T599" i="3"/>
  <c r="T430" i="3"/>
  <c r="T308" i="3"/>
  <c r="T262" i="3"/>
  <c r="T571" i="3"/>
  <c r="T83" i="3"/>
  <c r="T213" i="3"/>
  <c r="T197" i="3"/>
  <c r="T328" i="3"/>
  <c r="T199" i="3"/>
  <c r="T313" i="3"/>
  <c r="T240" i="3"/>
  <c r="T14" i="3"/>
  <c r="T472" i="3"/>
  <c r="T383" i="3"/>
  <c r="T68" i="3"/>
  <c r="T310" i="3"/>
  <c r="T23" i="3"/>
  <c r="T171" i="3"/>
  <c r="T453" i="3"/>
  <c r="T299" i="3"/>
  <c r="T167" i="3"/>
  <c r="T168" i="3"/>
  <c r="T500" i="3"/>
  <c r="T184" i="3"/>
  <c r="T208" i="3"/>
  <c r="T321" i="3"/>
  <c r="T392" i="3"/>
  <c r="T296" i="3"/>
  <c r="T419" i="3"/>
  <c r="T361" i="3"/>
  <c r="T329" i="3"/>
  <c r="T575" i="3"/>
  <c r="T132" i="3"/>
  <c r="T450" i="3"/>
  <c r="T234" i="3"/>
  <c r="T224" i="3"/>
  <c r="T348" i="3"/>
  <c r="T596" i="3"/>
  <c r="T396" i="3"/>
  <c r="T111" i="3"/>
  <c r="T211" i="3"/>
  <c r="T405" i="3"/>
  <c r="T379" i="3"/>
  <c r="T28" i="3"/>
  <c r="T257" i="3"/>
  <c r="T398" i="3"/>
  <c r="T131" i="3"/>
  <c r="T76" i="3"/>
  <c r="T494" i="3"/>
  <c r="T322" i="3"/>
  <c r="T31" i="3"/>
  <c r="T281" i="3"/>
  <c r="T521" i="3"/>
  <c r="T364" i="3"/>
  <c r="T89" i="3"/>
  <c r="T349" i="3"/>
  <c r="T566" i="3"/>
  <c r="T236" i="3"/>
  <c r="T130" i="3"/>
  <c r="T531" i="3"/>
  <c r="T591" i="3"/>
  <c r="T276" i="3"/>
  <c r="T504" i="3"/>
  <c r="T98" i="3"/>
  <c r="T316" i="3"/>
  <c r="T488" i="3"/>
  <c r="T65" i="3"/>
  <c r="T110" i="3"/>
  <c r="T507" i="3"/>
  <c r="T330" i="3"/>
  <c r="T582" i="3"/>
  <c r="T527" i="3"/>
  <c r="T498" i="3"/>
  <c r="T447" i="3"/>
  <c r="T87" i="3"/>
  <c r="T146" i="3"/>
  <c r="T157" i="3"/>
  <c r="T427" i="3"/>
  <c r="T64" i="3"/>
  <c r="T174" i="3"/>
  <c r="T15" i="3"/>
  <c r="T343" i="3"/>
  <c r="T42" i="3"/>
  <c r="T95" i="3"/>
  <c r="T105" i="3"/>
  <c r="T138" i="3"/>
  <c r="T51" i="3"/>
  <c r="T20" i="3"/>
  <c r="T372" i="3"/>
  <c r="T275" i="3"/>
  <c r="T517" i="3"/>
  <c r="T46" i="3"/>
  <c r="T163" i="3"/>
  <c r="T80" i="3"/>
  <c r="T79" i="3"/>
  <c r="T176" i="3"/>
  <c r="T510" i="3"/>
  <c r="T165" i="3"/>
  <c r="T242" i="3"/>
  <c r="T535" i="3"/>
  <c r="T463" i="3"/>
  <c r="T370" i="3"/>
  <c r="T41" i="3"/>
  <c r="T223" i="3"/>
  <c r="T250" i="3"/>
  <c r="T90" i="3"/>
  <c r="T101" i="3"/>
  <c r="T72" i="3"/>
  <c r="T152" i="3"/>
  <c r="T97" i="3"/>
  <c r="T210" i="3"/>
  <c r="T549" i="3"/>
  <c r="T595" i="3"/>
  <c r="T323" i="3"/>
  <c r="T459" i="3"/>
  <c r="T543" i="3"/>
  <c r="T295" i="3"/>
  <c r="T578" i="3"/>
  <c r="T155" i="3"/>
  <c r="T583" i="3"/>
  <c r="T43" i="3"/>
  <c r="T319" i="3"/>
  <c r="T434" i="3"/>
  <c r="T151" i="3"/>
  <c r="T185" i="3"/>
  <c r="T232" i="3"/>
  <c r="T207" i="3"/>
  <c r="T555" i="3"/>
  <c r="T39" i="3"/>
  <c r="T347" i="3"/>
  <c r="T477" i="3"/>
  <c r="T56" i="3"/>
  <c r="T192" i="3"/>
  <c r="T212" i="3"/>
  <c r="T479" i="3"/>
  <c r="T228" i="3"/>
  <c r="T117" i="3"/>
  <c r="T462" i="3"/>
  <c r="T233" i="3"/>
  <c r="T545" i="3"/>
  <c r="T418" i="3"/>
  <c r="T503" i="3"/>
  <c r="T420" i="3"/>
  <c r="T574" i="3"/>
  <c r="M63" i="6" l="1"/>
  <c r="M2" i="6"/>
  <c r="P2" i="6" s="1"/>
  <c r="Q2" i="6" s="1"/>
  <c r="M525" i="6"/>
  <c r="M410" i="6"/>
  <c r="M326" i="6"/>
  <c r="M126" i="6"/>
  <c r="M493" i="6"/>
  <c r="M539" i="6"/>
  <c r="M478" i="6"/>
  <c r="M411" i="6"/>
  <c r="M333" i="6"/>
  <c r="M230" i="6"/>
  <c r="M133" i="6"/>
  <c r="M268" i="6"/>
  <c r="M477" i="6"/>
  <c r="M466" i="6"/>
  <c r="M270" i="6"/>
  <c r="M173" i="6"/>
  <c r="M70" i="6"/>
  <c r="M228" i="6"/>
  <c r="M373" i="6"/>
  <c r="M418" i="6"/>
  <c r="M310" i="6"/>
  <c r="M174" i="6"/>
  <c r="M77" i="6"/>
  <c r="M601" i="6"/>
  <c r="M572" i="6"/>
  <c r="M460" i="6"/>
  <c r="M204" i="6"/>
  <c r="M229" i="6"/>
  <c r="M30" i="6"/>
  <c r="M397" i="6"/>
  <c r="M484" i="6"/>
  <c r="M557" i="6"/>
  <c r="M285" i="6"/>
  <c r="M150" i="6"/>
  <c r="M14" i="6"/>
  <c r="M586" i="6"/>
  <c r="M552" i="6"/>
  <c r="M515" i="6"/>
  <c r="M420" i="6"/>
  <c r="M12" i="6"/>
  <c r="M600" i="6"/>
  <c r="M547" i="6"/>
  <c r="M189" i="6"/>
  <c r="M54" i="6"/>
  <c r="M587" i="6"/>
  <c r="M554" i="6"/>
  <c r="M517" i="6"/>
  <c r="M467" i="6"/>
  <c r="M396" i="6"/>
  <c r="M571" i="6"/>
  <c r="M459" i="6"/>
  <c r="M292" i="6"/>
  <c r="M413" i="6"/>
  <c r="M29" i="6"/>
  <c r="M566" i="6"/>
  <c r="M533" i="6"/>
  <c r="M486" i="6"/>
  <c r="M437" i="6"/>
  <c r="M381" i="6"/>
  <c r="M356" i="6"/>
  <c r="M395" i="6"/>
  <c r="M580" i="6"/>
  <c r="M534" i="6"/>
  <c r="M490" i="6"/>
  <c r="M438" i="6"/>
  <c r="M382" i="6"/>
  <c r="M286" i="6"/>
  <c r="M332" i="6"/>
  <c r="M259" i="6"/>
  <c r="M131" i="6"/>
  <c r="M3" i="6"/>
  <c r="M282" i="6"/>
  <c r="M154" i="6"/>
  <c r="M26" i="6"/>
  <c r="M481" i="6"/>
  <c r="M353" i="6"/>
  <c r="M97" i="6"/>
  <c r="M55" i="6"/>
  <c r="M341" i="6"/>
  <c r="M568" i="6"/>
  <c r="M429" i="6"/>
  <c r="M149" i="6"/>
  <c r="M526" i="6"/>
  <c r="M398" i="6"/>
  <c r="M157" i="6"/>
  <c r="M570" i="6"/>
  <c r="M462" i="6"/>
  <c r="M278" i="6"/>
  <c r="M22" i="6"/>
  <c r="M523" i="6"/>
  <c r="M390" i="6"/>
  <c r="M142" i="6"/>
  <c r="M576" i="6"/>
  <c r="M474" i="6"/>
  <c r="M301" i="6"/>
  <c r="M45" i="6"/>
  <c r="M542" i="6"/>
  <c r="M422" i="6"/>
  <c r="M198" i="6"/>
  <c r="M593" i="6"/>
  <c r="M501" i="6"/>
  <c r="M357" i="6"/>
  <c r="M101" i="6"/>
  <c r="M562" i="6"/>
  <c r="M451" i="6"/>
  <c r="M254" i="6"/>
  <c r="M516" i="6"/>
  <c r="M452" i="6"/>
  <c r="M388" i="6"/>
  <c r="M324" i="6"/>
  <c r="M260" i="6"/>
  <c r="M196" i="6"/>
  <c r="M132" i="6"/>
  <c r="M68" i="6"/>
  <c r="M4" i="6"/>
  <c r="M315" i="6"/>
  <c r="M251" i="6"/>
  <c r="M187" i="6"/>
  <c r="M123" i="6"/>
  <c r="M59" i="6"/>
  <c r="M402" i="6"/>
  <c r="M338" i="6"/>
  <c r="M274" i="6"/>
  <c r="M210" i="6"/>
  <c r="M146" i="6"/>
  <c r="M82" i="6"/>
  <c r="M18" i="6"/>
  <c r="M537" i="6"/>
  <c r="M473" i="6"/>
  <c r="M409" i="6"/>
  <c r="M345" i="6"/>
  <c r="M281" i="6"/>
  <c r="M217" i="6"/>
  <c r="M153" i="6"/>
  <c r="M89" i="6"/>
  <c r="M25" i="6"/>
  <c r="M488" i="6"/>
  <c r="M424" i="6"/>
  <c r="M360" i="6"/>
  <c r="M296" i="6"/>
  <c r="M232" i="6"/>
  <c r="M168" i="6"/>
  <c r="M104" i="6"/>
  <c r="M40" i="6"/>
  <c r="M559" i="6"/>
  <c r="M495" i="6"/>
  <c r="M431" i="6"/>
  <c r="M367" i="6"/>
  <c r="M303" i="6"/>
  <c r="M239" i="6"/>
  <c r="M175" i="6"/>
  <c r="M111" i="6"/>
  <c r="M47" i="6"/>
  <c r="M140" i="6"/>
  <c r="M76" i="6"/>
  <c r="M323" i="6"/>
  <c r="M195" i="6"/>
  <c r="M67" i="6"/>
  <c r="M346" i="6"/>
  <c r="M218" i="6"/>
  <c r="M90" i="6"/>
  <c r="M545" i="6"/>
  <c r="M417" i="6"/>
  <c r="M289" i="6"/>
  <c r="M225" i="6"/>
  <c r="M161" i="6"/>
  <c r="M33" i="6"/>
  <c r="M496" i="6"/>
  <c r="M432" i="6"/>
  <c r="M368" i="6"/>
  <c r="M304" i="6"/>
  <c r="M240" i="6"/>
  <c r="M176" i="6"/>
  <c r="M112" i="6"/>
  <c r="M48" i="6"/>
  <c r="M567" i="6"/>
  <c r="M503" i="6"/>
  <c r="M439" i="6"/>
  <c r="M375" i="6"/>
  <c r="M311" i="6"/>
  <c r="M247" i="6"/>
  <c r="M183" i="6"/>
  <c r="M119" i="6"/>
  <c r="M85" i="6"/>
  <c r="M461" i="6"/>
  <c r="M213" i="6"/>
  <c r="M599" i="6"/>
  <c r="M514" i="6"/>
  <c r="M379" i="6"/>
  <c r="M125" i="6"/>
  <c r="M558" i="6"/>
  <c r="M446" i="6"/>
  <c r="M246" i="6"/>
  <c r="M596" i="6"/>
  <c r="M507" i="6"/>
  <c r="M366" i="6"/>
  <c r="M110" i="6"/>
  <c r="M565" i="6"/>
  <c r="M458" i="6"/>
  <c r="M269" i="6"/>
  <c r="M13" i="6"/>
  <c r="M532" i="6"/>
  <c r="M406" i="6"/>
  <c r="M166" i="6"/>
  <c r="M584" i="6"/>
  <c r="M485" i="6"/>
  <c r="M325" i="6"/>
  <c r="M69" i="6"/>
  <c r="M550" i="6"/>
  <c r="M435" i="6"/>
  <c r="M222" i="6"/>
  <c r="M508" i="6"/>
  <c r="M444" i="6"/>
  <c r="M380" i="6"/>
  <c r="M316" i="6"/>
  <c r="M252" i="6"/>
  <c r="M188" i="6"/>
  <c r="M124" i="6"/>
  <c r="M60" i="6"/>
  <c r="M371" i="6"/>
  <c r="M307" i="6"/>
  <c r="M243" i="6"/>
  <c r="M179" i="6"/>
  <c r="M115" i="6"/>
  <c r="M51" i="6"/>
  <c r="M394" i="6"/>
  <c r="M330" i="6"/>
  <c r="M266" i="6"/>
  <c r="M202" i="6"/>
  <c r="M138" i="6"/>
  <c r="M74" i="6"/>
  <c r="M10" i="6"/>
  <c r="M529" i="6"/>
  <c r="M465" i="6"/>
  <c r="M401" i="6"/>
  <c r="M337" i="6"/>
  <c r="M273" i="6"/>
  <c r="M209" i="6"/>
  <c r="M145" i="6"/>
  <c r="M81" i="6"/>
  <c r="M17" i="6"/>
  <c r="M480" i="6"/>
  <c r="M416" i="6"/>
  <c r="M352" i="6"/>
  <c r="M288" i="6"/>
  <c r="M224" i="6"/>
  <c r="M160" i="6"/>
  <c r="M96" i="6"/>
  <c r="M32" i="6"/>
  <c r="M551" i="6"/>
  <c r="M487" i="6"/>
  <c r="M423" i="6"/>
  <c r="M359" i="6"/>
  <c r="M295" i="6"/>
  <c r="M231" i="6"/>
  <c r="M167" i="6"/>
  <c r="M103" i="6"/>
  <c r="M39" i="6"/>
  <c r="M117" i="6"/>
  <c r="M277" i="6"/>
  <c r="M509" i="6"/>
  <c r="M591" i="6"/>
  <c r="M498" i="6"/>
  <c r="M349" i="6"/>
  <c r="M93" i="6"/>
  <c r="M548" i="6"/>
  <c r="M430" i="6"/>
  <c r="M214" i="6"/>
  <c r="M588" i="6"/>
  <c r="M491" i="6"/>
  <c r="M334" i="6"/>
  <c r="M78" i="6"/>
  <c r="M555" i="6"/>
  <c r="M442" i="6"/>
  <c r="M237" i="6"/>
  <c r="M602" i="6"/>
  <c r="M518" i="6"/>
  <c r="M387" i="6"/>
  <c r="M134" i="6"/>
  <c r="M573" i="6"/>
  <c r="M469" i="6"/>
  <c r="M293" i="6"/>
  <c r="M37" i="6"/>
  <c r="M540" i="6"/>
  <c r="M419" i="6"/>
  <c r="M190" i="6"/>
  <c r="M500" i="6"/>
  <c r="M436" i="6"/>
  <c r="M372" i="6"/>
  <c r="M308" i="6"/>
  <c r="M244" i="6"/>
  <c r="M180" i="6"/>
  <c r="M116" i="6"/>
  <c r="M52" i="6"/>
  <c r="M363" i="6"/>
  <c r="M299" i="6"/>
  <c r="M235" i="6"/>
  <c r="M171" i="6"/>
  <c r="M107" i="6"/>
  <c r="M43" i="6"/>
  <c r="M386" i="6"/>
  <c r="M322" i="6"/>
  <c r="M258" i="6"/>
  <c r="M194" i="6"/>
  <c r="M130" i="6"/>
  <c r="M66" i="6"/>
  <c r="M585" i="6"/>
  <c r="M521" i="6"/>
  <c r="M457" i="6"/>
  <c r="M393" i="6"/>
  <c r="M329" i="6"/>
  <c r="M265" i="6"/>
  <c r="M201" i="6"/>
  <c r="M137" i="6"/>
  <c r="M73" i="6"/>
  <c r="M9" i="6"/>
  <c r="M472" i="6"/>
  <c r="M408" i="6"/>
  <c r="M344" i="6"/>
  <c r="M280" i="6"/>
  <c r="M216" i="6"/>
  <c r="M152" i="6"/>
  <c r="M88" i="6"/>
  <c r="M24" i="6"/>
  <c r="M543" i="6"/>
  <c r="M479" i="6"/>
  <c r="M415" i="6"/>
  <c r="M351" i="6"/>
  <c r="M287" i="6"/>
  <c r="M223" i="6"/>
  <c r="M159" i="6"/>
  <c r="M95" i="6"/>
  <c r="M31" i="6"/>
  <c r="M579" i="6"/>
  <c r="M21" i="6"/>
  <c r="M536" i="6"/>
  <c r="M581" i="6"/>
  <c r="M482" i="6"/>
  <c r="M317" i="6"/>
  <c r="M61" i="6"/>
  <c r="M538" i="6"/>
  <c r="M414" i="6"/>
  <c r="M182" i="6"/>
  <c r="M578" i="6"/>
  <c r="M475" i="6"/>
  <c r="M302" i="6"/>
  <c r="M46" i="6"/>
  <c r="M544" i="6"/>
  <c r="M426" i="6"/>
  <c r="M205" i="6"/>
  <c r="M594" i="6"/>
  <c r="M502" i="6"/>
  <c r="M358" i="6"/>
  <c r="M102" i="6"/>
  <c r="M563" i="6"/>
  <c r="M453" i="6"/>
  <c r="M261" i="6"/>
  <c r="M5" i="6"/>
  <c r="M530" i="6"/>
  <c r="M403" i="6"/>
  <c r="M158" i="6"/>
  <c r="M492" i="6"/>
  <c r="M428" i="6"/>
  <c r="M364" i="6"/>
  <c r="M300" i="6"/>
  <c r="M236" i="6"/>
  <c r="M172" i="6"/>
  <c r="M108" i="6"/>
  <c r="M44" i="6"/>
  <c r="M355" i="6"/>
  <c r="M291" i="6"/>
  <c r="M227" i="6"/>
  <c r="M163" i="6"/>
  <c r="M99" i="6"/>
  <c r="M35" i="6"/>
  <c r="M378" i="6"/>
  <c r="M314" i="6"/>
  <c r="M250" i="6"/>
  <c r="M186" i="6"/>
  <c r="M122" i="6"/>
  <c r="M58" i="6"/>
  <c r="M577" i="6"/>
  <c r="M513" i="6"/>
  <c r="M449" i="6"/>
  <c r="M385" i="6"/>
  <c r="M321" i="6"/>
  <c r="M257" i="6"/>
  <c r="M193" i="6"/>
  <c r="M129" i="6"/>
  <c r="M65" i="6"/>
  <c r="M528" i="6"/>
  <c r="M464" i="6"/>
  <c r="M400" i="6"/>
  <c r="M336" i="6"/>
  <c r="M272" i="6"/>
  <c r="M208" i="6"/>
  <c r="M144" i="6"/>
  <c r="M80" i="6"/>
  <c r="M16" i="6"/>
  <c r="M535" i="6"/>
  <c r="M471" i="6"/>
  <c r="M407" i="6"/>
  <c r="M343" i="6"/>
  <c r="M279" i="6"/>
  <c r="M215" i="6"/>
  <c r="M151" i="6"/>
  <c r="M87" i="6"/>
  <c r="M23" i="6"/>
  <c r="M15" i="6"/>
  <c r="M100" i="6"/>
  <c r="M347" i="6"/>
  <c r="M219" i="6"/>
  <c r="M91" i="6"/>
  <c r="M370" i="6"/>
  <c r="M178" i="6"/>
  <c r="M50" i="6"/>
  <c r="M505" i="6"/>
  <c r="M313" i="6"/>
  <c r="M520" i="6"/>
  <c r="M143" i="6"/>
  <c r="M597" i="6"/>
  <c r="M309" i="6"/>
  <c r="M445" i="6"/>
  <c r="M181" i="6"/>
  <c r="M560" i="6"/>
  <c r="M450" i="6"/>
  <c r="M253" i="6"/>
  <c r="M598" i="6"/>
  <c r="M510" i="6"/>
  <c r="M374" i="6"/>
  <c r="M118" i="6"/>
  <c r="M556" i="6"/>
  <c r="M443" i="6"/>
  <c r="M238" i="6"/>
  <c r="M522" i="6"/>
  <c r="M389" i="6"/>
  <c r="M141" i="6"/>
  <c r="M574" i="6"/>
  <c r="M470" i="6"/>
  <c r="M294" i="6"/>
  <c r="M38" i="6"/>
  <c r="M541" i="6"/>
  <c r="M421" i="6"/>
  <c r="M197" i="6"/>
  <c r="M592" i="6"/>
  <c r="M499" i="6"/>
  <c r="M350" i="6"/>
  <c r="M94" i="6"/>
  <c r="M476" i="6"/>
  <c r="M412" i="6"/>
  <c r="M348" i="6"/>
  <c r="M284" i="6"/>
  <c r="M220" i="6"/>
  <c r="M156" i="6"/>
  <c r="M92" i="6"/>
  <c r="M28" i="6"/>
  <c r="M339" i="6"/>
  <c r="M275" i="6"/>
  <c r="M211" i="6"/>
  <c r="M147" i="6"/>
  <c r="M83" i="6"/>
  <c r="M19" i="6"/>
  <c r="M362" i="6"/>
  <c r="M298" i="6"/>
  <c r="M234" i="6"/>
  <c r="M170" i="6"/>
  <c r="M106" i="6"/>
  <c r="M42" i="6"/>
  <c r="M561" i="6"/>
  <c r="M497" i="6"/>
  <c r="M433" i="6"/>
  <c r="M369" i="6"/>
  <c r="M305" i="6"/>
  <c r="M241" i="6"/>
  <c r="M177" i="6"/>
  <c r="M113" i="6"/>
  <c r="M49" i="6"/>
  <c r="M512" i="6"/>
  <c r="M448" i="6"/>
  <c r="M384" i="6"/>
  <c r="M320" i="6"/>
  <c r="M256" i="6"/>
  <c r="M192" i="6"/>
  <c r="M128" i="6"/>
  <c r="M64" i="6"/>
  <c r="M583" i="6"/>
  <c r="M519" i="6"/>
  <c r="M455" i="6"/>
  <c r="M391" i="6"/>
  <c r="M327" i="6"/>
  <c r="M263" i="6"/>
  <c r="M199" i="6"/>
  <c r="M135" i="6"/>
  <c r="M71" i="6"/>
  <c r="M7" i="6"/>
  <c r="M164" i="6"/>
  <c r="M36" i="6"/>
  <c r="M283" i="6"/>
  <c r="M155" i="6"/>
  <c r="M27" i="6"/>
  <c r="M306" i="6"/>
  <c r="M242" i="6"/>
  <c r="M114" i="6"/>
  <c r="M569" i="6"/>
  <c r="M441" i="6"/>
  <c r="M377" i="6"/>
  <c r="M249" i="6"/>
  <c r="M185" i="6"/>
  <c r="M121" i="6"/>
  <c r="M57" i="6"/>
  <c r="M456" i="6"/>
  <c r="M392" i="6"/>
  <c r="M328" i="6"/>
  <c r="M264" i="6"/>
  <c r="M200" i="6"/>
  <c r="M136" i="6"/>
  <c r="M72" i="6"/>
  <c r="M8" i="6"/>
  <c r="M527" i="6"/>
  <c r="M463" i="6"/>
  <c r="M399" i="6"/>
  <c r="M335" i="6"/>
  <c r="M271" i="6"/>
  <c r="M207" i="6"/>
  <c r="M79" i="6"/>
  <c r="M589" i="6"/>
  <c r="M53" i="6"/>
  <c r="M245" i="6"/>
  <c r="M524" i="6"/>
  <c r="M549" i="6"/>
  <c r="M434" i="6"/>
  <c r="M221" i="6"/>
  <c r="M590" i="6"/>
  <c r="M494" i="6"/>
  <c r="M342" i="6"/>
  <c r="M86" i="6"/>
  <c r="M546" i="6"/>
  <c r="M427" i="6"/>
  <c r="M206" i="6"/>
  <c r="M595" i="6"/>
  <c r="M506" i="6"/>
  <c r="M365" i="6"/>
  <c r="M109" i="6"/>
  <c r="M564" i="6"/>
  <c r="M454" i="6"/>
  <c r="M262" i="6"/>
  <c r="M6" i="6"/>
  <c r="M531" i="6"/>
  <c r="M405" i="6"/>
  <c r="M165" i="6"/>
  <c r="M582" i="6"/>
  <c r="M483" i="6"/>
  <c r="M318" i="6"/>
  <c r="M62" i="6"/>
  <c r="M468" i="6"/>
  <c r="M404" i="6"/>
  <c r="M340" i="6"/>
  <c r="M276" i="6"/>
  <c r="M212" i="6"/>
  <c r="M148" i="6"/>
  <c r="M84" i="6"/>
  <c r="M20" i="6"/>
  <c r="M331" i="6"/>
  <c r="M267" i="6"/>
  <c r="M203" i="6"/>
  <c r="M139" i="6"/>
  <c r="M75" i="6"/>
  <c r="M11" i="6"/>
  <c r="M354" i="6"/>
  <c r="M290" i="6"/>
  <c r="M226" i="6"/>
  <c r="M162" i="6"/>
  <c r="M98" i="6"/>
  <c r="M34" i="6"/>
  <c r="M553" i="6"/>
  <c r="M489" i="6"/>
  <c r="M425" i="6"/>
  <c r="M361" i="6"/>
  <c r="M297" i="6"/>
  <c r="M233" i="6"/>
  <c r="M169" i="6"/>
  <c r="M105" i="6"/>
  <c r="M41" i="6"/>
  <c r="M504" i="6"/>
  <c r="M440" i="6"/>
  <c r="M376" i="6"/>
  <c r="M312" i="6"/>
  <c r="M248" i="6"/>
  <c r="M184" i="6"/>
  <c r="M120" i="6"/>
  <c r="M56" i="6"/>
  <c r="M575" i="6"/>
  <c r="M511" i="6"/>
  <c r="M447" i="6"/>
  <c r="M383" i="6"/>
  <c r="M319" i="6"/>
  <c r="M255" i="6"/>
  <c r="M191" i="6"/>
  <c r="M127" i="6"/>
  <c r="W2" i="3"/>
  <c r="W3" i="3"/>
  <c r="U3" i="3"/>
  <c r="U2" i="3"/>
  <c r="N255" i="6" l="1"/>
  <c r="P255" i="6"/>
  <c r="Q255" i="6" s="1"/>
  <c r="N184" i="6"/>
  <c r="P184" i="6"/>
  <c r="Q184" i="6" s="1"/>
  <c r="N169" i="6"/>
  <c r="P169" i="6"/>
  <c r="Q169" i="6" s="1"/>
  <c r="N98" i="6"/>
  <c r="P98" i="6"/>
  <c r="Q98" i="6" s="1"/>
  <c r="N203" i="6"/>
  <c r="P203" i="6"/>
  <c r="Q203" i="6" s="1"/>
  <c r="N340" i="6"/>
  <c r="P340" i="6"/>
  <c r="Q340" i="6" s="1"/>
  <c r="N405" i="6"/>
  <c r="P405" i="6"/>
  <c r="Q405" i="6" s="1"/>
  <c r="N506" i="6"/>
  <c r="P506" i="6"/>
  <c r="Q506" i="6" s="1"/>
  <c r="N590" i="6"/>
  <c r="P590" i="6"/>
  <c r="Q590" i="6" s="1"/>
  <c r="N79" i="6"/>
  <c r="P79" i="6"/>
  <c r="Q79" i="6" s="1"/>
  <c r="N72" i="6"/>
  <c r="P72" i="6"/>
  <c r="Q72" i="6" s="1"/>
  <c r="N121" i="6"/>
  <c r="P121" i="6"/>
  <c r="Q121" i="6" s="1"/>
  <c r="N306" i="6"/>
  <c r="P306" i="6"/>
  <c r="Q306" i="6" s="1"/>
  <c r="N135" i="6"/>
  <c r="P135" i="6"/>
  <c r="Q135" i="6" s="1"/>
  <c r="N64" i="6"/>
  <c r="P64" i="6"/>
  <c r="Q64" i="6" s="1"/>
  <c r="N49" i="6"/>
  <c r="P49" i="6"/>
  <c r="Q49" i="6" s="1"/>
  <c r="N561" i="6"/>
  <c r="P561" i="6"/>
  <c r="Q561" i="6" s="1"/>
  <c r="N83" i="6"/>
  <c r="P83" i="6"/>
  <c r="Q83" i="6" s="1"/>
  <c r="N220" i="6"/>
  <c r="P220" i="6"/>
  <c r="Q220" i="6" s="1"/>
  <c r="N592" i="6"/>
  <c r="P592" i="6"/>
  <c r="Q592" i="6" s="1"/>
  <c r="N141" i="6"/>
  <c r="P141" i="6"/>
  <c r="Q141" i="6" s="1"/>
  <c r="N374" i="6"/>
  <c r="P374" i="6"/>
  <c r="Q374" i="6" s="1"/>
  <c r="N309" i="6"/>
  <c r="P309" i="6"/>
  <c r="Q309" i="6" s="1"/>
  <c r="N370" i="6"/>
  <c r="P370" i="6"/>
  <c r="Q370" i="6" s="1"/>
  <c r="N151" i="6"/>
  <c r="P151" i="6"/>
  <c r="Q151" i="6" s="1"/>
  <c r="N80" i="6"/>
  <c r="P80" i="6"/>
  <c r="Q80" i="6" s="1"/>
  <c r="N65" i="6"/>
  <c r="P65" i="6"/>
  <c r="Q65" i="6" s="1"/>
  <c r="N577" i="6"/>
  <c r="P577" i="6"/>
  <c r="Q577" i="6" s="1"/>
  <c r="N99" i="6"/>
  <c r="P99" i="6"/>
  <c r="Q99" i="6" s="1"/>
  <c r="N236" i="6"/>
  <c r="P236" i="6"/>
  <c r="Q236" i="6" s="1"/>
  <c r="N5" i="6"/>
  <c r="P5" i="6"/>
  <c r="Q5" i="6" s="1"/>
  <c r="N205" i="6"/>
  <c r="P205" i="6"/>
  <c r="Q205" i="6" s="1"/>
  <c r="N414" i="6"/>
  <c r="P414" i="6"/>
  <c r="Q414" i="6" s="1"/>
  <c r="N579" i="6"/>
  <c r="P579" i="6"/>
  <c r="Q579" i="6" s="1"/>
  <c r="N479" i="6"/>
  <c r="P479" i="6"/>
  <c r="Q479" i="6" s="1"/>
  <c r="N408" i="6"/>
  <c r="P408" i="6"/>
  <c r="Q408" i="6" s="1"/>
  <c r="N393" i="6"/>
  <c r="P393" i="6"/>
  <c r="Q393" i="6" s="1"/>
  <c r="N322" i="6"/>
  <c r="P322" i="6"/>
  <c r="Q322" i="6" s="1"/>
  <c r="N52" i="6"/>
  <c r="P52" i="6"/>
  <c r="Q52" i="6" s="1"/>
  <c r="N190" i="6"/>
  <c r="P190" i="6"/>
  <c r="Q190" i="6" s="1"/>
  <c r="N387" i="6"/>
  <c r="P387" i="6"/>
  <c r="Q387" i="6" s="1"/>
  <c r="N491" i="6"/>
  <c r="P491" i="6"/>
  <c r="Q491" i="6" s="1"/>
  <c r="N591" i="6"/>
  <c r="P591" i="6"/>
  <c r="Q591" i="6" s="1"/>
  <c r="N295" i="6"/>
  <c r="P295" i="6"/>
  <c r="Q295" i="6" s="1"/>
  <c r="N224" i="6"/>
  <c r="P224" i="6"/>
  <c r="Q224" i="6" s="1"/>
  <c r="N209" i="6"/>
  <c r="P209" i="6"/>
  <c r="Q209" i="6" s="1"/>
  <c r="N138" i="6"/>
  <c r="P138" i="6"/>
  <c r="Q138" i="6" s="1"/>
  <c r="N243" i="6"/>
  <c r="P243" i="6"/>
  <c r="Q243" i="6" s="1"/>
  <c r="N380" i="6"/>
  <c r="P380" i="6"/>
  <c r="Q380" i="6" s="1"/>
  <c r="N485" i="6"/>
  <c r="P485" i="6"/>
  <c r="Q485" i="6" s="1"/>
  <c r="N565" i="6"/>
  <c r="P565" i="6"/>
  <c r="Q565" i="6" s="1"/>
  <c r="N125" i="6"/>
  <c r="P125" i="6"/>
  <c r="Q125" i="6" s="1"/>
  <c r="N183" i="6"/>
  <c r="P183" i="6"/>
  <c r="Q183" i="6" s="1"/>
  <c r="N112" i="6"/>
  <c r="P112" i="6"/>
  <c r="Q112" i="6" s="1"/>
  <c r="N161" i="6"/>
  <c r="P161" i="6"/>
  <c r="Q161" i="6" s="1"/>
  <c r="N67" i="6"/>
  <c r="P67" i="6"/>
  <c r="Q67" i="6" s="1"/>
  <c r="N239" i="6"/>
  <c r="P239" i="6"/>
  <c r="Q239" i="6" s="1"/>
  <c r="N168" i="6"/>
  <c r="P168" i="6"/>
  <c r="Q168" i="6" s="1"/>
  <c r="N153" i="6"/>
  <c r="P153" i="6"/>
  <c r="Q153" i="6" s="1"/>
  <c r="N82" i="6"/>
  <c r="P82" i="6"/>
  <c r="Q82" i="6" s="1"/>
  <c r="N187" i="6"/>
  <c r="P187" i="6"/>
  <c r="Q187" i="6" s="1"/>
  <c r="N324" i="6"/>
  <c r="P324" i="6"/>
  <c r="Q324" i="6" s="1"/>
  <c r="N357" i="6"/>
  <c r="P357" i="6"/>
  <c r="Q357" i="6" s="1"/>
  <c r="N474" i="6"/>
  <c r="P474" i="6"/>
  <c r="Q474" i="6" s="1"/>
  <c r="N570" i="6"/>
  <c r="P570" i="6"/>
  <c r="Q570" i="6" s="1"/>
  <c r="N55" i="6"/>
  <c r="P55" i="6"/>
  <c r="Q55" i="6" s="1"/>
  <c r="N131" i="6"/>
  <c r="P131" i="6"/>
  <c r="Q131" i="6" s="1"/>
  <c r="N580" i="6"/>
  <c r="P580" i="6"/>
  <c r="Q580" i="6" s="1"/>
  <c r="N29" i="6"/>
  <c r="P29" i="6"/>
  <c r="Q29" i="6" s="1"/>
  <c r="N554" i="6"/>
  <c r="P554" i="6"/>
  <c r="Q554" i="6" s="1"/>
  <c r="N515" i="6"/>
  <c r="P515" i="6"/>
  <c r="Q515" i="6" s="1"/>
  <c r="N397" i="6"/>
  <c r="P397" i="6"/>
  <c r="Q397" i="6" s="1"/>
  <c r="N174" i="6"/>
  <c r="P174" i="6"/>
  <c r="Q174" i="6" s="1"/>
  <c r="N466" i="6"/>
  <c r="P466" i="6"/>
  <c r="Q466" i="6" s="1"/>
  <c r="N539" i="6"/>
  <c r="P539" i="6"/>
  <c r="Q539" i="6" s="1"/>
  <c r="N319" i="6"/>
  <c r="P319" i="6"/>
  <c r="Q319" i="6" s="1"/>
  <c r="N248" i="6"/>
  <c r="P248" i="6"/>
  <c r="Q248" i="6" s="1"/>
  <c r="N233" i="6"/>
  <c r="P233" i="6"/>
  <c r="Q233" i="6" s="1"/>
  <c r="N162" i="6"/>
  <c r="P162" i="6"/>
  <c r="Q162" i="6" s="1"/>
  <c r="N267" i="6"/>
  <c r="P267" i="6"/>
  <c r="Q267" i="6" s="1"/>
  <c r="N404" i="6"/>
  <c r="P404" i="6"/>
  <c r="Q404" i="6" s="1"/>
  <c r="N531" i="6"/>
  <c r="P531" i="6"/>
  <c r="Q531" i="6" s="1"/>
  <c r="N595" i="6"/>
  <c r="P595" i="6"/>
  <c r="Q595" i="6" s="1"/>
  <c r="N221" i="6"/>
  <c r="P221" i="6"/>
  <c r="Q221" i="6" s="1"/>
  <c r="N207" i="6"/>
  <c r="P207" i="6"/>
  <c r="Q207" i="6" s="1"/>
  <c r="N136" i="6"/>
  <c r="P136" i="6"/>
  <c r="Q136" i="6" s="1"/>
  <c r="N185" i="6"/>
  <c r="P185" i="6"/>
  <c r="Q185" i="6" s="1"/>
  <c r="N27" i="6"/>
  <c r="P27" i="6"/>
  <c r="Q27" i="6" s="1"/>
  <c r="N199" i="6"/>
  <c r="P199" i="6"/>
  <c r="Q199" i="6" s="1"/>
  <c r="N128" i="6"/>
  <c r="P128" i="6"/>
  <c r="Q128" i="6" s="1"/>
  <c r="N113" i="6"/>
  <c r="P113" i="6"/>
  <c r="Q113" i="6" s="1"/>
  <c r="N42" i="6"/>
  <c r="P42" i="6"/>
  <c r="Q42" i="6" s="1"/>
  <c r="N147" i="6"/>
  <c r="P147" i="6"/>
  <c r="Q147" i="6" s="1"/>
  <c r="N284" i="6"/>
  <c r="P284" i="6"/>
  <c r="Q284" i="6" s="1"/>
  <c r="N197" i="6"/>
  <c r="P197" i="6"/>
  <c r="Q197" i="6" s="1"/>
  <c r="N389" i="6"/>
  <c r="P389" i="6"/>
  <c r="Q389" i="6" s="1"/>
  <c r="N510" i="6"/>
  <c r="P510" i="6"/>
  <c r="Q510" i="6" s="1"/>
  <c r="N597" i="6"/>
  <c r="P597" i="6"/>
  <c r="Q597" i="6" s="1"/>
  <c r="N91" i="6"/>
  <c r="P91" i="6"/>
  <c r="Q91" i="6" s="1"/>
  <c r="N215" i="6"/>
  <c r="P215" i="6"/>
  <c r="Q215" i="6" s="1"/>
  <c r="N144" i="6"/>
  <c r="P144" i="6"/>
  <c r="Q144" i="6" s="1"/>
  <c r="N129" i="6"/>
  <c r="P129" i="6"/>
  <c r="Q129" i="6" s="1"/>
  <c r="N58" i="6"/>
  <c r="P58" i="6"/>
  <c r="Q58" i="6" s="1"/>
  <c r="N163" i="6"/>
  <c r="P163" i="6"/>
  <c r="Q163" i="6" s="1"/>
  <c r="N300" i="6"/>
  <c r="P300" i="6"/>
  <c r="Q300" i="6" s="1"/>
  <c r="N261" i="6"/>
  <c r="P261" i="6"/>
  <c r="Q261" i="6" s="1"/>
  <c r="N426" i="6"/>
  <c r="P426" i="6"/>
  <c r="Q426" i="6" s="1"/>
  <c r="N538" i="6"/>
  <c r="P538" i="6"/>
  <c r="Q538" i="6" s="1"/>
  <c r="N31" i="6"/>
  <c r="P31" i="6"/>
  <c r="Q31" i="6" s="1"/>
  <c r="N543" i="6"/>
  <c r="P543" i="6"/>
  <c r="Q543" i="6" s="1"/>
  <c r="N472" i="6"/>
  <c r="P472" i="6"/>
  <c r="Q472" i="6" s="1"/>
  <c r="N457" i="6"/>
  <c r="P457" i="6"/>
  <c r="Q457" i="6" s="1"/>
  <c r="N386" i="6"/>
  <c r="P386" i="6"/>
  <c r="Q386" i="6" s="1"/>
  <c r="N116" i="6"/>
  <c r="P116" i="6"/>
  <c r="Q116" i="6" s="1"/>
  <c r="N419" i="6"/>
  <c r="P419" i="6"/>
  <c r="Q419" i="6" s="1"/>
  <c r="N518" i="6"/>
  <c r="P518" i="6"/>
  <c r="Q518" i="6" s="1"/>
  <c r="N588" i="6"/>
  <c r="P588" i="6"/>
  <c r="Q588" i="6" s="1"/>
  <c r="N509" i="6"/>
  <c r="P509" i="6"/>
  <c r="Q509" i="6" s="1"/>
  <c r="N359" i="6"/>
  <c r="P359" i="6"/>
  <c r="Q359" i="6" s="1"/>
  <c r="N288" i="6"/>
  <c r="P288" i="6"/>
  <c r="Q288" i="6" s="1"/>
  <c r="N273" i="6"/>
  <c r="P273" i="6"/>
  <c r="Q273" i="6" s="1"/>
  <c r="N202" i="6"/>
  <c r="P202" i="6"/>
  <c r="Q202" i="6" s="1"/>
  <c r="N307" i="6"/>
  <c r="P307" i="6"/>
  <c r="Q307" i="6" s="1"/>
  <c r="N444" i="6"/>
  <c r="P444" i="6"/>
  <c r="Q444" i="6" s="1"/>
  <c r="N584" i="6"/>
  <c r="P584" i="6"/>
  <c r="Q584" i="6" s="1"/>
  <c r="N110" i="6"/>
  <c r="P110" i="6"/>
  <c r="Q110" i="6" s="1"/>
  <c r="N379" i="6"/>
  <c r="P379" i="6"/>
  <c r="Q379" i="6" s="1"/>
  <c r="N247" i="6"/>
  <c r="P247" i="6"/>
  <c r="Q247" i="6" s="1"/>
  <c r="N176" i="6"/>
  <c r="P176" i="6"/>
  <c r="Q176" i="6" s="1"/>
  <c r="N225" i="6"/>
  <c r="P225" i="6"/>
  <c r="Q225" i="6" s="1"/>
  <c r="N195" i="6"/>
  <c r="P195" i="6"/>
  <c r="Q195" i="6" s="1"/>
  <c r="N303" i="6"/>
  <c r="P303" i="6"/>
  <c r="Q303" i="6" s="1"/>
  <c r="N232" i="6"/>
  <c r="P232" i="6"/>
  <c r="Q232" i="6" s="1"/>
  <c r="N217" i="6"/>
  <c r="P217" i="6"/>
  <c r="Q217" i="6" s="1"/>
  <c r="N146" i="6"/>
  <c r="P146" i="6"/>
  <c r="Q146" i="6" s="1"/>
  <c r="N251" i="6"/>
  <c r="P251" i="6"/>
  <c r="Q251" i="6" s="1"/>
  <c r="N388" i="6"/>
  <c r="P388" i="6"/>
  <c r="Q388" i="6" s="1"/>
  <c r="N501" i="6"/>
  <c r="P501" i="6"/>
  <c r="Q501" i="6" s="1"/>
  <c r="N576" i="6"/>
  <c r="P576" i="6"/>
  <c r="Q576" i="6" s="1"/>
  <c r="N157" i="6"/>
  <c r="P157" i="6"/>
  <c r="Q157" i="6" s="1"/>
  <c r="N97" i="6"/>
  <c r="P97" i="6"/>
  <c r="Q97" i="6" s="1"/>
  <c r="N259" i="6"/>
  <c r="P259" i="6"/>
  <c r="Q259" i="6" s="1"/>
  <c r="N395" i="6"/>
  <c r="P395" i="6"/>
  <c r="Q395" i="6" s="1"/>
  <c r="N413" i="6"/>
  <c r="P413" i="6"/>
  <c r="Q413" i="6" s="1"/>
  <c r="N587" i="6"/>
  <c r="P587" i="6"/>
  <c r="Q587" i="6" s="1"/>
  <c r="N552" i="6"/>
  <c r="P552" i="6"/>
  <c r="Q552" i="6" s="1"/>
  <c r="N30" i="6"/>
  <c r="P30" i="6"/>
  <c r="Q30" i="6" s="1"/>
  <c r="N310" i="6"/>
  <c r="P310" i="6"/>
  <c r="Q310" i="6" s="1"/>
  <c r="N477" i="6"/>
  <c r="P477" i="6"/>
  <c r="Q477" i="6" s="1"/>
  <c r="N493" i="6"/>
  <c r="P493" i="6"/>
  <c r="Q493" i="6" s="1"/>
  <c r="N383" i="6"/>
  <c r="P383" i="6"/>
  <c r="Q383" i="6" s="1"/>
  <c r="N312" i="6"/>
  <c r="P312" i="6"/>
  <c r="Q312" i="6" s="1"/>
  <c r="N297" i="6"/>
  <c r="P297" i="6"/>
  <c r="Q297" i="6" s="1"/>
  <c r="N226" i="6"/>
  <c r="P226" i="6"/>
  <c r="Q226" i="6" s="1"/>
  <c r="N331" i="6"/>
  <c r="P331" i="6"/>
  <c r="Q331" i="6" s="1"/>
  <c r="N468" i="6"/>
  <c r="P468" i="6"/>
  <c r="Q468" i="6" s="1"/>
  <c r="N6" i="6"/>
  <c r="P6" i="6"/>
  <c r="Q6" i="6" s="1"/>
  <c r="N206" i="6"/>
  <c r="P206" i="6"/>
  <c r="Q206" i="6" s="1"/>
  <c r="N434" i="6"/>
  <c r="P434" i="6"/>
  <c r="Q434" i="6" s="1"/>
  <c r="N271" i="6"/>
  <c r="P271" i="6"/>
  <c r="Q271" i="6" s="1"/>
  <c r="N200" i="6"/>
  <c r="P200" i="6"/>
  <c r="Q200" i="6" s="1"/>
  <c r="N249" i="6"/>
  <c r="P249" i="6"/>
  <c r="Q249" i="6" s="1"/>
  <c r="N155" i="6"/>
  <c r="P155" i="6"/>
  <c r="Q155" i="6" s="1"/>
  <c r="N263" i="6"/>
  <c r="P263" i="6"/>
  <c r="Q263" i="6" s="1"/>
  <c r="N192" i="6"/>
  <c r="P192" i="6"/>
  <c r="Q192" i="6" s="1"/>
  <c r="N177" i="6"/>
  <c r="P177" i="6"/>
  <c r="Q177" i="6" s="1"/>
  <c r="N106" i="6"/>
  <c r="P106" i="6"/>
  <c r="Q106" i="6" s="1"/>
  <c r="N211" i="6"/>
  <c r="P211" i="6"/>
  <c r="Q211" i="6" s="1"/>
  <c r="N348" i="6"/>
  <c r="P348" i="6"/>
  <c r="Q348" i="6" s="1"/>
  <c r="N421" i="6"/>
  <c r="P421" i="6"/>
  <c r="Q421" i="6" s="1"/>
  <c r="N522" i="6"/>
  <c r="P522" i="6"/>
  <c r="Q522" i="6" s="1"/>
  <c r="N598" i="6"/>
  <c r="P598" i="6"/>
  <c r="Q598" i="6" s="1"/>
  <c r="N143" i="6"/>
  <c r="P143" i="6"/>
  <c r="Q143" i="6" s="1"/>
  <c r="N219" i="6"/>
  <c r="P219" i="6"/>
  <c r="Q219" i="6" s="1"/>
  <c r="N279" i="6"/>
  <c r="P279" i="6"/>
  <c r="Q279" i="6" s="1"/>
  <c r="N208" i="6"/>
  <c r="P208" i="6"/>
  <c r="Q208" i="6" s="1"/>
  <c r="N193" i="6"/>
  <c r="P193" i="6"/>
  <c r="Q193" i="6" s="1"/>
  <c r="N122" i="6"/>
  <c r="P122" i="6"/>
  <c r="Q122" i="6" s="1"/>
  <c r="N227" i="6"/>
  <c r="P227" i="6"/>
  <c r="Q227" i="6" s="1"/>
  <c r="N364" i="6"/>
  <c r="P364" i="6"/>
  <c r="Q364" i="6" s="1"/>
  <c r="N453" i="6"/>
  <c r="P453" i="6"/>
  <c r="Q453" i="6" s="1"/>
  <c r="N544" i="6"/>
  <c r="P544" i="6"/>
  <c r="Q544" i="6" s="1"/>
  <c r="N61" i="6"/>
  <c r="P61" i="6"/>
  <c r="Q61" i="6" s="1"/>
  <c r="N95" i="6"/>
  <c r="P95" i="6"/>
  <c r="Q95" i="6" s="1"/>
  <c r="N24" i="6"/>
  <c r="P24" i="6"/>
  <c r="Q24" i="6" s="1"/>
  <c r="N9" i="6"/>
  <c r="P9" i="6"/>
  <c r="Q9" i="6" s="1"/>
  <c r="N521" i="6"/>
  <c r="P521" i="6"/>
  <c r="Q521" i="6" s="1"/>
  <c r="N43" i="6"/>
  <c r="P43" i="6"/>
  <c r="Q43" i="6" s="1"/>
  <c r="N180" i="6"/>
  <c r="P180" i="6"/>
  <c r="Q180" i="6" s="1"/>
  <c r="N540" i="6"/>
  <c r="P540" i="6"/>
  <c r="Q540" i="6" s="1"/>
  <c r="N602" i="6"/>
  <c r="P602" i="6"/>
  <c r="Q602" i="6" s="1"/>
  <c r="N214" i="6"/>
  <c r="P214" i="6"/>
  <c r="Q214" i="6" s="1"/>
  <c r="N277" i="6"/>
  <c r="P277" i="6"/>
  <c r="Q277" i="6" s="1"/>
  <c r="N423" i="6"/>
  <c r="P423" i="6"/>
  <c r="Q423" i="6" s="1"/>
  <c r="N352" i="6"/>
  <c r="P352" i="6"/>
  <c r="Q352" i="6" s="1"/>
  <c r="N337" i="6"/>
  <c r="P337" i="6"/>
  <c r="Q337" i="6" s="1"/>
  <c r="N266" i="6"/>
  <c r="P266" i="6"/>
  <c r="Q266" i="6" s="1"/>
  <c r="N371" i="6"/>
  <c r="P371" i="6"/>
  <c r="Q371" i="6" s="1"/>
  <c r="N508" i="6"/>
  <c r="P508" i="6"/>
  <c r="Q508" i="6" s="1"/>
  <c r="N166" i="6"/>
  <c r="P166" i="6"/>
  <c r="Q166" i="6" s="1"/>
  <c r="N366" i="6"/>
  <c r="P366" i="6"/>
  <c r="Q366" i="6" s="1"/>
  <c r="N514" i="6"/>
  <c r="P514" i="6"/>
  <c r="Q514" i="6" s="1"/>
  <c r="N311" i="6"/>
  <c r="P311" i="6"/>
  <c r="Q311" i="6" s="1"/>
  <c r="N240" i="6"/>
  <c r="P240" i="6"/>
  <c r="Q240" i="6" s="1"/>
  <c r="N289" i="6"/>
  <c r="P289" i="6"/>
  <c r="Q289" i="6" s="1"/>
  <c r="N323" i="6"/>
  <c r="P323" i="6"/>
  <c r="Q323" i="6" s="1"/>
  <c r="N367" i="6"/>
  <c r="P367" i="6"/>
  <c r="Q367" i="6" s="1"/>
  <c r="N296" i="6"/>
  <c r="P296" i="6"/>
  <c r="Q296" i="6" s="1"/>
  <c r="N281" i="6"/>
  <c r="P281" i="6"/>
  <c r="Q281" i="6" s="1"/>
  <c r="N210" i="6"/>
  <c r="P210" i="6"/>
  <c r="Q210" i="6" s="1"/>
  <c r="N315" i="6"/>
  <c r="P315" i="6"/>
  <c r="Q315" i="6" s="1"/>
  <c r="N452" i="6"/>
  <c r="P452" i="6"/>
  <c r="Q452" i="6" s="1"/>
  <c r="N593" i="6"/>
  <c r="P593" i="6"/>
  <c r="Q593" i="6" s="1"/>
  <c r="N142" i="6"/>
  <c r="P142" i="6"/>
  <c r="Q142" i="6" s="1"/>
  <c r="N398" i="6"/>
  <c r="P398" i="6"/>
  <c r="Q398" i="6" s="1"/>
  <c r="N353" i="6"/>
  <c r="P353" i="6"/>
  <c r="Q353" i="6" s="1"/>
  <c r="N332" i="6"/>
  <c r="P332" i="6"/>
  <c r="Q332" i="6" s="1"/>
  <c r="N356" i="6"/>
  <c r="P356" i="6"/>
  <c r="Q356" i="6" s="1"/>
  <c r="N292" i="6"/>
  <c r="P292" i="6"/>
  <c r="Q292" i="6" s="1"/>
  <c r="N54" i="6"/>
  <c r="P54" i="6"/>
  <c r="Q54" i="6" s="1"/>
  <c r="N586" i="6"/>
  <c r="P586" i="6"/>
  <c r="Q586" i="6" s="1"/>
  <c r="N229" i="6"/>
  <c r="P229" i="6"/>
  <c r="Q229" i="6" s="1"/>
  <c r="N418" i="6"/>
  <c r="P418" i="6"/>
  <c r="Q418" i="6" s="1"/>
  <c r="N268" i="6"/>
  <c r="P268" i="6"/>
  <c r="Q268" i="6" s="1"/>
  <c r="N126" i="6"/>
  <c r="P126" i="6"/>
  <c r="Q126" i="6" s="1"/>
  <c r="N447" i="6"/>
  <c r="P447" i="6"/>
  <c r="Q447" i="6" s="1"/>
  <c r="N376" i="6"/>
  <c r="P376" i="6"/>
  <c r="Q376" i="6" s="1"/>
  <c r="N361" i="6"/>
  <c r="P361" i="6"/>
  <c r="Q361" i="6" s="1"/>
  <c r="N290" i="6"/>
  <c r="P290" i="6"/>
  <c r="Q290" i="6" s="1"/>
  <c r="N20" i="6"/>
  <c r="P20" i="6"/>
  <c r="Q20" i="6" s="1"/>
  <c r="N62" i="6"/>
  <c r="P62" i="6"/>
  <c r="Q62" i="6" s="1"/>
  <c r="N262" i="6"/>
  <c r="P262" i="6"/>
  <c r="Q262" i="6" s="1"/>
  <c r="N427" i="6"/>
  <c r="P427" i="6"/>
  <c r="Q427" i="6" s="1"/>
  <c r="N549" i="6"/>
  <c r="P549" i="6"/>
  <c r="Q549" i="6" s="1"/>
  <c r="N335" i="6"/>
  <c r="P335" i="6"/>
  <c r="Q335" i="6" s="1"/>
  <c r="N264" i="6"/>
  <c r="P264" i="6"/>
  <c r="Q264" i="6" s="1"/>
  <c r="N377" i="6"/>
  <c r="P377" i="6"/>
  <c r="Q377" i="6" s="1"/>
  <c r="N283" i="6"/>
  <c r="P283" i="6"/>
  <c r="Q283" i="6" s="1"/>
  <c r="N327" i="6"/>
  <c r="P327" i="6"/>
  <c r="Q327" i="6" s="1"/>
  <c r="N256" i="6"/>
  <c r="P256" i="6"/>
  <c r="Q256" i="6" s="1"/>
  <c r="N241" i="6"/>
  <c r="P241" i="6"/>
  <c r="Q241" i="6" s="1"/>
  <c r="N170" i="6"/>
  <c r="P170" i="6"/>
  <c r="Q170" i="6" s="1"/>
  <c r="N275" i="6"/>
  <c r="P275" i="6"/>
  <c r="Q275" i="6" s="1"/>
  <c r="N412" i="6"/>
  <c r="P412" i="6"/>
  <c r="Q412" i="6" s="1"/>
  <c r="N541" i="6"/>
  <c r="P541" i="6"/>
  <c r="Q541" i="6" s="1"/>
  <c r="N2" i="6"/>
  <c r="N253" i="6"/>
  <c r="P253" i="6"/>
  <c r="Q253" i="6" s="1"/>
  <c r="N520" i="6"/>
  <c r="P520" i="6"/>
  <c r="Q520" i="6" s="1"/>
  <c r="N347" i="6"/>
  <c r="P347" i="6"/>
  <c r="Q347" i="6" s="1"/>
  <c r="N343" i="6"/>
  <c r="P343" i="6"/>
  <c r="Q343" i="6" s="1"/>
  <c r="N272" i="6"/>
  <c r="P272" i="6"/>
  <c r="Q272" i="6" s="1"/>
  <c r="N257" i="6"/>
  <c r="P257" i="6"/>
  <c r="Q257" i="6" s="1"/>
  <c r="N186" i="6"/>
  <c r="P186" i="6"/>
  <c r="Q186" i="6" s="1"/>
  <c r="N291" i="6"/>
  <c r="P291" i="6"/>
  <c r="Q291" i="6" s="1"/>
  <c r="N428" i="6"/>
  <c r="P428" i="6"/>
  <c r="Q428" i="6" s="1"/>
  <c r="N563" i="6"/>
  <c r="P563" i="6"/>
  <c r="Q563" i="6" s="1"/>
  <c r="N46" i="6"/>
  <c r="P46" i="6"/>
  <c r="Q46" i="6" s="1"/>
  <c r="N317" i="6"/>
  <c r="P317" i="6"/>
  <c r="Q317" i="6" s="1"/>
  <c r="N159" i="6"/>
  <c r="P159" i="6"/>
  <c r="Q159" i="6" s="1"/>
  <c r="N88" i="6"/>
  <c r="P88" i="6"/>
  <c r="Q88" i="6" s="1"/>
  <c r="N73" i="6"/>
  <c r="P73" i="6"/>
  <c r="Q73" i="6" s="1"/>
  <c r="N585" i="6"/>
  <c r="P585" i="6"/>
  <c r="Q585" i="6" s="1"/>
  <c r="N107" i="6"/>
  <c r="P107" i="6"/>
  <c r="Q107" i="6" s="1"/>
  <c r="N244" i="6"/>
  <c r="P244" i="6"/>
  <c r="Q244" i="6" s="1"/>
  <c r="N37" i="6"/>
  <c r="P37" i="6"/>
  <c r="Q37" i="6" s="1"/>
  <c r="N237" i="6"/>
  <c r="P237" i="6"/>
  <c r="Q237" i="6" s="1"/>
  <c r="N430" i="6"/>
  <c r="P430" i="6"/>
  <c r="Q430" i="6" s="1"/>
  <c r="N117" i="6"/>
  <c r="P117" i="6"/>
  <c r="Q117" i="6" s="1"/>
  <c r="N487" i="6"/>
  <c r="P487" i="6"/>
  <c r="Q487" i="6" s="1"/>
  <c r="N416" i="6"/>
  <c r="P416" i="6"/>
  <c r="Q416" i="6" s="1"/>
  <c r="N401" i="6"/>
  <c r="P401" i="6"/>
  <c r="Q401" i="6" s="1"/>
  <c r="N330" i="6"/>
  <c r="P330" i="6"/>
  <c r="Q330" i="6" s="1"/>
  <c r="N60" i="6"/>
  <c r="P60" i="6"/>
  <c r="Q60" i="6" s="1"/>
  <c r="N222" i="6"/>
  <c r="P222" i="6"/>
  <c r="Q222" i="6" s="1"/>
  <c r="N406" i="6"/>
  <c r="P406" i="6"/>
  <c r="Q406" i="6" s="1"/>
  <c r="N507" i="6"/>
  <c r="P507" i="6"/>
  <c r="Q507" i="6" s="1"/>
  <c r="N599" i="6"/>
  <c r="P599" i="6"/>
  <c r="Q599" i="6" s="1"/>
  <c r="N375" i="6"/>
  <c r="P375" i="6"/>
  <c r="Q375" i="6" s="1"/>
  <c r="N304" i="6"/>
  <c r="P304" i="6"/>
  <c r="Q304" i="6" s="1"/>
  <c r="N417" i="6"/>
  <c r="P417" i="6"/>
  <c r="Q417" i="6" s="1"/>
  <c r="N76" i="6"/>
  <c r="P76" i="6"/>
  <c r="Q76" i="6" s="1"/>
  <c r="N431" i="6"/>
  <c r="P431" i="6"/>
  <c r="Q431" i="6" s="1"/>
  <c r="N360" i="6"/>
  <c r="P360" i="6"/>
  <c r="Q360" i="6" s="1"/>
  <c r="N345" i="6"/>
  <c r="P345" i="6"/>
  <c r="Q345" i="6" s="1"/>
  <c r="N274" i="6"/>
  <c r="P274" i="6"/>
  <c r="Q274" i="6" s="1"/>
  <c r="N4" i="6"/>
  <c r="P4" i="6"/>
  <c r="Q4" i="6" s="1"/>
  <c r="N516" i="6"/>
  <c r="P516" i="6"/>
  <c r="Q516" i="6" s="1"/>
  <c r="N198" i="6"/>
  <c r="P198" i="6"/>
  <c r="Q198" i="6" s="1"/>
  <c r="N390" i="6"/>
  <c r="P390" i="6"/>
  <c r="Q390" i="6" s="1"/>
  <c r="N526" i="6"/>
  <c r="P526" i="6"/>
  <c r="Q526" i="6" s="1"/>
  <c r="N481" i="6"/>
  <c r="P481" i="6"/>
  <c r="Q481" i="6" s="1"/>
  <c r="N286" i="6"/>
  <c r="P286" i="6"/>
  <c r="Q286" i="6" s="1"/>
  <c r="N381" i="6"/>
  <c r="P381" i="6"/>
  <c r="Q381" i="6" s="1"/>
  <c r="N459" i="6"/>
  <c r="P459" i="6"/>
  <c r="Q459" i="6" s="1"/>
  <c r="N189" i="6"/>
  <c r="P189" i="6"/>
  <c r="Q189" i="6" s="1"/>
  <c r="N14" i="6"/>
  <c r="P14" i="6"/>
  <c r="Q14" i="6" s="1"/>
  <c r="N204" i="6"/>
  <c r="P204" i="6"/>
  <c r="Q204" i="6" s="1"/>
  <c r="N373" i="6"/>
  <c r="P373" i="6"/>
  <c r="Q373" i="6" s="1"/>
  <c r="N133" i="6"/>
  <c r="P133" i="6"/>
  <c r="Q133" i="6" s="1"/>
  <c r="N326" i="6"/>
  <c r="P326" i="6"/>
  <c r="Q326" i="6" s="1"/>
  <c r="N511" i="6"/>
  <c r="P511" i="6"/>
  <c r="Q511" i="6" s="1"/>
  <c r="N440" i="6"/>
  <c r="P440" i="6"/>
  <c r="Q440" i="6" s="1"/>
  <c r="N425" i="6"/>
  <c r="P425" i="6"/>
  <c r="Q425" i="6" s="1"/>
  <c r="N354" i="6"/>
  <c r="P354" i="6"/>
  <c r="Q354" i="6" s="1"/>
  <c r="N84" i="6"/>
  <c r="P84" i="6"/>
  <c r="Q84" i="6" s="1"/>
  <c r="N318" i="6"/>
  <c r="P318" i="6"/>
  <c r="Q318" i="6" s="1"/>
  <c r="N454" i="6"/>
  <c r="P454" i="6"/>
  <c r="Q454" i="6" s="1"/>
  <c r="N546" i="6"/>
  <c r="P546" i="6"/>
  <c r="Q546" i="6" s="1"/>
  <c r="N524" i="6"/>
  <c r="P524" i="6"/>
  <c r="Q524" i="6" s="1"/>
  <c r="N399" i="6"/>
  <c r="P399" i="6"/>
  <c r="Q399" i="6" s="1"/>
  <c r="N328" i="6"/>
  <c r="P328" i="6"/>
  <c r="Q328" i="6" s="1"/>
  <c r="N441" i="6"/>
  <c r="P441" i="6"/>
  <c r="Q441" i="6" s="1"/>
  <c r="N36" i="6"/>
  <c r="P36" i="6"/>
  <c r="Q36" i="6" s="1"/>
  <c r="N391" i="6"/>
  <c r="P391" i="6"/>
  <c r="Q391" i="6" s="1"/>
  <c r="N320" i="6"/>
  <c r="P320" i="6"/>
  <c r="Q320" i="6" s="1"/>
  <c r="N305" i="6"/>
  <c r="P305" i="6"/>
  <c r="Q305" i="6" s="1"/>
  <c r="N234" i="6"/>
  <c r="P234" i="6"/>
  <c r="Q234" i="6" s="1"/>
  <c r="N339" i="6"/>
  <c r="P339" i="6"/>
  <c r="Q339" i="6" s="1"/>
  <c r="N476" i="6"/>
  <c r="P476" i="6"/>
  <c r="Q476" i="6" s="1"/>
  <c r="N38" i="6"/>
  <c r="P38" i="6"/>
  <c r="Q38" i="6" s="1"/>
  <c r="N238" i="6"/>
  <c r="P238" i="6"/>
  <c r="Q238" i="6" s="1"/>
  <c r="N450" i="6"/>
  <c r="P450" i="6"/>
  <c r="Q450" i="6" s="1"/>
  <c r="N313" i="6"/>
  <c r="P313" i="6"/>
  <c r="Q313" i="6" s="1"/>
  <c r="N100" i="6"/>
  <c r="P100" i="6"/>
  <c r="Q100" i="6" s="1"/>
  <c r="N407" i="6"/>
  <c r="P407" i="6"/>
  <c r="Q407" i="6" s="1"/>
  <c r="N336" i="6"/>
  <c r="P336" i="6"/>
  <c r="Q336" i="6" s="1"/>
  <c r="N321" i="6"/>
  <c r="P321" i="6"/>
  <c r="Q321" i="6" s="1"/>
  <c r="N250" i="6"/>
  <c r="P250" i="6"/>
  <c r="Q250" i="6" s="1"/>
  <c r="N355" i="6"/>
  <c r="P355" i="6"/>
  <c r="Q355" i="6" s="1"/>
  <c r="N492" i="6"/>
  <c r="P492" i="6"/>
  <c r="Q492" i="6" s="1"/>
  <c r="N102" i="6"/>
  <c r="P102" i="6"/>
  <c r="Q102" i="6" s="1"/>
  <c r="N302" i="6"/>
  <c r="P302" i="6"/>
  <c r="Q302" i="6" s="1"/>
  <c r="N482" i="6"/>
  <c r="P482" i="6"/>
  <c r="Q482" i="6" s="1"/>
  <c r="N223" i="6"/>
  <c r="P223" i="6"/>
  <c r="Q223" i="6" s="1"/>
  <c r="N152" i="6"/>
  <c r="P152" i="6"/>
  <c r="Q152" i="6" s="1"/>
  <c r="N137" i="6"/>
  <c r="P137" i="6"/>
  <c r="Q137" i="6" s="1"/>
  <c r="N66" i="6"/>
  <c r="P66" i="6"/>
  <c r="Q66" i="6" s="1"/>
  <c r="N171" i="6"/>
  <c r="P171" i="6"/>
  <c r="Q171" i="6" s="1"/>
  <c r="N308" i="6"/>
  <c r="P308" i="6"/>
  <c r="Q308" i="6" s="1"/>
  <c r="N293" i="6"/>
  <c r="P293" i="6"/>
  <c r="Q293" i="6" s="1"/>
  <c r="N442" i="6"/>
  <c r="P442" i="6"/>
  <c r="Q442" i="6" s="1"/>
  <c r="N548" i="6"/>
  <c r="P548" i="6"/>
  <c r="Q548" i="6" s="1"/>
  <c r="N39" i="6"/>
  <c r="P39" i="6"/>
  <c r="Q39" i="6" s="1"/>
  <c r="N551" i="6"/>
  <c r="P551" i="6"/>
  <c r="Q551" i="6" s="1"/>
  <c r="N480" i="6"/>
  <c r="P480" i="6"/>
  <c r="Q480" i="6" s="1"/>
  <c r="N465" i="6"/>
  <c r="P465" i="6"/>
  <c r="Q465" i="6" s="1"/>
  <c r="N394" i="6"/>
  <c r="P394" i="6"/>
  <c r="Q394" i="6" s="1"/>
  <c r="N124" i="6"/>
  <c r="P124" i="6"/>
  <c r="Q124" i="6" s="1"/>
  <c r="N435" i="6"/>
  <c r="P435" i="6"/>
  <c r="Q435" i="6" s="1"/>
  <c r="N532" i="6"/>
  <c r="P532" i="6"/>
  <c r="Q532" i="6" s="1"/>
  <c r="N596" i="6"/>
  <c r="P596" i="6"/>
  <c r="Q596" i="6" s="1"/>
  <c r="N213" i="6"/>
  <c r="P213" i="6"/>
  <c r="Q213" i="6" s="1"/>
  <c r="N439" i="6"/>
  <c r="P439" i="6"/>
  <c r="Q439" i="6" s="1"/>
  <c r="N368" i="6"/>
  <c r="P368" i="6"/>
  <c r="Q368" i="6" s="1"/>
  <c r="N545" i="6"/>
  <c r="P545" i="6"/>
  <c r="Q545" i="6" s="1"/>
  <c r="N140" i="6"/>
  <c r="P140" i="6"/>
  <c r="Q140" i="6" s="1"/>
  <c r="N495" i="6"/>
  <c r="P495" i="6"/>
  <c r="Q495" i="6" s="1"/>
  <c r="N424" i="6"/>
  <c r="P424" i="6"/>
  <c r="Q424" i="6" s="1"/>
  <c r="N409" i="6"/>
  <c r="P409" i="6"/>
  <c r="Q409" i="6" s="1"/>
  <c r="N338" i="6"/>
  <c r="P338" i="6"/>
  <c r="Q338" i="6" s="1"/>
  <c r="N68" i="6"/>
  <c r="P68" i="6"/>
  <c r="Q68" i="6" s="1"/>
  <c r="N254" i="6"/>
  <c r="P254" i="6"/>
  <c r="Q254" i="6" s="1"/>
  <c r="N422" i="6"/>
  <c r="P422" i="6"/>
  <c r="Q422" i="6" s="1"/>
  <c r="N523" i="6"/>
  <c r="P523" i="6"/>
  <c r="Q523" i="6" s="1"/>
  <c r="N149" i="6"/>
  <c r="P149" i="6"/>
  <c r="Q149" i="6" s="1"/>
  <c r="N26" i="6"/>
  <c r="P26" i="6"/>
  <c r="Q26" i="6" s="1"/>
  <c r="N382" i="6"/>
  <c r="P382" i="6"/>
  <c r="Q382" i="6" s="1"/>
  <c r="N437" i="6"/>
  <c r="P437" i="6"/>
  <c r="Q437" i="6" s="1"/>
  <c r="N571" i="6"/>
  <c r="P571" i="6"/>
  <c r="Q571" i="6" s="1"/>
  <c r="N547" i="6"/>
  <c r="P547" i="6"/>
  <c r="Q547" i="6" s="1"/>
  <c r="N150" i="6"/>
  <c r="P150" i="6"/>
  <c r="Q150" i="6" s="1"/>
  <c r="N460" i="6"/>
  <c r="P460" i="6"/>
  <c r="Q460" i="6" s="1"/>
  <c r="N228" i="6"/>
  <c r="P228" i="6"/>
  <c r="Q228" i="6" s="1"/>
  <c r="N230" i="6"/>
  <c r="P230" i="6"/>
  <c r="Q230" i="6" s="1"/>
  <c r="N410" i="6"/>
  <c r="P410" i="6"/>
  <c r="Q410" i="6" s="1"/>
  <c r="N575" i="6"/>
  <c r="P575" i="6"/>
  <c r="Q575" i="6" s="1"/>
  <c r="N504" i="6"/>
  <c r="P504" i="6"/>
  <c r="Q504" i="6" s="1"/>
  <c r="N489" i="6"/>
  <c r="P489" i="6"/>
  <c r="Q489" i="6" s="1"/>
  <c r="N11" i="6"/>
  <c r="P11" i="6"/>
  <c r="Q11" i="6" s="1"/>
  <c r="N148" i="6"/>
  <c r="P148" i="6"/>
  <c r="Q148" i="6" s="1"/>
  <c r="N483" i="6"/>
  <c r="P483" i="6"/>
  <c r="Q483" i="6" s="1"/>
  <c r="N564" i="6"/>
  <c r="P564" i="6"/>
  <c r="Q564" i="6" s="1"/>
  <c r="N86" i="6"/>
  <c r="P86" i="6"/>
  <c r="Q86" i="6" s="1"/>
  <c r="N245" i="6"/>
  <c r="P245" i="6"/>
  <c r="Q245" i="6" s="1"/>
  <c r="N463" i="6"/>
  <c r="P463" i="6"/>
  <c r="Q463" i="6" s="1"/>
  <c r="N392" i="6"/>
  <c r="P392" i="6"/>
  <c r="Q392" i="6" s="1"/>
  <c r="N569" i="6"/>
  <c r="P569" i="6"/>
  <c r="Q569" i="6" s="1"/>
  <c r="N164" i="6"/>
  <c r="P164" i="6"/>
  <c r="Q164" i="6" s="1"/>
  <c r="N455" i="6"/>
  <c r="P455" i="6"/>
  <c r="Q455" i="6" s="1"/>
  <c r="N384" i="6"/>
  <c r="P384" i="6"/>
  <c r="Q384" i="6" s="1"/>
  <c r="N369" i="6"/>
  <c r="P369" i="6"/>
  <c r="Q369" i="6" s="1"/>
  <c r="N298" i="6"/>
  <c r="P298" i="6"/>
  <c r="Q298" i="6" s="1"/>
  <c r="N28" i="6"/>
  <c r="P28" i="6"/>
  <c r="Q28" i="6" s="1"/>
  <c r="N94" i="6"/>
  <c r="P94" i="6"/>
  <c r="Q94" i="6" s="1"/>
  <c r="N294" i="6"/>
  <c r="P294" i="6"/>
  <c r="Q294" i="6" s="1"/>
  <c r="N443" i="6"/>
  <c r="P443" i="6"/>
  <c r="Q443" i="6" s="1"/>
  <c r="N560" i="6"/>
  <c r="P560" i="6"/>
  <c r="Q560" i="6" s="1"/>
  <c r="N505" i="6"/>
  <c r="P505" i="6"/>
  <c r="Q505" i="6" s="1"/>
  <c r="N15" i="6"/>
  <c r="P15" i="6"/>
  <c r="Q15" i="6" s="1"/>
  <c r="N471" i="6"/>
  <c r="P471" i="6"/>
  <c r="Q471" i="6" s="1"/>
  <c r="N400" i="6"/>
  <c r="P400" i="6"/>
  <c r="Q400" i="6" s="1"/>
  <c r="N385" i="6"/>
  <c r="P385" i="6"/>
  <c r="Q385" i="6" s="1"/>
  <c r="N314" i="6"/>
  <c r="P314" i="6"/>
  <c r="Q314" i="6" s="1"/>
  <c r="N44" i="6"/>
  <c r="P44" i="6"/>
  <c r="Q44" i="6" s="1"/>
  <c r="N158" i="6"/>
  <c r="P158" i="6"/>
  <c r="Q158" i="6" s="1"/>
  <c r="N358" i="6"/>
  <c r="P358" i="6"/>
  <c r="Q358" i="6" s="1"/>
  <c r="N475" i="6"/>
  <c r="P475" i="6"/>
  <c r="Q475" i="6" s="1"/>
  <c r="N581" i="6"/>
  <c r="P581" i="6"/>
  <c r="Q581" i="6" s="1"/>
  <c r="N287" i="6"/>
  <c r="P287" i="6"/>
  <c r="Q287" i="6" s="1"/>
  <c r="N216" i="6"/>
  <c r="P216" i="6"/>
  <c r="Q216" i="6" s="1"/>
  <c r="N201" i="6"/>
  <c r="P201" i="6"/>
  <c r="Q201" i="6" s="1"/>
  <c r="N130" i="6"/>
  <c r="P130" i="6"/>
  <c r="Q130" i="6" s="1"/>
  <c r="N235" i="6"/>
  <c r="P235" i="6"/>
  <c r="Q235" i="6" s="1"/>
  <c r="N372" i="6"/>
  <c r="P372" i="6"/>
  <c r="Q372" i="6" s="1"/>
  <c r="N469" i="6"/>
  <c r="P469" i="6"/>
  <c r="Q469" i="6" s="1"/>
  <c r="N555" i="6"/>
  <c r="P555" i="6"/>
  <c r="Q555" i="6" s="1"/>
  <c r="N93" i="6"/>
  <c r="P93" i="6"/>
  <c r="Q93" i="6" s="1"/>
  <c r="N103" i="6"/>
  <c r="P103" i="6"/>
  <c r="Q103" i="6" s="1"/>
  <c r="N32" i="6"/>
  <c r="P32" i="6"/>
  <c r="Q32" i="6" s="1"/>
  <c r="N17" i="6"/>
  <c r="P17" i="6"/>
  <c r="Q17" i="6" s="1"/>
  <c r="N529" i="6"/>
  <c r="P529" i="6"/>
  <c r="Q529" i="6" s="1"/>
  <c r="N51" i="6"/>
  <c r="P51" i="6"/>
  <c r="Q51" i="6" s="1"/>
  <c r="N188" i="6"/>
  <c r="P188" i="6"/>
  <c r="Q188" i="6" s="1"/>
  <c r="N550" i="6"/>
  <c r="P550" i="6"/>
  <c r="Q550" i="6" s="1"/>
  <c r="N13" i="6"/>
  <c r="P13" i="6"/>
  <c r="Q13" i="6" s="1"/>
  <c r="N246" i="6"/>
  <c r="P246" i="6"/>
  <c r="Q246" i="6" s="1"/>
  <c r="N461" i="6"/>
  <c r="P461" i="6"/>
  <c r="Q461" i="6" s="1"/>
  <c r="N503" i="6"/>
  <c r="P503" i="6"/>
  <c r="Q503" i="6" s="1"/>
  <c r="N432" i="6"/>
  <c r="P432" i="6"/>
  <c r="Q432" i="6" s="1"/>
  <c r="N90" i="6"/>
  <c r="P90" i="6"/>
  <c r="Q90" i="6" s="1"/>
  <c r="N47" i="6"/>
  <c r="P47" i="6"/>
  <c r="Q47" i="6" s="1"/>
  <c r="N559" i="6"/>
  <c r="P559" i="6"/>
  <c r="Q559" i="6" s="1"/>
  <c r="N488" i="6"/>
  <c r="P488" i="6"/>
  <c r="Q488" i="6" s="1"/>
  <c r="N473" i="6"/>
  <c r="P473" i="6"/>
  <c r="Q473" i="6" s="1"/>
  <c r="N402" i="6"/>
  <c r="P402" i="6"/>
  <c r="Q402" i="6" s="1"/>
  <c r="N132" i="6"/>
  <c r="P132" i="6"/>
  <c r="Q132" i="6" s="1"/>
  <c r="N451" i="6"/>
  <c r="P451" i="6"/>
  <c r="Q451" i="6" s="1"/>
  <c r="N542" i="6"/>
  <c r="P542" i="6"/>
  <c r="Q542" i="6" s="1"/>
  <c r="N22" i="6"/>
  <c r="P22" i="6"/>
  <c r="Q22" i="6" s="1"/>
  <c r="N429" i="6"/>
  <c r="P429" i="6"/>
  <c r="Q429" i="6" s="1"/>
  <c r="N154" i="6"/>
  <c r="P154" i="6"/>
  <c r="Q154" i="6" s="1"/>
  <c r="N438" i="6"/>
  <c r="P438" i="6"/>
  <c r="Q438" i="6" s="1"/>
  <c r="N486" i="6"/>
  <c r="P486" i="6"/>
  <c r="Q486" i="6" s="1"/>
  <c r="N396" i="6"/>
  <c r="P396" i="6"/>
  <c r="Q396" i="6" s="1"/>
  <c r="N600" i="6"/>
  <c r="P600" i="6"/>
  <c r="Q600" i="6" s="1"/>
  <c r="N285" i="6"/>
  <c r="P285" i="6"/>
  <c r="Q285" i="6" s="1"/>
  <c r="N572" i="6"/>
  <c r="P572" i="6"/>
  <c r="Q572" i="6" s="1"/>
  <c r="N70" i="6"/>
  <c r="P70" i="6"/>
  <c r="Q70" i="6" s="1"/>
  <c r="N333" i="6"/>
  <c r="P333" i="6"/>
  <c r="Q333" i="6" s="1"/>
  <c r="N525" i="6"/>
  <c r="P525" i="6"/>
  <c r="Q525" i="6" s="1"/>
  <c r="N127" i="6"/>
  <c r="P127" i="6"/>
  <c r="Q127" i="6" s="1"/>
  <c r="N56" i="6"/>
  <c r="P56" i="6"/>
  <c r="Q56" i="6" s="1"/>
  <c r="N41" i="6"/>
  <c r="P41" i="6"/>
  <c r="Q41" i="6" s="1"/>
  <c r="N553" i="6"/>
  <c r="P553" i="6"/>
  <c r="Q553" i="6" s="1"/>
  <c r="N75" i="6"/>
  <c r="P75" i="6"/>
  <c r="Q75" i="6" s="1"/>
  <c r="N212" i="6"/>
  <c r="P212" i="6"/>
  <c r="Q212" i="6" s="1"/>
  <c r="N582" i="6"/>
  <c r="P582" i="6"/>
  <c r="Q582" i="6" s="1"/>
  <c r="N109" i="6"/>
  <c r="P109" i="6"/>
  <c r="Q109" i="6" s="1"/>
  <c r="N342" i="6"/>
  <c r="P342" i="6"/>
  <c r="Q342" i="6" s="1"/>
  <c r="N53" i="6"/>
  <c r="P53" i="6"/>
  <c r="Q53" i="6" s="1"/>
  <c r="N527" i="6"/>
  <c r="P527" i="6"/>
  <c r="Q527" i="6" s="1"/>
  <c r="N456" i="6"/>
  <c r="P456" i="6"/>
  <c r="Q456" i="6" s="1"/>
  <c r="N114" i="6"/>
  <c r="P114" i="6"/>
  <c r="Q114" i="6" s="1"/>
  <c r="N7" i="6"/>
  <c r="P7" i="6"/>
  <c r="Q7" i="6" s="1"/>
  <c r="N519" i="6"/>
  <c r="P519" i="6"/>
  <c r="Q519" i="6" s="1"/>
  <c r="N448" i="6"/>
  <c r="P448" i="6"/>
  <c r="Q448" i="6" s="1"/>
  <c r="N433" i="6"/>
  <c r="P433" i="6"/>
  <c r="Q433" i="6" s="1"/>
  <c r="N362" i="6"/>
  <c r="P362" i="6"/>
  <c r="Q362" i="6" s="1"/>
  <c r="N92" i="6"/>
  <c r="P92" i="6"/>
  <c r="Q92" i="6" s="1"/>
  <c r="N350" i="6"/>
  <c r="P350" i="6"/>
  <c r="Q350" i="6" s="1"/>
  <c r="N470" i="6"/>
  <c r="P470" i="6"/>
  <c r="Q470" i="6" s="1"/>
  <c r="N556" i="6"/>
  <c r="P556" i="6"/>
  <c r="Q556" i="6" s="1"/>
  <c r="N181" i="6"/>
  <c r="P181" i="6"/>
  <c r="Q181" i="6" s="1"/>
  <c r="N50" i="6"/>
  <c r="P50" i="6"/>
  <c r="Q50" i="6" s="1"/>
  <c r="N23" i="6"/>
  <c r="P23" i="6"/>
  <c r="Q23" i="6" s="1"/>
  <c r="N535" i="6"/>
  <c r="P535" i="6"/>
  <c r="Q535" i="6" s="1"/>
  <c r="N464" i="6"/>
  <c r="P464" i="6"/>
  <c r="Q464" i="6" s="1"/>
  <c r="N449" i="6"/>
  <c r="P449" i="6"/>
  <c r="Q449" i="6" s="1"/>
  <c r="N378" i="6"/>
  <c r="P378" i="6"/>
  <c r="Q378" i="6" s="1"/>
  <c r="N108" i="6"/>
  <c r="P108" i="6"/>
  <c r="Q108" i="6" s="1"/>
  <c r="N403" i="6"/>
  <c r="P403" i="6"/>
  <c r="Q403" i="6" s="1"/>
  <c r="N502" i="6"/>
  <c r="P502" i="6"/>
  <c r="Q502" i="6" s="1"/>
  <c r="N578" i="6"/>
  <c r="P578" i="6"/>
  <c r="Q578" i="6" s="1"/>
  <c r="N536" i="6"/>
  <c r="P536" i="6"/>
  <c r="Q536" i="6" s="1"/>
  <c r="N351" i="6"/>
  <c r="P351" i="6"/>
  <c r="Q351" i="6" s="1"/>
  <c r="N280" i="6"/>
  <c r="P280" i="6"/>
  <c r="Q280" i="6" s="1"/>
  <c r="N265" i="6"/>
  <c r="P265" i="6"/>
  <c r="Q265" i="6" s="1"/>
  <c r="N194" i="6"/>
  <c r="P194" i="6"/>
  <c r="Q194" i="6" s="1"/>
  <c r="N299" i="6"/>
  <c r="P299" i="6"/>
  <c r="Q299" i="6" s="1"/>
  <c r="N436" i="6"/>
  <c r="P436" i="6"/>
  <c r="Q436" i="6" s="1"/>
  <c r="N573" i="6"/>
  <c r="P573" i="6"/>
  <c r="Q573" i="6" s="1"/>
  <c r="N78" i="6"/>
  <c r="P78" i="6"/>
  <c r="Q78" i="6" s="1"/>
  <c r="N349" i="6"/>
  <c r="P349" i="6"/>
  <c r="Q349" i="6" s="1"/>
  <c r="N167" i="6"/>
  <c r="P167" i="6"/>
  <c r="Q167" i="6" s="1"/>
  <c r="N96" i="6"/>
  <c r="P96" i="6"/>
  <c r="Q96" i="6" s="1"/>
  <c r="N81" i="6"/>
  <c r="P81" i="6"/>
  <c r="Q81" i="6" s="1"/>
  <c r="N10" i="6"/>
  <c r="P10" i="6"/>
  <c r="Q10" i="6" s="1"/>
  <c r="N115" i="6"/>
  <c r="P115" i="6"/>
  <c r="Q115" i="6" s="1"/>
  <c r="N252" i="6"/>
  <c r="P252" i="6"/>
  <c r="Q252" i="6" s="1"/>
  <c r="N69" i="6"/>
  <c r="P69" i="6"/>
  <c r="Q69" i="6" s="1"/>
  <c r="N269" i="6"/>
  <c r="P269" i="6"/>
  <c r="Q269" i="6" s="1"/>
  <c r="N446" i="6"/>
  <c r="P446" i="6"/>
  <c r="Q446" i="6" s="1"/>
  <c r="N85" i="6"/>
  <c r="P85" i="6"/>
  <c r="Q85" i="6" s="1"/>
  <c r="N567" i="6"/>
  <c r="P567" i="6"/>
  <c r="Q567" i="6" s="1"/>
  <c r="N496" i="6"/>
  <c r="P496" i="6"/>
  <c r="Q496" i="6" s="1"/>
  <c r="N218" i="6"/>
  <c r="P218" i="6"/>
  <c r="Q218" i="6" s="1"/>
  <c r="N111" i="6"/>
  <c r="P111" i="6"/>
  <c r="Q111" i="6" s="1"/>
  <c r="N40" i="6"/>
  <c r="P40" i="6"/>
  <c r="Q40" i="6" s="1"/>
  <c r="N25" i="6"/>
  <c r="P25" i="6"/>
  <c r="Q25" i="6" s="1"/>
  <c r="N537" i="6"/>
  <c r="P537" i="6"/>
  <c r="Q537" i="6" s="1"/>
  <c r="N59" i="6"/>
  <c r="P59" i="6"/>
  <c r="Q59" i="6" s="1"/>
  <c r="N196" i="6"/>
  <c r="P196" i="6"/>
  <c r="Q196" i="6" s="1"/>
  <c r="N562" i="6"/>
  <c r="P562" i="6"/>
  <c r="Q562" i="6" s="1"/>
  <c r="N45" i="6"/>
  <c r="P45" i="6"/>
  <c r="Q45" i="6" s="1"/>
  <c r="N278" i="6"/>
  <c r="P278" i="6"/>
  <c r="Q278" i="6" s="1"/>
  <c r="N568" i="6"/>
  <c r="P568" i="6"/>
  <c r="Q568" i="6" s="1"/>
  <c r="N282" i="6"/>
  <c r="P282" i="6"/>
  <c r="Q282" i="6" s="1"/>
  <c r="N490" i="6"/>
  <c r="P490" i="6"/>
  <c r="Q490" i="6" s="1"/>
  <c r="N533" i="6"/>
  <c r="P533" i="6"/>
  <c r="Q533" i="6" s="1"/>
  <c r="N467" i="6"/>
  <c r="P467" i="6"/>
  <c r="Q467" i="6" s="1"/>
  <c r="N12" i="6"/>
  <c r="P12" i="6"/>
  <c r="Q12" i="6" s="1"/>
  <c r="N557" i="6"/>
  <c r="P557" i="6"/>
  <c r="Q557" i="6" s="1"/>
  <c r="N601" i="6"/>
  <c r="P601" i="6"/>
  <c r="Q601" i="6" s="1"/>
  <c r="N173" i="6"/>
  <c r="P173" i="6"/>
  <c r="Q173" i="6" s="1"/>
  <c r="N411" i="6"/>
  <c r="P411" i="6"/>
  <c r="Q411" i="6" s="1"/>
  <c r="N191" i="6"/>
  <c r="P191" i="6"/>
  <c r="Q191" i="6" s="1"/>
  <c r="N120" i="6"/>
  <c r="P120" i="6"/>
  <c r="Q120" i="6" s="1"/>
  <c r="N105" i="6"/>
  <c r="P105" i="6"/>
  <c r="Q105" i="6" s="1"/>
  <c r="N34" i="6"/>
  <c r="P34" i="6"/>
  <c r="Q34" i="6" s="1"/>
  <c r="N139" i="6"/>
  <c r="P139" i="6"/>
  <c r="Q139" i="6" s="1"/>
  <c r="N276" i="6"/>
  <c r="P276" i="6"/>
  <c r="Q276" i="6" s="1"/>
  <c r="N165" i="6"/>
  <c r="P165" i="6"/>
  <c r="Q165" i="6" s="1"/>
  <c r="N365" i="6"/>
  <c r="P365" i="6"/>
  <c r="Q365" i="6" s="1"/>
  <c r="N494" i="6"/>
  <c r="P494" i="6"/>
  <c r="Q494" i="6" s="1"/>
  <c r="N589" i="6"/>
  <c r="P589" i="6"/>
  <c r="Q589" i="6" s="1"/>
  <c r="N8" i="6"/>
  <c r="P8" i="6"/>
  <c r="Q8" i="6" s="1"/>
  <c r="N57" i="6"/>
  <c r="P57" i="6"/>
  <c r="Q57" i="6" s="1"/>
  <c r="N242" i="6"/>
  <c r="P242" i="6"/>
  <c r="Q242" i="6" s="1"/>
  <c r="N71" i="6"/>
  <c r="P71" i="6"/>
  <c r="Q71" i="6" s="1"/>
  <c r="N583" i="6"/>
  <c r="P583" i="6"/>
  <c r="Q583" i="6" s="1"/>
  <c r="N512" i="6"/>
  <c r="P512" i="6"/>
  <c r="Q512" i="6" s="1"/>
  <c r="N497" i="6"/>
  <c r="P497" i="6"/>
  <c r="Q497" i="6" s="1"/>
  <c r="N19" i="6"/>
  <c r="P19" i="6"/>
  <c r="Q19" i="6" s="1"/>
  <c r="N156" i="6"/>
  <c r="P156" i="6"/>
  <c r="Q156" i="6" s="1"/>
  <c r="N499" i="6"/>
  <c r="P499" i="6"/>
  <c r="Q499" i="6" s="1"/>
  <c r="N574" i="6"/>
  <c r="P574" i="6"/>
  <c r="Q574" i="6" s="1"/>
  <c r="N118" i="6"/>
  <c r="P118" i="6"/>
  <c r="Q118" i="6" s="1"/>
  <c r="N445" i="6"/>
  <c r="P445" i="6"/>
  <c r="Q445" i="6" s="1"/>
  <c r="N178" i="6"/>
  <c r="P178" i="6"/>
  <c r="Q178" i="6" s="1"/>
  <c r="N87" i="6"/>
  <c r="P87" i="6"/>
  <c r="Q87" i="6" s="1"/>
  <c r="N16" i="6"/>
  <c r="P16" i="6"/>
  <c r="Q16" i="6" s="1"/>
  <c r="N528" i="6"/>
  <c r="P528" i="6"/>
  <c r="Q528" i="6" s="1"/>
  <c r="N513" i="6"/>
  <c r="P513" i="6"/>
  <c r="Q513" i="6" s="1"/>
  <c r="N35" i="6"/>
  <c r="P35" i="6"/>
  <c r="Q35" i="6" s="1"/>
  <c r="N172" i="6"/>
  <c r="P172" i="6"/>
  <c r="Q172" i="6" s="1"/>
  <c r="N530" i="6"/>
  <c r="P530" i="6"/>
  <c r="Q530" i="6" s="1"/>
  <c r="N594" i="6"/>
  <c r="P594" i="6"/>
  <c r="Q594" i="6" s="1"/>
  <c r="N182" i="6"/>
  <c r="P182" i="6"/>
  <c r="Q182" i="6" s="1"/>
  <c r="N21" i="6"/>
  <c r="P21" i="6"/>
  <c r="Q21" i="6" s="1"/>
  <c r="N415" i="6"/>
  <c r="P415" i="6"/>
  <c r="Q415" i="6" s="1"/>
  <c r="N344" i="6"/>
  <c r="P344" i="6"/>
  <c r="Q344" i="6" s="1"/>
  <c r="N329" i="6"/>
  <c r="P329" i="6"/>
  <c r="Q329" i="6" s="1"/>
  <c r="N258" i="6"/>
  <c r="P258" i="6"/>
  <c r="Q258" i="6" s="1"/>
  <c r="N363" i="6"/>
  <c r="P363" i="6"/>
  <c r="Q363" i="6" s="1"/>
  <c r="N500" i="6"/>
  <c r="P500" i="6"/>
  <c r="Q500" i="6" s="1"/>
  <c r="N134" i="6"/>
  <c r="P134" i="6"/>
  <c r="Q134" i="6" s="1"/>
  <c r="N334" i="6"/>
  <c r="P334" i="6"/>
  <c r="Q334" i="6" s="1"/>
  <c r="N498" i="6"/>
  <c r="P498" i="6"/>
  <c r="Q498" i="6" s="1"/>
  <c r="N231" i="6"/>
  <c r="P231" i="6"/>
  <c r="Q231" i="6" s="1"/>
  <c r="N160" i="6"/>
  <c r="P160" i="6"/>
  <c r="Q160" i="6" s="1"/>
  <c r="N145" i="6"/>
  <c r="P145" i="6"/>
  <c r="Q145" i="6" s="1"/>
  <c r="N74" i="6"/>
  <c r="P74" i="6"/>
  <c r="Q74" i="6" s="1"/>
  <c r="N179" i="6"/>
  <c r="P179" i="6"/>
  <c r="Q179" i="6" s="1"/>
  <c r="N316" i="6"/>
  <c r="P316" i="6"/>
  <c r="Q316" i="6" s="1"/>
  <c r="N325" i="6"/>
  <c r="P325" i="6"/>
  <c r="Q325" i="6" s="1"/>
  <c r="N458" i="6"/>
  <c r="P458" i="6"/>
  <c r="Q458" i="6" s="1"/>
  <c r="N558" i="6"/>
  <c r="P558" i="6"/>
  <c r="Q558" i="6" s="1"/>
  <c r="N119" i="6"/>
  <c r="P119" i="6"/>
  <c r="Q119" i="6" s="1"/>
  <c r="N48" i="6"/>
  <c r="P48" i="6"/>
  <c r="Q48" i="6" s="1"/>
  <c r="N33" i="6"/>
  <c r="P33" i="6"/>
  <c r="Q33" i="6" s="1"/>
  <c r="N346" i="6"/>
  <c r="P346" i="6"/>
  <c r="Q346" i="6" s="1"/>
  <c r="N175" i="6"/>
  <c r="P175" i="6"/>
  <c r="Q175" i="6" s="1"/>
  <c r="N104" i="6"/>
  <c r="P104" i="6"/>
  <c r="Q104" i="6" s="1"/>
  <c r="N89" i="6"/>
  <c r="P89" i="6"/>
  <c r="Q89" i="6" s="1"/>
  <c r="N18" i="6"/>
  <c r="P18" i="6"/>
  <c r="Q18" i="6" s="1"/>
  <c r="N123" i="6"/>
  <c r="P123" i="6"/>
  <c r="Q123" i="6" s="1"/>
  <c r="N260" i="6"/>
  <c r="P260" i="6"/>
  <c r="Q260" i="6" s="1"/>
  <c r="N101" i="6"/>
  <c r="P101" i="6"/>
  <c r="Q101" i="6" s="1"/>
  <c r="N301" i="6"/>
  <c r="P301" i="6"/>
  <c r="Q301" i="6" s="1"/>
  <c r="N462" i="6"/>
  <c r="P462" i="6"/>
  <c r="Q462" i="6" s="1"/>
  <c r="N341" i="6"/>
  <c r="P341" i="6"/>
  <c r="Q341" i="6" s="1"/>
  <c r="N3" i="6"/>
  <c r="P3" i="6"/>
  <c r="Q3" i="6" s="1"/>
  <c r="N534" i="6"/>
  <c r="P534" i="6"/>
  <c r="Q534" i="6" s="1"/>
  <c r="N566" i="6"/>
  <c r="P566" i="6"/>
  <c r="Q566" i="6" s="1"/>
  <c r="N517" i="6"/>
  <c r="P517" i="6"/>
  <c r="Q517" i="6" s="1"/>
  <c r="N420" i="6"/>
  <c r="P420" i="6"/>
  <c r="Q420" i="6" s="1"/>
  <c r="N484" i="6"/>
  <c r="P484" i="6"/>
  <c r="Q484" i="6" s="1"/>
  <c r="N77" i="6"/>
  <c r="P77" i="6"/>
  <c r="Q77" i="6" s="1"/>
  <c r="N270" i="6"/>
  <c r="P270" i="6"/>
  <c r="Q270" i="6" s="1"/>
  <c r="N478" i="6"/>
  <c r="P478" i="6"/>
  <c r="Q478" i="6" s="1"/>
  <c r="N63" i="6"/>
  <c r="P63" i="6"/>
  <c r="Q63" i="6" s="1"/>
  <c r="B15" i="6"/>
  <c r="B18" i="6" s="1"/>
  <c r="B14" i="6"/>
  <c r="B17" i="6" l="1"/>
  <c r="B16" i="6"/>
  <c r="B19" i="6"/>
  <c r="S26" i="6" s="1"/>
  <c r="S437" i="6"/>
  <c r="S255" i="6"/>
  <c r="S392" i="6"/>
  <c r="S161" i="6"/>
  <c r="S233" i="6"/>
  <c r="S336" i="6" l="1"/>
  <c r="U336" i="6" s="1"/>
  <c r="S167" i="6"/>
  <c r="S341" i="6"/>
  <c r="S248" i="6"/>
  <c r="S93" i="6"/>
  <c r="S168" i="6"/>
  <c r="S596" i="6"/>
  <c r="S356" i="6"/>
  <c r="U356" i="6" s="1"/>
  <c r="S600" i="6"/>
  <c r="S8" i="6"/>
  <c r="S310" i="6"/>
  <c r="S260" i="6"/>
  <c r="S89" i="6"/>
  <c r="S7" i="6"/>
  <c r="S145" i="6"/>
  <c r="S518" i="6"/>
  <c r="U518" i="6" s="1"/>
  <c r="S73" i="6"/>
  <c r="S390" i="6"/>
  <c r="S121" i="6"/>
  <c r="S560" i="6"/>
  <c r="S479" i="6"/>
  <c r="S166" i="6"/>
  <c r="S84" i="6"/>
  <c r="S88" i="6"/>
  <c r="U88" i="6" s="1"/>
  <c r="S505" i="6"/>
  <c r="S472" i="6"/>
  <c r="S391" i="6"/>
  <c r="S86" i="6"/>
  <c r="S531" i="6"/>
  <c r="S458" i="6"/>
  <c r="S195" i="6"/>
  <c r="S433" i="6"/>
  <c r="U433" i="6" s="1"/>
  <c r="S537" i="6"/>
  <c r="U537" i="6" s="1"/>
  <c r="S9" i="6"/>
  <c r="S432" i="6"/>
  <c r="U432" i="6" s="1"/>
  <c r="S216" i="6"/>
  <c r="U216" i="6" s="1"/>
  <c r="S591" i="6"/>
  <c r="S351" i="6"/>
  <c r="U351" i="6" s="1"/>
  <c r="S135" i="6"/>
  <c r="U135" i="6" s="1"/>
  <c r="S510" i="6"/>
  <c r="U510" i="6" s="1"/>
  <c r="S262" i="6"/>
  <c r="U262" i="6" s="1"/>
  <c r="S6" i="6"/>
  <c r="S269" i="6"/>
  <c r="U269" i="6" s="1"/>
  <c r="S524" i="6"/>
  <c r="V524" i="6" s="1"/>
  <c r="S180" i="6"/>
  <c r="U180" i="6" s="1"/>
  <c r="S523" i="6"/>
  <c r="U523" i="6" s="1"/>
  <c r="S179" i="6"/>
  <c r="U179" i="6" s="1"/>
  <c r="S450" i="6"/>
  <c r="U450" i="6" s="1"/>
  <c r="S561" i="6"/>
  <c r="U561" i="6" s="1"/>
  <c r="S153" i="6"/>
  <c r="S385" i="6"/>
  <c r="U385" i="6" s="1"/>
  <c r="S424" i="6"/>
  <c r="U424" i="6" s="1"/>
  <c r="S176" i="6"/>
  <c r="U176" i="6" s="1"/>
  <c r="S559" i="6"/>
  <c r="U559" i="6" s="1"/>
  <c r="S335" i="6"/>
  <c r="U335" i="6" s="1"/>
  <c r="S95" i="6"/>
  <c r="U95" i="6" s="1"/>
  <c r="S478" i="6"/>
  <c r="U478" i="6" s="1"/>
  <c r="S254" i="6"/>
  <c r="S597" i="6"/>
  <c r="U597" i="6" s="1"/>
  <c r="S253" i="6"/>
  <c r="U253" i="6" s="1"/>
  <c r="S516" i="6"/>
  <c r="U516" i="6" s="1"/>
  <c r="S172" i="6"/>
  <c r="U172" i="6" s="1"/>
  <c r="S451" i="6"/>
  <c r="U451" i="6" s="1"/>
  <c r="S107" i="6"/>
  <c r="U107" i="6" s="1"/>
  <c r="S370" i="6"/>
  <c r="U370" i="6" s="1"/>
  <c r="S519" i="6"/>
  <c r="S303" i="6"/>
  <c r="S79" i="6"/>
  <c r="U79" i="6" s="1"/>
  <c r="S438" i="6"/>
  <c r="U438" i="6" s="1"/>
  <c r="S222" i="6"/>
  <c r="U222" i="6" s="1"/>
  <c r="S525" i="6"/>
  <c r="U525" i="6" s="1"/>
  <c r="S181" i="6"/>
  <c r="U181" i="6" s="1"/>
  <c r="S436" i="6"/>
  <c r="U436" i="6" s="1"/>
  <c r="S140" i="6"/>
  <c r="S435" i="6"/>
  <c r="U435" i="6" s="1"/>
  <c r="S99" i="6"/>
  <c r="U99" i="6" s="1"/>
  <c r="S362" i="6"/>
  <c r="U362" i="6" s="1"/>
  <c r="S361" i="6"/>
  <c r="V361" i="6" s="1"/>
  <c r="S465" i="6"/>
  <c r="U465" i="6" s="1"/>
  <c r="S592" i="6"/>
  <c r="U592" i="6" s="1"/>
  <c r="S344" i="6"/>
  <c r="U344" i="6" s="1"/>
  <c r="S136" i="6"/>
  <c r="S511" i="6"/>
  <c r="S263" i="6"/>
  <c r="V263" i="6" s="1"/>
  <c r="S47" i="6"/>
  <c r="U47" i="6" s="1"/>
  <c r="S422" i="6"/>
  <c r="U422" i="6" s="1"/>
  <c r="S182" i="6"/>
  <c r="U182" i="6" s="1"/>
  <c r="S509" i="6"/>
  <c r="U509" i="6" s="1"/>
  <c r="S173" i="6"/>
  <c r="U173" i="6" s="1"/>
  <c r="S428" i="6"/>
  <c r="S100" i="6"/>
  <c r="U100" i="6" s="1"/>
  <c r="S363" i="6"/>
  <c r="V363" i="6" s="1"/>
  <c r="S19" i="6"/>
  <c r="U19" i="6" s="1"/>
  <c r="S290" i="6"/>
  <c r="U290" i="6" s="1"/>
  <c r="S355" i="6"/>
  <c r="U355" i="6" s="1"/>
  <c r="S11" i="6"/>
  <c r="U11" i="6" s="1"/>
  <c r="S274" i="6"/>
  <c r="U274" i="6" s="1"/>
  <c r="S497" i="6"/>
  <c r="S545" i="6"/>
  <c r="U545" i="6" s="1"/>
  <c r="S17" i="6"/>
  <c r="U17" i="6" s="1"/>
  <c r="S520" i="6"/>
  <c r="U520" i="6" s="1"/>
  <c r="S304" i="6"/>
  <c r="U304" i="6" s="1"/>
  <c r="S80" i="6"/>
  <c r="U80" i="6" s="1"/>
  <c r="S431" i="6"/>
  <c r="U431" i="6" s="1"/>
  <c r="S223" i="6"/>
  <c r="U223" i="6" s="1"/>
  <c r="S598" i="6"/>
  <c r="S350" i="6"/>
  <c r="U350" i="6" s="1"/>
  <c r="S134" i="6"/>
  <c r="U134" i="6" s="1"/>
  <c r="S429" i="6"/>
  <c r="U429" i="6" s="1"/>
  <c r="S85" i="6"/>
  <c r="U85" i="6" s="1"/>
  <c r="S340" i="6"/>
  <c r="U340" i="6" s="1"/>
  <c r="S12" i="6"/>
  <c r="U12" i="6" s="1"/>
  <c r="S275" i="6"/>
  <c r="U275" i="6" s="1"/>
  <c r="S546" i="6"/>
  <c r="S194" i="6"/>
  <c r="U194" i="6" s="1"/>
  <c r="S241" i="6"/>
  <c r="V241" i="6" s="1"/>
  <c r="S225" i="6"/>
  <c r="U225" i="6" s="1"/>
  <c r="S393" i="6"/>
  <c r="U393" i="6" s="1"/>
  <c r="S504" i="6"/>
  <c r="U504" i="6" s="1"/>
  <c r="S264" i="6"/>
  <c r="U264" i="6" s="1"/>
  <c r="S48" i="6"/>
  <c r="U48" i="6" s="1"/>
  <c r="S423" i="6"/>
  <c r="S175" i="6"/>
  <c r="U175" i="6" s="1"/>
  <c r="S566" i="6"/>
  <c r="U566" i="6" s="1"/>
  <c r="S342" i="6"/>
  <c r="U342" i="6" s="1"/>
  <c r="S94" i="6"/>
  <c r="U94" i="6" s="1"/>
  <c r="S349" i="6"/>
  <c r="U349" i="6" s="1"/>
  <c r="S13" i="6"/>
  <c r="U13" i="6" s="1"/>
  <c r="S268" i="6"/>
  <c r="U268" i="6" s="1"/>
  <c r="S4" i="6"/>
  <c r="S267" i="6"/>
  <c r="U267" i="6" s="1"/>
  <c r="S530" i="6"/>
  <c r="V530" i="6" s="1"/>
  <c r="S98" i="6"/>
  <c r="U98" i="6" s="1"/>
  <c r="V262" i="6"/>
  <c r="U6" i="6"/>
  <c r="V6" i="6"/>
  <c r="V269" i="6"/>
  <c r="U524" i="6"/>
  <c r="V180" i="6"/>
  <c r="U153" i="6"/>
  <c r="V153" i="6"/>
  <c r="V385" i="6"/>
  <c r="V176" i="6"/>
  <c r="V559" i="6"/>
  <c r="U254" i="6"/>
  <c r="V254" i="6"/>
  <c r="V597" i="6"/>
  <c r="V516" i="6"/>
  <c r="V172" i="6"/>
  <c r="U9" i="6"/>
  <c r="V9" i="6"/>
  <c r="U505" i="6"/>
  <c r="V505" i="6"/>
  <c r="U168" i="6"/>
  <c r="V168" i="6"/>
  <c r="V438" i="6"/>
  <c r="V362" i="6"/>
  <c r="V344" i="6"/>
  <c r="U263" i="6"/>
  <c r="U233" i="6"/>
  <c r="V233" i="6"/>
  <c r="U145" i="6"/>
  <c r="V145" i="6"/>
  <c r="U560" i="6"/>
  <c r="V560" i="6"/>
  <c r="U479" i="6"/>
  <c r="V479" i="6"/>
  <c r="U255" i="6"/>
  <c r="V255" i="6"/>
  <c r="U7" i="6"/>
  <c r="V7" i="6"/>
  <c r="U390" i="6"/>
  <c r="V390" i="6"/>
  <c r="U166" i="6"/>
  <c r="V166" i="6"/>
  <c r="U437" i="6"/>
  <c r="V437" i="6"/>
  <c r="U93" i="6"/>
  <c r="V93" i="6"/>
  <c r="U84" i="6"/>
  <c r="V84" i="6"/>
  <c r="V11" i="6"/>
  <c r="V274" i="6"/>
  <c r="U591" i="6"/>
  <c r="V591" i="6"/>
  <c r="U392" i="6"/>
  <c r="V392" i="6"/>
  <c r="V181" i="6"/>
  <c r="V47" i="6"/>
  <c r="V100" i="6"/>
  <c r="U497" i="6"/>
  <c r="V497" i="6"/>
  <c r="V545" i="6"/>
  <c r="V520" i="6"/>
  <c r="V304" i="6"/>
  <c r="U598" i="6"/>
  <c r="V598" i="6"/>
  <c r="V350" i="6"/>
  <c r="V429" i="6"/>
  <c r="V85" i="6"/>
  <c r="V12" i="6"/>
  <c r="V275" i="6"/>
  <c r="U546" i="6"/>
  <c r="V546" i="6"/>
  <c r="V194" i="6"/>
  <c r="V432" i="6"/>
  <c r="U89" i="6"/>
  <c r="V89" i="6"/>
  <c r="U519" i="6"/>
  <c r="V519" i="6"/>
  <c r="U140" i="6"/>
  <c r="V140" i="6"/>
  <c r="V465" i="6"/>
  <c r="U511" i="6"/>
  <c r="V511" i="6"/>
  <c r="V19" i="6"/>
  <c r="U241" i="6"/>
  <c r="V225" i="6"/>
  <c r="V504" i="6"/>
  <c r="U423" i="6"/>
  <c r="V423" i="6"/>
  <c r="V175" i="6"/>
  <c r="V342" i="6"/>
  <c r="V349" i="6"/>
  <c r="U4" i="6"/>
  <c r="V4" i="6"/>
  <c r="V267" i="6"/>
  <c r="V98" i="6"/>
  <c r="U600" i="6"/>
  <c r="V600" i="6"/>
  <c r="U303" i="6"/>
  <c r="V303" i="6"/>
  <c r="V435" i="6"/>
  <c r="U361" i="6"/>
  <c r="U136" i="6"/>
  <c r="V136" i="6"/>
  <c r="U428" i="6"/>
  <c r="V428" i="6"/>
  <c r="U121" i="6"/>
  <c r="V121" i="6"/>
  <c r="U161" i="6"/>
  <c r="V161" i="6"/>
  <c r="U73" i="6"/>
  <c r="V73" i="6"/>
  <c r="U472" i="6"/>
  <c r="V472" i="6"/>
  <c r="U248" i="6"/>
  <c r="V248" i="6"/>
  <c r="U8" i="6"/>
  <c r="V8" i="6"/>
  <c r="U391" i="6"/>
  <c r="V391" i="6"/>
  <c r="U167" i="6"/>
  <c r="V167" i="6"/>
  <c r="V518" i="6"/>
  <c r="U310" i="6"/>
  <c r="V310" i="6"/>
  <c r="U86" i="6"/>
  <c r="V86" i="6"/>
  <c r="U341" i="6"/>
  <c r="V341" i="6"/>
  <c r="U596" i="6"/>
  <c r="V596" i="6"/>
  <c r="U260" i="6"/>
  <c r="V260" i="6"/>
  <c r="U531" i="6"/>
  <c r="V531" i="6"/>
  <c r="U195" i="6"/>
  <c r="V195" i="6"/>
  <c r="U458" i="6"/>
  <c r="V458" i="6"/>
  <c r="U26" i="6"/>
  <c r="V26" i="6"/>
  <c r="S178" i="6"/>
  <c r="S305" i="6"/>
  <c r="S33" i="6"/>
  <c r="S585" i="6"/>
  <c r="S584" i="6"/>
  <c r="S496" i="6"/>
  <c r="S408" i="6"/>
  <c r="S328" i="6"/>
  <c r="S240" i="6"/>
  <c r="S152" i="6"/>
  <c r="S72" i="6"/>
  <c r="S583" i="6"/>
  <c r="S495" i="6"/>
  <c r="S415" i="6"/>
  <c r="S327" i="6"/>
  <c r="S239" i="6"/>
  <c r="S159" i="6"/>
  <c r="S71" i="6"/>
  <c r="S582" i="6"/>
  <c r="S502" i="6"/>
  <c r="S414" i="6"/>
  <c r="S326" i="6"/>
  <c r="S246" i="6"/>
  <c r="S158" i="6"/>
  <c r="S70" i="6"/>
  <c r="S589" i="6"/>
  <c r="S501" i="6"/>
  <c r="S413" i="6"/>
  <c r="S333" i="6"/>
  <c r="S245" i="6"/>
  <c r="S157" i="6"/>
  <c r="S77" i="6"/>
  <c r="S588" i="6"/>
  <c r="S500" i="6"/>
  <c r="S420" i="6"/>
  <c r="S332" i="6"/>
  <c r="S244" i="6"/>
  <c r="S164" i="6"/>
  <c r="S76" i="6"/>
  <c r="S595" i="6"/>
  <c r="S515" i="6"/>
  <c r="S427" i="6"/>
  <c r="S339" i="6"/>
  <c r="S259" i="6"/>
  <c r="S171" i="6"/>
  <c r="S83" i="6"/>
  <c r="S3" i="6"/>
  <c r="S522" i="6"/>
  <c r="S434" i="6"/>
  <c r="S354" i="6"/>
  <c r="S266" i="6"/>
  <c r="S170" i="6"/>
  <c r="S74" i="6"/>
  <c r="S82" i="6"/>
  <c r="S185" i="6"/>
  <c r="S169" i="6"/>
  <c r="S25" i="6"/>
  <c r="S513" i="6"/>
  <c r="S377" i="6"/>
  <c r="S177" i="6"/>
  <c r="S105" i="6"/>
  <c r="S601" i="6"/>
  <c r="S529" i="6"/>
  <c r="S521" i="6"/>
  <c r="S449" i="6"/>
  <c r="S568" i="6"/>
  <c r="S488" i="6"/>
  <c r="S400" i="6"/>
  <c r="S312" i="6"/>
  <c r="S232" i="6"/>
  <c r="S144" i="6"/>
  <c r="S56" i="6"/>
  <c r="S575" i="6"/>
  <c r="S487" i="6"/>
  <c r="S399" i="6"/>
  <c r="S319" i="6"/>
  <c r="S231" i="6"/>
  <c r="S143" i="6"/>
  <c r="S63" i="6"/>
  <c r="S574" i="6"/>
  <c r="S486" i="6"/>
  <c r="S406" i="6"/>
  <c r="S318" i="6"/>
  <c r="S230" i="6"/>
  <c r="S150" i="6"/>
  <c r="S62" i="6"/>
  <c r="S573" i="6"/>
  <c r="S493" i="6"/>
  <c r="S405" i="6"/>
  <c r="S317" i="6"/>
  <c r="S237" i="6"/>
  <c r="S149" i="6"/>
  <c r="S61" i="6"/>
  <c r="S580" i="6"/>
  <c r="S492" i="6"/>
  <c r="S404" i="6"/>
  <c r="S324" i="6"/>
  <c r="S236" i="6"/>
  <c r="S148" i="6"/>
  <c r="S68" i="6"/>
  <c r="S587" i="6"/>
  <c r="S499" i="6"/>
  <c r="S419" i="6"/>
  <c r="S331" i="6"/>
  <c r="S243" i="6"/>
  <c r="S163" i="6"/>
  <c r="S75" i="6"/>
  <c r="S594" i="6"/>
  <c r="S514" i="6"/>
  <c r="S426" i="6"/>
  <c r="S338" i="6"/>
  <c r="S258" i="6"/>
  <c r="S146" i="6"/>
  <c r="S66" i="6"/>
  <c r="S565" i="6"/>
  <c r="S309" i="6"/>
  <c r="S141" i="6"/>
  <c r="S484" i="6"/>
  <c r="S228" i="6"/>
  <c r="S491" i="6"/>
  <c r="S235" i="6"/>
  <c r="S586" i="6"/>
  <c r="S138" i="6"/>
  <c r="S249" i="6"/>
  <c r="S481" i="6"/>
  <c r="S409" i="6"/>
  <c r="S401" i="6"/>
  <c r="S329" i="6"/>
  <c r="S257" i="6"/>
  <c r="S552" i="6"/>
  <c r="S464" i="6"/>
  <c r="S376" i="6"/>
  <c r="S296" i="6"/>
  <c r="S208" i="6"/>
  <c r="S120" i="6"/>
  <c r="S40" i="6"/>
  <c r="S551" i="6"/>
  <c r="S463" i="6"/>
  <c r="S383" i="6"/>
  <c r="S295" i="6"/>
  <c r="S207" i="6"/>
  <c r="S127" i="6"/>
  <c r="S39" i="6"/>
  <c r="S550" i="6"/>
  <c r="S470" i="6"/>
  <c r="S382" i="6"/>
  <c r="S294" i="6"/>
  <c r="S214" i="6"/>
  <c r="S126" i="6"/>
  <c r="S38" i="6"/>
  <c r="S557" i="6"/>
  <c r="S469" i="6"/>
  <c r="S381" i="6"/>
  <c r="S301" i="6"/>
  <c r="S213" i="6"/>
  <c r="S125" i="6"/>
  <c r="S45" i="6"/>
  <c r="S556" i="6"/>
  <c r="S468" i="6"/>
  <c r="S388" i="6"/>
  <c r="S300" i="6"/>
  <c r="S212" i="6"/>
  <c r="S132" i="6"/>
  <c r="S44" i="6"/>
  <c r="S563" i="6"/>
  <c r="S483" i="6"/>
  <c r="S395" i="6"/>
  <c r="S307" i="6"/>
  <c r="S227" i="6"/>
  <c r="S139" i="6"/>
  <c r="S51" i="6"/>
  <c r="S578" i="6"/>
  <c r="S490" i="6"/>
  <c r="S402" i="6"/>
  <c r="S322" i="6"/>
  <c r="S234" i="6"/>
  <c r="S130" i="6"/>
  <c r="S42" i="6"/>
  <c r="S477" i="6"/>
  <c r="S221" i="6"/>
  <c r="S564" i="6"/>
  <c r="S308" i="6"/>
  <c r="S579" i="6"/>
  <c r="S323" i="6"/>
  <c r="S67" i="6"/>
  <c r="S418" i="6"/>
  <c r="S330" i="6"/>
  <c r="S50" i="6"/>
  <c r="S489" i="6"/>
  <c r="S345" i="6"/>
  <c r="S265" i="6"/>
  <c r="S193" i="6"/>
  <c r="S536" i="6"/>
  <c r="S456" i="6"/>
  <c r="S368" i="6"/>
  <c r="S280" i="6"/>
  <c r="S200" i="6"/>
  <c r="S112" i="6"/>
  <c r="S24" i="6"/>
  <c r="S543" i="6"/>
  <c r="S455" i="6"/>
  <c r="S367" i="6"/>
  <c r="S287" i="6"/>
  <c r="S199" i="6"/>
  <c r="S111" i="6"/>
  <c r="S31" i="6"/>
  <c r="S542" i="6"/>
  <c r="S454" i="6"/>
  <c r="S374" i="6"/>
  <c r="S286" i="6"/>
  <c r="S198" i="6"/>
  <c r="S118" i="6"/>
  <c r="S30" i="6"/>
  <c r="S541" i="6"/>
  <c r="S461" i="6"/>
  <c r="S373" i="6"/>
  <c r="S285" i="6"/>
  <c r="S205" i="6"/>
  <c r="S117" i="6"/>
  <c r="S29" i="6"/>
  <c r="S548" i="6"/>
  <c r="S460" i="6"/>
  <c r="S372" i="6"/>
  <c r="S292" i="6"/>
  <c r="S204" i="6"/>
  <c r="S116" i="6"/>
  <c r="S36" i="6"/>
  <c r="S555" i="6"/>
  <c r="S467" i="6"/>
  <c r="S387" i="6"/>
  <c r="S299" i="6"/>
  <c r="S211" i="6"/>
  <c r="S131" i="6"/>
  <c r="S43" i="6"/>
  <c r="S562" i="6"/>
  <c r="S482" i="6"/>
  <c r="S394" i="6"/>
  <c r="S306" i="6"/>
  <c r="S210" i="6"/>
  <c r="S114" i="6"/>
  <c r="S18" i="6"/>
  <c r="S54" i="6"/>
  <c r="S397" i="6"/>
  <c r="S53" i="6"/>
  <c r="S396" i="6"/>
  <c r="S52" i="6"/>
  <c r="S403" i="6"/>
  <c r="S147" i="6"/>
  <c r="S498" i="6"/>
  <c r="S242" i="6"/>
  <c r="S113" i="6"/>
  <c r="S569" i="6"/>
  <c r="S417" i="6"/>
  <c r="S273" i="6"/>
  <c r="S313" i="6"/>
  <c r="S425" i="6"/>
  <c r="S289" i="6"/>
  <c r="S281" i="6"/>
  <c r="S209" i="6"/>
  <c r="S137" i="6"/>
  <c r="S129" i="6"/>
  <c r="S528" i="6"/>
  <c r="S440" i="6"/>
  <c r="S360" i="6"/>
  <c r="S272" i="6"/>
  <c r="S184" i="6"/>
  <c r="S104" i="6"/>
  <c r="S16" i="6"/>
  <c r="S527" i="6"/>
  <c r="S447" i="6"/>
  <c r="S359" i="6"/>
  <c r="S271" i="6"/>
  <c r="S191" i="6"/>
  <c r="S103" i="6"/>
  <c r="S15" i="6"/>
  <c r="S534" i="6"/>
  <c r="S446" i="6"/>
  <c r="S358" i="6"/>
  <c r="S278" i="6"/>
  <c r="S190" i="6"/>
  <c r="S102" i="6"/>
  <c r="S22" i="6"/>
  <c r="S533" i="6"/>
  <c r="S445" i="6"/>
  <c r="S365" i="6"/>
  <c r="S277" i="6"/>
  <c r="S189" i="6"/>
  <c r="S109" i="6"/>
  <c r="S21" i="6"/>
  <c r="S532" i="6"/>
  <c r="S452" i="6"/>
  <c r="S364" i="6"/>
  <c r="S276" i="6"/>
  <c r="S196" i="6"/>
  <c r="S108" i="6"/>
  <c r="S20" i="6"/>
  <c r="S547" i="6"/>
  <c r="S459" i="6"/>
  <c r="S371" i="6"/>
  <c r="S291" i="6"/>
  <c r="S203" i="6"/>
  <c r="S115" i="6"/>
  <c r="S35" i="6"/>
  <c r="S554" i="6"/>
  <c r="S466" i="6"/>
  <c r="S386" i="6"/>
  <c r="S298" i="6"/>
  <c r="S202" i="6"/>
  <c r="S106" i="6"/>
  <c r="S10" i="6"/>
  <c r="S441" i="6"/>
  <c r="S57" i="6"/>
  <c r="S553" i="6"/>
  <c r="S41" i="6"/>
  <c r="S97" i="6"/>
  <c r="S217" i="6"/>
  <c r="S337" i="6"/>
  <c r="S457" i="6"/>
  <c r="S577" i="6"/>
  <c r="S65" i="6"/>
  <c r="S544" i="6"/>
  <c r="S480" i="6"/>
  <c r="S416" i="6"/>
  <c r="S352" i="6"/>
  <c r="S288" i="6"/>
  <c r="S224" i="6"/>
  <c r="S160" i="6"/>
  <c r="S96" i="6"/>
  <c r="S32" i="6"/>
  <c r="S567" i="6"/>
  <c r="S503" i="6"/>
  <c r="S439" i="6"/>
  <c r="S375" i="6"/>
  <c r="S311" i="6"/>
  <c r="S247" i="6"/>
  <c r="S183" i="6"/>
  <c r="S119" i="6"/>
  <c r="S55" i="6"/>
  <c r="S590" i="6"/>
  <c r="S526" i="6"/>
  <c r="S462" i="6"/>
  <c r="S398" i="6"/>
  <c r="S334" i="6"/>
  <c r="S270" i="6"/>
  <c r="S206" i="6"/>
  <c r="S142" i="6"/>
  <c r="S78" i="6"/>
  <c r="S14" i="6"/>
  <c r="S549" i="6"/>
  <c r="S485" i="6"/>
  <c r="S421" i="6"/>
  <c r="S357" i="6"/>
  <c r="S293" i="6"/>
  <c r="S229" i="6"/>
  <c r="S165" i="6"/>
  <c r="S101" i="6"/>
  <c r="S37" i="6"/>
  <c r="S572" i="6"/>
  <c r="S508" i="6"/>
  <c r="S444" i="6"/>
  <c r="S380" i="6"/>
  <c r="S316" i="6"/>
  <c r="S252" i="6"/>
  <c r="S188" i="6"/>
  <c r="S124" i="6"/>
  <c r="S60" i="6"/>
  <c r="S2" i="6"/>
  <c r="S539" i="6"/>
  <c r="S475" i="6"/>
  <c r="S411" i="6"/>
  <c r="S347" i="6"/>
  <c r="S283" i="6"/>
  <c r="S219" i="6"/>
  <c r="S155" i="6"/>
  <c r="S91" i="6"/>
  <c r="S27" i="6"/>
  <c r="S570" i="6"/>
  <c r="S506" i="6"/>
  <c r="S442" i="6"/>
  <c r="S378" i="6"/>
  <c r="S314" i="6"/>
  <c r="S250" i="6"/>
  <c r="S186" i="6"/>
  <c r="S122" i="6"/>
  <c r="S58" i="6"/>
  <c r="S226" i="6"/>
  <c r="S162" i="6"/>
  <c r="S34" i="6"/>
  <c r="S369" i="6"/>
  <c r="S49" i="6"/>
  <c r="S297" i="6"/>
  <c r="S353" i="6"/>
  <c r="S473" i="6"/>
  <c r="S593" i="6"/>
  <c r="S81" i="6"/>
  <c r="S201" i="6"/>
  <c r="S321" i="6"/>
  <c r="S576" i="6"/>
  <c r="S512" i="6"/>
  <c r="S448" i="6"/>
  <c r="S384" i="6"/>
  <c r="S320" i="6"/>
  <c r="S256" i="6"/>
  <c r="S192" i="6"/>
  <c r="S128" i="6"/>
  <c r="S64" i="6"/>
  <c r="S599" i="6"/>
  <c r="S535" i="6"/>
  <c r="S471" i="6"/>
  <c r="S407" i="6"/>
  <c r="S343" i="6"/>
  <c r="S279" i="6"/>
  <c r="S215" i="6"/>
  <c r="S151" i="6"/>
  <c r="S87" i="6"/>
  <c r="S23" i="6"/>
  <c r="S558" i="6"/>
  <c r="S494" i="6"/>
  <c r="S430" i="6"/>
  <c r="S366" i="6"/>
  <c r="S302" i="6"/>
  <c r="S238" i="6"/>
  <c r="S174" i="6"/>
  <c r="S110" i="6"/>
  <c r="S46" i="6"/>
  <c r="S581" i="6"/>
  <c r="S517" i="6"/>
  <c r="S453" i="6"/>
  <c r="S389" i="6"/>
  <c r="S325" i="6"/>
  <c r="S261" i="6"/>
  <c r="S197" i="6"/>
  <c r="S133" i="6"/>
  <c r="S69" i="6"/>
  <c r="S5" i="6"/>
  <c r="S540" i="6"/>
  <c r="S476" i="6"/>
  <c r="S412" i="6"/>
  <c r="S348" i="6"/>
  <c r="S284" i="6"/>
  <c r="S220" i="6"/>
  <c r="S156" i="6"/>
  <c r="S92" i="6"/>
  <c r="S28" i="6"/>
  <c r="S571" i="6"/>
  <c r="S507" i="6"/>
  <c r="S443" i="6"/>
  <c r="S379" i="6"/>
  <c r="S315" i="6"/>
  <c r="S251" i="6"/>
  <c r="S187" i="6"/>
  <c r="S123" i="6"/>
  <c r="S59" i="6"/>
  <c r="S602" i="6"/>
  <c r="S538" i="6"/>
  <c r="S474" i="6"/>
  <c r="S410" i="6"/>
  <c r="S346" i="6"/>
  <c r="S282" i="6"/>
  <c r="S218" i="6"/>
  <c r="S154" i="6"/>
  <c r="S90" i="6"/>
  <c r="V509" i="6" l="1"/>
  <c r="V79" i="6"/>
  <c r="V561" i="6"/>
  <c r="V510" i="6"/>
  <c r="U363" i="6"/>
  <c r="V268" i="6"/>
  <c r="V48" i="6"/>
  <c r="V436" i="6"/>
  <c r="V478" i="6"/>
  <c r="V450" i="6"/>
  <c r="V537" i="6"/>
  <c r="V13" i="6"/>
  <c r="V264" i="6"/>
  <c r="V356" i="6"/>
  <c r="V88" i="6"/>
  <c r="V370" i="6"/>
  <c r="V95" i="6"/>
  <c r="V107" i="6"/>
  <c r="V336" i="6"/>
  <c r="V173" i="6"/>
  <c r="U530" i="6"/>
  <c r="V223" i="6"/>
  <c r="V433" i="6"/>
  <c r="V431" i="6"/>
  <c r="V592" i="6"/>
  <c r="V94" i="6"/>
  <c r="V134" i="6"/>
  <c r="V253" i="6"/>
  <c r="V222" i="6"/>
  <c r="V523" i="6"/>
  <c r="V566" i="6"/>
  <c r="V422" i="6"/>
  <c r="V17" i="6"/>
  <c r="V99" i="6"/>
  <c r="V290" i="6"/>
  <c r="V424" i="6"/>
  <c r="V216" i="6"/>
  <c r="V393" i="6"/>
  <c r="V351" i="6"/>
  <c r="V182" i="6"/>
  <c r="V340" i="6"/>
  <c r="V80" i="6"/>
  <c r="V451" i="6"/>
  <c r="V335" i="6"/>
  <c r="V179" i="6"/>
  <c r="V135" i="6"/>
  <c r="V525" i="6"/>
  <c r="V355" i="6"/>
  <c r="U69" i="6"/>
  <c r="V69" i="6"/>
  <c r="U593" i="6"/>
  <c r="V593" i="6"/>
  <c r="U229" i="6"/>
  <c r="V229" i="6"/>
  <c r="U41" i="6"/>
  <c r="V41" i="6"/>
  <c r="U103" i="6"/>
  <c r="V103" i="6"/>
  <c r="U43" i="6"/>
  <c r="V43" i="6"/>
  <c r="U456" i="6"/>
  <c r="V456" i="6"/>
  <c r="U212" i="6"/>
  <c r="V212" i="6"/>
  <c r="U586" i="6"/>
  <c r="V586" i="6"/>
  <c r="U406" i="6"/>
  <c r="V406" i="6"/>
  <c r="U427" i="6"/>
  <c r="V427" i="6"/>
  <c r="U305" i="6"/>
  <c r="V305" i="6"/>
  <c r="U410" i="6"/>
  <c r="V410" i="6"/>
  <c r="U558" i="6"/>
  <c r="V558" i="6"/>
  <c r="U570" i="6"/>
  <c r="V570" i="6"/>
  <c r="U119" i="6"/>
  <c r="V119" i="6"/>
  <c r="U547" i="6"/>
  <c r="V547" i="6"/>
  <c r="U289" i="6"/>
  <c r="V289" i="6"/>
  <c r="U204" i="6"/>
  <c r="V204" i="6"/>
  <c r="U67" i="6"/>
  <c r="V67" i="6"/>
  <c r="U470" i="6"/>
  <c r="V470" i="6"/>
  <c r="U146" i="6"/>
  <c r="V146" i="6"/>
  <c r="U575" i="6"/>
  <c r="V575" i="6"/>
  <c r="U588" i="6"/>
  <c r="V588" i="6"/>
  <c r="U284" i="6"/>
  <c r="V284" i="6"/>
  <c r="U448" i="6"/>
  <c r="V448" i="6"/>
  <c r="U444" i="6"/>
  <c r="V444" i="6"/>
  <c r="U57" i="6"/>
  <c r="V57" i="6"/>
  <c r="U271" i="6"/>
  <c r="V271" i="6"/>
  <c r="U211" i="6"/>
  <c r="V211" i="6"/>
  <c r="U543" i="6"/>
  <c r="V543" i="6"/>
  <c r="U388" i="6"/>
  <c r="V388" i="6"/>
  <c r="U491" i="6"/>
  <c r="V491" i="6"/>
  <c r="U56" i="6"/>
  <c r="V56" i="6"/>
  <c r="U239" i="6"/>
  <c r="V239" i="6"/>
  <c r="U538" i="6"/>
  <c r="V538" i="6"/>
  <c r="U443" i="6"/>
  <c r="V443" i="6"/>
  <c r="U348" i="6"/>
  <c r="V348" i="6"/>
  <c r="U261" i="6"/>
  <c r="V261" i="6"/>
  <c r="U174" i="6"/>
  <c r="V174" i="6"/>
  <c r="U87" i="6"/>
  <c r="V87" i="6"/>
  <c r="U599" i="6"/>
  <c r="V599" i="6"/>
  <c r="U512" i="6"/>
  <c r="V512" i="6"/>
  <c r="U297" i="6"/>
  <c r="V297" i="6"/>
  <c r="U186" i="6"/>
  <c r="V186" i="6"/>
  <c r="U91" i="6"/>
  <c r="V91" i="6"/>
  <c r="U2" i="6"/>
  <c r="V2" i="6"/>
  <c r="U508" i="6"/>
  <c r="V508" i="6"/>
  <c r="U421" i="6"/>
  <c r="V421" i="6"/>
  <c r="U334" i="6"/>
  <c r="V334" i="6"/>
  <c r="U247" i="6"/>
  <c r="V247" i="6"/>
  <c r="U160" i="6"/>
  <c r="V160" i="6"/>
  <c r="U577" i="6"/>
  <c r="V577" i="6"/>
  <c r="U441" i="6"/>
  <c r="V441" i="6"/>
  <c r="U35" i="6"/>
  <c r="V35" i="6"/>
  <c r="U108" i="6"/>
  <c r="V108" i="6"/>
  <c r="U189" i="6"/>
  <c r="V189" i="6"/>
  <c r="U278" i="6"/>
  <c r="V278" i="6"/>
  <c r="U359" i="6"/>
  <c r="V359" i="6"/>
  <c r="U440" i="6"/>
  <c r="V440" i="6"/>
  <c r="U313" i="6"/>
  <c r="V313" i="6"/>
  <c r="U403" i="6"/>
  <c r="V403" i="6"/>
  <c r="U210" i="6"/>
  <c r="V210" i="6"/>
  <c r="U299" i="6"/>
  <c r="V299" i="6"/>
  <c r="U372" i="6"/>
  <c r="V372" i="6"/>
  <c r="U461" i="6"/>
  <c r="V461" i="6"/>
  <c r="U542" i="6"/>
  <c r="V542" i="6"/>
  <c r="U24" i="6"/>
  <c r="V24" i="6"/>
  <c r="U265" i="6"/>
  <c r="V265" i="6"/>
  <c r="U579" i="6"/>
  <c r="V579" i="6"/>
  <c r="U322" i="6"/>
  <c r="V322" i="6"/>
  <c r="U395" i="6"/>
  <c r="V395" i="6"/>
  <c r="U468" i="6"/>
  <c r="V468" i="6"/>
  <c r="U557" i="6"/>
  <c r="V557" i="6"/>
  <c r="U39" i="6"/>
  <c r="V39" i="6"/>
  <c r="U120" i="6"/>
  <c r="V120" i="6"/>
  <c r="U401" i="6"/>
  <c r="V401" i="6"/>
  <c r="U228" i="6"/>
  <c r="V228" i="6"/>
  <c r="U338" i="6"/>
  <c r="V338" i="6"/>
  <c r="U419" i="6"/>
  <c r="V419" i="6"/>
  <c r="U492" i="6"/>
  <c r="V492" i="6"/>
  <c r="U573" i="6"/>
  <c r="V573" i="6"/>
  <c r="U63" i="6"/>
  <c r="V63" i="6"/>
  <c r="U144" i="6"/>
  <c r="V144" i="6"/>
  <c r="U529" i="6"/>
  <c r="V529" i="6"/>
  <c r="U185" i="6"/>
  <c r="V185" i="6"/>
  <c r="U3" i="6"/>
  <c r="V3" i="6"/>
  <c r="U76" i="6"/>
  <c r="V76" i="6"/>
  <c r="U157" i="6"/>
  <c r="V157" i="6"/>
  <c r="U246" i="6"/>
  <c r="V246" i="6"/>
  <c r="U327" i="6"/>
  <c r="V327" i="6"/>
  <c r="U408" i="6"/>
  <c r="V408" i="6"/>
  <c r="U346" i="6"/>
  <c r="V346" i="6"/>
  <c r="U494" i="6"/>
  <c r="V494" i="6"/>
  <c r="U506" i="6"/>
  <c r="V506" i="6"/>
  <c r="U55" i="6"/>
  <c r="V55" i="6"/>
  <c r="U459" i="6"/>
  <c r="V459" i="6"/>
  <c r="U184" i="6"/>
  <c r="V184" i="6"/>
  <c r="U116" i="6"/>
  <c r="V116" i="6"/>
  <c r="U418" i="6"/>
  <c r="V418" i="6"/>
  <c r="U382" i="6"/>
  <c r="V382" i="6"/>
  <c r="U163" i="6"/>
  <c r="V163" i="6"/>
  <c r="U568" i="6"/>
  <c r="V568" i="6"/>
  <c r="U589" i="6"/>
  <c r="V589" i="6"/>
  <c r="U220" i="6"/>
  <c r="V220" i="6"/>
  <c r="U384" i="6"/>
  <c r="V384" i="6"/>
  <c r="U475" i="6"/>
  <c r="V475" i="6"/>
  <c r="U32" i="6"/>
  <c r="V32" i="6"/>
  <c r="U21" i="6"/>
  <c r="V21" i="6"/>
  <c r="U498" i="6"/>
  <c r="V498" i="6"/>
  <c r="U374" i="6"/>
  <c r="V374" i="6"/>
  <c r="U227" i="6"/>
  <c r="V227" i="6"/>
  <c r="U257" i="6"/>
  <c r="V257" i="6"/>
  <c r="U486" i="6"/>
  <c r="V486" i="6"/>
  <c r="U515" i="6"/>
  <c r="V515" i="6"/>
  <c r="U240" i="6"/>
  <c r="V240" i="6"/>
  <c r="U110" i="6"/>
  <c r="V110" i="6"/>
  <c r="U122" i="6"/>
  <c r="V122" i="6"/>
  <c r="U270" i="6"/>
  <c r="V270" i="6"/>
  <c r="U554" i="6"/>
  <c r="V554" i="6"/>
  <c r="U360" i="6"/>
  <c r="V360" i="6"/>
  <c r="U373" i="6"/>
  <c r="V373" i="6"/>
  <c r="U234" i="6"/>
  <c r="V234" i="6"/>
  <c r="U40" i="6"/>
  <c r="V40" i="6"/>
  <c r="U404" i="6"/>
  <c r="V404" i="6"/>
  <c r="U521" i="6"/>
  <c r="V521" i="6"/>
  <c r="U77" i="6"/>
  <c r="V77" i="6"/>
  <c r="U90" i="6"/>
  <c r="V90" i="6"/>
  <c r="U412" i="6"/>
  <c r="V412" i="6"/>
  <c r="U325" i="6"/>
  <c r="V325" i="6"/>
  <c r="U238" i="6"/>
  <c r="V238" i="6"/>
  <c r="U151" i="6"/>
  <c r="V151" i="6"/>
  <c r="U64" i="6"/>
  <c r="V64" i="6"/>
  <c r="U576" i="6"/>
  <c r="V576" i="6"/>
  <c r="U49" i="6"/>
  <c r="V49" i="6"/>
  <c r="U250" i="6"/>
  <c r="V250" i="6"/>
  <c r="U155" i="6"/>
  <c r="V155" i="6"/>
  <c r="U60" i="6"/>
  <c r="V60" i="6"/>
  <c r="U572" i="6"/>
  <c r="V572" i="6"/>
  <c r="U485" i="6"/>
  <c r="V485" i="6"/>
  <c r="U398" i="6"/>
  <c r="V398" i="6"/>
  <c r="U311" i="6"/>
  <c r="V311" i="6"/>
  <c r="U224" i="6"/>
  <c r="V224" i="6"/>
  <c r="U457" i="6"/>
  <c r="V457" i="6"/>
  <c r="U10" i="6"/>
  <c r="V10" i="6"/>
  <c r="U115" i="6"/>
  <c r="V115" i="6"/>
  <c r="U196" i="6"/>
  <c r="V196" i="6"/>
  <c r="U277" i="6"/>
  <c r="V277" i="6"/>
  <c r="U358" i="6"/>
  <c r="V358" i="6"/>
  <c r="U447" i="6"/>
  <c r="V447" i="6"/>
  <c r="U528" i="6"/>
  <c r="V528" i="6"/>
  <c r="U273" i="6"/>
  <c r="V273" i="6"/>
  <c r="U52" i="6"/>
  <c r="V52" i="6"/>
  <c r="U306" i="6"/>
  <c r="V306" i="6"/>
  <c r="U387" i="6"/>
  <c r="V387" i="6"/>
  <c r="U460" i="6"/>
  <c r="V460" i="6"/>
  <c r="U541" i="6"/>
  <c r="V541" i="6"/>
  <c r="U31" i="6"/>
  <c r="V31" i="6"/>
  <c r="U112" i="6"/>
  <c r="V112" i="6"/>
  <c r="U345" i="6"/>
  <c r="V345" i="6"/>
  <c r="U308" i="6"/>
  <c r="V308" i="6"/>
  <c r="U402" i="6"/>
  <c r="V402" i="6"/>
  <c r="U483" i="6"/>
  <c r="V483" i="6"/>
  <c r="U556" i="6"/>
  <c r="V556" i="6"/>
  <c r="U38" i="6"/>
  <c r="V38" i="6"/>
  <c r="U127" i="6"/>
  <c r="V127" i="6"/>
  <c r="U208" i="6"/>
  <c r="V208" i="6"/>
  <c r="U409" i="6"/>
  <c r="V409" i="6"/>
  <c r="U484" i="6"/>
  <c r="V484" i="6"/>
  <c r="U426" i="6"/>
  <c r="V426" i="6"/>
  <c r="U499" i="6"/>
  <c r="V499" i="6"/>
  <c r="U580" i="6"/>
  <c r="V580" i="6"/>
  <c r="U62" i="6"/>
  <c r="V62" i="6"/>
  <c r="U143" i="6"/>
  <c r="V143" i="6"/>
  <c r="U232" i="6"/>
  <c r="V232" i="6"/>
  <c r="U601" i="6"/>
  <c r="V601" i="6"/>
  <c r="U82" i="6"/>
  <c r="V82" i="6"/>
  <c r="U83" i="6"/>
  <c r="V83" i="6"/>
  <c r="U164" i="6"/>
  <c r="V164" i="6"/>
  <c r="U245" i="6"/>
  <c r="V245" i="6"/>
  <c r="U326" i="6"/>
  <c r="V326" i="6"/>
  <c r="U415" i="6"/>
  <c r="V415" i="6"/>
  <c r="U496" i="6"/>
  <c r="V496" i="6"/>
  <c r="U251" i="6"/>
  <c r="V251" i="6"/>
  <c r="U407" i="6"/>
  <c r="V407" i="6"/>
  <c r="U411" i="6"/>
  <c r="V411" i="6"/>
  <c r="U567" i="6"/>
  <c r="V567" i="6"/>
  <c r="U532" i="6"/>
  <c r="V532" i="6"/>
  <c r="U242" i="6"/>
  <c r="V242" i="6"/>
  <c r="U286" i="6"/>
  <c r="V286" i="6"/>
  <c r="U139" i="6"/>
  <c r="V139" i="6"/>
  <c r="U552" i="6"/>
  <c r="V552" i="6"/>
  <c r="U317" i="6"/>
  <c r="V317" i="6"/>
  <c r="U354" i="6"/>
  <c r="V354" i="6"/>
  <c r="U152" i="6"/>
  <c r="V152" i="6"/>
  <c r="U133" i="6"/>
  <c r="V133" i="6"/>
  <c r="U473" i="6"/>
  <c r="V473" i="6"/>
  <c r="U293" i="6"/>
  <c r="V293" i="6"/>
  <c r="U553" i="6"/>
  <c r="V553" i="6"/>
  <c r="U191" i="6"/>
  <c r="V191" i="6"/>
  <c r="U131" i="6"/>
  <c r="V131" i="6"/>
  <c r="U536" i="6"/>
  <c r="V536" i="6"/>
  <c r="U381" i="6"/>
  <c r="V381" i="6"/>
  <c r="U324" i="6"/>
  <c r="V324" i="6"/>
  <c r="U25" i="6"/>
  <c r="V25" i="6"/>
  <c r="U178" i="6"/>
  <c r="V178" i="6"/>
  <c r="U379" i="6"/>
  <c r="V379" i="6"/>
  <c r="U535" i="6"/>
  <c r="V535" i="6"/>
  <c r="U539" i="6"/>
  <c r="V539" i="6"/>
  <c r="U96" i="6"/>
  <c r="V96" i="6"/>
  <c r="U109" i="6"/>
  <c r="V109" i="6"/>
  <c r="U114" i="6"/>
  <c r="V114" i="6"/>
  <c r="U193" i="6"/>
  <c r="V193" i="6"/>
  <c r="U469" i="6"/>
  <c r="V469" i="6"/>
  <c r="U331" i="6"/>
  <c r="V331" i="6"/>
  <c r="U169" i="6"/>
  <c r="V169" i="6"/>
  <c r="U328" i="6"/>
  <c r="V328" i="6"/>
  <c r="U507" i="6"/>
  <c r="V507" i="6"/>
  <c r="U571" i="6"/>
  <c r="V571" i="6"/>
  <c r="U389" i="6"/>
  <c r="V389" i="6"/>
  <c r="U302" i="6"/>
  <c r="V302" i="6"/>
  <c r="U215" i="6"/>
  <c r="V215" i="6"/>
  <c r="U128" i="6"/>
  <c r="V128" i="6"/>
  <c r="U321" i="6"/>
  <c r="V321" i="6"/>
  <c r="U369" i="6"/>
  <c r="V369" i="6"/>
  <c r="U314" i="6"/>
  <c r="V314" i="6"/>
  <c r="U219" i="6"/>
  <c r="V219" i="6"/>
  <c r="U124" i="6"/>
  <c r="V124" i="6"/>
  <c r="U37" i="6"/>
  <c r="V37" i="6"/>
  <c r="U549" i="6"/>
  <c r="V549" i="6"/>
  <c r="U462" i="6"/>
  <c r="V462" i="6"/>
  <c r="U375" i="6"/>
  <c r="V375" i="6"/>
  <c r="U288" i="6"/>
  <c r="V288" i="6"/>
  <c r="U337" i="6"/>
  <c r="V337" i="6"/>
  <c r="U106" i="6"/>
  <c r="V106" i="6"/>
  <c r="U203" i="6"/>
  <c r="V203" i="6"/>
  <c r="U276" i="6"/>
  <c r="V276" i="6"/>
  <c r="U365" i="6"/>
  <c r="V365" i="6"/>
  <c r="U446" i="6"/>
  <c r="V446" i="6"/>
  <c r="U527" i="6"/>
  <c r="V527" i="6"/>
  <c r="U129" i="6"/>
  <c r="V129" i="6"/>
  <c r="U417" i="6"/>
  <c r="V417" i="6"/>
  <c r="U396" i="6"/>
  <c r="V396" i="6"/>
  <c r="U394" i="6"/>
  <c r="V394" i="6"/>
  <c r="U467" i="6"/>
  <c r="V467" i="6"/>
  <c r="U548" i="6"/>
  <c r="V548" i="6"/>
  <c r="U30" i="6"/>
  <c r="V30" i="6"/>
  <c r="U111" i="6"/>
  <c r="V111" i="6"/>
  <c r="U200" i="6"/>
  <c r="V200" i="6"/>
  <c r="U489" i="6"/>
  <c r="V489" i="6"/>
  <c r="U564" i="6"/>
  <c r="V564" i="6"/>
  <c r="U490" i="6"/>
  <c r="V490" i="6"/>
  <c r="U563" i="6"/>
  <c r="V563" i="6"/>
  <c r="U45" i="6"/>
  <c r="V45" i="6"/>
  <c r="U126" i="6"/>
  <c r="V126" i="6"/>
  <c r="U207" i="6"/>
  <c r="V207" i="6"/>
  <c r="U296" i="6"/>
  <c r="V296" i="6"/>
  <c r="U481" i="6"/>
  <c r="V481" i="6"/>
  <c r="U141" i="6"/>
  <c r="V141" i="6"/>
  <c r="U514" i="6"/>
  <c r="V514" i="6"/>
  <c r="U587" i="6"/>
  <c r="V587" i="6"/>
  <c r="U61" i="6"/>
  <c r="V61" i="6"/>
  <c r="U150" i="6"/>
  <c r="V150" i="6"/>
  <c r="U231" i="6"/>
  <c r="V231" i="6"/>
  <c r="U312" i="6"/>
  <c r="V312" i="6"/>
  <c r="U105" i="6"/>
  <c r="V105" i="6"/>
  <c r="U74" i="6"/>
  <c r="V74" i="6"/>
  <c r="U171" i="6"/>
  <c r="V171" i="6"/>
  <c r="U244" i="6"/>
  <c r="V244" i="6"/>
  <c r="U333" i="6"/>
  <c r="V333" i="6"/>
  <c r="U414" i="6"/>
  <c r="V414" i="6"/>
  <c r="U495" i="6"/>
  <c r="V495" i="6"/>
  <c r="U584" i="6"/>
  <c r="V584" i="6"/>
  <c r="U156" i="6"/>
  <c r="V156" i="6"/>
  <c r="U320" i="6"/>
  <c r="V320" i="6"/>
  <c r="U316" i="6"/>
  <c r="V316" i="6"/>
  <c r="U480" i="6"/>
  <c r="V480" i="6"/>
  <c r="U22" i="6"/>
  <c r="V22" i="6"/>
  <c r="U54" i="6"/>
  <c r="V54" i="6"/>
  <c r="U367" i="6"/>
  <c r="V367" i="6"/>
  <c r="U301" i="6"/>
  <c r="V301" i="6"/>
  <c r="U66" i="6"/>
  <c r="V66" i="6"/>
  <c r="U487" i="6"/>
  <c r="V487" i="6"/>
  <c r="U500" i="6"/>
  <c r="V500" i="6"/>
  <c r="U46" i="6"/>
  <c r="V46" i="6"/>
  <c r="U58" i="6"/>
  <c r="V58" i="6"/>
  <c r="U206" i="6"/>
  <c r="V206" i="6"/>
  <c r="U466" i="6"/>
  <c r="V466" i="6"/>
  <c r="U272" i="6"/>
  <c r="V272" i="6"/>
  <c r="U285" i="6"/>
  <c r="V285" i="6"/>
  <c r="U130" i="6"/>
  <c r="V130" i="6"/>
  <c r="U551" i="6"/>
  <c r="V551" i="6"/>
  <c r="U243" i="6"/>
  <c r="V243" i="6"/>
  <c r="U449" i="6"/>
  <c r="V449" i="6"/>
  <c r="U70" i="6"/>
  <c r="V70" i="6"/>
  <c r="U197" i="6"/>
  <c r="V197" i="6"/>
  <c r="U353" i="6"/>
  <c r="V353" i="6"/>
  <c r="U357" i="6"/>
  <c r="V357" i="6"/>
  <c r="U65" i="6"/>
  <c r="V65" i="6"/>
  <c r="U190" i="6"/>
  <c r="V190" i="6"/>
  <c r="U147" i="6"/>
  <c r="V147" i="6"/>
  <c r="U454" i="6"/>
  <c r="V454" i="6"/>
  <c r="U307" i="6"/>
  <c r="V307" i="6"/>
  <c r="U329" i="6"/>
  <c r="V329" i="6"/>
  <c r="U493" i="6"/>
  <c r="V493" i="6"/>
  <c r="U522" i="6"/>
  <c r="V522" i="6"/>
  <c r="U158" i="6"/>
  <c r="V158" i="6"/>
  <c r="U602" i="6"/>
  <c r="V602" i="6"/>
  <c r="U59" i="6"/>
  <c r="V59" i="6"/>
  <c r="U218" i="6"/>
  <c r="V218" i="6"/>
  <c r="U28" i="6"/>
  <c r="V28" i="6"/>
  <c r="U540" i="6"/>
  <c r="V540" i="6"/>
  <c r="U453" i="6"/>
  <c r="V453" i="6"/>
  <c r="U366" i="6"/>
  <c r="V366" i="6"/>
  <c r="U279" i="6"/>
  <c r="V279" i="6"/>
  <c r="U192" i="6"/>
  <c r="V192" i="6"/>
  <c r="U201" i="6"/>
  <c r="V201" i="6"/>
  <c r="U34" i="6"/>
  <c r="V34" i="6"/>
  <c r="U378" i="6"/>
  <c r="V378" i="6"/>
  <c r="U283" i="6"/>
  <c r="V283" i="6"/>
  <c r="U188" i="6"/>
  <c r="V188" i="6"/>
  <c r="U101" i="6"/>
  <c r="V101" i="6"/>
  <c r="U14" i="6"/>
  <c r="V14" i="6"/>
  <c r="U526" i="6"/>
  <c r="V526" i="6"/>
  <c r="U439" i="6"/>
  <c r="V439" i="6"/>
  <c r="U352" i="6"/>
  <c r="V352" i="6"/>
  <c r="U217" i="6"/>
  <c r="V217" i="6"/>
  <c r="U202" i="6"/>
  <c r="V202" i="6"/>
  <c r="U291" i="6"/>
  <c r="V291" i="6"/>
  <c r="U364" i="6"/>
  <c r="V364" i="6"/>
  <c r="U445" i="6"/>
  <c r="V445" i="6"/>
  <c r="U534" i="6"/>
  <c r="V534" i="6"/>
  <c r="U16" i="6"/>
  <c r="V16" i="6"/>
  <c r="U137" i="6"/>
  <c r="V137" i="6"/>
  <c r="U569" i="6"/>
  <c r="V569" i="6"/>
  <c r="U53" i="6"/>
  <c r="V53" i="6"/>
  <c r="U482" i="6"/>
  <c r="V482" i="6"/>
  <c r="U555" i="6"/>
  <c r="V555" i="6"/>
  <c r="U29" i="6"/>
  <c r="V29" i="6"/>
  <c r="U118" i="6"/>
  <c r="V118" i="6"/>
  <c r="U199" i="6"/>
  <c r="V199" i="6"/>
  <c r="U280" i="6"/>
  <c r="V280" i="6"/>
  <c r="U50" i="6"/>
  <c r="V50" i="6"/>
  <c r="U221" i="6"/>
  <c r="V221" i="6"/>
  <c r="U578" i="6"/>
  <c r="V578" i="6"/>
  <c r="U44" i="6"/>
  <c r="V44" i="6"/>
  <c r="U125" i="6"/>
  <c r="V125" i="6"/>
  <c r="U214" i="6"/>
  <c r="V214" i="6"/>
  <c r="U295" i="6"/>
  <c r="V295" i="6"/>
  <c r="U376" i="6"/>
  <c r="V376" i="6"/>
  <c r="U249" i="6"/>
  <c r="V249" i="6"/>
  <c r="U309" i="6"/>
  <c r="V309" i="6"/>
  <c r="U594" i="6"/>
  <c r="V594" i="6"/>
  <c r="U68" i="6"/>
  <c r="V68" i="6"/>
  <c r="U149" i="6"/>
  <c r="V149" i="6"/>
  <c r="U230" i="6"/>
  <c r="V230" i="6"/>
  <c r="U319" i="6"/>
  <c r="V319" i="6"/>
  <c r="U400" i="6"/>
  <c r="V400" i="6"/>
  <c r="U177" i="6"/>
  <c r="V177" i="6"/>
  <c r="U170" i="6"/>
  <c r="V170" i="6"/>
  <c r="U259" i="6"/>
  <c r="V259" i="6"/>
  <c r="U332" i="6"/>
  <c r="V332" i="6"/>
  <c r="U413" i="6"/>
  <c r="V413" i="6"/>
  <c r="U502" i="6"/>
  <c r="V502" i="6"/>
  <c r="U583" i="6"/>
  <c r="V583" i="6"/>
  <c r="U585" i="6"/>
  <c r="V585" i="6"/>
  <c r="U581" i="6"/>
  <c r="V581" i="6"/>
  <c r="U226" i="6"/>
  <c r="V226" i="6"/>
  <c r="U142" i="6"/>
  <c r="V142" i="6"/>
  <c r="U386" i="6"/>
  <c r="V386" i="6"/>
  <c r="U281" i="6"/>
  <c r="V281" i="6"/>
  <c r="U205" i="6"/>
  <c r="V205" i="6"/>
  <c r="U42" i="6"/>
  <c r="V42" i="6"/>
  <c r="U463" i="6"/>
  <c r="V463" i="6"/>
  <c r="U236" i="6"/>
  <c r="V236" i="6"/>
  <c r="U513" i="6"/>
  <c r="V513" i="6"/>
  <c r="U71" i="6"/>
  <c r="V71" i="6"/>
  <c r="U315" i="6"/>
  <c r="V315" i="6"/>
  <c r="U471" i="6"/>
  <c r="V471" i="6"/>
  <c r="U380" i="6"/>
  <c r="V380" i="6"/>
  <c r="U544" i="6"/>
  <c r="V544" i="6"/>
  <c r="U102" i="6"/>
  <c r="V102" i="6"/>
  <c r="U18" i="6"/>
  <c r="V18" i="6"/>
  <c r="U455" i="6"/>
  <c r="V455" i="6"/>
  <c r="U300" i="6"/>
  <c r="V300" i="6"/>
  <c r="U235" i="6"/>
  <c r="V235" i="6"/>
  <c r="U405" i="6"/>
  <c r="V405" i="6"/>
  <c r="U434" i="6"/>
  <c r="V434" i="6"/>
  <c r="U159" i="6"/>
  <c r="V159" i="6"/>
  <c r="U474" i="6"/>
  <c r="V474" i="6"/>
  <c r="U23" i="6"/>
  <c r="V23" i="6"/>
  <c r="U27" i="6"/>
  <c r="V27" i="6"/>
  <c r="U183" i="6"/>
  <c r="V183" i="6"/>
  <c r="U20" i="6"/>
  <c r="V20" i="6"/>
  <c r="U425" i="6"/>
  <c r="V425" i="6"/>
  <c r="U292" i="6"/>
  <c r="V292" i="6"/>
  <c r="U323" i="6"/>
  <c r="V323" i="6"/>
  <c r="U550" i="6"/>
  <c r="V550" i="6"/>
  <c r="U258" i="6"/>
  <c r="V258" i="6"/>
  <c r="U574" i="6"/>
  <c r="V574" i="6"/>
  <c r="U595" i="6"/>
  <c r="V595" i="6"/>
  <c r="U154" i="6"/>
  <c r="V154" i="6"/>
  <c r="U476" i="6"/>
  <c r="V476" i="6"/>
  <c r="U123" i="6"/>
  <c r="V123" i="6"/>
  <c r="U282" i="6"/>
  <c r="V282" i="6"/>
  <c r="U187" i="6"/>
  <c r="V187" i="6"/>
  <c r="U92" i="6"/>
  <c r="V92" i="6"/>
  <c r="U5" i="6"/>
  <c r="V5" i="6"/>
  <c r="U517" i="6"/>
  <c r="V517" i="6"/>
  <c r="U430" i="6"/>
  <c r="V430" i="6"/>
  <c r="U343" i="6"/>
  <c r="V343" i="6"/>
  <c r="U256" i="6"/>
  <c r="V256" i="6"/>
  <c r="U81" i="6"/>
  <c r="V81" i="6"/>
  <c r="U162" i="6"/>
  <c r="V162" i="6"/>
  <c r="U442" i="6"/>
  <c r="V442" i="6"/>
  <c r="U347" i="6"/>
  <c r="V347" i="6"/>
  <c r="U252" i="6"/>
  <c r="V252" i="6"/>
  <c r="U165" i="6"/>
  <c r="V165" i="6"/>
  <c r="U78" i="6"/>
  <c r="V78" i="6"/>
  <c r="U590" i="6"/>
  <c r="V590" i="6"/>
  <c r="U503" i="6"/>
  <c r="V503" i="6"/>
  <c r="U416" i="6"/>
  <c r="V416" i="6"/>
  <c r="U97" i="6"/>
  <c r="V97" i="6"/>
  <c r="U298" i="6"/>
  <c r="V298" i="6"/>
  <c r="U371" i="6"/>
  <c r="V371" i="6"/>
  <c r="U452" i="6"/>
  <c r="V452" i="6"/>
  <c r="U533" i="6"/>
  <c r="V533" i="6"/>
  <c r="U15" i="6"/>
  <c r="V15" i="6"/>
  <c r="U104" i="6"/>
  <c r="V104" i="6"/>
  <c r="U209" i="6"/>
  <c r="V209" i="6"/>
  <c r="U113" i="6"/>
  <c r="V113" i="6"/>
  <c r="U397" i="6"/>
  <c r="V397" i="6"/>
  <c r="U562" i="6"/>
  <c r="V562" i="6"/>
  <c r="U36" i="6"/>
  <c r="V36" i="6"/>
  <c r="U117" i="6"/>
  <c r="V117" i="6"/>
  <c r="U198" i="6"/>
  <c r="V198" i="6"/>
  <c r="U287" i="6"/>
  <c r="V287" i="6"/>
  <c r="U368" i="6"/>
  <c r="V368" i="6"/>
  <c r="U330" i="6"/>
  <c r="V330" i="6"/>
  <c r="U477" i="6"/>
  <c r="V477" i="6"/>
  <c r="U51" i="6"/>
  <c r="V51" i="6"/>
  <c r="U132" i="6"/>
  <c r="V132" i="6"/>
  <c r="U213" i="6"/>
  <c r="V213" i="6"/>
  <c r="U294" i="6"/>
  <c r="V294" i="6"/>
  <c r="U383" i="6"/>
  <c r="V383" i="6"/>
  <c r="U464" i="6"/>
  <c r="V464" i="6"/>
  <c r="U138" i="6"/>
  <c r="V138" i="6"/>
  <c r="U565" i="6"/>
  <c r="V565" i="6"/>
  <c r="U75" i="6"/>
  <c r="V75" i="6"/>
  <c r="U148" i="6"/>
  <c r="V148" i="6"/>
  <c r="U237" i="6"/>
  <c r="V237" i="6"/>
  <c r="U318" i="6"/>
  <c r="V318" i="6"/>
  <c r="U399" i="6"/>
  <c r="V399" i="6"/>
  <c r="U488" i="6"/>
  <c r="V488" i="6"/>
  <c r="U377" i="6"/>
  <c r="V377" i="6"/>
  <c r="U266" i="6"/>
  <c r="V266" i="6"/>
  <c r="U339" i="6"/>
  <c r="V339" i="6"/>
  <c r="U420" i="6"/>
  <c r="V420" i="6"/>
  <c r="U501" i="6"/>
  <c r="V501" i="6"/>
  <c r="U582" i="6"/>
  <c r="V582" i="6"/>
  <c r="U72" i="6"/>
  <c r="V72" i="6"/>
  <c r="U33" i="6"/>
  <c r="V33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<sst xmlns="http://schemas.openxmlformats.org/spreadsheetml/2006/main" count="162" uniqueCount="130">
  <si>
    <t>Point</t>
  </si>
  <si>
    <t>Bit</t>
  </si>
  <si>
    <t>D_out</t>
  </si>
  <si>
    <t>VDD</t>
  </si>
  <si>
    <t>GND</t>
  </si>
  <si>
    <t>Offset Error</t>
  </si>
  <si>
    <t>LSB</t>
  </si>
  <si>
    <t>LSB/V</t>
  </si>
  <si>
    <t>SPS</t>
  </si>
  <si>
    <t>Resolution</t>
  </si>
  <si>
    <t>dB</t>
  </si>
  <si>
    <t>raw_zero_25</t>
  </si>
  <si>
    <t>raw_full_25</t>
  </si>
  <si>
    <t>raw_zero_20</t>
  </si>
  <si>
    <t>raw_full_20</t>
  </si>
  <si>
    <t>raw_zero_50</t>
  </si>
  <si>
    <t>raw_full_50</t>
  </si>
  <si>
    <t>raw_zero_80</t>
  </si>
  <si>
    <t>raw_full_80</t>
  </si>
  <si>
    <t>Error</t>
  </si>
  <si>
    <t>T_s</t>
  </si>
  <si>
    <t>V_i</t>
  </si>
  <si>
    <t>V</t>
  </si>
  <si>
    <t>%</t>
  </si>
  <si>
    <t>Requirement</t>
  </si>
  <si>
    <t>ERROR</t>
  </si>
  <si>
    <t>ADC</t>
  </si>
  <si>
    <t>Min</t>
  </si>
  <si>
    <t>Typ</t>
  </si>
  <si>
    <t>Max</t>
  </si>
  <si>
    <t>Analog_In_V_to_GND</t>
  </si>
  <si>
    <t>Temperature</t>
  </si>
  <si>
    <t>độ C</t>
  </si>
  <si>
    <t>PGA (program gain amplifier)</t>
  </si>
  <si>
    <t>FS (Full-Scale)</t>
  </si>
  <si>
    <t>Unit</t>
  </si>
  <si>
    <t>Common-Mode Input Impedance</t>
  </si>
  <si>
    <t>Ohm</t>
  </si>
  <si>
    <t>DR (Data Rate)</t>
  </si>
  <si>
    <t>Range_Temperature</t>
  </si>
  <si>
    <t>Gain Drift</t>
  </si>
  <si>
    <t>%/độ C</t>
  </si>
  <si>
    <t>Common Mode Rejection</t>
  </si>
  <si>
    <t>Tại FS = 6.144</t>
  </si>
  <si>
    <t>Digital Input/Output</t>
  </si>
  <si>
    <t>V_IH</t>
  </si>
  <si>
    <t>V_IL</t>
  </si>
  <si>
    <t>Offset Voltage</t>
  </si>
  <si>
    <t>Gain Error</t>
  </si>
  <si>
    <t>INL _vs_VoltageSupply</t>
  </si>
  <si>
    <t>INL_vs_Temperature</t>
  </si>
  <si>
    <t>Offset_Vol</t>
  </si>
  <si>
    <t>Gain_Error</t>
  </si>
  <si>
    <t>Calibration</t>
  </si>
  <si>
    <t>Value_Standard</t>
  </si>
  <si>
    <t>Value_Measurement</t>
  </si>
  <si>
    <t>V_i_ADC</t>
  </si>
  <si>
    <t>G_E</t>
  </si>
  <si>
    <t>Error_V_i_ADC</t>
  </si>
  <si>
    <t>Digtal output</t>
  </si>
  <si>
    <t>Input Signal (V_i)</t>
  </si>
  <si>
    <t>&gt;= FS(2^15-1)/(2^15)</t>
  </si>
  <si>
    <t>Offset Drift</t>
  </si>
  <si>
    <t>LSB/độ C</t>
  </si>
  <si>
    <t>FS = 6.144V</t>
  </si>
  <si>
    <t>Offset power supply rejection</t>
  </si>
  <si>
    <t>VDD = 5.5V</t>
  </si>
  <si>
    <t>D_cal_error</t>
  </si>
  <si>
    <t>BIN</t>
  </si>
  <si>
    <t>Cal_V</t>
  </si>
  <si>
    <t>Cal_Temp</t>
  </si>
  <si>
    <t>T_standard</t>
  </si>
  <si>
    <t>V_standard</t>
  </si>
  <si>
    <t>T_cal</t>
  </si>
  <si>
    <t>Error_Temperature</t>
  </si>
  <si>
    <t>Error_Voltage</t>
  </si>
  <si>
    <t>Max_E_T</t>
  </si>
  <si>
    <t>Min_E_T</t>
  </si>
  <si>
    <t>Max_E_V</t>
  </si>
  <si>
    <t>Min_E_V</t>
  </si>
  <si>
    <t xml:space="preserve">INL </t>
  </si>
  <si>
    <t>Error_re</t>
  </si>
  <si>
    <t>Error_ab</t>
  </si>
  <si>
    <t>A</t>
  </si>
  <si>
    <t>B</t>
  </si>
  <si>
    <t>C</t>
  </si>
  <si>
    <t>D</t>
  </si>
  <si>
    <t>T_standard (K)</t>
  </si>
  <si>
    <t>Parameters of NTC</t>
  </si>
  <si>
    <t>R_NTC</t>
  </si>
  <si>
    <t>T_standard (Celsius)</t>
  </si>
  <si>
    <t>R_parallel</t>
  </si>
  <si>
    <t>R_wire</t>
  </si>
  <si>
    <t>R_eq</t>
  </si>
  <si>
    <t>V_o_Standard</t>
  </si>
  <si>
    <t>I_const</t>
  </si>
  <si>
    <t>V_o_NTC_Linearization</t>
  </si>
  <si>
    <t>V_o_NTC_NonLinearization</t>
  </si>
  <si>
    <t>Error_V_o_NTC_Linear</t>
  </si>
  <si>
    <t>MAX_V_o_NTC_Linear</t>
  </si>
  <si>
    <t>MIN_V_o_NTC_Linear</t>
  </si>
  <si>
    <t>V_o_MIN</t>
  </si>
  <si>
    <t>V_o_MAX</t>
  </si>
  <si>
    <t>A_V_o</t>
  </si>
  <si>
    <t>B_V_o</t>
  </si>
  <si>
    <t>A_V_o_NTC_Linear</t>
  </si>
  <si>
    <t>B_V_o_NTC_Linear</t>
  </si>
  <si>
    <t>MAX_Error_V_o_NTC_Linear</t>
  </si>
  <si>
    <t>MIN_Error_V_o_NTC_Linear</t>
  </si>
  <si>
    <t>Num</t>
  </si>
  <si>
    <t>Value</t>
  </si>
  <si>
    <t>Parameters</t>
  </si>
  <si>
    <t>V_o_ideal</t>
  </si>
  <si>
    <t>V_o_measurement</t>
  </si>
  <si>
    <t>Error_V_o_ab</t>
  </si>
  <si>
    <t>Error_V_o_re</t>
  </si>
  <si>
    <t>Error_T</t>
  </si>
  <si>
    <t>G_INA</t>
  </si>
  <si>
    <t>R_G</t>
  </si>
  <si>
    <t>Lần</t>
  </si>
  <si>
    <t>V_o_INA</t>
  </si>
  <si>
    <t>V_affter_NTC_Ideal</t>
  </si>
  <si>
    <t>V_o_INA_ideal</t>
  </si>
  <si>
    <t>G_INA_add_Noise</t>
  </si>
  <si>
    <t>Offset_Vol_T</t>
  </si>
  <si>
    <t>Gain_Drift</t>
  </si>
  <si>
    <t>Gain_Nonlinearity</t>
  </si>
  <si>
    <t>INA128P</t>
  </si>
  <si>
    <t>Error_V_o_INA_ab</t>
  </si>
  <si>
    <t>Error_V_o_INA_re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</si>
</sst>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%"/>
    <numFmt numFmtId="165" formatCode="0.000000"/>
    <numFmt numFmtId="166" formatCode="0.000000%"/>
    <numFmt numFmtId="167" formatCode="0.0000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4" fillId="6" borderId="2" applyNumberFormat="0" applyAlignment="0" applyProtection="0"/>
    <xf numFmtId="0" fontId="5" fillId="7" borderId="0" applyNumberFormat="0" applyBorder="0" applyAlignment="0" applyProtection="0"/>
    <xf numFmtId="0" fontId="6" fillId="8" borderId="1" applyNumberFormat="0" applyAlignment="0" applyProtection="0"/>
  </cellStyleXfs>
  <cellXfs count="28">
    <xf numFmtId="0" fontId="0" fillId="0" borderId="0" xfId="0"/>
    <xf numFmtId="9" fontId="0" fillId="0" borderId="0" xfId="1" applyFont="1"/>
    <xf numFmtId="164" fontId="0" fillId="0" borderId="0" xfId="1" applyNumberFormat="1" applyFont="1"/>
    <xf numFmtId="9" fontId="0" fillId="0" borderId="0" xfId="0" applyNumberFormat="1"/>
    <xf numFmtId="165" fontId="0" fillId="0" borderId="0" xfId="0" applyNumberFormat="1"/>
    <xf numFmtId="0" fontId="2" fillId="2" borderId="0" xfId="2"/>
    <xf numFmtId="0" fontId="0" fillId="3" borderId="0" xfId="0" applyFill="1"/>
    <xf numFmtId="10" fontId="0" fillId="0" borderId="0" xfId="0" applyNumberFormat="1"/>
    <xf numFmtId="166" fontId="0" fillId="0" borderId="0" xfId="0" applyNumberFormat="1"/>
    <xf numFmtId="166" fontId="0" fillId="0" borderId="0" xfId="1" applyNumberFormat="1" applyFont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4" fillId="6" borderId="2" xfId="3"/>
    <xf numFmtId="167" fontId="0" fillId="0" borderId="0" xfId="0" applyNumberFormat="1"/>
    <xf numFmtId="164" fontId="5" fillId="7" borderId="0" xfId="4" applyNumberFormat="1"/>
    <xf numFmtId="0" fontId="5" fillId="7" borderId="0" xfId="4"/>
    <xf numFmtId="0" fontId="6" fillId="8" borderId="1" xfId="5"/>
    <xf numFmtId="164" fontId="6" fillId="8" borderId="1" xfId="5" applyNumberFormat="1"/>
    <xf numFmtId="167" fontId="2" fillId="2" borderId="0" xfId="2" applyNumberFormat="1"/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" fillId="2" borderId="0" xfId="2" applyAlignment="1">
      <alignment horizontal="center"/>
    </xf>
    <xf numFmtId="0" fontId="0" fillId="0" borderId="0" xfId="0" applyNumberFormat="1"/>
  </cellXfs>
  <cellStyles count="6">
    <cellStyle name="Calculation" xfId="5" builtinId="22"/>
    <cellStyle name="Check Cell" xfId="3" builtinId="23"/>
    <cellStyle name="Good" xfId="4" builtinId="26"/>
    <cellStyle name="Neutral" xfId="2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Cal_Error!$F$1</c:f>
              <c:strCache>
                <c:ptCount val="1"/>
                <c:pt idx="0">
                  <c:v>Error_Temperature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Cal_Error!$B$2:$B$602</c:f>
              <c:numCache>
                <c:formatCode>General</c:formatCode>
                <c:ptCount val="601"/>
                <c:pt idx="0">
                  <c:v>20</c:v>
                </c:pt>
                <c:pt idx="1">
                  <c:v>20.100000000000001</c:v>
                </c:pt>
                <c:pt idx="2">
                  <c:v>20.2</c:v>
                </c:pt>
                <c:pt idx="3">
                  <c:v>20.3</c:v>
                </c:pt>
                <c:pt idx="4">
                  <c:v>20.399999999999999</c:v>
                </c:pt>
                <c:pt idx="5">
                  <c:v>20.5</c:v>
                </c:pt>
                <c:pt idx="6">
                  <c:v>20.6</c:v>
                </c:pt>
                <c:pt idx="7">
                  <c:v>20.7</c:v>
                </c:pt>
                <c:pt idx="8">
                  <c:v>20.8</c:v>
                </c:pt>
                <c:pt idx="9">
                  <c:v>20.9</c:v>
                </c:pt>
                <c:pt idx="10">
                  <c:v>21</c:v>
                </c:pt>
                <c:pt idx="11">
                  <c:v>21.1</c:v>
                </c:pt>
                <c:pt idx="12">
                  <c:v>21.2</c:v>
                </c:pt>
                <c:pt idx="13">
                  <c:v>21.3</c:v>
                </c:pt>
                <c:pt idx="14">
                  <c:v>21.4</c:v>
                </c:pt>
                <c:pt idx="15">
                  <c:v>21.5</c:v>
                </c:pt>
                <c:pt idx="16">
                  <c:v>21.6</c:v>
                </c:pt>
                <c:pt idx="17">
                  <c:v>21.7</c:v>
                </c:pt>
                <c:pt idx="18">
                  <c:v>21.8</c:v>
                </c:pt>
                <c:pt idx="19">
                  <c:v>21.9</c:v>
                </c:pt>
                <c:pt idx="20">
                  <c:v>22</c:v>
                </c:pt>
                <c:pt idx="21">
                  <c:v>22.1</c:v>
                </c:pt>
                <c:pt idx="22">
                  <c:v>22.2</c:v>
                </c:pt>
                <c:pt idx="23">
                  <c:v>22.3</c:v>
                </c:pt>
                <c:pt idx="24">
                  <c:v>22.4</c:v>
                </c:pt>
                <c:pt idx="25">
                  <c:v>22.5</c:v>
                </c:pt>
                <c:pt idx="26">
                  <c:v>22.6</c:v>
                </c:pt>
                <c:pt idx="27">
                  <c:v>22.7</c:v>
                </c:pt>
                <c:pt idx="28">
                  <c:v>22.8</c:v>
                </c:pt>
                <c:pt idx="29">
                  <c:v>22.9</c:v>
                </c:pt>
                <c:pt idx="30">
                  <c:v>23</c:v>
                </c:pt>
                <c:pt idx="31">
                  <c:v>23.1</c:v>
                </c:pt>
                <c:pt idx="32">
                  <c:v>23.2</c:v>
                </c:pt>
                <c:pt idx="33">
                  <c:v>23.3</c:v>
                </c:pt>
                <c:pt idx="34">
                  <c:v>23.4</c:v>
                </c:pt>
                <c:pt idx="35">
                  <c:v>23.5</c:v>
                </c:pt>
                <c:pt idx="36">
                  <c:v>23.6</c:v>
                </c:pt>
                <c:pt idx="37">
                  <c:v>23.7</c:v>
                </c:pt>
                <c:pt idx="38">
                  <c:v>23.8</c:v>
                </c:pt>
                <c:pt idx="39">
                  <c:v>23.9</c:v>
                </c:pt>
                <c:pt idx="40">
                  <c:v>24</c:v>
                </c:pt>
                <c:pt idx="41">
                  <c:v>24.1</c:v>
                </c:pt>
                <c:pt idx="42">
                  <c:v>24.2</c:v>
                </c:pt>
                <c:pt idx="43">
                  <c:v>24.3</c:v>
                </c:pt>
                <c:pt idx="44">
                  <c:v>24.4</c:v>
                </c:pt>
                <c:pt idx="45">
                  <c:v>24.5</c:v>
                </c:pt>
                <c:pt idx="46">
                  <c:v>24.6</c:v>
                </c:pt>
                <c:pt idx="47">
                  <c:v>24.7</c:v>
                </c:pt>
                <c:pt idx="48">
                  <c:v>24.8</c:v>
                </c:pt>
                <c:pt idx="49">
                  <c:v>24.9</c:v>
                </c:pt>
                <c:pt idx="50">
                  <c:v>25</c:v>
                </c:pt>
                <c:pt idx="51">
                  <c:v>25.1</c:v>
                </c:pt>
                <c:pt idx="52">
                  <c:v>25.2</c:v>
                </c:pt>
                <c:pt idx="53">
                  <c:v>25.3</c:v>
                </c:pt>
                <c:pt idx="54">
                  <c:v>25.4</c:v>
                </c:pt>
                <c:pt idx="55">
                  <c:v>25.5</c:v>
                </c:pt>
                <c:pt idx="56">
                  <c:v>25.6</c:v>
                </c:pt>
                <c:pt idx="57">
                  <c:v>25.7</c:v>
                </c:pt>
                <c:pt idx="58">
                  <c:v>25.8</c:v>
                </c:pt>
                <c:pt idx="59">
                  <c:v>25.9</c:v>
                </c:pt>
                <c:pt idx="60">
                  <c:v>26</c:v>
                </c:pt>
                <c:pt idx="61">
                  <c:v>26.1</c:v>
                </c:pt>
                <c:pt idx="62">
                  <c:v>26.2</c:v>
                </c:pt>
                <c:pt idx="63">
                  <c:v>26.3</c:v>
                </c:pt>
                <c:pt idx="64">
                  <c:v>26.4</c:v>
                </c:pt>
                <c:pt idx="65">
                  <c:v>26.5</c:v>
                </c:pt>
                <c:pt idx="66">
                  <c:v>26.6</c:v>
                </c:pt>
                <c:pt idx="67">
                  <c:v>26.7</c:v>
                </c:pt>
                <c:pt idx="68">
                  <c:v>26.8</c:v>
                </c:pt>
                <c:pt idx="69">
                  <c:v>26.9</c:v>
                </c:pt>
                <c:pt idx="70">
                  <c:v>27</c:v>
                </c:pt>
                <c:pt idx="71">
                  <c:v>27.1</c:v>
                </c:pt>
                <c:pt idx="72">
                  <c:v>27.2</c:v>
                </c:pt>
                <c:pt idx="73">
                  <c:v>27.3</c:v>
                </c:pt>
                <c:pt idx="74">
                  <c:v>27.4</c:v>
                </c:pt>
                <c:pt idx="75">
                  <c:v>27.5</c:v>
                </c:pt>
                <c:pt idx="76">
                  <c:v>27.6</c:v>
                </c:pt>
                <c:pt idx="77">
                  <c:v>27.7</c:v>
                </c:pt>
                <c:pt idx="78">
                  <c:v>27.8</c:v>
                </c:pt>
                <c:pt idx="79">
                  <c:v>27.9</c:v>
                </c:pt>
                <c:pt idx="80">
                  <c:v>28</c:v>
                </c:pt>
                <c:pt idx="81">
                  <c:v>28.1</c:v>
                </c:pt>
                <c:pt idx="82">
                  <c:v>28.200000000000003</c:v>
                </c:pt>
                <c:pt idx="83">
                  <c:v>28.3</c:v>
                </c:pt>
                <c:pt idx="84">
                  <c:v>28.4</c:v>
                </c:pt>
                <c:pt idx="85">
                  <c:v>28.5</c:v>
                </c:pt>
                <c:pt idx="86">
                  <c:v>28.6</c:v>
                </c:pt>
                <c:pt idx="87">
                  <c:v>28.700000000000003</c:v>
                </c:pt>
                <c:pt idx="88">
                  <c:v>28.8</c:v>
                </c:pt>
                <c:pt idx="89">
                  <c:v>28.9</c:v>
                </c:pt>
                <c:pt idx="90">
                  <c:v>29</c:v>
                </c:pt>
                <c:pt idx="91">
                  <c:v>29.1</c:v>
                </c:pt>
                <c:pt idx="92">
                  <c:v>29.200000000000003</c:v>
                </c:pt>
                <c:pt idx="93">
                  <c:v>29.3</c:v>
                </c:pt>
                <c:pt idx="94">
                  <c:v>29.4</c:v>
                </c:pt>
                <c:pt idx="95">
                  <c:v>29.5</c:v>
                </c:pt>
                <c:pt idx="96">
                  <c:v>29.6</c:v>
                </c:pt>
                <c:pt idx="97">
                  <c:v>29.700000000000003</c:v>
                </c:pt>
                <c:pt idx="98">
                  <c:v>29.8</c:v>
                </c:pt>
                <c:pt idx="99">
                  <c:v>29.9</c:v>
                </c:pt>
                <c:pt idx="100">
                  <c:v>30</c:v>
                </c:pt>
                <c:pt idx="101">
                  <c:v>30.1</c:v>
                </c:pt>
                <c:pt idx="102">
                  <c:v>30.200000000000003</c:v>
                </c:pt>
                <c:pt idx="103">
                  <c:v>30.3</c:v>
                </c:pt>
                <c:pt idx="104">
                  <c:v>30.4</c:v>
                </c:pt>
                <c:pt idx="105">
                  <c:v>30.5</c:v>
                </c:pt>
                <c:pt idx="106">
                  <c:v>30.6</c:v>
                </c:pt>
                <c:pt idx="107">
                  <c:v>30.700000000000003</c:v>
                </c:pt>
                <c:pt idx="108">
                  <c:v>30.8</c:v>
                </c:pt>
                <c:pt idx="109">
                  <c:v>30.9</c:v>
                </c:pt>
                <c:pt idx="110">
                  <c:v>31</c:v>
                </c:pt>
                <c:pt idx="111">
                  <c:v>31.1</c:v>
                </c:pt>
                <c:pt idx="112">
                  <c:v>31.200000000000003</c:v>
                </c:pt>
                <c:pt idx="113">
                  <c:v>31.3</c:v>
                </c:pt>
                <c:pt idx="114">
                  <c:v>31.4</c:v>
                </c:pt>
                <c:pt idx="115">
                  <c:v>31.5</c:v>
                </c:pt>
                <c:pt idx="116">
                  <c:v>31.6</c:v>
                </c:pt>
                <c:pt idx="117">
                  <c:v>31.700000000000003</c:v>
                </c:pt>
                <c:pt idx="118">
                  <c:v>31.8</c:v>
                </c:pt>
                <c:pt idx="119">
                  <c:v>31.9</c:v>
                </c:pt>
                <c:pt idx="120">
                  <c:v>32</c:v>
                </c:pt>
                <c:pt idx="121">
                  <c:v>32.1</c:v>
                </c:pt>
                <c:pt idx="122">
                  <c:v>32.200000000000003</c:v>
                </c:pt>
                <c:pt idx="123">
                  <c:v>32.299999999999997</c:v>
                </c:pt>
                <c:pt idx="124">
                  <c:v>32.4</c:v>
                </c:pt>
                <c:pt idx="125">
                  <c:v>32.5</c:v>
                </c:pt>
                <c:pt idx="126">
                  <c:v>32.6</c:v>
                </c:pt>
                <c:pt idx="127">
                  <c:v>32.700000000000003</c:v>
                </c:pt>
                <c:pt idx="128">
                  <c:v>32.799999999999997</c:v>
                </c:pt>
                <c:pt idx="129">
                  <c:v>32.9</c:v>
                </c:pt>
                <c:pt idx="130">
                  <c:v>33</c:v>
                </c:pt>
                <c:pt idx="131">
                  <c:v>33.1</c:v>
                </c:pt>
                <c:pt idx="132">
                  <c:v>33.200000000000003</c:v>
                </c:pt>
                <c:pt idx="133">
                  <c:v>33.299999999999997</c:v>
                </c:pt>
                <c:pt idx="134">
                  <c:v>33.4</c:v>
                </c:pt>
                <c:pt idx="135">
                  <c:v>33.5</c:v>
                </c:pt>
                <c:pt idx="136">
                  <c:v>33.6</c:v>
                </c:pt>
                <c:pt idx="137">
                  <c:v>33.700000000000003</c:v>
                </c:pt>
                <c:pt idx="138">
                  <c:v>33.799999999999997</c:v>
                </c:pt>
                <c:pt idx="139">
                  <c:v>33.9</c:v>
                </c:pt>
                <c:pt idx="140">
                  <c:v>34</c:v>
                </c:pt>
                <c:pt idx="141">
                  <c:v>34.1</c:v>
                </c:pt>
                <c:pt idx="142">
                  <c:v>34.200000000000003</c:v>
                </c:pt>
                <c:pt idx="143">
                  <c:v>34.299999999999997</c:v>
                </c:pt>
                <c:pt idx="144">
                  <c:v>34.4</c:v>
                </c:pt>
                <c:pt idx="145">
                  <c:v>34.5</c:v>
                </c:pt>
                <c:pt idx="146">
                  <c:v>34.6</c:v>
                </c:pt>
                <c:pt idx="147">
                  <c:v>34.700000000000003</c:v>
                </c:pt>
                <c:pt idx="148">
                  <c:v>34.799999999999997</c:v>
                </c:pt>
                <c:pt idx="149">
                  <c:v>34.9</c:v>
                </c:pt>
                <c:pt idx="150">
                  <c:v>35</c:v>
                </c:pt>
                <c:pt idx="151">
                  <c:v>35.1</c:v>
                </c:pt>
                <c:pt idx="152">
                  <c:v>35.200000000000003</c:v>
                </c:pt>
                <c:pt idx="153">
                  <c:v>35.299999999999997</c:v>
                </c:pt>
                <c:pt idx="154">
                  <c:v>35.4</c:v>
                </c:pt>
                <c:pt idx="155">
                  <c:v>35.5</c:v>
                </c:pt>
                <c:pt idx="156">
                  <c:v>35.6</c:v>
                </c:pt>
                <c:pt idx="157">
                  <c:v>35.700000000000003</c:v>
                </c:pt>
                <c:pt idx="158">
                  <c:v>35.799999999999997</c:v>
                </c:pt>
                <c:pt idx="159">
                  <c:v>35.9</c:v>
                </c:pt>
                <c:pt idx="160">
                  <c:v>36</c:v>
                </c:pt>
                <c:pt idx="161">
                  <c:v>36.1</c:v>
                </c:pt>
                <c:pt idx="162">
                  <c:v>36.200000000000003</c:v>
                </c:pt>
                <c:pt idx="163">
                  <c:v>36.299999999999997</c:v>
                </c:pt>
                <c:pt idx="164">
                  <c:v>36.400000000000006</c:v>
                </c:pt>
                <c:pt idx="165">
                  <c:v>36.5</c:v>
                </c:pt>
                <c:pt idx="166">
                  <c:v>36.6</c:v>
                </c:pt>
                <c:pt idx="167">
                  <c:v>36.700000000000003</c:v>
                </c:pt>
                <c:pt idx="168">
                  <c:v>36.799999999999997</c:v>
                </c:pt>
                <c:pt idx="169">
                  <c:v>36.900000000000006</c:v>
                </c:pt>
                <c:pt idx="170">
                  <c:v>37</c:v>
                </c:pt>
                <c:pt idx="171">
                  <c:v>37.1</c:v>
                </c:pt>
                <c:pt idx="172">
                  <c:v>37.200000000000003</c:v>
                </c:pt>
                <c:pt idx="173">
                  <c:v>37.299999999999997</c:v>
                </c:pt>
                <c:pt idx="174">
                  <c:v>37.400000000000006</c:v>
                </c:pt>
                <c:pt idx="175">
                  <c:v>37.5</c:v>
                </c:pt>
                <c:pt idx="176">
                  <c:v>37.6</c:v>
                </c:pt>
                <c:pt idx="177">
                  <c:v>37.700000000000003</c:v>
                </c:pt>
                <c:pt idx="178">
                  <c:v>37.799999999999997</c:v>
                </c:pt>
                <c:pt idx="179">
                  <c:v>37.900000000000006</c:v>
                </c:pt>
                <c:pt idx="180">
                  <c:v>38</c:v>
                </c:pt>
                <c:pt idx="181">
                  <c:v>38.1</c:v>
                </c:pt>
                <c:pt idx="182">
                  <c:v>38.200000000000003</c:v>
                </c:pt>
                <c:pt idx="183">
                  <c:v>38.299999999999997</c:v>
                </c:pt>
                <c:pt idx="184">
                  <c:v>38.400000000000006</c:v>
                </c:pt>
                <c:pt idx="185">
                  <c:v>38.5</c:v>
                </c:pt>
                <c:pt idx="186">
                  <c:v>38.6</c:v>
                </c:pt>
                <c:pt idx="187">
                  <c:v>38.700000000000003</c:v>
                </c:pt>
                <c:pt idx="188">
                  <c:v>38.799999999999997</c:v>
                </c:pt>
                <c:pt idx="189">
                  <c:v>38.900000000000006</c:v>
                </c:pt>
                <c:pt idx="190">
                  <c:v>39</c:v>
                </c:pt>
                <c:pt idx="191">
                  <c:v>39.1</c:v>
                </c:pt>
                <c:pt idx="192">
                  <c:v>39.200000000000003</c:v>
                </c:pt>
                <c:pt idx="193">
                  <c:v>39.299999999999997</c:v>
                </c:pt>
                <c:pt idx="194">
                  <c:v>39.400000000000006</c:v>
                </c:pt>
                <c:pt idx="195">
                  <c:v>39.5</c:v>
                </c:pt>
                <c:pt idx="196">
                  <c:v>39.6</c:v>
                </c:pt>
                <c:pt idx="197">
                  <c:v>39.700000000000003</c:v>
                </c:pt>
                <c:pt idx="198">
                  <c:v>39.799999999999997</c:v>
                </c:pt>
                <c:pt idx="199">
                  <c:v>39.900000000000006</c:v>
                </c:pt>
                <c:pt idx="200">
                  <c:v>40</c:v>
                </c:pt>
                <c:pt idx="201">
                  <c:v>40.1</c:v>
                </c:pt>
                <c:pt idx="202">
                  <c:v>40.200000000000003</c:v>
                </c:pt>
                <c:pt idx="203">
                  <c:v>40.299999999999997</c:v>
                </c:pt>
                <c:pt idx="204">
                  <c:v>40.400000000000006</c:v>
                </c:pt>
                <c:pt idx="205">
                  <c:v>40.5</c:v>
                </c:pt>
                <c:pt idx="206">
                  <c:v>40.6</c:v>
                </c:pt>
                <c:pt idx="207">
                  <c:v>40.700000000000003</c:v>
                </c:pt>
                <c:pt idx="208">
                  <c:v>40.799999999999997</c:v>
                </c:pt>
                <c:pt idx="209">
                  <c:v>40.900000000000006</c:v>
                </c:pt>
                <c:pt idx="210">
                  <c:v>41</c:v>
                </c:pt>
                <c:pt idx="211">
                  <c:v>41.1</c:v>
                </c:pt>
                <c:pt idx="212">
                  <c:v>41.2</c:v>
                </c:pt>
                <c:pt idx="213">
                  <c:v>41.3</c:v>
                </c:pt>
                <c:pt idx="214">
                  <c:v>41.400000000000006</c:v>
                </c:pt>
                <c:pt idx="215">
                  <c:v>41.5</c:v>
                </c:pt>
                <c:pt idx="216">
                  <c:v>41.6</c:v>
                </c:pt>
                <c:pt idx="217">
                  <c:v>41.7</c:v>
                </c:pt>
                <c:pt idx="218">
                  <c:v>41.8</c:v>
                </c:pt>
                <c:pt idx="219">
                  <c:v>41.900000000000006</c:v>
                </c:pt>
                <c:pt idx="220">
                  <c:v>42</c:v>
                </c:pt>
                <c:pt idx="221">
                  <c:v>42.1</c:v>
                </c:pt>
                <c:pt idx="222">
                  <c:v>42.2</c:v>
                </c:pt>
                <c:pt idx="223">
                  <c:v>42.3</c:v>
                </c:pt>
                <c:pt idx="224">
                  <c:v>42.400000000000006</c:v>
                </c:pt>
                <c:pt idx="225">
                  <c:v>42.5</c:v>
                </c:pt>
                <c:pt idx="226">
                  <c:v>42.6</c:v>
                </c:pt>
                <c:pt idx="227">
                  <c:v>42.7</c:v>
                </c:pt>
                <c:pt idx="228">
                  <c:v>42.8</c:v>
                </c:pt>
                <c:pt idx="229">
                  <c:v>42.900000000000006</c:v>
                </c:pt>
                <c:pt idx="230">
                  <c:v>43</c:v>
                </c:pt>
                <c:pt idx="231">
                  <c:v>43.1</c:v>
                </c:pt>
                <c:pt idx="232">
                  <c:v>43.2</c:v>
                </c:pt>
                <c:pt idx="233">
                  <c:v>43.3</c:v>
                </c:pt>
                <c:pt idx="234">
                  <c:v>43.400000000000006</c:v>
                </c:pt>
                <c:pt idx="235">
                  <c:v>43.5</c:v>
                </c:pt>
                <c:pt idx="236">
                  <c:v>43.6</c:v>
                </c:pt>
                <c:pt idx="237">
                  <c:v>43.7</c:v>
                </c:pt>
                <c:pt idx="238">
                  <c:v>43.8</c:v>
                </c:pt>
                <c:pt idx="239">
                  <c:v>43.900000000000006</c:v>
                </c:pt>
                <c:pt idx="240">
                  <c:v>44</c:v>
                </c:pt>
                <c:pt idx="241">
                  <c:v>44.1</c:v>
                </c:pt>
                <c:pt idx="242">
                  <c:v>44.2</c:v>
                </c:pt>
                <c:pt idx="243">
                  <c:v>44.3</c:v>
                </c:pt>
                <c:pt idx="244">
                  <c:v>44.400000000000006</c:v>
                </c:pt>
                <c:pt idx="245">
                  <c:v>44.5</c:v>
                </c:pt>
                <c:pt idx="246">
                  <c:v>44.6</c:v>
                </c:pt>
                <c:pt idx="247">
                  <c:v>44.7</c:v>
                </c:pt>
                <c:pt idx="248">
                  <c:v>44.8</c:v>
                </c:pt>
                <c:pt idx="249">
                  <c:v>44.900000000000006</c:v>
                </c:pt>
                <c:pt idx="250">
                  <c:v>45</c:v>
                </c:pt>
                <c:pt idx="251">
                  <c:v>45.1</c:v>
                </c:pt>
                <c:pt idx="252">
                  <c:v>45.2</c:v>
                </c:pt>
                <c:pt idx="253">
                  <c:v>45.3</c:v>
                </c:pt>
                <c:pt idx="254">
                  <c:v>45.400000000000006</c:v>
                </c:pt>
                <c:pt idx="255">
                  <c:v>45.5</c:v>
                </c:pt>
                <c:pt idx="256">
                  <c:v>45.6</c:v>
                </c:pt>
                <c:pt idx="257">
                  <c:v>45.7</c:v>
                </c:pt>
                <c:pt idx="258">
                  <c:v>45.8</c:v>
                </c:pt>
                <c:pt idx="259">
                  <c:v>45.900000000000006</c:v>
                </c:pt>
                <c:pt idx="260">
                  <c:v>46</c:v>
                </c:pt>
                <c:pt idx="261">
                  <c:v>46.1</c:v>
                </c:pt>
                <c:pt idx="262">
                  <c:v>46.2</c:v>
                </c:pt>
                <c:pt idx="263">
                  <c:v>46.3</c:v>
                </c:pt>
                <c:pt idx="264">
                  <c:v>46.400000000000006</c:v>
                </c:pt>
                <c:pt idx="265">
                  <c:v>46.5</c:v>
                </c:pt>
                <c:pt idx="266">
                  <c:v>46.6</c:v>
                </c:pt>
                <c:pt idx="267">
                  <c:v>46.7</c:v>
                </c:pt>
                <c:pt idx="268">
                  <c:v>46.8</c:v>
                </c:pt>
                <c:pt idx="269">
                  <c:v>46.900000000000006</c:v>
                </c:pt>
                <c:pt idx="270">
                  <c:v>47</c:v>
                </c:pt>
                <c:pt idx="271">
                  <c:v>47.1</c:v>
                </c:pt>
                <c:pt idx="272">
                  <c:v>47.2</c:v>
                </c:pt>
                <c:pt idx="273">
                  <c:v>47.3</c:v>
                </c:pt>
                <c:pt idx="274">
                  <c:v>47.400000000000006</c:v>
                </c:pt>
                <c:pt idx="275">
                  <c:v>47.5</c:v>
                </c:pt>
                <c:pt idx="276">
                  <c:v>47.6</c:v>
                </c:pt>
                <c:pt idx="277">
                  <c:v>47.7</c:v>
                </c:pt>
                <c:pt idx="278">
                  <c:v>47.8</c:v>
                </c:pt>
                <c:pt idx="279">
                  <c:v>47.900000000000006</c:v>
                </c:pt>
                <c:pt idx="280">
                  <c:v>48</c:v>
                </c:pt>
                <c:pt idx="281">
                  <c:v>48.1</c:v>
                </c:pt>
                <c:pt idx="282">
                  <c:v>48.2</c:v>
                </c:pt>
                <c:pt idx="283">
                  <c:v>48.3</c:v>
                </c:pt>
                <c:pt idx="284">
                  <c:v>48.400000000000006</c:v>
                </c:pt>
                <c:pt idx="285">
                  <c:v>48.5</c:v>
                </c:pt>
                <c:pt idx="286">
                  <c:v>48.6</c:v>
                </c:pt>
                <c:pt idx="287">
                  <c:v>48.7</c:v>
                </c:pt>
                <c:pt idx="288">
                  <c:v>48.8</c:v>
                </c:pt>
                <c:pt idx="289">
                  <c:v>48.900000000000006</c:v>
                </c:pt>
                <c:pt idx="290">
                  <c:v>49</c:v>
                </c:pt>
                <c:pt idx="291">
                  <c:v>49.1</c:v>
                </c:pt>
                <c:pt idx="292">
                  <c:v>49.2</c:v>
                </c:pt>
                <c:pt idx="293">
                  <c:v>49.3</c:v>
                </c:pt>
                <c:pt idx="294">
                  <c:v>49.400000000000006</c:v>
                </c:pt>
                <c:pt idx="295">
                  <c:v>49.5</c:v>
                </c:pt>
                <c:pt idx="296">
                  <c:v>49.6</c:v>
                </c:pt>
                <c:pt idx="297">
                  <c:v>49.7</c:v>
                </c:pt>
                <c:pt idx="298">
                  <c:v>49.8</c:v>
                </c:pt>
                <c:pt idx="299">
                  <c:v>49.900000000000006</c:v>
                </c:pt>
                <c:pt idx="300">
                  <c:v>50</c:v>
                </c:pt>
                <c:pt idx="301">
                  <c:v>50.1</c:v>
                </c:pt>
                <c:pt idx="302">
                  <c:v>50.2</c:v>
                </c:pt>
                <c:pt idx="303">
                  <c:v>50.3</c:v>
                </c:pt>
                <c:pt idx="304">
                  <c:v>50.400000000000006</c:v>
                </c:pt>
                <c:pt idx="305">
                  <c:v>50.5</c:v>
                </c:pt>
                <c:pt idx="306">
                  <c:v>50.6</c:v>
                </c:pt>
                <c:pt idx="307">
                  <c:v>50.7</c:v>
                </c:pt>
                <c:pt idx="308">
                  <c:v>50.8</c:v>
                </c:pt>
                <c:pt idx="309">
                  <c:v>50.900000000000006</c:v>
                </c:pt>
                <c:pt idx="310">
                  <c:v>51</c:v>
                </c:pt>
                <c:pt idx="311">
                  <c:v>51.1</c:v>
                </c:pt>
                <c:pt idx="312">
                  <c:v>51.2</c:v>
                </c:pt>
                <c:pt idx="313">
                  <c:v>51.3</c:v>
                </c:pt>
                <c:pt idx="314">
                  <c:v>51.400000000000006</c:v>
                </c:pt>
                <c:pt idx="315">
                  <c:v>51.5</c:v>
                </c:pt>
                <c:pt idx="316">
                  <c:v>51.6</c:v>
                </c:pt>
                <c:pt idx="317">
                  <c:v>51.7</c:v>
                </c:pt>
                <c:pt idx="318">
                  <c:v>51.8</c:v>
                </c:pt>
                <c:pt idx="319">
                  <c:v>51.900000000000006</c:v>
                </c:pt>
                <c:pt idx="320">
                  <c:v>52</c:v>
                </c:pt>
                <c:pt idx="321">
                  <c:v>52.1</c:v>
                </c:pt>
                <c:pt idx="322">
                  <c:v>52.2</c:v>
                </c:pt>
                <c:pt idx="323">
                  <c:v>52.300000000000004</c:v>
                </c:pt>
                <c:pt idx="324">
                  <c:v>52.4</c:v>
                </c:pt>
                <c:pt idx="325">
                  <c:v>52.5</c:v>
                </c:pt>
                <c:pt idx="326">
                  <c:v>52.6</c:v>
                </c:pt>
                <c:pt idx="327">
                  <c:v>52.7</c:v>
                </c:pt>
                <c:pt idx="328">
                  <c:v>52.800000000000004</c:v>
                </c:pt>
                <c:pt idx="329">
                  <c:v>52.9</c:v>
                </c:pt>
                <c:pt idx="330">
                  <c:v>53</c:v>
                </c:pt>
                <c:pt idx="331">
                  <c:v>53.1</c:v>
                </c:pt>
                <c:pt idx="332">
                  <c:v>53.2</c:v>
                </c:pt>
                <c:pt idx="333">
                  <c:v>53.300000000000004</c:v>
                </c:pt>
                <c:pt idx="334">
                  <c:v>53.4</c:v>
                </c:pt>
                <c:pt idx="335">
                  <c:v>53.5</c:v>
                </c:pt>
                <c:pt idx="336">
                  <c:v>53.6</c:v>
                </c:pt>
                <c:pt idx="337">
                  <c:v>53.7</c:v>
                </c:pt>
                <c:pt idx="338">
                  <c:v>53.800000000000004</c:v>
                </c:pt>
                <c:pt idx="339">
                  <c:v>53.9</c:v>
                </c:pt>
                <c:pt idx="340">
                  <c:v>54</c:v>
                </c:pt>
                <c:pt idx="341">
                  <c:v>54.1</c:v>
                </c:pt>
                <c:pt idx="342">
                  <c:v>54.2</c:v>
                </c:pt>
                <c:pt idx="343">
                  <c:v>54.300000000000004</c:v>
                </c:pt>
                <c:pt idx="344">
                  <c:v>54.4</c:v>
                </c:pt>
                <c:pt idx="345">
                  <c:v>54.5</c:v>
                </c:pt>
                <c:pt idx="346">
                  <c:v>54.6</c:v>
                </c:pt>
                <c:pt idx="347">
                  <c:v>54.7</c:v>
                </c:pt>
                <c:pt idx="348">
                  <c:v>54.800000000000004</c:v>
                </c:pt>
                <c:pt idx="349">
                  <c:v>54.9</c:v>
                </c:pt>
                <c:pt idx="350">
                  <c:v>55</c:v>
                </c:pt>
                <c:pt idx="351">
                  <c:v>55.1</c:v>
                </c:pt>
                <c:pt idx="352">
                  <c:v>55.2</c:v>
                </c:pt>
                <c:pt idx="353">
                  <c:v>55.300000000000004</c:v>
                </c:pt>
                <c:pt idx="354">
                  <c:v>55.4</c:v>
                </c:pt>
                <c:pt idx="355">
                  <c:v>55.5</c:v>
                </c:pt>
                <c:pt idx="356">
                  <c:v>55.6</c:v>
                </c:pt>
                <c:pt idx="357">
                  <c:v>55.7</c:v>
                </c:pt>
                <c:pt idx="358">
                  <c:v>55.800000000000004</c:v>
                </c:pt>
                <c:pt idx="359">
                  <c:v>55.9</c:v>
                </c:pt>
                <c:pt idx="360">
                  <c:v>56</c:v>
                </c:pt>
                <c:pt idx="361">
                  <c:v>56.1</c:v>
                </c:pt>
                <c:pt idx="362">
                  <c:v>56.2</c:v>
                </c:pt>
                <c:pt idx="363">
                  <c:v>56.300000000000004</c:v>
                </c:pt>
                <c:pt idx="364">
                  <c:v>56.4</c:v>
                </c:pt>
                <c:pt idx="365">
                  <c:v>56.5</c:v>
                </c:pt>
                <c:pt idx="366">
                  <c:v>56.6</c:v>
                </c:pt>
                <c:pt idx="367">
                  <c:v>56.7</c:v>
                </c:pt>
                <c:pt idx="368">
                  <c:v>56.800000000000004</c:v>
                </c:pt>
                <c:pt idx="369">
                  <c:v>56.9</c:v>
                </c:pt>
                <c:pt idx="370">
                  <c:v>57</c:v>
                </c:pt>
                <c:pt idx="371">
                  <c:v>57.1</c:v>
                </c:pt>
                <c:pt idx="372">
                  <c:v>57.2</c:v>
                </c:pt>
                <c:pt idx="373">
                  <c:v>57.300000000000004</c:v>
                </c:pt>
                <c:pt idx="374">
                  <c:v>57.4</c:v>
                </c:pt>
                <c:pt idx="375">
                  <c:v>57.5</c:v>
                </c:pt>
                <c:pt idx="376">
                  <c:v>57.6</c:v>
                </c:pt>
                <c:pt idx="377">
                  <c:v>57.7</c:v>
                </c:pt>
                <c:pt idx="378">
                  <c:v>57.800000000000004</c:v>
                </c:pt>
                <c:pt idx="379">
                  <c:v>57.9</c:v>
                </c:pt>
                <c:pt idx="380">
                  <c:v>58</c:v>
                </c:pt>
                <c:pt idx="381">
                  <c:v>58.1</c:v>
                </c:pt>
                <c:pt idx="382">
                  <c:v>58.2</c:v>
                </c:pt>
                <c:pt idx="383">
                  <c:v>58.300000000000004</c:v>
                </c:pt>
                <c:pt idx="384">
                  <c:v>58.400000000000006</c:v>
                </c:pt>
                <c:pt idx="385">
                  <c:v>58.5</c:v>
                </c:pt>
                <c:pt idx="386">
                  <c:v>58.6</c:v>
                </c:pt>
                <c:pt idx="387">
                  <c:v>58.7</c:v>
                </c:pt>
                <c:pt idx="388">
                  <c:v>58.800000000000004</c:v>
                </c:pt>
                <c:pt idx="389">
                  <c:v>58.900000000000006</c:v>
                </c:pt>
                <c:pt idx="390">
                  <c:v>59</c:v>
                </c:pt>
                <c:pt idx="391">
                  <c:v>59.1</c:v>
                </c:pt>
                <c:pt idx="392">
                  <c:v>59.2</c:v>
                </c:pt>
                <c:pt idx="393">
                  <c:v>59.300000000000004</c:v>
                </c:pt>
                <c:pt idx="394">
                  <c:v>59.400000000000006</c:v>
                </c:pt>
                <c:pt idx="395">
                  <c:v>59.5</c:v>
                </c:pt>
                <c:pt idx="396">
                  <c:v>59.6</c:v>
                </c:pt>
                <c:pt idx="397">
                  <c:v>59.7</c:v>
                </c:pt>
                <c:pt idx="398">
                  <c:v>59.800000000000004</c:v>
                </c:pt>
                <c:pt idx="399">
                  <c:v>59.900000000000006</c:v>
                </c:pt>
                <c:pt idx="400">
                  <c:v>60</c:v>
                </c:pt>
                <c:pt idx="401">
                  <c:v>60.1</c:v>
                </c:pt>
                <c:pt idx="402">
                  <c:v>60.2</c:v>
                </c:pt>
                <c:pt idx="403">
                  <c:v>60.300000000000004</c:v>
                </c:pt>
                <c:pt idx="404">
                  <c:v>60.400000000000006</c:v>
                </c:pt>
                <c:pt idx="405">
                  <c:v>60.5</c:v>
                </c:pt>
                <c:pt idx="406">
                  <c:v>60.6</c:v>
                </c:pt>
                <c:pt idx="407">
                  <c:v>60.7</c:v>
                </c:pt>
                <c:pt idx="408">
                  <c:v>60.800000000000004</c:v>
                </c:pt>
                <c:pt idx="409">
                  <c:v>60.900000000000006</c:v>
                </c:pt>
                <c:pt idx="410">
                  <c:v>61</c:v>
                </c:pt>
                <c:pt idx="411">
                  <c:v>61.1</c:v>
                </c:pt>
                <c:pt idx="412">
                  <c:v>61.2</c:v>
                </c:pt>
                <c:pt idx="413">
                  <c:v>61.300000000000004</c:v>
                </c:pt>
                <c:pt idx="414">
                  <c:v>61.400000000000006</c:v>
                </c:pt>
                <c:pt idx="415">
                  <c:v>61.5</c:v>
                </c:pt>
                <c:pt idx="416">
                  <c:v>61.6</c:v>
                </c:pt>
                <c:pt idx="417">
                  <c:v>61.7</c:v>
                </c:pt>
                <c:pt idx="418">
                  <c:v>61.800000000000004</c:v>
                </c:pt>
                <c:pt idx="419">
                  <c:v>61.900000000000006</c:v>
                </c:pt>
                <c:pt idx="420">
                  <c:v>62</c:v>
                </c:pt>
                <c:pt idx="421">
                  <c:v>62.1</c:v>
                </c:pt>
                <c:pt idx="422">
                  <c:v>62.2</c:v>
                </c:pt>
                <c:pt idx="423">
                  <c:v>62.300000000000004</c:v>
                </c:pt>
                <c:pt idx="424">
                  <c:v>62.400000000000006</c:v>
                </c:pt>
                <c:pt idx="425">
                  <c:v>62.5</c:v>
                </c:pt>
                <c:pt idx="426">
                  <c:v>62.6</c:v>
                </c:pt>
                <c:pt idx="427">
                  <c:v>62.7</c:v>
                </c:pt>
                <c:pt idx="428">
                  <c:v>62.800000000000004</c:v>
                </c:pt>
                <c:pt idx="429">
                  <c:v>62.900000000000006</c:v>
                </c:pt>
                <c:pt idx="430">
                  <c:v>63</c:v>
                </c:pt>
                <c:pt idx="431">
                  <c:v>63.1</c:v>
                </c:pt>
                <c:pt idx="432">
                  <c:v>63.2</c:v>
                </c:pt>
                <c:pt idx="433">
                  <c:v>63.300000000000004</c:v>
                </c:pt>
                <c:pt idx="434">
                  <c:v>63.400000000000006</c:v>
                </c:pt>
                <c:pt idx="435">
                  <c:v>63.5</c:v>
                </c:pt>
                <c:pt idx="436">
                  <c:v>63.6</c:v>
                </c:pt>
                <c:pt idx="437">
                  <c:v>63.7</c:v>
                </c:pt>
                <c:pt idx="438">
                  <c:v>63.800000000000004</c:v>
                </c:pt>
                <c:pt idx="439">
                  <c:v>63.900000000000006</c:v>
                </c:pt>
                <c:pt idx="440">
                  <c:v>64</c:v>
                </c:pt>
                <c:pt idx="441">
                  <c:v>64.099999999999994</c:v>
                </c:pt>
                <c:pt idx="442">
                  <c:v>64.2</c:v>
                </c:pt>
                <c:pt idx="443">
                  <c:v>64.300000000000011</c:v>
                </c:pt>
                <c:pt idx="444">
                  <c:v>64.400000000000006</c:v>
                </c:pt>
                <c:pt idx="445">
                  <c:v>64.5</c:v>
                </c:pt>
                <c:pt idx="446">
                  <c:v>64.599999999999994</c:v>
                </c:pt>
                <c:pt idx="447">
                  <c:v>64.7</c:v>
                </c:pt>
                <c:pt idx="448">
                  <c:v>64.800000000000011</c:v>
                </c:pt>
                <c:pt idx="449">
                  <c:v>64.900000000000006</c:v>
                </c:pt>
                <c:pt idx="450">
                  <c:v>65</c:v>
                </c:pt>
                <c:pt idx="451">
                  <c:v>65.099999999999994</c:v>
                </c:pt>
                <c:pt idx="452">
                  <c:v>65.2</c:v>
                </c:pt>
                <c:pt idx="453">
                  <c:v>65.300000000000011</c:v>
                </c:pt>
                <c:pt idx="454">
                  <c:v>65.400000000000006</c:v>
                </c:pt>
                <c:pt idx="455">
                  <c:v>65.5</c:v>
                </c:pt>
                <c:pt idx="456">
                  <c:v>65.599999999999994</c:v>
                </c:pt>
                <c:pt idx="457">
                  <c:v>65.7</c:v>
                </c:pt>
                <c:pt idx="458">
                  <c:v>65.800000000000011</c:v>
                </c:pt>
                <c:pt idx="459">
                  <c:v>65.900000000000006</c:v>
                </c:pt>
                <c:pt idx="460">
                  <c:v>66</c:v>
                </c:pt>
                <c:pt idx="461">
                  <c:v>66.099999999999994</c:v>
                </c:pt>
                <c:pt idx="462">
                  <c:v>66.2</c:v>
                </c:pt>
                <c:pt idx="463">
                  <c:v>66.300000000000011</c:v>
                </c:pt>
                <c:pt idx="464">
                  <c:v>66.400000000000006</c:v>
                </c:pt>
                <c:pt idx="465">
                  <c:v>66.5</c:v>
                </c:pt>
                <c:pt idx="466">
                  <c:v>66.599999999999994</c:v>
                </c:pt>
                <c:pt idx="467">
                  <c:v>66.7</c:v>
                </c:pt>
                <c:pt idx="468">
                  <c:v>66.800000000000011</c:v>
                </c:pt>
                <c:pt idx="469">
                  <c:v>66.900000000000006</c:v>
                </c:pt>
                <c:pt idx="470">
                  <c:v>67</c:v>
                </c:pt>
                <c:pt idx="471">
                  <c:v>67.099999999999994</c:v>
                </c:pt>
                <c:pt idx="472">
                  <c:v>67.2</c:v>
                </c:pt>
                <c:pt idx="473">
                  <c:v>67.300000000000011</c:v>
                </c:pt>
                <c:pt idx="474">
                  <c:v>67.400000000000006</c:v>
                </c:pt>
                <c:pt idx="475">
                  <c:v>67.5</c:v>
                </c:pt>
                <c:pt idx="476">
                  <c:v>67.599999999999994</c:v>
                </c:pt>
                <c:pt idx="477">
                  <c:v>67.7</c:v>
                </c:pt>
                <c:pt idx="478">
                  <c:v>67.800000000000011</c:v>
                </c:pt>
                <c:pt idx="479">
                  <c:v>67.900000000000006</c:v>
                </c:pt>
                <c:pt idx="480">
                  <c:v>68</c:v>
                </c:pt>
                <c:pt idx="481">
                  <c:v>68.099999999999994</c:v>
                </c:pt>
                <c:pt idx="482">
                  <c:v>68.2</c:v>
                </c:pt>
                <c:pt idx="483">
                  <c:v>68.300000000000011</c:v>
                </c:pt>
                <c:pt idx="484">
                  <c:v>68.400000000000006</c:v>
                </c:pt>
                <c:pt idx="485">
                  <c:v>68.5</c:v>
                </c:pt>
                <c:pt idx="486">
                  <c:v>68.599999999999994</c:v>
                </c:pt>
                <c:pt idx="487">
                  <c:v>68.7</c:v>
                </c:pt>
                <c:pt idx="488">
                  <c:v>68.800000000000011</c:v>
                </c:pt>
                <c:pt idx="489">
                  <c:v>68.900000000000006</c:v>
                </c:pt>
                <c:pt idx="490">
                  <c:v>69</c:v>
                </c:pt>
                <c:pt idx="491">
                  <c:v>69.099999999999994</c:v>
                </c:pt>
                <c:pt idx="492">
                  <c:v>69.2</c:v>
                </c:pt>
                <c:pt idx="493">
                  <c:v>69.300000000000011</c:v>
                </c:pt>
                <c:pt idx="494">
                  <c:v>69.400000000000006</c:v>
                </c:pt>
                <c:pt idx="495">
                  <c:v>69.5</c:v>
                </c:pt>
                <c:pt idx="496">
                  <c:v>69.599999999999994</c:v>
                </c:pt>
                <c:pt idx="497">
                  <c:v>69.7</c:v>
                </c:pt>
                <c:pt idx="498">
                  <c:v>69.800000000000011</c:v>
                </c:pt>
                <c:pt idx="499">
                  <c:v>69.900000000000006</c:v>
                </c:pt>
                <c:pt idx="500">
                  <c:v>70</c:v>
                </c:pt>
                <c:pt idx="501">
                  <c:v>70.099999999999994</c:v>
                </c:pt>
                <c:pt idx="502">
                  <c:v>70.2</c:v>
                </c:pt>
                <c:pt idx="503">
                  <c:v>70.300000000000011</c:v>
                </c:pt>
                <c:pt idx="504">
                  <c:v>70.400000000000006</c:v>
                </c:pt>
                <c:pt idx="505">
                  <c:v>70.5</c:v>
                </c:pt>
                <c:pt idx="506">
                  <c:v>70.599999999999994</c:v>
                </c:pt>
                <c:pt idx="507">
                  <c:v>70.7</c:v>
                </c:pt>
                <c:pt idx="508">
                  <c:v>70.800000000000011</c:v>
                </c:pt>
                <c:pt idx="509">
                  <c:v>70.900000000000006</c:v>
                </c:pt>
                <c:pt idx="510">
                  <c:v>71</c:v>
                </c:pt>
                <c:pt idx="511">
                  <c:v>71.099999999999994</c:v>
                </c:pt>
                <c:pt idx="512">
                  <c:v>71.2</c:v>
                </c:pt>
                <c:pt idx="513">
                  <c:v>71.300000000000011</c:v>
                </c:pt>
                <c:pt idx="514">
                  <c:v>71.400000000000006</c:v>
                </c:pt>
                <c:pt idx="515">
                  <c:v>71.5</c:v>
                </c:pt>
                <c:pt idx="516">
                  <c:v>71.599999999999994</c:v>
                </c:pt>
                <c:pt idx="517">
                  <c:v>71.7</c:v>
                </c:pt>
                <c:pt idx="518">
                  <c:v>71.800000000000011</c:v>
                </c:pt>
                <c:pt idx="519">
                  <c:v>71.900000000000006</c:v>
                </c:pt>
                <c:pt idx="520">
                  <c:v>72</c:v>
                </c:pt>
                <c:pt idx="521">
                  <c:v>72.099999999999994</c:v>
                </c:pt>
                <c:pt idx="522">
                  <c:v>72.2</c:v>
                </c:pt>
                <c:pt idx="523">
                  <c:v>72.300000000000011</c:v>
                </c:pt>
                <c:pt idx="524">
                  <c:v>72.400000000000006</c:v>
                </c:pt>
                <c:pt idx="525">
                  <c:v>72.5</c:v>
                </c:pt>
                <c:pt idx="526">
                  <c:v>72.599999999999994</c:v>
                </c:pt>
                <c:pt idx="527">
                  <c:v>72.7</c:v>
                </c:pt>
                <c:pt idx="528">
                  <c:v>72.800000000000011</c:v>
                </c:pt>
                <c:pt idx="529">
                  <c:v>72.900000000000006</c:v>
                </c:pt>
                <c:pt idx="530">
                  <c:v>73</c:v>
                </c:pt>
                <c:pt idx="531">
                  <c:v>73.099999999999994</c:v>
                </c:pt>
                <c:pt idx="532">
                  <c:v>73.2</c:v>
                </c:pt>
                <c:pt idx="533">
                  <c:v>73.300000000000011</c:v>
                </c:pt>
                <c:pt idx="534">
                  <c:v>73.400000000000006</c:v>
                </c:pt>
                <c:pt idx="535">
                  <c:v>73.5</c:v>
                </c:pt>
                <c:pt idx="536">
                  <c:v>73.599999999999994</c:v>
                </c:pt>
                <c:pt idx="537">
                  <c:v>73.7</c:v>
                </c:pt>
                <c:pt idx="538">
                  <c:v>73.800000000000011</c:v>
                </c:pt>
                <c:pt idx="539">
                  <c:v>73.900000000000006</c:v>
                </c:pt>
                <c:pt idx="540">
                  <c:v>74</c:v>
                </c:pt>
                <c:pt idx="541">
                  <c:v>74.099999999999994</c:v>
                </c:pt>
                <c:pt idx="542">
                  <c:v>74.2</c:v>
                </c:pt>
                <c:pt idx="543">
                  <c:v>74.300000000000011</c:v>
                </c:pt>
                <c:pt idx="544">
                  <c:v>74.400000000000006</c:v>
                </c:pt>
                <c:pt idx="545">
                  <c:v>74.5</c:v>
                </c:pt>
                <c:pt idx="546">
                  <c:v>74.599999999999994</c:v>
                </c:pt>
                <c:pt idx="547">
                  <c:v>74.7</c:v>
                </c:pt>
                <c:pt idx="548">
                  <c:v>74.800000000000011</c:v>
                </c:pt>
                <c:pt idx="549">
                  <c:v>74.900000000000006</c:v>
                </c:pt>
                <c:pt idx="550">
                  <c:v>75</c:v>
                </c:pt>
                <c:pt idx="551">
                  <c:v>75.099999999999994</c:v>
                </c:pt>
                <c:pt idx="552">
                  <c:v>75.2</c:v>
                </c:pt>
                <c:pt idx="553">
                  <c:v>75.300000000000011</c:v>
                </c:pt>
                <c:pt idx="554">
                  <c:v>75.400000000000006</c:v>
                </c:pt>
                <c:pt idx="555">
                  <c:v>75.5</c:v>
                </c:pt>
                <c:pt idx="556">
                  <c:v>75.599999999999994</c:v>
                </c:pt>
                <c:pt idx="557">
                  <c:v>75.7</c:v>
                </c:pt>
                <c:pt idx="558">
                  <c:v>75.800000000000011</c:v>
                </c:pt>
                <c:pt idx="559">
                  <c:v>75.900000000000006</c:v>
                </c:pt>
                <c:pt idx="560">
                  <c:v>76</c:v>
                </c:pt>
                <c:pt idx="561">
                  <c:v>76.099999999999994</c:v>
                </c:pt>
                <c:pt idx="562">
                  <c:v>76.2</c:v>
                </c:pt>
                <c:pt idx="563">
                  <c:v>76.300000000000011</c:v>
                </c:pt>
                <c:pt idx="564">
                  <c:v>76.400000000000006</c:v>
                </c:pt>
                <c:pt idx="565">
                  <c:v>76.5</c:v>
                </c:pt>
                <c:pt idx="566">
                  <c:v>76.599999999999994</c:v>
                </c:pt>
                <c:pt idx="567">
                  <c:v>76.7</c:v>
                </c:pt>
                <c:pt idx="568">
                  <c:v>76.800000000000011</c:v>
                </c:pt>
                <c:pt idx="569">
                  <c:v>76.900000000000006</c:v>
                </c:pt>
                <c:pt idx="570">
                  <c:v>77</c:v>
                </c:pt>
                <c:pt idx="571">
                  <c:v>77.099999999999994</c:v>
                </c:pt>
                <c:pt idx="572">
                  <c:v>77.2</c:v>
                </c:pt>
                <c:pt idx="573">
                  <c:v>77.300000000000011</c:v>
                </c:pt>
                <c:pt idx="574">
                  <c:v>77.400000000000006</c:v>
                </c:pt>
                <c:pt idx="575">
                  <c:v>77.5</c:v>
                </c:pt>
                <c:pt idx="576">
                  <c:v>77.599999999999994</c:v>
                </c:pt>
                <c:pt idx="577">
                  <c:v>77.7</c:v>
                </c:pt>
                <c:pt idx="578">
                  <c:v>77.800000000000011</c:v>
                </c:pt>
                <c:pt idx="579">
                  <c:v>77.900000000000006</c:v>
                </c:pt>
                <c:pt idx="580">
                  <c:v>78</c:v>
                </c:pt>
                <c:pt idx="581">
                  <c:v>78.099999999999994</c:v>
                </c:pt>
                <c:pt idx="582">
                  <c:v>78.2</c:v>
                </c:pt>
                <c:pt idx="583">
                  <c:v>78.300000000000011</c:v>
                </c:pt>
                <c:pt idx="584">
                  <c:v>78.400000000000006</c:v>
                </c:pt>
                <c:pt idx="585">
                  <c:v>78.5</c:v>
                </c:pt>
                <c:pt idx="586">
                  <c:v>78.599999999999994</c:v>
                </c:pt>
                <c:pt idx="587">
                  <c:v>78.7</c:v>
                </c:pt>
                <c:pt idx="588">
                  <c:v>78.800000000000011</c:v>
                </c:pt>
                <c:pt idx="589">
                  <c:v>78.900000000000006</c:v>
                </c:pt>
                <c:pt idx="590">
                  <c:v>79</c:v>
                </c:pt>
                <c:pt idx="591">
                  <c:v>79.099999999999994</c:v>
                </c:pt>
                <c:pt idx="592">
                  <c:v>79.2</c:v>
                </c:pt>
                <c:pt idx="593">
                  <c:v>79.300000000000011</c:v>
                </c:pt>
                <c:pt idx="594">
                  <c:v>79.400000000000006</c:v>
                </c:pt>
                <c:pt idx="595">
                  <c:v>79.5</c:v>
                </c:pt>
                <c:pt idx="596">
                  <c:v>79.599999999999994</c:v>
                </c:pt>
                <c:pt idx="597">
                  <c:v>79.7</c:v>
                </c:pt>
                <c:pt idx="598">
                  <c:v>79.800000000000011</c:v>
                </c:pt>
                <c:pt idx="599">
                  <c:v>79.900000000000006</c:v>
                </c:pt>
                <c:pt idx="600">
                  <c:v>80</c:v>
                </c:pt>
              </c:numCache>
            </c:numRef>
          </c:xVal>
          <c:yVal>
            <c:numRef>
              <c:f>Cal_Error!$F$2:$F$602</c:f>
              <c:numCache>
                <c:formatCode>0.0000%</c:formatCode>
                <c:ptCount val="601"/>
                <c:pt idx="0">
                  <c:v>1.0200000000000032E-2</c:v>
                </c:pt>
                <c:pt idx="1">
                  <c:v>6.938118586359442E-3</c:v>
                </c:pt>
                <c:pt idx="2">
                  <c:v>5.3321197214791817E-3</c:v>
                </c:pt>
                <c:pt idx="3">
                  <c:v>4.3334438068776838E-3</c:v>
                </c:pt>
                <c:pt idx="4">
                  <c:v>2.7888202938172028E-3</c:v>
                </c:pt>
                <c:pt idx="5">
                  <c:v>1.8440558320373186E-3</c:v>
                </c:pt>
                <c:pt idx="6">
                  <c:v>9.2402907365734383E-4</c:v>
                </c:pt>
                <c:pt idx="7">
                  <c:v>2.8376795132122363E-5</c:v>
                </c:pt>
                <c:pt idx="8">
                  <c:v>8.4325759453282784E-4</c:v>
                </c:pt>
                <c:pt idx="9">
                  <c:v>1.6912238783244348E-3</c:v>
                </c:pt>
                <c:pt idx="10">
                  <c:v>2.5158658251506999E-3</c:v>
                </c:pt>
                <c:pt idx="11">
                  <c:v>3.8668176340656605E-3</c:v>
                </c:pt>
                <c:pt idx="12">
                  <c:v>4.6427655842709737E-3</c:v>
                </c:pt>
                <c:pt idx="13">
                  <c:v>5.3964105926627755E-3</c:v>
                </c:pt>
                <c:pt idx="14">
                  <c:v>6.1280718600092736E-3</c:v>
                </c:pt>
                <c:pt idx="15">
                  <c:v>6.8380627134471258E-3</c:v>
                </c:pt>
                <c:pt idx="16">
                  <c:v>8.0610034445122766E-3</c:v>
                </c:pt>
                <c:pt idx="17">
                  <c:v>8.7256550627776378E-3</c:v>
                </c:pt>
                <c:pt idx="18">
                  <c:v>9.3695696724446602E-3</c:v>
                </c:pt>
                <c:pt idx="19">
                  <c:v>9.9930388036703049E-3</c:v>
                </c:pt>
                <c:pt idx="20">
                  <c:v>1.1119146346706349E-2</c:v>
                </c:pt>
                <c:pt idx="21">
                  <c:v>1.1699763952892657E-2</c:v>
                </c:pt>
                <c:pt idx="22">
                  <c:v>1.2260805624276373E-2</c:v>
                </c:pt>
                <c:pt idx="23">
                  <c:v>1.3316965344105149E-2</c:v>
                </c:pt>
                <c:pt idx="24">
                  <c:v>1.3836922885620393E-2</c:v>
                </c:pt>
                <c:pt idx="25">
                  <c:v>1.4338130201984711E-2</c:v>
                </c:pt>
                <c:pt idx="26">
                  <c:v>1.5327105128858307E-2</c:v>
                </c:pt>
                <c:pt idx="27">
                  <c:v>1.5788907167671982E-2</c:v>
                </c:pt>
                <c:pt idx="28">
                  <c:v>1.6232742814312827E-2</c:v>
                </c:pt>
                <c:pt idx="29">
                  <c:v>1.7157161163260562E-2</c:v>
                </c:pt>
                <c:pt idx="30">
                  <c:v>1.7563187836707381E-2</c:v>
                </c:pt>
                <c:pt idx="31">
                  <c:v>1.8445103313505906E-2</c:v>
                </c:pt>
                <c:pt idx="32">
                  <c:v>1.8814356328391721E-2</c:v>
                </c:pt>
                <c:pt idx="33">
                  <c:v>1.9654873215467279E-2</c:v>
                </c:pt>
                <c:pt idx="34">
                  <c:v>1.9988353971993573E-2</c:v>
                </c:pt>
                <c:pt idx="35">
                  <c:v>2.030556509223325E-2</c:v>
                </c:pt>
                <c:pt idx="36">
                  <c:v>2.1087219361597898E-2</c:v>
                </c:pt>
                <c:pt idx="37">
                  <c:v>2.1370080390956791E-2</c:v>
                </c:pt>
                <c:pt idx="38">
                  <c:v>2.2112926572216016E-2</c:v>
                </c:pt>
                <c:pt idx="39">
                  <c:v>2.236236151856736E-2</c:v>
                </c:pt>
                <c:pt idx="40">
                  <c:v>2.3067387673513906E-2</c:v>
                </c:pt>
                <c:pt idx="41">
                  <c:v>2.3752672369822161E-2</c:v>
                </c:pt>
                <c:pt idx="42">
                  <c:v>2.4418470508196691E-2</c:v>
                </c:pt>
                <c:pt idx="43">
                  <c:v>2.5065032577907084E-2</c:v>
                </c:pt>
                <c:pt idx="44">
                  <c:v>2.5231266635851891E-2</c:v>
                </c:pt>
                <c:pt idx="45">
                  <c:v>2.5842404163336025E-2</c:v>
                </c:pt>
                <c:pt idx="46">
                  <c:v>2.6435017092704224E-2</c:v>
                </c:pt>
                <c:pt idx="47">
                  <c:v>2.6554879475914849E-2</c:v>
                </c:pt>
                <c:pt idx="48">
                  <c:v>2.7113404670929139E-2</c:v>
                </c:pt>
                <c:pt idx="49">
                  <c:v>2.76540852879174E-2</c:v>
                </c:pt>
                <c:pt idx="50">
                  <c:v>2.7729404048451159E-2</c:v>
                </c:pt>
                <c:pt idx="51">
                  <c:v>2.8237274929741835E-2</c:v>
                </c:pt>
                <c:pt idx="52">
                  <c:v>2.8727951351259249E-2</c:v>
                </c:pt>
                <c:pt idx="53">
                  <c:v>2.8760473991982675E-2</c:v>
                </c:pt>
                <c:pt idx="54">
                  <c:v>2.9219563398391681E-2</c:v>
                </c:pt>
                <c:pt idx="55">
                  <c:v>2.9662080791514209E-2</c:v>
                </c:pt>
                <c:pt idx="56">
                  <c:v>3.0088233413654158E-2</c:v>
                </c:pt>
                <c:pt idx="57">
                  <c:v>3.0065578429681095E-2</c:v>
                </c:pt>
                <c:pt idx="58">
                  <c:v>3.0461703367347766E-2</c:v>
                </c:pt>
                <c:pt idx="59">
                  <c:v>3.084205119409187E-2</c:v>
                </c:pt>
                <c:pt idx="60">
                  <c:v>3.1206817355956727E-2</c:v>
                </c:pt>
                <c:pt idx="61">
                  <c:v>3.1556194691605248E-2</c:v>
                </c:pt>
                <c:pt idx="62">
                  <c:v>3.1468038642873709E-2</c:v>
                </c:pt>
                <c:pt idx="63">
                  <c:v>3.1789223790749291E-2</c:v>
                </c:pt>
                <c:pt idx="64">
                  <c:v>3.2095567758315444E-2</c:v>
                </c:pt>
                <c:pt idx="65">
                  <c:v>3.2387253026104026E-2</c:v>
                </c:pt>
                <c:pt idx="66">
                  <c:v>3.266445947497814E-2</c:v>
                </c:pt>
                <c:pt idx="67">
                  <c:v>3.2927364513276922E-2</c:v>
                </c:pt>
                <c:pt idx="68">
                  <c:v>3.3176143292294916E-2</c:v>
                </c:pt>
                <c:pt idx="69">
                  <c:v>3.3410968242032817E-2</c:v>
                </c:pt>
                <c:pt idx="70">
                  <c:v>3.3632009884563274E-2</c:v>
                </c:pt>
                <c:pt idx="71">
                  <c:v>3.3839435993128837E-2</c:v>
                </c:pt>
                <c:pt idx="72">
                  <c:v>3.4033412618227017E-2</c:v>
                </c:pt>
                <c:pt idx="73">
                  <c:v>3.4214103223930939E-2</c:v>
                </c:pt>
                <c:pt idx="74">
                  <c:v>3.4780715911684287E-2</c:v>
                </c:pt>
                <c:pt idx="75">
                  <c:v>3.4933463158355431E-2</c:v>
                </c:pt>
                <c:pt idx="76">
                  <c:v>3.5073415066285966E-2</c:v>
                </c:pt>
                <c:pt idx="77">
                  <c:v>3.5200726650247455E-2</c:v>
                </c:pt>
                <c:pt idx="78">
                  <c:v>3.5315551008588013E-2</c:v>
                </c:pt>
                <c:pt idx="79">
                  <c:v>3.5418039132293924E-2</c:v>
                </c:pt>
                <c:pt idx="80">
                  <c:v>3.5508340129673854E-2</c:v>
                </c:pt>
                <c:pt idx="81">
                  <c:v>3.5586601098342392E-2</c:v>
                </c:pt>
                <c:pt idx="82">
                  <c:v>3.6037535231204114E-2</c:v>
                </c:pt>
                <c:pt idx="83">
                  <c:v>3.6090395501841954E-2</c:v>
                </c:pt>
                <c:pt idx="84">
                  <c:v>3.6131657997350755E-2</c:v>
                </c:pt>
                <c:pt idx="85">
                  <c:v>3.6161462686481856E-2</c:v>
                </c:pt>
                <c:pt idx="86">
                  <c:v>3.6179947421682741E-2</c:v>
                </c:pt>
                <c:pt idx="87">
                  <c:v>3.65631557988862E-2</c:v>
                </c:pt>
                <c:pt idx="88">
                  <c:v>3.655771051382558E-2</c:v>
                </c:pt>
                <c:pt idx="89">
                  <c:v>3.654136070867816E-2</c:v>
                </c:pt>
                <c:pt idx="90">
                  <c:v>3.6514237525868534E-2</c:v>
                </c:pt>
                <c:pt idx="91">
                  <c:v>3.6845651814503291E-2</c:v>
                </c:pt>
                <c:pt idx="92">
                  <c:v>3.6795715312766243E-2</c:v>
                </c:pt>
                <c:pt idx="93">
                  <c:v>3.673540066510373E-2</c:v>
                </c:pt>
                <c:pt idx="94">
                  <c:v>3.7029083012109283E-2</c:v>
                </c:pt>
                <c:pt idx="95">
                  <c:v>3.6946762743020993E-2</c:v>
                </c:pt>
                <c:pt idx="96">
                  <c:v>3.6854445142610139E-2</c:v>
                </c:pt>
                <c:pt idx="97">
                  <c:v>3.711166424479314E-2</c:v>
                </c:pt>
                <c:pt idx="98">
                  <c:v>3.6998120067252983E-2</c:v>
                </c:pt>
                <c:pt idx="99">
                  <c:v>3.7231185714339594E-2</c:v>
                </c:pt>
                <c:pt idx="100">
                  <c:v>3.7096925830406843E-2</c:v>
                </c:pt>
                <c:pt idx="101">
                  <c:v>3.7306382967229372E-2</c:v>
                </c:pt>
                <c:pt idx="102">
                  <c:v>3.7503459687253153E-2</c:v>
                </c:pt>
                <c:pt idx="103">
                  <c:v>3.7338286454833634E-2</c:v>
                </c:pt>
                <c:pt idx="104">
                  <c:v>3.7512557814290443E-2</c:v>
                </c:pt>
                <c:pt idx="105">
                  <c:v>3.767485794817315E-2</c:v>
                </c:pt>
                <c:pt idx="106">
                  <c:v>3.7479883189436125E-2</c:v>
                </c:pt>
                <c:pt idx="107">
                  <c:v>3.7620153586633578E-2</c:v>
                </c:pt>
                <c:pt idx="108">
                  <c:v>3.7406408153050172E-2</c:v>
                </c:pt>
                <c:pt idx="109">
                  <c:v>3.7525145160477141E-2</c:v>
                </c:pt>
                <c:pt idx="110">
                  <c:v>3.7293083151611894E-2</c:v>
                </c:pt>
                <c:pt idx="111">
                  <c:v>3.7390772022367784E-2</c:v>
                </c:pt>
                <c:pt idx="112">
                  <c:v>3.74773856304026E-2</c:v>
                </c:pt>
                <c:pt idx="113">
                  <c:v>3.7217952583678375E-2</c:v>
                </c:pt>
                <c:pt idx="114">
                  <c:v>3.72842348386054E-2</c:v>
                </c:pt>
                <c:pt idx="115">
                  <c:v>3.7339807293485079E-2</c:v>
                </c:pt>
                <c:pt idx="116">
                  <c:v>3.6723196797648072E-2</c:v>
                </c:pt>
                <c:pt idx="117">
                  <c:v>3.6760547795353468E-2</c:v>
                </c:pt>
                <c:pt idx="118">
                  <c:v>3.6787534297656362E-2</c:v>
                </c:pt>
                <c:pt idx="119">
                  <c:v>3.6804274594689858E-2</c:v>
                </c:pt>
                <c:pt idx="120">
                  <c:v>3.6485703070171183E-2</c:v>
                </c:pt>
                <c:pt idx="121">
                  <c:v>3.6483683860216901E-2</c:v>
                </c:pt>
                <c:pt idx="122">
                  <c:v>3.647175726245331E-2</c:v>
                </c:pt>
                <c:pt idx="123">
                  <c:v>3.6450036559194043E-2</c:v>
                </c:pt>
                <c:pt idx="124">
                  <c:v>3.6418633882057419E-2</c:v>
                </c:pt>
                <c:pt idx="125">
                  <c:v>3.6059313979288715E-2</c:v>
                </c:pt>
                <c:pt idx="126">
                  <c:v>3.6010222270318026E-2</c:v>
                </c:pt>
                <c:pt idx="127">
                  <c:v>3.626743647885862E-2</c:v>
                </c:pt>
                <c:pt idx="128">
                  <c:v>3.6198402538845591E-2</c:v>
                </c:pt>
                <c:pt idx="129">
                  <c:v>3.6120229424552452E-2</c:v>
                </c:pt>
                <c:pt idx="130">
                  <c:v>3.6033021941522622E-2</c:v>
                </c:pt>
                <c:pt idx="131">
                  <c:v>3.5936884409352214E-2</c:v>
                </c:pt>
                <c:pt idx="132">
                  <c:v>3.5831919754065474E-2</c:v>
                </c:pt>
                <c:pt idx="133">
                  <c:v>3.5718229979889729E-2</c:v>
                </c:pt>
                <c:pt idx="134">
                  <c:v>3.5595915670835844E-2</c:v>
                </c:pt>
                <c:pt idx="135">
                  <c:v>3.5465076929065691E-2</c:v>
                </c:pt>
                <c:pt idx="136">
                  <c:v>3.5325812498785518E-2</c:v>
                </c:pt>
                <c:pt idx="137">
                  <c:v>3.5178220159386049E-2</c:v>
                </c:pt>
                <c:pt idx="138">
                  <c:v>3.5022396812016403E-2</c:v>
                </c:pt>
                <c:pt idx="139">
                  <c:v>3.4858438441048675E-2</c:v>
                </c:pt>
                <c:pt idx="140">
                  <c:v>3.4985413473292391E-2</c:v>
                </c:pt>
                <c:pt idx="141">
                  <c:v>3.4804234224648838E-2</c:v>
                </c:pt>
                <c:pt idx="142">
                  <c:v>3.4615208669355316E-2</c:v>
                </c:pt>
                <c:pt idx="143">
                  <c:v>3.4418428674159375E-2</c:v>
                </c:pt>
                <c:pt idx="144">
                  <c:v>3.4213985453755855E-2</c:v>
                </c:pt>
                <c:pt idx="145">
                  <c:v>3.4001969276591743E-2</c:v>
                </c:pt>
                <c:pt idx="146">
                  <c:v>3.4074137769842222E-2</c:v>
                </c:pt>
                <c:pt idx="147">
                  <c:v>3.3846048735956945E-2</c:v>
                </c:pt>
                <c:pt idx="148">
                  <c:v>3.3610658740645061E-2</c:v>
                </c:pt>
                <c:pt idx="149">
                  <c:v>3.3656158556574278E-2</c:v>
                </c:pt>
                <c:pt idx="150">
                  <c:v>3.3405251056748242E-2</c:v>
                </c:pt>
                <c:pt idx="151">
                  <c:v>3.3433066372062295E-2</c:v>
                </c:pt>
                <c:pt idx="152">
                  <c:v>3.3451603347224801E-2</c:v>
                </c:pt>
                <c:pt idx="153">
                  <c:v>3.3177524733807452E-2</c:v>
                </c:pt>
                <c:pt idx="154">
                  <c:v>3.2896671928206646E-2</c:v>
                </c:pt>
                <c:pt idx="155">
                  <c:v>3.2890272184951122E-2</c:v>
                </c:pt>
                <c:pt idx="156">
                  <c:v>3.2594977715441537E-2</c:v>
                </c:pt>
                <c:pt idx="157">
                  <c:v>3.2572032987727338E-2</c:v>
                </c:pt>
                <c:pt idx="158">
                  <c:v>3.2262641763517334E-2</c:v>
                </c:pt>
                <c:pt idx="159">
                  <c:v>3.222351777410936E-2</c:v>
                </c:pt>
                <c:pt idx="160">
                  <c:v>3.1900368252514966E-2</c:v>
                </c:pt>
                <c:pt idx="161">
                  <c:v>3.1845423875041037E-2</c:v>
                </c:pt>
                <c:pt idx="162">
                  <c:v>3.1508848057534379E-2</c:v>
                </c:pt>
                <c:pt idx="163">
                  <c:v>3.1438435532946757E-2</c:v>
                </c:pt>
                <c:pt idx="164">
                  <c:v>3.1088759584248601E-2</c:v>
                </c:pt>
                <c:pt idx="165">
                  <c:v>3.1003224652518972E-2</c:v>
                </c:pt>
                <c:pt idx="166">
                  <c:v>3.0909716039619409E-2</c:v>
                </c:pt>
                <c:pt idx="167">
                  <c:v>3.0540450518511838E-2</c:v>
                </c:pt>
                <c:pt idx="168">
                  <c:v>3.0432332024642027E-2</c:v>
                </c:pt>
                <c:pt idx="169">
                  <c:v>3.031650072149477E-2</c:v>
                </c:pt>
                <c:pt idx="170">
                  <c:v>2.9928362592971627E-2</c:v>
                </c:pt>
                <c:pt idx="171">
                  <c:v>2.9798419930277157E-2</c:v>
                </c:pt>
                <c:pt idx="172">
                  <c:v>2.9923599355501991E-2</c:v>
                </c:pt>
                <c:pt idx="173">
                  <c:v>2.9777781908434078E-2</c:v>
                </c:pt>
                <c:pt idx="174">
                  <c:v>2.9364179283139422E-2</c:v>
                </c:pt>
                <c:pt idx="175">
                  <c:v>2.9204908689926583E-2</c:v>
                </c:pt>
                <c:pt idx="176">
                  <c:v>2.9038514531571063E-2</c:v>
                </c:pt>
                <c:pt idx="177">
                  <c:v>2.8865078917351582E-2</c:v>
                </c:pt>
                <c:pt idx="178">
                  <c:v>2.8428278105178444E-2</c:v>
                </c:pt>
                <c:pt idx="179">
                  <c:v>2.8242013717747899E-2</c:v>
                </c:pt>
                <c:pt idx="180">
                  <c:v>2.8048944125684466E-2</c:v>
                </c:pt>
                <c:pt idx="181">
                  <c:v>2.7849148610157554E-2</c:v>
                </c:pt>
                <c:pt idx="182">
                  <c:v>2.7390315355481486E-2</c:v>
                </c:pt>
                <c:pt idx="183">
                  <c:v>2.7178293678272805E-2</c:v>
                </c:pt>
                <c:pt idx="184">
                  <c:v>2.6959774366591506E-2</c:v>
                </c:pt>
                <c:pt idx="185">
                  <c:v>2.6734833571952603E-2</c:v>
                </c:pt>
                <c:pt idx="186">
                  <c:v>2.6503547253737905E-2</c:v>
                </c:pt>
                <c:pt idx="187">
                  <c:v>2.6513471621255658E-2</c:v>
                </c:pt>
                <c:pt idx="188">
                  <c:v>2.6268751387598935E-2</c:v>
                </c:pt>
                <c:pt idx="189">
                  <c:v>2.6017913494441058E-2</c:v>
                </c:pt>
                <c:pt idx="190">
                  <c:v>2.5761031143104036E-2</c:v>
                </c:pt>
                <c:pt idx="191">
                  <c:v>2.5498176893217411E-2</c:v>
                </c:pt>
                <c:pt idx="192">
                  <c:v>2.5472113358912266E-2</c:v>
                </c:pt>
                <c:pt idx="193">
                  <c:v>2.519658618903646E-2</c:v>
                </c:pt>
                <c:pt idx="194">
                  <c:v>2.5156112088915786E-2</c:v>
                </c:pt>
                <c:pt idx="195">
                  <c:v>2.4868212811567664E-2</c:v>
                </c:pt>
                <c:pt idx="196">
                  <c:v>2.4574704096405928E-2</c:v>
                </c:pt>
                <c:pt idx="197">
                  <c:v>2.4275654541298798E-2</c:v>
                </c:pt>
                <c:pt idx="198">
                  <c:v>2.4208225268775953E-2</c:v>
                </c:pt>
                <c:pt idx="199">
                  <c:v>2.3897381345960686E-2</c:v>
                </c:pt>
                <c:pt idx="200">
                  <c:v>2.3581204001185085E-2</c:v>
                </c:pt>
                <c:pt idx="201">
                  <c:v>2.349411348177189E-2</c:v>
                </c:pt>
                <c:pt idx="202">
                  <c:v>2.3166564484753811E-2</c:v>
                </c:pt>
                <c:pt idx="203">
                  <c:v>2.283388440344044E-2</c:v>
                </c:pt>
                <c:pt idx="204">
                  <c:v>2.2727791262213644E-2</c:v>
                </c:pt>
                <c:pt idx="205">
                  <c:v>2.238415164365376E-2</c:v>
                </c:pt>
                <c:pt idx="206">
                  <c:v>2.2265451897122993E-2</c:v>
                </c:pt>
                <c:pt idx="207">
                  <c:v>2.1911124766837549E-2</c:v>
                </c:pt>
                <c:pt idx="208">
                  <c:v>2.1780104878245003E-2</c:v>
                </c:pt>
                <c:pt idx="209">
                  <c:v>2.1415357614230471E-2</c:v>
                </c:pt>
                <c:pt idx="210">
                  <c:v>2.127229934693986E-2</c:v>
                </c:pt>
                <c:pt idx="211">
                  <c:v>2.0897395018001679E-2</c:v>
                </c:pt>
                <c:pt idx="212">
                  <c:v>2.0967209514465603E-2</c:v>
                </c:pt>
                <c:pt idx="213">
                  <c:v>2.0805322880356778E-2</c:v>
                </c:pt>
                <c:pt idx="214">
                  <c:v>2.0414384679440109E-2</c:v>
                </c:pt>
                <c:pt idx="215">
                  <c:v>2.0241156028436319E-2</c:v>
                </c:pt>
                <c:pt idx="216">
                  <c:v>2.0061932619316238E-2</c:v>
                </c:pt>
                <c:pt idx="217">
                  <c:v>1.9656406877422913E-2</c:v>
                </c:pt>
                <c:pt idx="218">
                  <c:v>1.9466242672036341E-2</c:v>
                </c:pt>
                <c:pt idx="219">
                  <c:v>1.90515852717397E-2</c:v>
                </c:pt>
                <c:pt idx="220">
                  <c:v>1.8850739913932251E-2</c:v>
                </c:pt>
                <c:pt idx="221">
                  <c:v>1.8644235921244885E-2</c:v>
                </c:pt>
                <c:pt idx="222">
                  <c:v>1.8215922048623857E-2</c:v>
                </c:pt>
                <c:pt idx="223">
                  <c:v>1.7999122381868897E-2</c:v>
                </c:pt>
                <c:pt idx="224">
                  <c:v>1.7776860047707722E-2</c:v>
                </c:pt>
                <c:pt idx="225">
                  <c:v>1.7549200598456844E-2</c:v>
                </c:pt>
                <c:pt idx="226">
                  <c:v>1.7316209229086575E-2</c:v>
                </c:pt>
                <c:pt idx="227">
                  <c:v>1.7077950413457461E-2</c:v>
                </c:pt>
                <c:pt idx="228">
                  <c:v>1.6834488059579756E-2</c:v>
                </c:pt>
                <c:pt idx="229">
                  <c:v>1.6585885752239952E-2</c:v>
                </c:pt>
                <c:pt idx="230">
                  <c:v>1.6541961596530708E-2</c:v>
                </c:pt>
                <c:pt idx="231">
                  <c:v>1.6282476189209843E-2</c:v>
                </c:pt>
                <c:pt idx="232">
                  <c:v>1.601804179064702E-2</c:v>
                </c:pt>
                <c:pt idx="233">
                  <c:v>1.5748720045887572E-2</c:v>
                </c:pt>
                <c:pt idx="234">
                  <c:v>1.5474571806559336E-2</c:v>
                </c:pt>
                <c:pt idx="235">
                  <c:v>1.5195657705867031E-2</c:v>
                </c:pt>
                <c:pt idx="236">
                  <c:v>1.5117095218821661E-2</c:v>
                </c:pt>
                <c:pt idx="237">
                  <c:v>1.4828058383280164E-2</c:v>
                </c:pt>
                <c:pt idx="238">
                  <c:v>1.4534437896528404E-2</c:v>
                </c:pt>
                <c:pt idx="239">
                  <c:v>1.4236292398511879E-2</c:v>
                </c:pt>
                <c:pt idx="240">
                  <c:v>1.4135674375230294E-2</c:v>
                </c:pt>
                <c:pt idx="241">
                  <c:v>1.3827895752633958E-2</c:v>
                </c:pt>
                <c:pt idx="242">
                  <c:v>1.3515768759036872E-2</c:v>
                </c:pt>
                <c:pt idx="243">
                  <c:v>1.339908210573632E-2</c:v>
                </c:pt>
                <c:pt idx="244">
                  <c:v>1.3077680993393324E-2</c:v>
                </c:pt>
                <c:pt idx="245">
                  <c:v>1.2752103867342636E-2</c:v>
                </c:pt>
                <c:pt idx="246">
                  <c:v>1.2619905560188242E-2</c:v>
                </c:pt>
                <c:pt idx="247">
                  <c:v>1.2482166172800985E-2</c:v>
                </c:pt>
                <c:pt idx="248">
                  <c:v>1.2338949995407571E-2</c:v>
                </c:pt>
                <c:pt idx="249">
                  <c:v>1.1995026532774459E-2</c:v>
                </c:pt>
                <c:pt idx="250">
                  <c:v>1.1841776301527003E-2</c:v>
                </c:pt>
                <c:pt idx="251">
                  <c:v>1.1295553686774921E-2</c:v>
                </c:pt>
                <c:pt idx="252">
                  <c:v>1.1133230364207556E-2</c:v>
                </c:pt>
                <c:pt idx="253">
                  <c:v>1.0773334468112366E-2</c:v>
                </c:pt>
                <c:pt idx="254">
                  <c:v>1.0601444794989229E-2</c:v>
                </c:pt>
                <c:pt idx="255">
                  <c:v>1.0424502384708958E-2</c:v>
                </c:pt>
                <c:pt idx="256">
                  <c:v>1.0052305766074958E-2</c:v>
                </c:pt>
                <c:pt idx="257">
                  <c:v>9.866146133444692E-3</c:v>
                </c:pt>
                <c:pt idx="258">
                  <c:v>9.6751109950472276E-3</c:v>
                </c:pt>
                <c:pt idx="259">
                  <c:v>9.2911086506782623E-3</c:v>
                </c:pt>
                <c:pt idx="260">
                  <c:v>9.0911975774959769E-3</c:v>
                </c:pt>
                <c:pt idx="261">
                  <c:v>8.8865842531128166E-3</c:v>
                </c:pt>
                <c:pt idx="262">
                  <c:v>8.6773265664556211E-3</c:v>
                </c:pt>
                <c:pt idx="263">
                  <c:v>8.4634819478072668E-3</c:v>
                </c:pt>
                <c:pt idx="264">
                  <c:v>8.4297984733794334E-3</c:v>
                </c:pt>
                <c:pt idx="265">
                  <c:v>8.0222593607802099E-3</c:v>
                </c:pt>
                <c:pt idx="266">
                  <c:v>7.7949941275931829E-3</c:v>
                </c:pt>
                <c:pt idx="267">
                  <c:v>7.563367351542157E-3</c:v>
                </c:pt>
                <c:pt idx="268">
                  <c:v>7.3274343012518202E-3</c:v>
                </c:pt>
                <c:pt idx="269">
                  <c:v>7.0872498744746111E-3</c:v>
                </c:pt>
                <c:pt idx="270">
                  <c:v>6.8428685797506869E-3</c:v>
                </c:pt>
                <c:pt idx="271">
                  <c:v>6.5943444627111058E-3</c:v>
                </c:pt>
                <c:pt idx="272">
                  <c:v>6.3417311590485501E-3</c:v>
                </c:pt>
                <c:pt idx="273">
                  <c:v>6.2637270139997417E-3</c:v>
                </c:pt>
                <c:pt idx="274">
                  <c:v>6.0024369971392912E-3</c:v>
                </c:pt>
                <c:pt idx="275">
                  <c:v>5.73721911566676E-3</c:v>
                </c:pt>
                <c:pt idx="276">
                  <c:v>5.4681254015107204E-3</c:v>
                </c:pt>
                <c:pt idx="277">
                  <c:v>5.0191770936473578E-3</c:v>
                </c:pt>
                <c:pt idx="278">
                  <c:v>4.9185169553473572E-3</c:v>
                </c:pt>
                <c:pt idx="279">
                  <c:v>4.638104482366498E-3</c:v>
                </c:pt>
                <c:pt idx="280">
                  <c:v>4.3540205210731804E-3</c:v>
                </c:pt>
                <c:pt idx="281">
                  <c:v>4.2397738833371409E-3</c:v>
                </c:pt>
                <c:pt idx="282">
                  <c:v>4.120682929158505E-3</c:v>
                </c:pt>
                <c:pt idx="283">
                  <c:v>3.8246170404728935E-3</c:v>
                </c:pt>
                <c:pt idx="284">
                  <c:v>3.6966401975333991E-3</c:v>
                </c:pt>
                <c:pt idx="285">
                  <c:v>3.3930590332859412E-3</c:v>
                </c:pt>
                <c:pt idx="286">
                  <c:v>3.2564118479264112E-3</c:v>
                </c:pt>
                <c:pt idx="287">
                  <c:v>2.9455188869383373E-3</c:v>
                </c:pt>
                <c:pt idx="288">
                  <c:v>2.8004135719762258E-3</c:v>
                </c:pt>
                <c:pt idx="289">
                  <c:v>2.482409299754536E-3</c:v>
                </c:pt>
                <c:pt idx="290">
                  <c:v>2.3290551117987508E-3</c:v>
                </c:pt>
                <c:pt idx="291">
                  <c:v>2.0041370245345463E-3</c:v>
                </c:pt>
                <c:pt idx="292">
                  <c:v>1.8427400402553742E-3</c:v>
                </c:pt>
                <c:pt idx="293">
                  <c:v>1.6770937582825179E-3</c:v>
                </c:pt>
                <c:pt idx="294">
                  <c:v>1.3418661367705757E-3</c:v>
                </c:pt>
                <c:pt idx="295">
                  <c:v>1.1684831741646487E-3</c:v>
                </c:pt>
                <c:pt idx="296">
                  <c:v>9.9100595007148209E-4</c:v>
                </c:pt>
                <c:pt idx="297">
                  <c:v>9.7306784648281959E-4</c:v>
                </c:pt>
                <c:pt idx="298">
                  <c:v>6.2397556906875666E-4</c:v>
                </c:pt>
                <c:pt idx="299">
                  <c:v>2.7213279776869216E-4</c:v>
                </c:pt>
                <c:pt idx="300">
                  <c:v>7.9383920356406181E-5</c:v>
                </c:pt>
                <c:pt idx="301">
                  <c:v>1.172066141431126E-4</c:v>
                </c:pt>
                <c:pt idx="302">
                  <c:v>3.1758880840655762E-4</c:v>
                </c:pt>
                <c:pt idx="303">
                  <c:v>5.2171326400845955E-4</c:v>
                </c:pt>
                <c:pt idx="304">
                  <c:v>7.2953066628634645E-4</c:v>
                </c:pt>
                <c:pt idx="305">
                  <c:v>9.4099233318487594E-4</c:v>
                </c:pt>
                <c:pt idx="306">
                  <c:v>1.1560498018719331E-3</c:v>
                </c:pt>
                <c:pt idx="307">
                  <c:v>1.3746548128121779E-3</c:v>
                </c:pt>
                <c:pt idx="308">
                  <c:v>1.5967597476491137E-3</c:v>
                </c:pt>
                <c:pt idx="309">
                  <c:v>1.8223171804535221E-3</c:v>
                </c:pt>
                <c:pt idx="310">
                  <c:v>2.051280084645371E-3</c:v>
                </c:pt>
                <c:pt idx="311">
                  <c:v>2.2836016890253803E-3</c:v>
                </c:pt>
                <c:pt idx="312">
                  <c:v>2.3643494392515396E-3</c:v>
                </c:pt>
                <c:pt idx="313">
                  <c:v>2.4494865767089023E-3</c:v>
                </c:pt>
                <c:pt idx="314">
                  <c:v>2.6927255953562556E-3</c:v>
                </c:pt>
                <c:pt idx="315">
                  <c:v>2.7859273056148287E-3</c:v>
                </c:pt>
                <c:pt idx="316">
                  <c:v>3.036017584645384E-3</c:v>
                </c:pt>
                <c:pt idx="317">
                  <c:v>3.2891867049556489E-3</c:v>
                </c:pt>
                <c:pt idx="318">
                  <c:v>3.5453904359164612E-3</c:v>
                </c:pt>
                <c:pt idx="319">
                  <c:v>3.8045847364201256E-3</c:v>
                </c:pt>
                <c:pt idx="320">
                  <c:v>4.0667258235537783E-3</c:v>
                </c:pt>
                <c:pt idx="321">
                  <c:v>4.1818575017002124E-3</c:v>
                </c:pt>
                <c:pt idx="322">
                  <c:v>4.4503040952855021E-3</c:v>
                </c:pt>
                <c:pt idx="323">
                  <c:v>4.5727346642148396E-3</c:v>
                </c:pt>
                <c:pt idx="324">
                  <c:v>4.6990132241299352E-3</c:v>
                </c:pt>
                <c:pt idx="325">
                  <c:v>4.9768497047798137E-3</c:v>
                </c:pt>
                <c:pt idx="326">
                  <c:v>5.1101459446881974E-3</c:v>
                </c:pt>
                <c:pt idx="327">
                  <c:v>5.2471479363795171E-3</c:v>
                </c:pt>
                <c:pt idx="328">
                  <c:v>5.3878082091266908E-3</c:v>
                </c:pt>
                <c:pt idx="329">
                  <c:v>5.53207981945602E-3</c:v>
                </c:pt>
                <c:pt idx="330">
                  <c:v>5.6799158422033685E-3</c:v>
                </c:pt>
                <c:pt idx="331">
                  <c:v>5.831269916106557E-3</c:v>
                </c:pt>
                <c:pt idx="332">
                  <c:v>6.1301641137066643E-3</c:v>
                </c:pt>
                <c:pt idx="333">
                  <c:v>6.287897399594543E-3</c:v>
                </c:pt>
                <c:pt idx="334">
                  <c:v>6.449013424112332E-3</c:v>
                </c:pt>
                <c:pt idx="335">
                  <c:v>6.755984952202059E-3</c:v>
                </c:pt>
                <c:pt idx="336">
                  <c:v>6.9232186764156215E-3</c:v>
                </c:pt>
                <c:pt idx="337">
                  <c:v>7.0937028588015571E-3</c:v>
                </c:pt>
                <c:pt idx="338">
                  <c:v>7.2673932940379351E-3</c:v>
                </c:pt>
                <c:pt idx="339">
                  <c:v>7.4442462408948534E-3</c:v>
                </c:pt>
                <c:pt idx="340">
                  <c:v>7.6242180946387616E-3</c:v>
                </c:pt>
                <c:pt idx="341">
                  <c:v>7.8072657633335291E-3</c:v>
                </c:pt>
                <c:pt idx="342">
                  <c:v>7.9933462089315736E-3</c:v>
                </c:pt>
                <c:pt idx="343">
                  <c:v>7.9054772233236904E-3</c:v>
                </c:pt>
                <c:pt idx="344">
                  <c:v>8.0984902740118894E-3</c:v>
                </c:pt>
                <c:pt idx="345">
                  <c:v>8.2944055442019243E-3</c:v>
                </c:pt>
                <c:pt idx="346">
                  <c:v>8.4931813576970064E-3</c:v>
                </c:pt>
                <c:pt idx="347">
                  <c:v>8.5582842150025706E-3</c:v>
                </c:pt>
                <c:pt idx="348">
                  <c:v>8.7631469029715893E-3</c:v>
                </c:pt>
                <c:pt idx="349">
                  <c:v>8.970745184037841E-3</c:v>
                </c:pt>
                <c:pt idx="350">
                  <c:v>9.1810385971480852E-3</c:v>
                </c:pt>
                <c:pt idx="351">
                  <c:v>9.3939869749764641E-3</c:v>
                </c:pt>
                <c:pt idx="352">
                  <c:v>9.4754871771348774E-3</c:v>
                </c:pt>
                <c:pt idx="353">
                  <c:v>9.6941064075857595E-3</c:v>
                </c:pt>
                <c:pt idx="354">
                  <c:v>9.782155490196091E-3</c:v>
                </c:pt>
                <c:pt idx="355">
                  <c:v>1.000628108477594E-2</c:v>
                </c:pt>
                <c:pt idx="356">
                  <c:v>1.0100708426085053E-2</c:v>
                </c:pt>
                <c:pt idx="357">
                  <c:v>1.0330178319954839E-2</c:v>
                </c:pt>
                <c:pt idx="358">
                  <c:v>1.0299606795669547E-2</c:v>
                </c:pt>
                <c:pt idx="359">
                  <c:v>1.0403991123510715E-2</c:v>
                </c:pt>
                <c:pt idx="360">
                  <c:v>1.0511608059864588E-2</c:v>
                </c:pt>
                <c:pt idx="361">
                  <c:v>1.0752220719369654E-2</c:v>
                </c:pt>
                <c:pt idx="362">
                  <c:v>1.0865711294305778E-2</c:v>
                </c:pt>
                <c:pt idx="363">
                  <c:v>1.1111188899026963E-2</c:v>
                </c:pt>
                <c:pt idx="364">
                  <c:v>1.1230392087040433E-2</c:v>
                </c:pt>
                <c:pt idx="365">
                  <c:v>1.1352621229978752E-2</c:v>
                </c:pt>
                <c:pt idx="366">
                  <c:v>1.1477835375922528E-2</c:v>
                </c:pt>
                <c:pt idx="367">
                  <c:v>1.1605993523165638E-2</c:v>
                </c:pt>
                <c:pt idx="368">
                  <c:v>1.1737055124717267E-2</c:v>
                </c:pt>
                <c:pt idx="369">
                  <c:v>1.1870979998399684E-2</c:v>
                </c:pt>
                <c:pt idx="370">
                  <c:v>1.2007728095472521E-2</c:v>
                </c:pt>
                <c:pt idx="371">
                  <c:v>1.2147259792975972E-2</c:v>
                </c:pt>
                <c:pt idx="372">
                  <c:v>1.2289535664147642E-2</c:v>
                </c:pt>
                <c:pt idx="373">
                  <c:v>1.2310164334729267E-2</c:v>
                </c:pt>
                <c:pt idx="374">
                  <c:v>1.2458254782973898E-2</c:v>
                </c:pt>
                <c:pt idx="375">
                  <c:v>1.2485504239562998E-2</c:v>
                </c:pt>
                <c:pt idx="376">
                  <c:v>1.2762275500381757E-2</c:v>
                </c:pt>
                <c:pt idx="377">
                  <c:v>1.2918129441597728E-2</c:v>
                </c:pt>
                <c:pt idx="378">
                  <c:v>1.2954343213935817E-2</c:v>
                </c:pt>
                <c:pt idx="379">
                  <c:v>1.3115618799154268E-2</c:v>
                </c:pt>
                <c:pt idx="380">
                  <c:v>1.3279330244198181E-2</c:v>
                </c:pt>
                <c:pt idx="381">
                  <c:v>1.3324588547373327E-2</c:v>
                </c:pt>
                <c:pt idx="382">
                  <c:v>1.3493491283562711E-2</c:v>
                </c:pt>
                <c:pt idx="383">
                  <c:v>1.3544725015795737E-2</c:v>
                </c:pt>
                <c:pt idx="384">
                  <c:v>1.3599100900157299E-2</c:v>
                </c:pt>
                <c:pt idx="385">
                  <c:v>1.3775719017454441E-2</c:v>
                </c:pt>
                <c:pt idx="386">
                  <c:v>1.3835833647758221E-2</c:v>
                </c:pt>
                <c:pt idx="387">
                  <c:v>1.4135561119013955E-2</c:v>
                </c:pt>
                <c:pt idx="388">
                  <c:v>1.4082965365251795E-2</c:v>
                </c:pt>
                <c:pt idx="389">
                  <c:v>1.4151609853610577E-2</c:v>
                </c:pt>
                <c:pt idx="390">
                  <c:v>1.4223160029286879E-2</c:v>
                </c:pt>
                <c:pt idx="391">
                  <c:v>1.4414199003224333E-2</c:v>
                </c:pt>
                <c:pt idx="392">
                  <c:v>1.4491029714345717E-2</c:v>
                </c:pt>
                <c:pt idx="393">
                  <c:v>1.4570651673044594E-2</c:v>
                </c:pt>
                <c:pt idx="394">
                  <c:v>1.4653026796304177E-2</c:v>
                </c:pt>
                <c:pt idx="395">
                  <c:v>1.4738117258595017E-2</c:v>
                </c:pt>
                <c:pt idx="396">
                  <c:v>1.482588540477045E-2</c:v>
                </c:pt>
                <c:pt idx="397">
                  <c:v>1.4916294022054789E-2</c:v>
                </c:pt>
                <c:pt idx="398">
                  <c:v>1.5123060260013225E-2</c:v>
                </c:pt>
                <c:pt idx="399">
                  <c:v>1.5218235326007256E-2</c:v>
                </c:pt>
                <c:pt idx="400">
                  <c:v>1.5202993409577915E-2</c:v>
                </c:pt>
                <c:pt idx="401">
                  <c:v>1.5303596007545335E-2</c:v>
                </c:pt>
                <c:pt idx="402">
                  <c:v>1.5406656603236906E-2</c:v>
                </c:pt>
                <c:pt idx="403">
                  <c:v>1.5400388334048498E-2</c:v>
                </c:pt>
                <c:pt idx="404">
                  <c:v>1.5397299244007007E-2</c:v>
                </c:pt>
                <c:pt idx="405">
                  <c:v>1.5508309498842944E-2</c:v>
                </c:pt>
                <c:pt idx="406">
                  <c:v>1.5621633466235081E-2</c:v>
                </c:pt>
                <c:pt idx="407">
                  <c:v>1.5627061408018585E-2</c:v>
                </c:pt>
                <c:pt idx="408">
                  <c:v>1.5855084039494836E-2</c:v>
                </c:pt>
                <c:pt idx="409">
                  <c:v>1.5865745849740306E-2</c:v>
                </c:pt>
                <c:pt idx="410">
                  <c:v>1.5988367617887866E-2</c:v>
                </c:pt>
                <c:pt idx="411">
                  <c:v>1.6004508028168395E-2</c:v>
                </c:pt>
                <c:pt idx="412">
                  <c:v>1.6131763601833903E-2</c:v>
                </c:pt>
                <c:pt idx="413">
                  <c:v>1.6153237430862326E-2</c:v>
                </c:pt>
                <c:pt idx="414">
                  <c:v>1.6177515013783655E-2</c:v>
                </c:pt>
                <c:pt idx="415">
                  <c:v>1.6311652495799276E-2</c:v>
                </c:pt>
                <c:pt idx="416">
                  <c:v>1.6341048186468501E-2</c:v>
                </c:pt>
                <c:pt idx="417">
                  <c:v>1.6479475853539212E-2</c:v>
                </c:pt>
                <c:pt idx="418">
                  <c:v>1.6407888920494947E-2</c:v>
                </c:pt>
                <c:pt idx="419">
                  <c:v>1.6445261982739986E-2</c:v>
                </c:pt>
                <c:pt idx="420">
                  <c:v>1.6485222488374609E-2</c:v>
                </c:pt>
                <c:pt idx="421">
                  <c:v>1.663257568594851E-2</c:v>
                </c:pt>
                <c:pt idx="422">
                  <c:v>1.6677234751991277E-2</c:v>
                </c:pt>
                <c:pt idx="423">
                  <c:v>1.6620276465391846E-2</c:v>
                </c:pt>
                <c:pt idx="424">
                  <c:v>1.6670235657818382E-2</c:v>
                </c:pt>
                <c:pt idx="425">
                  <c:v>1.672260799713797E-2</c:v>
                </c:pt>
                <c:pt idx="426">
                  <c:v>1.6880360785610733E-2</c:v>
                </c:pt>
                <c:pt idx="427">
                  <c:v>1.6937093532425188E-2</c:v>
                </c:pt>
                <c:pt idx="428">
                  <c:v>1.6996139180891545E-2</c:v>
                </c:pt>
                <c:pt idx="429">
                  <c:v>1.6955549899814137E-2</c:v>
                </c:pt>
                <c:pt idx="430">
                  <c:v>1.7019481051336459E-2</c:v>
                </c:pt>
                <c:pt idx="431">
                  <c:v>1.7085624269444488E-2</c:v>
                </c:pt>
                <c:pt idx="432">
                  <c:v>1.6952269297786243E-2</c:v>
                </c:pt>
                <c:pt idx="433">
                  <c:v>1.7023450435328342E-2</c:v>
                </c:pt>
                <c:pt idx="434">
                  <c:v>1.7196872386933397E-2</c:v>
                </c:pt>
                <c:pt idx="435">
                  <c:v>1.7172117438059867E-2</c:v>
                </c:pt>
                <c:pt idx="436">
                  <c:v>1.7150116220874492E-2</c:v>
                </c:pt>
                <c:pt idx="437">
                  <c:v>1.7229906144233725E-2</c:v>
                </c:pt>
                <c:pt idx="438">
                  <c:v>1.7212957037049781E-2</c:v>
                </c:pt>
                <c:pt idx="439">
                  <c:v>1.7297033118045008E-2</c:v>
                </c:pt>
                <c:pt idx="440">
                  <c:v>1.7285001897029639E-2</c:v>
                </c:pt>
                <c:pt idx="441">
                  <c:v>1.7275552550194809E-2</c:v>
                </c:pt>
                <c:pt idx="442">
                  <c:v>1.7365990143440396E-2</c:v>
                </c:pt>
                <c:pt idx="443">
                  <c:v>1.7361259546658733E-2</c:v>
                </c:pt>
                <c:pt idx="444">
                  <c:v>1.7455665090186274E-2</c:v>
                </c:pt>
                <c:pt idx="445">
                  <c:v>1.7455523683046321E-2</c:v>
                </c:pt>
                <c:pt idx="446">
                  <c:v>1.7457798557586911E-2</c:v>
                </c:pt>
                <c:pt idx="447">
                  <c:v>1.7366819850462237E-2</c:v>
                </c:pt>
                <c:pt idx="448">
                  <c:v>1.7374165378120591E-2</c:v>
                </c:pt>
                <c:pt idx="449">
                  <c:v>1.7383827818336171E-2</c:v>
                </c:pt>
                <c:pt idx="450">
                  <c:v>1.7395775037756449E-2</c:v>
                </c:pt>
                <c:pt idx="451">
                  <c:v>1.7409974994539928E-2</c:v>
                </c:pt>
                <c:pt idx="452">
                  <c:v>1.742639592776507E-2</c:v>
                </c:pt>
                <c:pt idx="453">
                  <c:v>1.7445006394048407E-2</c:v>
                </c:pt>
                <c:pt idx="454">
                  <c:v>1.7372469582225224E-2</c:v>
                </c:pt>
                <c:pt idx="455">
                  <c:v>1.7395693563286643E-2</c:v>
                </c:pt>
                <c:pt idx="456">
                  <c:v>1.7421012637100917E-2</c:v>
                </c:pt>
                <c:pt idx="457">
                  <c:v>1.7448396373654928E-2</c:v>
                </c:pt>
                <c:pt idx="458">
                  <c:v>1.7477814244028608E-2</c:v>
                </c:pt>
                <c:pt idx="459">
                  <c:v>1.741755944077816E-2</c:v>
                </c:pt>
                <c:pt idx="460">
                  <c:v>1.7451277638830798E-2</c:v>
                </c:pt>
                <c:pt idx="461">
                  <c:v>1.7395905623787546E-2</c:v>
                </c:pt>
                <c:pt idx="462">
                  <c:v>1.7252374020018012E-2</c:v>
                </c:pt>
                <c:pt idx="463">
                  <c:v>1.7292789402551273E-2</c:v>
                </c:pt>
                <c:pt idx="464">
                  <c:v>1.7335056895834425E-2</c:v>
                </c:pt>
                <c:pt idx="465">
                  <c:v>1.7289386798274166E-2</c:v>
                </c:pt>
                <c:pt idx="466">
                  <c:v>1.7246141626840926E-2</c:v>
                </c:pt>
                <c:pt idx="467">
                  <c:v>1.7294420857672646E-2</c:v>
                </c:pt>
                <c:pt idx="468">
                  <c:v>1.7255617316241912E-2</c:v>
                </c:pt>
                <c:pt idx="469">
                  <c:v>1.7219145019984086E-2</c:v>
                </c:pt>
                <c:pt idx="470">
                  <c:v>1.7273168821074252E-2</c:v>
                </c:pt>
                <c:pt idx="471">
                  <c:v>1.7240956152718308E-2</c:v>
                </c:pt>
                <c:pt idx="472">
                  <c:v>1.7210983082204732E-2</c:v>
                </c:pt>
                <c:pt idx="473">
                  <c:v>1.7183219018861606E-2</c:v>
                </c:pt>
                <c:pt idx="474">
                  <c:v>1.7070669085777718E-2</c:v>
                </c:pt>
                <c:pt idx="475">
                  <c:v>1.7047537557602431E-2</c:v>
                </c:pt>
                <c:pt idx="476">
                  <c:v>1.702652376017209E-2</c:v>
                </c:pt>
                <c:pt idx="477">
                  <c:v>1.7093651153425801E-2</c:v>
                </c:pt>
                <c:pt idx="478">
                  <c:v>1.6904980289711938E-2</c:v>
                </c:pt>
                <c:pt idx="479">
                  <c:v>1.6890443597613984E-2</c:v>
                </c:pt>
                <c:pt idx="480">
                  <c:v>1.6792755691977343E-2</c:v>
                </c:pt>
                <c:pt idx="481">
                  <c:v>1.6782487643071671E-2</c:v>
                </c:pt>
                <c:pt idx="482">
                  <c:v>1.6689605874411172E-2</c:v>
                </c:pt>
                <c:pt idx="483">
                  <c:v>1.6767746721518102E-2</c:v>
                </c:pt>
                <c:pt idx="484">
                  <c:v>1.6679253727056417E-2</c:v>
                </c:pt>
                <c:pt idx="485">
                  <c:v>1.6676875280050348E-2</c:v>
                </c:pt>
                <c:pt idx="486">
                  <c:v>1.6592948379848003E-2</c:v>
                </c:pt>
                <c:pt idx="487">
                  <c:v>1.6511406011396723E-2</c:v>
                </c:pt>
                <c:pt idx="488">
                  <c:v>1.6432217725569791E-2</c:v>
                </c:pt>
                <c:pt idx="489">
                  <c:v>1.64378566299078E-2</c:v>
                </c:pt>
                <c:pt idx="490">
                  <c:v>1.6445211757740545E-2</c:v>
                </c:pt>
                <c:pt idx="491">
                  <c:v>1.6372329230039135E-2</c:v>
                </c:pt>
                <c:pt idx="492">
                  <c:v>1.6301683127164294E-2</c:v>
                </c:pt>
                <c:pt idx="493">
                  <c:v>1.6151889516785041E-2</c:v>
                </c:pt>
                <c:pt idx="494">
                  <c:v>1.6085912865391572E-2</c:v>
                </c:pt>
                <c:pt idx="495">
                  <c:v>1.6022084049096861E-2</c:v>
                </c:pt>
                <c:pt idx="496">
                  <c:v>1.5960374248623507E-2</c:v>
                </c:pt>
                <c:pt idx="497">
                  <c:v>1.5900754951603209E-2</c:v>
                </c:pt>
                <c:pt idx="498">
                  <c:v>1.5843197772169082E-2</c:v>
                </c:pt>
                <c:pt idx="499">
                  <c:v>1.5708012904803784E-2</c:v>
                </c:pt>
                <c:pt idx="500">
                  <c:v>1.5734157614098521E-2</c:v>
                </c:pt>
                <c:pt idx="501">
                  <c:v>1.5682618991520365E-2</c:v>
                </c:pt>
                <c:pt idx="502">
                  <c:v>1.5554201718002425E-2</c:v>
                </c:pt>
                <c:pt idx="503">
                  <c:v>1.5506812915745079E-2</c:v>
                </c:pt>
                <c:pt idx="504">
                  <c:v>1.5383040127547673E-2</c:v>
                </c:pt>
                <c:pt idx="505">
                  <c:v>1.5339688708079249E-2</c:v>
                </c:pt>
                <c:pt idx="506">
                  <c:v>1.5298178116774671E-2</c:v>
                </c:pt>
                <c:pt idx="507">
                  <c:v>1.5181019882012869E-2</c:v>
                </c:pt>
                <c:pt idx="508">
                  <c:v>1.4988999592016675E-2</c:v>
                </c:pt>
                <c:pt idx="509">
                  <c:v>1.4953661580711155E-2</c:v>
                </c:pt>
                <c:pt idx="510">
                  <c:v>1.4920056622337786E-2</c:v>
                </c:pt>
                <c:pt idx="511">
                  <c:v>1.4811773411369416E-2</c:v>
                </c:pt>
                <c:pt idx="512">
                  <c:v>1.4705705206609413E-2</c:v>
                </c:pt>
                <c:pt idx="513">
                  <c:v>1.4601823794682552E-2</c:v>
                </c:pt>
                <c:pt idx="514">
                  <c:v>1.4500101100096302E-2</c:v>
                </c:pt>
                <c:pt idx="515">
                  <c:v>1.4475834054741874E-2</c:v>
                </c:pt>
                <c:pt idx="516">
                  <c:v>1.4378082711080041E-2</c:v>
                </c:pt>
                <c:pt idx="517">
                  <c:v>1.4207608084241475E-2</c:v>
                </c:pt>
                <c:pt idx="518">
                  <c:v>1.4114243988424709E-2</c:v>
                </c:pt>
                <c:pt idx="519">
                  <c:v>1.4022901514112306E-2</c:v>
                </c:pt>
                <c:pt idx="520">
                  <c:v>1.4007574071699835E-2</c:v>
                </c:pt>
                <c:pt idx="521">
                  <c:v>1.3846174146590196E-2</c:v>
                </c:pt>
                <c:pt idx="522">
                  <c:v>1.3760736208032974E-2</c:v>
                </c:pt>
                <c:pt idx="523">
                  <c:v>1.3603964900907393E-2</c:v>
                </c:pt>
                <c:pt idx="524">
                  <c:v>1.3522587051557719E-2</c:v>
                </c:pt>
                <c:pt idx="525">
                  <c:v>1.3370332664260527E-2</c:v>
                </c:pt>
                <c:pt idx="526">
                  <c:v>1.329290774891659E-2</c:v>
                </c:pt>
                <c:pt idx="527">
                  <c:v>1.314506022373042E-2</c:v>
                </c:pt>
                <c:pt idx="528">
                  <c:v>1.2999501225526122E-2</c:v>
                </c:pt>
                <c:pt idx="529">
                  <c:v>1.2927933529286643E-2</c:v>
                </c:pt>
                <c:pt idx="530">
                  <c:v>1.2858099330451693E-2</c:v>
                </c:pt>
                <c:pt idx="531">
                  <c:v>1.2718741669928727E-2</c:v>
                </c:pt>
                <c:pt idx="532">
                  <c:v>1.2581564142952969E-2</c:v>
                </c:pt>
                <c:pt idx="533">
                  <c:v>1.2517276822220251E-2</c:v>
                </c:pt>
                <c:pt idx="534">
                  <c:v>1.2384132422551632E-2</c:v>
                </c:pt>
                <c:pt idx="535">
                  <c:v>1.2253088541496839E-2</c:v>
                </c:pt>
                <c:pt idx="536">
                  <c:v>1.2124118643128776E-2</c:v>
                </c:pt>
                <c:pt idx="537">
                  <c:v>1.1927438981351669E-2</c:v>
                </c:pt>
                <c:pt idx="538">
                  <c:v>1.1872296040804182E-2</c:v>
                </c:pt>
                <c:pt idx="539">
                  <c:v>1.1749391358553036E-2</c:v>
                </c:pt>
                <c:pt idx="540">
                  <c:v>1.1490392519779737E-2</c:v>
                </c:pt>
                <c:pt idx="541">
                  <c:v>1.1371882455656054E-2</c:v>
                </c:pt>
                <c:pt idx="542">
                  <c:v>1.1323842809190869E-2</c:v>
                </c:pt>
                <c:pt idx="543">
                  <c:v>1.1140589713088893E-2</c:v>
                </c:pt>
                <c:pt idx="544">
                  <c:v>1.1027756945719617E-2</c:v>
                </c:pt>
                <c:pt idx="545">
                  <c:v>1.0848926272034603E-2</c:v>
                </c:pt>
                <c:pt idx="546">
                  <c:v>1.0739989909698029E-2</c:v>
                </c:pt>
                <c:pt idx="547">
                  <c:v>1.0632846377917612E-2</c:v>
                </c:pt>
                <c:pt idx="548">
                  <c:v>1.0460335463424645E-2</c:v>
                </c:pt>
                <c:pt idx="549">
                  <c:v>1.0290035482615568E-2</c:v>
                </c:pt>
                <c:pt idx="550">
                  <c:v>1.018859038407129E-2</c:v>
                </c:pt>
                <c:pt idx="551">
                  <c:v>1.0022401714532034E-2</c:v>
                </c:pt>
                <c:pt idx="552">
                  <c:v>9.8583462104933593E-3</c:v>
                </c:pt>
                <c:pt idx="553">
                  <c:v>9.69639801863207E-3</c:v>
                </c:pt>
                <c:pt idx="554">
                  <c:v>9.6022808560013162E-3</c:v>
                </c:pt>
                <c:pt idx="555">
                  <c:v>9.4442423667593454E-3</c:v>
                </c:pt>
                <c:pt idx="556">
                  <c:v>9.2882356565542543E-3</c:v>
                </c:pt>
                <c:pt idx="557">
                  <c:v>9.0691683743410155E-3</c:v>
                </c:pt>
                <c:pt idx="558">
                  <c:v>8.9173758248560723E-3</c:v>
                </c:pt>
                <c:pt idx="559">
                  <c:v>8.7675394967372013E-3</c:v>
                </c:pt>
                <c:pt idx="560">
                  <c:v>8.5552424825410724E-3</c:v>
                </c:pt>
                <c:pt idx="561">
                  <c:v>8.473637554275203E-3</c:v>
                </c:pt>
                <c:pt idx="562">
                  <c:v>8.3295233788504962E-3</c:v>
                </c:pt>
                <c:pt idx="563">
                  <c:v>8.1235432233161837E-3</c:v>
                </c:pt>
                <c:pt idx="564">
                  <c:v>7.9198401973537037E-3</c:v>
                </c:pt>
                <c:pt idx="565">
                  <c:v>7.8449562882338779E-3</c:v>
                </c:pt>
                <c:pt idx="566">
                  <c:v>7.6452906861391289E-3</c:v>
                </c:pt>
                <c:pt idx="567">
                  <c:v>7.4478261600766675E-3</c:v>
                </c:pt>
                <c:pt idx="568">
                  <c:v>7.3151657874429921E-3</c:v>
                </c:pt>
                <c:pt idx="569">
                  <c:v>7.1218100494354125E-3</c:v>
                </c:pt>
                <c:pt idx="570">
                  <c:v>6.9305801920939809E-3</c:v>
                </c:pt>
                <c:pt idx="571">
                  <c:v>6.7414512202449645E-3</c:v>
                </c:pt>
                <c:pt idx="572">
                  <c:v>6.6161639544661949E-3</c:v>
                </c:pt>
                <c:pt idx="573">
                  <c:v>6.4309487528554582E-3</c:v>
                </c:pt>
                <c:pt idx="574">
                  <c:v>6.1864227100872516E-3</c:v>
                </c:pt>
                <c:pt idx="575">
                  <c:v>6.066577682130511E-3</c:v>
                </c:pt>
                <c:pt idx="576">
                  <c:v>5.8873734688895812E-3</c:v>
                </c:pt>
                <c:pt idx="577">
                  <c:v>5.6494206503208506E-3</c:v>
                </c:pt>
                <c:pt idx="578">
                  <c:v>5.4743139062171054E-3</c:v>
                </c:pt>
                <c:pt idx="579">
                  <c:v>5.3011147454870046E-3</c:v>
                </c:pt>
                <c:pt idx="580">
                  <c:v>5.1297997888987918E-3</c:v>
                </c:pt>
                <c:pt idx="581">
                  <c:v>4.9004769949577472E-3</c:v>
                </c:pt>
                <c:pt idx="582">
                  <c:v>4.7927298630257983E-3</c:v>
                </c:pt>
                <c:pt idx="583">
                  <c:v>4.5674731796212387E-3</c:v>
                </c:pt>
                <c:pt idx="584">
                  <c:v>4.3444198796317689E-3</c:v>
                </c:pt>
                <c:pt idx="585">
                  <c:v>4.1825906004892841E-3</c:v>
                </c:pt>
                <c:pt idx="586">
                  <c:v>4.0225073661125134E-3</c:v>
                </c:pt>
                <c:pt idx="587">
                  <c:v>3.805509580209877E-3</c:v>
                </c:pt>
                <c:pt idx="588">
                  <c:v>3.6490544420422072E-3</c:v>
                </c:pt>
                <c:pt idx="589">
                  <c:v>3.4360443932569158E-3</c:v>
                </c:pt>
                <c:pt idx="590">
                  <c:v>3.2250939145440851E-3</c:v>
                </c:pt>
                <c:pt idx="591">
                  <c:v>2.9583467944107569E-3</c:v>
                </c:pt>
                <c:pt idx="592">
                  <c:v>2.7516440994067009E-3</c:v>
                </c:pt>
                <c:pt idx="593">
                  <c:v>2.5469295758951348E-3</c:v>
                </c:pt>
                <c:pt idx="594">
                  <c:v>2.4014157959382034E-3</c:v>
                </c:pt>
                <c:pt idx="595">
                  <c:v>2.1433723640040436E-3</c:v>
                </c:pt>
                <c:pt idx="596">
                  <c:v>1.9444837585848149E-3</c:v>
                </c:pt>
                <c:pt idx="597">
                  <c:v>1.747491492636291E-3</c:v>
                </c:pt>
                <c:pt idx="598">
                  <c:v>1.552373014703433E-3</c:v>
                </c:pt>
                <c:pt idx="599">
                  <c:v>1.302850411561937E-3</c:v>
                </c:pt>
                <c:pt idx="600">
                  <c:v>3.4015339491109129E-4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E5-4B19-A772-417024269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4612128"/>
        <c:axId val="284613088"/>
      </c:scatterChart>
      <c:valAx>
        <c:axId val="28461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3088"/>
        <c:crosses val="autoZero"/>
        <c:crossBetween val="midCat"/>
      </c:valAx>
      <c:valAx>
        <c:axId val="2846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Cal_Error!$I$1</c:f>
              <c:strCache>
                <c:ptCount val="1"/>
                <c:pt idx="0">
                  <c:v>Error_Voltage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Cal_Error!$C$2:$C$602</c:f>
              <c:numCache>
                <c:formatCode>0.000000000</c:formatCode>
                <c:ptCount val="601"/>
                <c:pt idx="0">
                  <c:v>0</c:v>
                </c:pt>
                <c:pt idx="1">
                  <c:v>8.3330000000000001E-3</c:v>
                </c:pt>
                <c:pt idx="2">
                  <c:v>1.6667000000000001E-2</c:v>
                </c:pt>
                <c:pt idx="3">
                  <c:v>2.5000000000000001E-2</c:v>
                </c:pt>
                <c:pt idx="4">
                  <c:v>3.3333000000000002E-2</c:v>
                </c:pt>
                <c:pt idx="5">
                  <c:v>4.1667000000000003E-2</c:v>
                </c:pt>
                <c:pt idx="6">
                  <c:v>0.05</c:v>
                </c:pt>
                <c:pt idx="7">
                  <c:v>5.8333000000000003E-2</c:v>
                </c:pt>
                <c:pt idx="8">
                  <c:v>6.6667000000000004E-2</c:v>
                </c:pt>
                <c:pt idx="9">
                  <c:v>7.4999999999999997E-2</c:v>
                </c:pt>
                <c:pt idx="10">
                  <c:v>8.3333000000000004E-2</c:v>
                </c:pt>
                <c:pt idx="11">
                  <c:v>9.1666999999999998E-2</c:v>
                </c:pt>
                <c:pt idx="12">
                  <c:v>0.1</c:v>
                </c:pt>
                <c:pt idx="13">
                  <c:v>0.108333</c:v>
                </c:pt>
                <c:pt idx="14">
                  <c:v>0.11666700000000001</c:v>
                </c:pt>
                <c:pt idx="15">
                  <c:v>0.125</c:v>
                </c:pt>
                <c:pt idx="16">
                  <c:v>0.13333300000000001</c:v>
                </c:pt>
                <c:pt idx="17">
                  <c:v>0.14166699999999999</c:v>
                </c:pt>
                <c:pt idx="18">
                  <c:v>0.15</c:v>
                </c:pt>
                <c:pt idx="19">
                  <c:v>0.158333</c:v>
                </c:pt>
                <c:pt idx="20">
                  <c:v>0.16666700000000001</c:v>
                </c:pt>
                <c:pt idx="21">
                  <c:v>0.17499999999999999</c:v>
                </c:pt>
                <c:pt idx="22">
                  <c:v>0.183333</c:v>
                </c:pt>
                <c:pt idx="23">
                  <c:v>0.191667</c:v>
                </c:pt>
                <c:pt idx="24">
                  <c:v>0.2</c:v>
                </c:pt>
                <c:pt idx="25">
                  <c:v>0.20833299999999999</c:v>
                </c:pt>
                <c:pt idx="26">
                  <c:v>0.216667</c:v>
                </c:pt>
                <c:pt idx="27">
                  <c:v>0.22500000000000001</c:v>
                </c:pt>
                <c:pt idx="28">
                  <c:v>0.23333300000000001</c:v>
                </c:pt>
                <c:pt idx="29">
                  <c:v>0.24166699999999999</c:v>
                </c:pt>
                <c:pt idx="30">
                  <c:v>0.25</c:v>
                </c:pt>
                <c:pt idx="31">
                  <c:v>0.25833299999999998</c:v>
                </c:pt>
                <c:pt idx="32">
                  <c:v>0.26666699999999999</c:v>
                </c:pt>
                <c:pt idx="33">
                  <c:v>0.27500000000000002</c:v>
                </c:pt>
                <c:pt idx="34">
                  <c:v>0.283333</c:v>
                </c:pt>
                <c:pt idx="35">
                  <c:v>0.29166700000000001</c:v>
                </c:pt>
                <c:pt idx="36">
                  <c:v>0.3</c:v>
                </c:pt>
                <c:pt idx="37">
                  <c:v>0.30833300000000002</c:v>
                </c:pt>
                <c:pt idx="38">
                  <c:v>0.31666699999999998</c:v>
                </c:pt>
                <c:pt idx="39">
                  <c:v>0.32500000000000001</c:v>
                </c:pt>
                <c:pt idx="40">
                  <c:v>0.33333299999999999</c:v>
                </c:pt>
                <c:pt idx="41">
                  <c:v>0.341667</c:v>
                </c:pt>
                <c:pt idx="42">
                  <c:v>0.35</c:v>
                </c:pt>
                <c:pt idx="43">
                  <c:v>0.35833300000000001</c:v>
                </c:pt>
                <c:pt idx="44">
                  <c:v>0.36666700000000002</c:v>
                </c:pt>
                <c:pt idx="45">
                  <c:v>0.375</c:v>
                </c:pt>
                <c:pt idx="46">
                  <c:v>0.38333299999999998</c:v>
                </c:pt>
                <c:pt idx="47">
                  <c:v>0.39166699999999999</c:v>
                </c:pt>
                <c:pt idx="48">
                  <c:v>0.4</c:v>
                </c:pt>
                <c:pt idx="49">
                  <c:v>0.408333</c:v>
                </c:pt>
                <c:pt idx="50">
                  <c:v>0.41666700000000001</c:v>
                </c:pt>
                <c:pt idx="51">
                  <c:v>0.42499999999999999</c:v>
                </c:pt>
                <c:pt idx="52">
                  <c:v>0.43333300000000002</c:v>
                </c:pt>
                <c:pt idx="53">
                  <c:v>0.44166699999999998</c:v>
                </c:pt>
                <c:pt idx="54">
                  <c:v>0.45</c:v>
                </c:pt>
                <c:pt idx="55">
                  <c:v>0.45833299999999999</c:v>
                </c:pt>
                <c:pt idx="56">
                  <c:v>0.466667</c:v>
                </c:pt>
                <c:pt idx="57">
                  <c:v>0.47499999999999998</c:v>
                </c:pt>
                <c:pt idx="58">
                  <c:v>0.48333300000000001</c:v>
                </c:pt>
                <c:pt idx="59">
                  <c:v>0.49166700000000002</c:v>
                </c:pt>
                <c:pt idx="60">
                  <c:v>0.5</c:v>
                </c:pt>
                <c:pt idx="61">
                  <c:v>0.50833300000000003</c:v>
                </c:pt>
                <c:pt idx="62">
                  <c:v>0.51666699999999999</c:v>
                </c:pt>
                <c:pt idx="63">
                  <c:v>0.52500000000000002</c:v>
                </c:pt>
                <c:pt idx="64">
                  <c:v>0.53333299999999995</c:v>
                </c:pt>
                <c:pt idx="65">
                  <c:v>0.54166700000000001</c:v>
                </c:pt>
                <c:pt idx="66">
                  <c:v>0.55000000000000004</c:v>
                </c:pt>
                <c:pt idx="67">
                  <c:v>0.55833299999999997</c:v>
                </c:pt>
                <c:pt idx="68">
                  <c:v>0.56666700000000003</c:v>
                </c:pt>
                <c:pt idx="69">
                  <c:v>0.57499999999999996</c:v>
                </c:pt>
                <c:pt idx="70">
                  <c:v>0.58333299999999999</c:v>
                </c:pt>
                <c:pt idx="71">
                  <c:v>0.59166700000000005</c:v>
                </c:pt>
                <c:pt idx="72">
                  <c:v>0.6</c:v>
                </c:pt>
                <c:pt idx="73">
                  <c:v>0.60833300000000001</c:v>
                </c:pt>
                <c:pt idx="74">
                  <c:v>0.61666699999999997</c:v>
                </c:pt>
                <c:pt idx="75">
                  <c:v>0.625</c:v>
                </c:pt>
                <c:pt idx="76">
                  <c:v>0.63333300000000003</c:v>
                </c:pt>
                <c:pt idx="77">
                  <c:v>0.64166699999999999</c:v>
                </c:pt>
                <c:pt idx="78">
                  <c:v>0.65</c:v>
                </c:pt>
                <c:pt idx="79">
                  <c:v>0.65833299999999995</c:v>
                </c:pt>
                <c:pt idx="80">
                  <c:v>0.66666700000000001</c:v>
                </c:pt>
                <c:pt idx="81">
                  <c:v>0.67500000000000004</c:v>
                </c:pt>
                <c:pt idx="82">
                  <c:v>0.68333299999999997</c:v>
                </c:pt>
                <c:pt idx="83">
                  <c:v>0.69166700000000003</c:v>
                </c:pt>
                <c:pt idx="84">
                  <c:v>0.7</c:v>
                </c:pt>
                <c:pt idx="85">
                  <c:v>0.70833299999999999</c:v>
                </c:pt>
                <c:pt idx="86">
                  <c:v>0.71666700000000005</c:v>
                </c:pt>
                <c:pt idx="87">
                  <c:v>0.72499999999999998</c:v>
                </c:pt>
                <c:pt idx="88">
                  <c:v>0.73333300000000001</c:v>
                </c:pt>
                <c:pt idx="89">
                  <c:v>0.74166699999999997</c:v>
                </c:pt>
                <c:pt idx="90">
                  <c:v>0.75</c:v>
                </c:pt>
                <c:pt idx="91">
                  <c:v>0.75833300000000003</c:v>
                </c:pt>
                <c:pt idx="92">
                  <c:v>0.76666699999999999</c:v>
                </c:pt>
                <c:pt idx="93">
                  <c:v>0.77500000000000002</c:v>
                </c:pt>
                <c:pt idx="94">
                  <c:v>0.78333299999999995</c:v>
                </c:pt>
                <c:pt idx="95">
                  <c:v>0.79166700000000001</c:v>
                </c:pt>
                <c:pt idx="96">
                  <c:v>0.8</c:v>
                </c:pt>
                <c:pt idx="97">
                  <c:v>0.80833299999999997</c:v>
                </c:pt>
                <c:pt idx="98">
                  <c:v>0.81666700000000003</c:v>
                </c:pt>
                <c:pt idx="99">
                  <c:v>0.82499999999999996</c:v>
                </c:pt>
                <c:pt idx="100">
                  <c:v>0.83333299999999999</c:v>
                </c:pt>
                <c:pt idx="101">
                  <c:v>0.84166700000000005</c:v>
                </c:pt>
                <c:pt idx="102">
                  <c:v>0.85</c:v>
                </c:pt>
                <c:pt idx="103">
                  <c:v>0.85833300000000001</c:v>
                </c:pt>
                <c:pt idx="104">
                  <c:v>0.86666699999999997</c:v>
                </c:pt>
                <c:pt idx="105">
                  <c:v>0.875</c:v>
                </c:pt>
                <c:pt idx="106">
                  <c:v>0.88333300000000003</c:v>
                </c:pt>
                <c:pt idx="107">
                  <c:v>0.89166699999999999</c:v>
                </c:pt>
                <c:pt idx="108">
                  <c:v>0.9</c:v>
                </c:pt>
                <c:pt idx="109">
                  <c:v>0.90833299999999995</c:v>
                </c:pt>
                <c:pt idx="110">
                  <c:v>0.91666700000000001</c:v>
                </c:pt>
                <c:pt idx="111">
                  <c:v>0.92500000000000004</c:v>
                </c:pt>
                <c:pt idx="112">
                  <c:v>0.93333299999999997</c:v>
                </c:pt>
                <c:pt idx="113">
                  <c:v>0.94166700000000003</c:v>
                </c:pt>
                <c:pt idx="114">
                  <c:v>0.95</c:v>
                </c:pt>
                <c:pt idx="115">
                  <c:v>0.95833299999999999</c:v>
                </c:pt>
                <c:pt idx="116">
                  <c:v>0.96666700000000005</c:v>
                </c:pt>
                <c:pt idx="117">
                  <c:v>0.97499999999999998</c:v>
                </c:pt>
                <c:pt idx="118">
                  <c:v>0.98333300000000001</c:v>
                </c:pt>
                <c:pt idx="119">
                  <c:v>0.99166699999999997</c:v>
                </c:pt>
                <c:pt idx="120">
                  <c:v>1</c:v>
                </c:pt>
                <c:pt idx="121">
                  <c:v>1.0083329999999999</c:v>
                </c:pt>
                <c:pt idx="122">
                  <c:v>1.016667</c:v>
                </c:pt>
                <c:pt idx="123">
                  <c:v>1.0249999999999999</c:v>
                </c:pt>
                <c:pt idx="124">
                  <c:v>1.0333330000000001</c:v>
                </c:pt>
                <c:pt idx="125">
                  <c:v>1.0416669999999999</c:v>
                </c:pt>
                <c:pt idx="126">
                  <c:v>1.05</c:v>
                </c:pt>
                <c:pt idx="127">
                  <c:v>1.058333</c:v>
                </c:pt>
                <c:pt idx="128">
                  <c:v>1.066667</c:v>
                </c:pt>
                <c:pt idx="129">
                  <c:v>1.075</c:v>
                </c:pt>
                <c:pt idx="130">
                  <c:v>1.0833330000000001</c:v>
                </c:pt>
                <c:pt idx="131">
                  <c:v>1.0916669999999999</c:v>
                </c:pt>
                <c:pt idx="132">
                  <c:v>1.1000000000000001</c:v>
                </c:pt>
                <c:pt idx="133">
                  <c:v>1.108333</c:v>
                </c:pt>
                <c:pt idx="134">
                  <c:v>1.1166670000000001</c:v>
                </c:pt>
                <c:pt idx="135">
                  <c:v>1.125</c:v>
                </c:pt>
                <c:pt idx="136">
                  <c:v>1.1333329999999999</c:v>
                </c:pt>
                <c:pt idx="137">
                  <c:v>1.141667</c:v>
                </c:pt>
                <c:pt idx="138">
                  <c:v>1.1499999999999999</c:v>
                </c:pt>
                <c:pt idx="139">
                  <c:v>1.1583330000000001</c:v>
                </c:pt>
                <c:pt idx="140">
                  <c:v>1.1666669999999999</c:v>
                </c:pt>
                <c:pt idx="141">
                  <c:v>1.175</c:v>
                </c:pt>
                <c:pt idx="142">
                  <c:v>1.183333</c:v>
                </c:pt>
                <c:pt idx="143">
                  <c:v>1.191667</c:v>
                </c:pt>
                <c:pt idx="144">
                  <c:v>1.2</c:v>
                </c:pt>
                <c:pt idx="145">
                  <c:v>1.2083330000000001</c:v>
                </c:pt>
                <c:pt idx="146">
                  <c:v>1.2166669999999999</c:v>
                </c:pt>
                <c:pt idx="147">
                  <c:v>1.2250000000000001</c:v>
                </c:pt>
                <c:pt idx="148">
                  <c:v>1.233333</c:v>
                </c:pt>
                <c:pt idx="149">
                  <c:v>1.2416670000000001</c:v>
                </c:pt>
                <c:pt idx="150">
                  <c:v>1.25</c:v>
                </c:pt>
                <c:pt idx="151">
                  <c:v>1.2583329999999999</c:v>
                </c:pt>
                <c:pt idx="152">
                  <c:v>1.266667</c:v>
                </c:pt>
                <c:pt idx="153">
                  <c:v>1.2749999999999999</c:v>
                </c:pt>
                <c:pt idx="154">
                  <c:v>1.2833330000000001</c:v>
                </c:pt>
                <c:pt idx="155">
                  <c:v>1.2916669999999999</c:v>
                </c:pt>
                <c:pt idx="156">
                  <c:v>1.3</c:v>
                </c:pt>
                <c:pt idx="157">
                  <c:v>1.308333</c:v>
                </c:pt>
                <c:pt idx="158">
                  <c:v>1.316667</c:v>
                </c:pt>
                <c:pt idx="159">
                  <c:v>1.325</c:v>
                </c:pt>
                <c:pt idx="160">
                  <c:v>1.3333330000000001</c:v>
                </c:pt>
                <c:pt idx="161">
                  <c:v>1.3416669999999999</c:v>
                </c:pt>
                <c:pt idx="162">
                  <c:v>1.35</c:v>
                </c:pt>
                <c:pt idx="163">
                  <c:v>1.358333</c:v>
                </c:pt>
                <c:pt idx="164">
                  <c:v>1.3666670000000001</c:v>
                </c:pt>
                <c:pt idx="165">
                  <c:v>1.375</c:v>
                </c:pt>
                <c:pt idx="166">
                  <c:v>1.3833329999999999</c:v>
                </c:pt>
                <c:pt idx="167">
                  <c:v>1.391667</c:v>
                </c:pt>
                <c:pt idx="168">
                  <c:v>1.4</c:v>
                </c:pt>
                <c:pt idx="169">
                  <c:v>1.4083330000000001</c:v>
                </c:pt>
                <c:pt idx="170">
                  <c:v>1.4166669999999999</c:v>
                </c:pt>
                <c:pt idx="171">
                  <c:v>1.425</c:v>
                </c:pt>
                <c:pt idx="172">
                  <c:v>1.433333</c:v>
                </c:pt>
                <c:pt idx="173">
                  <c:v>1.441667</c:v>
                </c:pt>
                <c:pt idx="174">
                  <c:v>1.45</c:v>
                </c:pt>
                <c:pt idx="175">
                  <c:v>1.4583330000000001</c:v>
                </c:pt>
                <c:pt idx="176">
                  <c:v>1.4666669999999999</c:v>
                </c:pt>
                <c:pt idx="177">
                  <c:v>1.4750000000000001</c:v>
                </c:pt>
                <c:pt idx="178">
                  <c:v>1.483333</c:v>
                </c:pt>
                <c:pt idx="179">
                  <c:v>1.4916670000000001</c:v>
                </c:pt>
                <c:pt idx="180">
                  <c:v>1.5</c:v>
                </c:pt>
                <c:pt idx="181">
                  <c:v>1.5083329999999999</c:v>
                </c:pt>
                <c:pt idx="182">
                  <c:v>1.516667</c:v>
                </c:pt>
                <c:pt idx="183">
                  <c:v>1.5249999999999999</c:v>
                </c:pt>
                <c:pt idx="184">
                  <c:v>1.5333330000000001</c:v>
                </c:pt>
                <c:pt idx="185">
                  <c:v>1.5416669999999999</c:v>
                </c:pt>
                <c:pt idx="186">
                  <c:v>1.55</c:v>
                </c:pt>
                <c:pt idx="187">
                  <c:v>1.558333</c:v>
                </c:pt>
                <c:pt idx="188">
                  <c:v>1.566667</c:v>
                </c:pt>
                <c:pt idx="189">
                  <c:v>1.575</c:v>
                </c:pt>
                <c:pt idx="190">
                  <c:v>1.5833330000000001</c:v>
                </c:pt>
                <c:pt idx="191">
                  <c:v>1.5916669999999999</c:v>
                </c:pt>
                <c:pt idx="192">
                  <c:v>1.6</c:v>
                </c:pt>
                <c:pt idx="193">
                  <c:v>1.608333</c:v>
                </c:pt>
                <c:pt idx="194">
                  <c:v>1.6166670000000001</c:v>
                </c:pt>
                <c:pt idx="195">
                  <c:v>1.625</c:v>
                </c:pt>
                <c:pt idx="196">
                  <c:v>1.6333329999999999</c:v>
                </c:pt>
                <c:pt idx="197">
                  <c:v>1.641667</c:v>
                </c:pt>
                <c:pt idx="198">
                  <c:v>1.65</c:v>
                </c:pt>
                <c:pt idx="199">
                  <c:v>1.6583330000000001</c:v>
                </c:pt>
                <c:pt idx="200">
                  <c:v>1.6666669999999999</c:v>
                </c:pt>
                <c:pt idx="201">
                  <c:v>1.675</c:v>
                </c:pt>
                <c:pt idx="202">
                  <c:v>1.683333</c:v>
                </c:pt>
                <c:pt idx="203">
                  <c:v>1.691667</c:v>
                </c:pt>
                <c:pt idx="204">
                  <c:v>1.7</c:v>
                </c:pt>
                <c:pt idx="205">
                  <c:v>1.7083330000000001</c:v>
                </c:pt>
                <c:pt idx="206">
                  <c:v>1.7166669999999999</c:v>
                </c:pt>
                <c:pt idx="207">
                  <c:v>1.7250000000000001</c:v>
                </c:pt>
                <c:pt idx="208">
                  <c:v>1.733333</c:v>
                </c:pt>
                <c:pt idx="209">
                  <c:v>1.7416670000000001</c:v>
                </c:pt>
                <c:pt idx="210">
                  <c:v>1.75</c:v>
                </c:pt>
                <c:pt idx="211">
                  <c:v>1.7583329999999999</c:v>
                </c:pt>
                <c:pt idx="212">
                  <c:v>1.766667</c:v>
                </c:pt>
                <c:pt idx="213">
                  <c:v>1.7749999999999999</c:v>
                </c:pt>
                <c:pt idx="214">
                  <c:v>1.7833330000000001</c:v>
                </c:pt>
                <c:pt idx="215">
                  <c:v>1.7916669999999999</c:v>
                </c:pt>
                <c:pt idx="216">
                  <c:v>1.8</c:v>
                </c:pt>
                <c:pt idx="217">
                  <c:v>1.808333</c:v>
                </c:pt>
                <c:pt idx="218">
                  <c:v>1.816667</c:v>
                </c:pt>
                <c:pt idx="219">
                  <c:v>1.825</c:v>
                </c:pt>
                <c:pt idx="220">
                  <c:v>1.8333330000000001</c:v>
                </c:pt>
                <c:pt idx="221">
                  <c:v>1.8416669999999999</c:v>
                </c:pt>
                <c:pt idx="222">
                  <c:v>1.85</c:v>
                </c:pt>
                <c:pt idx="223">
                  <c:v>1.858333</c:v>
                </c:pt>
                <c:pt idx="224">
                  <c:v>1.8666670000000001</c:v>
                </c:pt>
                <c:pt idx="225">
                  <c:v>1.875</c:v>
                </c:pt>
                <c:pt idx="226">
                  <c:v>1.8833329999999999</c:v>
                </c:pt>
                <c:pt idx="227">
                  <c:v>1.891667</c:v>
                </c:pt>
                <c:pt idx="228">
                  <c:v>1.9</c:v>
                </c:pt>
                <c:pt idx="229">
                  <c:v>1.9083330000000001</c:v>
                </c:pt>
                <c:pt idx="230">
                  <c:v>1.9166669999999999</c:v>
                </c:pt>
                <c:pt idx="231">
                  <c:v>1.925</c:v>
                </c:pt>
                <c:pt idx="232">
                  <c:v>1.933333</c:v>
                </c:pt>
                <c:pt idx="233">
                  <c:v>1.941667</c:v>
                </c:pt>
                <c:pt idx="234">
                  <c:v>1.95</c:v>
                </c:pt>
                <c:pt idx="235">
                  <c:v>1.9583330000000001</c:v>
                </c:pt>
                <c:pt idx="236">
                  <c:v>1.9666669999999999</c:v>
                </c:pt>
                <c:pt idx="237">
                  <c:v>1.9750000000000001</c:v>
                </c:pt>
                <c:pt idx="238">
                  <c:v>1.983333</c:v>
                </c:pt>
                <c:pt idx="239">
                  <c:v>1.9916670000000001</c:v>
                </c:pt>
                <c:pt idx="240">
                  <c:v>2</c:v>
                </c:pt>
                <c:pt idx="241">
                  <c:v>2.0083329999999999</c:v>
                </c:pt>
                <c:pt idx="242">
                  <c:v>2.016667</c:v>
                </c:pt>
                <c:pt idx="243">
                  <c:v>2.0249999999999999</c:v>
                </c:pt>
                <c:pt idx="244">
                  <c:v>2.0333329999999998</c:v>
                </c:pt>
                <c:pt idx="245">
                  <c:v>2.0416669999999999</c:v>
                </c:pt>
                <c:pt idx="246">
                  <c:v>2.0499999999999998</c:v>
                </c:pt>
                <c:pt idx="247">
                  <c:v>2.0583330000000002</c:v>
                </c:pt>
                <c:pt idx="248">
                  <c:v>2.0666669999999998</c:v>
                </c:pt>
                <c:pt idx="249">
                  <c:v>2.0750000000000002</c:v>
                </c:pt>
                <c:pt idx="250">
                  <c:v>2.0833330000000001</c:v>
                </c:pt>
                <c:pt idx="251">
                  <c:v>2.0916670000000002</c:v>
                </c:pt>
                <c:pt idx="252">
                  <c:v>2.1</c:v>
                </c:pt>
                <c:pt idx="253">
                  <c:v>2.108333</c:v>
                </c:pt>
                <c:pt idx="254">
                  <c:v>2.1166670000000001</c:v>
                </c:pt>
                <c:pt idx="255">
                  <c:v>2.125</c:v>
                </c:pt>
                <c:pt idx="256">
                  <c:v>2.1333329999999999</c:v>
                </c:pt>
                <c:pt idx="257">
                  <c:v>2.141667</c:v>
                </c:pt>
                <c:pt idx="258">
                  <c:v>2.15</c:v>
                </c:pt>
                <c:pt idx="259">
                  <c:v>2.1583329999999998</c:v>
                </c:pt>
                <c:pt idx="260">
                  <c:v>2.1666669999999999</c:v>
                </c:pt>
                <c:pt idx="261">
                  <c:v>2.1749999999999998</c:v>
                </c:pt>
                <c:pt idx="262">
                  <c:v>2.1833330000000002</c:v>
                </c:pt>
                <c:pt idx="263">
                  <c:v>2.1916669999999998</c:v>
                </c:pt>
                <c:pt idx="264">
                  <c:v>2.2000000000000002</c:v>
                </c:pt>
                <c:pt idx="265">
                  <c:v>2.2083330000000001</c:v>
                </c:pt>
                <c:pt idx="266">
                  <c:v>2.2166670000000002</c:v>
                </c:pt>
                <c:pt idx="267">
                  <c:v>2.2250000000000001</c:v>
                </c:pt>
                <c:pt idx="268">
                  <c:v>2.233333</c:v>
                </c:pt>
                <c:pt idx="269">
                  <c:v>2.2416670000000001</c:v>
                </c:pt>
                <c:pt idx="270">
                  <c:v>2.25</c:v>
                </c:pt>
                <c:pt idx="271">
                  <c:v>2.2583329999999999</c:v>
                </c:pt>
                <c:pt idx="272">
                  <c:v>2.266667</c:v>
                </c:pt>
                <c:pt idx="273">
                  <c:v>2.2749999999999999</c:v>
                </c:pt>
                <c:pt idx="274">
                  <c:v>2.2833329999999998</c:v>
                </c:pt>
                <c:pt idx="275">
                  <c:v>2.2916669999999999</c:v>
                </c:pt>
                <c:pt idx="276">
                  <c:v>2.2999999999999998</c:v>
                </c:pt>
                <c:pt idx="277">
                  <c:v>2.3083330000000002</c:v>
                </c:pt>
                <c:pt idx="278">
                  <c:v>2.3166669999999998</c:v>
                </c:pt>
                <c:pt idx="279">
                  <c:v>2.3250000000000002</c:v>
                </c:pt>
                <c:pt idx="280">
                  <c:v>2.3333330000000001</c:v>
                </c:pt>
                <c:pt idx="281">
                  <c:v>2.3416670000000002</c:v>
                </c:pt>
                <c:pt idx="282">
                  <c:v>2.35</c:v>
                </c:pt>
                <c:pt idx="283">
                  <c:v>2.358333</c:v>
                </c:pt>
                <c:pt idx="284">
                  <c:v>2.3666670000000001</c:v>
                </c:pt>
                <c:pt idx="285">
                  <c:v>2.375</c:v>
                </c:pt>
                <c:pt idx="286">
                  <c:v>2.3833329999999999</c:v>
                </c:pt>
                <c:pt idx="287">
                  <c:v>2.391667</c:v>
                </c:pt>
                <c:pt idx="288">
                  <c:v>2.4</c:v>
                </c:pt>
                <c:pt idx="289">
                  <c:v>2.4083329999999998</c:v>
                </c:pt>
                <c:pt idx="290">
                  <c:v>2.4166669999999999</c:v>
                </c:pt>
                <c:pt idx="291">
                  <c:v>2.4249999999999998</c:v>
                </c:pt>
                <c:pt idx="292">
                  <c:v>2.4333330000000002</c:v>
                </c:pt>
                <c:pt idx="293">
                  <c:v>2.4416669999999998</c:v>
                </c:pt>
                <c:pt idx="294">
                  <c:v>2.4500000000000002</c:v>
                </c:pt>
                <c:pt idx="295">
                  <c:v>2.4583330000000001</c:v>
                </c:pt>
                <c:pt idx="296">
                  <c:v>2.4666670000000002</c:v>
                </c:pt>
                <c:pt idx="297">
                  <c:v>2.4750000000000001</c:v>
                </c:pt>
                <c:pt idx="298">
                  <c:v>2.483333</c:v>
                </c:pt>
                <c:pt idx="299">
                  <c:v>2.4916670000000001</c:v>
                </c:pt>
                <c:pt idx="300">
                  <c:v>2.5</c:v>
                </c:pt>
                <c:pt idx="301">
                  <c:v>2.5083329999999999</c:v>
                </c:pt>
                <c:pt idx="302">
                  <c:v>2.516667</c:v>
                </c:pt>
                <c:pt idx="303">
                  <c:v>2.5249999999999999</c:v>
                </c:pt>
                <c:pt idx="304">
                  <c:v>2.5333329999999998</c:v>
                </c:pt>
                <c:pt idx="305">
                  <c:v>2.5416669999999999</c:v>
                </c:pt>
                <c:pt idx="306">
                  <c:v>2.5499999999999998</c:v>
                </c:pt>
                <c:pt idx="307">
                  <c:v>2.5583330000000002</c:v>
                </c:pt>
                <c:pt idx="308">
                  <c:v>2.5666669999999998</c:v>
                </c:pt>
                <c:pt idx="309">
                  <c:v>2.5750000000000002</c:v>
                </c:pt>
                <c:pt idx="310">
                  <c:v>2.5833330000000001</c:v>
                </c:pt>
                <c:pt idx="311">
                  <c:v>2.5916670000000002</c:v>
                </c:pt>
                <c:pt idx="312">
                  <c:v>2.6</c:v>
                </c:pt>
                <c:pt idx="313">
                  <c:v>2.608333</c:v>
                </c:pt>
                <c:pt idx="314">
                  <c:v>2.6166670000000001</c:v>
                </c:pt>
                <c:pt idx="315">
                  <c:v>2.625</c:v>
                </c:pt>
                <c:pt idx="316">
                  <c:v>2.6333329999999999</c:v>
                </c:pt>
                <c:pt idx="317">
                  <c:v>2.641667</c:v>
                </c:pt>
                <c:pt idx="318">
                  <c:v>2.65</c:v>
                </c:pt>
                <c:pt idx="319">
                  <c:v>2.6583329999999998</c:v>
                </c:pt>
                <c:pt idx="320">
                  <c:v>2.6666669999999999</c:v>
                </c:pt>
                <c:pt idx="321">
                  <c:v>2.6749999999999998</c:v>
                </c:pt>
                <c:pt idx="322">
                  <c:v>2.6833330000000002</c:v>
                </c:pt>
                <c:pt idx="323">
                  <c:v>2.6916669999999998</c:v>
                </c:pt>
                <c:pt idx="324">
                  <c:v>2.7</c:v>
                </c:pt>
                <c:pt idx="325">
                  <c:v>2.7083330000000001</c:v>
                </c:pt>
                <c:pt idx="326">
                  <c:v>2.7166670000000002</c:v>
                </c:pt>
                <c:pt idx="327">
                  <c:v>2.7250000000000001</c:v>
                </c:pt>
                <c:pt idx="328">
                  <c:v>2.733333</c:v>
                </c:pt>
                <c:pt idx="329">
                  <c:v>2.7416670000000001</c:v>
                </c:pt>
                <c:pt idx="330">
                  <c:v>2.75</c:v>
                </c:pt>
                <c:pt idx="331">
                  <c:v>2.7583329999999999</c:v>
                </c:pt>
                <c:pt idx="332">
                  <c:v>2.766667</c:v>
                </c:pt>
                <c:pt idx="333">
                  <c:v>2.7749999999999999</c:v>
                </c:pt>
                <c:pt idx="334">
                  <c:v>2.7833329999999998</c:v>
                </c:pt>
                <c:pt idx="335">
                  <c:v>2.7916669999999999</c:v>
                </c:pt>
                <c:pt idx="336">
                  <c:v>2.8</c:v>
                </c:pt>
                <c:pt idx="337">
                  <c:v>2.8083330000000002</c:v>
                </c:pt>
                <c:pt idx="338">
                  <c:v>2.8166669999999998</c:v>
                </c:pt>
                <c:pt idx="339">
                  <c:v>2.8250000000000002</c:v>
                </c:pt>
                <c:pt idx="340">
                  <c:v>2.8333330000000001</c:v>
                </c:pt>
                <c:pt idx="341">
                  <c:v>2.8416670000000002</c:v>
                </c:pt>
                <c:pt idx="342">
                  <c:v>2.85</c:v>
                </c:pt>
                <c:pt idx="343">
                  <c:v>2.858333</c:v>
                </c:pt>
                <c:pt idx="344">
                  <c:v>2.8666670000000001</c:v>
                </c:pt>
                <c:pt idx="345">
                  <c:v>2.875</c:v>
                </c:pt>
                <c:pt idx="346">
                  <c:v>2.8833329999999999</c:v>
                </c:pt>
                <c:pt idx="347">
                  <c:v>2.891667</c:v>
                </c:pt>
                <c:pt idx="348">
                  <c:v>2.9</c:v>
                </c:pt>
                <c:pt idx="349">
                  <c:v>2.9083329999999998</c:v>
                </c:pt>
                <c:pt idx="350">
                  <c:v>2.9166669999999999</c:v>
                </c:pt>
                <c:pt idx="351">
                  <c:v>2.9249999999999998</c:v>
                </c:pt>
                <c:pt idx="352">
                  <c:v>2.9333330000000002</c:v>
                </c:pt>
                <c:pt idx="353">
                  <c:v>2.9416669999999998</c:v>
                </c:pt>
                <c:pt idx="354">
                  <c:v>2.95</c:v>
                </c:pt>
                <c:pt idx="355">
                  <c:v>2.9583330000000001</c:v>
                </c:pt>
                <c:pt idx="356">
                  <c:v>2.9666670000000002</c:v>
                </c:pt>
                <c:pt idx="357">
                  <c:v>2.9750000000000001</c:v>
                </c:pt>
                <c:pt idx="358">
                  <c:v>2.983333</c:v>
                </c:pt>
                <c:pt idx="359">
                  <c:v>2.9916670000000001</c:v>
                </c:pt>
                <c:pt idx="360">
                  <c:v>3</c:v>
                </c:pt>
                <c:pt idx="361">
                  <c:v>3.0083329999999999</c:v>
                </c:pt>
                <c:pt idx="362">
                  <c:v>3.016667</c:v>
                </c:pt>
                <c:pt idx="363">
                  <c:v>3.0249999999999999</c:v>
                </c:pt>
                <c:pt idx="364">
                  <c:v>3.0333329999999998</c:v>
                </c:pt>
                <c:pt idx="365">
                  <c:v>3.0416669999999999</c:v>
                </c:pt>
                <c:pt idx="366">
                  <c:v>3.05</c:v>
                </c:pt>
                <c:pt idx="367">
                  <c:v>3.0583330000000002</c:v>
                </c:pt>
                <c:pt idx="368">
                  <c:v>3.0666669999999998</c:v>
                </c:pt>
                <c:pt idx="369">
                  <c:v>3.0750000000000002</c:v>
                </c:pt>
                <c:pt idx="370">
                  <c:v>3.0833330000000001</c:v>
                </c:pt>
                <c:pt idx="371">
                  <c:v>3.0916670000000002</c:v>
                </c:pt>
                <c:pt idx="372">
                  <c:v>3.1</c:v>
                </c:pt>
                <c:pt idx="373">
                  <c:v>3.108333</c:v>
                </c:pt>
                <c:pt idx="374">
                  <c:v>3.1166670000000001</c:v>
                </c:pt>
                <c:pt idx="375">
                  <c:v>3.125</c:v>
                </c:pt>
                <c:pt idx="376">
                  <c:v>3.1333329999999999</c:v>
                </c:pt>
                <c:pt idx="377">
                  <c:v>3.141667</c:v>
                </c:pt>
                <c:pt idx="378">
                  <c:v>3.15</c:v>
                </c:pt>
                <c:pt idx="379">
                  <c:v>3.1583329999999998</c:v>
                </c:pt>
                <c:pt idx="380">
                  <c:v>3.1666669999999999</c:v>
                </c:pt>
                <c:pt idx="381">
                  <c:v>3.1749999999999998</c:v>
                </c:pt>
                <c:pt idx="382">
                  <c:v>3.1833330000000002</c:v>
                </c:pt>
                <c:pt idx="383">
                  <c:v>3.1916669999999998</c:v>
                </c:pt>
                <c:pt idx="384">
                  <c:v>3.2</c:v>
                </c:pt>
                <c:pt idx="385">
                  <c:v>3.2083330000000001</c:v>
                </c:pt>
                <c:pt idx="386">
                  <c:v>3.2166670000000002</c:v>
                </c:pt>
                <c:pt idx="387">
                  <c:v>3.2250000000000001</c:v>
                </c:pt>
                <c:pt idx="388">
                  <c:v>3.233333</c:v>
                </c:pt>
                <c:pt idx="389">
                  <c:v>3.2416670000000001</c:v>
                </c:pt>
                <c:pt idx="390">
                  <c:v>3.25</c:v>
                </c:pt>
                <c:pt idx="391">
                  <c:v>3.2583329999999999</c:v>
                </c:pt>
                <c:pt idx="392">
                  <c:v>3.266667</c:v>
                </c:pt>
                <c:pt idx="393">
                  <c:v>3.2749999999999999</c:v>
                </c:pt>
                <c:pt idx="394">
                  <c:v>3.2833329999999998</c:v>
                </c:pt>
                <c:pt idx="395">
                  <c:v>3.2916669999999999</c:v>
                </c:pt>
                <c:pt idx="396">
                  <c:v>3.3</c:v>
                </c:pt>
                <c:pt idx="397">
                  <c:v>3.3083330000000002</c:v>
                </c:pt>
                <c:pt idx="398">
                  <c:v>3.3166669999999998</c:v>
                </c:pt>
                <c:pt idx="399">
                  <c:v>3.3250000000000002</c:v>
                </c:pt>
                <c:pt idx="400">
                  <c:v>3.3333330000000001</c:v>
                </c:pt>
                <c:pt idx="401">
                  <c:v>3.3416670000000002</c:v>
                </c:pt>
                <c:pt idx="402">
                  <c:v>3.35</c:v>
                </c:pt>
                <c:pt idx="403">
                  <c:v>3.358333</c:v>
                </c:pt>
                <c:pt idx="404">
                  <c:v>3.3666670000000001</c:v>
                </c:pt>
                <c:pt idx="405">
                  <c:v>3.375</c:v>
                </c:pt>
                <c:pt idx="406">
                  <c:v>3.3833329999999999</c:v>
                </c:pt>
                <c:pt idx="407">
                  <c:v>3.391667</c:v>
                </c:pt>
                <c:pt idx="408">
                  <c:v>3.4</c:v>
                </c:pt>
                <c:pt idx="409">
                  <c:v>3.4083329999999998</c:v>
                </c:pt>
                <c:pt idx="410">
                  <c:v>3.4166669999999999</c:v>
                </c:pt>
                <c:pt idx="411">
                  <c:v>3.4249999999999998</c:v>
                </c:pt>
                <c:pt idx="412">
                  <c:v>3.4333330000000002</c:v>
                </c:pt>
                <c:pt idx="413">
                  <c:v>3.4416669999999998</c:v>
                </c:pt>
                <c:pt idx="414">
                  <c:v>3.45</c:v>
                </c:pt>
                <c:pt idx="415">
                  <c:v>3.4583330000000001</c:v>
                </c:pt>
                <c:pt idx="416">
                  <c:v>3.4666670000000002</c:v>
                </c:pt>
                <c:pt idx="417">
                  <c:v>3.4750000000000001</c:v>
                </c:pt>
                <c:pt idx="418">
                  <c:v>3.483333</c:v>
                </c:pt>
                <c:pt idx="419">
                  <c:v>3.4916670000000001</c:v>
                </c:pt>
                <c:pt idx="420">
                  <c:v>3.5</c:v>
                </c:pt>
                <c:pt idx="421">
                  <c:v>3.5083329999999999</c:v>
                </c:pt>
                <c:pt idx="422">
                  <c:v>3.516667</c:v>
                </c:pt>
                <c:pt idx="423">
                  <c:v>3.5249999999999999</c:v>
                </c:pt>
                <c:pt idx="424">
                  <c:v>3.5333329999999998</c:v>
                </c:pt>
                <c:pt idx="425">
                  <c:v>3.5416669999999999</c:v>
                </c:pt>
                <c:pt idx="426">
                  <c:v>3.55</c:v>
                </c:pt>
                <c:pt idx="427">
                  <c:v>3.5583330000000002</c:v>
                </c:pt>
                <c:pt idx="428">
                  <c:v>3.5666669999999998</c:v>
                </c:pt>
                <c:pt idx="429">
                  <c:v>3.5750000000000002</c:v>
                </c:pt>
                <c:pt idx="430">
                  <c:v>3.5833330000000001</c:v>
                </c:pt>
                <c:pt idx="431">
                  <c:v>3.5916670000000002</c:v>
                </c:pt>
                <c:pt idx="432">
                  <c:v>3.6</c:v>
                </c:pt>
                <c:pt idx="433">
                  <c:v>3.608333</c:v>
                </c:pt>
                <c:pt idx="434">
                  <c:v>3.6166670000000001</c:v>
                </c:pt>
                <c:pt idx="435">
                  <c:v>3.625</c:v>
                </c:pt>
                <c:pt idx="436">
                  <c:v>3.6333329999999999</c:v>
                </c:pt>
                <c:pt idx="437">
                  <c:v>3.641667</c:v>
                </c:pt>
                <c:pt idx="438">
                  <c:v>3.65</c:v>
                </c:pt>
                <c:pt idx="439">
                  <c:v>3.6583329999999998</c:v>
                </c:pt>
                <c:pt idx="440">
                  <c:v>3.6666669999999999</c:v>
                </c:pt>
                <c:pt idx="441">
                  <c:v>3.6749999999999998</c:v>
                </c:pt>
                <c:pt idx="442">
                  <c:v>3.6833330000000002</c:v>
                </c:pt>
                <c:pt idx="443">
                  <c:v>3.6916669999999998</c:v>
                </c:pt>
                <c:pt idx="444">
                  <c:v>3.7</c:v>
                </c:pt>
                <c:pt idx="445">
                  <c:v>3.7083330000000001</c:v>
                </c:pt>
                <c:pt idx="446">
                  <c:v>3.7166670000000002</c:v>
                </c:pt>
                <c:pt idx="447">
                  <c:v>3.7250000000000001</c:v>
                </c:pt>
                <c:pt idx="448">
                  <c:v>3.733333</c:v>
                </c:pt>
                <c:pt idx="449">
                  <c:v>3.7416670000000001</c:v>
                </c:pt>
                <c:pt idx="450">
                  <c:v>3.75</c:v>
                </c:pt>
                <c:pt idx="451">
                  <c:v>3.7583329999999999</c:v>
                </c:pt>
                <c:pt idx="452">
                  <c:v>3.766667</c:v>
                </c:pt>
                <c:pt idx="453">
                  <c:v>3.7749999999999999</c:v>
                </c:pt>
                <c:pt idx="454">
                  <c:v>3.7833329999999998</c:v>
                </c:pt>
                <c:pt idx="455">
                  <c:v>3.7916669999999999</c:v>
                </c:pt>
                <c:pt idx="456">
                  <c:v>3.8</c:v>
                </c:pt>
                <c:pt idx="457">
                  <c:v>3.8083330000000002</c:v>
                </c:pt>
                <c:pt idx="458">
                  <c:v>3.8166669999999998</c:v>
                </c:pt>
                <c:pt idx="459">
                  <c:v>3.8250000000000002</c:v>
                </c:pt>
                <c:pt idx="460">
                  <c:v>3.8333330000000001</c:v>
                </c:pt>
                <c:pt idx="461">
                  <c:v>3.8416670000000002</c:v>
                </c:pt>
                <c:pt idx="462">
                  <c:v>3.85</c:v>
                </c:pt>
                <c:pt idx="463">
                  <c:v>3.858333</c:v>
                </c:pt>
                <c:pt idx="464">
                  <c:v>3.8666670000000001</c:v>
                </c:pt>
                <c:pt idx="465">
                  <c:v>3.875</c:v>
                </c:pt>
                <c:pt idx="466">
                  <c:v>3.8833329999999999</c:v>
                </c:pt>
                <c:pt idx="467">
                  <c:v>3.891667</c:v>
                </c:pt>
                <c:pt idx="468">
                  <c:v>3.9</c:v>
                </c:pt>
                <c:pt idx="469">
                  <c:v>3.9083329999999998</c:v>
                </c:pt>
                <c:pt idx="470">
                  <c:v>3.9166669999999999</c:v>
                </c:pt>
                <c:pt idx="471">
                  <c:v>3.9249999999999998</c:v>
                </c:pt>
                <c:pt idx="472">
                  <c:v>3.9333330000000002</c:v>
                </c:pt>
                <c:pt idx="473">
                  <c:v>3.9416669999999998</c:v>
                </c:pt>
                <c:pt idx="474">
                  <c:v>3.95</c:v>
                </c:pt>
                <c:pt idx="475">
                  <c:v>3.9583330000000001</c:v>
                </c:pt>
                <c:pt idx="476">
                  <c:v>3.9666670000000002</c:v>
                </c:pt>
                <c:pt idx="477">
                  <c:v>3.9750000000000001</c:v>
                </c:pt>
                <c:pt idx="478">
                  <c:v>3.983333</c:v>
                </c:pt>
                <c:pt idx="479">
                  <c:v>3.9916670000000001</c:v>
                </c:pt>
                <c:pt idx="480">
                  <c:v>4</c:v>
                </c:pt>
                <c:pt idx="481">
                  <c:v>4.0083330000000004</c:v>
                </c:pt>
                <c:pt idx="482">
                  <c:v>4.016667</c:v>
                </c:pt>
                <c:pt idx="483">
                  <c:v>4.0250000000000004</c:v>
                </c:pt>
                <c:pt idx="484">
                  <c:v>4.0333329999999998</c:v>
                </c:pt>
                <c:pt idx="485">
                  <c:v>4.0416670000000003</c:v>
                </c:pt>
                <c:pt idx="486">
                  <c:v>4.05</c:v>
                </c:pt>
                <c:pt idx="487">
                  <c:v>4.0583330000000002</c:v>
                </c:pt>
                <c:pt idx="488">
                  <c:v>4.0666669999999998</c:v>
                </c:pt>
                <c:pt idx="489">
                  <c:v>4.0750000000000002</c:v>
                </c:pt>
                <c:pt idx="490">
                  <c:v>4.0833329999999997</c:v>
                </c:pt>
                <c:pt idx="491">
                  <c:v>4.0916670000000002</c:v>
                </c:pt>
                <c:pt idx="492">
                  <c:v>4.0999999999999996</c:v>
                </c:pt>
                <c:pt idx="493">
                  <c:v>4.108333</c:v>
                </c:pt>
                <c:pt idx="494">
                  <c:v>4.1166669999999996</c:v>
                </c:pt>
                <c:pt idx="495">
                  <c:v>4.125</c:v>
                </c:pt>
                <c:pt idx="496">
                  <c:v>4.1333330000000004</c:v>
                </c:pt>
                <c:pt idx="497">
                  <c:v>4.141667</c:v>
                </c:pt>
                <c:pt idx="498">
                  <c:v>4.1500000000000004</c:v>
                </c:pt>
                <c:pt idx="499">
                  <c:v>4.1583329999999998</c:v>
                </c:pt>
                <c:pt idx="500">
                  <c:v>4.1666670000000003</c:v>
                </c:pt>
                <c:pt idx="501">
                  <c:v>4.1749999999999998</c:v>
                </c:pt>
                <c:pt idx="502">
                  <c:v>4.1833330000000002</c:v>
                </c:pt>
                <c:pt idx="503">
                  <c:v>4.1916669999999998</c:v>
                </c:pt>
                <c:pt idx="504">
                  <c:v>4.2</c:v>
                </c:pt>
                <c:pt idx="505">
                  <c:v>4.2083329999999997</c:v>
                </c:pt>
                <c:pt idx="506">
                  <c:v>4.2166670000000002</c:v>
                </c:pt>
                <c:pt idx="507">
                  <c:v>4.2249999999999996</c:v>
                </c:pt>
                <c:pt idx="508">
                  <c:v>4.233333</c:v>
                </c:pt>
                <c:pt idx="509">
                  <c:v>4.2416669999999996</c:v>
                </c:pt>
                <c:pt idx="510">
                  <c:v>4.25</c:v>
                </c:pt>
                <c:pt idx="511">
                  <c:v>4.2583330000000004</c:v>
                </c:pt>
                <c:pt idx="512">
                  <c:v>4.266667</c:v>
                </c:pt>
                <c:pt idx="513">
                  <c:v>4.2750000000000004</c:v>
                </c:pt>
                <c:pt idx="514">
                  <c:v>4.2833329999999998</c:v>
                </c:pt>
                <c:pt idx="515">
                  <c:v>4.2916670000000003</c:v>
                </c:pt>
                <c:pt idx="516">
                  <c:v>4.3</c:v>
                </c:pt>
                <c:pt idx="517">
                  <c:v>4.3083330000000002</c:v>
                </c:pt>
                <c:pt idx="518">
                  <c:v>4.3166669999999998</c:v>
                </c:pt>
                <c:pt idx="519">
                  <c:v>4.3250000000000002</c:v>
                </c:pt>
                <c:pt idx="520">
                  <c:v>4.3333329999999997</c:v>
                </c:pt>
                <c:pt idx="521">
                  <c:v>4.3416670000000002</c:v>
                </c:pt>
                <c:pt idx="522">
                  <c:v>4.3499999999999996</c:v>
                </c:pt>
                <c:pt idx="523">
                  <c:v>4.358333</c:v>
                </c:pt>
                <c:pt idx="524">
                  <c:v>4.3666669999999996</c:v>
                </c:pt>
                <c:pt idx="525">
                  <c:v>4.375</c:v>
                </c:pt>
                <c:pt idx="526">
                  <c:v>4.3833330000000004</c:v>
                </c:pt>
                <c:pt idx="527">
                  <c:v>4.391667</c:v>
                </c:pt>
                <c:pt idx="528">
                  <c:v>4.4000000000000004</c:v>
                </c:pt>
                <c:pt idx="529">
                  <c:v>4.4083329999999998</c:v>
                </c:pt>
                <c:pt idx="530">
                  <c:v>4.4166670000000003</c:v>
                </c:pt>
                <c:pt idx="531">
                  <c:v>4.4249999999999998</c:v>
                </c:pt>
                <c:pt idx="532">
                  <c:v>4.4333330000000002</c:v>
                </c:pt>
                <c:pt idx="533">
                  <c:v>4.4416669999999998</c:v>
                </c:pt>
                <c:pt idx="534">
                  <c:v>4.45</c:v>
                </c:pt>
                <c:pt idx="535">
                  <c:v>4.4583329999999997</c:v>
                </c:pt>
                <c:pt idx="536">
                  <c:v>4.4666670000000002</c:v>
                </c:pt>
                <c:pt idx="537">
                  <c:v>4.4749999999999996</c:v>
                </c:pt>
                <c:pt idx="538">
                  <c:v>4.483333</c:v>
                </c:pt>
                <c:pt idx="539">
                  <c:v>4.4916669999999996</c:v>
                </c:pt>
                <c:pt idx="540">
                  <c:v>4.5</c:v>
                </c:pt>
                <c:pt idx="541">
                  <c:v>4.5083330000000004</c:v>
                </c:pt>
                <c:pt idx="542">
                  <c:v>4.516667</c:v>
                </c:pt>
                <c:pt idx="543">
                  <c:v>4.5250000000000004</c:v>
                </c:pt>
                <c:pt idx="544">
                  <c:v>4.5333329999999998</c:v>
                </c:pt>
                <c:pt idx="545">
                  <c:v>4.5416670000000003</c:v>
                </c:pt>
                <c:pt idx="546">
                  <c:v>4.55</c:v>
                </c:pt>
                <c:pt idx="547">
                  <c:v>4.5583330000000002</c:v>
                </c:pt>
                <c:pt idx="548">
                  <c:v>4.5666669999999998</c:v>
                </c:pt>
                <c:pt idx="549">
                  <c:v>4.5750000000000002</c:v>
                </c:pt>
                <c:pt idx="550">
                  <c:v>4.5833329999999997</c:v>
                </c:pt>
                <c:pt idx="551">
                  <c:v>4.5916670000000002</c:v>
                </c:pt>
                <c:pt idx="552">
                  <c:v>4.5999999999999996</c:v>
                </c:pt>
                <c:pt idx="553">
                  <c:v>4.608333</c:v>
                </c:pt>
                <c:pt idx="554">
                  <c:v>4.6166669999999996</c:v>
                </c:pt>
                <c:pt idx="555">
                  <c:v>4.625</c:v>
                </c:pt>
                <c:pt idx="556">
                  <c:v>4.6333330000000004</c:v>
                </c:pt>
                <c:pt idx="557">
                  <c:v>4.641667</c:v>
                </c:pt>
                <c:pt idx="558">
                  <c:v>4.6500000000000004</c:v>
                </c:pt>
                <c:pt idx="559">
                  <c:v>4.6583329999999998</c:v>
                </c:pt>
                <c:pt idx="560">
                  <c:v>4.6666670000000003</c:v>
                </c:pt>
                <c:pt idx="561">
                  <c:v>4.6749999999999998</c:v>
                </c:pt>
                <c:pt idx="562">
                  <c:v>4.6833330000000002</c:v>
                </c:pt>
                <c:pt idx="563">
                  <c:v>4.6916669999999998</c:v>
                </c:pt>
                <c:pt idx="564">
                  <c:v>4.7</c:v>
                </c:pt>
                <c:pt idx="565">
                  <c:v>4.7083329999999997</c:v>
                </c:pt>
                <c:pt idx="566">
                  <c:v>4.7166670000000002</c:v>
                </c:pt>
                <c:pt idx="567">
                  <c:v>4.7249999999999996</c:v>
                </c:pt>
                <c:pt idx="568">
                  <c:v>4.733333</c:v>
                </c:pt>
                <c:pt idx="569">
                  <c:v>4.7416669999999996</c:v>
                </c:pt>
                <c:pt idx="570">
                  <c:v>4.75</c:v>
                </c:pt>
                <c:pt idx="571">
                  <c:v>4.7583330000000004</c:v>
                </c:pt>
                <c:pt idx="572">
                  <c:v>4.766667</c:v>
                </c:pt>
                <c:pt idx="573">
                  <c:v>4.7750000000000004</c:v>
                </c:pt>
                <c:pt idx="574">
                  <c:v>4.7833329999999998</c:v>
                </c:pt>
                <c:pt idx="575">
                  <c:v>4.7916670000000003</c:v>
                </c:pt>
                <c:pt idx="576">
                  <c:v>4.8</c:v>
                </c:pt>
                <c:pt idx="577">
                  <c:v>4.8083330000000002</c:v>
                </c:pt>
                <c:pt idx="578">
                  <c:v>4.8166669999999998</c:v>
                </c:pt>
                <c:pt idx="579">
                  <c:v>4.8250000000000002</c:v>
                </c:pt>
                <c:pt idx="580">
                  <c:v>4.8333329999999997</c:v>
                </c:pt>
                <c:pt idx="581">
                  <c:v>4.8416670000000002</c:v>
                </c:pt>
                <c:pt idx="582">
                  <c:v>4.8499999999999996</c:v>
                </c:pt>
                <c:pt idx="583">
                  <c:v>4.858333</c:v>
                </c:pt>
                <c:pt idx="584">
                  <c:v>4.8666669999999996</c:v>
                </c:pt>
                <c:pt idx="585">
                  <c:v>4.875</c:v>
                </c:pt>
                <c:pt idx="586">
                  <c:v>4.8833330000000004</c:v>
                </c:pt>
                <c:pt idx="587">
                  <c:v>4.891667</c:v>
                </c:pt>
                <c:pt idx="588">
                  <c:v>4.9000000000000004</c:v>
                </c:pt>
                <c:pt idx="589">
                  <c:v>4.9083329999999998</c:v>
                </c:pt>
                <c:pt idx="590">
                  <c:v>4.9166670000000003</c:v>
                </c:pt>
                <c:pt idx="591">
                  <c:v>4.9249999999999998</c:v>
                </c:pt>
                <c:pt idx="592">
                  <c:v>4.9333330000000002</c:v>
                </c:pt>
                <c:pt idx="593">
                  <c:v>4.9416669999999998</c:v>
                </c:pt>
                <c:pt idx="594">
                  <c:v>4.95</c:v>
                </c:pt>
                <c:pt idx="595">
                  <c:v>4.9583329999999997</c:v>
                </c:pt>
                <c:pt idx="596">
                  <c:v>4.9666670000000002</c:v>
                </c:pt>
                <c:pt idx="597">
                  <c:v>4.9749999999999996</c:v>
                </c:pt>
                <c:pt idx="598">
                  <c:v>4.983333</c:v>
                </c:pt>
                <c:pt idx="599">
                  <c:v>4.9916669999999996</c:v>
                </c:pt>
                <c:pt idx="600">
                  <c:v>5</c:v>
                </c:pt>
              </c:numCache>
            </c:numRef>
          </c:xVal>
          <c:yVal>
            <c:numRef>
              <c:f>Cal_Error!$I$2:$I$602</c:f>
              <c:numCache>
                <c:formatCode>General</c:formatCode>
                <c:ptCount val="601"/>
                <c:pt idx="0">
                  <c:v>1.7000000000000001E-2</c:v>
                </c:pt>
                <c:pt idx="1">
                  <c:v>1.162168196548553E-2</c:v>
                </c:pt>
                <c:pt idx="2">
                  <c:v>8.9754015311565745E-3</c:v>
                </c:pt>
                <c:pt idx="3">
                  <c:v>7.3307424399679383E-3</c:v>
                </c:pt>
                <c:pt idx="4">
                  <c:v>4.7413278328223424E-3</c:v>
                </c:pt>
                <c:pt idx="5">
                  <c:v>3.1499287130634934E-3</c:v>
                </c:pt>
                <c:pt idx="6">
                  <c:v>1.5862499097782506E-3</c:v>
                </c:pt>
                <c:pt idx="7">
                  <c:v>4.9283304936184602E-5</c:v>
                </c:pt>
                <c:pt idx="8">
                  <c:v>1.4619798305237353E-3</c:v>
                </c:pt>
                <c:pt idx="9">
                  <c:v>2.9455482547488393E-3</c:v>
                </c:pt>
                <c:pt idx="10">
                  <c:v>4.4024318606803725E-3</c:v>
                </c:pt>
                <c:pt idx="11">
                  <c:v>6.7994876732319909E-3</c:v>
                </c:pt>
                <c:pt idx="12">
                  <c:v>8.2022191988789239E-3</c:v>
                </c:pt>
                <c:pt idx="13">
                  <c:v>9.5782954686431665E-3</c:v>
                </c:pt>
                <c:pt idx="14">
                  <c:v>1.0928728150350175E-2</c:v>
                </c:pt>
                <c:pt idx="15">
                  <c:v>1.2251529028259669E-2</c:v>
                </c:pt>
                <c:pt idx="16">
                  <c:v>1.4509472866788761E-2</c:v>
                </c:pt>
                <c:pt idx="17">
                  <c:v>1.5779226238523236E-2</c:v>
                </c:pt>
                <c:pt idx="18">
                  <c:v>1.70213849049414E-2</c:v>
                </c:pt>
                <c:pt idx="19">
                  <c:v>1.8236962483365232E-2</c:v>
                </c:pt>
                <c:pt idx="20">
                  <c:v>2.0385434968961835E-2</c:v>
                </c:pt>
                <c:pt idx="21">
                  <c:v>2.154706527991071E-2</c:v>
                </c:pt>
                <c:pt idx="22">
                  <c:v>2.2682157071578279E-2</c:v>
                </c:pt>
                <c:pt idx="23">
                  <c:v>2.4747693931128772E-2</c:v>
                </c:pt>
                <c:pt idx="24">
                  <c:v>2.5828922719824982E-2</c:v>
                </c:pt>
                <c:pt idx="25">
                  <c:v>2.6883660795388037E-2</c:v>
                </c:pt>
                <c:pt idx="26">
                  <c:v>2.886638132601646E-2</c:v>
                </c:pt>
                <c:pt idx="27">
                  <c:v>2.9867349392179776E-2</c:v>
                </c:pt>
                <c:pt idx="28">
                  <c:v>3.0841878013861124E-2</c:v>
                </c:pt>
                <c:pt idx="29">
                  <c:v>3.2741915886555784E-2</c:v>
                </c:pt>
                <c:pt idx="30">
                  <c:v>3.36627766870225E-2</c:v>
                </c:pt>
                <c:pt idx="31">
                  <c:v>3.5506490545165387E-2</c:v>
                </c:pt>
                <c:pt idx="32">
                  <c:v>3.6374755568224421E-2</c:v>
                </c:pt>
                <c:pt idx="33">
                  <c:v>3.8163212160032434E-2</c:v>
                </c:pt>
                <c:pt idx="34">
                  <c:v>3.8976956912054217E-2</c:v>
                </c:pt>
                <c:pt idx="35">
                  <c:v>3.9765398305623534E-2</c:v>
                </c:pt>
                <c:pt idx="36">
                  <c:v>4.1471531411142737E-2</c:v>
                </c:pt>
                <c:pt idx="37">
                  <c:v>4.2205575438806486E-2</c:v>
                </c:pt>
                <c:pt idx="38">
                  <c:v>4.3857637701561925E-2</c:v>
                </c:pt>
                <c:pt idx="39">
                  <c:v>4.45383700244803E-2</c:v>
                </c:pt>
                <c:pt idx="40">
                  <c:v>4.6134442013694599E-2</c:v>
                </c:pt>
                <c:pt idx="41">
                  <c:v>4.7703617009393073E-2</c:v>
                </c:pt>
                <c:pt idx="42">
                  <c:v>4.9243915524863457E-2</c:v>
                </c:pt>
                <c:pt idx="43">
                  <c:v>5.0756357636928817E-2</c:v>
                </c:pt>
                <c:pt idx="44">
                  <c:v>5.1303908826232536E-2</c:v>
                </c:pt>
                <c:pt idx="45">
                  <c:v>5.2761575166811292E-2</c:v>
                </c:pt>
                <c:pt idx="46">
                  <c:v>5.4191451706710525E-2</c:v>
                </c:pt>
                <c:pt idx="47">
                  <c:v>5.4659126921258294E-2</c:v>
                </c:pt>
                <c:pt idx="48">
                  <c:v>5.603436965325348E-2</c:v>
                </c:pt>
                <c:pt idx="49">
                  <c:v>5.7381893639095349E-2</c:v>
                </c:pt>
                <c:pt idx="50">
                  <c:v>5.7769925100940089E-2</c:v>
                </c:pt>
                <c:pt idx="51">
                  <c:v>5.906296672804312E-2</c:v>
                </c:pt>
                <c:pt idx="52">
                  <c:v>6.032836450431156E-2</c:v>
                </c:pt>
                <c:pt idx="53">
                  <c:v>6.0636999333097019E-2</c:v>
                </c:pt>
                <c:pt idx="54">
                  <c:v>6.1848075859929241E-2</c:v>
                </c:pt>
                <c:pt idx="55">
                  <c:v>6.3031588348634204E-2</c:v>
                </c:pt>
                <c:pt idx="56">
                  <c:v>6.4188564615795751E-2</c:v>
                </c:pt>
                <c:pt idx="57">
                  <c:v>6.4390447136900286E-2</c:v>
                </c:pt>
                <c:pt idx="58">
                  <c:v>6.5492328906464503E-2</c:v>
                </c:pt>
                <c:pt idx="59">
                  <c:v>6.6567760493914996E-2</c:v>
                </c:pt>
                <c:pt idx="60">
                  <c:v>6.7614770937906354E-2</c:v>
                </c:pt>
                <c:pt idx="61">
                  <c:v>6.8634390120908217E-2</c:v>
                </c:pt>
                <c:pt idx="62">
                  <c:v>6.8705551036941148E-2</c:v>
                </c:pt>
                <c:pt idx="63">
                  <c:v>6.9671382141392457E-2</c:v>
                </c:pt>
                <c:pt idx="64">
                  <c:v>7.0609915734960893E-2</c:v>
                </c:pt>
                <c:pt idx="65">
                  <c:v>7.1522183765979852E-2</c:v>
                </c:pt>
                <c:pt idx="66">
                  <c:v>7.2406218502868047E-2</c:v>
                </c:pt>
                <c:pt idx="67">
                  <c:v>7.326305270870781E-2</c:v>
                </c:pt>
                <c:pt idx="68">
                  <c:v>7.4093720019458853E-2</c:v>
                </c:pt>
                <c:pt idx="69">
                  <c:v>7.4896253809223823E-2</c:v>
                </c:pt>
                <c:pt idx="70">
                  <c:v>7.5671688906933876E-2</c:v>
                </c:pt>
                <c:pt idx="71">
                  <c:v>7.64210596178162E-2</c:v>
                </c:pt>
                <c:pt idx="72">
                  <c:v>7.7142401934648053E-2</c:v>
                </c:pt>
                <c:pt idx="73">
                  <c:v>7.783675150110958E-2</c:v>
                </c:pt>
                <c:pt idx="74">
                  <c:v>7.941630133167954E-2</c:v>
                </c:pt>
                <c:pt idx="75">
                  <c:v>8.0055853071231531E-2</c:v>
                </c:pt>
                <c:pt idx="76">
                  <c:v>8.0668521319124276E-2</c:v>
                </c:pt>
                <c:pt idx="77">
                  <c:v>8.1255344017654552E-2</c:v>
                </c:pt>
                <c:pt idx="78">
                  <c:v>8.1814359836562156E-2</c:v>
                </c:pt>
                <c:pt idx="79">
                  <c:v>8.2346607649249948E-2</c:v>
                </c:pt>
                <c:pt idx="80">
                  <c:v>8.2853126969238966E-2</c:v>
                </c:pt>
                <c:pt idx="81">
                  <c:v>8.3331957571951776E-2</c:v>
                </c:pt>
                <c:pt idx="82">
                  <c:v>8.468787445999626E-2</c:v>
                </c:pt>
                <c:pt idx="83">
                  <c:v>8.5113516058510696E-2</c:v>
                </c:pt>
                <c:pt idx="84">
                  <c:v>8.5511590593730369E-2</c:v>
                </c:pt>
                <c:pt idx="85">
                  <c:v>8.5883140547061032E-2</c:v>
                </c:pt>
                <c:pt idx="86">
                  <c:v>8.6229208021677106E-2</c:v>
                </c:pt>
                <c:pt idx="87">
                  <c:v>8.744688095233577E-2</c:v>
                </c:pt>
                <c:pt idx="88">
                  <c:v>8.7738171899848338E-2</c:v>
                </c:pt>
                <c:pt idx="89">
                  <c:v>8.8004110373400279E-2</c:v>
                </c:pt>
                <c:pt idx="90">
                  <c:v>8.8242740687515586E-2</c:v>
                </c:pt>
                <c:pt idx="91">
                  <c:v>8.9350372316837179E-2</c:v>
                </c:pt>
                <c:pt idx="92">
                  <c:v>8.9536573927731289E-2</c:v>
                </c:pt>
                <c:pt idx="93">
                  <c:v>8.969560329062809E-2</c:v>
                </c:pt>
                <c:pt idx="94">
                  <c:v>9.0720920046334586E-2</c:v>
                </c:pt>
                <c:pt idx="95">
                  <c:v>9.0827791743260278E-2</c:v>
                </c:pt>
                <c:pt idx="96">
                  <c:v>9.0907631351771712E-2</c:v>
                </c:pt>
                <c:pt idx="97">
                  <c:v>9.1851035672529502E-2</c:v>
                </c:pt>
                <c:pt idx="98">
                  <c:v>9.1878998167011838E-2</c:v>
                </c:pt>
                <c:pt idx="99">
                  <c:v>9.2767704404896345E-2</c:v>
                </c:pt>
                <c:pt idx="100">
                  <c:v>9.2741981242683735E-2</c:v>
                </c:pt>
                <c:pt idx="101">
                  <c:v>9.3577177276133683E-2</c:v>
                </c:pt>
                <c:pt idx="102">
                  <c:v>9.438370687958697E-2</c:v>
                </c:pt>
                <c:pt idx="103">
                  <c:v>9.4278839965121652E-2</c:v>
                </c:pt>
                <c:pt idx="104">
                  <c:v>9.5032146462869505E-2</c:v>
                </c:pt>
                <c:pt idx="105">
                  <c:v>9.5756930618273395E-2</c:v>
                </c:pt>
                <c:pt idx="106">
                  <c:v>9.5573368799728664E-2</c:v>
                </c:pt>
                <c:pt idx="107">
                  <c:v>9.6245226259137673E-2</c:v>
                </c:pt>
                <c:pt idx="108">
                  <c:v>9.6009780926162192E-2</c:v>
                </c:pt>
                <c:pt idx="109">
                  <c:v>9.6626915454895657E-2</c:v>
                </c:pt>
                <c:pt idx="110">
                  <c:v>9.6340798141664186E-2</c:v>
                </c:pt>
                <c:pt idx="111">
                  <c:v>9.6904417491303407E-2</c:v>
                </c:pt>
                <c:pt idx="112">
                  <c:v>9.7440869305713496E-2</c:v>
                </c:pt>
                <c:pt idx="113">
                  <c:v>9.7077159655761358E-2</c:v>
                </c:pt>
                <c:pt idx="114">
                  <c:v>9.7560414494351155E-2</c:v>
                </c:pt>
                <c:pt idx="115">
                  <c:v>9.8016660812064949E-2</c:v>
                </c:pt>
                <c:pt idx="116">
                  <c:v>9.670475156714009E-2</c:v>
                </c:pt>
                <c:pt idx="117">
                  <c:v>9.7109113759391907E-2</c:v>
                </c:pt>
                <c:pt idx="118">
                  <c:v>9.7486632555456088E-2</c:v>
                </c:pt>
                <c:pt idx="119">
                  <c:v>9.7838363297550468E-2</c:v>
                </c:pt>
                <c:pt idx="120">
                  <c:v>9.729520818712345E-2</c:v>
                </c:pt>
                <c:pt idx="121">
                  <c:v>9.7593520992746985E-2</c:v>
                </c:pt>
                <c:pt idx="122">
                  <c:v>9.7866215320916439E-2</c:v>
                </c:pt>
                <c:pt idx="123">
                  <c:v>9.8111348405164445E-2</c:v>
                </c:pt>
                <c:pt idx="124">
                  <c:v>9.8329978148222197E-2</c:v>
                </c:pt>
                <c:pt idx="125">
                  <c:v>9.7660975360573832E-2</c:v>
                </c:pt>
                <c:pt idx="126">
                  <c:v>9.7827770501030864E-2</c:v>
                </c:pt>
                <c:pt idx="127">
                  <c:v>9.8828431071556255E-2</c:v>
                </c:pt>
                <c:pt idx="128">
                  <c:v>9.8942633606178165E-2</c:v>
                </c:pt>
                <c:pt idx="129">
                  <c:v>9.9029629005648379E-2</c:v>
                </c:pt>
                <c:pt idx="130">
                  <c:v>9.9090477005854161E-2</c:v>
                </c:pt>
                <c:pt idx="131">
                  <c:v>9.9126239495796464E-2</c:v>
                </c:pt>
                <c:pt idx="132">
                  <c:v>9.9134977986247819E-2</c:v>
                </c:pt>
                <c:pt idx="133">
                  <c:v>9.9117754860861274E-2</c:v>
                </c:pt>
                <c:pt idx="134">
                  <c:v>9.9075631950493515E-2</c:v>
                </c:pt>
                <c:pt idx="135">
                  <c:v>9.9006673093642084E-2</c:v>
                </c:pt>
                <c:pt idx="136">
                  <c:v>9.8911941663266223E-2</c:v>
                </c:pt>
                <c:pt idx="137">
                  <c:v>9.8792501614275663E-2</c:v>
                </c:pt>
                <c:pt idx="138">
                  <c:v>9.8646417687179966E-2</c:v>
                </c:pt>
                <c:pt idx="139">
                  <c:v>9.8474755262629943E-2</c:v>
                </c:pt>
                <c:pt idx="140">
                  <c:v>9.9125671507661828E-2</c:v>
                </c:pt>
                <c:pt idx="141">
                  <c:v>9.8902032255044237E-2</c:v>
                </c:pt>
                <c:pt idx="142">
                  <c:v>9.8653011374328914E-2</c:v>
                </c:pt>
                <c:pt idx="143">
                  <c:v>9.8379675293639224E-2</c:v>
                </c:pt>
                <c:pt idx="144">
                  <c:v>9.8080091634100031E-2</c:v>
                </c:pt>
                <c:pt idx="145">
                  <c:v>9.7755328336868175E-2</c:v>
                </c:pt>
                <c:pt idx="146">
                  <c:v>9.8247430569711414E-2</c:v>
                </c:pt>
                <c:pt idx="147">
                  <c:v>9.7871490928142624E-2</c:v>
                </c:pt>
                <c:pt idx="148">
                  <c:v>9.7470577014537652E-2</c:v>
                </c:pt>
                <c:pt idx="149">
                  <c:v>9.7883661135370614E-2</c:v>
                </c:pt>
                <c:pt idx="150">
                  <c:v>9.7431982248849192E-2</c:v>
                </c:pt>
                <c:pt idx="151">
                  <c:v>9.7791385804948838E-2</c:v>
                </c:pt>
                <c:pt idx="152">
                  <c:v>9.8125036485192663E-2</c:v>
                </c:pt>
                <c:pt idx="153">
                  <c:v>9.7597218591950252E-2</c:v>
                </c:pt>
                <c:pt idx="154">
                  <c:v>9.704484885487652E-2</c:v>
                </c:pt>
                <c:pt idx="155">
                  <c:v>9.7300721880480889E-2</c:v>
                </c:pt>
                <c:pt idx="156">
                  <c:v>9.6698433889143454E-2</c:v>
                </c:pt>
                <c:pt idx="157">
                  <c:v>9.6901464805155602E-2</c:v>
                </c:pt>
                <c:pt idx="158">
                  <c:v>9.6250547927827501E-2</c:v>
                </c:pt>
                <c:pt idx="159">
                  <c:v>9.6402024007544052E-2</c:v>
                </c:pt>
                <c:pt idx="160">
                  <c:v>9.5700771424211517E-2</c:v>
                </c:pt>
                <c:pt idx="161">
                  <c:v>9.5801983490748865E-2</c:v>
                </c:pt>
                <c:pt idx="162">
                  <c:v>9.5051691640229086E-2</c:v>
                </c:pt>
                <c:pt idx="163">
                  <c:v>9.510093415383114E-2</c:v>
                </c:pt>
                <c:pt idx="164">
                  <c:v>9.4302904072220972E-2</c:v>
                </c:pt>
                <c:pt idx="165">
                  <c:v>9.4301474984745726E-2</c:v>
                </c:pt>
                <c:pt idx="166">
                  <c:v>9.4274300587505744E-2</c:v>
                </c:pt>
                <c:pt idx="167">
                  <c:v>9.3403211169115652E-2</c:v>
                </c:pt>
                <c:pt idx="168">
                  <c:v>9.3325818208902955E-2</c:v>
                </c:pt>
                <c:pt idx="169">
                  <c:v>9.3222906385263204E-2</c:v>
                </c:pt>
                <c:pt idx="170">
                  <c:v>9.2279451328329598E-2</c:v>
                </c:pt>
                <c:pt idx="171">
                  <c:v>9.2126781617773768E-2</c:v>
                </c:pt>
                <c:pt idx="172">
                  <c:v>9.2762824668722876E-2</c:v>
                </c:pt>
                <c:pt idx="173">
                  <c:v>9.2559605432050107E-2</c:v>
                </c:pt>
                <c:pt idx="174">
                  <c:v>9.1518358765784402E-2</c:v>
                </c:pt>
                <c:pt idx="175">
                  <c:v>9.1265006322687858E-2</c:v>
                </c:pt>
                <c:pt idx="176">
                  <c:v>9.0987678865589006E-2</c:v>
                </c:pt>
                <c:pt idx="177">
                  <c:v>9.0684456265345936E-2</c:v>
                </c:pt>
                <c:pt idx="178">
                  <c:v>8.95487426979793E-2</c:v>
                </c:pt>
                <c:pt idx="179">
                  <c:v>8.9198026658553697E-2</c:v>
                </c:pt>
                <c:pt idx="180">
                  <c:v>8.8821656398001103E-2</c:v>
                </c:pt>
                <c:pt idx="181">
                  <c:v>8.8420713503916559E-2</c:v>
                </c:pt>
                <c:pt idx="182">
                  <c:v>8.7192837214949748E-2</c:v>
                </c:pt>
                <c:pt idx="183">
                  <c:v>8.6744053989821435E-2</c:v>
                </c:pt>
                <c:pt idx="184">
                  <c:v>8.6270944639758929E-2</c:v>
                </c:pt>
                <c:pt idx="185">
                  <c:v>8.5774591043348059E-2</c:v>
                </c:pt>
                <c:pt idx="186">
                  <c:v>8.5253076999523891E-2</c:v>
                </c:pt>
                <c:pt idx="187">
                  <c:v>8.5505612645216056E-2</c:v>
                </c:pt>
                <c:pt idx="188">
                  <c:v>8.4935962819903787E-2</c:v>
                </c:pt>
                <c:pt idx="189">
                  <c:v>8.434140291114578E-2</c:v>
                </c:pt>
                <c:pt idx="190">
                  <c:v>8.3723017881755402E-2</c:v>
                </c:pt>
                <c:pt idx="191">
                  <c:v>8.308189304373359E-2</c:v>
                </c:pt>
                <c:pt idx="192">
                  <c:v>8.3208903639113485E-2</c:v>
                </c:pt>
                <c:pt idx="193">
                  <c:v>8.251848643576154E-2</c:v>
                </c:pt>
                <c:pt idx="194">
                  <c:v>8.2596234691939996E-2</c:v>
                </c:pt>
                <c:pt idx="195">
                  <c:v>8.1857867171410525E-2</c:v>
                </c:pt>
                <c:pt idx="196">
                  <c:v>8.1096190184806405E-2</c:v>
                </c:pt>
                <c:pt idx="197">
                  <c:v>8.0312290440797129E-2</c:v>
                </c:pt>
                <c:pt idx="198">
                  <c:v>8.0290613808107203E-2</c:v>
                </c:pt>
                <c:pt idx="199">
                  <c:v>7.9458459641985391E-2</c:v>
                </c:pt>
                <c:pt idx="200">
                  <c:v>7.8604346670616998E-2</c:v>
                </c:pt>
                <c:pt idx="201">
                  <c:v>7.8509495884921066E-2</c:v>
                </c:pt>
                <c:pt idx="202">
                  <c:v>7.7607657690592191E-2</c:v>
                </c:pt>
                <c:pt idx="203">
                  <c:v>7.6684128454888034E-2</c:v>
                </c:pt>
                <c:pt idx="204">
                  <c:v>7.651689724945232E-2</c:v>
                </c:pt>
                <c:pt idx="205">
                  <c:v>7.5546178463998359E-2</c:v>
                </c:pt>
                <c:pt idx="206">
                  <c:v>7.5331778918599879E-2</c:v>
                </c:pt>
                <c:pt idx="207">
                  <c:v>7.431523150085706E-2</c:v>
                </c:pt>
                <c:pt idx="208">
                  <c:v>7.4052023252699772E-2</c:v>
                </c:pt>
                <c:pt idx="209">
                  <c:v>7.2991010535168765E-2</c:v>
                </c:pt>
                <c:pt idx="210">
                  <c:v>7.2680356102044374E-2</c:v>
                </c:pt>
                <c:pt idx="211">
                  <c:v>7.1573244603322372E-2</c:v>
                </c:pt>
                <c:pt idx="212">
                  <c:v>7.1987752666331728E-2</c:v>
                </c:pt>
                <c:pt idx="213">
                  <c:v>7.1604986246561753E-2</c:v>
                </c:pt>
                <c:pt idx="214">
                  <c:v>7.0429293810734928E-2</c:v>
                </c:pt>
                <c:pt idx="215">
                  <c:v>7.0000997931675579E-2</c:v>
                </c:pt>
                <c:pt idx="216">
                  <c:v>6.9548033080296445E-2</c:v>
                </c:pt>
                <c:pt idx="217">
                  <c:v>6.8305680565711624E-2</c:v>
                </c:pt>
                <c:pt idx="218">
                  <c:v>6.7807745307593592E-2</c:v>
                </c:pt>
                <c:pt idx="219">
                  <c:v>6.6521785240490461E-2</c:v>
                </c:pt>
                <c:pt idx="220">
                  <c:v>6.597725636543017E-2</c:v>
                </c:pt>
                <c:pt idx="221">
                  <c:v>6.5410527690367593E-2</c:v>
                </c:pt>
                <c:pt idx="222">
                  <c:v>6.4059325870994055E-2</c:v>
                </c:pt>
                <c:pt idx="223">
                  <c:v>6.3446573062754918E-2</c:v>
                </c:pt>
                <c:pt idx="224">
                  <c:v>6.28119055019003E-2</c:v>
                </c:pt>
                <c:pt idx="225">
                  <c:v>6.215341878620162E-2</c:v>
                </c:pt>
                <c:pt idx="226">
                  <c:v>6.1472209429924041E-2</c:v>
                </c:pt>
                <c:pt idx="227">
                  <c:v>6.0769373554553141E-2</c:v>
                </c:pt>
                <c:pt idx="228">
                  <c:v>6.0043007412501792E-2</c:v>
                </c:pt>
                <c:pt idx="229">
                  <c:v>5.9294208230924239E-2</c:v>
                </c:pt>
                <c:pt idx="230">
                  <c:v>5.9275695720902188E-2</c:v>
                </c:pt>
                <c:pt idx="231">
                  <c:v>5.8481226979579137E-2</c:v>
                </c:pt>
                <c:pt idx="232">
                  <c:v>5.7664617112995753E-2</c:v>
                </c:pt>
                <c:pt idx="233">
                  <c:v>5.6826964832244808E-2</c:v>
                </c:pt>
                <c:pt idx="234">
                  <c:v>5.5966368033722569E-2</c:v>
                </c:pt>
                <c:pt idx="235">
                  <c:v>5.5083925850434978E-2</c:v>
                </c:pt>
                <c:pt idx="236">
                  <c:v>5.4925779295051935E-2</c:v>
                </c:pt>
                <c:pt idx="237">
                  <c:v>5.3998845945778973E-2</c:v>
                </c:pt>
                <c:pt idx="238">
                  <c:v>5.3050364988996179E-2</c:v>
                </c:pt>
                <c:pt idx="239">
                  <c:v>5.2081436357888755E-2</c:v>
                </c:pt>
                <c:pt idx="240">
                  <c:v>5.1830806042511668E-2</c:v>
                </c:pt>
                <c:pt idx="241">
                  <c:v>5.0817183557596124E-2</c:v>
                </c:pt>
                <c:pt idx="242">
                  <c:v>4.9783414929119196E-2</c:v>
                </c:pt>
                <c:pt idx="243">
                  <c:v>4.9464944773677244E-2</c:v>
                </c:pt>
                <c:pt idx="244">
                  <c:v>4.8387086342221552E-2</c:v>
                </c:pt>
                <c:pt idx="245">
                  <c:v>4.7289385174729137E-2</c:v>
                </c:pt>
                <c:pt idx="246">
                  <c:v>4.6903982332032523E-2</c:v>
                </c:pt>
                <c:pt idx="247">
                  <c:v>4.6495735660350146E-2</c:v>
                </c:pt>
                <c:pt idx="248">
                  <c:v>4.6065746649522232E-2</c:v>
                </c:pt>
                <c:pt idx="249">
                  <c:v>4.4881390943464439E-2</c:v>
                </c:pt>
                <c:pt idx="250">
                  <c:v>4.4406327797393175E-2</c:v>
                </c:pt>
                <c:pt idx="251">
                  <c:v>4.2452789272796387E-2</c:v>
                </c:pt>
                <c:pt idx="252">
                  <c:v>4.1935167705182241E-2</c:v>
                </c:pt>
                <c:pt idx="253">
                  <c:v>4.0669004283790944E-2</c:v>
                </c:pt>
                <c:pt idx="254">
                  <c:v>4.0109132807709447E-2</c:v>
                </c:pt>
                <c:pt idx="255">
                  <c:v>3.9526238208688724E-2</c:v>
                </c:pt>
                <c:pt idx="256">
                  <c:v>3.8198428577751908E-2</c:v>
                </c:pt>
                <c:pt idx="257">
                  <c:v>3.7573906524868139E-2</c:v>
                </c:pt>
                <c:pt idx="258">
                  <c:v>3.6926673631097362E-2</c:v>
                </c:pt>
                <c:pt idx="259">
                  <c:v>3.5538157255510239E-2</c:v>
                </c:pt>
                <c:pt idx="260">
                  <c:v>3.484992404706766E-2</c:v>
                </c:pt>
                <c:pt idx="261">
                  <c:v>3.4139294505707962E-2</c:v>
                </c:pt>
                <c:pt idx="262">
                  <c:v>3.3407373947521357E-2</c:v>
                </c:pt>
                <c:pt idx="263">
                  <c:v>3.2655267848623382E-2</c:v>
                </c:pt>
                <c:pt idx="264">
                  <c:v>3.2595220763733668E-2</c:v>
                </c:pt>
                <c:pt idx="265">
                  <c:v>3.1085921689690377E-2</c:v>
                </c:pt>
                <c:pt idx="266">
                  <c:v>3.0270893862153425E-2</c:v>
                </c:pt>
                <c:pt idx="267">
                  <c:v>2.943410460975171E-2</c:v>
                </c:pt>
                <c:pt idx="268">
                  <c:v>2.8576660441549606E-2</c:v>
                </c:pt>
                <c:pt idx="269">
                  <c:v>2.7699668259404397E-2</c:v>
                </c:pt>
                <c:pt idx="270">
                  <c:v>2.6801235270690338E-2</c:v>
                </c:pt>
                <c:pt idx="271">
                  <c:v>2.5882468682807858E-2</c:v>
                </c:pt>
                <c:pt idx="272">
                  <c:v>2.4944475892257234E-2</c:v>
                </c:pt>
                <c:pt idx="273">
                  <c:v>2.4689523980182315E-2</c:v>
                </c:pt>
                <c:pt idx="274">
                  <c:v>2.3709292805366822E-2</c:v>
                </c:pt>
                <c:pt idx="275">
                  <c:v>2.2710158999514451E-2</c:v>
                </c:pt>
                <c:pt idx="276">
                  <c:v>2.1690230759325857E-2</c:v>
                </c:pt>
                <c:pt idx="277">
                  <c:v>1.9950895613914721E-2</c:v>
                </c:pt>
                <c:pt idx="278">
                  <c:v>1.9592425872133834E-2</c:v>
                </c:pt>
                <c:pt idx="279">
                  <c:v>1.8513767058779163E-2</c:v>
                </c:pt>
                <c:pt idx="280">
                  <c:v>1.7415748750960081E-2</c:v>
                </c:pt>
                <c:pt idx="281">
                  <c:v>1.69947603157099E-2</c:v>
                </c:pt>
                <c:pt idx="282">
                  <c:v>1.6551409765453329E-2</c:v>
                </c:pt>
                <c:pt idx="283">
                  <c:v>1.539375025457046E-2</c:v>
                </c:pt>
                <c:pt idx="284">
                  <c:v>1.491011546338461E-2</c:v>
                </c:pt>
                <c:pt idx="285">
                  <c:v>1.371361359286416E-2</c:v>
                </c:pt>
                <c:pt idx="286">
                  <c:v>1.3188134650768735E-2</c:v>
                </c:pt>
                <c:pt idx="287">
                  <c:v>1.1954230816157985E-2</c:v>
                </c:pt>
                <c:pt idx="288">
                  <c:v>1.1388348526037095E-2</c:v>
                </c:pt>
                <c:pt idx="289">
                  <c:v>1.0115484563166355E-2</c:v>
                </c:pt>
                <c:pt idx="290">
                  <c:v>9.5106417065116133E-3</c:v>
                </c:pt>
                <c:pt idx="291">
                  <c:v>8.2002606587203708E-3</c:v>
                </c:pt>
                <c:pt idx="292">
                  <c:v>7.554900831713951E-3</c:v>
                </c:pt>
                <c:pt idx="293">
                  <c:v>6.8903935236113156E-3</c:v>
                </c:pt>
                <c:pt idx="294">
                  <c:v>5.5240155963720561E-3</c:v>
                </c:pt>
                <c:pt idx="295">
                  <c:v>4.8196597600957958E-3</c:v>
                </c:pt>
                <c:pt idx="296">
                  <c:v>4.0964912602956538E-3</c:v>
                </c:pt>
                <c:pt idx="297">
                  <c:v>4.0301226641834553E-3</c:v>
                </c:pt>
                <c:pt idx="298">
                  <c:v>2.589165278302108E-3</c:v>
                </c:pt>
                <c:pt idx="299">
                  <c:v>1.1319522173875995E-3</c:v>
                </c:pt>
                <c:pt idx="300">
                  <c:v>3.3076633481865514E-4</c:v>
                </c:pt>
                <c:pt idx="301">
                  <c:v>4.8967094738072703E-4</c:v>
                </c:pt>
                <c:pt idx="302">
                  <c:v>1.3282465151673861E-3</c:v>
                </c:pt>
                <c:pt idx="303">
                  <c:v>2.1868480983018301E-3</c:v>
                </c:pt>
                <c:pt idx="304">
                  <c:v>3.0643621317367753E-3</c:v>
                </c:pt>
                <c:pt idx="305">
                  <c:v>3.9596760688196397E-3</c:v>
                </c:pt>
                <c:pt idx="306">
                  <c:v>4.8746766645604289E-3</c:v>
                </c:pt>
                <c:pt idx="307">
                  <c:v>5.8082499174649804E-3</c:v>
                </c:pt>
                <c:pt idx="308">
                  <c:v>6.7592829317142389E-3</c:v>
                </c:pt>
                <c:pt idx="309">
                  <c:v>7.7296620404241345E-3</c:v>
                </c:pt>
                <c:pt idx="310">
                  <c:v>8.7182736930762061E-3</c:v>
                </c:pt>
                <c:pt idx="311">
                  <c:v>9.7240038590991063E-3</c:v>
                </c:pt>
                <c:pt idx="312">
                  <c:v>1.0087890940806421E-2</c:v>
                </c:pt>
                <c:pt idx="313">
                  <c:v>1.0471888448763789E-2</c:v>
                </c:pt>
                <c:pt idx="314">
                  <c:v>1.1533507966775769E-2</c:v>
                </c:pt>
                <c:pt idx="315">
                  <c:v>1.1956271353263048E-2</c:v>
                </c:pt>
                <c:pt idx="316">
                  <c:v>1.3055208947308383E-2</c:v>
                </c:pt>
                <c:pt idx="317">
                  <c:v>1.4170579387184024E-2</c:v>
                </c:pt>
                <c:pt idx="318">
                  <c:v>1.5304268715038649E-2</c:v>
                </c:pt>
                <c:pt idx="319">
                  <c:v>1.6455162318350425E-2</c:v>
                </c:pt>
                <c:pt idx="320">
                  <c:v>1.7622145235399511E-2</c:v>
                </c:pt>
                <c:pt idx="321">
                  <c:v>1.8156231319881755E-2</c:v>
                </c:pt>
                <c:pt idx="322">
                  <c:v>1.9359156147825018E-2</c:v>
                </c:pt>
                <c:pt idx="323">
                  <c:v>1.9929168578203704E-2</c:v>
                </c:pt>
                <c:pt idx="324">
                  <c:v>2.0519024412033904E-2</c:v>
                </c:pt>
                <c:pt idx="325">
                  <c:v>2.1774050791744326E-2</c:v>
                </c:pt>
                <c:pt idx="326">
                  <c:v>2.2399139724216255E-2</c:v>
                </c:pt>
                <c:pt idx="327">
                  <c:v>2.3043724687267009E-2</c:v>
                </c:pt>
                <c:pt idx="328">
                  <c:v>2.370668945349097E-2</c:v>
                </c:pt>
                <c:pt idx="329">
                  <c:v>2.4386918537434799E-2</c:v>
                </c:pt>
                <c:pt idx="330">
                  <c:v>2.5086294969731693E-2</c:v>
                </c:pt>
                <c:pt idx="331">
                  <c:v>2.5803702712105192E-2</c:v>
                </c:pt>
                <c:pt idx="332">
                  <c:v>2.7176727570766168E-2</c:v>
                </c:pt>
                <c:pt idx="333">
                  <c:v>2.7928744283199247E-2</c:v>
                </c:pt>
                <c:pt idx="334">
                  <c:v>2.8698443070632962E-2</c:v>
                </c:pt>
                <c:pt idx="335">
                  <c:v>3.0120099578567761E-2</c:v>
                </c:pt>
                <c:pt idx="336">
                  <c:v>3.0923710087990219E-2</c:v>
                </c:pt>
                <c:pt idx="337">
                  <c:v>3.1744653626470054E-2</c:v>
                </c:pt>
                <c:pt idx="338">
                  <c:v>3.2581813268270032E-2</c:v>
                </c:pt>
                <c:pt idx="339">
                  <c:v>3.3437072698685455E-2</c:v>
                </c:pt>
                <c:pt idx="340">
                  <c:v>3.4309314759207066E-2</c:v>
                </c:pt>
                <c:pt idx="341">
                  <c:v>3.5197423149694984E-2</c:v>
                </c:pt>
                <c:pt idx="342">
                  <c:v>3.6103280377007607E-2</c:v>
                </c:pt>
                <c:pt idx="343">
                  <c:v>3.5772617768873083E-2</c:v>
                </c:pt>
                <c:pt idx="344">
                  <c:v>3.6712822575519777E-2</c:v>
                </c:pt>
                <c:pt idx="345">
                  <c:v>3.7670425179916922E-2</c:v>
                </c:pt>
                <c:pt idx="346">
                  <c:v>3.8644308510854763E-2</c:v>
                </c:pt>
                <c:pt idx="347">
                  <c:v>3.9011178880053787E-2</c:v>
                </c:pt>
                <c:pt idx="348">
                  <c:v>4.0018370856904184E-2</c:v>
                </c:pt>
                <c:pt idx="349">
                  <c:v>4.1041492550306202E-2</c:v>
                </c:pt>
                <c:pt idx="350">
                  <c:v>4.2079426903594896E-2</c:v>
                </c:pt>
                <c:pt idx="351">
                  <c:v>4.3134056860099967E-2</c:v>
                </c:pt>
                <c:pt idx="352">
                  <c:v>4.3587574348153524E-2</c:v>
                </c:pt>
                <c:pt idx="353">
                  <c:v>4.4673340361625069E-2</c:v>
                </c:pt>
                <c:pt idx="354">
                  <c:v>4.5160951179737729E-2</c:v>
                </c:pt>
                <c:pt idx="355">
                  <c:v>4.627938335042181E-2</c:v>
                </c:pt>
                <c:pt idx="356">
                  <c:v>4.679961570752722E-2</c:v>
                </c:pt>
                <c:pt idx="357">
                  <c:v>4.7949244368457045E-2</c:v>
                </c:pt>
                <c:pt idx="358">
                  <c:v>4.7893504933197217E-2</c:v>
                </c:pt>
                <c:pt idx="359">
                  <c:v>4.8464925317020402E-2</c:v>
                </c:pt>
                <c:pt idx="360">
                  <c:v>4.9054170946034148E-2</c:v>
                </c:pt>
                <c:pt idx="361">
                  <c:v>5.0266965196386515E-2</c:v>
                </c:pt>
                <c:pt idx="362">
                  <c:v>5.0887414561665345E-2</c:v>
                </c:pt>
                <c:pt idx="363">
                  <c:v>5.2129994584601658E-2</c:v>
                </c:pt>
                <c:pt idx="364">
                  <c:v>5.2783176142423116E-2</c:v>
                </c:pt>
                <c:pt idx="365">
                  <c:v>5.3451591624483097E-2</c:v>
                </c:pt>
                <c:pt idx="366">
                  <c:v>5.4137123523100961E-2</c:v>
                </c:pt>
                <c:pt idx="367">
                  <c:v>5.4838652730290871E-2</c:v>
                </c:pt>
                <c:pt idx="368">
                  <c:v>5.5555060923661692E-2</c:v>
                </c:pt>
                <c:pt idx="369">
                  <c:v>5.6288230159078356E-2</c:v>
                </c:pt>
                <c:pt idx="370">
                  <c:v>5.7037041786827114E-2</c:v>
                </c:pt>
                <c:pt idx="371">
                  <c:v>5.7800377848243656E-2</c:v>
                </c:pt>
                <c:pt idx="372">
                  <c:v>5.8580119999104063E-2</c:v>
                </c:pt>
                <c:pt idx="373">
                  <c:v>5.8781368031665338E-2</c:v>
                </c:pt>
                <c:pt idx="374">
                  <c:v>5.9591652045224652E-2</c:v>
                </c:pt>
                <c:pt idx="375">
                  <c:v>5.9826374481239508E-2</c:v>
                </c:pt>
                <c:pt idx="376">
                  <c:v>6.1259255735165663E-2</c:v>
                </c:pt>
                <c:pt idx="377">
                  <c:v>6.2114339065015844E-2</c:v>
                </c:pt>
                <c:pt idx="378">
                  <c:v>6.239675314712434E-2</c:v>
                </c:pt>
                <c:pt idx="379">
                  <c:v>6.3283194039252422E-2</c:v>
                </c:pt>
                <c:pt idx="380">
                  <c:v>6.4183096180290722E-2</c:v>
                </c:pt>
                <c:pt idx="381">
                  <c:v>6.4513216216866009E-2</c:v>
                </c:pt>
                <c:pt idx="382">
                  <c:v>6.5443766058612685E-2</c:v>
                </c:pt>
                <c:pt idx="383">
                  <c:v>6.5804455701741205E-2</c:v>
                </c:pt>
                <c:pt idx="384">
                  <c:v>6.6182291047431896E-2</c:v>
                </c:pt>
                <c:pt idx="385">
                  <c:v>6.7156963543423487E-2</c:v>
                </c:pt>
                <c:pt idx="386">
                  <c:v>6.7564654313219119E-2</c:v>
                </c:pt>
                <c:pt idx="387">
                  <c:v>6.9146453140509934E-2</c:v>
                </c:pt>
                <c:pt idx="388">
                  <c:v>6.9006863623067627E-2</c:v>
                </c:pt>
                <c:pt idx="389">
                  <c:v>6.946048503147173E-2</c:v>
                </c:pt>
                <c:pt idx="390">
                  <c:v>6.9930536810660193E-2</c:v>
                </c:pt>
                <c:pt idx="391">
                  <c:v>7.0990263424212774E-2</c:v>
                </c:pt>
                <c:pt idx="392">
                  <c:v>7.1488746590771868E-2</c:v>
                </c:pt>
                <c:pt idx="393">
                  <c:v>7.2003303684295528E-2</c:v>
                </c:pt>
                <c:pt idx="394">
                  <c:v>7.2532815975039799E-2</c:v>
                </c:pt>
                <c:pt idx="395">
                  <c:v>7.3076164740533578E-2</c:v>
                </c:pt>
                <c:pt idx="396">
                  <c:v>7.3635230843693389E-2</c:v>
                </c:pt>
                <c:pt idx="397">
                  <c:v>7.4208896093055365E-2</c:v>
                </c:pt>
                <c:pt idx="398">
                  <c:v>7.536291696239994E-2</c:v>
                </c:pt>
                <c:pt idx="399">
                  <c:v>7.5964358002319265E-2</c:v>
                </c:pt>
                <c:pt idx="400">
                  <c:v>7.6015300381222506E-2</c:v>
                </c:pt>
                <c:pt idx="401">
                  <c:v>7.664517667112225E-2</c:v>
                </c:pt>
                <c:pt idx="402">
                  <c:v>7.7290060626238333E-2</c:v>
                </c:pt>
                <c:pt idx="403">
                  <c:v>7.7387284711926796E-2</c:v>
                </c:pt>
                <c:pt idx="404">
                  <c:v>7.749940619483553E-2</c:v>
                </c:pt>
                <c:pt idx="405">
                  <c:v>7.8187727056666656E-2</c:v>
                </c:pt>
                <c:pt idx="406">
                  <c:v>7.8889582337820396E-2</c:v>
                </c:pt>
                <c:pt idx="407">
                  <c:v>7.9046552288894123E-2</c:v>
                </c:pt>
                <c:pt idx="408">
                  <c:v>8.0332425800107021E-2</c:v>
                </c:pt>
                <c:pt idx="409">
                  <c:v>8.0518993520766191E-2</c:v>
                </c:pt>
                <c:pt idx="410">
                  <c:v>8.1273868724263565E-2</c:v>
                </c:pt>
                <c:pt idx="411">
                  <c:v>8.1489620043424082E-2</c:v>
                </c:pt>
                <c:pt idx="412">
                  <c:v>8.2272327702685999E-2</c:v>
                </c:pt>
                <c:pt idx="413">
                  <c:v>8.2515787875988789E-2</c:v>
                </c:pt>
                <c:pt idx="414">
                  <c:v>8.2774951820526521E-2</c:v>
                </c:pt>
                <c:pt idx="415">
                  <c:v>8.3597552374304662E-2</c:v>
                </c:pt>
                <c:pt idx="416">
                  <c:v>8.3883714023871292E-2</c:v>
                </c:pt>
                <c:pt idx="417">
                  <c:v>8.4731971680280349E-2</c:v>
                </c:pt>
                <c:pt idx="418">
                  <c:v>8.4500961273882069E-2</c:v>
                </c:pt>
                <c:pt idx="419">
                  <c:v>8.4829809727633876E-2</c:v>
                </c:pt>
                <c:pt idx="420">
                  <c:v>8.5173649523268669E-2</c:v>
                </c:pt>
                <c:pt idx="421">
                  <c:v>8.6073912508116912E-2</c:v>
                </c:pt>
                <c:pt idx="422">
                  <c:v>8.644333346448807E-2</c:v>
                </c:pt>
                <c:pt idx="423">
                  <c:v>8.6286935316159497E-2</c:v>
                </c:pt>
                <c:pt idx="424">
                  <c:v>8.6685558753988978E-2</c:v>
                </c:pt>
                <c:pt idx="425">
                  <c:v>8.7096583318426735E-2</c:v>
                </c:pt>
                <c:pt idx="426">
                  <c:v>8.8059215431603111E-2</c:v>
                </c:pt>
                <c:pt idx="427">
                  <c:v>8.8496647040254839E-2</c:v>
                </c:pt>
                <c:pt idx="428">
                  <c:v>8.8946128379999045E-2</c:v>
                </c:pt>
                <c:pt idx="429">
                  <c:v>8.8875340724859253E-2</c:v>
                </c:pt>
                <c:pt idx="430">
                  <c:v>8.9352608852849791E-2</c:v>
                </c:pt>
                <c:pt idx="431">
                  <c:v>8.9841574283495262E-2</c:v>
                </c:pt>
                <c:pt idx="432">
                  <c:v>8.928195163500785E-2</c:v>
                </c:pt>
                <c:pt idx="433">
                  <c:v>8.979903437969039E-2</c:v>
                </c:pt>
                <c:pt idx="434">
                  <c:v>9.0856475777630674E-2</c:v>
                </c:pt>
                <c:pt idx="435">
                  <c:v>9.0869121443066359E-2</c:v>
                </c:pt>
                <c:pt idx="436">
                  <c:v>9.0895949303968493E-2</c:v>
                </c:pt>
                <c:pt idx="437">
                  <c:v>9.1461751782307754E-2</c:v>
                </c:pt>
                <c:pt idx="438">
                  <c:v>9.1515554913648156E-2</c:v>
                </c:pt>
                <c:pt idx="439">
                  <c:v>9.2107034686923495E-2</c:v>
                </c:pt>
                <c:pt idx="440">
                  <c:v>9.2186343450824548E-2</c:v>
                </c:pt>
                <c:pt idx="441">
                  <c:v>9.2280243205622892E-2</c:v>
                </c:pt>
                <c:pt idx="442">
                  <c:v>9.290838060073936E-2</c:v>
                </c:pt>
                <c:pt idx="443">
                  <c:v>9.3027082404181005E-2</c:v>
                </c:pt>
                <c:pt idx="444">
                  <c:v>9.3678735983998784E-2</c:v>
                </c:pt>
                <c:pt idx="445">
                  <c:v>9.3823773129706911E-2</c:v>
                </c:pt>
                <c:pt idx="446">
                  <c:v>9.398081556834148E-2</c:v>
                </c:pt>
                <c:pt idx="447">
                  <c:v>9.3636103693741202E-2</c:v>
                </c:pt>
                <c:pt idx="448">
                  <c:v>9.3820826375184296E-2</c:v>
                </c:pt>
                <c:pt idx="449">
                  <c:v>9.4017202117501419E-2</c:v>
                </c:pt>
                <c:pt idx="450">
                  <c:v>9.4227114787846844E-2</c:v>
                </c:pt>
                <c:pt idx="451">
                  <c:v>9.444944767871144E-2</c:v>
                </c:pt>
                <c:pt idx="452">
                  <c:v>9.4683084540856832E-2</c:v>
                </c:pt>
                <c:pt idx="453">
                  <c:v>9.4929909794280398E-2</c:v>
                </c:pt>
                <c:pt idx="454">
                  <c:v>9.4680292556460266E-2</c:v>
                </c:pt>
                <c:pt idx="455">
                  <c:v>9.4951160699605186E-2</c:v>
                </c:pt>
                <c:pt idx="456">
                  <c:v>9.5234869082817308E-2</c:v>
                </c:pt>
                <c:pt idx="457">
                  <c:v>9.5530303479093526E-2</c:v>
                </c:pt>
                <c:pt idx="458">
                  <c:v>9.5836348104758162E-2</c:v>
                </c:pt>
                <c:pt idx="459">
                  <c:v>9.5651430595606879E-2</c:v>
                </c:pt>
                <c:pt idx="460">
                  <c:v>9.5982360346902329E-2</c:v>
                </c:pt>
                <c:pt idx="461">
                  <c:v>9.5822113477695314E-2</c:v>
                </c:pt>
                <c:pt idx="462">
                  <c:v>9.5175596677098628E-2</c:v>
                </c:pt>
                <c:pt idx="463">
                  <c:v>9.5542994782428892E-2</c:v>
                </c:pt>
                <c:pt idx="464">
                  <c:v>9.5920314823616959E-2</c:v>
                </c:pt>
                <c:pt idx="465">
                  <c:v>9.5812018507102525E-2</c:v>
                </c:pt>
                <c:pt idx="466">
                  <c:v>9.5716419362299465E-2</c:v>
                </c:pt>
                <c:pt idx="467">
                  <c:v>9.6127822600563739E-2</c:v>
                </c:pt>
                <c:pt idx="468">
                  <c:v>9.605626972708059E-2</c:v>
                </c:pt>
                <c:pt idx="469">
                  <c:v>9.5997066819744958E-2</c:v>
                </c:pt>
                <c:pt idx="470">
                  <c:v>9.6441525917664084E-2</c:v>
                </c:pt>
                <c:pt idx="471">
                  <c:v>9.6405679820615653E-2</c:v>
                </c:pt>
                <c:pt idx="472">
                  <c:v>9.6381838593678992E-2</c:v>
                </c:pt>
                <c:pt idx="473">
                  <c:v>9.636888666411636E-2</c:v>
                </c:pt>
                <c:pt idx="474">
                  <c:v>9.5880258031784571E-2</c:v>
                </c:pt>
                <c:pt idx="475">
                  <c:v>9.5892732094845723E-2</c:v>
                </c:pt>
                <c:pt idx="476">
                  <c:v>9.5915750515635168E-2</c:v>
                </c:pt>
                <c:pt idx="477">
                  <c:v>9.6436681923909529E-2</c:v>
                </c:pt>
                <c:pt idx="478">
                  <c:v>9.5513471970206432E-2</c:v>
                </c:pt>
                <c:pt idx="479">
                  <c:v>9.5571426689831984E-2</c:v>
                </c:pt>
                <c:pt idx="480">
                  <c:v>9.5158948921204356E-2</c:v>
                </c:pt>
                <c:pt idx="481">
                  <c:v>9.5240950707763616E-2</c:v>
                </c:pt>
                <c:pt idx="482">
                  <c:v>9.4852260052903148E-2</c:v>
                </c:pt>
                <c:pt idx="483">
                  <c:v>9.5436425089973298E-2</c:v>
                </c:pt>
                <c:pt idx="484">
                  <c:v>9.5072079577555257E-2</c:v>
                </c:pt>
                <c:pt idx="485">
                  <c:v>9.5196829723620091E-2</c:v>
                </c:pt>
                <c:pt idx="486">
                  <c:v>9.485635490479627E-2</c:v>
                </c:pt>
                <c:pt idx="487">
                  <c:v>9.4528132748578741E-2</c:v>
                </c:pt>
                <c:pt idx="488">
                  <c:v>9.4211048293266764E-2</c:v>
                </c:pt>
                <c:pt idx="489">
                  <c:v>9.4380693483386402E-2</c:v>
                </c:pt>
                <c:pt idx="490">
                  <c:v>9.4560300940341513E-2</c:v>
                </c:pt>
                <c:pt idx="491">
                  <c:v>9.4276995816307441E-2</c:v>
                </c:pt>
                <c:pt idx="492">
                  <c:v>9.4006372699980467E-2</c:v>
                </c:pt>
                <c:pt idx="493">
                  <c:v>9.3277495292767298E-2</c:v>
                </c:pt>
                <c:pt idx="494">
                  <c:v>9.3029862738181812E-2</c:v>
                </c:pt>
                <c:pt idx="495">
                  <c:v>9.2794570117685105E-2</c:v>
                </c:pt>
                <c:pt idx="496">
                  <c:v>9.257050397534794E-2</c:v>
                </c:pt>
                <c:pt idx="497">
                  <c:v>9.2356551677228005E-2</c:v>
                </c:pt>
                <c:pt idx="498">
                  <c:v>9.2154600374783513E-2</c:v>
                </c:pt>
                <c:pt idx="499">
                  <c:v>9.149950850381483E-2</c:v>
                </c:pt>
                <c:pt idx="500">
                  <c:v>9.1782252748907389E-2</c:v>
                </c:pt>
                <c:pt idx="501">
                  <c:v>9.1612632608796929E-2</c:v>
                </c:pt>
                <c:pt idx="502">
                  <c:v>9.0992413383647275E-2</c:v>
                </c:pt>
                <c:pt idx="503">
                  <c:v>9.0843745664740183E-2</c:v>
                </c:pt>
                <c:pt idx="504">
                  <c:v>9.0247168748279094E-2</c:v>
                </c:pt>
                <c:pt idx="505">
                  <c:v>9.0121004493298074E-2</c:v>
                </c:pt>
                <c:pt idx="506">
                  <c:v>9.0003947920356708E-2</c:v>
                </c:pt>
                <c:pt idx="507">
                  <c:v>8.9441508804858572E-2</c:v>
                </c:pt>
                <c:pt idx="508">
                  <c:v>8.8435430926232073E-2</c:v>
                </c:pt>
                <c:pt idx="509">
                  <c:v>8.8350883839368066E-2</c:v>
                </c:pt>
                <c:pt idx="510">
                  <c:v>8.8277001682164347E-2</c:v>
                </c:pt>
                <c:pt idx="511">
                  <c:v>8.7760090795695689E-2</c:v>
                </c:pt>
                <c:pt idx="512">
                  <c:v>8.725351755921551E-2</c:v>
                </c:pt>
                <c:pt idx="513">
                  <c:v>8.6759169713404916E-2</c:v>
                </c:pt>
                <c:pt idx="514">
                  <c:v>8.6275934878906391E-2</c:v>
                </c:pt>
                <c:pt idx="515">
                  <c:v>8.6251511242835477E-2</c:v>
                </c:pt>
                <c:pt idx="516">
                  <c:v>8.5789226842776678E-2</c:v>
                </c:pt>
                <c:pt idx="517">
                  <c:v>8.4890791636675011E-2</c:v>
                </c:pt>
                <c:pt idx="518">
                  <c:v>8.4449893197408699E-2</c:v>
                </c:pt>
                <c:pt idx="519">
                  <c:v>8.4020551572055346E-2</c:v>
                </c:pt>
                <c:pt idx="520">
                  <c:v>8.4045777763532392E-2</c:v>
                </c:pt>
                <c:pt idx="521">
                  <c:v>8.3192096330761522E-2</c:v>
                </c:pt>
                <c:pt idx="522">
                  <c:v>8.2793762851665065E-2</c:v>
                </c:pt>
                <c:pt idx="523">
                  <c:v>8.1964221861300146E-2</c:v>
                </c:pt>
                <c:pt idx="524">
                  <c:v>8.1585941877731827E-2</c:v>
                </c:pt>
                <c:pt idx="525">
                  <c:v>8.077909317990617E-2</c:v>
                </c:pt>
                <c:pt idx="526">
                  <c:v>8.042242521427756E-2</c:v>
                </c:pt>
                <c:pt idx="527">
                  <c:v>7.9636823188766748E-2</c:v>
                </c:pt>
                <c:pt idx="528">
                  <c:v>7.8863640768191523E-2</c:v>
                </c:pt>
                <c:pt idx="529">
                  <c:v>7.8537529523750038E-2</c:v>
                </c:pt>
                <c:pt idx="530">
                  <c:v>7.8219770926913235E-2</c:v>
                </c:pt>
                <c:pt idx="531">
                  <c:v>7.7478334672647975E-2</c:v>
                </c:pt>
                <c:pt idx="532">
                  <c:v>7.6747874605345601E-2</c:v>
                </c:pt>
                <c:pt idx="533">
                  <c:v>7.6459365922396216E-2</c:v>
                </c:pt>
                <c:pt idx="534">
                  <c:v>7.5749609984606892E-2</c:v>
                </c:pt>
                <c:pt idx="535">
                  <c:v>7.5050500650000629E-2</c:v>
                </c:pt>
                <c:pt idx="536">
                  <c:v>7.436092767785496E-2</c:v>
                </c:pt>
                <c:pt idx="537">
                  <c:v>7.3254354410468459E-2</c:v>
                </c:pt>
                <c:pt idx="538">
                  <c:v>7.3014953984279707E-2</c:v>
                </c:pt>
                <c:pt idx="539">
                  <c:v>7.2356335116422699E-2</c:v>
                </c:pt>
                <c:pt idx="540">
                  <c:v>7.0857420538640525E-2</c:v>
                </c:pt>
                <c:pt idx="541">
                  <c:v>7.0221707497007735E-2</c:v>
                </c:pt>
                <c:pt idx="542">
                  <c:v>7.0018761370162608E-2</c:v>
                </c:pt>
                <c:pt idx="543">
                  <c:v>6.8978817973541773E-2</c:v>
                </c:pt>
                <c:pt idx="544">
                  <c:v>6.8372426396794417E-2</c:v>
                </c:pt>
                <c:pt idx="545">
                  <c:v>6.7353417272213889E-2</c:v>
                </c:pt>
                <c:pt idx="546">
                  <c:v>6.6766937271954596E-2</c:v>
                </c:pt>
                <c:pt idx="547">
                  <c:v>6.6189802035869327E-2</c:v>
                </c:pt>
                <c:pt idx="548">
                  <c:v>6.5202424388680846E-2</c:v>
                </c:pt>
                <c:pt idx="549">
                  <c:v>6.4226971470658256E-2</c:v>
                </c:pt>
                <c:pt idx="550">
                  <c:v>6.3679023233778942E-2</c:v>
                </c:pt>
                <c:pt idx="551">
                  <c:v>6.2723197396778119E-2</c:v>
                </c:pt>
                <c:pt idx="552">
                  <c:v>6.1778969585758681E-2</c:v>
                </c:pt>
                <c:pt idx="553">
                  <c:v>6.0845230900249625E-2</c:v>
                </c:pt>
                <c:pt idx="554">
                  <c:v>6.0333998045208226E-2</c:v>
                </c:pt>
                <c:pt idx="555">
                  <c:v>5.942002489086029E-2</c:v>
                </c:pt>
                <c:pt idx="556">
                  <c:v>5.8516217969623696E-2</c:v>
                </c:pt>
                <c:pt idx="557">
                  <c:v>5.7211003828133933E-2</c:v>
                </c:pt>
                <c:pt idx="558">
                  <c:v>5.6328090627007832E-2</c:v>
                </c:pt>
                <c:pt idx="559">
                  <c:v>5.5455020650196474E-2</c:v>
                </c:pt>
                <c:pt idx="560">
                  <c:v>5.4182869056092819E-2</c:v>
                </c:pt>
                <c:pt idx="561">
                  <c:v>5.3736984823360423E-2</c:v>
                </c:pt>
                <c:pt idx="562">
                  <c:v>5.2892806789033742E-2</c:v>
                </c:pt>
                <c:pt idx="563">
                  <c:v>5.1651862328252918E-2</c:v>
                </c:pt>
                <c:pt idx="564">
                  <c:v>5.0422982589818588E-2</c:v>
                </c:pt>
                <c:pt idx="565">
                  <c:v>5.0011929670824351E-2</c:v>
                </c:pt>
                <c:pt idx="566">
                  <c:v>4.8802105546520202E-2</c:v>
                </c:pt>
                <c:pt idx="567">
                  <c:v>4.7604022206489738E-2</c:v>
                </c:pt>
                <c:pt idx="568">
                  <c:v>4.6817394372968835E-2</c:v>
                </c:pt>
                <c:pt idx="569">
                  <c:v>4.5638599400132485E-2</c:v>
                </c:pt>
                <c:pt idx="570">
                  <c:v>4.4471222899269414E-2</c:v>
                </c:pt>
                <c:pt idx="571">
                  <c:v>4.3314157423405497E-2</c:v>
                </c:pt>
                <c:pt idx="572">
                  <c:v>4.2563654773731585E-2</c:v>
                </c:pt>
                <c:pt idx="573">
                  <c:v>4.1426028216310584E-2</c:v>
                </c:pt>
                <c:pt idx="574">
                  <c:v>3.9902759813395861E-2</c:v>
                </c:pt>
                <c:pt idx="575">
                  <c:v>3.9179647530424688E-2</c:v>
                </c:pt>
                <c:pt idx="576">
                  <c:v>3.8071681765484477E-2</c:v>
                </c:pt>
                <c:pt idx="577">
                  <c:v>3.6580332044160002E-2</c:v>
                </c:pt>
                <c:pt idx="578">
                  <c:v>3.5491468491974487E-2</c:v>
                </c:pt>
                <c:pt idx="579">
                  <c:v>3.4413069889452252E-2</c:v>
                </c:pt>
                <c:pt idx="580">
                  <c:v>3.3344031961175524E-2</c:v>
                </c:pt>
                <c:pt idx="581">
                  <c:v>3.1893604442181811E-2</c:v>
                </c:pt>
                <c:pt idx="582">
                  <c:v>3.1232622940717825E-2</c:v>
                </c:pt>
                <c:pt idx="583">
                  <c:v>2.9803095830362558E-2</c:v>
                </c:pt>
                <c:pt idx="584">
                  <c:v>2.838320988026144E-2</c:v>
                </c:pt>
                <c:pt idx="585">
                  <c:v>2.7361113511533475E-2</c:v>
                </c:pt>
                <c:pt idx="586">
                  <c:v>2.6347756581368564E-2</c:v>
                </c:pt>
                <c:pt idx="587">
                  <c:v>2.495746699687551E-2</c:v>
                </c:pt>
                <c:pt idx="588">
                  <c:v>2.3962124169409904E-2</c:v>
                </c:pt>
                <c:pt idx="589">
                  <c:v>2.2592325218997011E-2</c:v>
                </c:pt>
                <c:pt idx="590">
                  <c:v>2.1231534937413699E-2</c:v>
                </c:pt>
                <c:pt idx="591">
                  <c:v>1.950043595315698E-2</c:v>
                </c:pt>
                <c:pt idx="592">
                  <c:v>1.8161184389416718E-2</c:v>
                </c:pt>
                <c:pt idx="593">
                  <c:v>1.6830626280707861E-2</c:v>
                </c:pt>
                <c:pt idx="594">
                  <c:v>1.5889367849791114E-2</c:v>
                </c:pt>
                <c:pt idx="595">
                  <c:v>1.4200175244859281E-2</c:v>
                </c:pt>
                <c:pt idx="596">
                  <c:v>1.2898075598610781E-2</c:v>
                </c:pt>
                <c:pt idx="597">
                  <c:v>1.1606255996925441E-2</c:v>
                </c:pt>
                <c:pt idx="598">
                  <c:v>1.0323613881110916E-2</c:v>
                </c:pt>
                <c:pt idx="599">
                  <c:v>8.674478990316814E-3</c:v>
                </c:pt>
                <c:pt idx="600">
                  <c:v>2.2676892994066833E-3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94-4BD7-A0B3-B59481ABF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3806112"/>
        <c:axId val="2063805632"/>
      </c:scatterChart>
      <c:valAx>
        <c:axId val="206380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5632"/>
        <c:crosses val="autoZero"/>
        <c:crossBetween val="midCat"/>
      </c:valAx>
      <c:valAx>
        <c:axId val="20638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6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Cal_Error!#REF!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Cal_Error!#REF!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667-4728-AFF2-45B39A3C8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808032"/>
        <c:axId val="2063807552"/>
      </c:lineChart>
      <c:catAx>
        <c:axId val="2063808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7552"/>
        <c:crosses val="autoZero"/>
        <c:auto val="1"/>
        <c:lblAlgn val="ctr"/>
        <c:lblOffset val="100"/>
        <c:noMultiLvlLbl val="0"/>
      </c:catAx>
      <c:valAx>
        <c:axId val="206380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23812</xdr:colOff>
      <xdr:row>1</xdr:row>
      <xdr:rowOff>14287</xdr:rowOff>
    </xdr:from>
    <xdr:to>
      <xdr:col>19</xdr:col>
      <xdr:colOff>328612</xdr:colOff>
      <xdr:row>14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37B5BF-FF63-F3AC-BFFB-6E7BC4D073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</xdr:colOff>
      <xdr:row>14</xdr:row>
      <xdr:rowOff>61912</xdr:rowOff>
    </xdr:from>
    <xdr:to>
      <xdr:col>19</xdr:col>
      <xdr:colOff>333375</xdr:colOff>
      <xdr:row>27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6B6A5D-B0CF-8194-2515-6ADB0F532D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38100</xdr:colOff>
      <xdr:row>28</xdr:row>
      <xdr:rowOff>23812</xdr:rowOff>
    </xdr:from>
    <xdr:to>
      <xdr:col>19</xdr:col>
      <xdr:colOff>342900</xdr:colOff>
      <xdr:row>41</xdr:row>
      <xdr:rowOff>42862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FA0159-7B79-4646-F474-F06CC91B69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ocument_forme\project_tiny\Cource_report\DTUD\BigProject1\00_spec\test\PROJECT.xlsx" TargetMode="External"/><Relationship Id="rId1" Type="http://schemas.openxmlformats.org/officeDocument/2006/relationships/externalLinkPath" Target="/Document_forme/project_tiny/Cource_report/DTUD/BigProject1/00_spec/test/PROJE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B2">
            <v>293.14999999999998</v>
          </cell>
          <cell r="D2">
            <v>2.2186499999999998</v>
          </cell>
        </row>
        <row r="3">
          <cell r="B3">
            <v>293.25</v>
          </cell>
          <cell r="D3">
            <v>2.2171099999999999</v>
          </cell>
        </row>
        <row r="4">
          <cell r="B4">
            <v>293.35000000000002</v>
          </cell>
          <cell r="D4">
            <v>2.21556</v>
          </cell>
        </row>
        <row r="5">
          <cell r="B5">
            <v>293.45</v>
          </cell>
          <cell r="D5">
            <v>2.214</v>
          </cell>
        </row>
        <row r="6">
          <cell r="B6">
            <v>293.55</v>
          </cell>
          <cell r="D6">
            <v>2.21191</v>
          </cell>
        </row>
        <row r="7">
          <cell r="B7">
            <v>293.64999999999998</v>
          </cell>
          <cell r="D7">
            <v>2.21034</v>
          </cell>
        </row>
        <row r="8">
          <cell r="B8">
            <v>293.75</v>
          </cell>
          <cell r="D8">
            <v>2.2084999999999999</v>
          </cell>
        </row>
        <row r="9">
          <cell r="B9">
            <v>293.85000000000002</v>
          </cell>
          <cell r="D9">
            <v>2.2066499999999998</v>
          </cell>
        </row>
        <row r="10">
          <cell r="B10">
            <v>293.95</v>
          </cell>
          <cell r="D10">
            <v>2.2045300000000001</v>
          </cell>
        </row>
        <row r="11">
          <cell r="B11">
            <v>294.05</v>
          </cell>
          <cell r="D11">
            <v>2.2029299999999998</v>
          </cell>
        </row>
        <row r="12">
          <cell r="B12">
            <v>294.14999999999998</v>
          </cell>
          <cell r="D12">
            <v>2.20106</v>
          </cell>
        </row>
        <row r="13">
          <cell r="B13">
            <v>294.25</v>
          </cell>
          <cell r="D13">
            <v>2.1994400000000001</v>
          </cell>
        </row>
        <row r="14">
          <cell r="B14">
            <v>294.35000000000002</v>
          </cell>
          <cell r="D14">
            <v>2.1975600000000002</v>
          </cell>
        </row>
        <row r="15">
          <cell r="B15">
            <v>294.45</v>
          </cell>
          <cell r="D15">
            <v>2.1959300000000002</v>
          </cell>
        </row>
        <row r="16">
          <cell r="B16">
            <v>294.55</v>
          </cell>
          <cell r="D16">
            <v>2.1937600000000002</v>
          </cell>
        </row>
        <row r="17">
          <cell r="B17">
            <v>294.64999999999998</v>
          </cell>
          <cell r="D17">
            <v>2.1918600000000001</v>
          </cell>
        </row>
        <row r="18">
          <cell r="B18">
            <v>294.75</v>
          </cell>
          <cell r="D18">
            <v>2.18994</v>
          </cell>
        </row>
        <row r="19">
          <cell r="B19">
            <v>294.85000000000002</v>
          </cell>
          <cell r="D19">
            <v>2.1882799999999998</v>
          </cell>
        </row>
        <row r="20">
          <cell r="B20">
            <v>294.95</v>
          </cell>
          <cell r="D20">
            <v>2.18635</v>
          </cell>
        </row>
        <row r="21">
          <cell r="B21">
            <v>295.05</v>
          </cell>
          <cell r="D21">
            <v>2.1846700000000001</v>
          </cell>
        </row>
        <row r="22">
          <cell r="B22">
            <v>295.14999999999998</v>
          </cell>
          <cell r="D22">
            <v>2.1827299999999998</v>
          </cell>
        </row>
        <row r="23">
          <cell r="B23">
            <v>295.25</v>
          </cell>
          <cell r="D23">
            <v>2.1810399999999999</v>
          </cell>
        </row>
        <row r="24">
          <cell r="B24">
            <v>295.35000000000002</v>
          </cell>
          <cell r="D24">
            <v>2.1785600000000001</v>
          </cell>
        </row>
        <row r="25">
          <cell r="B25">
            <v>295.45</v>
          </cell>
          <cell r="D25">
            <v>2.1773699999999998</v>
          </cell>
        </row>
        <row r="26">
          <cell r="B26">
            <v>295.55</v>
          </cell>
          <cell r="D26">
            <v>2.1748799999999999</v>
          </cell>
        </row>
        <row r="27">
          <cell r="B27">
            <v>295.64999999999998</v>
          </cell>
          <cell r="D27">
            <v>2.1731600000000002</v>
          </cell>
        </row>
        <row r="28">
          <cell r="B28">
            <v>295.75</v>
          </cell>
          <cell r="D28">
            <v>2.17117</v>
          </cell>
        </row>
        <row r="29">
          <cell r="B29">
            <v>295.85000000000002</v>
          </cell>
          <cell r="D29">
            <v>2.1694300000000002</v>
          </cell>
        </row>
        <row r="30">
          <cell r="B30">
            <v>295.95</v>
          </cell>
          <cell r="D30">
            <v>2.16743</v>
          </cell>
        </row>
        <row r="31">
          <cell r="B31">
            <v>296.05</v>
          </cell>
          <cell r="D31">
            <v>2.16568</v>
          </cell>
        </row>
        <row r="32">
          <cell r="B32">
            <v>296.14999999999998</v>
          </cell>
          <cell r="D32">
            <v>2.1636600000000001</v>
          </cell>
        </row>
        <row r="33">
          <cell r="B33">
            <v>296.25</v>
          </cell>
          <cell r="D33">
            <v>2.1618900000000001</v>
          </cell>
        </row>
        <row r="34">
          <cell r="B34">
            <v>296.35000000000002</v>
          </cell>
          <cell r="D34">
            <v>2.1598600000000001</v>
          </cell>
        </row>
        <row r="35">
          <cell r="B35">
            <v>296.45</v>
          </cell>
          <cell r="D35">
            <v>2.1578200000000001</v>
          </cell>
        </row>
        <row r="36">
          <cell r="B36">
            <v>296.55</v>
          </cell>
          <cell r="D36">
            <v>2.1560299999999999</v>
          </cell>
        </row>
        <row r="37">
          <cell r="B37">
            <v>296.64999999999998</v>
          </cell>
          <cell r="D37">
            <v>2.1542400000000002</v>
          </cell>
        </row>
        <row r="38">
          <cell r="B38">
            <v>296.75</v>
          </cell>
          <cell r="D38">
            <v>2.1521699999999999</v>
          </cell>
        </row>
        <row r="39">
          <cell r="B39">
            <v>296.85000000000002</v>
          </cell>
          <cell r="D39">
            <v>2.1501100000000002</v>
          </cell>
        </row>
        <row r="40">
          <cell r="B40">
            <v>296.95</v>
          </cell>
          <cell r="D40">
            <v>2.1482899999999998</v>
          </cell>
        </row>
        <row r="41">
          <cell r="B41">
            <v>297.05</v>
          </cell>
          <cell r="D41">
            <v>2.1464599999999998</v>
          </cell>
        </row>
        <row r="42">
          <cell r="B42">
            <v>297.14999999999998</v>
          </cell>
          <cell r="D42">
            <v>2.1443699999999999</v>
          </cell>
        </row>
        <row r="43">
          <cell r="B43">
            <v>297.25</v>
          </cell>
          <cell r="D43">
            <v>2.1427800000000001</v>
          </cell>
        </row>
        <row r="44">
          <cell r="B44">
            <v>297.35000000000002</v>
          </cell>
          <cell r="D44">
            <v>2.14093</v>
          </cell>
        </row>
        <row r="45">
          <cell r="B45">
            <v>297.45</v>
          </cell>
          <cell r="D45">
            <v>2.1388199999999999</v>
          </cell>
        </row>
        <row r="46">
          <cell r="B46">
            <v>297.55</v>
          </cell>
          <cell r="D46">
            <v>2.1366999999999998</v>
          </cell>
        </row>
        <row r="47">
          <cell r="B47">
            <v>297.64999999999998</v>
          </cell>
          <cell r="D47">
            <v>2.13483</v>
          </cell>
        </row>
        <row r="48">
          <cell r="B48">
            <v>297.75</v>
          </cell>
          <cell r="D48">
            <v>2.1329500000000001</v>
          </cell>
        </row>
        <row r="49">
          <cell r="B49">
            <v>297.85000000000002</v>
          </cell>
          <cell r="D49">
            <v>2.1305499999999999</v>
          </cell>
        </row>
        <row r="50">
          <cell r="B50">
            <v>297.95</v>
          </cell>
          <cell r="D50">
            <v>2.12866</v>
          </cell>
        </row>
        <row r="51">
          <cell r="B51">
            <v>298.05</v>
          </cell>
          <cell r="D51">
            <v>2.1272600000000002</v>
          </cell>
        </row>
        <row r="52">
          <cell r="B52">
            <v>298.14999999999998</v>
          </cell>
          <cell r="D52">
            <v>2.1248499999999999</v>
          </cell>
        </row>
        <row r="53">
          <cell r="B53">
            <v>298.25</v>
          </cell>
          <cell r="D53">
            <v>2.1229300000000002</v>
          </cell>
        </row>
        <row r="54">
          <cell r="B54">
            <v>298.35000000000002</v>
          </cell>
          <cell r="D54">
            <v>2.121</v>
          </cell>
        </row>
        <row r="55">
          <cell r="B55">
            <v>298.45</v>
          </cell>
          <cell r="D55">
            <v>2.1190699999999998</v>
          </cell>
        </row>
        <row r="56">
          <cell r="B56">
            <v>298.55</v>
          </cell>
          <cell r="D56">
            <v>2.1168800000000001</v>
          </cell>
        </row>
        <row r="57">
          <cell r="B57">
            <v>298.64999999999998</v>
          </cell>
          <cell r="D57">
            <v>2.1146799999999999</v>
          </cell>
        </row>
        <row r="58">
          <cell r="B58">
            <v>298.75</v>
          </cell>
          <cell r="D58">
            <v>2.1132300000000002</v>
          </cell>
        </row>
        <row r="59">
          <cell r="B59">
            <v>298.85000000000002</v>
          </cell>
          <cell r="D59">
            <v>2.11076</v>
          </cell>
        </row>
        <row r="60">
          <cell r="B60">
            <v>298.95</v>
          </cell>
          <cell r="D60">
            <v>2.1088</v>
          </cell>
        </row>
        <row r="61">
          <cell r="B61">
            <v>299.05</v>
          </cell>
          <cell r="D61">
            <v>2.1068199999999999</v>
          </cell>
        </row>
        <row r="62">
          <cell r="B62">
            <v>299.14999999999998</v>
          </cell>
          <cell r="D62">
            <v>2.1048300000000002</v>
          </cell>
        </row>
        <row r="63">
          <cell r="B63">
            <v>299.25</v>
          </cell>
          <cell r="D63">
            <v>2.10284</v>
          </cell>
        </row>
        <row r="64">
          <cell r="B64">
            <v>299.35000000000002</v>
          </cell>
          <cell r="D64">
            <v>2.1003400000000001</v>
          </cell>
        </row>
        <row r="65">
          <cell r="B65">
            <v>299.45</v>
          </cell>
          <cell r="D65">
            <v>2.09884</v>
          </cell>
        </row>
        <row r="66">
          <cell r="B66">
            <v>299.55</v>
          </cell>
          <cell r="D66">
            <v>2.0965699999999998</v>
          </cell>
        </row>
        <row r="67">
          <cell r="B67">
            <v>299.64999999999998</v>
          </cell>
          <cell r="D67">
            <v>2.0943000000000001</v>
          </cell>
        </row>
        <row r="68">
          <cell r="B68">
            <v>299.75</v>
          </cell>
          <cell r="D68">
            <v>2.0927699999999998</v>
          </cell>
        </row>
        <row r="69">
          <cell r="B69">
            <v>299.85000000000002</v>
          </cell>
          <cell r="D69">
            <v>2.09049</v>
          </cell>
        </row>
        <row r="70">
          <cell r="B70">
            <v>299.95</v>
          </cell>
          <cell r="D70">
            <v>2.0884399999999999</v>
          </cell>
        </row>
        <row r="71">
          <cell r="B71">
            <v>300.05</v>
          </cell>
          <cell r="D71">
            <v>2.0861399999999999</v>
          </cell>
        </row>
        <row r="72">
          <cell r="B72">
            <v>300.14999999999998</v>
          </cell>
          <cell r="D72">
            <v>2.08433</v>
          </cell>
        </row>
        <row r="73">
          <cell r="B73">
            <v>300.25</v>
          </cell>
          <cell r="D73">
            <v>2.0822699999999998</v>
          </cell>
        </row>
        <row r="74">
          <cell r="B74">
            <v>300.35000000000002</v>
          </cell>
          <cell r="D74">
            <v>2.0799500000000002</v>
          </cell>
        </row>
        <row r="75">
          <cell r="B75">
            <v>300.45</v>
          </cell>
          <cell r="D75">
            <v>2.0781100000000001</v>
          </cell>
        </row>
        <row r="76">
          <cell r="B76">
            <v>300.55</v>
          </cell>
          <cell r="D76">
            <v>2.0765199999999999</v>
          </cell>
        </row>
        <row r="77">
          <cell r="B77">
            <v>300.64999999999998</v>
          </cell>
          <cell r="D77">
            <v>2.0741700000000001</v>
          </cell>
        </row>
        <row r="78">
          <cell r="B78">
            <v>300.75</v>
          </cell>
          <cell r="D78">
            <v>2.0720700000000001</v>
          </cell>
        </row>
        <row r="79">
          <cell r="B79">
            <v>300.85000000000002</v>
          </cell>
          <cell r="D79">
            <v>2.0702099999999999</v>
          </cell>
        </row>
        <row r="80">
          <cell r="B80">
            <v>300.95</v>
          </cell>
          <cell r="D80">
            <v>2.0678399999999999</v>
          </cell>
        </row>
        <row r="81">
          <cell r="B81">
            <v>301.05</v>
          </cell>
          <cell r="D81">
            <v>2.0657199999999998</v>
          </cell>
        </row>
        <row r="82">
          <cell r="B82">
            <v>301.14999999999998</v>
          </cell>
          <cell r="D82">
            <v>2.0633400000000002</v>
          </cell>
        </row>
        <row r="83">
          <cell r="B83">
            <v>301.25</v>
          </cell>
          <cell r="D83">
            <v>2.06169</v>
          </cell>
        </row>
        <row r="84">
          <cell r="B84">
            <v>301.35000000000002</v>
          </cell>
          <cell r="D84">
            <v>2.0595500000000002</v>
          </cell>
        </row>
        <row r="85">
          <cell r="B85">
            <v>301.45</v>
          </cell>
          <cell r="D85">
            <v>2.0573899999999998</v>
          </cell>
        </row>
        <row r="86">
          <cell r="B86">
            <v>301.55</v>
          </cell>
          <cell r="D86">
            <v>2.0552299999999999</v>
          </cell>
        </row>
        <row r="87">
          <cell r="B87">
            <v>301.64999999999998</v>
          </cell>
          <cell r="D87">
            <v>2.0530599999999999</v>
          </cell>
        </row>
        <row r="88">
          <cell r="B88">
            <v>301.75</v>
          </cell>
          <cell r="D88">
            <v>2.0508799999999998</v>
          </cell>
        </row>
        <row r="89">
          <cell r="B89">
            <v>301.85000000000002</v>
          </cell>
          <cell r="D89">
            <v>2.0491899999999998</v>
          </cell>
        </row>
        <row r="90">
          <cell r="B90">
            <v>301.95</v>
          </cell>
          <cell r="D90">
            <v>2.0467499999999998</v>
          </cell>
        </row>
        <row r="91">
          <cell r="B91">
            <v>302.05</v>
          </cell>
          <cell r="D91">
            <v>2.0443099999999998</v>
          </cell>
        </row>
        <row r="92">
          <cell r="B92">
            <v>302.14999999999998</v>
          </cell>
          <cell r="D92">
            <v>2.0425900000000001</v>
          </cell>
        </row>
        <row r="93">
          <cell r="B93">
            <v>302.25</v>
          </cell>
          <cell r="D93">
            <v>2.0403799999999999</v>
          </cell>
        </row>
        <row r="94">
          <cell r="B94">
            <v>302.35000000000002</v>
          </cell>
          <cell r="D94">
            <v>2.03816</v>
          </cell>
        </row>
        <row r="95">
          <cell r="B95">
            <v>302.45</v>
          </cell>
          <cell r="D95">
            <v>2.0359400000000001</v>
          </cell>
        </row>
        <row r="96">
          <cell r="B96">
            <v>302.55</v>
          </cell>
          <cell r="D96">
            <v>2.0339399999999999</v>
          </cell>
        </row>
        <row r="97">
          <cell r="B97">
            <v>302.64999999999998</v>
          </cell>
          <cell r="D97">
            <v>2.03146</v>
          </cell>
        </row>
        <row r="98">
          <cell r="B98">
            <v>302.75</v>
          </cell>
          <cell r="D98">
            <v>2.02969</v>
          </cell>
        </row>
        <row r="99">
          <cell r="B99">
            <v>302.85000000000002</v>
          </cell>
          <cell r="D99">
            <v>2.0274399999999999</v>
          </cell>
        </row>
        <row r="100">
          <cell r="B100">
            <v>302.95</v>
          </cell>
          <cell r="D100">
            <v>2.0251800000000002</v>
          </cell>
        </row>
        <row r="101">
          <cell r="B101">
            <v>303.05</v>
          </cell>
          <cell r="D101">
            <v>2.02339</v>
          </cell>
        </row>
        <row r="102">
          <cell r="B102">
            <v>303.14999999999998</v>
          </cell>
          <cell r="D102">
            <v>2.0208699999999999</v>
          </cell>
        </row>
        <row r="103">
          <cell r="B103">
            <v>303.25</v>
          </cell>
          <cell r="D103">
            <v>2.0188199999999998</v>
          </cell>
        </row>
        <row r="104">
          <cell r="B104">
            <v>303.35000000000002</v>
          </cell>
          <cell r="D104">
            <v>2.01701</v>
          </cell>
        </row>
        <row r="105">
          <cell r="B105">
            <v>303.45</v>
          </cell>
          <cell r="D105">
            <v>2.01471</v>
          </cell>
        </row>
        <row r="106">
          <cell r="B106">
            <v>303.55</v>
          </cell>
          <cell r="D106">
            <v>2.01241</v>
          </cell>
        </row>
        <row r="107">
          <cell r="B107">
            <v>303.64999999999998</v>
          </cell>
          <cell r="D107">
            <v>2.0103300000000002</v>
          </cell>
        </row>
        <row r="108">
          <cell r="B108">
            <v>303.75</v>
          </cell>
          <cell r="D108">
            <v>2.0080100000000001</v>
          </cell>
        </row>
        <row r="109">
          <cell r="B109">
            <v>303.85000000000002</v>
          </cell>
          <cell r="D109">
            <v>2.0059200000000001</v>
          </cell>
        </row>
        <row r="110">
          <cell r="B110">
            <v>303.95</v>
          </cell>
          <cell r="D110">
            <v>2.00359</v>
          </cell>
        </row>
        <row r="111">
          <cell r="B111">
            <v>304.05</v>
          </cell>
          <cell r="D111">
            <v>2.00149</v>
          </cell>
        </row>
        <row r="112">
          <cell r="B112">
            <v>304.14999999999998</v>
          </cell>
          <cell r="D112">
            <v>1.9993700000000001</v>
          </cell>
        </row>
        <row r="113">
          <cell r="B113">
            <v>304.25</v>
          </cell>
          <cell r="D113">
            <v>1.99678</v>
          </cell>
        </row>
        <row r="114">
          <cell r="B114">
            <v>304.35000000000002</v>
          </cell>
          <cell r="D114">
            <v>1.9946600000000001</v>
          </cell>
        </row>
        <row r="115">
          <cell r="B115">
            <v>304.45</v>
          </cell>
          <cell r="D115">
            <v>1.9927600000000001</v>
          </cell>
        </row>
        <row r="116">
          <cell r="B116">
            <v>304.55</v>
          </cell>
          <cell r="D116">
            <v>1.9901500000000001</v>
          </cell>
        </row>
        <row r="117">
          <cell r="B117">
            <v>304.64999999999998</v>
          </cell>
          <cell r="D117">
            <v>1.988</v>
          </cell>
        </row>
        <row r="118">
          <cell r="B118">
            <v>304.75</v>
          </cell>
          <cell r="D118">
            <v>1.9860800000000001</v>
          </cell>
        </row>
        <row r="119">
          <cell r="B119">
            <v>304.85000000000002</v>
          </cell>
          <cell r="D119">
            <v>1.9839199999999999</v>
          </cell>
        </row>
        <row r="120">
          <cell r="B120">
            <v>304.95</v>
          </cell>
          <cell r="D120">
            <v>1.9812799999999999</v>
          </cell>
        </row>
        <row r="121">
          <cell r="B121">
            <v>305.05</v>
          </cell>
          <cell r="D121">
            <v>1.9791000000000001</v>
          </cell>
        </row>
        <row r="122">
          <cell r="B122">
            <v>305.14999999999998</v>
          </cell>
          <cell r="D122">
            <v>1.97715</v>
          </cell>
        </row>
        <row r="123">
          <cell r="B123">
            <v>305.25</v>
          </cell>
          <cell r="D123">
            <v>1.97496</v>
          </cell>
        </row>
        <row r="124">
          <cell r="B124">
            <v>305.35000000000002</v>
          </cell>
          <cell r="D124">
            <v>1.9722900000000001</v>
          </cell>
        </row>
        <row r="125">
          <cell r="B125">
            <v>305.45</v>
          </cell>
          <cell r="D125">
            <v>1.9703200000000001</v>
          </cell>
        </row>
        <row r="126">
          <cell r="B126">
            <v>305.55</v>
          </cell>
          <cell r="D126">
            <v>1.9678800000000001</v>
          </cell>
        </row>
        <row r="127">
          <cell r="B127">
            <v>305.64999999999998</v>
          </cell>
          <cell r="D127">
            <v>1.9654199999999999</v>
          </cell>
        </row>
        <row r="128">
          <cell r="B128">
            <v>305.75</v>
          </cell>
          <cell r="D128">
            <v>1.96343</v>
          </cell>
        </row>
        <row r="129">
          <cell r="B129">
            <v>305.85000000000002</v>
          </cell>
          <cell r="D129">
            <v>1.96143</v>
          </cell>
        </row>
        <row r="130">
          <cell r="B130">
            <v>305.95</v>
          </cell>
          <cell r="D130">
            <v>1.9594199999999999</v>
          </cell>
        </row>
        <row r="131">
          <cell r="B131">
            <v>306.05</v>
          </cell>
          <cell r="D131">
            <v>1.9569399999999999</v>
          </cell>
        </row>
        <row r="132">
          <cell r="B132">
            <v>306.14999999999998</v>
          </cell>
          <cell r="D132">
            <v>1.95445</v>
          </cell>
        </row>
        <row r="133">
          <cell r="B133">
            <v>306.25</v>
          </cell>
          <cell r="D133">
            <v>1.95242</v>
          </cell>
        </row>
        <row r="134">
          <cell r="B134">
            <v>306.35000000000002</v>
          </cell>
          <cell r="D134">
            <v>1.9499200000000001</v>
          </cell>
        </row>
        <row r="135">
          <cell r="B135">
            <v>306.45</v>
          </cell>
          <cell r="D135">
            <v>1.94787</v>
          </cell>
        </row>
        <row r="136">
          <cell r="B136">
            <v>306.55</v>
          </cell>
          <cell r="D136">
            <v>1.9458200000000001</v>
          </cell>
        </row>
        <row r="137">
          <cell r="B137">
            <v>306.64999999999998</v>
          </cell>
          <cell r="D137">
            <v>1.9433</v>
          </cell>
        </row>
        <row r="138">
          <cell r="B138">
            <v>306.75</v>
          </cell>
          <cell r="D138">
            <v>1.94123</v>
          </cell>
        </row>
        <row r="139">
          <cell r="B139">
            <v>306.85000000000002</v>
          </cell>
          <cell r="D139">
            <v>1.93869</v>
          </cell>
        </row>
        <row r="140">
          <cell r="B140">
            <v>306.95</v>
          </cell>
          <cell r="D140">
            <v>1.9366099999999999</v>
          </cell>
        </row>
        <row r="141">
          <cell r="B141">
            <v>307.05</v>
          </cell>
          <cell r="D141">
            <v>1.9340599999999999</v>
          </cell>
        </row>
        <row r="142">
          <cell r="B142">
            <v>307.14999999999998</v>
          </cell>
          <cell r="D142">
            <v>1.9319599999999999</v>
          </cell>
        </row>
        <row r="143">
          <cell r="B143">
            <v>307.25</v>
          </cell>
          <cell r="D143">
            <v>1.9298599999999999</v>
          </cell>
        </row>
        <row r="144">
          <cell r="B144">
            <v>307.35000000000002</v>
          </cell>
          <cell r="D144">
            <v>1.9272899999999999</v>
          </cell>
        </row>
        <row r="145">
          <cell r="B145">
            <v>307.45</v>
          </cell>
          <cell r="D145">
            <v>1.9247099999999999</v>
          </cell>
        </row>
        <row r="146">
          <cell r="B146">
            <v>307.55</v>
          </cell>
          <cell r="D146">
            <v>1.92259</v>
          </cell>
        </row>
        <row r="147">
          <cell r="B147">
            <v>307.64999999999998</v>
          </cell>
          <cell r="D147">
            <v>1.9204600000000001</v>
          </cell>
        </row>
        <row r="148">
          <cell r="B148">
            <v>307.75</v>
          </cell>
          <cell r="D148">
            <v>1.91831</v>
          </cell>
        </row>
        <row r="149">
          <cell r="B149">
            <v>307.85000000000002</v>
          </cell>
          <cell r="D149">
            <v>1.91594</v>
          </cell>
        </row>
        <row r="150">
          <cell r="B150">
            <v>307.95</v>
          </cell>
          <cell r="D150">
            <v>1.9131</v>
          </cell>
        </row>
        <row r="151">
          <cell r="B151">
            <v>308.05</v>
          </cell>
          <cell r="D151">
            <v>1.91117</v>
          </cell>
        </row>
        <row r="152">
          <cell r="B152">
            <v>308.14999999999998</v>
          </cell>
          <cell r="D152">
            <v>1.9087700000000001</v>
          </cell>
        </row>
        <row r="153">
          <cell r="B153">
            <v>308.25</v>
          </cell>
          <cell r="D153">
            <v>1.9063699999999999</v>
          </cell>
        </row>
        <row r="154">
          <cell r="B154">
            <v>308.35000000000002</v>
          </cell>
          <cell r="D154">
            <v>1.9046400000000001</v>
          </cell>
        </row>
        <row r="155">
          <cell r="B155">
            <v>308.45</v>
          </cell>
          <cell r="D155">
            <v>1.90222</v>
          </cell>
        </row>
        <row r="156">
          <cell r="B156">
            <v>308.55</v>
          </cell>
          <cell r="D156">
            <v>1.8993500000000001</v>
          </cell>
        </row>
        <row r="157">
          <cell r="B157">
            <v>308.64999999999998</v>
          </cell>
          <cell r="D157">
            <v>1.89737</v>
          </cell>
        </row>
        <row r="158">
          <cell r="B158">
            <v>308.75</v>
          </cell>
          <cell r="D158">
            <v>1.89493</v>
          </cell>
        </row>
        <row r="159">
          <cell r="B159">
            <v>308.85000000000002</v>
          </cell>
          <cell r="D159">
            <v>1.8927099999999999</v>
          </cell>
        </row>
        <row r="160">
          <cell r="B160">
            <v>308.95</v>
          </cell>
          <cell r="D160">
            <v>1.8900399999999999</v>
          </cell>
        </row>
        <row r="161">
          <cell r="B161">
            <v>309.05</v>
          </cell>
          <cell r="D161">
            <v>1.88825</v>
          </cell>
        </row>
        <row r="162">
          <cell r="B162">
            <v>309.14999999999998</v>
          </cell>
          <cell r="D162">
            <v>1.8857900000000001</v>
          </cell>
        </row>
        <row r="163">
          <cell r="B163">
            <v>309.25</v>
          </cell>
          <cell r="D163">
            <v>1.8833200000000001</v>
          </cell>
        </row>
        <row r="164">
          <cell r="B164">
            <v>309.35000000000002</v>
          </cell>
          <cell r="D164">
            <v>1.88106</v>
          </cell>
        </row>
        <row r="165">
          <cell r="B165">
            <v>309.45</v>
          </cell>
          <cell r="D165">
            <v>1.87835</v>
          </cell>
        </row>
        <row r="166">
          <cell r="B166">
            <v>309.55</v>
          </cell>
          <cell r="D166">
            <v>1.87609</v>
          </cell>
        </row>
        <row r="167">
          <cell r="B167">
            <v>309.64999999999998</v>
          </cell>
          <cell r="D167">
            <v>1.87381</v>
          </cell>
        </row>
        <row r="168">
          <cell r="B168">
            <v>309.75</v>
          </cell>
          <cell r="D168">
            <v>1.8715299999999999</v>
          </cell>
        </row>
        <row r="169">
          <cell r="B169">
            <v>309.85000000000002</v>
          </cell>
          <cell r="D169">
            <v>1.8690199999999999</v>
          </cell>
        </row>
        <row r="170">
          <cell r="B170">
            <v>309.95</v>
          </cell>
          <cell r="D170">
            <v>1.8665</v>
          </cell>
        </row>
        <row r="171">
          <cell r="B171">
            <v>310.05</v>
          </cell>
          <cell r="D171">
            <v>1.8646400000000001</v>
          </cell>
        </row>
        <row r="172">
          <cell r="B172">
            <v>310.14999999999998</v>
          </cell>
          <cell r="D172">
            <v>1.86189</v>
          </cell>
        </row>
        <row r="173">
          <cell r="B173">
            <v>310.25</v>
          </cell>
          <cell r="D173">
            <v>1.8600099999999999</v>
          </cell>
        </row>
        <row r="174">
          <cell r="B174">
            <v>310.35000000000002</v>
          </cell>
          <cell r="D174">
            <v>1.8572500000000001</v>
          </cell>
        </row>
        <row r="175">
          <cell r="B175">
            <v>310.45</v>
          </cell>
          <cell r="D175">
            <v>1.8553599999999999</v>
          </cell>
        </row>
        <row r="176">
          <cell r="B176">
            <v>310.55</v>
          </cell>
          <cell r="D176">
            <v>1.8525799999999999</v>
          </cell>
        </row>
        <row r="177">
          <cell r="B177">
            <v>310.64999999999998</v>
          </cell>
          <cell r="D177">
            <v>1.8502400000000001</v>
          </cell>
        </row>
        <row r="178">
          <cell r="B178">
            <v>310.75</v>
          </cell>
          <cell r="D178">
            <v>1.8481099999999999</v>
          </cell>
        </row>
        <row r="179">
          <cell r="B179">
            <v>310.85000000000002</v>
          </cell>
          <cell r="D179">
            <v>1.8455299999999999</v>
          </cell>
        </row>
        <row r="180">
          <cell r="B180">
            <v>310.95</v>
          </cell>
          <cell r="D180">
            <v>1.8429500000000001</v>
          </cell>
        </row>
        <row r="181">
          <cell r="B181">
            <v>311.05</v>
          </cell>
          <cell r="D181">
            <v>1.8408</v>
          </cell>
        </row>
        <row r="182">
          <cell r="B182">
            <v>311.14999999999998</v>
          </cell>
          <cell r="D182">
            <v>1.8382000000000001</v>
          </cell>
        </row>
        <row r="183">
          <cell r="B183">
            <v>311.25</v>
          </cell>
          <cell r="D183">
            <v>1.8360300000000001</v>
          </cell>
        </row>
        <row r="184">
          <cell r="B184">
            <v>311.35000000000002</v>
          </cell>
          <cell r="D184">
            <v>1.83342</v>
          </cell>
        </row>
        <row r="185">
          <cell r="B185">
            <v>311.45</v>
          </cell>
          <cell r="D185">
            <v>1.8310299999999999</v>
          </cell>
        </row>
        <row r="186">
          <cell r="B186">
            <v>311.55</v>
          </cell>
          <cell r="D186">
            <v>1.82884</v>
          </cell>
        </row>
        <row r="187">
          <cell r="B187">
            <v>311.64999999999998</v>
          </cell>
          <cell r="D187">
            <v>1.8262100000000001</v>
          </cell>
        </row>
        <row r="188">
          <cell r="B188">
            <v>311.75</v>
          </cell>
          <cell r="D188">
            <v>1.8240099999999999</v>
          </cell>
        </row>
        <row r="189">
          <cell r="B189">
            <v>311.85000000000002</v>
          </cell>
          <cell r="D189">
            <v>1.8218000000000001</v>
          </cell>
        </row>
        <row r="190">
          <cell r="B190">
            <v>311.95</v>
          </cell>
          <cell r="D190">
            <v>1.8191600000000001</v>
          </cell>
        </row>
        <row r="191">
          <cell r="B191">
            <v>312.05</v>
          </cell>
          <cell r="D191">
            <v>1.8169299999999999</v>
          </cell>
        </row>
        <row r="192">
          <cell r="B192">
            <v>312.14999999999998</v>
          </cell>
          <cell r="D192">
            <v>1.81427</v>
          </cell>
        </row>
        <row r="193">
          <cell r="B193">
            <v>312.25</v>
          </cell>
          <cell r="D193">
            <v>1.8120400000000001</v>
          </cell>
        </row>
        <row r="194">
          <cell r="B194">
            <v>312.35000000000002</v>
          </cell>
          <cell r="D194">
            <v>1.8093699999999999</v>
          </cell>
        </row>
        <row r="195">
          <cell r="B195">
            <v>312.45</v>
          </cell>
          <cell r="D195">
            <v>1.8071200000000001</v>
          </cell>
        </row>
        <row r="196">
          <cell r="B196">
            <v>312.55</v>
          </cell>
          <cell r="D196">
            <v>1.8048599999999999</v>
          </cell>
        </row>
        <row r="197">
          <cell r="B197">
            <v>312.64999999999998</v>
          </cell>
          <cell r="D197">
            <v>1.80217</v>
          </cell>
        </row>
        <row r="198">
          <cell r="B198">
            <v>312.75</v>
          </cell>
          <cell r="D198">
            <v>1.8001100000000001</v>
          </cell>
        </row>
        <row r="199">
          <cell r="B199">
            <v>312.85000000000002</v>
          </cell>
          <cell r="D199">
            <v>1.7971999999999999</v>
          </cell>
        </row>
        <row r="200">
          <cell r="B200">
            <v>312.95</v>
          </cell>
          <cell r="D200">
            <v>1.7951299999999999</v>
          </cell>
        </row>
        <row r="201">
          <cell r="B201">
            <v>313.05</v>
          </cell>
          <cell r="D201">
            <v>1.7926299999999999</v>
          </cell>
        </row>
        <row r="202">
          <cell r="B202">
            <v>313.14999999999998</v>
          </cell>
          <cell r="D202">
            <v>1.7901199999999999</v>
          </cell>
        </row>
        <row r="203">
          <cell r="B203">
            <v>313.25</v>
          </cell>
          <cell r="D203">
            <v>1.7876000000000001</v>
          </cell>
        </row>
        <row r="204">
          <cell r="B204">
            <v>313.35000000000002</v>
          </cell>
          <cell r="D204">
            <v>1.7855000000000001</v>
          </cell>
        </row>
        <row r="205">
          <cell r="B205">
            <v>313.45</v>
          </cell>
          <cell r="D205">
            <v>1.7825500000000001</v>
          </cell>
        </row>
        <row r="206">
          <cell r="B206">
            <v>313.55</v>
          </cell>
          <cell r="D206">
            <v>1.78044</v>
          </cell>
        </row>
        <row r="207">
          <cell r="B207">
            <v>313.64999999999998</v>
          </cell>
          <cell r="D207">
            <v>1.7779</v>
          </cell>
        </row>
        <row r="208">
          <cell r="B208">
            <v>313.75</v>
          </cell>
          <cell r="D208">
            <v>1.7757799999999999</v>
          </cell>
        </row>
        <row r="209">
          <cell r="B209">
            <v>313.85000000000002</v>
          </cell>
          <cell r="D209">
            <v>1.7727999999999999</v>
          </cell>
        </row>
        <row r="210">
          <cell r="B210">
            <v>313.95</v>
          </cell>
          <cell r="D210">
            <v>1.7706599999999999</v>
          </cell>
        </row>
        <row r="211">
          <cell r="B211">
            <v>314.05</v>
          </cell>
          <cell r="D211">
            <v>1.7681</v>
          </cell>
        </row>
        <row r="212">
          <cell r="B212">
            <v>314.14999999999998</v>
          </cell>
          <cell r="D212">
            <v>1.7657400000000001</v>
          </cell>
        </row>
        <row r="213">
          <cell r="B213">
            <v>314.25</v>
          </cell>
          <cell r="D213">
            <v>1.7633700000000001</v>
          </cell>
        </row>
        <row r="214">
          <cell r="B214">
            <v>314.35000000000002</v>
          </cell>
          <cell r="D214">
            <v>1.7609900000000001</v>
          </cell>
        </row>
        <row r="215">
          <cell r="B215">
            <v>314.45</v>
          </cell>
          <cell r="D215">
            <v>1.75861</v>
          </cell>
        </row>
        <row r="216">
          <cell r="B216">
            <v>314.55</v>
          </cell>
          <cell r="D216">
            <v>1.7558100000000001</v>
          </cell>
        </row>
        <row r="217">
          <cell r="B217">
            <v>314.64999999999998</v>
          </cell>
          <cell r="D217">
            <v>1.7534099999999999</v>
          </cell>
        </row>
        <row r="218">
          <cell r="B218">
            <v>314.75</v>
          </cell>
          <cell r="D218">
            <v>1.75101</v>
          </cell>
        </row>
        <row r="219">
          <cell r="B219">
            <v>314.85000000000002</v>
          </cell>
          <cell r="D219">
            <v>1.7485999999999999</v>
          </cell>
        </row>
        <row r="220">
          <cell r="B220">
            <v>314.95</v>
          </cell>
          <cell r="D220">
            <v>1.7461899999999999</v>
          </cell>
        </row>
        <row r="221">
          <cell r="B221">
            <v>315.05</v>
          </cell>
          <cell r="D221">
            <v>1.74377</v>
          </cell>
        </row>
        <row r="222">
          <cell r="B222">
            <v>315.14999999999998</v>
          </cell>
          <cell r="D222">
            <v>1.7413400000000001</v>
          </cell>
        </row>
        <row r="223">
          <cell r="B223">
            <v>315.25</v>
          </cell>
          <cell r="D223">
            <v>1.73891</v>
          </cell>
        </row>
        <row r="224">
          <cell r="B224">
            <v>315.35000000000002</v>
          </cell>
          <cell r="D224">
            <v>1.7360599999999999</v>
          </cell>
        </row>
        <row r="225">
          <cell r="B225">
            <v>315.45</v>
          </cell>
          <cell r="D225">
            <v>1.7338199999999999</v>
          </cell>
        </row>
        <row r="226">
          <cell r="B226">
            <v>315.55</v>
          </cell>
          <cell r="D226">
            <v>1.7315799999999999</v>
          </cell>
        </row>
        <row r="227">
          <cell r="B227">
            <v>315.64999999999998</v>
          </cell>
          <cell r="D227">
            <v>1.7289099999999999</v>
          </cell>
        </row>
        <row r="228">
          <cell r="B228">
            <v>315.75</v>
          </cell>
          <cell r="D228">
            <v>1.72665</v>
          </cell>
        </row>
        <row r="229">
          <cell r="B229">
            <v>315.85000000000002</v>
          </cell>
          <cell r="D229">
            <v>1.7239800000000001</v>
          </cell>
        </row>
        <row r="230">
          <cell r="B230">
            <v>315.95</v>
          </cell>
          <cell r="D230">
            <v>1.7217100000000001</v>
          </cell>
        </row>
        <row r="231">
          <cell r="B231">
            <v>316.05</v>
          </cell>
          <cell r="D231">
            <v>1.71902</v>
          </cell>
        </row>
        <row r="232">
          <cell r="B232">
            <v>316.14999999999998</v>
          </cell>
          <cell r="D232">
            <v>1.7167399999999999</v>
          </cell>
        </row>
        <row r="233">
          <cell r="B233">
            <v>316.25</v>
          </cell>
          <cell r="D233">
            <v>1.71404</v>
          </cell>
        </row>
        <row r="234">
          <cell r="B234">
            <v>316.35000000000002</v>
          </cell>
          <cell r="D234">
            <v>1.71174</v>
          </cell>
        </row>
        <row r="235">
          <cell r="B235">
            <v>316.45</v>
          </cell>
          <cell r="D235">
            <v>1.70903</v>
          </cell>
        </row>
        <row r="236">
          <cell r="B236">
            <v>316.55</v>
          </cell>
          <cell r="D236">
            <v>1.70652</v>
          </cell>
        </row>
        <row r="237">
          <cell r="B237">
            <v>316.64999999999998</v>
          </cell>
          <cell r="D237">
            <v>1.7043999999999999</v>
          </cell>
        </row>
        <row r="238">
          <cell r="B238">
            <v>316.75</v>
          </cell>
          <cell r="D238">
            <v>1.7018800000000001</v>
          </cell>
        </row>
        <row r="239">
          <cell r="B239">
            <v>316.85000000000002</v>
          </cell>
          <cell r="D239">
            <v>1.6993499999999999</v>
          </cell>
        </row>
        <row r="240">
          <cell r="B240">
            <v>316.95</v>
          </cell>
          <cell r="D240">
            <v>1.6968099999999999</v>
          </cell>
        </row>
        <row r="241">
          <cell r="B241">
            <v>317.05</v>
          </cell>
          <cell r="D241">
            <v>1.6942699999999999</v>
          </cell>
        </row>
        <row r="242">
          <cell r="B242">
            <v>317.14999999999998</v>
          </cell>
          <cell r="D242">
            <v>1.6919200000000001</v>
          </cell>
        </row>
        <row r="243">
          <cell r="B243">
            <v>317.25</v>
          </cell>
          <cell r="D243">
            <v>1.68937</v>
          </cell>
        </row>
        <row r="244">
          <cell r="B244">
            <v>317.35000000000002</v>
          </cell>
          <cell r="D244">
            <v>1.6868099999999999</v>
          </cell>
        </row>
        <row r="245">
          <cell r="B245">
            <v>317.45</v>
          </cell>
          <cell r="D245">
            <v>1.6846399999999999</v>
          </cell>
        </row>
        <row r="246">
          <cell r="B246">
            <v>317.55</v>
          </cell>
          <cell r="D246">
            <v>1.68207</v>
          </cell>
        </row>
        <row r="247">
          <cell r="B247">
            <v>317.64999999999998</v>
          </cell>
          <cell r="D247">
            <v>1.6794899999999999</v>
          </cell>
        </row>
        <row r="248">
          <cell r="B248">
            <v>317.75</v>
          </cell>
          <cell r="D248">
            <v>1.6771</v>
          </cell>
        </row>
        <row r="249">
          <cell r="B249">
            <v>317.85000000000002</v>
          </cell>
          <cell r="D249">
            <v>1.6747099999999999</v>
          </cell>
        </row>
        <row r="250">
          <cell r="B250">
            <v>317.95</v>
          </cell>
          <cell r="D250">
            <v>1.6719200000000001</v>
          </cell>
        </row>
        <row r="251">
          <cell r="B251">
            <v>318.05</v>
          </cell>
          <cell r="D251">
            <v>1.66951</v>
          </cell>
        </row>
        <row r="252">
          <cell r="B252">
            <v>318.14999999999998</v>
          </cell>
          <cell r="D252">
            <v>1.6671</v>
          </cell>
        </row>
        <row r="253">
          <cell r="B253">
            <v>318.25</v>
          </cell>
          <cell r="D253">
            <v>1.66429</v>
          </cell>
        </row>
        <row r="254">
          <cell r="B254">
            <v>318.35000000000002</v>
          </cell>
          <cell r="D254">
            <v>1.6622699999999999</v>
          </cell>
        </row>
        <row r="255">
          <cell r="B255">
            <v>318.45</v>
          </cell>
          <cell r="D255">
            <v>1.65944</v>
          </cell>
        </row>
        <row r="256">
          <cell r="B256">
            <v>318.55</v>
          </cell>
          <cell r="D256">
            <v>1.6570100000000001</v>
          </cell>
        </row>
        <row r="257">
          <cell r="B257">
            <v>318.64999999999998</v>
          </cell>
          <cell r="D257">
            <v>1.6545700000000001</v>
          </cell>
        </row>
        <row r="258">
          <cell r="B258">
            <v>318.75</v>
          </cell>
          <cell r="D258">
            <v>1.6519299999999999</v>
          </cell>
        </row>
        <row r="259">
          <cell r="B259">
            <v>318.85000000000002</v>
          </cell>
          <cell r="D259">
            <v>1.64967</v>
          </cell>
        </row>
        <row r="260">
          <cell r="B260">
            <v>318.95</v>
          </cell>
          <cell r="D260">
            <v>1.64683</v>
          </cell>
        </row>
        <row r="261">
          <cell r="B261">
            <v>319.05</v>
          </cell>
          <cell r="D261">
            <v>1.64436</v>
          </cell>
        </row>
        <row r="262">
          <cell r="B262">
            <v>319.14999999999998</v>
          </cell>
          <cell r="D262">
            <v>1.6418999999999999</v>
          </cell>
        </row>
        <row r="263">
          <cell r="B263">
            <v>319.25</v>
          </cell>
          <cell r="D263">
            <v>1.63923</v>
          </cell>
        </row>
        <row r="264">
          <cell r="B264">
            <v>319.35000000000002</v>
          </cell>
          <cell r="D264">
            <v>1.6369400000000001</v>
          </cell>
        </row>
        <row r="265">
          <cell r="B265">
            <v>319.45</v>
          </cell>
          <cell r="D265">
            <v>1.6346499999999999</v>
          </cell>
        </row>
        <row r="266">
          <cell r="B266">
            <v>319.55</v>
          </cell>
          <cell r="D266">
            <v>1.6321600000000001</v>
          </cell>
        </row>
        <row r="267">
          <cell r="B267">
            <v>319.64999999999998</v>
          </cell>
          <cell r="D267">
            <v>1.62947</v>
          </cell>
        </row>
        <row r="268">
          <cell r="B268">
            <v>319.75</v>
          </cell>
          <cell r="D268">
            <v>1.6271500000000001</v>
          </cell>
        </row>
        <row r="269">
          <cell r="B269">
            <v>319.85000000000002</v>
          </cell>
          <cell r="D269">
            <v>1.6244499999999999</v>
          </cell>
        </row>
        <row r="270">
          <cell r="B270">
            <v>319.95</v>
          </cell>
          <cell r="D270">
            <v>1.6221300000000001</v>
          </cell>
        </row>
        <row r="271">
          <cell r="B271">
            <v>320.05</v>
          </cell>
          <cell r="D271">
            <v>1.6192299999999999</v>
          </cell>
        </row>
        <row r="272">
          <cell r="B272">
            <v>320.14999999999998</v>
          </cell>
          <cell r="D272">
            <v>1.6168899999999999</v>
          </cell>
        </row>
        <row r="273">
          <cell r="B273">
            <v>320.25</v>
          </cell>
          <cell r="D273">
            <v>1.6145499999999999</v>
          </cell>
        </row>
        <row r="274">
          <cell r="B274">
            <v>320.35000000000002</v>
          </cell>
          <cell r="D274">
            <v>1.6120099999999999</v>
          </cell>
        </row>
        <row r="275">
          <cell r="B275">
            <v>320.45</v>
          </cell>
          <cell r="D275">
            <v>1.60947</v>
          </cell>
        </row>
        <row r="276">
          <cell r="B276">
            <v>320.55</v>
          </cell>
          <cell r="D276">
            <v>1.6069199999999999</v>
          </cell>
        </row>
        <row r="277">
          <cell r="B277">
            <v>320.64999999999998</v>
          </cell>
          <cell r="D277">
            <v>1.6043700000000001</v>
          </cell>
        </row>
        <row r="278">
          <cell r="B278">
            <v>320.75</v>
          </cell>
          <cell r="D278">
            <v>1.60181</v>
          </cell>
        </row>
        <row r="279">
          <cell r="B279">
            <v>320.85000000000002</v>
          </cell>
          <cell r="D279">
            <v>1.5992500000000001</v>
          </cell>
        </row>
        <row r="280">
          <cell r="B280">
            <v>320.95</v>
          </cell>
          <cell r="D280">
            <v>1.59687</v>
          </cell>
        </row>
        <row r="281">
          <cell r="B281">
            <v>321.05</v>
          </cell>
          <cell r="D281">
            <v>1.5944799999999999</v>
          </cell>
        </row>
        <row r="282">
          <cell r="B282">
            <v>321.14999999999998</v>
          </cell>
          <cell r="D282">
            <v>1.5919000000000001</v>
          </cell>
        </row>
        <row r="283">
          <cell r="B283">
            <v>321.25</v>
          </cell>
          <cell r="D283">
            <v>1.5894999999999999</v>
          </cell>
        </row>
        <row r="284">
          <cell r="B284">
            <v>321.35000000000002</v>
          </cell>
          <cell r="D284">
            <v>1.5870899999999999</v>
          </cell>
        </row>
        <row r="285">
          <cell r="B285">
            <v>321.45</v>
          </cell>
          <cell r="D285">
            <v>1.5843100000000001</v>
          </cell>
        </row>
        <row r="286">
          <cell r="B286">
            <v>321.55</v>
          </cell>
          <cell r="D286">
            <v>1.5817099999999999</v>
          </cell>
        </row>
        <row r="287">
          <cell r="B287">
            <v>321.64999999999998</v>
          </cell>
          <cell r="D287">
            <v>1.5792900000000001</v>
          </cell>
        </row>
        <row r="288">
          <cell r="B288">
            <v>321.75</v>
          </cell>
          <cell r="D288">
            <v>1.5768599999999999</v>
          </cell>
        </row>
        <row r="289">
          <cell r="B289">
            <v>321.85000000000002</v>
          </cell>
          <cell r="D289">
            <v>1.5742400000000001</v>
          </cell>
        </row>
        <row r="290">
          <cell r="B290">
            <v>321.95</v>
          </cell>
          <cell r="D290">
            <v>1.5718000000000001</v>
          </cell>
        </row>
        <row r="291">
          <cell r="B291">
            <v>322.05</v>
          </cell>
          <cell r="D291">
            <v>1.5693600000000001</v>
          </cell>
        </row>
        <row r="292">
          <cell r="B292">
            <v>322.14999999999998</v>
          </cell>
          <cell r="D292">
            <v>1.56673</v>
          </cell>
        </row>
        <row r="293">
          <cell r="B293">
            <v>322.25</v>
          </cell>
          <cell r="D293">
            <v>1.5639000000000001</v>
          </cell>
        </row>
        <row r="294">
          <cell r="B294">
            <v>322.35000000000002</v>
          </cell>
          <cell r="D294">
            <v>1.5618099999999999</v>
          </cell>
        </row>
        <row r="295">
          <cell r="B295">
            <v>322.45</v>
          </cell>
          <cell r="D295">
            <v>1.5591600000000001</v>
          </cell>
        </row>
        <row r="296">
          <cell r="B296">
            <v>322.55</v>
          </cell>
          <cell r="D296">
            <v>1.5565100000000001</v>
          </cell>
        </row>
        <row r="297">
          <cell r="B297">
            <v>322.64999999999998</v>
          </cell>
          <cell r="D297">
            <v>1.5542199999999999</v>
          </cell>
        </row>
        <row r="298">
          <cell r="B298">
            <v>322.75</v>
          </cell>
          <cell r="D298">
            <v>1.55155</v>
          </cell>
        </row>
        <row r="299">
          <cell r="B299">
            <v>322.85000000000002</v>
          </cell>
          <cell r="D299">
            <v>1.54925</v>
          </cell>
        </row>
        <row r="300">
          <cell r="B300">
            <v>322.95</v>
          </cell>
          <cell r="D300">
            <v>1.5465800000000001</v>
          </cell>
        </row>
        <row r="301">
          <cell r="B301">
            <v>323.05</v>
          </cell>
          <cell r="D301">
            <v>1.5439000000000001</v>
          </cell>
        </row>
        <row r="302">
          <cell r="B302">
            <v>323.14999999999998</v>
          </cell>
          <cell r="D302">
            <v>1.54176</v>
          </cell>
        </row>
        <row r="303">
          <cell r="B303">
            <v>323.25</v>
          </cell>
          <cell r="D303">
            <v>1.53925</v>
          </cell>
        </row>
        <row r="304">
          <cell r="B304">
            <v>323.35000000000002</v>
          </cell>
          <cell r="D304">
            <v>1.5365599999999999</v>
          </cell>
        </row>
        <row r="305">
          <cell r="B305">
            <v>323.45</v>
          </cell>
          <cell r="D305">
            <v>1.5340400000000001</v>
          </cell>
        </row>
        <row r="306">
          <cell r="B306">
            <v>323.55</v>
          </cell>
          <cell r="D306">
            <v>1.5315099999999999</v>
          </cell>
        </row>
        <row r="307">
          <cell r="B307">
            <v>323.64999999999998</v>
          </cell>
          <cell r="D307">
            <v>1.5291699999999999</v>
          </cell>
        </row>
        <row r="308">
          <cell r="B308">
            <v>323.75</v>
          </cell>
          <cell r="D308">
            <v>1.5266299999999999</v>
          </cell>
        </row>
        <row r="309">
          <cell r="B309">
            <v>323.85000000000002</v>
          </cell>
          <cell r="D309">
            <v>1.5239100000000001</v>
          </cell>
        </row>
        <row r="310">
          <cell r="B310">
            <v>323.95</v>
          </cell>
          <cell r="D310">
            <v>1.5213699999999999</v>
          </cell>
        </row>
        <row r="311">
          <cell r="B311">
            <v>324.05</v>
          </cell>
          <cell r="D311">
            <v>1.5188200000000001</v>
          </cell>
        </row>
        <row r="312">
          <cell r="B312">
            <v>324.14999999999998</v>
          </cell>
          <cell r="D312">
            <v>1.5160899999999999</v>
          </cell>
        </row>
        <row r="313">
          <cell r="B313">
            <v>324.25</v>
          </cell>
          <cell r="D313">
            <v>1.51407</v>
          </cell>
        </row>
        <row r="314">
          <cell r="B314">
            <v>324.35000000000002</v>
          </cell>
          <cell r="D314">
            <v>1.5115000000000001</v>
          </cell>
        </row>
        <row r="315">
          <cell r="B315">
            <v>324.45</v>
          </cell>
          <cell r="D315">
            <v>1.5089300000000001</v>
          </cell>
        </row>
        <row r="316">
          <cell r="B316">
            <v>324.55</v>
          </cell>
          <cell r="D316">
            <v>1.5061800000000001</v>
          </cell>
        </row>
        <row r="317">
          <cell r="B317">
            <v>324.64999999999998</v>
          </cell>
          <cell r="D317">
            <v>1.5037799999999999</v>
          </cell>
        </row>
        <row r="318">
          <cell r="B318">
            <v>324.75</v>
          </cell>
          <cell r="D318">
            <v>1.5013799999999999</v>
          </cell>
        </row>
        <row r="319">
          <cell r="B319">
            <v>324.85000000000002</v>
          </cell>
          <cell r="D319">
            <v>1.49861</v>
          </cell>
        </row>
        <row r="320">
          <cell r="B320">
            <v>324.95</v>
          </cell>
          <cell r="D320">
            <v>1.4961899999999999</v>
          </cell>
        </row>
        <row r="321">
          <cell r="B321">
            <v>325.05</v>
          </cell>
          <cell r="D321">
            <v>1.49377</v>
          </cell>
        </row>
        <row r="322">
          <cell r="B322">
            <v>325.14999999999998</v>
          </cell>
          <cell r="D322">
            <v>1.49135</v>
          </cell>
        </row>
        <row r="323">
          <cell r="B323">
            <v>325.25</v>
          </cell>
          <cell r="D323">
            <v>1.4885600000000001</v>
          </cell>
        </row>
        <row r="324">
          <cell r="B324">
            <v>325.35000000000002</v>
          </cell>
          <cell r="D324">
            <v>1.4863</v>
          </cell>
        </row>
        <row r="325">
          <cell r="B325">
            <v>325.45</v>
          </cell>
          <cell r="D325">
            <v>1.4836800000000001</v>
          </cell>
        </row>
        <row r="326">
          <cell r="B326">
            <v>325.55</v>
          </cell>
          <cell r="D326">
            <v>1.4812399999999999</v>
          </cell>
        </row>
        <row r="327">
          <cell r="B327">
            <v>325.64999999999998</v>
          </cell>
          <cell r="D327">
            <v>1.47844</v>
          </cell>
        </row>
        <row r="328">
          <cell r="B328">
            <v>325.75</v>
          </cell>
          <cell r="D328">
            <v>1.4764999999999999</v>
          </cell>
        </row>
        <row r="329">
          <cell r="B329">
            <v>325.85000000000002</v>
          </cell>
          <cell r="D329">
            <v>1.4736899999999999</v>
          </cell>
        </row>
        <row r="330">
          <cell r="B330">
            <v>325.95</v>
          </cell>
          <cell r="D330">
            <v>1.4714</v>
          </cell>
        </row>
        <row r="331">
          <cell r="B331">
            <v>326.05</v>
          </cell>
          <cell r="D331">
            <v>1.46875</v>
          </cell>
        </row>
        <row r="332">
          <cell r="B332">
            <v>326.14999999999998</v>
          </cell>
          <cell r="D332">
            <v>1.46627</v>
          </cell>
        </row>
        <row r="333">
          <cell r="B333">
            <v>326.25</v>
          </cell>
          <cell r="D333">
            <v>1.4637899999999999</v>
          </cell>
        </row>
        <row r="334">
          <cell r="B334">
            <v>326.35000000000002</v>
          </cell>
          <cell r="D334">
            <v>1.46096</v>
          </cell>
        </row>
        <row r="335">
          <cell r="B335">
            <v>326.45</v>
          </cell>
          <cell r="D335">
            <v>1.4588099999999999</v>
          </cell>
        </row>
        <row r="336">
          <cell r="B336">
            <v>326.55</v>
          </cell>
          <cell r="D336">
            <v>1.4563200000000001</v>
          </cell>
        </row>
        <row r="337">
          <cell r="B337">
            <v>326.64999999999998</v>
          </cell>
          <cell r="D337">
            <v>1.45347</v>
          </cell>
        </row>
        <row r="338">
          <cell r="B338">
            <v>326.75</v>
          </cell>
          <cell r="D338">
            <v>1.4509700000000001</v>
          </cell>
        </row>
        <row r="339">
          <cell r="B339">
            <v>326.85000000000002</v>
          </cell>
          <cell r="D339">
            <v>1.4488000000000001</v>
          </cell>
        </row>
        <row r="340">
          <cell r="B340">
            <v>326.95</v>
          </cell>
          <cell r="D340">
            <v>1.44628</v>
          </cell>
        </row>
        <row r="341">
          <cell r="B341">
            <v>327.05</v>
          </cell>
          <cell r="D341">
            <v>1.4434199999999999</v>
          </cell>
        </row>
        <row r="342">
          <cell r="B342">
            <v>327.14999999999998</v>
          </cell>
          <cell r="D342">
            <v>1.4410700000000001</v>
          </cell>
        </row>
        <row r="343">
          <cell r="B343">
            <v>327.25</v>
          </cell>
          <cell r="D343">
            <v>1.4388799999999999</v>
          </cell>
        </row>
        <row r="344">
          <cell r="B344">
            <v>327.35000000000002</v>
          </cell>
          <cell r="D344">
            <v>1.4361699999999999</v>
          </cell>
        </row>
        <row r="345">
          <cell r="B345">
            <v>327.45</v>
          </cell>
          <cell r="D345">
            <v>1.43397</v>
          </cell>
        </row>
        <row r="346">
          <cell r="B346">
            <v>327.55</v>
          </cell>
          <cell r="D346">
            <v>1.43109</v>
          </cell>
        </row>
        <row r="347">
          <cell r="B347">
            <v>327.64999999999998</v>
          </cell>
          <cell r="D347">
            <v>1.4287099999999999</v>
          </cell>
        </row>
        <row r="348">
          <cell r="B348">
            <v>327.75</v>
          </cell>
          <cell r="D348">
            <v>1.4261600000000001</v>
          </cell>
        </row>
        <row r="349">
          <cell r="B349">
            <v>327.85</v>
          </cell>
          <cell r="D349">
            <v>1.4236</v>
          </cell>
        </row>
        <row r="350">
          <cell r="B350">
            <v>327.95</v>
          </cell>
          <cell r="D350">
            <v>1.4212100000000001</v>
          </cell>
        </row>
        <row r="351">
          <cell r="B351">
            <v>328.05</v>
          </cell>
          <cell r="D351">
            <v>1.4188099999999999</v>
          </cell>
        </row>
        <row r="352">
          <cell r="B352">
            <v>328.15</v>
          </cell>
          <cell r="D352">
            <v>1.4162399999999999</v>
          </cell>
        </row>
        <row r="353">
          <cell r="B353">
            <v>328.25</v>
          </cell>
          <cell r="D353">
            <v>1.41367</v>
          </cell>
        </row>
        <row r="354">
          <cell r="B354">
            <v>328.35</v>
          </cell>
          <cell r="D354">
            <v>1.41109</v>
          </cell>
        </row>
        <row r="355">
          <cell r="B355">
            <v>328.45</v>
          </cell>
          <cell r="D355">
            <v>1.4086700000000001</v>
          </cell>
        </row>
        <row r="356">
          <cell r="B356">
            <v>328.55</v>
          </cell>
          <cell r="D356">
            <v>1.40625</v>
          </cell>
        </row>
        <row r="357">
          <cell r="B357">
            <v>328.65</v>
          </cell>
          <cell r="D357">
            <v>1.4036599999999999</v>
          </cell>
        </row>
        <row r="358">
          <cell r="B358">
            <v>328.75</v>
          </cell>
          <cell r="D358">
            <v>1.4013899999999999</v>
          </cell>
        </row>
        <row r="359">
          <cell r="B359">
            <v>328.85</v>
          </cell>
          <cell r="D359">
            <v>1.39879</v>
          </cell>
        </row>
        <row r="360">
          <cell r="B360">
            <v>328.95</v>
          </cell>
          <cell r="D360">
            <v>1.39635</v>
          </cell>
        </row>
        <row r="361">
          <cell r="B361">
            <v>329.05</v>
          </cell>
          <cell r="D361">
            <v>1.39374</v>
          </cell>
        </row>
        <row r="362">
          <cell r="B362">
            <v>329.15</v>
          </cell>
          <cell r="D362">
            <v>1.3914500000000001</v>
          </cell>
        </row>
        <row r="363">
          <cell r="B363">
            <v>329.25</v>
          </cell>
          <cell r="D363">
            <v>1.389</v>
          </cell>
        </row>
        <row r="364">
          <cell r="B364">
            <v>329.35</v>
          </cell>
          <cell r="D364">
            <v>1.3863799999999999</v>
          </cell>
        </row>
        <row r="365">
          <cell r="B365">
            <v>329.45</v>
          </cell>
          <cell r="D365">
            <v>1.38391</v>
          </cell>
        </row>
        <row r="366">
          <cell r="B366">
            <v>329.55</v>
          </cell>
          <cell r="D366">
            <v>1.38161</v>
          </cell>
        </row>
        <row r="367">
          <cell r="B367">
            <v>329.65</v>
          </cell>
          <cell r="D367">
            <v>1.37897</v>
          </cell>
        </row>
        <row r="368">
          <cell r="B368">
            <v>329.75</v>
          </cell>
          <cell r="D368">
            <v>1.3763300000000001</v>
          </cell>
        </row>
        <row r="369">
          <cell r="B369">
            <v>329.85</v>
          </cell>
          <cell r="D369">
            <v>1.37402</v>
          </cell>
        </row>
        <row r="370">
          <cell r="B370">
            <v>329.95</v>
          </cell>
          <cell r="D370">
            <v>1.3715299999999999</v>
          </cell>
        </row>
        <row r="371">
          <cell r="B371">
            <v>330.05</v>
          </cell>
          <cell r="D371">
            <v>1.36904</v>
          </cell>
        </row>
        <row r="372">
          <cell r="B372">
            <v>330.15</v>
          </cell>
          <cell r="D372">
            <v>1.3667100000000001</v>
          </cell>
        </row>
        <row r="373">
          <cell r="B373">
            <v>330.25</v>
          </cell>
          <cell r="D373">
            <v>1.3643700000000001</v>
          </cell>
        </row>
        <row r="374">
          <cell r="B374">
            <v>330.35</v>
          </cell>
          <cell r="D374">
            <v>1.36171</v>
          </cell>
        </row>
        <row r="375">
          <cell r="B375">
            <v>330.45</v>
          </cell>
          <cell r="D375">
            <v>1.35904</v>
          </cell>
        </row>
        <row r="376">
          <cell r="B376">
            <v>330.55</v>
          </cell>
          <cell r="D376">
            <v>1.3568499999999999</v>
          </cell>
        </row>
        <row r="377">
          <cell r="B377">
            <v>330.65</v>
          </cell>
          <cell r="D377">
            <v>1.35449</v>
          </cell>
        </row>
        <row r="378">
          <cell r="B378">
            <v>330.75</v>
          </cell>
          <cell r="D378">
            <v>1.35182</v>
          </cell>
        </row>
        <row r="379">
          <cell r="B379">
            <v>330.85</v>
          </cell>
          <cell r="D379">
            <v>1.3492900000000001</v>
          </cell>
        </row>
        <row r="380">
          <cell r="B380">
            <v>330.95</v>
          </cell>
          <cell r="D380">
            <v>1.3469199999999999</v>
          </cell>
        </row>
        <row r="381">
          <cell r="B381">
            <v>331.05</v>
          </cell>
          <cell r="D381">
            <v>1.34423</v>
          </cell>
        </row>
        <row r="382">
          <cell r="B382">
            <v>331.15</v>
          </cell>
          <cell r="D382">
            <v>1.3418600000000001</v>
          </cell>
        </row>
        <row r="383">
          <cell r="B383">
            <v>331.25</v>
          </cell>
          <cell r="D383">
            <v>1.3396300000000001</v>
          </cell>
        </row>
        <row r="384">
          <cell r="B384">
            <v>331.35</v>
          </cell>
          <cell r="D384">
            <v>1.33693</v>
          </cell>
        </row>
        <row r="385">
          <cell r="B385">
            <v>331.45</v>
          </cell>
          <cell r="D385">
            <v>1.3345400000000001</v>
          </cell>
        </row>
        <row r="386">
          <cell r="B386">
            <v>331.55</v>
          </cell>
          <cell r="D386">
            <v>1.3321499999999999</v>
          </cell>
        </row>
        <row r="387">
          <cell r="B387">
            <v>331.65</v>
          </cell>
          <cell r="D387">
            <v>1.3294299999999999</v>
          </cell>
        </row>
        <row r="388">
          <cell r="B388">
            <v>331.75</v>
          </cell>
          <cell r="D388">
            <v>1.32734</v>
          </cell>
        </row>
        <row r="389">
          <cell r="B389">
            <v>331.85</v>
          </cell>
          <cell r="D389">
            <v>1.32494</v>
          </cell>
        </row>
        <row r="390">
          <cell r="B390">
            <v>331.95</v>
          </cell>
          <cell r="D390">
            <v>1.32237</v>
          </cell>
        </row>
        <row r="391">
          <cell r="B391">
            <v>332.05</v>
          </cell>
          <cell r="D391">
            <v>1.31995</v>
          </cell>
        </row>
        <row r="392">
          <cell r="B392">
            <v>332.15</v>
          </cell>
          <cell r="D392">
            <v>1.31769</v>
          </cell>
        </row>
        <row r="393">
          <cell r="B393">
            <v>332.25</v>
          </cell>
          <cell r="D393">
            <v>1.3152600000000001</v>
          </cell>
        </row>
        <row r="394">
          <cell r="B394">
            <v>332.35</v>
          </cell>
          <cell r="D394">
            <v>1.3125199999999999</v>
          </cell>
        </row>
        <row r="395">
          <cell r="B395">
            <v>332.45</v>
          </cell>
          <cell r="D395">
            <v>1.31009</v>
          </cell>
        </row>
        <row r="396">
          <cell r="B396">
            <v>332.55</v>
          </cell>
          <cell r="D396">
            <v>1.30766</v>
          </cell>
        </row>
        <row r="397">
          <cell r="B397">
            <v>332.65</v>
          </cell>
          <cell r="D397">
            <v>1.30521</v>
          </cell>
        </row>
        <row r="398">
          <cell r="B398">
            <v>332.75</v>
          </cell>
          <cell r="D398">
            <v>1.3029200000000001</v>
          </cell>
        </row>
        <row r="399">
          <cell r="B399">
            <v>332.85</v>
          </cell>
          <cell r="D399">
            <v>1.30047</v>
          </cell>
        </row>
        <row r="400">
          <cell r="B400">
            <v>332.95</v>
          </cell>
          <cell r="D400">
            <v>1.29802</v>
          </cell>
        </row>
        <row r="401">
          <cell r="B401">
            <v>333.05</v>
          </cell>
          <cell r="D401">
            <v>1.2955700000000001</v>
          </cell>
        </row>
        <row r="402">
          <cell r="B402">
            <v>333.15</v>
          </cell>
          <cell r="D402">
            <v>1.2934099999999999</v>
          </cell>
        </row>
        <row r="403">
          <cell r="B403">
            <v>333.25</v>
          </cell>
          <cell r="D403">
            <v>1.29064</v>
          </cell>
        </row>
        <row r="404">
          <cell r="B404">
            <v>333.35</v>
          </cell>
          <cell r="D404">
            <v>1.28817</v>
          </cell>
        </row>
        <row r="405">
          <cell r="B405">
            <v>333.45</v>
          </cell>
          <cell r="D405">
            <v>1.2857000000000001</v>
          </cell>
        </row>
        <row r="406">
          <cell r="B406">
            <v>333.55</v>
          </cell>
          <cell r="D406">
            <v>1.2835300000000001</v>
          </cell>
        </row>
        <row r="407">
          <cell r="B407">
            <v>333.65</v>
          </cell>
          <cell r="D407">
            <v>1.28105</v>
          </cell>
        </row>
        <row r="408">
          <cell r="B408">
            <v>333.75</v>
          </cell>
          <cell r="D408">
            <v>1.2785599999999999</v>
          </cell>
        </row>
        <row r="409">
          <cell r="B409">
            <v>333.85</v>
          </cell>
          <cell r="D409">
            <v>1.2762199999999999</v>
          </cell>
        </row>
        <row r="410">
          <cell r="B410">
            <v>333.95</v>
          </cell>
          <cell r="D410">
            <v>1.27373</v>
          </cell>
        </row>
        <row r="411">
          <cell r="B411">
            <v>334.05</v>
          </cell>
          <cell r="D411">
            <v>1.2715399999999999</v>
          </cell>
        </row>
        <row r="412">
          <cell r="B412">
            <v>334.15</v>
          </cell>
          <cell r="D412">
            <v>1.26874</v>
          </cell>
        </row>
        <row r="413">
          <cell r="B413">
            <v>334.25</v>
          </cell>
          <cell r="D413">
            <v>1.26654</v>
          </cell>
        </row>
        <row r="414">
          <cell r="B414">
            <v>334.35</v>
          </cell>
          <cell r="D414">
            <v>1.26403</v>
          </cell>
        </row>
        <row r="415">
          <cell r="B415">
            <v>334.45</v>
          </cell>
          <cell r="D415">
            <v>1.26152</v>
          </cell>
        </row>
        <row r="416">
          <cell r="B416">
            <v>334.55</v>
          </cell>
          <cell r="D416">
            <v>1.2593000000000001</v>
          </cell>
        </row>
        <row r="417">
          <cell r="B417">
            <v>334.65</v>
          </cell>
          <cell r="D417">
            <v>1.2567900000000001</v>
          </cell>
        </row>
        <row r="418">
          <cell r="B418">
            <v>334.75</v>
          </cell>
          <cell r="D418">
            <v>1.2545599999999999</v>
          </cell>
        </row>
        <row r="419">
          <cell r="B419">
            <v>334.85</v>
          </cell>
          <cell r="D419">
            <v>1.25204</v>
          </cell>
        </row>
        <row r="420">
          <cell r="B420">
            <v>334.95</v>
          </cell>
          <cell r="D420">
            <v>1.2498</v>
          </cell>
        </row>
        <row r="421">
          <cell r="B421">
            <v>335.05</v>
          </cell>
          <cell r="D421">
            <v>1.2472700000000001</v>
          </cell>
        </row>
        <row r="422">
          <cell r="B422">
            <v>335.15</v>
          </cell>
          <cell r="D422">
            <v>1.2450300000000001</v>
          </cell>
        </row>
        <row r="423">
          <cell r="B423">
            <v>335.25</v>
          </cell>
          <cell r="D423">
            <v>1.2424900000000001</v>
          </cell>
        </row>
        <row r="424">
          <cell r="B424">
            <v>335.35</v>
          </cell>
          <cell r="D424">
            <v>1.24024</v>
          </cell>
        </row>
        <row r="425">
          <cell r="B425">
            <v>335.45</v>
          </cell>
          <cell r="D425">
            <v>1.2377</v>
          </cell>
        </row>
        <row r="426">
          <cell r="B426">
            <v>335.55</v>
          </cell>
          <cell r="D426">
            <v>1.2354400000000001</v>
          </cell>
        </row>
        <row r="427">
          <cell r="B427">
            <v>335.65</v>
          </cell>
          <cell r="D427">
            <v>1.2330300000000001</v>
          </cell>
        </row>
        <row r="428">
          <cell r="B428">
            <v>335.75</v>
          </cell>
          <cell r="D428">
            <v>1.2307600000000001</v>
          </cell>
        </row>
        <row r="429">
          <cell r="B429">
            <v>335.85</v>
          </cell>
          <cell r="D429">
            <v>1.2282</v>
          </cell>
        </row>
        <row r="430">
          <cell r="B430">
            <v>335.95</v>
          </cell>
          <cell r="D430">
            <v>1.22593</v>
          </cell>
        </row>
        <row r="431">
          <cell r="B431">
            <v>336.05</v>
          </cell>
          <cell r="D431">
            <v>1.2236499999999999</v>
          </cell>
        </row>
        <row r="432">
          <cell r="B432">
            <v>336.15</v>
          </cell>
          <cell r="D432">
            <v>1.2213700000000001</v>
          </cell>
        </row>
        <row r="433">
          <cell r="B433">
            <v>336.25</v>
          </cell>
          <cell r="D433">
            <v>1.2188000000000001</v>
          </cell>
        </row>
        <row r="434">
          <cell r="B434">
            <v>336.35</v>
          </cell>
          <cell r="D434">
            <v>1.21637</v>
          </cell>
        </row>
        <row r="435">
          <cell r="B435">
            <v>336.45</v>
          </cell>
          <cell r="D435">
            <v>1.21407</v>
          </cell>
        </row>
        <row r="436">
          <cell r="B436">
            <v>336.55</v>
          </cell>
          <cell r="D436">
            <v>1.2117800000000001</v>
          </cell>
        </row>
        <row r="437">
          <cell r="B437">
            <v>336.65</v>
          </cell>
          <cell r="D437">
            <v>1.2094800000000001</v>
          </cell>
        </row>
        <row r="438">
          <cell r="B438">
            <v>336.75</v>
          </cell>
          <cell r="D438">
            <v>1.2071700000000001</v>
          </cell>
        </row>
        <row r="439">
          <cell r="B439">
            <v>336.85</v>
          </cell>
          <cell r="D439">
            <v>1.20458</v>
          </cell>
        </row>
        <row r="440">
          <cell r="B440">
            <v>336.95</v>
          </cell>
          <cell r="D440">
            <v>1.2022699999999999</v>
          </cell>
        </row>
        <row r="441">
          <cell r="B441">
            <v>337.05</v>
          </cell>
          <cell r="D441">
            <v>1.1999500000000001</v>
          </cell>
        </row>
        <row r="442">
          <cell r="B442">
            <v>337.15</v>
          </cell>
          <cell r="D442">
            <v>1.19763</v>
          </cell>
        </row>
        <row r="443">
          <cell r="B443">
            <v>337.25</v>
          </cell>
          <cell r="D443">
            <v>1.1953100000000001</v>
          </cell>
        </row>
        <row r="444">
          <cell r="B444">
            <v>337.35</v>
          </cell>
          <cell r="D444">
            <v>1.1929799999999999</v>
          </cell>
        </row>
        <row r="445">
          <cell r="B445">
            <v>337.45</v>
          </cell>
          <cell r="D445">
            <v>1.19065</v>
          </cell>
        </row>
        <row r="446">
          <cell r="B446">
            <v>337.55</v>
          </cell>
          <cell r="D446">
            <v>1.18832</v>
          </cell>
        </row>
        <row r="447">
          <cell r="B447">
            <v>337.65</v>
          </cell>
          <cell r="D447">
            <v>1.18584</v>
          </cell>
        </row>
        <row r="448">
          <cell r="B448">
            <v>337.75</v>
          </cell>
          <cell r="D448">
            <v>1.18336</v>
          </cell>
        </row>
        <row r="449">
          <cell r="B449">
            <v>337.85</v>
          </cell>
          <cell r="D449">
            <v>1.18102</v>
          </cell>
        </row>
        <row r="450">
          <cell r="B450">
            <v>337.95</v>
          </cell>
          <cell r="D450">
            <v>1.1789499999999999</v>
          </cell>
        </row>
        <row r="451">
          <cell r="B451">
            <v>338.05</v>
          </cell>
          <cell r="D451">
            <v>1.1766000000000001</v>
          </cell>
        </row>
        <row r="452">
          <cell r="B452">
            <v>338.15</v>
          </cell>
          <cell r="D452">
            <v>1.17424</v>
          </cell>
        </row>
        <row r="453">
          <cell r="B453">
            <v>338.25</v>
          </cell>
          <cell r="D453">
            <v>1.17188</v>
          </cell>
        </row>
        <row r="454">
          <cell r="B454">
            <v>338.35</v>
          </cell>
          <cell r="D454">
            <v>1.1693800000000001</v>
          </cell>
        </row>
        <row r="455">
          <cell r="B455">
            <v>338.45</v>
          </cell>
          <cell r="D455">
            <v>1.1670199999999999</v>
          </cell>
        </row>
        <row r="456">
          <cell r="B456">
            <v>338.55</v>
          </cell>
          <cell r="D456">
            <v>1.16492</v>
          </cell>
        </row>
        <row r="457">
          <cell r="B457">
            <v>338.65</v>
          </cell>
          <cell r="D457">
            <v>1.16255</v>
          </cell>
        </row>
        <row r="458">
          <cell r="B458">
            <v>338.75</v>
          </cell>
          <cell r="D458">
            <v>1.16018</v>
          </cell>
        </row>
        <row r="459">
          <cell r="B459">
            <v>338.85</v>
          </cell>
          <cell r="D459">
            <v>1.1580699999999999</v>
          </cell>
        </row>
        <row r="460">
          <cell r="B460">
            <v>338.95</v>
          </cell>
          <cell r="D460">
            <v>1.1556900000000001</v>
          </cell>
        </row>
        <row r="461">
          <cell r="B461">
            <v>339.05</v>
          </cell>
          <cell r="D461">
            <v>1.15344</v>
          </cell>
        </row>
        <row r="462">
          <cell r="B462">
            <v>339.15</v>
          </cell>
          <cell r="D462">
            <v>1.1510499999999999</v>
          </cell>
        </row>
        <row r="463">
          <cell r="B463">
            <v>339.25</v>
          </cell>
          <cell r="D463">
            <v>1.14879</v>
          </cell>
        </row>
        <row r="464">
          <cell r="B464">
            <v>339.35</v>
          </cell>
          <cell r="D464">
            <v>1.1464000000000001</v>
          </cell>
        </row>
        <row r="465">
          <cell r="B465">
            <v>339.45</v>
          </cell>
          <cell r="D465">
            <v>1.1439999999999999</v>
          </cell>
        </row>
        <row r="466">
          <cell r="B466">
            <v>339.55</v>
          </cell>
          <cell r="D466">
            <v>1.1418699999999999</v>
          </cell>
        </row>
        <row r="467">
          <cell r="B467">
            <v>339.65</v>
          </cell>
          <cell r="D467">
            <v>1.1395999999999999</v>
          </cell>
        </row>
        <row r="468">
          <cell r="B468">
            <v>339.75</v>
          </cell>
          <cell r="D468">
            <v>1.1371899999999999</v>
          </cell>
        </row>
        <row r="469">
          <cell r="B469">
            <v>339.85</v>
          </cell>
          <cell r="D469">
            <v>1.1350499999999999</v>
          </cell>
        </row>
        <row r="470">
          <cell r="B470">
            <v>339.95</v>
          </cell>
          <cell r="D470">
            <v>1.13263</v>
          </cell>
        </row>
        <row r="471">
          <cell r="B471">
            <v>340.05</v>
          </cell>
          <cell r="D471">
            <v>1.1304799999999999</v>
          </cell>
        </row>
        <row r="472">
          <cell r="B472">
            <v>340.15</v>
          </cell>
          <cell r="D472">
            <v>1.1280600000000001</v>
          </cell>
        </row>
        <row r="473">
          <cell r="B473">
            <v>340.25</v>
          </cell>
          <cell r="D473">
            <v>1.1257699999999999</v>
          </cell>
        </row>
        <row r="474">
          <cell r="B474">
            <v>340.35</v>
          </cell>
          <cell r="D474">
            <v>1.12348</v>
          </cell>
        </row>
        <row r="475">
          <cell r="B475">
            <v>340.45</v>
          </cell>
          <cell r="D475">
            <v>1.12131</v>
          </cell>
        </row>
        <row r="476">
          <cell r="B476">
            <v>340.55</v>
          </cell>
          <cell r="D476">
            <v>1.1191500000000001</v>
          </cell>
        </row>
        <row r="477">
          <cell r="B477">
            <v>340.65</v>
          </cell>
          <cell r="D477">
            <v>1.1168400000000001</v>
          </cell>
        </row>
        <row r="478">
          <cell r="B478">
            <v>340.75</v>
          </cell>
          <cell r="D478">
            <v>1.1144000000000001</v>
          </cell>
        </row>
        <row r="479">
          <cell r="B479">
            <v>340.85</v>
          </cell>
          <cell r="D479">
            <v>1.11249</v>
          </cell>
        </row>
        <row r="480">
          <cell r="B480">
            <v>340.95</v>
          </cell>
          <cell r="D480">
            <v>1.1100399999999999</v>
          </cell>
        </row>
        <row r="481">
          <cell r="B481">
            <v>341.05</v>
          </cell>
          <cell r="D481">
            <v>1.1077300000000001</v>
          </cell>
        </row>
        <row r="482">
          <cell r="B482">
            <v>341.15</v>
          </cell>
          <cell r="D482">
            <v>1.10541</v>
          </cell>
        </row>
        <row r="483">
          <cell r="B483">
            <v>341.25</v>
          </cell>
          <cell r="D483">
            <v>1.10321</v>
          </cell>
        </row>
        <row r="484">
          <cell r="B484">
            <v>341.35</v>
          </cell>
          <cell r="D484">
            <v>1.1010200000000001</v>
          </cell>
        </row>
        <row r="485">
          <cell r="B485">
            <v>341.45</v>
          </cell>
          <cell r="D485">
            <v>1.0988199999999999</v>
          </cell>
        </row>
        <row r="486">
          <cell r="B486">
            <v>341.55</v>
          </cell>
          <cell r="D486">
            <v>1.09649</v>
          </cell>
        </row>
        <row r="487">
          <cell r="B487">
            <v>341.65</v>
          </cell>
          <cell r="D487">
            <v>1.0942799999999999</v>
          </cell>
        </row>
        <row r="488">
          <cell r="B488">
            <v>341.75</v>
          </cell>
          <cell r="D488">
            <v>1.0919399999999999</v>
          </cell>
        </row>
        <row r="489">
          <cell r="B489">
            <v>341.85</v>
          </cell>
          <cell r="D489">
            <v>1.0897300000000001</v>
          </cell>
        </row>
        <row r="490">
          <cell r="B490">
            <v>341.95</v>
          </cell>
          <cell r="D490">
            <v>1.08751</v>
          </cell>
        </row>
        <row r="491">
          <cell r="B491">
            <v>342.05</v>
          </cell>
          <cell r="D491">
            <v>1.0854200000000001</v>
          </cell>
        </row>
        <row r="492">
          <cell r="B492">
            <v>342.15</v>
          </cell>
          <cell r="D492">
            <v>1.0831999999999999</v>
          </cell>
        </row>
        <row r="493">
          <cell r="B493">
            <v>342.25</v>
          </cell>
          <cell r="D493">
            <v>1.08097</v>
          </cell>
        </row>
        <row r="494">
          <cell r="B494">
            <v>342.35</v>
          </cell>
          <cell r="D494">
            <v>1.07874</v>
          </cell>
        </row>
        <row r="495">
          <cell r="B495">
            <v>342.45</v>
          </cell>
          <cell r="D495">
            <v>1.0765100000000001</v>
          </cell>
        </row>
        <row r="496">
          <cell r="B496">
            <v>342.55</v>
          </cell>
          <cell r="D496">
            <v>1.0742799999999999</v>
          </cell>
        </row>
        <row r="497">
          <cell r="B497">
            <v>342.65</v>
          </cell>
          <cell r="D497">
            <v>1.0720400000000001</v>
          </cell>
        </row>
        <row r="498">
          <cell r="B498">
            <v>342.75</v>
          </cell>
          <cell r="D498">
            <v>1.06992</v>
          </cell>
        </row>
        <row r="499">
          <cell r="B499">
            <v>342.85</v>
          </cell>
          <cell r="D499">
            <v>1.06755</v>
          </cell>
        </row>
        <row r="500">
          <cell r="B500">
            <v>342.95</v>
          </cell>
          <cell r="D500">
            <v>1.0652999999999999</v>
          </cell>
        </row>
        <row r="501">
          <cell r="B501">
            <v>343.05</v>
          </cell>
          <cell r="D501">
            <v>1.06318</v>
          </cell>
        </row>
        <row r="502">
          <cell r="B502">
            <v>343.15</v>
          </cell>
          <cell r="D502">
            <v>1.0609200000000001</v>
          </cell>
        </row>
        <row r="503">
          <cell r="B503">
            <v>343.25</v>
          </cell>
          <cell r="D503">
            <v>1.0589200000000001</v>
          </cell>
        </row>
        <row r="504">
          <cell r="B504">
            <v>343.35</v>
          </cell>
          <cell r="D504">
            <v>1.05653</v>
          </cell>
        </row>
        <row r="505">
          <cell r="B505">
            <v>343.45</v>
          </cell>
          <cell r="D505">
            <v>1.0543899999999999</v>
          </cell>
        </row>
        <row r="506">
          <cell r="B506">
            <v>343.55</v>
          </cell>
          <cell r="D506">
            <v>1.05237</v>
          </cell>
        </row>
        <row r="507">
          <cell r="B507">
            <v>343.65</v>
          </cell>
          <cell r="D507">
            <v>1.0501100000000001</v>
          </cell>
        </row>
        <row r="508">
          <cell r="B508">
            <v>343.75</v>
          </cell>
          <cell r="D508">
            <v>1.04783</v>
          </cell>
        </row>
        <row r="509">
          <cell r="B509">
            <v>343.85</v>
          </cell>
          <cell r="D509">
            <v>1.04556</v>
          </cell>
        </row>
        <row r="510">
          <cell r="B510">
            <v>343.95</v>
          </cell>
          <cell r="D510">
            <v>1.0435300000000001</v>
          </cell>
        </row>
        <row r="511">
          <cell r="B511">
            <v>344.05</v>
          </cell>
          <cell r="D511">
            <v>1.0413699999999999</v>
          </cell>
        </row>
        <row r="512">
          <cell r="B512">
            <v>344.15</v>
          </cell>
          <cell r="D512">
            <v>1.0390900000000001</v>
          </cell>
        </row>
        <row r="513">
          <cell r="B513">
            <v>344.25</v>
          </cell>
          <cell r="D513">
            <v>1.0369200000000001</v>
          </cell>
        </row>
        <row r="514">
          <cell r="B514">
            <v>344.35</v>
          </cell>
          <cell r="D514">
            <v>1.0347599999999999</v>
          </cell>
        </row>
        <row r="515">
          <cell r="B515">
            <v>344.45</v>
          </cell>
          <cell r="D515">
            <v>1.03271</v>
          </cell>
        </row>
        <row r="516">
          <cell r="B516">
            <v>344.55</v>
          </cell>
          <cell r="D516">
            <v>1.03041</v>
          </cell>
        </row>
        <row r="517">
          <cell r="B517">
            <v>344.65</v>
          </cell>
          <cell r="D517">
            <v>1.0281199999999999</v>
          </cell>
        </row>
        <row r="518">
          <cell r="B518">
            <v>344.75</v>
          </cell>
          <cell r="D518">
            <v>1.02606</v>
          </cell>
        </row>
        <row r="519">
          <cell r="B519">
            <v>344.85</v>
          </cell>
          <cell r="D519">
            <v>1.0238799999999999</v>
          </cell>
        </row>
        <row r="520">
          <cell r="B520">
            <v>344.95</v>
          </cell>
          <cell r="D520">
            <v>1.02169</v>
          </cell>
        </row>
        <row r="521">
          <cell r="B521">
            <v>345.05</v>
          </cell>
          <cell r="D521">
            <v>1.01962</v>
          </cell>
        </row>
        <row r="522">
          <cell r="B522">
            <v>345.15</v>
          </cell>
          <cell r="D522">
            <v>1.0176700000000001</v>
          </cell>
        </row>
        <row r="523">
          <cell r="B523">
            <v>345.25</v>
          </cell>
          <cell r="D523">
            <v>1.0154799999999999</v>
          </cell>
        </row>
        <row r="524">
          <cell r="B524">
            <v>345.35</v>
          </cell>
          <cell r="D524">
            <v>1.01328</v>
          </cell>
        </row>
        <row r="525">
          <cell r="B525">
            <v>345.45</v>
          </cell>
          <cell r="D525">
            <v>1.0112000000000001</v>
          </cell>
        </row>
        <row r="526">
          <cell r="B526">
            <v>345.55</v>
          </cell>
          <cell r="D526">
            <v>1.00911</v>
          </cell>
        </row>
        <row r="527">
          <cell r="B527">
            <v>345.65</v>
          </cell>
          <cell r="D527">
            <v>1.0067900000000001</v>
          </cell>
        </row>
        <row r="528">
          <cell r="B528">
            <v>345.75</v>
          </cell>
          <cell r="D528">
            <v>1.0049399999999999</v>
          </cell>
        </row>
        <row r="529">
          <cell r="B529">
            <v>345.85</v>
          </cell>
          <cell r="D529">
            <v>1.00261</v>
          </cell>
        </row>
        <row r="530">
          <cell r="B530">
            <v>345.95</v>
          </cell>
          <cell r="D530">
            <v>1.00051</v>
          </cell>
        </row>
        <row r="531">
          <cell r="B531">
            <v>346.05</v>
          </cell>
          <cell r="D531">
            <v>0.99841248999999999</v>
          </cell>
        </row>
        <row r="532">
          <cell r="B532">
            <v>346.15</v>
          </cell>
          <cell r="D532">
            <v>0.99619325000000003</v>
          </cell>
        </row>
        <row r="533">
          <cell r="B533">
            <v>346.25</v>
          </cell>
          <cell r="D533">
            <v>0.99408821999999997</v>
          </cell>
        </row>
        <row r="534">
          <cell r="B534">
            <v>346.35</v>
          </cell>
          <cell r="D534">
            <v>0.99198021999999997</v>
          </cell>
        </row>
        <row r="535">
          <cell r="B535">
            <v>346.45</v>
          </cell>
          <cell r="D535">
            <v>0.98986925000000003</v>
          </cell>
        </row>
        <row r="536">
          <cell r="B536">
            <v>346.55</v>
          </cell>
          <cell r="D536">
            <v>0.98775537999999996</v>
          </cell>
        </row>
        <row r="537">
          <cell r="B537">
            <v>346.65</v>
          </cell>
          <cell r="D537">
            <v>0.98587000999999996</v>
          </cell>
        </row>
        <row r="538">
          <cell r="B538">
            <v>346.75</v>
          </cell>
          <cell r="D538">
            <v>0.98374994000000004</v>
          </cell>
        </row>
        <row r="539">
          <cell r="B539">
            <v>346.85</v>
          </cell>
          <cell r="D539">
            <v>0.98162700999999997</v>
          </cell>
        </row>
        <row r="540">
          <cell r="B540">
            <v>346.95</v>
          </cell>
          <cell r="D540">
            <v>0.97950128999999997</v>
          </cell>
        </row>
        <row r="541">
          <cell r="B541">
            <v>347.05</v>
          </cell>
          <cell r="D541">
            <v>0.97725810999999996</v>
          </cell>
        </row>
        <row r="542">
          <cell r="B542">
            <v>347.15</v>
          </cell>
          <cell r="D542">
            <v>0.97524158999999999</v>
          </cell>
        </row>
        <row r="543">
          <cell r="B543">
            <v>347.25</v>
          </cell>
          <cell r="D543">
            <v>0.97322189000000003</v>
          </cell>
        </row>
        <row r="544">
          <cell r="B544">
            <v>347.35</v>
          </cell>
          <cell r="D544">
            <v>0.97131296</v>
          </cell>
        </row>
        <row r="545">
          <cell r="B545">
            <v>347.45</v>
          </cell>
          <cell r="D545">
            <v>0.96905927999999997</v>
          </cell>
        </row>
        <row r="546">
          <cell r="B546">
            <v>347.55</v>
          </cell>
          <cell r="D546">
            <v>0.96703039000000002</v>
          </cell>
        </row>
        <row r="547">
          <cell r="B547">
            <v>347.65</v>
          </cell>
          <cell r="D547">
            <v>0.96488523999999998</v>
          </cell>
        </row>
        <row r="548">
          <cell r="B548">
            <v>347.75</v>
          </cell>
          <cell r="D548">
            <v>0.96273750000000002</v>
          </cell>
        </row>
        <row r="549">
          <cell r="B549">
            <v>347.85</v>
          </cell>
          <cell r="D549">
            <v>0.96081274000000005</v>
          </cell>
        </row>
        <row r="550">
          <cell r="B550">
            <v>347.95</v>
          </cell>
          <cell r="D550">
            <v>0.95865948999999995</v>
          </cell>
        </row>
        <row r="551">
          <cell r="B551">
            <v>348.05</v>
          </cell>
          <cell r="D551">
            <v>0.95672829000000004</v>
          </cell>
        </row>
        <row r="552">
          <cell r="B552">
            <v>348.15</v>
          </cell>
          <cell r="D552">
            <v>0.95468165999999999</v>
          </cell>
        </row>
        <row r="553">
          <cell r="B553">
            <v>348.25</v>
          </cell>
          <cell r="D553">
            <v>0.95263211000000003</v>
          </cell>
        </row>
        <row r="554">
          <cell r="B554">
            <v>348.35</v>
          </cell>
          <cell r="D554">
            <v>0.95057972000000002</v>
          </cell>
        </row>
        <row r="555">
          <cell r="B555">
            <v>348.45</v>
          </cell>
          <cell r="D555">
            <v>0.94852451000000004</v>
          </cell>
        </row>
        <row r="556">
          <cell r="B556">
            <v>348.55</v>
          </cell>
          <cell r="D556">
            <v>0.94646646999999995</v>
          </cell>
        </row>
        <row r="557">
          <cell r="B557">
            <v>348.65</v>
          </cell>
          <cell r="D557">
            <v>0.94451649999999998</v>
          </cell>
        </row>
        <row r="558">
          <cell r="B558">
            <v>348.75</v>
          </cell>
          <cell r="D558">
            <v>0.94234213</v>
          </cell>
        </row>
        <row r="559">
          <cell r="B559">
            <v>348.85</v>
          </cell>
          <cell r="D559">
            <v>0.94027587999999995</v>
          </cell>
        </row>
        <row r="560">
          <cell r="B560">
            <v>348.95</v>
          </cell>
          <cell r="D560">
            <v>0.93820689999999995</v>
          </cell>
        </row>
        <row r="561">
          <cell r="B561">
            <v>349.05</v>
          </cell>
          <cell r="D561">
            <v>0.93613528999999995</v>
          </cell>
        </row>
        <row r="562">
          <cell r="B562">
            <v>349.15</v>
          </cell>
          <cell r="D562">
            <v>0.93428021999999999</v>
          </cell>
        </row>
        <row r="563">
          <cell r="B563">
            <v>349.25</v>
          </cell>
          <cell r="D563">
            <v>0.93220287999999996</v>
          </cell>
        </row>
        <row r="564">
          <cell r="B564">
            <v>349.35</v>
          </cell>
          <cell r="D564">
            <v>0.93023212</v>
          </cell>
        </row>
        <row r="565">
          <cell r="B565">
            <v>349.45</v>
          </cell>
          <cell r="D565">
            <v>0.92804054999999996</v>
          </cell>
        </row>
        <row r="566">
          <cell r="B566">
            <v>349.55</v>
          </cell>
          <cell r="D566">
            <v>0.92628149999999998</v>
          </cell>
        </row>
        <row r="567">
          <cell r="B567">
            <v>349.65</v>
          </cell>
          <cell r="D567">
            <v>0.92408495999999996</v>
          </cell>
        </row>
        <row r="568">
          <cell r="B568">
            <v>349.75</v>
          </cell>
          <cell r="D568">
            <v>0.92210276000000002</v>
          </cell>
        </row>
        <row r="569">
          <cell r="B569">
            <v>349.85</v>
          </cell>
          <cell r="D569">
            <v>0.92011761999999997</v>
          </cell>
        </row>
        <row r="570">
          <cell r="B570">
            <v>349.95</v>
          </cell>
          <cell r="D570">
            <v>0.91823736</v>
          </cell>
        </row>
        <row r="571">
          <cell r="B571">
            <v>350.05</v>
          </cell>
          <cell r="D571">
            <v>0.91613886</v>
          </cell>
        </row>
        <row r="572">
          <cell r="B572">
            <v>350.15</v>
          </cell>
          <cell r="D572">
            <v>0.91425241999999995</v>
          </cell>
        </row>
        <row r="573">
          <cell r="B573">
            <v>350.25</v>
          </cell>
          <cell r="D573">
            <v>0.91236276999999999</v>
          </cell>
        </row>
        <row r="574">
          <cell r="B574">
            <v>350.35</v>
          </cell>
          <cell r="D574">
            <v>0.91025637000000004</v>
          </cell>
        </row>
        <row r="575">
          <cell r="B575">
            <v>350.45</v>
          </cell>
          <cell r="D575">
            <v>0.90825425999999998</v>
          </cell>
        </row>
        <row r="576">
          <cell r="B576">
            <v>350.55</v>
          </cell>
          <cell r="D576">
            <v>0.90624941000000003</v>
          </cell>
        </row>
        <row r="577">
          <cell r="B577">
            <v>350.65</v>
          </cell>
          <cell r="D577">
            <v>0.90424194000000002</v>
          </cell>
        </row>
        <row r="578">
          <cell r="B578">
            <v>350.75</v>
          </cell>
          <cell r="D578">
            <v>0.90244343999999999</v>
          </cell>
        </row>
        <row r="579">
          <cell r="B579">
            <v>350.85</v>
          </cell>
          <cell r="D579">
            <v>0.90021909</v>
          </cell>
        </row>
        <row r="580">
          <cell r="B580">
            <v>350.95</v>
          </cell>
          <cell r="D580">
            <v>0.89830911000000002</v>
          </cell>
        </row>
        <row r="581">
          <cell r="B581">
            <v>351.05</v>
          </cell>
          <cell r="D581">
            <v>0.89639612999999996</v>
          </cell>
        </row>
        <row r="582">
          <cell r="B582">
            <v>351.15</v>
          </cell>
          <cell r="D582">
            <v>0.89427038999999997</v>
          </cell>
        </row>
        <row r="583">
          <cell r="B583">
            <v>351.25</v>
          </cell>
          <cell r="D583">
            <v>0.89245658000000005</v>
          </cell>
        </row>
        <row r="584">
          <cell r="B584">
            <v>351.35</v>
          </cell>
          <cell r="D584">
            <v>0.89063934</v>
          </cell>
        </row>
        <row r="585">
          <cell r="B585">
            <v>351.45</v>
          </cell>
          <cell r="D585">
            <v>0.88840205999999999</v>
          </cell>
        </row>
        <row r="586">
          <cell r="B586">
            <v>351.55</v>
          </cell>
          <cell r="D586">
            <v>0.88657909999999995</v>
          </cell>
        </row>
        <row r="587">
          <cell r="B587">
            <v>351.65</v>
          </cell>
          <cell r="D587">
            <v>0.88475280999999995</v>
          </cell>
        </row>
        <row r="588">
          <cell r="B588">
            <v>351.75</v>
          </cell>
          <cell r="D588">
            <v>0.88281978000000005</v>
          </cell>
        </row>
        <row r="589">
          <cell r="B589">
            <v>351.85</v>
          </cell>
          <cell r="D589">
            <v>0.88088396000000002</v>
          </cell>
        </row>
        <row r="590">
          <cell r="B590">
            <v>351.95</v>
          </cell>
          <cell r="D590">
            <v>0.87894538</v>
          </cell>
        </row>
        <row r="591">
          <cell r="B591">
            <v>352.05</v>
          </cell>
          <cell r="D591">
            <v>0.87690126000000002</v>
          </cell>
        </row>
        <row r="592">
          <cell r="B592">
            <v>352.15</v>
          </cell>
          <cell r="D592">
            <v>0.87506008999999996</v>
          </cell>
        </row>
        <row r="593">
          <cell r="B593">
            <v>352.25</v>
          </cell>
          <cell r="D593">
            <v>0.87321576999999995</v>
          </cell>
        </row>
        <row r="594">
          <cell r="B594">
            <v>352.35</v>
          </cell>
          <cell r="D594">
            <v>0.87116413000000004</v>
          </cell>
        </row>
        <row r="595">
          <cell r="B595">
            <v>352.45</v>
          </cell>
          <cell r="D595">
            <v>0.86931413999999996</v>
          </cell>
        </row>
        <row r="596">
          <cell r="B596">
            <v>352.55</v>
          </cell>
          <cell r="D596">
            <v>0.86746108</v>
          </cell>
        </row>
        <row r="597">
          <cell r="B597">
            <v>352.65</v>
          </cell>
          <cell r="D597">
            <v>0.86550358999999999</v>
          </cell>
        </row>
        <row r="598">
          <cell r="B598">
            <v>352.75</v>
          </cell>
          <cell r="D598">
            <v>0.86344237999999995</v>
          </cell>
        </row>
        <row r="599">
          <cell r="B599">
            <v>352.85</v>
          </cell>
          <cell r="D599">
            <v>0.86148009000000003</v>
          </cell>
        </row>
        <row r="600">
          <cell r="B600">
            <v>352.95</v>
          </cell>
          <cell r="D600">
            <v>0.85971688999999996</v>
          </cell>
        </row>
        <row r="601">
          <cell r="B601">
            <v>353.05</v>
          </cell>
          <cell r="D601">
            <v>0.85764870000000004</v>
          </cell>
        </row>
        <row r="602">
          <cell r="B602">
            <v>353.15</v>
          </cell>
          <cell r="D602">
            <v>0.85597986000000004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7A209-6DDA-49B8-A91D-5A3A97DFF25C}">
  <dimension ref="A1:X602"/>
  <sheetViews>
    <sheetView tabSelected="1" topLeftCell="K1" zoomScale="93" workbookViewId="0">
      <selection activeCell="R2" sqref="R2:R602"/>
    </sheetView>
  </sheetViews>
  <sheetFormatPr defaultRowHeight="15" x14ac:dyDescent="0.25"/>
  <cols>
    <col min="1" max="1" width="25.140625" customWidth="1"/>
    <col min="2" max="2" width="12.85546875" bestFit="1" customWidth="1"/>
    <col min="3" max="3" width="25.5703125" customWidth="1"/>
    <col min="4" max="4" width="12" style="6" customWidth="1"/>
    <col min="6" max="6" width="19.85546875" customWidth="1"/>
    <col min="7" max="8" width="14.7109375" customWidth="1"/>
    <col min="9" max="9" width="17" customWidth="1"/>
    <col min="10" max="10" width="25.85546875" customWidth="1"/>
    <col min="11" max="11" width="14.42578125" customWidth="1"/>
    <col min="12" max="12" width="23.5703125" customWidth="1"/>
    <col min="13" max="13" width="22.140625" customWidth="1"/>
    <col min="14" max="18" width="21.7109375" customWidth="1"/>
    <col min="19" max="19" width="16.85546875" customWidth="1"/>
    <col min="20" max="20" width="19.5703125" customWidth="1"/>
    <col min="21" max="21" width="16" customWidth="1"/>
    <col min="22" max="22" width="13.28515625" customWidth="1"/>
    <col min="23" max="23" width="17.5703125" customWidth="1"/>
    <col min="24" max="24" width="12.42578125" customWidth="1"/>
  </cols>
  <sheetData>
    <row r="1" spans="1:24" x14ac:dyDescent="0.25">
      <c r="A1" s="26" t="s">
        <v>88</v>
      </c>
      <c r="B1" s="26"/>
      <c r="C1" s="26"/>
      <c r="E1" t="s">
        <v>0</v>
      </c>
      <c r="F1" t="s">
        <v>90</v>
      </c>
      <c r="G1" t="s">
        <v>87</v>
      </c>
      <c r="H1" t="s">
        <v>94</v>
      </c>
      <c r="I1" t="s">
        <v>89</v>
      </c>
      <c r="J1" t="s">
        <v>97</v>
      </c>
      <c r="K1" t="s">
        <v>93</v>
      </c>
      <c r="L1" t="s">
        <v>96</v>
      </c>
      <c r="M1" t="s">
        <v>121</v>
      </c>
      <c r="N1" t="s">
        <v>98</v>
      </c>
      <c r="O1" t="s">
        <v>120</v>
      </c>
      <c r="P1" t="s">
        <v>122</v>
      </c>
      <c r="Q1" t="s">
        <v>128</v>
      </c>
      <c r="R1" t="s">
        <v>129</v>
      </c>
      <c r="S1" t="s">
        <v>112</v>
      </c>
      <c r="T1" t="s">
        <v>113</v>
      </c>
      <c r="U1" t="s">
        <v>114</v>
      </c>
      <c r="V1" t="s">
        <v>115</v>
      </c>
      <c r="W1" t="s">
        <v>73</v>
      </c>
      <c r="X1" t="s">
        <v>116</v>
      </c>
    </row>
    <row r="2" spans="1:24" x14ac:dyDescent="0.25">
      <c r="A2" t="s">
        <v>111</v>
      </c>
      <c r="B2" t="s">
        <v>110</v>
      </c>
      <c r="C2" t="s">
        <v>35</v>
      </c>
      <c r="E2" cm="1">
        <f t="array" ref="E2:E602">_xlfn.SEQUENCE(601,1,0,1)</f>
        <v>0</v>
      </c>
      <c r="F2">
        <f>E2*0.1+20</f>
        <v>20</v>
      </c>
      <c r="G2">
        <f>F2+273.15</f>
        <v>293.14999999999998</v>
      </c>
      <c r="H2" s="4">
        <f>ROUND(1/12*F2-5/3,6)</f>
        <v>0</v>
      </c>
      <c r="I2" s="4">
        <f>ROUND(10000*EXP(($B$3)+($B$4/G2)+($B$5/(G2^2))+($B$6/(G2^3))),6)</f>
        <v>12487.988665000001</v>
      </c>
      <c r="J2" s="4">
        <f>$B$9*(2*$B$8+I2)</f>
        <v>12.507988665000001</v>
      </c>
      <c r="K2" s="4">
        <f>ROUND(1/(1/(I2+2*$B$8)+1/($B$7)),6)</f>
        <v>2220.646671</v>
      </c>
      <c r="L2">
        <f>$B$9*K2</f>
        <v>2.2206466709999999</v>
      </c>
      <c r="M2">
        <f>$B$12*F2+$B$13</f>
        <v>2.2512067303175547</v>
      </c>
      <c r="N2">
        <f>ABS(L2-M2)</f>
        <v>3.0560059317554789E-2</v>
      </c>
      <c r="O2" s="4">
        <f ca="1">ROUND(L2*$B$28,6)+RANDBETWEEN(-1,1)*$B$23+RANDBETWEEN(-1,1)*$B$24</f>
        <v>8.1003501370262398</v>
      </c>
      <c r="P2" s="4">
        <f>M2*$B$22</f>
        <v>8.302837725794852</v>
      </c>
      <c r="Q2" s="4">
        <f ca="1">ABS(O2-P2)</f>
        <v>0.20248758876861217</v>
      </c>
      <c r="R2" s="2">
        <f ca="1">ABS(P2-O2)/P2</f>
        <v>2.4387756988135945E-2</v>
      </c>
      <c r="S2" s="4">
        <f>ROUND($B$18*M2+$B$19,6)</f>
        <v>0</v>
      </c>
      <c r="T2">
        <v>1.7000000000000001E-2</v>
      </c>
      <c r="U2">
        <f>ABS(S2-T2)</f>
        <v>1.7000000000000001E-2</v>
      </c>
      <c r="V2" s="2">
        <f>IF(S2=0, ABS(S2-T2),ABS(S2-T2)/S2)</f>
        <v>1.7000000000000001E-2</v>
      </c>
      <c r="W2">
        <f>(T2+5/3)/(1/12)</f>
        <v>20.204000000000001</v>
      </c>
      <c r="X2" s="2">
        <f>ABS(F2-W2)/F2</f>
        <v>1.0200000000000032E-2</v>
      </c>
    </row>
    <row r="3" spans="1:24" x14ac:dyDescent="0.25">
      <c r="A3" t="s">
        <v>83</v>
      </c>
      <c r="B3">
        <v>-14.633699999999999</v>
      </c>
      <c r="E3">
        <v>1</v>
      </c>
      <c r="F3">
        <f t="shared" ref="F3:F66" si="0">E3*0.1+20</f>
        <v>20.100000000000001</v>
      </c>
      <c r="G3">
        <f t="shared" ref="G3:G66" si="1">F3+273.15</f>
        <v>293.25</v>
      </c>
      <c r="H3" s="4">
        <f t="shared" ref="H3:H66" si="2">ROUND(1/12*F3-5/3,6)</f>
        <v>8.3330000000000001E-3</v>
      </c>
      <c r="I3" s="4">
        <f t="shared" ref="I3:I66" si="3">ROUND(10000*EXP(($B$3)+($B$4/G3)+($B$5/(G3^2))+($B$6/(G3^3))),6)</f>
        <v>12431.825699999999</v>
      </c>
      <c r="J3" s="4">
        <f t="shared" ref="J3:J66" si="4">$B$9*(2*$B$8+I3)</f>
        <v>12.451825700000001</v>
      </c>
      <c r="K3" s="4">
        <f t="shared" ref="K3:K66" si="5">ROUND(1/(1/(I3+2*$B$8)+1/($B$7)),6)</f>
        <v>2218.8698610000001</v>
      </c>
      <c r="L3">
        <f t="shared" ref="L3:L66" si="6">$B$9*K3</f>
        <v>2.2188698610000004</v>
      </c>
      <c r="M3">
        <f>$B$12*F3+$B$13</f>
        <v>2.2488588914946606</v>
      </c>
      <c r="N3">
        <f t="shared" ref="N3:N66" si="7">ABS(L3-M3)</f>
        <v>2.9989030494660174E-2</v>
      </c>
      <c r="O3" s="4">
        <f t="shared" ref="O3:O66" ca="1" si="8">ROUND(L3*$B$28,6)+RANDBETWEEN(-1,1)*$B$23+RANDBETWEEN(-1,1)*$B$24</f>
        <v>8.0934729999999995</v>
      </c>
      <c r="P3" s="4">
        <f t="shared" ref="P3:P66" si="9">M3*$B$22</f>
        <v>8.2941784922867576</v>
      </c>
      <c r="Q3" s="4">
        <f t="shared" ref="Q3:Q66" ca="1" si="10">ABS(O3-P3)</f>
        <v>0.20070549228675816</v>
      </c>
      <c r="R3" s="2">
        <f t="shared" ref="R3:R66" ca="1" si="11">ABS(P3-O3)/P3</f>
        <v>2.4198357013103342E-2</v>
      </c>
      <c r="S3" s="4">
        <f t="shared" ref="S3:S66" si="12">ROUND($B$18*M3+$B$19,6)</f>
        <v>8.3330000000000001E-3</v>
      </c>
      <c r="T3">
        <v>1.995468196548553E-2</v>
      </c>
      <c r="U3">
        <f t="shared" ref="U3:U66" si="13">ABS(S3-T3)</f>
        <v>1.162168196548553E-2</v>
      </c>
      <c r="V3" s="2">
        <f>IF(S3=0, ABS(S3-T3),ABS(S3-T3)/S3)</f>
        <v>1.3946576221631501</v>
      </c>
      <c r="W3">
        <f>(T3+5/3)/(1/12)</f>
        <v>20.239456183585826</v>
      </c>
      <c r="X3" s="2">
        <f t="shared" ref="X3:X66" si="14">ABS(F3-W3)/F3</f>
        <v>6.938118586359442E-3</v>
      </c>
    </row>
    <row r="4" spans="1:24" x14ac:dyDescent="0.25">
      <c r="A4" t="s">
        <v>84</v>
      </c>
      <c r="B4">
        <v>4791.8419999999996</v>
      </c>
      <c r="E4">
        <v>2</v>
      </c>
      <c r="F4">
        <f t="shared" si="0"/>
        <v>20.2</v>
      </c>
      <c r="G4">
        <f t="shared" si="1"/>
        <v>293.34999999999997</v>
      </c>
      <c r="H4" s="4">
        <f t="shared" si="2"/>
        <v>1.6667000000000001E-2</v>
      </c>
      <c r="I4" s="4">
        <f t="shared" si="3"/>
        <v>12375.948216999999</v>
      </c>
      <c r="J4" s="4">
        <f t="shared" si="4"/>
        <v>12.395948216999999</v>
      </c>
      <c r="K4" s="4">
        <f t="shared" si="5"/>
        <v>2217.088964</v>
      </c>
      <c r="L4">
        <f t="shared" si="6"/>
        <v>2.2170889640000002</v>
      </c>
      <c r="M4">
        <f>$B$12*F4+$B$13</f>
        <v>2.246511052671766</v>
      </c>
      <c r="N4">
        <f t="shared" si="7"/>
        <v>2.9422088671765767E-2</v>
      </c>
      <c r="O4" s="4">
        <f t="shared" ca="1" si="8"/>
        <v>8.0869769999999992</v>
      </c>
      <c r="P4" s="4">
        <f t="shared" si="9"/>
        <v>8.2855192587786632</v>
      </c>
      <c r="Q4" s="4">
        <f t="shared" ca="1" si="10"/>
        <v>0.19854225877866405</v>
      </c>
      <c r="R4" s="2">
        <f t="shared" ca="1" si="11"/>
        <v>2.3962560773521199E-2</v>
      </c>
      <c r="S4" s="4">
        <f t="shared" si="12"/>
        <v>1.6667000000000001E-2</v>
      </c>
      <c r="T4">
        <v>2.5642401531156576E-2</v>
      </c>
      <c r="U4">
        <f t="shared" si="13"/>
        <v>8.9754015311565745E-3</v>
      </c>
      <c r="V4" s="2">
        <f t="shared" ref="V4:V66" si="15">IF(S4=0, ABS(S4-T4),ABS(S4-T4)/S4)</f>
        <v>0.53851332160296239</v>
      </c>
      <c r="W4">
        <f>(T4+5/3)/(1/12)</f>
        <v>20.307708818373879</v>
      </c>
      <c r="X4" s="2">
        <f t="shared" si="14"/>
        <v>5.3321197214791817E-3</v>
      </c>
    </row>
    <row r="5" spans="1:24" x14ac:dyDescent="0.25">
      <c r="A5" t="s">
        <v>85</v>
      </c>
      <c r="B5">
        <v>-115334</v>
      </c>
      <c r="E5">
        <v>3</v>
      </c>
      <c r="F5">
        <f t="shared" si="0"/>
        <v>20.3</v>
      </c>
      <c r="G5">
        <f t="shared" si="1"/>
        <v>293.45</v>
      </c>
      <c r="H5" s="4">
        <f t="shared" si="2"/>
        <v>2.5000000000000001E-2</v>
      </c>
      <c r="I5" s="4">
        <f t="shared" si="3"/>
        <v>12320.354608</v>
      </c>
      <c r="J5" s="4">
        <f t="shared" si="4"/>
        <v>12.340354608</v>
      </c>
      <c r="K5" s="4">
        <f t="shared" si="5"/>
        <v>2215.303981</v>
      </c>
      <c r="L5">
        <f t="shared" si="6"/>
        <v>2.2153039809999999</v>
      </c>
      <c r="M5">
        <f>$B$12*F5+$B$13</f>
        <v>2.2441632138488719</v>
      </c>
      <c r="N5">
        <f t="shared" si="7"/>
        <v>2.885923284887193E-2</v>
      </c>
      <c r="O5" s="4">
        <f t="shared" ca="1" si="8"/>
        <v>8.08006986297376</v>
      </c>
      <c r="P5" s="4">
        <f t="shared" si="9"/>
        <v>8.2768600252705706</v>
      </c>
      <c r="Q5" s="4">
        <f t="shared" ca="1" si="10"/>
        <v>0.19679016229681068</v>
      </c>
      <c r="R5" s="2">
        <f t="shared" ca="1" si="11"/>
        <v>2.377594422232332E-2</v>
      </c>
      <c r="S5" s="4">
        <f t="shared" si="12"/>
        <v>2.5000000000000001E-2</v>
      </c>
      <c r="T5">
        <v>3.233074243996794E-2</v>
      </c>
      <c r="U5">
        <f t="shared" si="13"/>
        <v>7.3307424399679383E-3</v>
      </c>
      <c r="V5" s="2">
        <f t="shared" si="15"/>
        <v>0.29322969759871753</v>
      </c>
      <c r="W5">
        <f>(T5+5/3)/(1/12)</f>
        <v>20.387968909279618</v>
      </c>
      <c r="X5" s="2">
        <f t="shared" si="14"/>
        <v>4.3334438068776838E-3</v>
      </c>
    </row>
    <row r="6" spans="1:24" x14ac:dyDescent="0.25">
      <c r="A6" t="s">
        <v>86</v>
      </c>
      <c r="B6">
        <v>-3730535</v>
      </c>
      <c r="E6">
        <v>4</v>
      </c>
      <c r="F6">
        <f t="shared" si="0"/>
        <v>20.399999999999999</v>
      </c>
      <c r="G6">
        <f t="shared" si="1"/>
        <v>293.54999999999995</v>
      </c>
      <c r="H6" s="4">
        <f t="shared" si="2"/>
        <v>3.3333000000000002E-2</v>
      </c>
      <c r="I6" s="4">
        <f t="shared" si="3"/>
        <v>12265.043276</v>
      </c>
      <c r="J6" s="4">
        <f t="shared" si="4"/>
        <v>12.285043276000001</v>
      </c>
      <c r="K6" s="4">
        <f t="shared" si="5"/>
        <v>2213.5149179999999</v>
      </c>
      <c r="L6">
        <f t="shared" si="6"/>
        <v>2.213514918</v>
      </c>
      <c r="M6">
        <f>$B$12*F6+$B$13</f>
        <v>2.2418153750259773</v>
      </c>
      <c r="N6">
        <f t="shared" si="7"/>
        <v>2.8300457025977277E-2</v>
      </c>
      <c r="O6" s="4">
        <f t="shared" ca="1" si="8"/>
        <v>8.0739507725947526</v>
      </c>
      <c r="P6" s="4">
        <f t="shared" si="9"/>
        <v>8.2682007917624745</v>
      </c>
      <c r="Q6" s="4">
        <f t="shared" ca="1" si="10"/>
        <v>0.19425001916772189</v>
      </c>
      <c r="R6" s="2">
        <f t="shared" ca="1" si="11"/>
        <v>2.3493626250737795E-2</v>
      </c>
      <c r="S6" s="4">
        <f t="shared" si="12"/>
        <v>3.3333000000000002E-2</v>
      </c>
      <c r="T6">
        <v>3.8074327832822344E-2</v>
      </c>
      <c r="U6">
        <f t="shared" si="13"/>
        <v>4.7413278328223424E-3</v>
      </c>
      <c r="V6" s="2">
        <f t="shared" si="15"/>
        <v>0.14224125739724425</v>
      </c>
      <c r="W6">
        <f>(T6+5/3)/(1/12)</f>
        <v>20.45689193399387</v>
      </c>
      <c r="X6" s="2">
        <f t="shared" si="14"/>
        <v>2.7888202938172028E-3</v>
      </c>
    </row>
    <row r="7" spans="1:24" x14ac:dyDescent="0.25">
      <c r="A7" t="s">
        <v>91</v>
      </c>
      <c r="B7">
        <f>2700</f>
        <v>2700</v>
      </c>
      <c r="C7" t="s">
        <v>37</v>
      </c>
      <c r="E7">
        <v>5</v>
      </c>
      <c r="F7">
        <f t="shared" si="0"/>
        <v>20.5</v>
      </c>
      <c r="G7">
        <f t="shared" si="1"/>
        <v>293.64999999999998</v>
      </c>
      <c r="H7" s="4">
        <f t="shared" si="2"/>
        <v>4.1667000000000003E-2</v>
      </c>
      <c r="I7" s="4">
        <f t="shared" si="3"/>
        <v>12210.012634000001</v>
      </c>
      <c r="J7" s="4">
        <f t="shared" si="4"/>
        <v>12.230012634000001</v>
      </c>
      <c r="K7" s="4">
        <f t="shared" si="5"/>
        <v>2211.7217799999999</v>
      </c>
      <c r="L7">
        <f t="shared" si="6"/>
        <v>2.21172178</v>
      </c>
      <c r="M7">
        <f>$B$12*F7+$B$13</f>
        <v>2.2394675362030831</v>
      </c>
      <c r="N7">
        <f t="shared" si="7"/>
        <v>2.7745756203083172E-2</v>
      </c>
      <c r="O7" s="4">
        <f t="shared" ca="1" si="8"/>
        <v>8.0673999999999992</v>
      </c>
      <c r="P7" s="4">
        <f t="shared" si="9"/>
        <v>8.2595415582543819</v>
      </c>
      <c r="Q7" s="4">
        <f t="shared" ca="1" si="10"/>
        <v>0.19214155825438262</v>
      </c>
      <c r="R7" s="2">
        <f t="shared" ca="1" si="11"/>
        <v>2.3262980989830009E-2</v>
      </c>
      <c r="S7" s="4">
        <f t="shared" si="12"/>
        <v>4.1667000000000003E-2</v>
      </c>
      <c r="T7">
        <v>4.4816928713063496E-2</v>
      </c>
      <c r="U7">
        <f t="shared" si="13"/>
        <v>3.1499287130634934E-3</v>
      </c>
      <c r="V7" s="2">
        <f t="shared" si="15"/>
        <v>7.5597684332049178E-2</v>
      </c>
      <c r="W7">
        <f>(T7+5/3)/(1/12)</f>
        <v>20.537803144556765</v>
      </c>
      <c r="X7" s="2">
        <f t="shared" si="14"/>
        <v>1.8440558320373186E-3</v>
      </c>
    </row>
    <row r="8" spans="1:24" x14ac:dyDescent="0.25">
      <c r="A8" t="s">
        <v>92</v>
      </c>
      <c r="B8">
        <v>10</v>
      </c>
      <c r="C8" t="s">
        <v>37</v>
      </c>
      <c r="E8">
        <v>6</v>
      </c>
      <c r="F8">
        <f t="shared" si="0"/>
        <v>20.6</v>
      </c>
      <c r="G8">
        <f t="shared" si="1"/>
        <v>293.75</v>
      </c>
      <c r="H8" s="4">
        <f t="shared" si="2"/>
        <v>0.05</v>
      </c>
      <c r="I8" s="4">
        <f t="shared" si="3"/>
        <v>12155.261103000001</v>
      </c>
      <c r="J8" s="4">
        <f t="shared" si="4"/>
        <v>12.175261103</v>
      </c>
      <c r="K8" s="4">
        <f t="shared" si="5"/>
        <v>2209.9245689999998</v>
      </c>
      <c r="L8">
        <f t="shared" si="6"/>
        <v>2.209924569</v>
      </c>
      <c r="M8">
        <f>$B$12*F8+$B$13</f>
        <v>2.2371196973801886</v>
      </c>
      <c r="N8">
        <f t="shared" si="7"/>
        <v>2.719512838018856E-2</v>
      </c>
      <c r="O8" s="4">
        <f t="shared" ca="1" si="8"/>
        <v>8.0604586355685122</v>
      </c>
      <c r="P8" s="4">
        <f t="shared" si="9"/>
        <v>8.2508823247462857</v>
      </c>
      <c r="Q8" s="4">
        <f t="shared" ca="1" si="10"/>
        <v>0.19042368917777353</v>
      </c>
      <c r="R8" s="2">
        <f t="shared" ca="1" si="11"/>
        <v>2.3079191010475241E-2</v>
      </c>
      <c r="S8" s="4">
        <f t="shared" si="12"/>
        <v>0.05</v>
      </c>
      <c r="T8">
        <v>5.1586249909778253E-2</v>
      </c>
      <c r="U8">
        <f t="shared" si="13"/>
        <v>1.5862499097782506E-3</v>
      </c>
      <c r="V8" s="2">
        <f t="shared" si="15"/>
        <v>3.1724998195565013E-2</v>
      </c>
      <c r="W8">
        <f>(T8+5/3)/(1/12)</f>
        <v>20.619034998917343</v>
      </c>
      <c r="X8" s="2">
        <f t="shared" si="14"/>
        <v>9.2402907365734383E-4</v>
      </c>
    </row>
    <row r="9" spans="1:24" x14ac:dyDescent="0.25">
      <c r="A9" t="s">
        <v>95</v>
      </c>
      <c r="B9">
        <f>0.001</f>
        <v>1E-3</v>
      </c>
      <c r="C9" t="s">
        <v>83</v>
      </c>
      <c r="E9">
        <v>7</v>
      </c>
      <c r="F9">
        <f t="shared" si="0"/>
        <v>20.7</v>
      </c>
      <c r="G9">
        <f t="shared" si="1"/>
        <v>293.84999999999997</v>
      </c>
      <c r="H9" s="4">
        <f t="shared" si="2"/>
        <v>5.8333000000000003E-2</v>
      </c>
      <c r="I9" s="4">
        <f t="shared" si="3"/>
        <v>12100.787114999999</v>
      </c>
      <c r="J9" s="4">
        <f t="shared" si="4"/>
        <v>12.120787114999999</v>
      </c>
      <c r="K9" s="4">
        <f t="shared" si="5"/>
        <v>2208.12329</v>
      </c>
      <c r="L9">
        <f t="shared" si="6"/>
        <v>2.2081232900000001</v>
      </c>
      <c r="M9">
        <f>$B$12*F9+$B$13</f>
        <v>2.2347718585572944</v>
      </c>
      <c r="N9">
        <f t="shared" si="7"/>
        <v>2.6648568557294361E-2</v>
      </c>
      <c r="O9" s="4">
        <f t="shared" ca="1" si="8"/>
        <v>8.0546593644314868</v>
      </c>
      <c r="P9" s="4">
        <f t="shared" si="9"/>
        <v>8.2422230912381931</v>
      </c>
      <c r="Q9" s="4">
        <f t="shared" ca="1" si="10"/>
        <v>0.1875637268067063</v>
      </c>
      <c r="R9" s="2">
        <f t="shared" ca="1" si="11"/>
        <v>2.2756448682648971E-2</v>
      </c>
      <c r="S9" s="4">
        <f t="shared" si="12"/>
        <v>5.8333000000000003E-2</v>
      </c>
      <c r="T9">
        <v>5.8382283304936188E-2</v>
      </c>
      <c r="U9">
        <f t="shared" si="13"/>
        <v>4.9283304936184602E-5</v>
      </c>
      <c r="V9" s="2">
        <f t="shared" si="15"/>
        <v>8.4486148382878642E-4</v>
      </c>
      <c r="W9">
        <f>(T9+5/3)/(1/12)</f>
        <v>20.700587399659234</v>
      </c>
      <c r="X9" s="2">
        <f t="shared" si="14"/>
        <v>2.8376795132122363E-5</v>
      </c>
    </row>
    <row r="10" spans="1:24" x14ac:dyDescent="0.25">
      <c r="A10" t="s">
        <v>101</v>
      </c>
      <c r="B10">
        <v>0</v>
      </c>
      <c r="C10" t="s">
        <v>22</v>
      </c>
      <c r="E10">
        <v>8</v>
      </c>
      <c r="F10">
        <f t="shared" si="0"/>
        <v>20.8</v>
      </c>
      <c r="G10">
        <f t="shared" si="1"/>
        <v>293.95</v>
      </c>
      <c r="H10" s="4">
        <f t="shared" si="2"/>
        <v>6.6667000000000004E-2</v>
      </c>
      <c r="I10" s="4">
        <f t="shared" si="3"/>
        <v>12046.589112</v>
      </c>
      <c r="J10" s="4">
        <f t="shared" si="4"/>
        <v>12.066589111999999</v>
      </c>
      <c r="K10" s="4">
        <f t="shared" si="5"/>
        <v>2206.3179490000002</v>
      </c>
      <c r="L10">
        <f t="shared" si="6"/>
        <v>2.2063179490000002</v>
      </c>
      <c r="M10">
        <f>$B$12*F10+$B$13</f>
        <v>2.2324240197343999</v>
      </c>
      <c r="N10">
        <f t="shared" si="7"/>
        <v>2.6106070734399633E-2</v>
      </c>
      <c r="O10" s="4">
        <f t="shared" ca="1" si="8"/>
        <v>8.0480851370262396</v>
      </c>
      <c r="P10" s="4">
        <f t="shared" si="9"/>
        <v>8.2335638577300987</v>
      </c>
      <c r="Q10" s="4">
        <f t="shared" ca="1" si="10"/>
        <v>0.18547872070385907</v>
      </c>
      <c r="R10" s="2">
        <f t="shared" ca="1" si="11"/>
        <v>2.2527149106850247E-2</v>
      </c>
      <c r="S10" s="4">
        <f t="shared" si="12"/>
        <v>6.6667000000000004E-2</v>
      </c>
      <c r="T10">
        <v>6.5205020169476269E-2</v>
      </c>
      <c r="U10">
        <f t="shared" si="13"/>
        <v>1.4619798305237353E-3</v>
      </c>
      <c r="V10" s="2">
        <f t="shared" si="15"/>
        <v>2.1929587809916978E-2</v>
      </c>
      <c r="W10">
        <f>(T10+5/3)/(1/12)</f>
        <v>20.782460242033718</v>
      </c>
      <c r="X10" s="2">
        <f t="shared" si="14"/>
        <v>8.4325759453282784E-4</v>
      </c>
    </row>
    <row r="11" spans="1:24" x14ac:dyDescent="0.25">
      <c r="A11" t="s">
        <v>102</v>
      </c>
      <c r="B11">
        <v>5</v>
      </c>
      <c r="C11" t="s">
        <v>22</v>
      </c>
      <c r="E11">
        <v>9</v>
      </c>
      <c r="F11">
        <f t="shared" si="0"/>
        <v>20.9</v>
      </c>
      <c r="G11">
        <f t="shared" si="1"/>
        <v>294.04999999999995</v>
      </c>
      <c r="H11" s="4">
        <f t="shared" si="2"/>
        <v>7.4999999999999997E-2</v>
      </c>
      <c r="I11" s="4">
        <f t="shared" si="3"/>
        <v>11992.665545</v>
      </c>
      <c r="J11" s="4">
        <f t="shared" si="4"/>
        <v>12.012665545000001</v>
      </c>
      <c r="K11" s="4">
        <f t="shared" si="5"/>
        <v>2204.5085490000001</v>
      </c>
      <c r="L11">
        <f t="shared" si="6"/>
        <v>2.2045085490000003</v>
      </c>
      <c r="M11">
        <f>$B$12*F11+$B$13</f>
        <v>2.2300761809115057</v>
      </c>
      <c r="N11">
        <f t="shared" si="7"/>
        <v>2.5567631911505462E-2</v>
      </c>
      <c r="O11" s="4">
        <f t="shared" ca="1" si="8"/>
        <v>8.0418705014577263</v>
      </c>
      <c r="P11" s="4">
        <f t="shared" si="9"/>
        <v>8.2249046242220043</v>
      </c>
      <c r="Q11" s="4">
        <f t="shared" ca="1" si="10"/>
        <v>0.183034122764278</v>
      </c>
      <c r="R11" s="2">
        <f t="shared" ca="1" si="11"/>
        <v>2.2253646835642332E-2</v>
      </c>
      <c r="S11" s="4">
        <f t="shared" si="12"/>
        <v>7.4999999999999997E-2</v>
      </c>
      <c r="T11">
        <v>7.2054451745251158E-2</v>
      </c>
      <c r="U11">
        <f t="shared" si="13"/>
        <v>2.9455482547488393E-3</v>
      </c>
      <c r="V11" s="2">
        <f t="shared" si="15"/>
        <v>3.9273976729984526E-2</v>
      </c>
      <c r="W11">
        <f>(T11+5/3)/(1/12)</f>
        <v>20.864653420943018</v>
      </c>
      <c r="X11" s="2">
        <f t="shared" si="14"/>
        <v>1.6912238783244348E-3</v>
      </c>
    </row>
    <row r="12" spans="1:24" x14ac:dyDescent="0.25">
      <c r="A12" t="s">
        <v>105</v>
      </c>
      <c r="B12">
        <f>SLOPE(L:L,F:F)</f>
        <v>-2.3478388228943454E-2</v>
      </c>
      <c r="C12" t="s">
        <v>109</v>
      </c>
      <c r="E12">
        <v>10</v>
      </c>
      <c r="F12">
        <f t="shared" si="0"/>
        <v>21</v>
      </c>
      <c r="G12">
        <f t="shared" si="1"/>
        <v>294.14999999999998</v>
      </c>
      <c r="H12" s="4">
        <f t="shared" si="2"/>
        <v>8.3333000000000004E-2</v>
      </c>
      <c r="I12" s="4">
        <f t="shared" si="3"/>
        <v>11939.014874</v>
      </c>
      <c r="J12" s="4">
        <f t="shared" si="4"/>
        <v>11.959014874000001</v>
      </c>
      <c r="K12" s="4">
        <f t="shared" si="5"/>
        <v>2202.695095</v>
      </c>
      <c r="L12">
        <f t="shared" si="6"/>
        <v>2.2026950950000002</v>
      </c>
      <c r="M12">
        <f>$B$12*F12+$B$13</f>
        <v>2.2277283420886111</v>
      </c>
      <c r="N12">
        <f t="shared" si="7"/>
        <v>2.5033247088610988E-2</v>
      </c>
      <c r="O12" s="4">
        <f t="shared" ca="1" si="8"/>
        <v>8.0348593644314867</v>
      </c>
      <c r="P12" s="4">
        <f t="shared" si="9"/>
        <v>8.2162453907139099</v>
      </c>
      <c r="Q12" s="4">
        <f t="shared" ca="1" si="10"/>
        <v>0.18138602628242317</v>
      </c>
      <c r="R12" s="2">
        <f t="shared" ca="1" si="11"/>
        <v>2.2076510334930799E-2</v>
      </c>
      <c r="S12" s="4">
        <f t="shared" si="12"/>
        <v>8.3333000000000004E-2</v>
      </c>
      <c r="T12">
        <v>7.8930568139319632E-2</v>
      </c>
      <c r="U12">
        <f t="shared" si="13"/>
        <v>4.4024318606803725E-3</v>
      </c>
      <c r="V12" s="2">
        <f t="shared" si="15"/>
        <v>5.2829393645739048E-2</v>
      </c>
      <c r="W12">
        <f>(T12+5/3)/(1/12)</f>
        <v>20.947166817671835</v>
      </c>
      <c r="X12" s="2">
        <f t="shared" si="14"/>
        <v>2.5158658251506999E-3</v>
      </c>
    </row>
    <row r="13" spans="1:24" x14ac:dyDescent="0.25">
      <c r="A13" t="s">
        <v>106</v>
      </c>
      <c r="B13">
        <f>INTERCEPT(L:L,F:F)</f>
        <v>2.7207744948964239</v>
      </c>
      <c r="C13" t="s">
        <v>109</v>
      </c>
      <c r="E13">
        <v>11</v>
      </c>
      <c r="F13">
        <f t="shared" si="0"/>
        <v>21.1</v>
      </c>
      <c r="G13">
        <f t="shared" si="1"/>
        <v>294.25</v>
      </c>
      <c r="H13" s="4">
        <f t="shared" si="2"/>
        <v>9.1666999999999998E-2</v>
      </c>
      <c r="I13" s="4">
        <f t="shared" si="3"/>
        <v>11885.635569</v>
      </c>
      <c r="J13" s="4">
        <f t="shared" si="4"/>
        <v>11.905635569000001</v>
      </c>
      <c r="K13" s="4">
        <f t="shared" si="5"/>
        <v>2200.8775919999998</v>
      </c>
      <c r="L13">
        <f t="shared" si="6"/>
        <v>2.2008775919999999</v>
      </c>
      <c r="M13">
        <f>$B$12*F13+$B$13</f>
        <v>2.225380503265717</v>
      </c>
      <c r="N13">
        <f t="shared" si="7"/>
        <v>2.4502911265717131E-2</v>
      </c>
      <c r="O13" s="4">
        <f t="shared" ca="1" si="8"/>
        <v>8.0274596355685119</v>
      </c>
      <c r="P13" s="4">
        <f t="shared" si="9"/>
        <v>8.2075861572058155</v>
      </c>
      <c r="Q13" s="4">
        <f t="shared" ca="1" si="10"/>
        <v>0.18012652163730358</v>
      </c>
      <c r="R13" s="2">
        <f t="shared" ca="1" si="11"/>
        <v>2.1946345513432382E-2</v>
      </c>
      <c r="S13" s="4">
        <f t="shared" si="12"/>
        <v>9.1666999999999998E-2</v>
      </c>
      <c r="T13">
        <v>8.4867512326768008E-2</v>
      </c>
      <c r="U13">
        <f t="shared" si="13"/>
        <v>6.7994876732319909E-3</v>
      </c>
      <c r="V13" s="2">
        <f t="shared" si="15"/>
        <v>7.4175959431769245E-2</v>
      </c>
      <c r="W13">
        <f>(T13+5/3)/(1/12)</f>
        <v>21.018410147921216</v>
      </c>
      <c r="X13" s="2">
        <f t="shared" si="14"/>
        <v>3.8668176340656605E-3</v>
      </c>
    </row>
    <row r="14" spans="1:24" x14ac:dyDescent="0.25">
      <c r="A14" t="s">
        <v>99</v>
      </c>
      <c r="B14">
        <f>MAX(M:M)</f>
        <v>2.2512067303175547</v>
      </c>
      <c r="C14" t="s">
        <v>22</v>
      </c>
      <c r="E14">
        <v>12</v>
      </c>
      <c r="F14">
        <f t="shared" si="0"/>
        <v>21.2</v>
      </c>
      <c r="G14">
        <f t="shared" si="1"/>
        <v>294.34999999999997</v>
      </c>
      <c r="H14" s="4">
        <f t="shared" si="2"/>
        <v>0.1</v>
      </c>
      <c r="I14" s="4">
        <f t="shared" si="3"/>
        <v>11832.526109</v>
      </c>
      <c r="J14" s="4">
        <f t="shared" si="4"/>
        <v>11.852526109000001</v>
      </c>
      <c r="K14" s="4">
        <f t="shared" si="5"/>
        <v>2199.0560439999999</v>
      </c>
      <c r="L14">
        <f t="shared" si="6"/>
        <v>2.1990560439999998</v>
      </c>
      <c r="M14">
        <f>$B$12*F14+$B$13</f>
        <v>2.2230326644428224</v>
      </c>
      <c r="N14">
        <f t="shared" si="7"/>
        <v>2.3976620442822671E-2</v>
      </c>
      <c r="O14" s="4">
        <f t="shared" ca="1" si="8"/>
        <v>8.0212000000000003</v>
      </c>
      <c r="P14" s="4">
        <f t="shared" si="9"/>
        <v>8.1989269236977211</v>
      </c>
      <c r="Q14" s="4">
        <f t="shared" ca="1" si="10"/>
        <v>0.17772692369772081</v>
      </c>
      <c r="R14" s="2">
        <f t="shared" ca="1" si="11"/>
        <v>2.1676851782155639E-2</v>
      </c>
      <c r="S14" s="4">
        <f t="shared" si="12"/>
        <v>0.1</v>
      </c>
      <c r="T14">
        <v>9.1797780801121082E-2</v>
      </c>
      <c r="U14">
        <f t="shared" si="13"/>
        <v>8.2022191988789239E-3</v>
      </c>
      <c r="V14" s="2">
        <f t="shared" si="15"/>
        <v>8.2022191988789239E-2</v>
      </c>
      <c r="W14">
        <f>(T14+5/3)/(1/12)</f>
        <v>21.101573369613455</v>
      </c>
      <c r="X14" s="2">
        <f t="shared" si="14"/>
        <v>4.6427655842709737E-3</v>
      </c>
    </row>
    <row r="15" spans="1:24" x14ac:dyDescent="0.25">
      <c r="A15" t="s">
        <v>100</v>
      </c>
      <c r="B15">
        <f>MIN(M:M)</f>
        <v>0.84250343658094762</v>
      </c>
      <c r="C15" t="s">
        <v>22</v>
      </c>
      <c r="E15">
        <v>13</v>
      </c>
      <c r="F15">
        <f t="shared" si="0"/>
        <v>21.3</v>
      </c>
      <c r="G15">
        <f t="shared" si="1"/>
        <v>294.45</v>
      </c>
      <c r="H15" s="4">
        <f t="shared" si="2"/>
        <v>0.108333</v>
      </c>
      <c r="I15" s="4">
        <f t="shared" si="3"/>
        <v>11779.684982000001</v>
      </c>
      <c r="J15" s="4">
        <f t="shared" si="4"/>
        <v>11.799684982</v>
      </c>
      <c r="K15" s="4">
        <f t="shared" si="5"/>
        <v>2197.2304559999998</v>
      </c>
      <c r="L15">
        <f t="shared" si="6"/>
        <v>2.1972304559999998</v>
      </c>
      <c r="M15">
        <f>$B$12*F15+$B$13</f>
        <v>2.2206848256199283</v>
      </c>
      <c r="N15">
        <f t="shared" si="7"/>
        <v>2.3454369619928528E-2</v>
      </c>
      <c r="O15" s="4">
        <f t="shared" ca="1" si="8"/>
        <v>8.0141448629737599</v>
      </c>
      <c r="P15" s="4">
        <f t="shared" si="9"/>
        <v>8.1902676901896285</v>
      </c>
      <c r="Q15" s="4">
        <f t="shared" ca="1" si="10"/>
        <v>0.17612282721586858</v>
      </c>
      <c r="R15" s="2">
        <f t="shared" ca="1" si="11"/>
        <v>2.1503915852082587E-2</v>
      </c>
      <c r="S15" s="4">
        <f t="shared" si="12"/>
        <v>0.108333</v>
      </c>
      <c r="T15">
        <v>9.8754704531356832E-2</v>
      </c>
      <c r="U15">
        <f t="shared" si="13"/>
        <v>9.5782954686431665E-3</v>
      </c>
      <c r="V15" s="2">
        <f t="shared" si="15"/>
        <v>8.8415307142266586E-2</v>
      </c>
      <c r="W15">
        <f>(T15+5/3)/(1/12)</f>
        <v>21.185056454376284</v>
      </c>
      <c r="X15" s="2">
        <f t="shared" si="14"/>
        <v>5.3964105926627755E-3</v>
      </c>
    </row>
    <row r="16" spans="1:24" x14ac:dyDescent="0.25">
      <c r="A16" t="s">
        <v>107</v>
      </c>
      <c r="B16" s="4">
        <f>MAX(N:N)</f>
        <v>3.0560059317554789E-2</v>
      </c>
      <c r="C16" t="s">
        <v>22</v>
      </c>
      <c r="E16">
        <v>14</v>
      </c>
      <c r="F16">
        <f t="shared" si="0"/>
        <v>21.4</v>
      </c>
      <c r="G16">
        <f t="shared" si="1"/>
        <v>294.54999999999995</v>
      </c>
      <c r="H16" s="4">
        <f t="shared" si="2"/>
        <v>0.11666700000000001</v>
      </c>
      <c r="I16" s="4">
        <f t="shared" si="3"/>
        <v>11727.110688000001</v>
      </c>
      <c r="J16" s="4">
        <f t="shared" si="4"/>
        <v>11.747110688000001</v>
      </c>
      <c r="K16" s="4">
        <f t="shared" si="5"/>
        <v>2195.400834</v>
      </c>
      <c r="L16">
        <f t="shared" si="6"/>
        <v>2.195400834</v>
      </c>
      <c r="M16">
        <f>$B$12*F16+$B$13</f>
        <v>2.2183369867970342</v>
      </c>
      <c r="N16">
        <f t="shared" si="7"/>
        <v>2.2936152797034204E-2</v>
      </c>
      <c r="O16" s="4">
        <f t="shared" ca="1" si="8"/>
        <v>8.007857227405248</v>
      </c>
      <c r="P16" s="4">
        <f t="shared" si="9"/>
        <v>8.1816084566815341</v>
      </c>
      <c r="Q16" s="4">
        <f t="shared" ca="1" si="10"/>
        <v>0.17375122927628617</v>
      </c>
      <c r="R16" s="2">
        <f t="shared" ca="1" si="11"/>
        <v>2.1236805720566073E-2</v>
      </c>
      <c r="S16" s="4">
        <f t="shared" si="12"/>
        <v>0.11666700000000001</v>
      </c>
      <c r="T16">
        <v>0.10573827184964983</v>
      </c>
      <c r="U16">
        <f t="shared" si="13"/>
        <v>1.0928728150350175E-2</v>
      </c>
      <c r="V16" s="2">
        <f t="shared" si="15"/>
        <v>9.3674545075729851E-2</v>
      </c>
      <c r="W16">
        <f>(T16+5/3)/(1/12)</f>
        <v>21.2688592621958</v>
      </c>
      <c r="X16" s="2">
        <f t="shared" si="14"/>
        <v>6.1280718600092736E-3</v>
      </c>
    </row>
    <row r="17" spans="1:24" x14ac:dyDescent="0.25">
      <c r="A17" t="s">
        <v>108</v>
      </c>
      <c r="B17" s="4">
        <f>MIN(N:N)</f>
        <v>3.7316842326218236E-5</v>
      </c>
      <c r="C17" t="s">
        <v>22</v>
      </c>
      <c r="E17">
        <v>15</v>
      </c>
      <c r="F17">
        <f t="shared" si="0"/>
        <v>21.5</v>
      </c>
      <c r="G17">
        <f t="shared" si="1"/>
        <v>294.64999999999998</v>
      </c>
      <c r="H17" s="4">
        <f t="shared" si="2"/>
        <v>0.125</v>
      </c>
      <c r="I17" s="4">
        <f t="shared" si="3"/>
        <v>11674.801732</v>
      </c>
      <c r="J17" s="4">
        <f t="shared" si="4"/>
        <v>11.694801732</v>
      </c>
      <c r="K17" s="4">
        <f t="shared" si="5"/>
        <v>2193.5671819999998</v>
      </c>
      <c r="L17">
        <f t="shared" si="6"/>
        <v>2.1935671819999998</v>
      </c>
      <c r="M17">
        <f>$B$12*F17+$B$13</f>
        <v>2.2159891479741396</v>
      </c>
      <c r="N17">
        <f t="shared" si="7"/>
        <v>2.2421965974139813E-2</v>
      </c>
      <c r="O17" s="4">
        <f t="shared" ca="1" si="8"/>
        <v>8.0007936355685132</v>
      </c>
      <c r="P17" s="4">
        <f t="shared" si="9"/>
        <v>8.1729492231734397</v>
      </c>
      <c r="Q17" s="4">
        <f t="shared" ca="1" si="10"/>
        <v>0.17215558760492655</v>
      </c>
      <c r="R17" s="2">
        <f t="shared" ca="1" si="11"/>
        <v>2.1064071598144714E-2</v>
      </c>
      <c r="S17" s="4">
        <f t="shared" si="12"/>
        <v>0.125</v>
      </c>
      <c r="T17">
        <v>0.11274847097174033</v>
      </c>
      <c r="U17">
        <f t="shared" si="13"/>
        <v>1.2251529028259669E-2</v>
      </c>
      <c r="V17" s="2">
        <f t="shared" si="15"/>
        <v>9.8012232226077356E-2</v>
      </c>
      <c r="W17">
        <f>(T17+5/3)/(1/12)</f>
        <v>21.352981651660887</v>
      </c>
      <c r="X17" s="2">
        <f t="shared" si="14"/>
        <v>6.8380627134471258E-3</v>
      </c>
    </row>
    <row r="18" spans="1:24" x14ac:dyDescent="0.25">
      <c r="A18" t="s">
        <v>103</v>
      </c>
      <c r="B18" s="4">
        <f>($B$11-$B$10)/($B$15-$B$14)</f>
        <v>-3.5493634622926331</v>
      </c>
      <c r="C18" t="s">
        <v>109</v>
      </c>
      <c r="E18">
        <v>16</v>
      </c>
      <c r="F18">
        <f t="shared" si="0"/>
        <v>21.6</v>
      </c>
      <c r="G18">
        <f t="shared" si="1"/>
        <v>294.75</v>
      </c>
      <c r="H18" s="4">
        <f t="shared" si="2"/>
        <v>0.13333300000000001</v>
      </c>
      <c r="I18" s="4">
        <f t="shared" si="3"/>
        <v>11622.756631</v>
      </c>
      <c r="J18" s="4">
        <f t="shared" si="4"/>
        <v>11.642756631000001</v>
      </c>
      <c r="K18" s="4">
        <f t="shared" si="5"/>
        <v>2191.7295060000001</v>
      </c>
      <c r="L18">
        <f t="shared" si="6"/>
        <v>2.1917295060000002</v>
      </c>
      <c r="M18">
        <f>$B$12*F18+$B$13</f>
        <v>2.213641309151245</v>
      </c>
      <c r="N18">
        <f t="shared" si="7"/>
        <v>2.1911803151244857E-2</v>
      </c>
      <c r="O18" s="4">
        <f t="shared" ca="1" si="8"/>
        <v>7.9944759999999997</v>
      </c>
      <c r="P18" s="4">
        <f t="shared" si="9"/>
        <v>8.1642899896653436</v>
      </c>
      <c r="Q18" s="4">
        <f t="shared" ca="1" si="10"/>
        <v>0.16981398966534389</v>
      </c>
      <c r="R18" s="2">
        <f t="shared" ca="1" si="11"/>
        <v>2.0799602890184038E-2</v>
      </c>
      <c r="S18" s="4">
        <f t="shared" si="12"/>
        <v>0.13333300000000001</v>
      </c>
      <c r="T18">
        <v>0.11882352713321125</v>
      </c>
      <c r="U18">
        <f t="shared" si="13"/>
        <v>1.4509472866788761E-2</v>
      </c>
      <c r="V18" s="2">
        <f t="shared" si="15"/>
        <v>0.10882131855421209</v>
      </c>
      <c r="W18">
        <f>(T18+5/3)/(1/12)</f>
        <v>21.425882325598536</v>
      </c>
      <c r="X18" s="2">
        <f t="shared" si="14"/>
        <v>8.0610034445122766E-3</v>
      </c>
    </row>
    <row r="19" spans="1:24" x14ac:dyDescent="0.25">
      <c r="A19" t="s">
        <v>104</v>
      </c>
      <c r="B19" s="4">
        <f>$B$10-$B$18*$B$14</f>
        <v>7.9903509146563936</v>
      </c>
      <c r="C19" t="s">
        <v>109</v>
      </c>
      <c r="E19">
        <v>17</v>
      </c>
      <c r="F19">
        <f t="shared" si="0"/>
        <v>21.7</v>
      </c>
      <c r="G19">
        <f t="shared" si="1"/>
        <v>294.84999999999997</v>
      </c>
      <c r="H19" s="4">
        <f t="shared" si="2"/>
        <v>0.14166699999999999</v>
      </c>
      <c r="I19" s="4">
        <f t="shared" si="3"/>
        <v>11570.973910000001</v>
      </c>
      <c r="J19" s="4">
        <f t="shared" si="4"/>
        <v>11.590973910000001</v>
      </c>
      <c r="K19" s="4">
        <f t="shared" si="5"/>
        <v>2189.8878100000002</v>
      </c>
      <c r="L19">
        <f t="shared" si="6"/>
        <v>2.1898878100000001</v>
      </c>
      <c r="M19">
        <f>$B$12*F19+$B$13</f>
        <v>2.2112934703283509</v>
      </c>
      <c r="N19">
        <f t="shared" si="7"/>
        <v>2.1405660328350784E-2</v>
      </c>
      <c r="O19" s="4">
        <f t="shared" ca="1" si="8"/>
        <v>7.987362862973761</v>
      </c>
      <c r="P19" s="4">
        <f t="shared" si="9"/>
        <v>8.155630756157251</v>
      </c>
      <c r="Q19" s="4">
        <f t="shared" ca="1" si="10"/>
        <v>0.16826789318349</v>
      </c>
      <c r="R19" s="2">
        <f t="shared" ca="1" si="11"/>
        <v>2.063211273468369E-2</v>
      </c>
      <c r="S19" s="4">
        <f t="shared" si="12"/>
        <v>0.14166699999999999</v>
      </c>
      <c r="T19">
        <v>0.12588777376147675</v>
      </c>
      <c r="U19">
        <f t="shared" si="13"/>
        <v>1.5779226238523236E-2</v>
      </c>
      <c r="V19" s="2">
        <f t="shared" si="15"/>
        <v>0.11138251137190198</v>
      </c>
      <c r="W19">
        <f>(T19+5/3)/(1/12)</f>
        <v>21.510653285137725</v>
      </c>
      <c r="X19" s="2">
        <f t="shared" si="14"/>
        <v>8.7256550627776378E-3</v>
      </c>
    </row>
    <row r="20" spans="1:24" x14ac:dyDescent="0.25">
      <c r="A20" s="23" t="s">
        <v>127</v>
      </c>
      <c r="B20" s="23"/>
      <c r="C20" s="23"/>
      <c r="E20">
        <v>18</v>
      </c>
      <c r="F20">
        <f t="shared" si="0"/>
        <v>21.8</v>
      </c>
      <c r="G20">
        <f t="shared" si="1"/>
        <v>294.95</v>
      </c>
      <c r="H20" s="4">
        <f t="shared" si="2"/>
        <v>0.15</v>
      </c>
      <c r="I20" s="4">
        <f t="shared" si="3"/>
        <v>11519.452103</v>
      </c>
      <c r="J20" s="4">
        <f t="shared" si="4"/>
        <v>11.539452103</v>
      </c>
      <c r="K20" s="4">
        <f t="shared" si="5"/>
        <v>2188.0421000000001</v>
      </c>
      <c r="L20">
        <f t="shared" si="6"/>
        <v>2.1880421000000001</v>
      </c>
      <c r="M20">
        <f>$B$12*F20+$B$13</f>
        <v>2.2089456315054568</v>
      </c>
      <c r="N20">
        <f t="shared" si="7"/>
        <v>2.0903531505456652E-2</v>
      </c>
      <c r="O20" s="4">
        <f t="shared" ca="1" si="8"/>
        <v>7.9818075014577259</v>
      </c>
      <c r="P20" s="4">
        <f t="shared" si="9"/>
        <v>8.1469715226491566</v>
      </c>
      <c r="Q20" s="4">
        <f t="shared" ca="1" si="10"/>
        <v>0.1651640211914307</v>
      </c>
      <c r="R20" s="2">
        <f t="shared" ca="1" si="11"/>
        <v>2.027305738485314E-2</v>
      </c>
      <c r="S20" s="4">
        <f t="shared" si="12"/>
        <v>0.15</v>
      </c>
      <c r="T20">
        <v>0.13297861509505859</v>
      </c>
      <c r="U20">
        <f t="shared" si="13"/>
        <v>1.70213849049414E-2</v>
      </c>
      <c r="V20" s="2">
        <f t="shared" si="15"/>
        <v>0.113475899366276</v>
      </c>
      <c r="W20">
        <f>(T20+5/3)/(1/12)</f>
        <v>21.595743381140707</v>
      </c>
      <c r="X20" s="2">
        <f t="shared" si="14"/>
        <v>9.3695696724446602E-3</v>
      </c>
    </row>
    <row r="21" spans="1:24" x14ac:dyDescent="0.25">
      <c r="A21" t="s">
        <v>118</v>
      </c>
      <c r="B21">
        <f>18600</f>
        <v>18600</v>
      </c>
      <c r="C21" t="s">
        <v>37</v>
      </c>
      <c r="E21">
        <v>19</v>
      </c>
      <c r="F21">
        <f t="shared" si="0"/>
        <v>21.9</v>
      </c>
      <c r="G21">
        <f t="shared" si="1"/>
        <v>295.04999999999995</v>
      </c>
      <c r="H21" s="4">
        <f t="shared" si="2"/>
        <v>0.158333</v>
      </c>
      <c r="I21" s="4">
        <f t="shared" si="3"/>
        <v>11468.189754000001</v>
      </c>
      <c r="J21" s="4">
        <f t="shared" si="4"/>
        <v>11.488189754</v>
      </c>
      <c r="K21" s="4">
        <f t="shared" si="5"/>
        <v>2186.1923809999998</v>
      </c>
      <c r="L21">
        <f t="shared" si="6"/>
        <v>2.1861923809999997</v>
      </c>
      <c r="M21">
        <f>$B$12*F21+$B$13</f>
        <v>2.2065977926825622</v>
      </c>
      <c r="N21">
        <f t="shared" si="7"/>
        <v>2.0405411682562491E-2</v>
      </c>
      <c r="O21" s="4">
        <f t="shared" ca="1" si="8"/>
        <v>7.9742897725947515</v>
      </c>
      <c r="P21" s="4">
        <f t="shared" si="9"/>
        <v>8.1383122891410622</v>
      </c>
      <c r="Q21" s="4">
        <f t="shared" ca="1" si="10"/>
        <v>0.16402251654631073</v>
      </c>
      <c r="R21" s="2">
        <f t="shared" ca="1" si="11"/>
        <v>2.0154365022974817E-2</v>
      </c>
      <c r="S21" s="4">
        <f t="shared" si="12"/>
        <v>0.158333</v>
      </c>
      <c r="T21">
        <v>0.14009603751663477</v>
      </c>
      <c r="U21">
        <f t="shared" si="13"/>
        <v>1.8236962483365232E-2</v>
      </c>
      <c r="V21" s="2">
        <f t="shared" si="15"/>
        <v>0.11518105817085024</v>
      </c>
      <c r="W21">
        <f>(T21+5/3)/(1/12)</f>
        <v>21.681152450199619</v>
      </c>
      <c r="X21" s="2">
        <f t="shared" si="14"/>
        <v>9.9930388036703049E-3</v>
      </c>
    </row>
    <row r="22" spans="1:24" x14ac:dyDescent="0.25">
      <c r="A22" t="s">
        <v>117</v>
      </c>
      <c r="B22">
        <f>1+(50000/$B$21)</f>
        <v>3.6881720430107525</v>
      </c>
      <c r="C22" t="s">
        <v>119</v>
      </c>
      <c r="E22">
        <v>20</v>
      </c>
      <c r="F22">
        <f t="shared" si="0"/>
        <v>22</v>
      </c>
      <c r="G22">
        <f t="shared" si="1"/>
        <v>295.14999999999998</v>
      </c>
      <c r="H22" s="4">
        <f t="shared" si="2"/>
        <v>0.16666700000000001</v>
      </c>
      <c r="I22" s="4">
        <f t="shared" si="3"/>
        <v>11417.185414</v>
      </c>
      <c r="J22" s="4">
        <f t="shared" si="4"/>
        <v>11.437185414</v>
      </c>
      <c r="K22" s="4">
        <f t="shared" si="5"/>
        <v>2184.3386580000001</v>
      </c>
      <c r="L22">
        <f t="shared" si="6"/>
        <v>2.1843386580000002</v>
      </c>
      <c r="M22">
        <f>$B$12*F22+$B$13</f>
        <v>2.204249953859668</v>
      </c>
      <c r="N22">
        <f t="shared" si="7"/>
        <v>1.9911295859667888E-2</v>
      </c>
      <c r="O22" s="4">
        <f t="shared" ca="1" si="8"/>
        <v>7.9671218629737615</v>
      </c>
      <c r="P22" s="4">
        <f t="shared" si="9"/>
        <v>8.1296530556329696</v>
      </c>
      <c r="Q22" s="4">
        <f t="shared" ca="1" si="10"/>
        <v>0.16253119265920812</v>
      </c>
      <c r="R22" s="2">
        <f t="shared" ca="1" si="11"/>
        <v>1.9992389779363535E-2</v>
      </c>
      <c r="S22" s="4">
        <f t="shared" si="12"/>
        <v>0.16666700000000001</v>
      </c>
      <c r="T22">
        <v>0.14628156503103817</v>
      </c>
      <c r="U22">
        <f t="shared" si="13"/>
        <v>2.0385434968961835E-2</v>
      </c>
      <c r="V22" s="2">
        <f t="shared" si="15"/>
        <v>0.12231236518904062</v>
      </c>
      <c r="W22">
        <f>(T22+5/3)/(1/12)</f>
        <v>21.75537878037246</v>
      </c>
      <c r="X22" s="2">
        <f t="shared" si="14"/>
        <v>1.1119146346706349E-2</v>
      </c>
    </row>
    <row r="23" spans="1:24" x14ac:dyDescent="0.25">
      <c r="A23" t="s">
        <v>51</v>
      </c>
      <c r="B23">
        <f>(125+1000/$B$22)*10^-6</f>
        <v>3.9613702623906704E-4</v>
      </c>
      <c r="C23" t="s">
        <v>22</v>
      </c>
      <c r="E23">
        <v>21</v>
      </c>
      <c r="F23">
        <f t="shared" si="0"/>
        <v>22.1</v>
      </c>
      <c r="G23">
        <f t="shared" si="1"/>
        <v>295.25</v>
      </c>
      <c r="H23" s="4">
        <f t="shared" si="2"/>
        <v>0.17499999999999999</v>
      </c>
      <c r="I23" s="4">
        <f t="shared" si="3"/>
        <v>11366.437644</v>
      </c>
      <c r="J23" s="4">
        <f t="shared" si="4"/>
        <v>11.386437643999999</v>
      </c>
      <c r="K23" s="4">
        <f t="shared" si="5"/>
        <v>2182.4809380000002</v>
      </c>
      <c r="L23">
        <f t="shared" si="6"/>
        <v>2.1824809380000003</v>
      </c>
      <c r="M23">
        <f>$B$12*F23+$B$13</f>
        <v>2.2019021150367735</v>
      </c>
      <c r="N23">
        <f t="shared" si="7"/>
        <v>1.9421177036773152E-2</v>
      </c>
      <c r="O23" s="4">
        <f t="shared" ca="1" si="8"/>
        <v>7.9615235014577257</v>
      </c>
      <c r="P23" s="4">
        <f t="shared" si="9"/>
        <v>8.1209938221248734</v>
      </c>
      <c r="Q23" s="4">
        <f t="shared" ca="1" si="10"/>
        <v>0.15947032066714772</v>
      </c>
      <c r="R23" s="2">
        <f t="shared" ca="1" si="11"/>
        <v>1.9636798667754928E-2</v>
      </c>
      <c r="S23" s="4">
        <f t="shared" si="12"/>
        <v>0.17499999999999999</v>
      </c>
      <c r="T23">
        <v>0.15345293472008928</v>
      </c>
      <c r="U23">
        <f t="shared" si="13"/>
        <v>2.154706527991071E-2</v>
      </c>
      <c r="V23" s="2">
        <f t="shared" si="15"/>
        <v>0.12312608731377549</v>
      </c>
      <c r="W23">
        <f>(T23+5/3)/(1/12)</f>
        <v>21.841435216641074</v>
      </c>
      <c r="X23" s="2">
        <f t="shared" si="14"/>
        <v>1.1699763952892657E-2</v>
      </c>
    </row>
    <row r="24" spans="1:24" x14ac:dyDescent="0.25">
      <c r="A24" t="s">
        <v>124</v>
      </c>
      <c r="B24">
        <f>(1+20/$B$22)*10^-6 * (MAX(F:F)-MIN(F:F))</f>
        <v>3.8536443148688042E-4</v>
      </c>
      <c r="C24" t="s">
        <v>22</v>
      </c>
      <c r="E24">
        <v>22</v>
      </c>
      <c r="F24">
        <f t="shared" si="0"/>
        <v>22.2</v>
      </c>
      <c r="G24">
        <f t="shared" si="1"/>
        <v>295.34999999999997</v>
      </c>
      <c r="H24" s="4">
        <f t="shared" si="2"/>
        <v>0.183333</v>
      </c>
      <c r="I24" s="4">
        <f t="shared" si="3"/>
        <v>11315.945014999999</v>
      </c>
      <c r="J24" s="4">
        <f t="shared" si="4"/>
        <v>11.335945015</v>
      </c>
      <c r="K24" s="4">
        <f t="shared" si="5"/>
        <v>2180.6192249999999</v>
      </c>
      <c r="L24">
        <f t="shared" si="6"/>
        <v>2.180619225</v>
      </c>
      <c r="M24">
        <f>$B$12*F24+$B$13</f>
        <v>2.1995542762138793</v>
      </c>
      <c r="N24">
        <f t="shared" si="7"/>
        <v>1.8935051213879284E-2</v>
      </c>
      <c r="O24" s="4">
        <f t="shared" ca="1" si="8"/>
        <v>7.9539617725947513</v>
      </c>
      <c r="P24" s="4">
        <f t="shared" si="9"/>
        <v>8.1123345886167808</v>
      </c>
      <c r="Q24" s="4">
        <f t="shared" ca="1" si="10"/>
        <v>0.15837281602202946</v>
      </c>
      <c r="R24" s="2">
        <f t="shared" ca="1" si="11"/>
        <v>1.9522470910440261E-2</v>
      </c>
      <c r="S24" s="4">
        <f t="shared" si="12"/>
        <v>0.183333</v>
      </c>
      <c r="T24">
        <v>0.16065084292842172</v>
      </c>
      <c r="U24">
        <f t="shared" si="13"/>
        <v>2.2682157071578279E-2</v>
      </c>
      <c r="V24" s="2">
        <f t="shared" si="15"/>
        <v>0.12372108170148462</v>
      </c>
      <c r="W24">
        <f>(T24+5/3)/(1/12)</f>
        <v>21.927810115141064</v>
      </c>
      <c r="X24" s="2">
        <f t="shared" si="14"/>
        <v>1.2260805624276373E-2</v>
      </c>
    </row>
    <row r="25" spans="1:24" x14ac:dyDescent="0.25">
      <c r="A25" t="s">
        <v>52</v>
      </c>
      <c r="B25">
        <f>0.5%</f>
        <v>5.0000000000000001E-3</v>
      </c>
      <c r="C25" s="25">
        <f>SUM(B25:B27)</f>
        <v>1.1009999999999999E-2</v>
      </c>
      <c r="E25">
        <v>23</v>
      </c>
      <c r="F25">
        <f t="shared" si="0"/>
        <v>22.3</v>
      </c>
      <c r="G25">
        <f t="shared" si="1"/>
        <v>295.45</v>
      </c>
      <c r="H25" s="4">
        <f t="shared" si="2"/>
        <v>0.191667</v>
      </c>
      <c r="I25" s="4">
        <f t="shared" si="3"/>
        <v>11265.706103</v>
      </c>
      <c r="J25" s="4">
        <f t="shared" si="4"/>
        <v>11.285706103000001</v>
      </c>
      <c r="K25" s="4">
        <f t="shared" si="5"/>
        <v>2178.7535250000001</v>
      </c>
      <c r="L25">
        <f t="shared" si="6"/>
        <v>2.1787535250000003</v>
      </c>
      <c r="M25">
        <f>$B$12*F25+$B$13</f>
        <v>2.1972064373909848</v>
      </c>
      <c r="N25">
        <f t="shared" si="7"/>
        <v>1.8452912390984455E-2</v>
      </c>
      <c r="O25" s="4">
        <f t="shared" ca="1" si="8"/>
        <v>7.947927501457726</v>
      </c>
      <c r="P25" s="4">
        <f t="shared" si="9"/>
        <v>8.1036753551086846</v>
      </c>
      <c r="Q25" s="4">
        <f t="shared" ca="1" si="10"/>
        <v>0.15574785365095867</v>
      </c>
      <c r="R25" s="2">
        <f t="shared" ca="1" si="11"/>
        <v>1.9219409320583501E-2</v>
      </c>
      <c r="S25" s="4">
        <f t="shared" si="12"/>
        <v>0.191667</v>
      </c>
      <c r="T25">
        <v>0.16691930606887123</v>
      </c>
      <c r="U25">
        <f t="shared" si="13"/>
        <v>2.4747693931128772E-2</v>
      </c>
      <c r="V25" s="2">
        <f t="shared" si="15"/>
        <v>0.1291181785655787</v>
      </c>
      <c r="W25">
        <f>(T25+5/3)/(1/12)</f>
        <v>22.003031672826456</v>
      </c>
      <c r="X25" s="2">
        <f t="shared" si="14"/>
        <v>1.3316965344105149E-2</v>
      </c>
    </row>
    <row r="26" spans="1:24" x14ac:dyDescent="0.25">
      <c r="A26" t="s">
        <v>125</v>
      </c>
      <c r="B26">
        <f>(100/10000)% * (MAX(F:F)-MIN(F:F))</f>
        <v>6.0000000000000001E-3</v>
      </c>
      <c r="C26" s="25"/>
      <c r="E26">
        <v>24</v>
      </c>
      <c r="F26">
        <f t="shared" si="0"/>
        <v>22.4</v>
      </c>
      <c r="G26">
        <f t="shared" si="1"/>
        <v>295.54999999999995</v>
      </c>
      <c r="H26" s="4">
        <f t="shared" si="2"/>
        <v>0.2</v>
      </c>
      <c r="I26" s="4">
        <f t="shared" si="3"/>
        <v>11215.719497</v>
      </c>
      <c r="J26" s="4">
        <f t="shared" si="4"/>
        <v>11.235719497</v>
      </c>
      <c r="K26" s="4">
        <f t="shared" si="5"/>
        <v>2176.8838449999998</v>
      </c>
      <c r="L26">
        <f t="shared" si="6"/>
        <v>2.1768838449999999</v>
      </c>
      <c r="M26">
        <f>$B$12*F26+$B$13</f>
        <v>2.1948585985680906</v>
      </c>
      <c r="N26">
        <f t="shared" si="7"/>
        <v>1.7974753568090751E-2</v>
      </c>
      <c r="O26" s="4">
        <f t="shared" ca="1" si="8"/>
        <v>7.9399298629737611</v>
      </c>
      <c r="P26" s="4">
        <f t="shared" si="9"/>
        <v>8.095016121600592</v>
      </c>
      <c r="Q26" s="4">
        <f t="shared" ca="1" si="10"/>
        <v>0.1550862586268309</v>
      </c>
      <c r="R26" s="2">
        <f t="shared" ca="1" si="11"/>
        <v>1.9158239625119654E-2</v>
      </c>
      <c r="S26" s="4">
        <f t="shared" si="12"/>
        <v>0.2</v>
      </c>
      <c r="T26">
        <v>0.17417107728017503</v>
      </c>
      <c r="U26">
        <f t="shared" si="13"/>
        <v>2.5828922719824982E-2</v>
      </c>
      <c r="V26" s="2">
        <f t="shared" si="15"/>
        <v>0.12914461359912491</v>
      </c>
      <c r="W26">
        <f>(T26+5/3)/(1/12)</f>
        <v>22.090052927362102</v>
      </c>
      <c r="X26" s="2">
        <f t="shared" si="14"/>
        <v>1.3836922885620393E-2</v>
      </c>
    </row>
    <row r="27" spans="1:24" x14ac:dyDescent="0.25">
      <c r="A27" t="s">
        <v>126</v>
      </c>
      <c r="B27" s="27">
        <v>1.0000000000000001E-5</v>
      </c>
      <c r="C27" s="25"/>
      <c r="E27">
        <v>25</v>
      </c>
      <c r="F27">
        <f t="shared" si="0"/>
        <v>22.5</v>
      </c>
      <c r="G27">
        <f t="shared" si="1"/>
        <v>295.64999999999998</v>
      </c>
      <c r="H27" s="4">
        <f t="shared" si="2"/>
        <v>0.20833299999999999</v>
      </c>
      <c r="I27" s="4">
        <f t="shared" si="3"/>
        <v>11165.983792000001</v>
      </c>
      <c r="J27" s="4">
        <f t="shared" si="4"/>
        <v>11.185983792000002</v>
      </c>
      <c r="K27" s="4">
        <f t="shared" si="5"/>
        <v>2175.0101890000001</v>
      </c>
      <c r="L27">
        <f t="shared" si="6"/>
        <v>2.175010189</v>
      </c>
      <c r="M27">
        <f>$B$12*F27+$B$13</f>
        <v>2.192510759745196</v>
      </c>
      <c r="N27">
        <f t="shared" si="7"/>
        <v>1.7500570745196065E-2</v>
      </c>
      <c r="O27" s="4">
        <f t="shared" ca="1" si="8"/>
        <v>7.9334812274052489</v>
      </c>
      <c r="P27" s="4">
        <f t="shared" si="9"/>
        <v>8.0863568880924976</v>
      </c>
      <c r="Q27" s="4">
        <f t="shared" ca="1" si="10"/>
        <v>0.15287566068724878</v>
      </c>
      <c r="R27" s="2">
        <f t="shared" ca="1" si="11"/>
        <v>1.8905381348226745E-2</v>
      </c>
      <c r="S27" s="4">
        <f t="shared" si="12"/>
        <v>0.20833299999999999</v>
      </c>
      <c r="T27">
        <v>0.18144933920461195</v>
      </c>
      <c r="U27">
        <f t="shared" si="13"/>
        <v>2.6883660795388037E-2</v>
      </c>
      <c r="V27" s="2">
        <f t="shared" si="15"/>
        <v>0.12904177828470784</v>
      </c>
      <c r="W27">
        <f>(T27+5/3)/(1/12)</f>
        <v>22.177392070455344</v>
      </c>
      <c r="X27" s="2">
        <f t="shared" si="14"/>
        <v>1.4338130201984711E-2</v>
      </c>
    </row>
    <row r="28" spans="1:24" x14ac:dyDescent="0.25">
      <c r="A28" t="s">
        <v>123</v>
      </c>
      <c r="B28">
        <f>$B$22-$B$22*$C$25</f>
        <v>3.6475652688172042</v>
      </c>
      <c r="E28">
        <v>26</v>
      </c>
      <c r="F28">
        <f t="shared" si="0"/>
        <v>22.6</v>
      </c>
      <c r="G28">
        <f t="shared" si="1"/>
        <v>295.75</v>
      </c>
      <c r="H28" s="4">
        <f t="shared" si="2"/>
        <v>0.216667</v>
      </c>
      <c r="I28" s="4">
        <f t="shared" si="3"/>
        <v>11116.497593</v>
      </c>
      <c r="J28" s="4">
        <f t="shared" si="4"/>
        <v>11.136497593</v>
      </c>
      <c r="K28" s="4">
        <f t="shared" si="5"/>
        <v>2173.1325649999999</v>
      </c>
      <c r="L28">
        <f t="shared" si="6"/>
        <v>2.173132565</v>
      </c>
      <c r="M28">
        <f>$B$12*F28+$B$13</f>
        <v>2.1901629209223019</v>
      </c>
      <c r="N28">
        <f t="shared" si="7"/>
        <v>1.7030355922301954E-2</v>
      </c>
      <c r="O28" s="4">
        <f t="shared" ca="1" si="8"/>
        <v>7.9258614985422744</v>
      </c>
      <c r="P28" s="4">
        <f t="shared" si="9"/>
        <v>8.0776976545844033</v>
      </c>
      <c r="Q28" s="4">
        <f t="shared" ca="1" si="10"/>
        <v>0.15183615604212886</v>
      </c>
      <c r="R28" s="2">
        <f t="shared" ca="1" si="11"/>
        <v>1.8796959546505929E-2</v>
      </c>
      <c r="S28" s="4">
        <f t="shared" si="12"/>
        <v>0.216667</v>
      </c>
      <c r="T28">
        <v>0.18780061867398354</v>
      </c>
      <c r="U28">
        <f t="shared" si="13"/>
        <v>2.886638132601646E-2</v>
      </c>
      <c r="V28" s="2">
        <f t="shared" si="15"/>
        <v>0.13322924730584934</v>
      </c>
      <c r="W28">
        <f>(T28+5/3)/(1/12)</f>
        <v>22.253607424087804</v>
      </c>
      <c r="X28" s="2">
        <f t="shared" si="14"/>
        <v>1.5327105128858307E-2</v>
      </c>
    </row>
    <row r="29" spans="1:24" x14ac:dyDescent="0.25">
      <c r="E29">
        <v>27</v>
      </c>
      <c r="F29">
        <f t="shared" si="0"/>
        <v>22.7</v>
      </c>
      <c r="G29">
        <f t="shared" si="1"/>
        <v>295.84999999999997</v>
      </c>
      <c r="H29" s="4">
        <f t="shared" si="2"/>
        <v>0.22500000000000001</v>
      </c>
      <c r="I29" s="4">
        <f t="shared" si="3"/>
        <v>11067.259511</v>
      </c>
      <c r="J29" s="4">
        <f t="shared" si="4"/>
        <v>11.087259511000001</v>
      </c>
      <c r="K29" s="4">
        <f t="shared" si="5"/>
        <v>2171.2509770000001</v>
      </c>
      <c r="L29">
        <f t="shared" si="6"/>
        <v>2.1712509770000001</v>
      </c>
      <c r="M29">
        <f>$B$12*F29+$B$13</f>
        <v>2.1878150820994073</v>
      </c>
      <c r="N29">
        <f t="shared" si="7"/>
        <v>1.65641050994072E-2</v>
      </c>
      <c r="O29" s="4">
        <f t="shared" ca="1" si="8"/>
        <v>7.9205615014577262</v>
      </c>
      <c r="P29" s="4">
        <f t="shared" si="9"/>
        <v>8.0690384210763089</v>
      </c>
      <c r="Q29" s="4">
        <f t="shared" ca="1" si="10"/>
        <v>0.14847691961858267</v>
      </c>
      <c r="R29" s="2">
        <f t="shared" ca="1" si="11"/>
        <v>1.8400819511623753E-2</v>
      </c>
      <c r="S29" s="4">
        <f t="shared" si="12"/>
        <v>0.22500000000000001</v>
      </c>
      <c r="T29">
        <v>0.19513265060782023</v>
      </c>
      <c r="U29">
        <f t="shared" si="13"/>
        <v>2.9867349392179776E-2</v>
      </c>
      <c r="V29" s="2">
        <f t="shared" si="15"/>
        <v>0.13274377507635457</v>
      </c>
      <c r="W29">
        <f>(T29+5/3)/(1/12)</f>
        <v>22.341591807293845</v>
      </c>
      <c r="X29" s="2">
        <f t="shared" si="14"/>
        <v>1.5788907167671982E-2</v>
      </c>
    </row>
    <row r="30" spans="1:24" x14ac:dyDescent="0.25">
      <c r="E30">
        <v>28</v>
      </c>
      <c r="F30">
        <f t="shared" si="0"/>
        <v>22.8</v>
      </c>
      <c r="G30">
        <f t="shared" si="1"/>
        <v>295.95</v>
      </c>
      <c r="H30" s="4">
        <f t="shared" si="2"/>
        <v>0.23333300000000001</v>
      </c>
      <c r="I30" s="4">
        <f t="shared" si="3"/>
        <v>11018.268167</v>
      </c>
      <c r="J30" s="4">
        <f t="shared" si="4"/>
        <v>11.038268167</v>
      </c>
      <c r="K30" s="4">
        <f t="shared" si="5"/>
        <v>2169.3654320000001</v>
      </c>
      <c r="L30">
        <f t="shared" si="6"/>
        <v>2.1693654320000002</v>
      </c>
      <c r="M30">
        <f>$B$12*F30+$B$13</f>
        <v>2.1854672432765132</v>
      </c>
      <c r="N30">
        <f t="shared" si="7"/>
        <v>1.6101811276513001E-2</v>
      </c>
      <c r="O30" s="4">
        <f t="shared" ca="1" si="8"/>
        <v>7.9136835014577258</v>
      </c>
      <c r="P30" s="4">
        <f t="shared" si="9"/>
        <v>8.0603791875682145</v>
      </c>
      <c r="Q30" s="4">
        <f t="shared" ca="1" si="10"/>
        <v>0.14669568611048867</v>
      </c>
      <c r="R30" s="2">
        <f t="shared" ca="1" si="11"/>
        <v>1.8199601122580213E-2</v>
      </c>
      <c r="S30" s="4">
        <f t="shared" si="12"/>
        <v>0.23333300000000001</v>
      </c>
      <c r="T30">
        <v>0.20249112198613889</v>
      </c>
      <c r="U30">
        <f t="shared" si="13"/>
        <v>3.0841878013861124E-2</v>
      </c>
      <c r="V30" s="2">
        <f t="shared" si="15"/>
        <v>0.13217966603035627</v>
      </c>
      <c r="W30">
        <f>(T30+5/3)/(1/12)</f>
        <v>22.429893463833668</v>
      </c>
      <c r="X30" s="2">
        <f t="shared" si="14"/>
        <v>1.6232742814312827E-2</v>
      </c>
    </row>
    <row r="31" spans="1:24" x14ac:dyDescent="0.25">
      <c r="E31">
        <v>29</v>
      </c>
      <c r="F31">
        <f t="shared" si="0"/>
        <v>22.9</v>
      </c>
      <c r="G31">
        <f t="shared" si="1"/>
        <v>296.04999999999995</v>
      </c>
      <c r="H31" s="4">
        <f t="shared" si="2"/>
        <v>0.24166699999999999</v>
      </c>
      <c r="I31" s="4">
        <f t="shared" si="3"/>
        <v>10969.522193000001</v>
      </c>
      <c r="J31" s="4">
        <f t="shared" si="4"/>
        <v>10.989522193000001</v>
      </c>
      <c r="K31" s="4">
        <f t="shared" si="5"/>
        <v>2167.4759349999999</v>
      </c>
      <c r="L31">
        <f t="shared" si="6"/>
        <v>2.1674759350000001</v>
      </c>
      <c r="M31">
        <f>$B$12*F31+$B$13</f>
        <v>2.1831194044536186</v>
      </c>
      <c r="N31">
        <f t="shared" si="7"/>
        <v>1.5643469453618497E-2</v>
      </c>
      <c r="O31" s="4">
        <f t="shared" ca="1" si="8"/>
        <v>7.9063953644314875</v>
      </c>
      <c r="P31" s="4">
        <f t="shared" si="9"/>
        <v>8.0517199540601201</v>
      </c>
      <c r="Q31" s="4">
        <f t="shared" ca="1" si="10"/>
        <v>0.14532458962863259</v>
      </c>
      <c r="R31" s="2">
        <f t="shared" ca="1" si="11"/>
        <v>1.8048887747934148E-2</v>
      </c>
      <c r="S31" s="4">
        <f t="shared" si="12"/>
        <v>0.24166699999999999</v>
      </c>
      <c r="T31">
        <v>0.20892508411344421</v>
      </c>
      <c r="U31">
        <f t="shared" si="13"/>
        <v>3.2741915886555784E-2</v>
      </c>
      <c r="V31" s="2">
        <f t="shared" si="15"/>
        <v>0.13548360300146808</v>
      </c>
      <c r="W31">
        <f>(T31+5/3)/(1/12)</f>
        <v>22.507101009361332</v>
      </c>
      <c r="X31" s="2">
        <f t="shared" si="14"/>
        <v>1.7157161163260562E-2</v>
      </c>
    </row>
    <row r="32" spans="1:24" x14ac:dyDescent="0.25">
      <c r="E32">
        <v>30</v>
      </c>
      <c r="F32">
        <f t="shared" si="0"/>
        <v>23</v>
      </c>
      <c r="G32">
        <f t="shared" si="1"/>
        <v>296.14999999999998</v>
      </c>
      <c r="H32" s="4">
        <f t="shared" si="2"/>
        <v>0.25</v>
      </c>
      <c r="I32" s="4">
        <f t="shared" si="3"/>
        <v>10921.020224</v>
      </c>
      <c r="J32" s="4">
        <f t="shared" si="4"/>
        <v>10.941020224000001</v>
      </c>
      <c r="K32" s="4">
        <f t="shared" si="5"/>
        <v>2165.5824950000001</v>
      </c>
      <c r="L32">
        <f t="shared" si="6"/>
        <v>2.1655824950000002</v>
      </c>
      <c r="M32">
        <f>$B$12*F32+$B$13</f>
        <v>2.1807715656307245</v>
      </c>
      <c r="N32">
        <f t="shared" si="7"/>
        <v>1.5189070630724277E-2</v>
      </c>
      <c r="O32" s="4">
        <f t="shared" ca="1" si="8"/>
        <v>7.8990922274052489</v>
      </c>
      <c r="P32" s="4">
        <f t="shared" si="9"/>
        <v>8.0430607205520257</v>
      </c>
      <c r="Q32" s="4">
        <f t="shared" ca="1" si="10"/>
        <v>0.14396849314677684</v>
      </c>
      <c r="R32" s="2">
        <f t="shared" ca="1" si="11"/>
        <v>1.7899714816139761E-2</v>
      </c>
      <c r="S32" s="4">
        <f t="shared" si="12"/>
        <v>0.25</v>
      </c>
      <c r="T32">
        <v>0.2163372233129775</v>
      </c>
      <c r="U32">
        <f t="shared" si="13"/>
        <v>3.36627766870225E-2</v>
      </c>
      <c r="V32" s="2">
        <f t="shared" si="15"/>
        <v>0.13465110674809</v>
      </c>
      <c r="W32">
        <f>(T32+5/3)/(1/12)</f>
        <v>22.59604667975573</v>
      </c>
      <c r="X32" s="2">
        <f t="shared" si="14"/>
        <v>1.7563187836707381E-2</v>
      </c>
    </row>
    <row r="33" spans="5:24" x14ac:dyDescent="0.25">
      <c r="E33">
        <v>31</v>
      </c>
      <c r="F33">
        <f t="shared" si="0"/>
        <v>23.1</v>
      </c>
      <c r="G33">
        <f t="shared" si="1"/>
        <v>296.25</v>
      </c>
      <c r="H33" s="4">
        <f t="shared" si="2"/>
        <v>0.25833299999999998</v>
      </c>
      <c r="I33" s="4">
        <f t="shared" si="3"/>
        <v>10872.760908</v>
      </c>
      <c r="J33" s="4">
        <f t="shared" si="4"/>
        <v>10.892760908</v>
      </c>
      <c r="K33" s="4">
        <f t="shared" si="5"/>
        <v>2163.6851150000002</v>
      </c>
      <c r="L33">
        <f t="shared" si="6"/>
        <v>2.1636851150000003</v>
      </c>
      <c r="M33">
        <f>$B$12*F33+$B$13</f>
        <v>2.1784237268078299</v>
      </c>
      <c r="N33">
        <f t="shared" si="7"/>
        <v>1.4738611807829649E-2</v>
      </c>
      <c r="O33" s="4">
        <f t="shared" ca="1" si="8"/>
        <v>7.8921722274052488</v>
      </c>
      <c r="P33" s="4">
        <f t="shared" si="9"/>
        <v>8.0344014870439313</v>
      </c>
      <c r="Q33" s="4">
        <f t="shared" ca="1" si="10"/>
        <v>0.14222925963868249</v>
      </c>
      <c r="R33" s="2">
        <f t="shared" ca="1" si="11"/>
        <v>1.7702533271213509E-2</v>
      </c>
      <c r="S33" s="4">
        <f t="shared" si="12"/>
        <v>0.25833299999999998</v>
      </c>
      <c r="T33">
        <v>0.22282650945483459</v>
      </c>
      <c r="U33">
        <f t="shared" si="13"/>
        <v>3.5506490545165387E-2</v>
      </c>
      <c r="V33" s="2">
        <f t="shared" si="15"/>
        <v>0.13744465687761684</v>
      </c>
      <c r="W33">
        <f>(T33+5/3)/(1/12)</f>
        <v>22.673918113458015</v>
      </c>
      <c r="X33" s="2">
        <f t="shared" si="14"/>
        <v>1.8445103313505906E-2</v>
      </c>
    </row>
    <row r="34" spans="5:24" x14ac:dyDescent="0.25">
      <c r="E34">
        <v>32</v>
      </c>
      <c r="F34">
        <f t="shared" si="0"/>
        <v>23.2</v>
      </c>
      <c r="G34">
        <f t="shared" si="1"/>
        <v>296.34999999999997</v>
      </c>
      <c r="H34" s="4">
        <f t="shared" si="2"/>
        <v>0.26666699999999999</v>
      </c>
      <c r="I34" s="4">
        <f t="shared" si="3"/>
        <v>10824.742897</v>
      </c>
      <c r="J34" s="4">
        <f t="shared" si="4"/>
        <v>10.844742897</v>
      </c>
      <c r="K34" s="4">
        <f t="shared" si="5"/>
        <v>2161.7838040000001</v>
      </c>
      <c r="L34">
        <f t="shared" si="6"/>
        <v>2.1617838040000001</v>
      </c>
      <c r="M34">
        <f>$B$12*F34+$B$13</f>
        <v>2.1760758879849358</v>
      </c>
      <c r="N34">
        <f t="shared" si="7"/>
        <v>1.4292083984935644E-2</v>
      </c>
      <c r="O34" s="4">
        <f t="shared" ca="1" si="8"/>
        <v>7.8852479999999998</v>
      </c>
      <c r="P34" s="4">
        <f t="shared" si="9"/>
        <v>8.0257422535358387</v>
      </c>
      <c r="Q34" s="4">
        <f t="shared" ca="1" si="10"/>
        <v>0.14049425353583889</v>
      </c>
      <c r="R34" s="2">
        <f t="shared" ca="1" si="11"/>
        <v>1.750545296591632E-2</v>
      </c>
      <c r="S34" s="4">
        <f t="shared" si="12"/>
        <v>0.26666699999999999</v>
      </c>
      <c r="T34">
        <v>0.23029224443177557</v>
      </c>
      <c r="U34">
        <f t="shared" si="13"/>
        <v>3.6374755568224421E-2</v>
      </c>
      <c r="V34" s="2">
        <f t="shared" si="15"/>
        <v>0.136405162874388</v>
      </c>
      <c r="W34">
        <f>(T34+5/3)/(1/12)</f>
        <v>22.763506933181311</v>
      </c>
      <c r="X34" s="2">
        <f t="shared" si="14"/>
        <v>1.8814356328391721E-2</v>
      </c>
    </row>
    <row r="35" spans="5:24" x14ac:dyDescent="0.25">
      <c r="E35">
        <v>33</v>
      </c>
      <c r="F35">
        <f t="shared" si="0"/>
        <v>23.3</v>
      </c>
      <c r="G35">
        <f t="shared" si="1"/>
        <v>296.45</v>
      </c>
      <c r="H35" s="4">
        <f t="shared" si="2"/>
        <v>0.27500000000000002</v>
      </c>
      <c r="I35" s="4">
        <f t="shared" si="3"/>
        <v>10776.964856000001</v>
      </c>
      <c r="J35" s="4">
        <f t="shared" si="4"/>
        <v>10.796964856000001</v>
      </c>
      <c r="K35" s="4">
        <f t="shared" si="5"/>
        <v>2159.8785670000002</v>
      </c>
      <c r="L35">
        <f t="shared" si="6"/>
        <v>2.1598785670000002</v>
      </c>
      <c r="M35">
        <f>$B$12*F35+$B$13</f>
        <v>2.1737280491620412</v>
      </c>
      <c r="N35">
        <f t="shared" si="7"/>
        <v>1.384948216204096E-2</v>
      </c>
      <c r="O35" s="4">
        <f t="shared" ca="1" si="8"/>
        <v>7.8775164985422741</v>
      </c>
      <c r="P35" s="4">
        <f t="shared" si="9"/>
        <v>8.0170830200277425</v>
      </c>
      <c r="Q35" s="4">
        <f t="shared" ca="1" si="10"/>
        <v>0.13956652148546844</v>
      </c>
      <c r="R35" s="2">
        <f t="shared" ca="1" si="11"/>
        <v>1.7408641164973926E-2</v>
      </c>
      <c r="S35" s="4">
        <f t="shared" si="12"/>
        <v>0.27500000000000002</v>
      </c>
      <c r="T35">
        <v>0.23683678783996759</v>
      </c>
      <c r="U35">
        <f t="shared" si="13"/>
        <v>3.8163212160032434E-2</v>
      </c>
      <c r="V35" s="2">
        <f t="shared" si="15"/>
        <v>0.13877531694557246</v>
      </c>
      <c r="W35">
        <f>(T35+5/3)/(1/12)</f>
        <v>22.842041454079613</v>
      </c>
      <c r="X35" s="2">
        <f t="shared" si="14"/>
        <v>1.9654873215467279E-2</v>
      </c>
    </row>
    <row r="36" spans="5:24" x14ac:dyDescent="0.25">
      <c r="E36">
        <v>34</v>
      </c>
      <c r="F36">
        <f t="shared" si="0"/>
        <v>23.4</v>
      </c>
      <c r="G36">
        <f t="shared" si="1"/>
        <v>296.54999999999995</v>
      </c>
      <c r="H36" s="4">
        <f t="shared" si="2"/>
        <v>0.283333</v>
      </c>
      <c r="I36" s="4">
        <f t="shared" si="3"/>
        <v>10729.425454</v>
      </c>
      <c r="J36" s="4">
        <f t="shared" si="4"/>
        <v>10.749425454000001</v>
      </c>
      <c r="K36" s="4">
        <f t="shared" si="5"/>
        <v>2157.969411</v>
      </c>
      <c r="L36">
        <f t="shared" si="6"/>
        <v>2.1579694110000003</v>
      </c>
      <c r="M36">
        <f>$B$12*F36+$B$13</f>
        <v>2.1713802103391471</v>
      </c>
      <c r="N36">
        <f t="shared" si="7"/>
        <v>1.3410799339146795E-2</v>
      </c>
      <c r="O36" s="4">
        <f t="shared" ca="1" si="8"/>
        <v>7.872115501457726</v>
      </c>
      <c r="P36" s="4">
        <f t="shared" si="9"/>
        <v>8.0084237865196499</v>
      </c>
      <c r="Q36" s="4">
        <f t="shared" ca="1" si="10"/>
        <v>0.13630828506192394</v>
      </c>
      <c r="R36" s="2">
        <f t="shared" ca="1" si="11"/>
        <v>1.7020613381046063E-2</v>
      </c>
      <c r="S36" s="4">
        <f t="shared" si="12"/>
        <v>0.283333</v>
      </c>
      <c r="T36">
        <v>0.24435604308794578</v>
      </c>
      <c r="U36">
        <f t="shared" si="13"/>
        <v>3.8976956912054217E-2</v>
      </c>
      <c r="V36" s="2">
        <f t="shared" si="15"/>
        <v>0.13756589212006443</v>
      </c>
      <c r="W36">
        <f>(T36+5/3)/(1/12)</f>
        <v>22.932272517055349</v>
      </c>
      <c r="X36" s="2">
        <f t="shared" si="14"/>
        <v>1.9988353971993573E-2</v>
      </c>
    </row>
    <row r="37" spans="5:24" x14ac:dyDescent="0.25">
      <c r="E37">
        <v>35</v>
      </c>
      <c r="F37">
        <f t="shared" si="0"/>
        <v>23.5</v>
      </c>
      <c r="G37">
        <f t="shared" si="1"/>
        <v>296.64999999999998</v>
      </c>
      <c r="H37" s="4">
        <f t="shared" si="2"/>
        <v>0.29166700000000001</v>
      </c>
      <c r="I37" s="4">
        <f t="shared" si="3"/>
        <v>10682.123369999999</v>
      </c>
      <c r="J37" s="4">
        <f t="shared" si="4"/>
        <v>10.702123369999999</v>
      </c>
      <c r="K37" s="4">
        <f t="shared" si="5"/>
        <v>2156.0563430000002</v>
      </c>
      <c r="L37">
        <f t="shared" si="6"/>
        <v>2.1560563430000004</v>
      </c>
      <c r="M37">
        <f>$B$12*F37+$B$13</f>
        <v>2.1690323715162529</v>
      </c>
      <c r="N37">
        <f t="shared" si="7"/>
        <v>1.2976028516252569E-2</v>
      </c>
      <c r="O37" s="4">
        <f t="shared" ca="1" si="8"/>
        <v>7.8643667725947513</v>
      </c>
      <c r="P37" s="4">
        <f t="shared" si="9"/>
        <v>7.9997645530115564</v>
      </c>
      <c r="Q37" s="4">
        <f t="shared" ca="1" si="10"/>
        <v>0.13539778041680517</v>
      </c>
      <c r="R37" s="2">
        <f t="shared" ca="1" si="11"/>
        <v>1.6925220676130264E-2</v>
      </c>
      <c r="S37" s="4">
        <f t="shared" si="12"/>
        <v>0.29166700000000001</v>
      </c>
      <c r="T37">
        <v>0.25190160169437648</v>
      </c>
      <c r="U37">
        <f t="shared" si="13"/>
        <v>3.9765398305623534E-2</v>
      </c>
      <c r="V37" s="2">
        <f t="shared" si="15"/>
        <v>0.13633835266116334</v>
      </c>
      <c r="W37">
        <f>(T37+5/3)/(1/12)</f>
        <v>23.022819220332519</v>
      </c>
      <c r="X37" s="2">
        <f t="shared" si="14"/>
        <v>2.030556509223325E-2</v>
      </c>
    </row>
    <row r="38" spans="5:24" x14ac:dyDescent="0.25">
      <c r="E38">
        <v>36</v>
      </c>
      <c r="F38">
        <f t="shared" si="0"/>
        <v>23.6</v>
      </c>
      <c r="G38">
        <f t="shared" si="1"/>
        <v>296.75</v>
      </c>
      <c r="H38" s="4">
        <f t="shared" si="2"/>
        <v>0.3</v>
      </c>
      <c r="I38" s="4">
        <f t="shared" si="3"/>
        <v>10635.057290999999</v>
      </c>
      <c r="J38" s="4">
        <f t="shared" si="4"/>
        <v>10.655057290999999</v>
      </c>
      <c r="K38" s="4">
        <f t="shared" si="5"/>
        <v>2154.139369</v>
      </c>
      <c r="L38">
        <f t="shared" si="6"/>
        <v>2.1541393690000001</v>
      </c>
      <c r="M38">
        <f>$B$12*F38+$B$13</f>
        <v>2.1666845326933584</v>
      </c>
      <c r="N38">
        <f t="shared" si="7"/>
        <v>1.254516369335823E-2</v>
      </c>
      <c r="O38" s="4">
        <f t="shared" ca="1" si="8"/>
        <v>7.8577493644314869</v>
      </c>
      <c r="P38" s="4">
        <f t="shared" si="9"/>
        <v>7.9911053195034611</v>
      </c>
      <c r="Q38" s="4">
        <f t="shared" ca="1" si="10"/>
        <v>0.13335595507197429</v>
      </c>
      <c r="R38" s="2">
        <f t="shared" ca="1" si="11"/>
        <v>1.6688048741705302E-2</v>
      </c>
      <c r="S38" s="4">
        <f t="shared" si="12"/>
        <v>0.3</v>
      </c>
      <c r="T38">
        <v>0.25852846858885725</v>
      </c>
      <c r="U38">
        <f t="shared" si="13"/>
        <v>4.1471531411142737E-2</v>
      </c>
      <c r="V38" s="2">
        <f t="shared" si="15"/>
        <v>0.13823843803714247</v>
      </c>
      <c r="W38">
        <f>(T38+5/3)/(1/12)</f>
        <v>23.102341623066291</v>
      </c>
      <c r="X38" s="2">
        <f t="shared" si="14"/>
        <v>2.1087219361597898E-2</v>
      </c>
    </row>
    <row r="39" spans="5:24" x14ac:dyDescent="0.25">
      <c r="E39">
        <v>37</v>
      </c>
      <c r="F39">
        <f t="shared" si="0"/>
        <v>23.7</v>
      </c>
      <c r="G39">
        <f t="shared" si="1"/>
        <v>296.84999999999997</v>
      </c>
      <c r="H39" s="4">
        <f t="shared" si="2"/>
        <v>0.30833300000000002</v>
      </c>
      <c r="I39" s="4">
        <f t="shared" si="3"/>
        <v>10588.225909999999</v>
      </c>
      <c r="J39" s="4">
        <f t="shared" si="4"/>
        <v>10.60822591</v>
      </c>
      <c r="K39" s="4">
        <f t="shared" si="5"/>
        <v>2152.218496</v>
      </c>
      <c r="L39">
        <f t="shared" si="6"/>
        <v>2.1522184960000001</v>
      </c>
      <c r="M39">
        <f>$B$12*F39+$B$13</f>
        <v>2.1643366938704638</v>
      </c>
      <c r="N39">
        <f t="shared" si="7"/>
        <v>1.2118197870463643E-2</v>
      </c>
      <c r="O39" s="4">
        <f t="shared" ca="1" si="8"/>
        <v>7.8495754985422739</v>
      </c>
      <c r="P39" s="4">
        <f t="shared" si="9"/>
        <v>7.9824460859953659</v>
      </c>
      <c r="Q39" s="4">
        <f t="shared" ca="1" si="10"/>
        <v>0.13287058745309199</v>
      </c>
      <c r="R39" s="2">
        <f t="shared" ca="1" si="11"/>
        <v>1.6645347306034924E-2</v>
      </c>
      <c r="S39" s="4">
        <f t="shared" si="12"/>
        <v>0.30833300000000002</v>
      </c>
      <c r="T39">
        <v>0.26612742456119354</v>
      </c>
      <c r="U39">
        <f t="shared" si="13"/>
        <v>4.2205575438806486E-2</v>
      </c>
      <c r="V39" s="2">
        <f t="shared" si="15"/>
        <v>0.13688309535082682</v>
      </c>
      <c r="W39">
        <f>(T39+5/3)/(1/12)</f>
        <v>23.193529094734323</v>
      </c>
      <c r="X39" s="2">
        <f t="shared" si="14"/>
        <v>2.1370080390956791E-2</v>
      </c>
    </row>
    <row r="40" spans="5:24" x14ac:dyDescent="0.25">
      <c r="E40">
        <v>38</v>
      </c>
      <c r="F40">
        <f t="shared" si="0"/>
        <v>23.8</v>
      </c>
      <c r="G40">
        <f t="shared" si="1"/>
        <v>296.95</v>
      </c>
      <c r="H40" s="4">
        <f t="shared" si="2"/>
        <v>0.31666699999999998</v>
      </c>
      <c r="I40" s="4">
        <f t="shared" si="3"/>
        <v>10541.627931000001</v>
      </c>
      <c r="J40" s="4">
        <f t="shared" si="4"/>
        <v>10.561627931</v>
      </c>
      <c r="K40" s="4">
        <f t="shared" si="5"/>
        <v>2150.2937320000001</v>
      </c>
      <c r="L40">
        <f t="shared" si="6"/>
        <v>2.1502937320000002</v>
      </c>
      <c r="M40">
        <f>$B$12*F40+$B$13</f>
        <v>2.1619888550475697</v>
      </c>
      <c r="N40">
        <f t="shared" si="7"/>
        <v>1.1695123047569478E-2</v>
      </c>
      <c r="O40" s="4">
        <f t="shared" ca="1" si="8"/>
        <v>7.8433477725947514</v>
      </c>
      <c r="P40" s="4">
        <f t="shared" si="9"/>
        <v>7.9737868524872724</v>
      </c>
      <c r="Q40" s="4">
        <f t="shared" ca="1" si="10"/>
        <v>0.13043907989252101</v>
      </c>
      <c r="R40" s="2">
        <f t="shared" ca="1" si="11"/>
        <v>1.6358485912102479E-2</v>
      </c>
      <c r="S40" s="4">
        <f t="shared" si="12"/>
        <v>0.31666699999999998</v>
      </c>
      <c r="T40">
        <v>0.27280936229843805</v>
      </c>
      <c r="U40">
        <f t="shared" si="13"/>
        <v>4.3857637701561925E-2</v>
      </c>
      <c r="V40" s="2">
        <f t="shared" si="15"/>
        <v>0.13849765748108242</v>
      </c>
      <c r="W40">
        <f>(T40+5/3)/(1/12)</f>
        <v>23.27371234758126</v>
      </c>
      <c r="X40" s="2">
        <f t="shared" si="14"/>
        <v>2.2112926572216016E-2</v>
      </c>
    </row>
    <row r="41" spans="5:24" x14ac:dyDescent="0.25">
      <c r="E41">
        <v>39</v>
      </c>
      <c r="F41">
        <f t="shared" si="0"/>
        <v>23.9</v>
      </c>
      <c r="G41">
        <f t="shared" si="1"/>
        <v>297.04999999999995</v>
      </c>
      <c r="H41" s="4">
        <f t="shared" si="2"/>
        <v>0.32500000000000001</v>
      </c>
      <c r="I41" s="4">
        <f t="shared" si="3"/>
        <v>10495.262063</v>
      </c>
      <c r="J41" s="4">
        <f t="shared" si="4"/>
        <v>10.515262063</v>
      </c>
      <c r="K41" s="4">
        <f t="shared" si="5"/>
        <v>2148.3650819999998</v>
      </c>
      <c r="L41">
        <f t="shared" si="6"/>
        <v>2.1483650819999998</v>
      </c>
      <c r="M41">
        <f>$B$12*F41+$B$13</f>
        <v>2.1596410162246755</v>
      </c>
      <c r="N41">
        <f t="shared" si="7"/>
        <v>1.1275934224675765E-2</v>
      </c>
      <c r="O41" s="4">
        <f t="shared" ca="1" si="8"/>
        <v>7.8370835014577258</v>
      </c>
      <c r="P41" s="4">
        <f t="shared" si="9"/>
        <v>7.9651276189791789</v>
      </c>
      <c r="Q41" s="4">
        <f t="shared" ca="1" si="10"/>
        <v>0.12804411752145306</v>
      </c>
      <c r="R41" s="2">
        <f t="shared" ca="1" si="11"/>
        <v>1.6075588948047937E-2</v>
      </c>
      <c r="S41" s="4">
        <f t="shared" si="12"/>
        <v>0.32500000000000001</v>
      </c>
      <c r="T41">
        <v>0.28046162997551971</v>
      </c>
      <c r="U41">
        <f t="shared" si="13"/>
        <v>4.45383700244803E-2</v>
      </c>
      <c r="V41" s="2">
        <f t="shared" si="15"/>
        <v>0.13704113853686245</v>
      </c>
      <c r="W41">
        <f>(T41+5/3)/(1/12)</f>
        <v>23.365539559706239</v>
      </c>
      <c r="X41" s="2">
        <f t="shared" si="14"/>
        <v>2.236236151856736E-2</v>
      </c>
    </row>
    <row r="42" spans="5:24" x14ac:dyDescent="0.25">
      <c r="E42">
        <v>40</v>
      </c>
      <c r="F42">
        <f t="shared" si="0"/>
        <v>24</v>
      </c>
      <c r="G42">
        <f t="shared" si="1"/>
        <v>297.14999999999998</v>
      </c>
      <c r="H42" s="4">
        <f t="shared" si="2"/>
        <v>0.33333299999999999</v>
      </c>
      <c r="I42" s="4">
        <f t="shared" si="3"/>
        <v>10449.127026</v>
      </c>
      <c r="J42" s="4">
        <f t="shared" si="4"/>
        <v>10.469127026000001</v>
      </c>
      <c r="K42" s="4">
        <f t="shared" si="5"/>
        <v>2146.4325549999999</v>
      </c>
      <c r="L42">
        <f t="shared" si="6"/>
        <v>2.1464325550000001</v>
      </c>
      <c r="M42">
        <f>$B$12*F42+$B$13</f>
        <v>2.1572931774017809</v>
      </c>
      <c r="N42">
        <f t="shared" si="7"/>
        <v>1.0860622401780873E-2</v>
      </c>
      <c r="O42" s="4">
        <f t="shared" ca="1" si="8"/>
        <v>7.8284714985422736</v>
      </c>
      <c r="P42" s="4">
        <f t="shared" si="9"/>
        <v>7.9564683854710845</v>
      </c>
      <c r="Q42" s="4">
        <f t="shared" ca="1" si="10"/>
        <v>0.12799688692881084</v>
      </c>
      <c r="R42" s="2">
        <f t="shared" ca="1" si="11"/>
        <v>1.6087148308480639E-2</v>
      </c>
      <c r="S42" s="4">
        <f t="shared" si="12"/>
        <v>0.33333299999999999</v>
      </c>
      <c r="T42">
        <v>0.28719855798630539</v>
      </c>
      <c r="U42">
        <f t="shared" si="13"/>
        <v>4.6134442013694599E-2</v>
      </c>
      <c r="V42" s="2">
        <f t="shared" si="15"/>
        <v>0.13840346444454824</v>
      </c>
      <c r="W42">
        <f>(T42+5/3)/(1/12)</f>
        <v>23.446382695835666</v>
      </c>
      <c r="X42" s="2">
        <f t="shared" si="14"/>
        <v>2.3067387673513906E-2</v>
      </c>
    </row>
    <row r="43" spans="5:24" x14ac:dyDescent="0.25">
      <c r="E43">
        <v>41</v>
      </c>
      <c r="F43">
        <f t="shared" si="0"/>
        <v>24.1</v>
      </c>
      <c r="G43">
        <f t="shared" si="1"/>
        <v>297.25</v>
      </c>
      <c r="H43" s="4">
        <f t="shared" si="2"/>
        <v>0.341667</v>
      </c>
      <c r="I43" s="4">
        <f t="shared" si="3"/>
        <v>10403.221543</v>
      </c>
      <c r="J43" s="4">
        <f t="shared" si="4"/>
        <v>10.423221543</v>
      </c>
      <c r="K43" s="4">
        <f t="shared" si="5"/>
        <v>2144.496157</v>
      </c>
      <c r="L43">
        <f t="shared" si="6"/>
        <v>2.1444961570000003</v>
      </c>
      <c r="M43">
        <f>$B$12*F43+$B$13</f>
        <v>2.1549453385788864</v>
      </c>
      <c r="N43">
        <f t="shared" si="7"/>
        <v>1.044918157888608E-2</v>
      </c>
      <c r="O43" s="4">
        <f t="shared" ca="1" si="8"/>
        <v>7.8229715014577259</v>
      </c>
      <c r="P43" s="4">
        <f t="shared" si="9"/>
        <v>7.9478091519629892</v>
      </c>
      <c r="Q43" s="4">
        <f t="shared" ca="1" si="10"/>
        <v>0.1248376505052633</v>
      </c>
      <c r="R43" s="2">
        <f t="shared" ca="1" si="11"/>
        <v>1.5707177678571996E-2</v>
      </c>
      <c r="S43" s="4">
        <f t="shared" si="12"/>
        <v>0.341667</v>
      </c>
      <c r="T43">
        <v>0.29396338299060693</v>
      </c>
      <c r="U43">
        <f t="shared" si="13"/>
        <v>4.7703617009393073E-2</v>
      </c>
      <c r="V43" s="2">
        <f t="shared" si="15"/>
        <v>0.13962020625168095</v>
      </c>
      <c r="W43">
        <f>(T43+5/3)/(1/12)</f>
        <v>23.527560595887287</v>
      </c>
      <c r="X43" s="2">
        <f t="shared" si="14"/>
        <v>2.3752672369822161E-2</v>
      </c>
    </row>
    <row r="44" spans="5:24" x14ac:dyDescent="0.25">
      <c r="E44">
        <v>42</v>
      </c>
      <c r="F44">
        <f t="shared" si="0"/>
        <v>24.2</v>
      </c>
      <c r="G44">
        <f t="shared" si="1"/>
        <v>297.34999999999997</v>
      </c>
      <c r="H44" s="4">
        <f t="shared" si="2"/>
        <v>0.35</v>
      </c>
      <c r="I44" s="4">
        <f t="shared" si="3"/>
        <v>10357.544349</v>
      </c>
      <c r="J44" s="4">
        <f t="shared" si="4"/>
        <v>10.377544349000001</v>
      </c>
      <c r="K44" s="4">
        <f t="shared" si="5"/>
        <v>2142.555895</v>
      </c>
      <c r="L44">
        <f t="shared" si="6"/>
        <v>2.1425558950000001</v>
      </c>
      <c r="M44">
        <f>$B$12*F44+$B$13</f>
        <v>2.1525974997559922</v>
      </c>
      <c r="N44">
        <f t="shared" si="7"/>
        <v>1.004160475599214E-2</v>
      </c>
      <c r="O44" s="4">
        <f t="shared" ca="1" si="8"/>
        <v>7.8143304985422741</v>
      </c>
      <c r="P44" s="4">
        <f t="shared" si="9"/>
        <v>7.9391499184548957</v>
      </c>
      <c r="Q44" s="4">
        <f t="shared" ca="1" si="10"/>
        <v>0.12481941991262158</v>
      </c>
      <c r="R44" s="2">
        <f t="shared" ca="1" si="11"/>
        <v>1.5722013212330639E-2</v>
      </c>
      <c r="S44" s="4">
        <f t="shared" si="12"/>
        <v>0.35</v>
      </c>
      <c r="T44">
        <v>0.30075608447513652</v>
      </c>
      <c r="U44">
        <f t="shared" si="13"/>
        <v>4.9243915524863457E-2</v>
      </c>
      <c r="V44" s="2">
        <f t="shared" si="15"/>
        <v>0.14069690149960989</v>
      </c>
      <c r="W44">
        <f>(T44+5/3)/(1/12)</f>
        <v>23.609073013701639</v>
      </c>
      <c r="X44" s="2">
        <f t="shared" si="14"/>
        <v>2.4418470508196691E-2</v>
      </c>
    </row>
    <row r="45" spans="5:24" x14ac:dyDescent="0.25">
      <c r="E45">
        <v>43</v>
      </c>
      <c r="F45">
        <f t="shared" si="0"/>
        <v>24.3</v>
      </c>
      <c r="G45">
        <f t="shared" si="1"/>
        <v>297.45</v>
      </c>
      <c r="H45" s="4">
        <f t="shared" si="2"/>
        <v>0.35833300000000001</v>
      </c>
      <c r="I45" s="4">
        <f t="shared" si="3"/>
        <v>10312.094186</v>
      </c>
      <c r="J45" s="4">
        <f t="shared" si="4"/>
        <v>10.332094186000001</v>
      </c>
      <c r="K45" s="4">
        <f t="shared" si="5"/>
        <v>2140.611778</v>
      </c>
      <c r="L45">
        <f t="shared" si="6"/>
        <v>2.1406117779999998</v>
      </c>
      <c r="M45">
        <f>$B$12*F45+$B$13</f>
        <v>2.1502496609330981</v>
      </c>
      <c r="N45">
        <f t="shared" si="7"/>
        <v>9.6378829330983073E-3</v>
      </c>
      <c r="O45" s="4">
        <f t="shared" ca="1" si="8"/>
        <v>7.8076248629737615</v>
      </c>
      <c r="P45" s="4">
        <f t="shared" si="9"/>
        <v>7.9304906849468022</v>
      </c>
      <c r="Q45" s="4">
        <f t="shared" ca="1" si="10"/>
        <v>0.12286582197304075</v>
      </c>
      <c r="R45" s="2">
        <f t="shared" ca="1" si="11"/>
        <v>1.5492839832251177E-2</v>
      </c>
      <c r="S45" s="4">
        <f t="shared" si="12"/>
        <v>0.35833300000000001</v>
      </c>
      <c r="T45">
        <v>0.3075766423630712</v>
      </c>
      <c r="U45">
        <f t="shared" si="13"/>
        <v>5.0756357636928817E-2</v>
      </c>
      <c r="V45" s="2">
        <f t="shared" si="15"/>
        <v>0.14164578098285341</v>
      </c>
      <c r="W45">
        <f>(T45+5/3)/(1/12)</f>
        <v>23.690919708356859</v>
      </c>
      <c r="X45" s="2">
        <f t="shared" si="14"/>
        <v>2.5065032577907084E-2</v>
      </c>
    </row>
    <row r="46" spans="5:24" x14ac:dyDescent="0.25">
      <c r="E46">
        <v>44</v>
      </c>
      <c r="F46">
        <f t="shared" si="0"/>
        <v>24.4</v>
      </c>
      <c r="G46">
        <f t="shared" si="1"/>
        <v>297.54999999999995</v>
      </c>
      <c r="H46" s="4">
        <f t="shared" si="2"/>
        <v>0.36666700000000002</v>
      </c>
      <c r="I46" s="4">
        <f t="shared" si="3"/>
        <v>10266.869801000001</v>
      </c>
      <c r="J46" s="4">
        <f t="shared" si="4"/>
        <v>10.286869801000002</v>
      </c>
      <c r="K46" s="4">
        <f t="shared" si="5"/>
        <v>2138.6638109999999</v>
      </c>
      <c r="L46">
        <f t="shared" si="6"/>
        <v>2.1386638109999998</v>
      </c>
      <c r="M46">
        <f>$B$12*F46+$B$13</f>
        <v>2.1479018221102035</v>
      </c>
      <c r="N46">
        <f t="shared" si="7"/>
        <v>9.2380111102037255E-3</v>
      </c>
      <c r="O46" s="4">
        <f t="shared" ca="1" si="8"/>
        <v>7.8013121370262386</v>
      </c>
      <c r="P46" s="4">
        <f t="shared" si="9"/>
        <v>7.9218314514387069</v>
      </c>
      <c r="Q46" s="4">
        <f t="shared" ca="1" si="10"/>
        <v>0.12051931441246833</v>
      </c>
      <c r="R46" s="2">
        <f t="shared" ca="1" si="11"/>
        <v>1.5213567108977111E-2</v>
      </c>
      <c r="S46" s="4">
        <f t="shared" si="12"/>
        <v>0.36666700000000002</v>
      </c>
      <c r="T46">
        <v>0.31536309117376748</v>
      </c>
      <c r="U46">
        <f t="shared" si="13"/>
        <v>5.1303908826232536E-2</v>
      </c>
      <c r="V46" s="2">
        <f t="shared" si="15"/>
        <v>0.13991962414461223</v>
      </c>
      <c r="W46">
        <f>(T46+5/3)/(1/12)</f>
        <v>23.784357094085212</v>
      </c>
      <c r="X46" s="2">
        <f t="shared" si="14"/>
        <v>2.5231266635851891E-2</v>
      </c>
    </row>
    <row r="47" spans="5:24" x14ac:dyDescent="0.25">
      <c r="E47">
        <v>45</v>
      </c>
      <c r="F47">
        <f t="shared" si="0"/>
        <v>24.5</v>
      </c>
      <c r="G47">
        <f t="shared" si="1"/>
        <v>297.64999999999998</v>
      </c>
      <c r="H47" s="4">
        <f t="shared" si="2"/>
        <v>0.375</v>
      </c>
      <c r="I47" s="4">
        <f t="shared" si="3"/>
        <v>10221.869951000001</v>
      </c>
      <c r="J47" s="4">
        <f t="shared" si="4"/>
        <v>10.241869951</v>
      </c>
      <c r="K47" s="4">
        <f t="shared" si="5"/>
        <v>2136.7120030000001</v>
      </c>
      <c r="L47">
        <f t="shared" si="6"/>
        <v>2.136712003</v>
      </c>
      <c r="M47">
        <f>$B$12*F47+$B$13</f>
        <v>2.1455539832873094</v>
      </c>
      <c r="N47">
        <f t="shared" si="7"/>
        <v>8.8419802873094255E-3</v>
      </c>
      <c r="O47" s="4">
        <f t="shared" ca="1" si="8"/>
        <v>7.7937960000000004</v>
      </c>
      <c r="P47" s="4">
        <f t="shared" si="9"/>
        <v>7.9131722179306134</v>
      </c>
      <c r="Q47" s="4">
        <f t="shared" ca="1" si="10"/>
        <v>0.11937621793061304</v>
      </c>
      <c r="R47" s="2">
        <f t="shared" ca="1" si="11"/>
        <v>1.5085760127918877E-2</v>
      </c>
      <c r="S47" s="4">
        <f t="shared" si="12"/>
        <v>0.375</v>
      </c>
      <c r="T47">
        <v>0.32223842483318871</v>
      </c>
      <c r="U47">
        <f t="shared" si="13"/>
        <v>5.2761575166811292E-2</v>
      </c>
      <c r="V47" s="2">
        <f t="shared" si="15"/>
        <v>0.14069753377816344</v>
      </c>
      <c r="W47">
        <f>(T47+5/3)/(1/12)</f>
        <v>23.866861097998267</v>
      </c>
      <c r="X47" s="2">
        <f t="shared" si="14"/>
        <v>2.5842404163336025E-2</v>
      </c>
    </row>
    <row r="48" spans="5:24" x14ac:dyDescent="0.25">
      <c r="E48">
        <v>46</v>
      </c>
      <c r="F48">
        <f t="shared" si="0"/>
        <v>24.6</v>
      </c>
      <c r="G48">
        <f t="shared" si="1"/>
        <v>297.75</v>
      </c>
      <c r="H48" s="4">
        <f t="shared" si="2"/>
        <v>0.38333299999999998</v>
      </c>
      <c r="I48" s="4">
        <f t="shared" si="3"/>
        <v>10177.0934</v>
      </c>
      <c r="J48" s="4">
        <f t="shared" si="4"/>
        <v>10.1970934</v>
      </c>
      <c r="K48" s="4">
        <f t="shared" si="5"/>
        <v>2134.7563610000002</v>
      </c>
      <c r="L48">
        <f t="shared" si="6"/>
        <v>2.1347563610000004</v>
      </c>
      <c r="M48">
        <f>$B$12*F48+$B$13</f>
        <v>2.1432061444644148</v>
      </c>
      <c r="N48">
        <f t="shared" si="7"/>
        <v>8.4497834644143843E-3</v>
      </c>
      <c r="O48" s="4">
        <f t="shared" ca="1" si="8"/>
        <v>7.7866629999999999</v>
      </c>
      <c r="P48" s="4">
        <f t="shared" si="9"/>
        <v>7.904512984422519</v>
      </c>
      <c r="Q48" s="4">
        <f t="shared" ca="1" si="10"/>
        <v>0.11784998442251915</v>
      </c>
      <c r="R48" s="2">
        <f t="shared" ca="1" si="11"/>
        <v>1.4909202458743121E-2</v>
      </c>
      <c r="S48" s="4">
        <f t="shared" si="12"/>
        <v>0.38333299999999998</v>
      </c>
      <c r="T48">
        <v>0.32914154829328945</v>
      </c>
      <c r="U48">
        <f t="shared" si="13"/>
        <v>5.4191451706710525E-2</v>
      </c>
      <c r="V48" s="2">
        <f t="shared" si="15"/>
        <v>0.1413691273819643</v>
      </c>
      <c r="W48">
        <f>(T48+5/3)/(1/12)</f>
        <v>23.949698579519477</v>
      </c>
      <c r="X48" s="2">
        <f t="shared" si="14"/>
        <v>2.6435017092704224E-2</v>
      </c>
    </row>
    <row r="49" spans="5:24" x14ac:dyDescent="0.25">
      <c r="E49">
        <v>47</v>
      </c>
      <c r="F49">
        <f t="shared" si="0"/>
        <v>24.7</v>
      </c>
      <c r="G49">
        <f t="shared" si="1"/>
        <v>297.84999999999997</v>
      </c>
      <c r="H49" s="4">
        <f t="shared" si="2"/>
        <v>0.39166699999999999</v>
      </c>
      <c r="I49" s="4">
        <f t="shared" si="3"/>
        <v>10132.538918</v>
      </c>
      <c r="J49" s="4">
        <f t="shared" si="4"/>
        <v>10.152538918000001</v>
      </c>
      <c r="K49" s="4">
        <f t="shared" si="5"/>
        <v>2132.7968940000001</v>
      </c>
      <c r="L49">
        <f t="shared" si="6"/>
        <v>2.1327968940000002</v>
      </c>
      <c r="M49">
        <f>$B$12*F49+$B$13</f>
        <v>2.1408583056415207</v>
      </c>
      <c r="N49">
        <f t="shared" si="7"/>
        <v>8.0614116415205217E-3</v>
      </c>
      <c r="O49" s="4">
        <f t="shared" ca="1" si="8"/>
        <v>7.780297501457726</v>
      </c>
      <c r="P49" s="4">
        <f t="shared" si="9"/>
        <v>7.8958537509144255</v>
      </c>
      <c r="Q49" s="4">
        <f t="shared" ca="1" si="10"/>
        <v>0.11555624945669951</v>
      </c>
      <c r="R49" s="2">
        <f t="shared" ca="1" si="11"/>
        <v>1.4635054435160586E-2</v>
      </c>
      <c r="S49" s="4">
        <f t="shared" si="12"/>
        <v>0.39166699999999999</v>
      </c>
      <c r="T49">
        <v>0.33700787307874169</v>
      </c>
      <c r="U49">
        <f t="shared" si="13"/>
        <v>5.4659126921258294E-2</v>
      </c>
      <c r="V49" s="2">
        <f t="shared" si="15"/>
        <v>0.13955509890100085</v>
      </c>
      <c r="W49">
        <f>(T49+5/3)/(1/12)</f>
        <v>24.044094476944903</v>
      </c>
      <c r="X49" s="2">
        <f t="shared" si="14"/>
        <v>2.6554879475914849E-2</v>
      </c>
    </row>
    <row r="50" spans="5:24" x14ac:dyDescent="0.25">
      <c r="E50">
        <v>48</v>
      </c>
      <c r="F50">
        <f t="shared" si="0"/>
        <v>24.8</v>
      </c>
      <c r="G50">
        <f t="shared" si="1"/>
        <v>297.95</v>
      </c>
      <c r="H50" s="4">
        <f t="shared" si="2"/>
        <v>0.4</v>
      </c>
      <c r="I50" s="4">
        <f t="shared" si="3"/>
        <v>10088.205285</v>
      </c>
      <c r="J50" s="4">
        <f t="shared" si="4"/>
        <v>10.108205285</v>
      </c>
      <c r="K50" s="4">
        <f t="shared" si="5"/>
        <v>2130.833607</v>
      </c>
      <c r="L50">
        <f t="shared" si="6"/>
        <v>2.130833607</v>
      </c>
      <c r="M50">
        <f>$B$12*F50+$B$13</f>
        <v>2.1385104668186261</v>
      </c>
      <c r="N50">
        <f t="shared" si="7"/>
        <v>7.6768598186260917E-3</v>
      </c>
      <c r="O50" s="4">
        <f t="shared" ca="1" si="8"/>
        <v>7.7719696355685128</v>
      </c>
      <c r="P50" s="4">
        <f t="shared" si="9"/>
        <v>7.8871945174063303</v>
      </c>
      <c r="Q50" s="4">
        <f t="shared" ca="1" si="10"/>
        <v>0.11522488183781743</v>
      </c>
      <c r="R50" s="2">
        <f t="shared" ca="1" si="11"/>
        <v>1.4609108674006513E-2</v>
      </c>
      <c r="S50" s="4">
        <f t="shared" si="12"/>
        <v>0.4</v>
      </c>
      <c r="T50">
        <v>0.34396563034674654</v>
      </c>
      <c r="U50">
        <f t="shared" si="13"/>
        <v>5.603436965325348E-2</v>
      </c>
      <c r="V50" s="2">
        <f t="shared" si="15"/>
        <v>0.1400859241331337</v>
      </c>
      <c r="W50">
        <f>(T50+5/3)/(1/12)</f>
        <v>24.127587564160958</v>
      </c>
      <c r="X50" s="2">
        <f t="shared" si="14"/>
        <v>2.7113404670929139E-2</v>
      </c>
    </row>
    <row r="51" spans="5:24" x14ac:dyDescent="0.25">
      <c r="E51">
        <v>49</v>
      </c>
      <c r="F51">
        <f t="shared" si="0"/>
        <v>24.9</v>
      </c>
      <c r="G51">
        <f t="shared" si="1"/>
        <v>298.04999999999995</v>
      </c>
      <c r="H51" s="4">
        <f t="shared" si="2"/>
        <v>0.408333</v>
      </c>
      <c r="I51" s="4">
        <f t="shared" si="3"/>
        <v>10044.091286000001</v>
      </c>
      <c r="J51" s="4">
        <f t="shared" si="4"/>
        <v>10.064091286000002</v>
      </c>
      <c r="K51" s="4">
        <f t="shared" si="5"/>
        <v>2128.8665099999998</v>
      </c>
      <c r="L51">
        <f t="shared" si="6"/>
        <v>2.1288665099999999</v>
      </c>
      <c r="M51">
        <f>$B$12*F51+$B$13</f>
        <v>2.136162627995732</v>
      </c>
      <c r="N51">
        <f t="shared" si="7"/>
        <v>7.2961179957320432E-3</v>
      </c>
      <c r="O51" s="4">
        <f t="shared" ca="1" si="8"/>
        <v>7.7647946355685127</v>
      </c>
      <c r="P51" s="4">
        <f t="shared" si="9"/>
        <v>7.8785352838982368</v>
      </c>
      <c r="Q51" s="4">
        <f t="shared" ca="1" si="10"/>
        <v>0.11374064832972408</v>
      </c>
      <c r="R51" s="2">
        <f t="shared" ca="1" si="11"/>
        <v>1.4436775902010826E-2</v>
      </c>
      <c r="S51" s="4">
        <f t="shared" si="12"/>
        <v>0.408333</v>
      </c>
      <c r="T51">
        <v>0.35095110636090465</v>
      </c>
      <c r="U51">
        <f t="shared" si="13"/>
        <v>5.7381893639095349E-2</v>
      </c>
      <c r="V51" s="2">
        <f t="shared" si="15"/>
        <v>0.14052720117917325</v>
      </c>
      <c r="W51">
        <f>(T51+5/3)/(1/12)</f>
        <v>24.211413276330855</v>
      </c>
      <c r="X51" s="2">
        <f t="shared" si="14"/>
        <v>2.76540852879174E-2</v>
      </c>
    </row>
    <row r="52" spans="5:24" x14ac:dyDescent="0.25">
      <c r="E52">
        <v>50</v>
      </c>
      <c r="F52">
        <f t="shared" si="0"/>
        <v>25</v>
      </c>
      <c r="G52">
        <f t="shared" si="1"/>
        <v>298.14999999999998</v>
      </c>
      <c r="H52" s="4">
        <f t="shared" si="2"/>
        <v>0.41666700000000001</v>
      </c>
      <c r="I52" s="4">
        <f t="shared" si="3"/>
        <v>10000.195715</v>
      </c>
      <c r="J52" s="4">
        <f t="shared" si="4"/>
        <v>10.020195715</v>
      </c>
      <c r="K52" s="4">
        <f t="shared" si="5"/>
        <v>2126.89561</v>
      </c>
      <c r="L52">
        <f t="shared" si="6"/>
        <v>2.12689561</v>
      </c>
      <c r="M52">
        <f>$B$12*F52+$B$13</f>
        <v>2.1338147891728374</v>
      </c>
      <c r="N52">
        <f t="shared" si="7"/>
        <v>6.9191791728373531E-3</v>
      </c>
      <c r="O52" s="4">
        <f t="shared" ca="1" si="8"/>
        <v>7.7587725014577256</v>
      </c>
      <c r="P52" s="4">
        <f t="shared" si="9"/>
        <v>7.8698760503901415</v>
      </c>
      <c r="Q52" s="4">
        <f t="shared" ca="1" si="10"/>
        <v>0.11110354893241592</v>
      </c>
      <c r="R52" s="2">
        <f t="shared" ca="1" si="11"/>
        <v>1.4117572909792915E-2</v>
      </c>
      <c r="S52" s="4">
        <f t="shared" si="12"/>
        <v>0.41666700000000001</v>
      </c>
      <c r="T52">
        <v>0.35889707489905992</v>
      </c>
      <c r="U52">
        <f t="shared" si="13"/>
        <v>5.7769925100940089E-2</v>
      </c>
      <c r="V52" s="2">
        <f t="shared" si="15"/>
        <v>0.13864770932408876</v>
      </c>
      <c r="W52">
        <f>(T52+5/3)/(1/12)</f>
        <v>24.306764898788721</v>
      </c>
      <c r="X52" s="2">
        <f t="shared" si="14"/>
        <v>2.7729404048451159E-2</v>
      </c>
    </row>
    <row r="53" spans="5:24" x14ac:dyDescent="0.25">
      <c r="E53">
        <v>51</v>
      </c>
      <c r="F53">
        <f t="shared" si="0"/>
        <v>25.1</v>
      </c>
      <c r="G53">
        <f t="shared" si="1"/>
        <v>298.25</v>
      </c>
      <c r="H53" s="4">
        <f t="shared" si="2"/>
        <v>0.42499999999999999</v>
      </c>
      <c r="I53" s="4">
        <f t="shared" si="3"/>
        <v>9956.5173720000003</v>
      </c>
      <c r="J53" s="4">
        <f t="shared" si="4"/>
        <v>9.976517372</v>
      </c>
      <c r="K53" s="4">
        <f t="shared" si="5"/>
        <v>2124.920916</v>
      </c>
      <c r="L53">
        <f t="shared" si="6"/>
        <v>2.1249209160000002</v>
      </c>
      <c r="M53">
        <f>$B$12*F53+$B$13</f>
        <v>2.1314669503499433</v>
      </c>
      <c r="N53">
        <f t="shared" si="7"/>
        <v>6.5460343499430529E-3</v>
      </c>
      <c r="O53" s="4">
        <f t="shared" ca="1" si="8"/>
        <v>7.7503918629737614</v>
      </c>
      <c r="P53" s="4">
        <f t="shared" si="9"/>
        <v>7.8612168168820489</v>
      </c>
      <c r="Q53" s="4">
        <f t="shared" ca="1" si="10"/>
        <v>0.1108249539082875</v>
      </c>
      <c r="R53" s="2">
        <f t="shared" ca="1" si="11"/>
        <v>1.4097684428483095E-2</v>
      </c>
      <c r="S53" s="4">
        <f t="shared" si="12"/>
        <v>0.42499999999999999</v>
      </c>
      <c r="T53">
        <v>0.36593703327195687</v>
      </c>
      <c r="U53">
        <f t="shared" si="13"/>
        <v>5.906296672804312E-2</v>
      </c>
      <c r="V53" s="2">
        <f t="shared" si="15"/>
        <v>0.13897168641892499</v>
      </c>
      <c r="W53">
        <f>(T53+5/3)/(1/12)</f>
        <v>24.391244399263481</v>
      </c>
      <c r="X53" s="2">
        <f t="shared" si="14"/>
        <v>2.8237274929741835E-2</v>
      </c>
    </row>
    <row r="54" spans="5:24" x14ac:dyDescent="0.25">
      <c r="E54">
        <v>52</v>
      </c>
      <c r="F54">
        <f t="shared" si="0"/>
        <v>25.2</v>
      </c>
      <c r="G54">
        <f t="shared" si="1"/>
        <v>298.34999999999997</v>
      </c>
      <c r="H54" s="4">
        <f t="shared" si="2"/>
        <v>0.43333300000000002</v>
      </c>
      <c r="I54" s="4">
        <f t="shared" si="3"/>
        <v>9913.0550640000001</v>
      </c>
      <c r="J54" s="4">
        <f t="shared" si="4"/>
        <v>9.9330550639999995</v>
      </c>
      <c r="K54" s="4">
        <f t="shared" si="5"/>
        <v>2122.9424349999999</v>
      </c>
      <c r="L54">
        <f t="shared" si="6"/>
        <v>2.1229424350000001</v>
      </c>
      <c r="M54">
        <f>$B$12*F54+$B$13</f>
        <v>2.1291191115270487</v>
      </c>
      <c r="N54">
        <f t="shared" si="7"/>
        <v>6.1766765270485635E-3</v>
      </c>
      <c r="O54" s="4">
        <f t="shared" ca="1" si="8"/>
        <v>7.7439563644314875</v>
      </c>
      <c r="P54" s="4">
        <f t="shared" si="9"/>
        <v>7.8525575833739536</v>
      </c>
      <c r="Q54" s="4">
        <f t="shared" ca="1" si="10"/>
        <v>0.1086012189424661</v>
      </c>
      <c r="R54" s="2">
        <f t="shared" ca="1" si="11"/>
        <v>1.3830044261299664E-2</v>
      </c>
      <c r="S54" s="4">
        <f t="shared" si="12"/>
        <v>0.43333300000000002</v>
      </c>
      <c r="T54">
        <v>0.37300463549568846</v>
      </c>
      <c r="U54">
        <f t="shared" si="13"/>
        <v>6.032836450431156E-2</v>
      </c>
      <c r="V54" s="2">
        <f t="shared" si="15"/>
        <v>0.13921940979411113</v>
      </c>
      <c r="W54">
        <f>(T54+5/3)/(1/12)</f>
        <v>24.476055625948266</v>
      </c>
      <c r="X54" s="2">
        <f t="shared" si="14"/>
        <v>2.8727951351259249E-2</v>
      </c>
    </row>
    <row r="55" spans="5:24" x14ac:dyDescent="0.25">
      <c r="E55">
        <v>53</v>
      </c>
      <c r="F55">
        <f t="shared" si="0"/>
        <v>25.3</v>
      </c>
      <c r="G55">
        <f t="shared" si="1"/>
        <v>298.45</v>
      </c>
      <c r="H55" s="4">
        <f t="shared" si="2"/>
        <v>0.44166699999999998</v>
      </c>
      <c r="I55" s="4">
        <f t="shared" si="3"/>
        <v>9869.8076070000006</v>
      </c>
      <c r="J55" s="4">
        <f t="shared" si="4"/>
        <v>9.8898076070000016</v>
      </c>
      <c r="K55" s="4">
        <f t="shared" si="5"/>
        <v>2120.9601739999998</v>
      </c>
      <c r="L55">
        <f t="shared" si="6"/>
        <v>2.1209601739999999</v>
      </c>
      <c r="M55">
        <f>$B$12*F55+$B$13</f>
        <v>2.1267712727041546</v>
      </c>
      <c r="N55">
        <f t="shared" si="7"/>
        <v>5.811098704154638E-3</v>
      </c>
      <c r="O55" s="4">
        <f t="shared" ca="1" si="8"/>
        <v>7.7371225014577263</v>
      </c>
      <c r="P55" s="4">
        <f t="shared" si="9"/>
        <v>7.8438983498658601</v>
      </c>
      <c r="Q55" s="4">
        <f t="shared" ca="1" si="10"/>
        <v>0.10677584840813381</v>
      </c>
      <c r="R55" s="2">
        <f t="shared" ca="1" si="11"/>
        <v>1.3612599710698673E-2</v>
      </c>
      <c r="S55" s="4">
        <f t="shared" si="12"/>
        <v>0.44166699999999998</v>
      </c>
      <c r="T55">
        <v>0.38103000066690296</v>
      </c>
      <c r="U55">
        <f t="shared" si="13"/>
        <v>6.0636999333097019E-2</v>
      </c>
      <c r="V55" s="2">
        <f t="shared" si="15"/>
        <v>0.13729121562873617</v>
      </c>
      <c r="W55">
        <f>(T55+5/3)/(1/12)</f>
        <v>24.572360008002839</v>
      </c>
      <c r="X55" s="2">
        <f t="shared" si="14"/>
        <v>2.8760473991982675E-2</v>
      </c>
    </row>
    <row r="56" spans="5:24" x14ac:dyDescent="0.25">
      <c r="E56">
        <v>54</v>
      </c>
      <c r="F56">
        <f t="shared" si="0"/>
        <v>25.4</v>
      </c>
      <c r="G56">
        <f t="shared" si="1"/>
        <v>298.54999999999995</v>
      </c>
      <c r="H56" s="4">
        <f t="shared" si="2"/>
        <v>0.45</v>
      </c>
      <c r="I56" s="4">
        <f t="shared" si="3"/>
        <v>9826.7738219999992</v>
      </c>
      <c r="J56" s="4">
        <f t="shared" si="4"/>
        <v>9.8467738219999994</v>
      </c>
      <c r="K56" s="4">
        <f t="shared" si="5"/>
        <v>2118.9741439999998</v>
      </c>
      <c r="L56">
        <f t="shared" si="6"/>
        <v>2.1189741440000001</v>
      </c>
      <c r="M56">
        <f>$B$12*F56+$B$13</f>
        <v>2.12442343388126</v>
      </c>
      <c r="N56">
        <f t="shared" si="7"/>
        <v>5.4492898812599222E-3</v>
      </c>
      <c r="O56" s="4">
        <f t="shared" ca="1" si="8"/>
        <v>7.7286998629737615</v>
      </c>
      <c r="P56" s="4">
        <f t="shared" si="9"/>
        <v>7.8352391163577648</v>
      </c>
      <c r="Q56" s="4">
        <f t="shared" ca="1" si="10"/>
        <v>0.10653925338400327</v>
      </c>
      <c r="R56" s="2">
        <f t="shared" ca="1" si="11"/>
        <v>1.3597447608405392E-2</v>
      </c>
      <c r="S56" s="4">
        <f t="shared" si="12"/>
        <v>0.45</v>
      </c>
      <c r="T56">
        <v>0.38815192414007077</v>
      </c>
      <c r="U56">
        <f t="shared" si="13"/>
        <v>6.1848075859929241E-2</v>
      </c>
      <c r="V56" s="2">
        <f t="shared" si="15"/>
        <v>0.13744016857762054</v>
      </c>
      <c r="W56">
        <f>(T56+5/3)/(1/12)</f>
        <v>24.65782308968085</v>
      </c>
      <c r="X56" s="2">
        <f t="shared" si="14"/>
        <v>2.9219563398391681E-2</v>
      </c>
    </row>
    <row r="57" spans="5:24" x14ac:dyDescent="0.25">
      <c r="E57">
        <v>55</v>
      </c>
      <c r="F57">
        <f t="shared" si="0"/>
        <v>25.5</v>
      </c>
      <c r="G57">
        <f t="shared" si="1"/>
        <v>298.64999999999998</v>
      </c>
      <c r="H57" s="4">
        <f t="shared" si="2"/>
        <v>0.45833299999999999</v>
      </c>
      <c r="I57" s="4">
        <f t="shared" si="3"/>
        <v>9783.9525379999995</v>
      </c>
      <c r="J57" s="4">
        <f t="shared" si="4"/>
        <v>9.803952537999999</v>
      </c>
      <c r="K57" s="4">
        <f t="shared" si="5"/>
        <v>2116.9843510000001</v>
      </c>
      <c r="L57">
        <f t="shared" si="6"/>
        <v>2.1169843510000002</v>
      </c>
      <c r="M57">
        <f>$B$12*F57+$B$13</f>
        <v>2.1220755950583658</v>
      </c>
      <c r="N57">
        <f t="shared" si="7"/>
        <v>5.0912440583656959E-3</v>
      </c>
      <c r="O57" s="4">
        <f t="shared" ca="1" si="8"/>
        <v>7.7222243644314874</v>
      </c>
      <c r="P57" s="4">
        <f t="shared" si="9"/>
        <v>7.8265798828496713</v>
      </c>
      <c r="Q57" s="4">
        <f t="shared" ca="1" si="10"/>
        <v>0.10435551841818391</v>
      </c>
      <c r="R57" s="2">
        <f t="shared" ca="1" si="11"/>
        <v>1.3333476432899819E-2</v>
      </c>
      <c r="S57" s="4">
        <f t="shared" si="12"/>
        <v>0.45833299999999999</v>
      </c>
      <c r="T57">
        <v>0.39530141165136579</v>
      </c>
      <c r="U57">
        <f t="shared" si="13"/>
        <v>6.3031588348634204E-2</v>
      </c>
      <c r="V57" s="2">
        <f t="shared" si="15"/>
        <v>0.13752356550506772</v>
      </c>
      <c r="W57">
        <f>(T57+5/3)/(1/12)</f>
        <v>24.743616939816388</v>
      </c>
      <c r="X57" s="2">
        <f t="shared" si="14"/>
        <v>2.9662080791514209E-2</v>
      </c>
    </row>
    <row r="58" spans="5:24" x14ac:dyDescent="0.25">
      <c r="E58">
        <v>56</v>
      </c>
      <c r="F58">
        <f t="shared" si="0"/>
        <v>25.6</v>
      </c>
      <c r="G58">
        <f t="shared" si="1"/>
        <v>298.75</v>
      </c>
      <c r="H58" s="4">
        <f t="shared" si="2"/>
        <v>0.466667</v>
      </c>
      <c r="I58" s="4">
        <f t="shared" si="3"/>
        <v>9741.3425920000009</v>
      </c>
      <c r="J58" s="4">
        <f t="shared" si="4"/>
        <v>9.7613425920000019</v>
      </c>
      <c r="K58" s="4">
        <f t="shared" si="5"/>
        <v>2114.9908049999999</v>
      </c>
      <c r="L58">
        <f t="shared" si="6"/>
        <v>2.1149908050000001</v>
      </c>
      <c r="M58">
        <f>$B$12*F58+$B$13</f>
        <v>2.1197277562354713</v>
      </c>
      <c r="N58">
        <f t="shared" si="7"/>
        <v>4.7369512354711318E-3</v>
      </c>
      <c r="O58" s="4">
        <f t="shared" ca="1" si="8"/>
        <v>7.7153485014577257</v>
      </c>
      <c r="P58" s="4">
        <f t="shared" si="9"/>
        <v>7.817920649341576</v>
      </c>
      <c r="Q58" s="4">
        <f t="shared" ca="1" si="10"/>
        <v>0.10257214788385038</v>
      </c>
      <c r="R58" s="2">
        <f t="shared" ca="1" si="11"/>
        <v>1.3120131616133632E-2</v>
      </c>
      <c r="S58" s="4">
        <f t="shared" si="12"/>
        <v>0.466667</v>
      </c>
      <c r="T58">
        <v>0.40247843538420425</v>
      </c>
      <c r="U58">
        <f t="shared" si="13"/>
        <v>6.4188564615795751E-2</v>
      </c>
      <c r="V58" s="2">
        <f t="shared" si="15"/>
        <v>0.13754682592897238</v>
      </c>
      <c r="W58">
        <f>(T58+5/3)/(1/12)</f>
        <v>24.829741224610455</v>
      </c>
      <c r="X58" s="2">
        <f t="shared" si="14"/>
        <v>3.0088233413654158E-2</v>
      </c>
    </row>
    <row r="59" spans="5:24" x14ac:dyDescent="0.25">
      <c r="E59">
        <v>57</v>
      </c>
      <c r="F59">
        <f t="shared" si="0"/>
        <v>25.7</v>
      </c>
      <c r="G59">
        <f t="shared" si="1"/>
        <v>298.84999999999997</v>
      </c>
      <c r="H59" s="4">
        <f t="shared" si="2"/>
        <v>0.47499999999999998</v>
      </c>
      <c r="I59" s="4">
        <f t="shared" si="3"/>
        <v>9698.9428250000001</v>
      </c>
      <c r="J59" s="4">
        <f t="shared" si="4"/>
        <v>9.718942825000001</v>
      </c>
      <c r="K59" s="4">
        <f t="shared" si="5"/>
        <v>2112.9935129999999</v>
      </c>
      <c r="L59">
        <f t="shared" si="6"/>
        <v>2.1129935130000002</v>
      </c>
      <c r="M59">
        <f>$B$12*F59+$B$13</f>
        <v>2.1173799174125771</v>
      </c>
      <c r="N59">
        <f t="shared" si="7"/>
        <v>4.386404412576983E-3</v>
      </c>
      <c r="O59" s="4">
        <f t="shared" ca="1" si="8"/>
        <v>7.7076673644314875</v>
      </c>
      <c r="P59" s="4">
        <f t="shared" si="9"/>
        <v>7.8092614158334834</v>
      </c>
      <c r="Q59" s="4">
        <f t="shared" ca="1" si="10"/>
        <v>0.10159405140199596</v>
      </c>
      <c r="R59" s="2">
        <f t="shared" ca="1" si="11"/>
        <v>1.30094314932282E-2</v>
      </c>
      <c r="S59" s="4">
        <f t="shared" si="12"/>
        <v>0.47499999999999998</v>
      </c>
      <c r="T59">
        <v>0.41060955286309969</v>
      </c>
      <c r="U59">
        <f t="shared" si="13"/>
        <v>6.4390447136900286E-2</v>
      </c>
      <c r="V59" s="2">
        <f t="shared" si="15"/>
        <v>0.13555883607768482</v>
      </c>
      <c r="W59">
        <f>(T59+5/3)/(1/12)</f>
        <v>24.927314634357195</v>
      </c>
      <c r="X59" s="2">
        <f t="shared" si="14"/>
        <v>3.0065578429681095E-2</v>
      </c>
    </row>
    <row r="60" spans="5:24" x14ac:dyDescent="0.25">
      <c r="E60">
        <v>58</v>
      </c>
      <c r="F60">
        <f t="shared" si="0"/>
        <v>25.8</v>
      </c>
      <c r="G60">
        <f t="shared" si="1"/>
        <v>298.95</v>
      </c>
      <c r="H60" s="4">
        <f t="shared" si="2"/>
        <v>0.48333300000000001</v>
      </c>
      <c r="I60" s="4">
        <f t="shared" si="3"/>
        <v>9656.75209</v>
      </c>
      <c r="J60" s="4">
        <f t="shared" si="4"/>
        <v>9.6767520900000008</v>
      </c>
      <c r="K60" s="4">
        <f t="shared" si="5"/>
        <v>2110.9924839999999</v>
      </c>
      <c r="L60">
        <f t="shared" si="6"/>
        <v>2.1109924840000001</v>
      </c>
      <c r="M60">
        <f>$B$12*F60+$B$13</f>
        <v>2.1150320785896826</v>
      </c>
      <c r="N60">
        <f t="shared" si="7"/>
        <v>4.0395945896825047E-3</v>
      </c>
      <c r="O60" s="4">
        <f t="shared" ca="1" si="8"/>
        <v>7.6995868629737609</v>
      </c>
      <c r="P60" s="4">
        <f t="shared" si="9"/>
        <v>7.8006021823253882</v>
      </c>
      <c r="Q60" s="4">
        <f t="shared" ca="1" si="10"/>
        <v>0.10101531935162722</v>
      </c>
      <c r="R60" s="2">
        <f t="shared" ca="1" si="11"/>
        <v>1.2949682215625331E-2</v>
      </c>
      <c r="S60" s="4">
        <f t="shared" si="12"/>
        <v>0.48333300000000001</v>
      </c>
      <c r="T60">
        <v>0.41784067109353551</v>
      </c>
      <c r="U60">
        <f t="shared" si="13"/>
        <v>6.5492328906464503E-2</v>
      </c>
      <c r="V60" s="2">
        <f t="shared" si="15"/>
        <v>0.13550146360059109</v>
      </c>
      <c r="W60">
        <f>(T60+5/3)/(1/12)</f>
        <v>25.014088053122428</v>
      </c>
      <c r="X60" s="2">
        <f t="shared" si="14"/>
        <v>3.0461703367347766E-2</v>
      </c>
    </row>
    <row r="61" spans="5:24" x14ac:dyDescent="0.25">
      <c r="E61">
        <v>59</v>
      </c>
      <c r="F61">
        <f t="shared" si="0"/>
        <v>25.9</v>
      </c>
      <c r="G61">
        <f t="shared" si="1"/>
        <v>299.04999999999995</v>
      </c>
      <c r="H61" s="4">
        <f t="shared" si="2"/>
        <v>0.49166700000000002</v>
      </c>
      <c r="I61" s="4">
        <f t="shared" si="3"/>
        <v>9614.769241</v>
      </c>
      <c r="J61" s="4">
        <f t="shared" si="4"/>
        <v>9.6347692410000008</v>
      </c>
      <c r="K61" s="4">
        <f t="shared" si="5"/>
        <v>2108.9877270000002</v>
      </c>
      <c r="L61">
        <f t="shared" si="6"/>
        <v>2.1089877270000001</v>
      </c>
      <c r="M61">
        <f>$B$12*F61+$B$13</f>
        <v>2.1126842397667884</v>
      </c>
      <c r="N61">
        <f t="shared" si="7"/>
        <v>3.6965127667882847E-3</v>
      </c>
      <c r="O61" s="4">
        <f t="shared" ca="1" si="8"/>
        <v>7.693055364431487</v>
      </c>
      <c r="P61" s="4">
        <f t="shared" si="9"/>
        <v>7.7919429488172947</v>
      </c>
      <c r="Q61" s="4">
        <f t="shared" ca="1" si="10"/>
        <v>9.8887584385807692E-2</v>
      </c>
      <c r="R61" s="2">
        <f t="shared" ca="1" si="11"/>
        <v>1.2691004674362691E-2</v>
      </c>
      <c r="S61" s="4">
        <f t="shared" si="12"/>
        <v>0.49166700000000002</v>
      </c>
      <c r="T61">
        <v>0.42509923950608502</v>
      </c>
      <c r="U61">
        <f t="shared" si="13"/>
        <v>6.6567760493914996E-2</v>
      </c>
      <c r="V61" s="2">
        <f t="shared" si="15"/>
        <v>0.13539196345069934</v>
      </c>
      <c r="W61">
        <f>(T61+5/3)/(1/12)</f>
        <v>25.101190874073019</v>
      </c>
      <c r="X61" s="2">
        <f t="shared" si="14"/>
        <v>3.084205119409187E-2</v>
      </c>
    </row>
    <row r="62" spans="5:24" x14ac:dyDescent="0.25">
      <c r="E62">
        <v>60</v>
      </c>
      <c r="F62">
        <f t="shared" si="0"/>
        <v>26</v>
      </c>
      <c r="G62">
        <f t="shared" si="1"/>
        <v>299.14999999999998</v>
      </c>
      <c r="H62" s="4">
        <f t="shared" si="2"/>
        <v>0.5</v>
      </c>
      <c r="I62" s="4">
        <f t="shared" si="3"/>
        <v>9572.9931419999994</v>
      </c>
      <c r="J62" s="4">
        <f t="shared" si="4"/>
        <v>9.5929931419999992</v>
      </c>
      <c r="K62" s="4">
        <f t="shared" si="5"/>
        <v>2106.9792510000002</v>
      </c>
      <c r="L62">
        <f t="shared" si="6"/>
        <v>2.1069792510000003</v>
      </c>
      <c r="M62">
        <f>$B$12*F62+$B$13</f>
        <v>2.1103364009438943</v>
      </c>
      <c r="N62">
        <f t="shared" si="7"/>
        <v>3.3571499438940222E-3</v>
      </c>
      <c r="O62" s="4">
        <f t="shared" ca="1" si="8"/>
        <v>7.6845624985422738</v>
      </c>
      <c r="P62" s="4">
        <f t="shared" si="9"/>
        <v>7.7832837153092012</v>
      </c>
      <c r="Q62" s="4">
        <f t="shared" ca="1" si="10"/>
        <v>9.8721216766927355E-2</v>
      </c>
      <c r="R62" s="2">
        <f t="shared" ca="1" si="11"/>
        <v>1.2683748964816648E-2</v>
      </c>
      <c r="S62" s="4">
        <f t="shared" si="12"/>
        <v>0.5</v>
      </c>
      <c r="T62">
        <v>0.43238522906209365</v>
      </c>
      <c r="U62">
        <f t="shared" si="13"/>
        <v>6.7614770937906354E-2</v>
      </c>
      <c r="V62" s="2">
        <f t="shared" si="15"/>
        <v>0.13522954187581271</v>
      </c>
      <c r="W62">
        <f>(T62+5/3)/(1/12)</f>
        <v>25.188622748745125</v>
      </c>
      <c r="X62" s="2">
        <f t="shared" si="14"/>
        <v>3.1206817355956727E-2</v>
      </c>
    </row>
    <row r="63" spans="5:24" x14ac:dyDescent="0.25">
      <c r="E63">
        <v>61</v>
      </c>
      <c r="F63">
        <f t="shared" si="0"/>
        <v>26.1</v>
      </c>
      <c r="G63">
        <f t="shared" si="1"/>
        <v>299.25</v>
      </c>
      <c r="H63" s="4">
        <f t="shared" si="2"/>
        <v>0.50833300000000003</v>
      </c>
      <c r="I63" s="4">
        <f t="shared" si="3"/>
        <v>9531.4226650000001</v>
      </c>
      <c r="J63" s="4">
        <f t="shared" si="4"/>
        <v>9.5514226650000005</v>
      </c>
      <c r="K63" s="4">
        <f t="shared" si="5"/>
        <v>2104.9670639999999</v>
      </c>
      <c r="L63">
        <f t="shared" si="6"/>
        <v>2.1049670639999998</v>
      </c>
      <c r="M63">
        <f>$B$12*F63+$B$13</f>
        <v>2.1079885621209997</v>
      </c>
      <c r="N63">
        <f t="shared" si="7"/>
        <v>3.0214981209999436E-3</v>
      </c>
      <c r="O63" s="4">
        <f t="shared" ca="1" si="8"/>
        <v>7.6776088629737611</v>
      </c>
      <c r="P63" s="4">
        <f t="shared" si="9"/>
        <v>7.7746244818011059</v>
      </c>
      <c r="Q63" s="4">
        <f t="shared" ca="1" si="10"/>
        <v>9.7015618827344774E-2</v>
      </c>
      <c r="R63" s="2">
        <f t="shared" ca="1" si="11"/>
        <v>1.2478495785158446E-2</v>
      </c>
      <c r="S63" s="4">
        <f t="shared" si="12"/>
        <v>0.50833300000000003</v>
      </c>
      <c r="T63">
        <v>0.43969860987909182</v>
      </c>
      <c r="U63">
        <f t="shared" si="13"/>
        <v>6.8634390120908217E-2</v>
      </c>
      <c r="V63" s="2">
        <f t="shared" si="15"/>
        <v>0.135018560905761</v>
      </c>
      <c r="W63">
        <f>(T63+5/3)/(1/12)</f>
        <v>25.276383318549104</v>
      </c>
      <c r="X63" s="2">
        <f t="shared" si="14"/>
        <v>3.1556194691605248E-2</v>
      </c>
    </row>
    <row r="64" spans="5:24" x14ac:dyDescent="0.25">
      <c r="E64">
        <v>62</v>
      </c>
      <c r="F64">
        <f t="shared" si="0"/>
        <v>26.2</v>
      </c>
      <c r="G64">
        <f t="shared" si="1"/>
        <v>299.34999999999997</v>
      </c>
      <c r="H64" s="4">
        <f t="shared" si="2"/>
        <v>0.51666699999999999</v>
      </c>
      <c r="I64" s="4">
        <f t="shared" si="3"/>
        <v>9490.0566859999999</v>
      </c>
      <c r="J64" s="4">
        <f t="shared" si="4"/>
        <v>9.5100566860000004</v>
      </c>
      <c r="K64" s="4">
        <f t="shared" si="5"/>
        <v>2102.9511750000001</v>
      </c>
      <c r="L64">
        <f t="shared" si="6"/>
        <v>2.1029511750000003</v>
      </c>
      <c r="M64">
        <f>$B$12*F64+$B$13</f>
        <v>2.1056407232981051</v>
      </c>
      <c r="N64">
        <f t="shared" si="7"/>
        <v>2.6895482981048602E-3</v>
      </c>
      <c r="O64" s="4">
        <f t="shared" ca="1" si="8"/>
        <v>7.6714335014577255</v>
      </c>
      <c r="P64" s="4">
        <f t="shared" si="9"/>
        <v>7.7659652482930115</v>
      </c>
      <c r="Q64" s="4">
        <f t="shared" ca="1" si="10"/>
        <v>9.4531746835285979E-2</v>
      </c>
      <c r="R64" s="2">
        <f t="shared" ca="1" si="11"/>
        <v>1.2172568871083271E-2</v>
      </c>
      <c r="S64" s="4">
        <f t="shared" si="12"/>
        <v>0.51666699999999999</v>
      </c>
      <c r="T64">
        <v>0.44796144896305884</v>
      </c>
      <c r="U64">
        <f t="shared" si="13"/>
        <v>6.8705551036941148E-2</v>
      </c>
      <c r="V64" s="2">
        <f t="shared" si="15"/>
        <v>0.13297840008543443</v>
      </c>
      <c r="W64">
        <f>(T64+5/3)/(1/12)</f>
        <v>25.375537387556708</v>
      </c>
      <c r="X64" s="2">
        <f t="shared" si="14"/>
        <v>3.1468038642873709E-2</v>
      </c>
    </row>
    <row r="65" spans="5:24" x14ac:dyDescent="0.25">
      <c r="E65">
        <v>63</v>
      </c>
      <c r="F65">
        <f t="shared" si="0"/>
        <v>26.3</v>
      </c>
      <c r="G65">
        <f t="shared" si="1"/>
        <v>299.45</v>
      </c>
      <c r="H65" s="4">
        <f t="shared" si="2"/>
        <v>0.52500000000000002</v>
      </c>
      <c r="I65" s="4">
        <f t="shared" si="3"/>
        <v>9448.8940889999994</v>
      </c>
      <c r="J65" s="4">
        <f t="shared" si="4"/>
        <v>9.4688940889999991</v>
      </c>
      <c r="K65" s="4">
        <f t="shared" si="5"/>
        <v>2100.9315929999998</v>
      </c>
      <c r="L65">
        <f t="shared" si="6"/>
        <v>2.1009315929999999</v>
      </c>
      <c r="M65">
        <f>$B$12*F65+$B$13</f>
        <v>2.103292884475211</v>
      </c>
      <c r="N65">
        <f t="shared" si="7"/>
        <v>2.3612914752111358E-3</v>
      </c>
      <c r="O65" s="4">
        <f t="shared" ca="1" si="8"/>
        <v>7.6640665014577261</v>
      </c>
      <c r="P65" s="4">
        <f t="shared" si="9"/>
        <v>7.757306014784918</v>
      </c>
      <c r="Q65" s="4">
        <f t="shared" ca="1" si="10"/>
        <v>9.3239513327191936E-2</v>
      </c>
      <c r="R65" s="2">
        <f t="shared" ca="1" si="11"/>
        <v>1.2019573953829269E-2</v>
      </c>
      <c r="S65" s="4">
        <f t="shared" si="12"/>
        <v>0.52500000000000002</v>
      </c>
      <c r="T65">
        <v>0.45532861785860756</v>
      </c>
      <c r="U65">
        <f t="shared" si="13"/>
        <v>6.9671382141392457E-2</v>
      </c>
      <c r="V65" s="2">
        <f t="shared" si="15"/>
        <v>0.13270739455503325</v>
      </c>
      <c r="W65">
        <f>(T65+5/3)/(1/12)</f>
        <v>25.463943414303294</v>
      </c>
      <c r="X65" s="2">
        <f t="shared" si="14"/>
        <v>3.1789223790749291E-2</v>
      </c>
    </row>
    <row r="66" spans="5:24" x14ac:dyDescent="0.25">
      <c r="E66">
        <v>64</v>
      </c>
      <c r="F66">
        <f t="shared" si="0"/>
        <v>26.4</v>
      </c>
      <c r="G66">
        <f t="shared" si="1"/>
        <v>299.54999999999995</v>
      </c>
      <c r="H66" s="4">
        <f t="shared" si="2"/>
        <v>0.53333299999999995</v>
      </c>
      <c r="I66" s="4">
        <f t="shared" si="3"/>
        <v>9407.9337639999994</v>
      </c>
      <c r="J66" s="4">
        <f t="shared" si="4"/>
        <v>9.4279337640000005</v>
      </c>
      <c r="K66" s="4">
        <f t="shared" si="5"/>
        <v>2098.9083270000001</v>
      </c>
      <c r="L66">
        <f t="shared" si="6"/>
        <v>2.0989083270000002</v>
      </c>
      <c r="M66">
        <f>$B$12*F66+$B$13</f>
        <v>2.1009450456523169</v>
      </c>
      <c r="N66">
        <f t="shared" si="7"/>
        <v>2.0367186523166936E-3</v>
      </c>
      <c r="O66" s="4">
        <f t="shared" ca="1" si="8"/>
        <v>7.656290364431487</v>
      </c>
      <c r="P66" s="4">
        <f t="shared" si="9"/>
        <v>7.7486467812768245</v>
      </c>
      <c r="Q66" s="4">
        <f t="shared" ca="1" si="10"/>
        <v>9.2356416845337463E-2</v>
      </c>
      <c r="R66" s="2">
        <f t="shared" ca="1" si="11"/>
        <v>1.1919038182060344E-2</v>
      </c>
      <c r="S66" s="4">
        <f t="shared" si="12"/>
        <v>0.53333299999999995</v>
      </c>
      <c r="T66">
        <v>0.46272308426503905</v>
      </c>
      <c r="U66">
        <f t="shared" si="13"/>
        <v>7.0609915734960893E-2</v>
      </c>
      <c r="V66" s="2">
        <f t="shared" si="15"/>
        <v>0.13239367474909841</v>
      </c>
      <c r="W66">
        <f>(T66+5/3)/(1/12)</f>
        <v>25.552677011180471</v>
      </c>
      <c r="X66" s="2">
        <f t="shared" si="14"/>
        <v>3.2095567758315444E-2</v>
      </c>
    </row>
    <row r="67" spans="5:24" x14ac:dyDescent="0.25">
      <c r="E67">
        <v>65</v>
      </c>
      <c r="F67">
        <f t="shared" ref="F67:F130" si="16">E67*0.1+20</f>
        <v>26.5</v>
      </c>
      <c r="G67">
        <f t="shared" ref="G67:G130" si="17">F67+273.15</f>
        <v>299.64999999999998</v>
      </c>
      <c r="H67" s="4">
        <f t="shared" ref="H67:H130" si="18">ROUND(1/12*F67-5/3,6)</f>
        <v>0.54166700000000001</v>
      </c>
      <c r="I67" s="4">
        <f t="shared" ref="I67:I130" si="19">ROUND(10000*EXP(($B$3)+($B$4/G67)+($B$5/(G67^2))+($B$6/(G67^3))),6)</f>
        <v>9367.17461</v>
      </c>
      <c r="J67" s="4">
        <f t="shared" ref="J67:J130" si="20">$B$9*(2*$B$8+I67)</f>
        <v>9.3871746100000006</v>
      </c>
      <c r="K67" s="4">
        <f t="shared" ref="K67:K130" si="21">ROUND(1/(1/(I67+2*$B$8)+1/($B$7)),6)</f>
        <v>2096.881386</v>
      </c>
      <c r="L67">
        <f t="shared" ref="L67:L130" si="22">$B$9*K67</f>
        <v>2.0968813860000002</v>
      </c>
      <c r="M67">
        <f>$B$12*F67+$B$13</f>
        <v>2.0985972068294223</v>
      </c>
      <c r="N67">
        <f t="shared" ref="N67:N130" si="23">ABS(L67-M67)</f>
        <v>1.7158208294221211E-3</v>
      </c>
      <c r="O67" s="4">
        <f t="shared" ref="O67:O130" ca="1" si="24">ROUND(L67*$B$28,6)+RANDBETWEEN(-1,1)*$B$23+RANDBETWEEN(-1,1)*$B$24</f>
        <v>7.6485120000000002</v>
      </c>
      <c r="P67" s="4">
        <f t="shared" ref="P67:P130" si="25">M67*$B$22</f>
        <v>7.7399875477687292</v>
      </c>
      <c r="Q67" s="4">
        <f t="shared" ref="Q67:Q130" ca="1" si="26">ABS(O67-P67)</f>
        <v>9.1475547768729015E-2</v>
      </c>
      <c r="R67" s="2">
        <f t="shared" ref="R67:R130" ca="1" si="27">ABS(P67-O67)/P67</f>
        <v>1.1818565237239875E-2</v>
      </c>
      <c r="S67" s="4">
        <f t="shared" ref="S67:S130" si="28">ROUND($B$18*M67+$B$19,6)</f>
        <v>0.54166700000000001</v>
      </c>
      <c r="T67">
        <v>0.47014481623402016</v>
      </c>
      <c r="U67">
        <f t="shared" ref="U67:U130" si="29">ABS(S67-T67)</f>
        <v>7.1522183765979852E-2</v>
      </c>
      <c r="V67" s="2">
        <f t="shared" ref="V67:V130" si="30">IF(S67=0, ABS(S67-T67),ABS(S67-T67)/S67)</f>
        <v>0.13204087338896378</v>
      </c>
      <c r="W67">
        <f>(T67+5/3)/(1/12)</f>
        <v>25.641737794808243</v>
      </c>
      <c r="X67" s="2">
        <f t="shared" ref="X67:X130" si="31">ABS(F67-W67)/F67</f>
        <v>3.2387253026104026E-2</v>
      </c>
    </row>
    <row r="68" spans="5:24" x14ac:dyDescent="0.25">
      <c r="E68">
        <v>66</v>
      </c>
      <c r="F68">
        <f t="shared" si="16"/>
        <v>26.6</v>
      </c>
      <c r="G68">
        <f t="shared" si="17"/>
        <v>299.75</v>
      </c>
      <c r="H68" s="4">
        <f t="shared" si="18"/>
        <v>0.55000000000000004</v>
      </c>
      <c r="I68" s="4">
        <f t="shared" si="19"/>
        <v>9326.6155290000006</v>
      </c>
      <c r="J68" s="4">
        <f t="shared" si="20"/>
        <v>9.346615529000001</v>
      </c>
      <c r="K68" s="4">
        <f t="shared" si="21"/>
        <v>2094.8507789999999</v>
      </c>
      <c r="L68">
        <f t="shared" si="22"/>
        <v>2.0948507789999997</v>
      </c>
      <c r="M68">
        <f>$B$12*F68+$B$13</f>
        <v>2.0962493680065277</v>
      </c>
      <c r="N68">
        <f t="shared" si="23"/>
        <v>1.398589006528006E-3</v>
      </c>
      <c r="O68" s="4">
        <f t="shared" ca="1" si="24"/>
        <v>7.6410942274052482</v>
      </c>
      <c r="P68" s="4">
        <f t="shared" si="25"/>
        <v>7.7313283142606339</v>
      </c>
      <c r="Q68" s="4">
        <f t="shared" ca="1" si="26"/>
        <v>9.0234086855385698E-2</v>
      </c>
      <c r="R68" s="2">
        <f t="shared" ca="1" si="27"/>
        <v>1.1671226882054226E-2</v>
      </c>
      <c r="S68" s="4">
        <f t="shared" si="28"/>
        <v>0.55000000000000004</v>
      </c>
      <c r="T68">
        <v>0.477593781497132</v>
      </c>
      <c r="U68">
        <f t="shared" si="29"/>
        <v>7.2406218502868047E-2</v>
      </c>
      <c r="V68" s="2">
        <f t="shared" si="30"/>
        <v>0.13164767000521463</v>
      </c>
      <c r="W68">
        <f>(T68+5/3)/(1/12)</f>
        <v>25.731125377965583</v>
      </c>
      <c r="X68" s="2">
        <f t="shared" si="31"/>
        <v>3.266445947497814E-2</v>
      </c>
    </row>
    <row r="69" spans="5:24" x14ac:dyDescent="0.25">
      <c r="E69">
        <v>67</v>
      </c>
      <c r="F69">
        <f t="shared" si="16"/>
        <v>26.7</v>
      </c>
      <c r="G69">
        <f t="shared" si="17"/>
        <v>299.84999999999997</v>
      </c>
      <c r="H69" s="4">
        <f t="shared" si="18"/>
        <v>0.55833299999999997</v>
      </c>
      <c r="I69" s="4">
        <f t="shared" si="19"/>
        <v>9286.2554309999996</v>
      </c>
      <c r="J69" s="4">
        <f t="shared" si="20"/>
        <v>9.3062554310000003</v>
      </c>
      <c r="K69" s="4">
        <f t="shared" si="21"/>
        <v>2092.8165159999999</v>
      </c>
      <c r="L69">
        <f t="shared" si="22"/>
        <v>2.0928165160000001</v>
      </c>
      <c r="M69">
        <f>$B$12*F69+$B$13</f>
        <v>2.0939015291836336</v>
      </c>
      <c r="N69">
        <f t="shared" si="23"/>
        <v>1.0850131836335208E-3</v>
      </c>
      <c r="O69" s="4">
        <f t="shared" ca="1" si="24"/>
        <v>7.6336742274052485</v>
      </c>
      <c r="P69" s="4">
        <f t="shared" si="25"/>
        <v>7.7226690807525404</v>
      </c>
      <c r="Q69" s="4">
        <f t="shared" ca="1" si="26"/>
        <v>8.8994853347291958E-2</v>
      </c>
      <c r="R69" s="2">
        <f t="shared" ca="1" si="27"/>
        <v>1.1523846537604042E-2</v>
      </c>
      <c r="S69" s="4">
        <f t="shared" si="28"/>
        <v>0.55833299999999997</v>
      </c>
      <c r="T69">
        <v>0.48506994729129216</v>
      </c>
      <c r="U69">
        <f t="shared" si="29"/>
        <v>7.326305270870781E-2</v>
      </c>
      <c r="V69" s="2">
        <f t="shared" si="30"/>
        <v>0.13121748617528933</v>
      </c>
      <c r="W69">
        <f>(T69+5/3)/(1/12)</f>
        <v>25.820839367495505</v>
      </c>
      <c r="X69" s="2">
        <f t="shared" si="31"/>
        <v>3.2927364513276922E-2</v>
      </c>
    </row>
    <row r="70" spans="5:24" x14ac:dyDescent="0.25">
      <c r="E70">
        <v>68</v>
      </c>
      <c r="F70">
        <f t="shared" si="16"/>
        <v>26.8</v>
      </c>
      <c r="G70">
        <f t="shared" si="17"/>
        <v>299.95</v>
      </c>
      <c r="H70" s="4">
        <f t="shared" si="18"/>
        <v>0.56666700000000003</v>
      </c>
      <c r="I70" s="4">
        <f t="shared" si="19"/>
        <v>9246.0932339999999</v>
      </c>
      <c r="J70" s="4">
        <f t="shared" si="20"/>
        <v>9.2660932339999995</v>
      </c>
      <c r="K70" s="4">
        <f t="shared" si="21"/>
        <v>2090.7786059999999</v>
      </c>
      <c r="L70">
        <f t="shared" si="22"/>
        <v>2.0907786059999998</v>
      </c>
      <c r="M70">
        <f>$B$12*F70+$B$13</f>
        <v>2.0915536903607395</v>
      </c>
      <c r="N70">
        <f t="shared" si="23"/>
        <v>7.7508436073969733E-4</v>
      </c>
      <c r="O70" s="4">
        <f t="shared" ca="1" si="24"/>
        <v>7.6262402274052485</v>
      </c>
      <c r="P70" s="4">
        <f t="shared" si="25"/>
        <v>7.7140098472444469</v>
      </c>
      <c r="Q70" s="4">
        <f t="shared" ca="1" si="26"/>
        <v>8.7769619839198398E-2</v>
      </c>
      <c r="R70" s="2">
        <f t="shared" ca="1" si="27"/>
        <v>1.1377950194158871E-2</v>
      </c>
      <c r="S70" s="4">
        <f t="shared" si="28"/>
        <v>0.56666700000000003</v>
      </c>
      <c r="T70">
        <v>0.49257327998054118</v>
      </c>
      <c r="U70">
        <f t="shared" si="29"/>
        <v>7.4093720019458853E-2</v>
      </c>
      <c r="V70" s="2">
        <f t="shared" si="30"/>
        <v>0.13075354664989994</v>
      </c>
      <c r="W70">
        <f>(T70+5/3)/(1/12)</f>
        <v>25.910879359766497</v>
      </c>
      <c r="X70" s="2">
        <f t="shared" si="31"/>
        <v>3.3176143292294916E-2</v>
      </c>
    </row>
    <row r="71" spans="5:24" x14ac:dyDescent="0.25">
      <c r="E71">
        <v>69</v>
      </c>
      <c r="F71">
        <f t="shared" si="16"/>
        <v>26.9</v>
      </c>
      <c r="G71">
        <f t="shared" si="17"/>
        <v>300.04999999999995</v>
      </c>
      <c r="H71" s="4">
        <f t="shared" si="18"/>
        <v>0.57499999999999996</v>
      </c>
      <c r="I71" s="4">
        <f t="shared" si="19"/>
        <v>9206.1278610000008</v>
      </c>
      <c r="J71" s="4">
        <f t="shared" si="20"/>
        <v>9.2261278610000019</v>
      </c>
      <c r="K71" s="4">
        <f t="shared" si="21"/>
        <v>2088.7370580000002</v>
      </c>
      <c r="L71">
        <f t="shared" si="22"/>
        <v>2.0887370580000004</v>
      </c>
      <c r="M71">
        <f>$B$12*F71+$B$13</f>
        <v>2.0892058515378449</v>
      </c>
      <c r="N71">
        <f t="shared" si="23"/>
        <v>4.6879353784445854E-4</v>
      </c>
      <c r="O71" s="4">
        <f t="shared" ca="1" si="24"/>
        <v>7.6187942274052487</v>
      </c>
      <c r="P71" s="4">
        <f t="shared" si="25"/>
        <v>7.7053506137363525</v>
      </c>
      <c r="Q71" s="4">
        <f t="shared" ca="1" si="26"/>
        <v>8.6556386331103852E-2</v>
      </c>
      <c r="R71" s="2">
        <f t="shared" ca="1" si="27"/>
        <v>1.1233283294961233E-2</v>
      </c>
      <c r="S71" s="4">
        <f t="shared" si="28"/>
        <v>0.57499999999999996</v>
      </c>
      <c r="T71">
        <v>0.50010374619077613</v>
      </c>
      <c r="U71">
        <f t="shared" si="29"/>
        <v>7.4896253809223823E-2</v>
      </c>
      <c r="V71" s="2">
        <f t="shared" si="30"/>
        <v>0.13025435445082406</v>
      </c>
      <c r="W71">
        <f>(T71+5/3)/(1/12)</f>
        <v>26.001244954289316</v>
      </c>
      <c r="X71" s="2">
        <f t="shared" si="31"/>
        <v>3.3410968242032817E-2</v>
      </c>
    </row>
    <row r="72" spans="5:24" x14ac:dyDescent="0.25">
      <c r="E72">
        <v>70</v>
      </c>
      <c r="F72">
        <f t="shared" si="16"/>
        <v>27</v>
      </c>
      <c r="G72">
        <f t="shared" si="17"/>
        <v>300.14999999999998</v>
      </c>
      <c r="H72" s="4">
        <f t="shared" si="18"/>
        <v>0.58333299999999999</v>
      </c>
      <c r="I72" s="4">
        <f t="shared" si="19"/>
        <v>9166.3582409999999</v>
      </c>
      <c r="J72" s="4">
        <f t="shared" si="20"/>
        <v>9.1863582410000006</v>
      </c>
      <c r="K72" s="4">
        <f t="shared" si="21"/>
        <v>2086.6918820000001</v>
      </c>
      <c r="L72">
        <f t="shared" si="22"/>
        <v>2.0866918820000002</v>
      </c>
      <c r="M72">
        <f>$B$12*F72+$B$13</f>
        <v>2.0868580127149507</v>
      </c>
      <c r="N72">
        <f t="shared" si="23"/>
        <v>1.6613071495052978E-4</v>
      </c>
      <c r="O72" s="4">
        <f t="shared" ca="1" si="24"/>
        <v>7.6113557725947514</v>
      </c>
      <c r="P72" s="4">
        <f t="shared" si="25"/>
        <v>7.696691380228259</v>
      </c>
      <c r="Q72" s="4">
        <f t="shared" ca="1" si="26"/>
        <v>8.5335607633507671E-2</v>
      </c>
      <c r="R72" s="2">
        <f t="shared" ca="1" si="27"/>
        <v>1.1087310562136233E-2</v>
      </c>
      <c r="S72" s="4">
        <f t="shared" si="28"/>
        <v>0.58333299999999999</v>
      </c>
      <c r="T72">
        <v>0.50766131109306611</v>
      </c>
      <c r="U72">
        <f t="shared" si="29"/>
        <v>7.5671688906933876E-2</v>
      </c>
      <c r="V72" s="2">
        <f t="shared" si="30"/>
        <v>0.1297229693964406</v>
      </c>
      <c r="W72">
        <f>(T72+5/3)/(1/12)</f>
        <v>26.091935733116792</v>
      </c>
      <c r="X72" s="2">
        <f t="shared" si="31"/>
        <v>3.3632009884563274E-2</v>
      </c>
    </row>
    <row r="73" spans="5:24" x14ac:dyDescent="0.25">
      <c r="E73">
        <v>71</v>
      </c>
      <c r="F73">
        <f t="shared" si="16"/>
        <v>27.1</v>
      </c>
      <c r="G73">
        <f t="shared" si="17"/>
        <v>300.25</v>
      </c>
      <c r="H73" s="4">
        <f t="shared" si="18"/>
        <v>0.59166700000000005</v>
      </c>
      <c r="I73" s="4">
        <f t="shared" si="19"/>
        <v>9126.7833100000007</v>
      </c>
      <c r="J73" s="4">
        <f t="shared" si="20"/>
        <v>9.1467833100000018</v>
      </c>
      <c r="K73" s="4">
        <f t="shared" si="21"/>
        <v>2084.6430879999998</v>
      </c>
      <c r="L73">
        <f t="shared" si="22"/>
        <v>2.084643088</v>
      </c>
      <c r="M73">
        <f>$B$12*F73+$B$13</f>
        <v>2.0845101738920562</v>
      </c>
      <c r="N73">
        <f t="shared" si="23"/>
        <v>1.3291410794380454E-4</v>
      </c>
      <c r="O73" s="4">
        <f t="shared" ca="1" si="24"/>
        <v>7.6042573644314873</v>
      </c>
      <c r="P73" s="4">
        <f t="shared" si="25"/>
        <v>7.6880321467201638</v>
      </c>
      <c r="Q73" s="4">
        <f t="shared" ca="1" si="26"/>
        <v>8.3774782288676519E-2</v>
      </c>
      <c r="R73" s="2">
        <f t="shared" ca="1" si="27"/>
        <v>1.0896778354967749E-2</v>
      </c>
      <c r="S73" s="4">
        <f t="shared" si="28"/>
        <v>0.59166700000000005</v>
      </c>
      <c r="T73">
        <v>0.51524594038218385</v>
      </c>
      <c r="U73">
        <f t="shared" si="29"/>
        <v>7.64210596178162E-2</v>
      </c>
      <c r="V73" s="2">
        <f t="shared" si="30"/>
        <v>0.12916228151615045</v>
      </c>
      <c r="W73">
        <f>(T73+5/3)/(1/12)</f>
        <v>26.18295128458621</v>
      </c>
      <c r="X73" s="2">
        <f t="shared" si="31"/>
        <v>3.3839435993128837E-2</v>
      </c>
    </row>
    <row r="74" spans="5:24" x14ac:dyDescent="0.25">
      <c r="E74">
        <v>72</v>
      </c>
      <c r="F74">
        <f t="shared" si="16"/>
        <v>27.2</v>
      </c>
      <c r="G74">
        <f t="shared" si="17"/>
        <v>300.34999999999997</v>
      </c>
      <c r="H74" s="4">
        <f t="shared" si="18"/>
        <v>0.6</v>
      </c>
      <c r="I74" s="4">
        <f t="shared" si="19"/>
        <v>9087.4020110000001</v>
      </c>
      <c r="J74" s="4">
        <f t="shared" si="20"/>
        <v>9.1074020109999996</v>
      </c>
      <c r="K74" s="4">
        <f t="shared" si="21"/>
        <v>2082.5906839999998</v>
      </c>
      <c r="L74">
        <f t="shared" si="22"/>
        <v>2.0825906839999999</v>
      </c>
      <c r="M74">
        <f>$B$12*F74+$B$13</f>
        <v>2.082162335069162</v>
      </c>
      <c r="N74">
        <f t="shared" si="23"/>
        <v>4.2834893083787406E-4</v>
      </c>
      <c r="O74" s="4">
        <f t="shared" ca="1" si="24"/>
        <v>7.5967811370262384</v>
      </c>
      <c r="P74" s="4">
        <f t="shared" si="25"/>
        <v>7.6793729132120703</v>
      </c>
      <c r="Q74" s="4">
        <f t="shared" ca="1" si="26"/>
        <v>8.2591776185831911E-2</v>
      </c>
      <c r="R74" s="2">
        <f t="shared" ca="1" si="27"/>
        <v>1.0755015691937018E-2</v>
      </c>
      <c r="S74" s="4">
        <f t="shared" si="28"/>
        <v>0.6</v>
      </c>
      <c r="T74">
        <v>0.52285759806535193</v>
      </c>
      <c r="U74">
        <f t="shared" si="29"/>
        <v>7.7142401934648053E-2</v>
      </c>
      <c r="V74" s="2">
        <f t="shared" si="30"/>
        <v>0.1285706698910801</v>
      </c>
      <c r="W74">
        <f>(T74+5/3)/(1/12)</f>
        <v>26.274291176784224</v>
      </c>
      <c r="X74" s="2">
        <f t="shared" si="31"/>
        <v>3.4033412618227017E-2</v>
      </c>
    </row>
    <row r="75" spans="5:24" x14ac:dyDescent="0.25">
      <c r="E75">
        <v>73</v>
      </c>
      <c r="F75">
        <f t="shared" si="16"/>
        <v>27.3</v>
      </c>
      <c r="G75">
        <f t="shared" si="17"/>
        <v>300.45</v>
      </c>
      <c r="H75" s="4">
        <f t="shared" si="18"/>
        <v>0.60833300000000001</v>
      </c>
      <c r="I75" s="4">
        <f t="shared" si="19"/>
        <v>9048.2132920000004</v>
      </c>
      <c r="J75" s="4">
        <f t="shared" si="20"/>
        <v>9.0682132920000011</v>
      </c>
      <c r="K75" s="4">
        <f t="shared" si="21"/>
        <v>2080.5346810000001</v>
      </c>
      <c r="L75">
        <f t="shared" si="22"/>
        <v>2.0805346810000001</v>
      </c>
      <c r="M75">
        <f>$B$12*F75+$B$13</f>
        <v>2.0798144962462675</v>
      </c>
      <c r="N75">
        <f t="shared" si="23"/>
        <v>7.2018475373258894E-4</v>
      </c>
      <c r="O75" s="4">
        <f t="shared" ca="1" si="24"/>
        <v>7.5892821370262382</v>
      </c>
      <c r="P75" s="4">
        <f t="shared" si="25"/>
        <v>7.670713679703975</v>
      </c>
      <c r="Q75" s="4">
        <f t="shared" ca="1" si="26"/>
        <v>8.1431542677736779E-2</v>
      </c>
      <c r="R75" s="2">
        <f t="shared" ca="1" si="27"/>
        <v>1.061590173717439E-2</v>
      </c>
      <c r="S75" s="4">
        <f t="shared" si="28"/>
        <v>0.60833300000000001</v>
      </c>
      <c r="T75">
        <v>0.53049624849889043</v>
      </c>
      <c r="U75">
        <f t="shared" si="29"/>
        <v>7.783675150110958E-2</v>
      </c>
      <c r="V75" s="2">
        <f t="shared" si="30"/>
        <v>0.12795089449546479</v>
      </c>
      <c r="W75">
        <f>(T75+5/3)/(1/12)</f>
        <v>26.365954981986686</v>
      </c>
      <c r="X75" s="2">
        <f t="shared" si="31"/>
        <v>3.4214103223930939E-2</v>
      </c>
    </row>
    <row r="76" spans="5:24" x14ac:dyDescent="0.25">
      <c r="E76">
        <v>74</v>
      </c>
      <c r="F76">
        <f t="shared" si="16"/>
        <v>27.4</v>
      </c>
      <c r="G76">
        <f t="shared" si="17"/>
        <v>300.54999999999995</v>
      </c>
      <c r="H76" s="4">
        <f t="shared" si="18"/>
        <v>0.61666699999999997</v>
      </c>
      <c r="I76" s="4">
        <f t="shared" si="19"/>
        <v>9009.2161080000005</v>
      </c>
      <c r="J76" s="4">
        <f t="shared" si="20"/>
        <v>9.029216108</v>
      </c>
      <c r="K76" s="4">
        <f t="shared" si="21"/>
        <v>2078.475089</v>
      </c>
      <c r="L76">
        <f t="shared" si="22"/>
        <v>2.0784750889999999</v>
      </c>
      <c r="M76">
        <f>$B$12*F76+$B$13</f>
        <v>2.0774666574233733</v>
      </c>
      <c r="N76">
        <f t="shared" si="23"/>
        <v>1.0084315766265561E-3</v>
      </c>
      <c r="O76" s="4">
        <f t="shared" ca="1" si="24"/>
        <v>7.5821555014577262</v>
      </c>
      <c r="P76" s="4">
        <f t="shared" si="25"/>
        <v>7.6620544461958815</v>
      </c>
      <c r="Q76" s="4">
        <f t="shared" ca="1" si="26"/>
        <v>7.9898944738155286E-2</v>
      </c>
      <c r="R76" s="2">
        <f t="shared" ca="1" si="27"/>
        <v>1.0427874834252079E-2</v>
      </c>
      <c r="S76" s="4">
        <f t="shared" si="28"/>
        <v>0.61666699999999997</v>
      </c>
      <c r="T76">
        <v>0.53725069866832043</v>
      </c>
      <c r="U76">
        <f t="shared" si="29"/>
        <v>7.941630133167954E-2</v>
      </c>
      <c r="V76" s="2">
        <f t="shared" si="30"/>
        <v>0.12878312173617129</v>
      </c>
      <c r="W76">
        <f>(T76+5/3)/(1/12)</f>
        <v>26.447008384019849</v>
      </c>
      <c r="X76" s="2">
        <f t="shared" si="31"/>
        <v>3.4780715911684287E-2</v>
      </c>
    </row>
    <row r="77" spans="5:24" x14ac:dyDescent="0.25">
      <c r="E77">
        <v>75</v>
      </c>
      <c r="F77">
        <f t="shared" si="16"/>
        <v>27.5</v>
      </c>
      <c r="G77">
        <f t="shared" si="17"/>
        <v>300.64999999999998</v>
      </c>
      <c r="H77" s="4">
        <f t="shared" si="18"/>
        <v>0.625</v>
      </c>
      <c r="I77" s="4">
        <f t="shared" si="19"/>
        <v>8970.40942</v>
      </c>
      <c r="J77" s="4">
        <f t="shared" si="20"/>
        <v>8.9904094200000007</v>
      </c>
      <c r="K77" s="4">
        <f t="shared" si="21"/>
        <v>2076.4119169999999</v>
      </c>
      <c r="L77">
        <f t="shared" si="22"/>
        <v>2.0764119170000002</v>
      </c>
      <c r="M77">
        <f>$B$12*F77+$B$13</f>
        <v>2.0751188186004788</v>
      </c>
      <c r="N77">
        <f t="shared" si="23"/>
        <v>1.2930983995214085E-3</v>
      </c>
      <c r="O77" s="4">
        <f t="shared" ca="1" si="24"/>
        <v>7.5738587725947513</v>
      </c>
      <c r="P77" s="4">
        <f t="shared" si="25"/>
        <v>7.6533952126877871</v>
      </c>
      <c r="Q77" s="4">
        <f t="shared" ca="1" si="26"/>
        <v>7.9536440093035843E-2</v>
      </c>
      <c r="R77" s="2">
        <f t="shared" ca="1" si="27"/>
        <v>1.0392307973483514E-2</v>
      </c>
      <c r="S77" s="4">
        <f t="shared" si="28"/>
        <v>0.625</v>
      </c>
      <c r="T77">
        <v>0.54494414692876847</v>
      </c>
      <c r="U77">
        <f t="shared" si="29"/>
        <v>8.0055853071231531E-2</v>
      </c>
      <c r="V77" s="2">
        <f t="shared" si="30"/>
        <v>0.12808936491397044</v>
      </c>
      <c r="W77">
        <f>(T77+5/3)/(1/12)</f>
        <v>26.539329763145226</v>
      </c>
      <c r="X77" s="2">
        <f t="shared" si="31"/>
        <v>3.4933463158355431E-2</v>
      </c>
    </row>
    <row r="78" spans="5:24" x14ac:dyDescent="0.25">
      <c r="E78">
        <v>76</v>
      </c>
      <c r="F78">
        <f t="shared" si="16"/>
        <v>27.6</v>
      </c>
      <c r="G78">
        <f t="shared" si="17"/>
        <v>300.75</v>
      </c>
      <c r="H78" s="4">
        <f t="shared" si="18"/>
        <v>0.63333300000000003</v>
      </c>
      <c r="I78" s="4">
        <f t="shared" si="19"/>
        <v>8931.792195</v>
      </c>
      <c r="J78" s="4">
        <f t="shared" si="20"/>
        <v>8.9517921949999995</v>
      </c>
      <c r="K78" s="4">
        <f t="shared" si="21"/>
        <v>2074.3451759999998</v>
      </c>
      <c r="L78">
        <f t="shared" si="22"/>
        <v>2.074345176</v>
      </c>
      <c r="M78">
        <f>$B$12*F78+$B$13</f>
        <v>2.0727709797775846</v>
      </c>
      <c r="N78">
        <f t="shared" si="23"/>
        <v>1.5741962224153916E-3</v>
      </c>
      <c r="O78" s="4">
        <f t="shared" ca="1" si="24"/>
        <v>7.566705137026239</v>
      </c>
      <c r="P78" s="4">
        <f t="shared" si="25"/>
        <v>7.6447359791796936</v>
      </c>
      <c r="Q78" s="4">
        <f t="shared" ca="1" si="26"/>
        <v>7.8030842153454572E-2</v>
      </c>
      <c r="R78" s="2">
        <f t="shared" ca="1" si="27"/>
        <v>1.0207133688589144E-2</v>
      </c>
      <c r="S78" s="4">
        <f t="shared" si="28"/>
        <v>0.63333300000000003</v>
      </c>
      <c r="T78">
        <v>0.55266447868087576</v>
      </c>
      <c r="U78">
        <f t="shared" si="29"/>
        <v>8.0668521319124276E-2</v>
      </c>
      <c r="V78" s="2">
        <f t="shared" si="30"/>
        <v>0.12737141648883649</v>
      </c>
      <c r="W78">
        <f>(T78+5/3)/(1/12)</f>
        <v>26.631973744170509</v>
      </c>
      <c r="X78" s="2">
        <f t="shared" si="31"/>
        <v>3.5073415066285966E-2</v>
      </c>
    </row>
    <row r="79" spans="5:24" x14ac:dyDescent="0.25">
      <c r="E79">
        <v>77</v>
      </c>
      <c r="F79">
        <f t="shared" si="16"/>
        <v>27.7</v>
      </c>
      <c r="G79">
        <f t="shared" si="17"/>
        <v>300.84999999999997</v>
      </c>
      <c r="H79" s="4">
        <f t="shared" si="18"/>
        <v>0.64166699999999999</v>
      </c>
      <c r="I79" s="4">
        <f t="shared" si="19"/>
        <v>8893.3634079999993</v>
      </c>
      <c r="J79" s="4">
        <f t="shared" si="20"/>
        <v>8.9133634079999986</v>
      </c>
      <c r="K79" s="4">
        <f t="shared" si="21"/>
        <v>2072.2748750000001</v>
      </c>
      <c r="L79">
        <f t="shared" si="22"/>
        <v>2.0722748750000002</v>
      </c>
      <c r="M79">
        <f>$B$12*F79+$B$13</f>
        <v>2.0704231409546905</v>
      </c>
      <c r="N79">
        <f t="shared" si="23"/>
        <v>1.8517340453096942E-3</v>
      </c>
      <c r="O79" s="4">
        <f t="shared" ca="1" si="24"/>
        <v>7.5587472274052487</v>
      </c>
      <c r="P79" s="4">
        <f t="shared" si="25"/>
        <v>7.6360767456716001</v>
      </c>
      <c r="Q79" s="4">
        <f t="shared" ca="1" si="26"/>
        <v>7.7329518266351371E-2</v>
      </c>
      <c r="R79" s="2">
        <f t="shared" ca="1" si="27"/>
        <v>1.0126864991264591E-2</v>
      </c>
      <c r="S79" s="4">
        <f t="shared" si="28"/>
        <v>0.64166699999999999</v>
      </c>
      <c r="T79">
        <v>0.56041165598234544</v>
      </c>
      <c r="U79">
        <f t="shared" si="29"/>
        <v>8.1255344017654552E-2</v>
      </c>
      <c r="V79" s="2">
        <f t="shared" si="30"/>
        <v>0.12663163917990883</v>
      </c>
      <c r="W79">
        <f>(T79+5/3)/(1/12)</f>
        <v>26.724939871788145</v>
      </c>
      <c r="X79" s="2">
        <f t="shared" si="31"/>
        <v>3.5200726650247455E-2</v>
      </c>
    </row>
    <row r="80" spans="5:24" x14ac:dyDescent="0.25">
      <c r="E80">
        <v>78</v>
      </c>
      <c r="F80">
        <f t="shared" si="16"/>
        <v>27.8</v>
      </c>
      <c r="G80">
        <f t="shared" si="17"/>
        <v>300.95</v>
      </c>
      <c r="H80" s="4">
        <f t="shared" si="18"/>
        <v>0.65</v>
      </c>
      <c r="I80" s="4">
        <f t="shared" si="19"/>
        <v>8855.1220360000007</v>
      </c>
      <c r="J80" s="4">
        <f t="shared" si="20"/>
        <v>8.8751220360000005</v>
      </c>
      <c r="K80" s="4">
        <f t="shared" si="21"/>
        <v>2070.201024</v>
      </c>
      <c r="L80">
        <f t="shared" si="22"/>
        <v>2.0702010240000002</v>
      </c>
      <c r="M80">
        <f>$B$12*F80+$B$13</f>
        <v>2.0680753021317959</v>
      </c>
      <c r="N80">
        <f t="shared" si="23"/>
        <v>2.1257218682042556E-3</v>
      </c>
      <c r="O80" s="4">
        <f t="shared" ca="1" si="24"/>
        <v>7.5504114985422737</v>
      </c>
      <c r="P80" s="4">
        <f t="shared" si="25"/>
        <v>7.6274175121635048</v>
      </c>
      <c r="Q80" s="4">
        <f t="shared" ca="1" si="26"/>
        <v>7.7006013621231162E-2</v>
      </c>
      <c r="R80" s="2">
        <f t="shared" ca="1" si="27"/>
        <v>1.0095948399104814E-2</v>
      </c>
      <c r="S80" s="4">
        <f t="shared" si="28"/>
        <v>0.65</v>
      </c>
      <c r="T80">
        <v>0.56818564016343787</v>
      </c>
      <c r="U80">
        <f t="shared" si="29"/>
        <v>8.1814359836562156E-2</v>
      </c>
      <c r="V80" s="2">
        <f t="shared" si="30"/>
        <v>0.12586824590240331</v>
      </c>
      <c r="W80">
        <f>(T80+5/3)/(1/12)</f>
        <v>26.818227681961254</v>
      </c>
      <c r="X80" s="2">
        <f t="shared" si="31"/>
        <v>3.5315551008588013E-2</v>
      </c>
    </row>
    <row r="81" spans="5:24" x14ac:dyDescent="0.25">
      <c r="E81">
        <v>79</v>
      </c>
      <c r="F81">
        <f t="shared" si="16"/>
        <v>27.9</v>
      </c>
      <c r="G81">
        <f t="shared" si="17"/>
        <v>301.04999999999995</v>
      </c>
      <c r="H81" s="4">
        <f t="shared" si="18"/>
        <v>0.65833299999999995</v>
      </c>
      <c r="I81" s="4">
        <f t="shared" si="19"/>
        <v>8817.0670649999993</v>
      </c>
      <c r="J81" s="4">
        <f t="shared" si="20"/>
        <v>8.8370670649999994</v>
      </c>
      <c r="K81" s="4">
        <f t="shared" si="21"/>
        <v>2068.1236349999999</v>
      </c>
      <c r="L81">
        <f t="shared" si="22"/>
        <v>2.0681236350000001</v>
      </c>
      <c r="M81">
        <f>$B$12*F81+$B$13</f>
        <v>2.0657274633089013</v>
      </c>
      <c r="N81">
        <f t="shared" si="23"/>
        <v>2.3961716910987363E-3</v>
      </c>
      <c r="O81" s="4">
        <f t="shared" ca="1" si="24"/>
        <v>7.5436160000000001</v>
      </c>
      <c r="P81" s="4">
        <f t="shared" si="25"/>
        <v>7.6187582786554096</v>
      </c>
      <c r="Q81" s="4">
        <f t="shared" ca="1" si="26"/>
        <v>7.5142278655409456E-2</v>
      </c>
      <c r="R81" s="2">
        <f t="shared" ca="1" si="27"/>
        <v>9.8627986224378399E-3</v>
      </c>
      <c r="S81" s="4">
        <f t="shared" si="28"/>
        <v>0.65833299999999995</v>
      </c>
      <c r="T81">
        <v>0.57598639235075</v>
      </c>
      <c r="U81">
        <f t="shared" si="29"/>
        <v>8.2346607649249948E-2</v>
      </c>
      <c r="V81" s="2">
        <f t="shared" si="30"/>
        <v>0.12508351799051537</v>
      </c>
      <c r="W81">
        <f>(T81+5/3)/(1/12)</f>
        <v>26.911836708208998</v>
      </c>
      <c r="X81" s="2">
        <f t="shared" si="31"/>
        <v>3.5418039132293924E-2</v>
      </c>
    </row>
    <row r="82" spans="5:24" x14ac:dyDescent="0.25">
      <c r="E82">
        <v>80</v>
      </c>
      <c r="F82">
        <f t="shared" si="16"/>
        <v>28</v>
      </c>
      <c r="G82">
        <f t="shared" si="17"/>
        <v>301.14999999999998</v>
      </c>
      <c r="H82" s="4">
        <f t="shared" si="18"/>
        <v>0.66666700000000001</v>
      </c>
      <c r="I82" s="4">
        <f t="shared" si="19"/>
        <v>8779.1974879999998</v>
      </c>
      <c r="J82" s="4">
        <f t="shared" si="20"/>
        <v>8.7991974880000008</v>
      </c>
      <c r="K82" s="4">
        <f t="shared" si="21"/>
        <v>2066.0427169999998</v>
      </c>
      <c r="L82">
        <f t="shared" si="22"/>
        <v>2.0660427169999998</v>
      </c>
      <c r="M82">
        <f>$B$12*F82+$B$13</f>
        <v>2.0633796244860072</v>
      </c>
      <c r="N82">
        <f t="shared" si="23"/>
        <v>2.6630925139925488E-3</v>
      </c>
      <c r="O82" s="4">
        <f t="shared" ca="1" si="24"/>
        <v>7.536411364431487</v>
      </c>
      <c r="P82" s="4">
        <f t="shared" si="25"/>
        <v>7.6100990451473169</v>
      </c>
      <c r="Q82" s="4">
        <f t="shared" ca="1" si="26"/>
        <v>7.3687680715829984E-2</v>
      </c>
      <c r="R82" s="2">
        <f t="shared" ca="1" si="27"/>
        <v>9.6828806404061114E-3</v>
      </c>
      <c r="S82" s="4">
        <f t="shared" si="28"/>
        <v>0.66666700000000001</v>
      </c>
      <c r="T82">
        <v>0.58381387303076104</v>
      </c>
      <c r="U82">
        <f t="shared" si="29"/>
        <v>8.2853126969238966E-2</v>
      </c>
      <c r="V82" s="2">
        <f t="shared" si="30"/>
        <v>0.12427962831404429</v>
      </c>
      <c r="W82">
        <f>(T82+5/3)/(1/12)</f>
        <v>27.005766476369132</v>
      </c>
      <c r="X82" s="2">
        <f t="shared" si="31"/>
        <v>3.5508340129673854E-2</v>
      </c>
    </row>
    <row r="83" spans="5:24" x14ac:dyDescent="0.25">
      <c r="E83">
        <v>81</v>
      </c>
      <c r="F83">
        <f t="shared" si="16"/>
        <v>28.1</v>
      </c>
      <c r="G83">
        <f t="shared" si="17"/>
        <v>301.25</v>
      </c>
      <c r="H83" s="4">
        <f t="shared" si="18"/>
        <v>0.67500000000000004</v>
      </c>
      <c r="I83" s="4">
        <f t="shared" si="19"/>
        <v>8741.5123010000007</v>
      </c>
      <c r="J83" s="4">
        <f t="shared" si="20"/>
        <v>8.7615123010000016</v>
      </c>
      <c r="K83" s="4">
        <f t="shared" si="21"/>
        <v>2063.9582799999998</v>
      </c>
      <c r="L83">
        <f t="shared" si="22"/>
        <v>2.06395828</v>
      </c>
      <c r="M83">
        <f>$B$12*F83+$B$13</f>
        <v>2.0610317856631126</v>
      </c>
      <c r="N83">
        <f t="shared" si="23"/>
        <v>2.9264943368874086E-3</v>
      </c>
      <c r="O83" s="4">
        <f t="shared" ca="1" si="24"/>
        <v>7.5284230000000001</v>
      </c>
      <c r="P83" s="4">
        <f t="shared" si="25"/>
        <v>7.6014398116392217</v>
      </c>
      <c r="Q83" s="4">
        <f t="shared" ca="1" si="26"/>
        <v>7.3016811639221579E-2</v>
      </c>
      <c r="R83" s="2">
        <f t="shared" ca="1" si="27"/>
        <v>9.6056554348321263E-3</v>
      </c>
      <c r="S83" s="4">
        <f t="shared" si="28"/>
        <v>0.67500000000000004</v>
      </c>
      <c r="T83">
        <v>0.59166804242804827</v>
      </c>
      <c r="U83">
        <f t="shared" si="29"/>
        <v>8.3331957571951776E-2</v>
      </c>
      <c r="V83" s="2">
        <f t="shared" si="30"/>
        <v>0.12345475195844707</v>
      </c>
      <c r="W83">
        <f>(T83+5/3)/(1/12)</f>
        <v>27.10001650913658</v>
      </c>
      <c r="X83" s="2">
        <f t="shared" si="31"/>
        <v>3.5586601098342392E-2</v>
      </c>
    </row>
    <row r="84" spans="5:24" x14ac:dyDescent="0.25">
      <c r="E84">
        <v>82</v>
      </c>
      <c r="F84">
        <f t="shared" si="16"/>
        <v>28.200000000000003</v>
      </c>
      <c r="G84">
        <f t="shared" si="17"/>
        <v>301.34999999999997</v>
      </c>
      <c r="H84" s="4">
        <f t="shared" si="18"/>
        <v>0.68333299999999997</v>
      </c>
      <c r="I84" s="4">
        <f t="shared" si="19"/>
        <v>8704.0105079999994</v>
      </c>
      <c r="J84" s="4">
        <f t="shared" si="20"/>
        <v>8.7240105079999992</v>
      </c>
      <c r="K84" s="4">
        <f t="shared" si="21"/>
        <v>2061.8703350000001</v>
      </c>
      <c r="L84">
        <f t="shared" si="22"/>
        <v>2.0618703350000001</v>
      </c>
      <c r="M84">
        <f>$B$12*F84+$B$13</f>
        <v>2.0586839468402185</v>
      </c>
      <c r="N84">
        <f t="shared" si="23"/>
        <v>3.1863881597815613E-3</v>
      </c>
      <c r="O84" s="4">
        <f t="shared" ca="1" si="24"/>
        <v>7.5208177725947509</v>
      </c>
      <c r="P84" s="4">
        <f t="shared" si="25"/>
        <v>7.5927805781311282</v>
      </c>
      <c r="Q84" s="4">
        <f t="shared" ca="1" si="26"/>
        <v>7.1962805536377239E-2</v>
      </c>
      <c r="R84" s="2">
        <f t="shared" ca="1" si="27"/>
        <v>9.4777933848958947E-3</v>
      </c>
      <c r="S84" s="4">
        <f t="shared" si="28"/>
        <v>0.68333299999999997</v>
      </c>
      <c r="T84">
        <v>0.59864512554000371</v>
      </c>
      <c r="U84">
        <f t="shared" si="29"/>
        <v>8.468787445999626E-2</v>
      </c>
      <c r="V84" s="2">
        <f t="shared" si="30"/>
        <v>0.12393353527488979</v>
      </c>
      <c r="W84">
        <f>(T84+5/3)/(1/12)</f>
        <v>27.183741506480047</v>
      </c>
      <c r="X84" s="2">
        <f t="shared" si="31"/>
        <v>3.6037535231204114E-2</v>
      </c>
    </row>
    <row r="85" spans="5:24" x14ac:dyDescent="0.25">
      <c r="E85">
        <v>83</v>
      </c>
      <c r="F85">
        <f t="shared" si="16"/>
        <v>28.3</v>
      </c>
      <c r="G85">
        <f t="shared" si="17"/>
        <v>301.45</v>
      </c>
      <c r="H85" s="4">
        <f t="shared" si="18"/>
        <v>0.69166700000000003</v>
      </c>
      <c r="I85" s="4">
        <f t="shared" si="19"/>
        <v>8666.6911180000006</v>
      </c>
      <c r="J85" s="4">
        <f t="shared" si="20"/>
        <v>8.6866911180000006</v>
      </c>
      <c r="K85" s="4">
        <f t="shared" si="21"/>
        <v>2059.7788919999998</v>
      </c>
      <c r="L85">
        <f t="shared" si="22"/>
        <v>2.0597788919999998</v>
      </c>
      <c r="M85">
        <f>$B$12*F85+$B$13</f>
        <v>2.0563361080173239</v>
      </c>
      <c r="N85">
        <f t="shared" si="23"/>
        <v>3.4427839826758344E-3</v>
      </c>
      <c r="O85" s="4">
        <f t="shared" ca="1" si="24"/>
        <v>7.5131779999999999</v>
      </c>
      <c r="P85" s="4">
        <f t="shared" si="25"/>
        <v>7.5841213446230329</v>
      </c>
      <c r="Q85" s="4">
        <f t="shared" ca="1" si="26"/>
        <v>7.0943344623032978E-2</v>
      </c>
      <c r="R85" s="2">
        <f t="shared" ca="1" si="27"/>
        <v>9.3541942961303196E-3</v>
      </c>
      <c r="S85" s="4">
        <f t="shared" si="28"/>
        <v>0.69166700000000003</v>
      </c>
      <c r="T85">
        <v>0.60655348394148934</v>
      </c>
      <c r="U85">
        <f t="shared" si="29"/>
        <v>8.5113516058510696E-2</v>
      </c>
      <c r="V85" s="2">
        <f t="shared" si="30"/>
        <v>0.12305562656380989</v>
      </c>
      <c r="W85">
        <f>(T85+5/3)/(1/12)</f>
        <v>27.278641807297873</v>
      </c>
      <c r="X85" s="2">
        <f t="shared" si="31"/>
        <v>3.6090395501841954E-2</v>
      </c>
    </row>
    <row r="86" spans="5:24" x14ac:dyDescent="0.25">
      <c r="E86">
        <v>84</v>
      </c>
      <c r="F86">
        <f t="shared" si="16"/>
        <v>28.4</v>
      </c>
      <c r="G86">
        <f t="shared" si="17"/>
        <v>301.54999999999995</v>
      </c>
      <c r="H86" s="4">
        <f t="shared" si="18"/>
        <v>0.7</v>
      </c>
      <c r="I86" s="4">
        <f t="shared" si="19"/>
        <v>8629.5531460000002</v>
      </c>
      <c r="J86" s="4">
        <f t="shared" si="20"/>
        <v>8.6495531460000006</v>
      </c>
      <c r="K86" s="4">
        <f t="shared" si="21"/>
        <v>2057.6839629999999</v>
      </c>
      <c r="L86">
        <f t="shared" si="22"/>
        <v>2.0576839630000001</v>
      </c>
      <c r="M86">
        <f>$B$12*F86+$B$13</f>
        <v>2.0539882691944298</v>
      </c>
      <c r="N86">
        <f t="shared" si="23"/>
        <v>3.6956938055703326E-3</v>
      </c>
      <c r="O86" s="4">
        <f t="shared" ca="1" si="24"/>
        <v>7.505526227405249</v>
      </c>
      <c r="P86" s="4">
        <f t="shared" si="25"/>
        <v>7.5754621111149394</v>
      </c>
      <c r="Q86" s="4">
        <f t="shared" ca="1" si="26"/>
        <v>6.9935883709690394E-2</v>
      </c>
      <c r="R86" s="2">
        <f t="shared" ca="1" si="27"/>
        <v>9.2318967059551952E-3</v>
      </c>
      <c r="S86" s="4">
        <f t="shared" si="28"/>
        <v>0.7</v>
      </c>
      <c r="T86">
        <v>0.61448840940626959</v>
      </c>
      <c r="U86">
        <f t="shared" si="29"/>
        <v>8.5511590593730369E-2</v>
      </c>
      <c r="V86" s="2">
        <f t="shared" si="30"/>
        <v>0.12215941513390054</v>
      </c>
      <c r="W86">
        <f>(T86+5/3)/(1/12)</f>
        <v>27.373860912875237</v>
      </c>
      <c r="X86" s="2">
        <f t="shared" si="31"/>
        <v>3.6131657997350755E-2</v>
      </c>
    </row>
    <row r="87" spans="5:24" x14ac:dyDescent="0.25">
      <c r="E87">
        <v>85</v>
      </c>
      <c r="F87">
        <f t="shared" si="16"/>
        <v>28.5</v>
      </c>
      <c r="G87">
        <f t="shared" si="17"/>
        <v>301.64999999999998</v>
      </c>
      <c r="H87" s="4">
        <f t="shared" si="18"/>
        <v>0.70833299999999999</v>
      </c>
      <c r="I87" s="4">
        <f t="shared" si="19"/>
        <v>8592.5956129999995</v>
      </c>
      <c r="J87" s="4">
        <f t="shared" si="20"/>
        <v>8.6125956129999999</v>
      </c>
      <c r="K87" s="4">
        <f t="shared" si="21"/>
        <v>2055.5855569999999</v>
      </c>
      <c r="L87">
        <f t="shared" si="22"/>
        <v>2.0555855570000001</v>
      </c>
      <c r="M87">
        <f>$B$12*F87+$B$13</f>
        <v>2.0516404303715357</v>
      </c>
      <c r="N87">
        <f t="shared" si="23"/>
        <v>3.9451266284644682E-3</v>
      </c>
      <c r="O87" s="4">
        <f t="shared" ca="1" si="24"/>
        <v>7.4978819999999997</v>
      </c>
      <c r="P87" s="4">
        <f t="shared" si="25"/>
        <v>7.5668028776068459</v>
      </c>
      <c r="Q87" s="4">
        <f t="shared" ca="1" si="26"/>
        <v>6.8920877606846176E-2</v>
      </c>
      <c r="R87" s="2">
        <f t="shared" ca="1" si="27"/>
        <v>9.1083220643701761E-3</v>
      </c>
      <c r="S87" s="4">
        <f t="shared" si="28"/>
        <v>0.70833299999999999</v>
      </c>
      <c r="T87">
        <v>0.62244985945293896</v>
      </c>
      <c r="U87">
        <f t="shared" si="29"/>
        <v>8.5883140547061032E-2</v>
      </c>
      <c r="V87" s="2">
        <f t="shared" si="30"/>
        <v>0.12124684371201262</v>
      </c>
      <c r="W87">
        <f>(T87+5/3)/(1/12)</f>
        <v>27.469398313435267</v>
      </c>
      <c r="X87" s="2">
        <f t="shared" si="31"/>
        <v>3.6161462686481856E-2</v>
      </c>
    </row>
    <row r="88" spans="5:24" x14ac:dyDescent="0.25">
      <c r="E88">
        <v>86</v>
      </c>
      <c r="F88">
        <f t="shared" si="16"/>
        <v>28.6</v>
      </c>
      <c r="G88">
        <f t="shared" si="17"/>
        <v>301.75</v>
      </c>
      <c r="H88" s="4">
        <f t="shared" si="18"/>
        <v>0.71666700000000005</v>
      </c>
      <c r="I88" s="4">
        <f t="shared" si="19"/>
        <v>8555.8175460000002</v>
      </c>
      <c r="J88" s="4">
        <f t="shared" si="20"/>
        <v>8.5758175459999997</v>
      </c>
      <c r="K88" s="4">
        <f t="shared" si="21"/>
        <v>2053.483686</v>
      </c>
      <c r="L88">
        <f t="shared" si="22"/>
        <v>2.0534836859999999</v>
      </c>
      <c r="M88">
        <f>$B$12*F88+$B$13</f>
        <v>2.0492925915486411</v>
      </c>
      <c r="N88">
        <f t="shared" si="23"/>
        <v>4.19109445135879E-3</v>
      </c>
      <c r="O88" s="4">
        <f t="shared" ca="1" si="24"/>
        <v>7.4906013644314875</v>
      </c>
      <c r="P88" s="4">
        <f t="shared" si="25"/>
        <v>7.5581436440987515</v>
      </c>
      <c r="Q88" s="4">
        <f t="shared" ca="1" si="26"/>
        <v>6.7542279667264005E-2</v>
      </c>
      <c r="R88" s="2">
        <f t="shared" ca="1" si="27"/>
        <v>8.9363582974504169E-3</v>
      </c>
      <c r="S88" s="4">
        <f t="shared" si="28"/>
        <v>0.71666700000000005</v>
      </c>
      <c r="T88">
        <v>0.63043779197832295</v>
      </c>
      <c r="U88">
        <f t="shared" si="29"/>
        <v>8.6229208021677106E-2</v>
      </c>
      <c r="V88" s="2">
        <f t="shared" si="30"/>
        <v>0.12031976918384285</v>
      </c>
      <c r="W88">
        <f>(T88+5/3)/(1/12)</f>
        <v>27.565253503739875</v>
      </c>
      <c r="X88" s="2">
        <f t="shared" si="31"/>
        <v>3.6179947421682741E-2</v>
      </c>
    </row>
    <row r="89" spans="5:24" x14ac:dyDescent="0.25">
      <c r="E89">
        <v>87</v>
      </c>
      <c r="F89">
        <f t="shared" si="16"/>
        <v>28.700000000000003</v>
      </c>
      <c r="G89">
        <f t="shared" si="17"/>
        <v>301.84999999999997</v>
      </c>
      <c r="H89" s="4">
        <f t="shared" si="18"/>
        <v>0.72499999999999998</v>
      </c>
      <c r="I89" s="4">
        <f t="shared" si="19"/>
        <v>8519.2179780000006</v>
      </c>
      <c r="J89" s="4">
        <f t="shared" si="20"/>
        <v>8.5392179779999999</v>
      </c>
      <c r="K89" s="4">
        <f t="shared" si="21"/>
        <v>2051.3783600000002</v>
      </c>
      <c r="L89">
        <f t="shared" si="22"/>
        <v>2.0513783600000002</v>
      </c>
      <c r="M89">
        <f>$B$12*F89+$B$13</f>
        <v>2.0469447527257465</v>
      </c>
      <c r="N89">
        <f t="shared" si="23"/>
        <v>4.4336072742536814E-3</v>
      </c>
      <c r="O89" s="4">
        <f t="shared" ca="1" si="24"/>
        <v>7.4833175014577256</v>
      </c>
      <c r="P89" s="4">
        <f t="shared" si="25"/>
        <v>7.5494844105906562</v>
      </c>
      <c r="Q89" s="4">
        <f t="shared" ca="1" si="26"/>
        <v>6.6166909132930662E-2</v>
      </c>
      <c r="R89" s="2">
        <f t="shared" ca="1" si="27"/>
        <v>8.7644275468811653E-3</v>
      </c>
      <c r="S89" s="4">
        <f t="shared" si="28"/>
        <v>0.72499999999999998</v>
      </c>
      <c r="T89">
        <v>0.63755311904766421</v>
      </c>
      <c r="U89">
        <f t="shared" si="29"/>
        <v>8.744688095233577E-2</v>
      </c>
      <c r="V89" s="2">
        <f t="shared" si="30"/>
        <v>0.12061638752046314</v>
      </c>
      <c r="W89">
        <f>(T89+5/3)/(1/12)</f>
        <v>27.650637428571969</v>
      </c>
      <c r="X89" s="2">
        <f t="shared" si="31"/>
        <v>3.65631557988862E-2</v>
      </c>
    </row>
    <row r="90" spans="5:24" x14ac:dyDescent="0.25">
      <c r="E90">
        <v>88</v>
      </c>
      <c r="F90">
        <f t="shared" si="16"/>
        <v>28.8</v>
      </c>
      <c r="G90">
        <f t="shared" si="17"/>
        <v>301.95</v>
      </c>
      <c r="H90" s="4">
        <f t="shared" si="18"/>
        <v>0.73333300000000001</v>
      </c>
      <c r="I90" s="4">
        <f t="shared" si="19"/>
        <v>8482.7959460000002</v>
      </c>
      <c r="J90" s="4">
        <f t="shared" si="20"/>
        <v>8.5027959460000009</v>
      </c>
      <c r="K90" s="4">
        <f t="shared" si="21"/>
        <v>2049.2695899999999</v>
      </c>
      <c r="L90">
        <f t="shared" si="22"/>
        <v>2.0492695899999998</v>
      </c>
      <c r="M90">
        <f>$B$12*F90+$B$13</f>
        <v>2.0445969139028524</v>
      </c>
      <c r="N90">
        <f t="shared" si="23"/>
        <v>4.672676097147388E-3</v>
      </c>
      <c r="O90" s="4">
        <f t="shared" ca="1" si="24"/>
        <v>7.4752411370262388</v>
      </c>
      <c r="P90" s="4">
        <f t="shared" si="25"/>
        <v>7.5408251770825627</v>
      </c>
      <c r="Q90" s="4">
        <f t="shared" ca="1" si="26"/>
        <v>6.55840400563239E-2</v>
      </c>
      <c r="R90" s="2">
        <f t="shared" ca="1" si="27"/>
        <v>8.6971967279710124E-3</v>
      </c>
      <c r="S90" s="4">
        <f t="shared" si="28"/>
        <v>0.73333300000000001</v>
      </c>
      <c r="T90">
        <v>0.64559482810015167</v>
      </c>
      <c r="U90">
        <f t="shared" si="29"/>
        <v>8.7738171899848338E-2</v>
      </c>
      <c r="V90" s="2">
        <f t="shared" si="30"/>
        <v>0.11964301606480049</v>
      </c>
      <c r="W90">
        <f>(T90+5/3)/(1/12)</f>
        <v>27.747137937201824</v>
      </c>
      <c r="X90" s="2">
        <f t="shared" si="31"/>
        <v>3.655771051382558E-2</v>
      </c>
    </row>
    <row r="91" spans="5:24" x14ac:dyDescent="0.25">
      <c r="E91">
        <v>89</v>
      </c>
      <c r="F91">
        <f t="shared" si="16"/>
        <v>28.9</v>
      </c>
      <c r="G91">
        <f t="shared" si="17"/>
        <v>302.04999999999995</v>
      </c>
      <c r="H91" s="4">
        <f t="shared" si="18"/>
        <v>0.74166699999999997</v>
      </c>
      <c r="I91" s="4">
        <f t="shared" si="19"/>
        <v>8446.5504939999992</v>
      </c>
      <c r="J91" s="4">
        <f t="shared" si="20"/>
        <v>8.4665504939999998</v>
      </c>
      <c r="K91" s="4">
        <f t="shared" si="21"/>
        <v>2047.157387</v>
      </c>
      <c r="L91">
        <f t="shared" si="22"/>
        <v>2.0471573869999999</v>
      </c>
      <c r="M91">
        <f>$B$12*F91+$B$13</f>
        <v>2.0422490750799582</v>
      </c>
      <c r="N91">
        <f t="shared" si="23"/>
        <v>4.908311920041708E-3</v>
      </c>
      <c r="O91" s="4">
        <f t="shared" ca="1" si="24"/>
        <v>7.4671292274052483</v>
      </c>
      <c r="P91" s="4">
        <f t="shared" si="25"/>
        <v>7.5321659435744692</v>
      </c>
      <c r="Q91" s="4">
        <f t="shared" ca="1" si="26"/>
        <v>6.5036716169220909E-2</v>
      </c>
      <c r="R91" s="2">
        <f t="shared" ca="1" si="27"/>
        <v>8.6345304466774724E-3</v>
      </c>
      <c r="S91" s="4">
        <f t="shared" si="28"/>
        <v>0.74166699999999997</v>
      </c>
      <c r="T91">
        <v>0.65366288962659969</v>
      </c>
      <c r="U91">
        <f t="shared" si="29"/>
        <v>8.8004110373400279E-2</v>
      </c>
      <c r="V91" s="2">
        <f t="shared" si="30"/>
        <v>0.11865717414068616</v>
      </c>
      <c r="W91">
        <f>(T91+5/3)/(1/12)</f>
        <v>27.8439546755192</v>
      </c>
      <c r="X91" s="2">
        <f t="shared" si="31"/>
        <v>3.654136070867816E-2</v>
      </c>
    </row>
    <row r="92" spans="5:24" x14ac:dyDescent="0.25">
      <c r="E92">
        <v>90</v>
      </c>
      <c r="F92">
        <f t="shared" si="16"/>
        <v>29</v>
      </c>
      <c r="G92">
        <f t="shared" si="17"/>
        <v>302.14999999999998</v>
      </c>
      <c r="H92" s="4">
        <f t="shared" si="18"/>
        <v>0.75</v>
      </c>
      <c r="I92" s="4">
        <f t="shared" si="19"/>
        <v>8410.4806719999997</v>
      </c>
      <c r="J92" s="4">
        <f t="shared" si="20"/>
        <v>8.4304806719999998</v>
      </c>
      <c r="K92" s="4">
        <f t="shared" si="21"/>
        <v>2045.0417629999999</v>
      </c>
      <c r="L92">
        <f t="shared" si="22"/>
        <v>2.045041763</v>
      </c>
      <c r="M92">
        <f>$B$12*F92+$B$13</f>
        <v>2.0399012362570637</v>
      </c>
      <c r="N92">
        <f t="shared" si="23"/>
        <v>5.1405267429363022E-3</v>
      </c>
      <c r="O92" s="4">
        <f t="shared" ca="1" si="24"/>
        <v>7.4602045014577261</v>
      </c>
      <c r="P92" s="4">
        <f t="shared" si="25"/>
        <v>7.5235067100663739</v>
      </c>
      <c r="Q92" s="4">
        <f t="shared" ca="1" si="26"/>
        <v>6.3302208608647881E-2</v>
      </c>
      <c r="R92" s="2">
        <f t="shared" ca="1" si="27"/>
        <v>8.4139233269972611E-3</v>
      </c>
      <c r="S92" s="4">
        <f t="shared" si="28"/>
        <v>0.75</v>
      </c>
      <c r="T92">
        <v>0.66175725931248441</v>
      </c>
      <c r="U92">
        <f t="shared" si="29"/>
        <v>8.8242740687515586E-2</v>
      </c>
      <c r="V92" s="2">
        <f t="shared" si="30"/>
        <v>0.11765698758335412</v>
      </c>
      <c r="W92">
        <f>(T92+5/3)/(1/12)</f>
        <v>27.941087111749813</v>
      </c>
      <c r="X92" s="2">
        <f t="shared" si="31"/>
        <v>3.6514237525868534E-2</v>
      </c>
    </row>
    <row r="93" spans="5:24" x14ac:dyDescent="0.25">
      <c r="E93">
        <v>91</v>
      </c>
      <c r="F93">
        <f t="shared" si="16"/>
        <v>29.1</v>
      </c>
      <c r="G93">
        <f t="shared" si="17"/>
        <v>302.25</v>
      </c>
      <c r="H93" s="4">
        <f t="shared" si="18"/>
        <v>0.75833300000000003</v>
      </c>
      <c r="I93" s="4">
        <f t="shared" si="19"/>
        <v>8374.5855360000005</v>
      </c>
      <c r="J93" s="4">
        <f t="shared" si="20"/>
        <v>8.394585536000001</v>
      </c>
      <c r="K93" s="4">
        <f t="shared" si="21"/>
        <v>2042.922728</v>
      </c>
      <c r="L93">
        <f t="shared" si="22"/>
        <v>2.0429227280000002</v>
      </c>
      <c r="M93">
        <f>$B$12*F93+$B$13</f>
        <v>2.0375533974341691</v>
      </c>
      <c r="N93">
        <f t="shared" si="23"/>
        <v>5.3693305658311097E-3</v>
      </c>
      <c r="O93" s="4">
        <f t="shared" ca="1" si="24"/>
        <v>7.4516939999999998</v>
      </c>
      <c r="P93" s="4">
        <f t="shared" si="25"/>
        <v>7.5148474765582796</v>
      </c>
      <c r="Q93" s="4">
        <f t="shared" ca="1" si="26"/>
        <v>6.3153476558279742E-2</v>
      </c>
      <c r="R93" s="2">
        <f t="shared" ca="1" si="27"/>
        <v>8.4038267915988851E-3</v>
      </c>
      <c r="S93" s="4">
        <f t="shared" si="28"/>
        <v>0.75833300000000003</v>
      </c>
      <c r="T93">
        <v>0.66898262768316286</v>
      </c>
      <c r="U93">
        <f t="shared" si="29"/>
        <v>8.9350372316837179E-2</v>
      </c>
      <c r="V93" s="2">
        <f t="shared" si="30"/>
        <v>0.11782471858251872</v>
      </c>
      <c r="W93">
        <f>(T93+5/3)/(1/12)</f>
        <v>28.027791532197956</v>
      </c>
      <c r="X93" s="2">
        <f t="shared" si="31"/>
        <v>3.6845651814503291E-2</v>
      </c>
    </row>
    <row r="94" spans="5:24" x14ac:dyDescent="0.25">
      <c r="E94">
        <v>92</v>
      </c>
      <c r="F94">
        <f t="shared" si="16"/>
        <v>29.200000000000003</v>
      </c>
      <c r="G94">
        <f t="shared" si="17"/>
        <v>302.34999999999997</v>
      </c>
      <c r="H94" s="4">
        <f t="shared" si="18"/>
        <v>0.76666699999999999</v>
      </c>
      <c r="I94" s="4">
        <f t="shared" si="19"/>
        <v>8338.8641449999996</v>
      </c>
      <c r="J94" s="4">
        <f t="shared" si="20"/>
        <v>8.3588641450000001</v>
      </c>
      <c r="K94" s="4">
        <f t="shared" si="21"/>
        <v>2040.800293</v>
      </c>
      <c r="L94">
        <f t="shared" si="22"/>
        <v>2.0408002930000002</v>
      </c>
      <c r="M94">
        <f>$B$12*F94+$B$13</f>
        <v>2.0352055586112749</v>
      </c>
      <c r="N94">
        <f t="shared" si="23"/>
        <v>5.5947343887252643E-3</v>
      </c>
      <c r="O94" s="4">
        <f t="shared" ca="1" si="24"/>
        <v>7.4447335014577263</v>
      </c>
      <c r="P94" s="4">
        <f t="shared" si="25"/>
        <v>7.5061882430501861</v>
      </c>
      <c r="Q94" s="4">
        <f t="shared" ca="1" si="26"/>
        <v>6.1454741592459783E-2</v>
      </c>
      <c r="R94" s="2">
        <f t="shared" ca="1" si="27"/>
        <v>8.1872102860409031E-3</v>
      </c>
      <c r="S94" s="4">
        <f t="shared" si="28"/>
        <v>0.76666699999999999</v>
      </c>
      <c r="T94">
        <v>0.6771304260722687</v>
      </c>
      <c r="U94">
        <f t="shared" si="29"/>
        <v>8.9536573927731289E-2</v>
      </c>
      <c r="V94" s="2">
        <f t="shared" si="30"/>
        <v>0.11678678478104743</v>
      </c>
      <c r="W94">
        <f>(T94+5/3)/(1/12)</f>
        <v>28.125565112867228</v>
      </c>
      <c r="X94" s="2">
        <f t="shared" si="31"/>
        <v>3.6795715312766243E-2</v>
      </c>
    </row>
    <row r="95" spans="5:24" x14ac:dyDescent="0.25">
      <c r="E95">
        <v>93</v>
      </c>
      <c r="F95">
        <f t="shared" si="16"/>
        <v>29.3</v>
      </c>
      <c r="G95">
        <f t="shared" si="17"/>
        <v>302.45</v>
      </c>
      <c r="H95" s="4">
        <f t="shared" si="18"/>
        <v>0.77500000000000002</v>
      </c>
      <c r="I95" s="4">
        <f t="shared" si="19"/>
        <v>8303.3155650000008</v>
      </c>
      <c r="J95" s="4">
        <f t="shared" si="20"/>
        <v>8.3233155650000015</v>
      </c>
      <c r="K95" s="4">
        <f t="shared" si="21"/>
        <v>2038.674471</v>
      </c>
      <c r="L95">
        <f t="shared" si="22"/>
        <v>2.0386744710000002</v>
      </c>
      <c r="M95">
        <f>$B$12*F95+$B$13</f>
        <v>2.0328577197883808</v>
      </c>
      <c r="N95">
        <f t="shared" si="23"/>
        <v>5.8167512116193976E-3</v>
      </c>
      <c r="O95" s="4">
        <f t="shared" ca="1" si="24"/>
        <v>7.436979501457726</v>
      </c>
      <c r="P95" s="4">
        <f t="shared" si="25"/>
        <v>7.4975290095420926</v>
      </c>
      <c r="Q95" s="4">
        <f t="shared" ca="1" si="26"/>
        <v>6.0549508084366543E-2</v>
      </c>
      <c r="R95" s="2">
        <f t="shared" ca="1" si="27"/>
        <v>8.0759284835450838E-3</v>
      </c>
      <c r="S95" s="4">
        <f t="shared" si="28"/>
        <v>0.77500000000000002</v>
      </c>
      <c r="T95">
        <v>0.68530439670937193</v>
      </c>
      <c r="U95">
        <f t="shared" si="29"/>
        <v>8.969560329062809E-2</v>
      </c>
      <c r="V95" s="2">
        <f t="shared" si="30"/>
        <v>0.11573626231048785</v>
      </c>
      <c r="W95">
        <f>(T95+5/3)/(1/12)</f>
        <v>28.223652760512461</v>
      </c>
      <c r="X95" s="2">
        <f t="shared" si="31"/>
        <v>3.673540066510373E-2</v>
      </c>
    </row>
    <row r="96" spans="5:24" x14ac:dyDescent="0.25">
      <c r="E96">
        <v>94</v>
      </c>
      <c r="F96">
        <f t="shared" si="16"/>
        <v>29.4</v>
      </c>
      <c r="G96">
        <f t="shared" si="17"/>
        <v>302.54999999999995</v>
      </c>
      <c r="H96" s="4">
        <f t="shared" si="18"/>
        <v>0.78333299999999995</v>
      </c>
      <c r="I96" s="4">
        <f t="shared" si="19"/>
        <v>8267.9388689999996</v>
      </c>
      <c r="J96" s="4">
        <f t="shared" si="20"/>
        <v>8.2879388689999995</v>
      </c>
      <c r="K96" s="4">
        <f t="shared" si="21"/>
        <v>2036.545271</v>
      </c>
      <c r="L96">
        <f t="shared" si="22"/>
        <v>2.036545271</v>
      </c>
      <c r="M96">
        <f>$B$12*F96+$B$13</f>
        <v>2.0305098809654862</v>
      </c>
      <c r="N96">
        <f t="shared" si="23"/>
        <v>6.0353900345138101E-3</v>
      </c>
      <c r="O96" s="4">
        <f t="shared" ca="1" si="24"/>
        <v>7.4284212274052486</v>
      </c>
      <c r="P96" s="4">
        <f t="shared" si="25"/>
        <v>7.4888697760339973</v>
      </c>
      <c r="Q96" s="4">
        <f t="shared" ca="1" si="26"/>
        <v>6.0448548628748711E-2</v>
      </c>
      <c r="R96" s="2">
        <f t="shared" ca="1" si="27"/>
        <v>8.0717852541911106E-3</v>
      </c>
      <c r="S96" s="4">
        <f t="shared" si="28"/>
        <v>0.78333299999999995</v>
      </c>
      <c r="T96">
        <v>0.69261207995366536</v>
      </c>
      <c r="U96">
        <f t="shared" si="29"/>
        <v>9.0720920046334586E-2</v>
      </c>
      <c r="V96" s="2">
        <f t="shared" si="30"/>
        <v>0.1158139897672313</v>
      </c>
      <c r="W96">
        <f>(T96+5/3)/(1/12)</f>
        <v>28.311344959443986</v>
      </c>
      <c r="X96" s="2">
        <f t="shared" si="31"/>
        <v>3.7029083012109283E-2</v>
      </c>
    </row>
    <row r="97" spans="5:24" x14ac:dyDescent="0.25">
      <c r="E97">
        <v>95</v>
      </c>
      <c r="F97">
        <f t="shared" si="16"/>
        <v>29.5</v>
      </c>
      <c r="G97">
        <f t="shared" si="17"/>
        <v>302.64999999999998</v>
      </c>
      <c r="H97" s="4">
        <f t="shared" si="18"/>
        <v>0.79166700000000001</v>
      </c>
      <c r="I97" s="4">
        <f t="shared" si="19"/>
        <v>8232.7331340000001</v>
      </c>
      <c r="J97" s="4">
        <f t="shared" si="20"/>
        <v>8.2527331339999996</v>
      </c>
      <c r="K97" s="4">
        <f t="shared" si="21"/>
        <v>2034.412707</v>
      </c>
      <c r="L97">
        <f t="shared" si="22"/>
        <v>2.034412707</v>
      </c>
      <c r="M97">
        <f>$B$12*F97+$B$13</f>
        <v>2.0281620421425921</v>
      </c>
      <c r="N97">
        <f t="shared" si="23"/>
        <v>6.2506648574078838E-3</v>
      </c>
      <c r="O97" s="4">
        <f t="shared" ca="1" si="24"/>
        <v>7.421038364431487</v>
      </c>
      <c r="P97" s="4">
        <f t="shared" si="25"/>
        <v>7.4802105425259038</v>
      </c>
      <c r="Q97" s="4">
        <f t="shared" ca="1" si="26"/>
        <v>5.9172178094416772E-2</v>
      </c>
      <c r="R97" s="2">
        <f t="shared" ca="1" si="27"/>
        <v>7.9104963367027936E-3</v>
      </c>
      <c r="S97" s="4">
        <f t="shared" si="28"/>
        <v>0.79166700000000001</v>
      </c>
      <c r="T97">
        <v>0.70083920825673973</v>
      </c>
      <c r="U97">
        <f t="shared" si="29"/>
        <v>9.0827791743260278E-2</v>
      </c>
      <c r="V97" s="2">
        <f t="shared" si="30"/>
        <v>0.11472979389473134</v>
      </c>
      <c r="W97">
        <f>(T97+5/3)/(1/12)</f>
        <v>28.410070499080881</v>
      </c>
      <c r="X97" s="2">
        <f t="shared" si="31"/>
        <v>3.6946762743020993E-2</v>
      </c>
    </row>
    <row r="98" spans="5:24" x14ac:dyDescent="0.25">
      <c r="E98">
        <v>96</v>
      </c>
      <c r="F98">
        <f t="shared" si="16"/>
        <v>29.6</v>
      </c>
      <c r="G98">
        <f t="shared" si="17"/>
        <v>302.75</v>
      </c>
      <c r="H98" s="4">
        <f t="shared" si="18"/>
        <v>0.8</v>
      </c>
      <c r="I98" s="4">
        <f t="shared" si="19"/>
        <v>8197.6974420000006</v>
      </c>
      <c r="J98" s="4">
        <f t="shared" si="20"/>
        <v>8.2176974420000004</v>
      </c>
      <c r="K98" s="4">
        <f t="shared" si="21"/>
        <v>2032.2767879999999</v>
      </c>
      <c r="L98">
        <f t="shared" si="22"/>
        <v>2.0322767879999999</v>
      </c>
      <c r="M98">
        <f>$B$12*F98+$B$13</f>
        <v>2.0258142033196975</v>
      </c>
      <c r="N98">
        <f t="shared" si="23"/>
        <v>6.4625846803023634E-3</v>
      </c>
      <c r="O98" s="4">
        <f t="shared" ca="1" si="24"/>
        <v>7.412872772594751</v>
      </c>
      <c r="P98" s="4">
        <f t="shared" si="25"/>
        <v>7.4715513090178085</v>
      </c>
      <c r="Q98" s="4">
        <f t="shared" ca="1" si="26"/>
        <v>5.8678536423057537E-2</v>
      </c>
      <c r="R98" s="2">
        <f t="shared" ca="1" si="27"/>
        <v>7.8535947885729328E-3</v>
      </c>
      <c r="S98" s="4">
        <f t="shared" si="28"/>
        <v>0.8</v>
      </c>
      <c r="T98">
        <v>0.70909236864822833</v>
      </c>
      <c r="U98">
        <f t="shared" si="29"/>
        <v>9.0907631351771712E-2</v>
      </c>
      <c r="V98" s="2">
        <f t="shared" si="30"/>
        <v>0.11363453918971464</v>
      </c>
      <c r="W98">
        <f>(T98+5/3)/(1/12)</f>
        <v>28.509108423778741</v>
      </c>
      <c r="X98" s="2">
        <f t="shared" si="31"/>
        <v>3.6854445142610139E-2</v>
      </c>
    </row>
    <row r="99" spans="5:24" x14ac:dyDescent="0.25">
      <c r="E99">
        <v>97</v>
      </c>
      <c r="F99">
        <f t="shared" si="16"/>
        <v>29.700000000000003</v>
      </c>
      <c r="G99">
        <f t="shared" si="17"/>
        <v>302.84999999999997</v>
      </c>
      <c r="H99" s="4">
        <f t="shared" si="18"/>
        <v>0.80833299999999997</v>
      </c>
      <c r="I99" s="4">
        <f t="shared" si="19"/>
        <v>8162.8308809999999</v>
      </c>
      <c r="J99" s="4">
        <f t="shared" si="20"/>
        <v>8.1828308809999992</v>
      </c>
      <c r="K99" s="4">
        <f t="shared" si="21"/>
        <v>2030.137528</v>
      </c>
      <c r="L99">
        <f t="shared" si="22"/>
        <v>2.030137528</v>
      </c>
      <c r="M99">
        <f>$B$12*F99+$B$13</f>
        <v>2.0234663644968034</v>
      </c>
      <c r="N99">
        <f t="shared" si="23"/>
        <v>6.671163503196631E-3</v>
      </c>
      <c r="O99" s="4">
        <f t="shared" ca="1" si="24"/>
        <v>7.4058405014577255</v>
      </c>
      <c r="P99" s="4">
        <f t="shared" si="25"/>
        <v>7.462892075509715</v>
      </c>
      <c r="Q99" s="4">
        <f t="shared" ca="1" si="26"/>
        <v>5.7051574051989462E-2</v>
      </c>
      <c r="R99" s="2">
        <f t="shared" ca="1" si="27"/>
        <v>7.6447004023025272E-3</v>
      </c>
      <c r="S99" s="4">
        <f t="shared" si="28"/>
        <v>0.80833299999999997</v>
      </c>
      <c r="T99">
        <v>0.71648196432747047</v>
      </c>
      <c r="U99">
        <f t="shared" si="29"/>
        <v>9.1851035672529502E-2</v>
      </c>
      <c r="V99" s="2">
        <f t="shared" si="30"/>
        <v>0.11363019408155983</v>
      </c>
      <c r="W99">
        <f>(T99+5/3)/(1/12)</f>
        <v>28.597783571929646</v>
      </c>
      <c r="X99" s="2">
        <f t="shared" si="31"/>
        <v>3.711166424479314E-2</v>
      </c>
    </row>
    <row r="100" spans="5:24" x14ac:dyDescent="0.25">
      <c r="E100">
        <v>98</v>
      </c>
      <c r="F100">
        <f t="shared" si="16"/>
        <v>29.8</v>
      </c>
      <c r="G100">
        <f t="shared" si="17"/>
        <v>302.95</v>
      </c>
      <c r="H100" s="4">
        <f t="shared" si="18"/>
        <v>0.81666700000000003</v>
      </c>
      <c r="I100" s="4">
        <f t="shared" si="19"/>
        <v>8128.1325440000001</v>
      </c>
      <c r="J100" s="4">
        <f t="shared" si="20"/>
        <v>8.148132544000001</v>
      </c>
      <c r="K100" s="4">
        <f t="shared" si="21"/>
        <v>2027.9949360000001</v>
      </c>
      <c r="L100">
        <f t="shared" si="22"/>
        <v>2.0279949360000002</v>
      </c>
      <c r="M100">
        <f>$B$12*F100+$B$13</f>
        <v>2.0211185256739088</v>
      </c>
      <c r="N100">
        <f t="shared" si="23"/>
        <v>6.8764103260914311E-3</v>
      </c>
      <c r="O100" s="4">
        <f t="shared" ca="1" si="24"/>
        <v>7.3976401370262383</v>
      </c>
      <c r="P100" s="4">
        <f t="shared" si="25"/>
        <v>7.4542328420016206</v>
      </c>
      <c r="Q100" s="4">
        <f t="shared" ca="1" si="26"/>
        <v>5.6592704975382269E-2</v>
      </c>
      <c r="R100" s="2">
        <f t="shared" ca="1" si="27"/>
        <v>7.5920227037321684E-3</v>
      </c>
      <c r="S100" s="4">
        <f t="shared" si="28"/>
        <v>0.81666700000000003</v>
      </c>
      <c r="T100">
        <v>0.72478800183298819</v>
      </c>
      <c r="U100">
        <f t="shared" si="29"/>
        <v>9.1878998167011838E-2</v>
      </c>
      <c r="V100" s="2">
        <f t="shared" si="30"/>
        <v>0.11250484979436151</v>
      </c>
      <c r="W100">
        <f>(T100+5/3)/(1/12)</f>
        <v>28.697456021995862</v>
      </c>
      <c r="X100" s="2">
        <f t="shared" si="31"/>
        <v>3.6998120067252983E-2</v>
      </c>
    </row>
    <row r="101" spans="5:24" x14ac:dyDescent="0.25">
      <c r="E101">
        <v>99</v>
      </c>
      <c r="F101">
        <f t="shared" si="16"/>
        <v>29.9</v>
      </c>
      <c r="G101">
        <f t="shared" si="17"/>
        <v>303.04999999999995</v>
      </c>
      <c r="H101" s="4">
        <f t="shared" si="18"/>
        <v>0.82499999999999996</v>
      </c>
      <c r="I101" s="4">
        <f t="shared" si="19"/>
        <v>8093.6015299999999</v>
      </c>
      <c r="J101" s="4">
        <f t="shared" si="20"/>
        <v>8.1136015300000004</v>
      </c>
      <c r="K101" s="4">
        <f t="shared" si="21"/>
        <v>2025.8490260000001</v>
      </c>
      <c r="L101">
        <f t="shared" si="22"/>
        <v>2.0258490259999999</v>
      </c>
      <c r="M101">
        <f>$B$12*F101+$B$13</f>
        <v>2.0187706868510147</v>
      </c>
      <c r="N101">
        <f t="shared" si="23"/>
        <v>7.0783391489852576E-3</v>
      </c>
      <c r="O101" s="4">
        <f t="shared" ca="1" si="24"/>
        <v>7.3898023644314872</v>
      </c>
      <c r="P101" s="4">
        <f t="shared" si="25"/>
        <v>7.4455736084935271</v>
      </c>
      <c r="Q101" s="4">
        <f t="shared" ca="1" si="26"/>
        <v>5.5771244062039926E-2</v>
      </c>
      <c r="R101" s="2">
        <f t="shared" ca="1" si="27"/>
        <v>7.4905234968624798E-3</v>
      </c>
      <c r="S101" s="4">
        <f t="shared" si="28"/>
        <v>0.82499999999999996</v>
      </c>
      <c r="T101">
        <v>0.73223229559510361</v>
      </c>
      <c r="U101">
        <f t="shared" si="29"/>
        <v>9.2767704404896345E-2</v>
      </c>
      <c r="V101" s="2">
        <f t="shared" si="30"/>
        <v>0.11244570230896528</v>
      </c>
      <c r="W101">
        <f>(T101+5/3)/(1/12)</f>
        <v>28.786787547141245</v>
      </c>
      <c r="X101" s="2">
        <f t="shared" si="31"/>
        <v>3.7231185714339594E-2</v>
      </c>
    </row>
    <row r="102" spans="5:24" x14ac:dyDescent="0.25">
      <c r="E102">
        <v>100</v>
      </c>
      <c r="F102">
        <f t="shared" si="16"/>
        <v>30</v>
      </c>
      <c r="G102">
        <f t="shared" si="17"/>
        <v>303.14999999999998</v>
      </c>
      <c r="H102" s="4">
        <f t="shared" si="18"/>
        <v>0.83333299999999999</v>
      </c>
      <c r="I102" s="4">
        <f t="shared" si="19"/>
        <v>8059.2369429999999</v>
      </c>
      <c r="J102" s="4">
        <f t="shared" si="20"/>
        <v>8.0792369429999997</v>
      </c>
      <c r="K102" s="4">
        <f t="shared" si="21"/>
        <v>2023.699809</v>
      </c>
      <c r="L102">
        <f t="shared" si="22"/>
        <v>2.023699809</v>
      </c>
      <c r="M102">
        <f>$B$12*F102+$B$13</f>
        <v>2.0164228480281201</v>
      </c>
      <c r="N102">
        <f t="shared" si="23"/>
        <v>7.2769609718799089E-3</v>
      </c>
      <c r="O102" s="4">
        <f t="shared" ca="1" si="24"/>
        <v>7.3811808629737614</v>
      </c>
      <c r="P102" s="4">
        <f t="shared" si="25"/>
        <v>7.4369143749854318</v>
      </c>
      <c r="Q102" s="4">
        <f t="shared" ca="1" si="26"/>
        <v>5.5733512011670427E-2</v>
      </c>
      <c r="R102" s="2">
        <f t="shared" ca="1" si="27"/>
        <v>7.4941715342499967E-3</v>
      </c>
      <c r="S102" s="4">
        <f t="shared" si="28"/>
        <v>0.83333299999999999</v>
      </c>
      <c r="T102">
        <v>0.74059101875731626</v>
      </c>
      <c r="U102">
        <f t="shared" si="29"/>
        <v>9.2741981242683735E-2</v>
      </c>
      <c r="V102" s="2">
        <f t="shared" si="30"/>
        <v>0.11129042200738928</v>
      </c>
      <c r="W102">
        <f>(T102+5/3)/(1/12)</f>
        <v>28.887092225087795</v>
      </c>
      <c r="X102" s="2">
        <f t="shared" si="31"/>
        <v>3.7096925830406843E-2</v>
      </c>
    </row>
    <row r="103" spans="5:24" x14ac:dyDescent="0.25">
      <c r="E103">
        <v>101</v>
      </c>
      <c r="F103">
        <f t="shared" si="16"/>
        <v>30.1</v>
      </c>
      <c r="G103">
        <f t="shared" si="17"/>
        <v>303.25</v>
      </c>
      <c r="H103" s="4">
        <f t="shared" si="18"/>
        <v>0.84166700000000005</v>
      </c>
      <c r="I103" s="4">
        <f t="shared" si="19"/>
        <v>8025.0378920000003</v>
      </c>
      <c r="J103" s="4">
        <f t="shared" si="20"/>
        <v>8.0450378919999999</v>
      </c>
      <c r="K103" s="4">
        <f t="shared" si="21"/>
        <v>2021.5472970000001</v>
      </c>
      <c r="L103">
        <f t="shared" si="22"/>
        <v>2.0215472970000001</v>
      </c>
      <c r="M103">
        <f>$B$12*F103+$B$13</f>
        <v>2.014075009205226</v>
      </c>
      <c r="N103">
        <f t="shared" si="23"/>
        <v>7.4722877947741573E-3</v>
      </c>
      <c r="O103" s="4">
        <f t="shared" ca="1" si="24"/>
        <v>7.3741113644314868</v>
      </c>
      <c r="P103" s="4">
        <f t="shared" si="25"/>
        <v>7.4282551414773383</v>
      </c>
      <c r="Q103" s="4">
        <f t="shared" ca="1" si="26"/>
        <v>5.4143777045851493E-2</v>
      </c>
      <c r="R103" s="2">
        <f t="shared" ca="1" si="27"/>
        <v>7.2888957116628234E-3</v>
      </c>
      <c r="S103" s="4">
        <f t="shared" si="28"/>
        <v>0.84166700000000005</v>
      </c>
      <c r="T103">
        <v>0.74808982272386637</v>
      </c>
      <c r="U103">
        <f t="shared" si="29"/>
        <v>9.3577177276133683E-2</v>
      </c>
      <c r="V103" s="2">
        <f t="shared" si="30"/>
        <v>0.11118076065253084</v>
      </c>
      <c r="W103">
        <f>(T103+5/3)/(1/12)</f>
        <v>28.977077872686397</v>
      </c>
      <c r="X103" s="2">
        <f t="shared" si="31"/>
        <v>3.7306382967229372E-2</v>
      </c>
    </row>
    <row r="104" spans="5:24" x14ac:dyDescent="0.25">
      <c r="E104">
        <v>102</v>
      </c>
      <c r="F104">
        <f t="shared" si="16"/>
        <v>30.200000000000003</v>
      </c>
      <c r="G104">
        <f t="shared" si="17"/>
        <v>303.34999999999997</v>
      </c>
      <c r="H104" s="4">
        <f t="shared" si="18"/>
        <v>0.85</v>
      </c>
      <c r="I104" s="4">
        <f t="shared" si="19"/>
        <v>7991.0034919999998</v>
      </c>
      <c r="J104" s="4">
        <f t="shared" si="20"/>
        <v>8.0110034920000004</v>
      </c>
      <c r="K104" s="4">
        <f t="shared" si="21"/>
        <v>2019.3915019999999</v>
      </c>
      <c r="L104">
        <f t="shared" si="22"/>
        <v>2.0193915019999999</v>
      </c>
      <c r="M104">
        <f>$B$12*F104+$B$13</f>
        <v>2.0117271703823314</v>
      </c>
      <c r="N104">
        <f t="shared" si="23"/>
        <v>7.6643316176685516E-3</v>
      </c>
      <c r="O104" s="4">
        <f t="shared" ca="1" si="24"/>
        <v>7.3658727725947513</v>
      </c>
      <c r="P104" s="4">
        <f t="shared" si="25"/>
        <v>7.4195959079692431</v>
      </c>
      <c r="Q104" s="4">
        <f t="shared" ca="1" si="26"/>
        <v>5.3723135374491804E-2</v>
      </c>
      <c r="R104" s="2">
        <f t="shared" ca="1" si="27"/>
        <v>7.2407090683724211E-3</v>
      </c>
      <c r="S104" s="4">
        <f t="shared" si="28"/>
        <v>0.85</v>
      </c>
      <c r="T104">
        <v>0.75561629312041301</v>
      </c>
      <c r="U104">
        <f t="shared" si="29"/>
        <v>9.438370687958697E-2</v>
      </c>
      <c r="V104" s="2">
        <f t="shared" si="30"/>
        <v>0.11103965515245526</v>
      </c>
      <c r="W104">
        <f>(T104+5/3)/(1/12)</f>
        <v>29.067395517444957</v>
      </c>
      <c r="X104" s="2">
        <f t="shared" si="31"/>
        <v>3.7503459687253153E-2</v>
      </c>
    </row>
    <row r="105" spans="5:24" x14ac:dyDescent="0.25">
      <c r="E105">
        <v>103</v>
      </c>
      <c r="F105">
        <f t="shared" si="16"/>
        <v>30.3</v>
      </c>
      <c r="G105">
        <f t="shared" si="17"/>
        <v>303.45</v>
      </c>
      <c r="H105" s="4">
        <f t="shared" si="18"/>
        <v>0.85833300000000001</v>
      </c>
      <c r="I105" s="4">
        <f t="shared" si="19"/>
        <v>7957.132861</v>
      </c>
      <c r="J105" s="4">
        <f t="shared" si="20"/>
        <v>7.9771328610000003</v>
      </c>
      <c r="K105" s="4">
        <f t="shared" si="21"/>
        <v>2017.2324349999999</v>
      </c>
      <c r="L105">
        <f t="shared" si="22"/>
        <v>2.0172324349999999</v>
      </c>
      <c r="M105">
        <f>$B$12*F105+$B$13</f>
        <v>2.0093793315594373</v>
      </c>
      <c r="N105">
        <f t="shared" si="23"/>
        <v>7.8531034405626698E-3</v>
      </c>
      <c r="O105" s="4">
        <f t="shared" ca="1" si="24"/>
        <v>7.3572054985422737</v>
      </c>
      <c r="P105" s="4">
        <f t="shared" si="25"/>
        <v>7.4109366744611496</v>
      </c>
      <c r="Q105" s="4">
        <f t="shared" ca="1" si="26"/>
        <v>5.3731175918875884E-2</v>
      </c>
      <c r="R105" s="2">
        <f t="shared" ca="1" si="27"/>
        <v>7.2502543577303864E-3</v>
      </c>
      <c r="S105" s="4">
        <f t="shared" si="28"/>
        <v>0.85833300000000001</v>
      </c>
      <c r="T105">
        <v>0.76405416003487836</v>
      </c>
      <c r="U105">
        <f t="shared" si="29"/>
        <v>9.4278839965121652E-2</v>
      </c>
      <c r="V105" s="2">
        <f t="shared" si="30"/>
        <v>0.1098394678581875</v>
      </c>
      <c r="W105">
        <f>(T105+5/3)/(1/12)</f>
        <v>29.168649920418542</v>
      </c>
      <c r="X105" s="2">
        <f t="shared" si="31"/>
        <v>3.7338286454833634E-2</v>
      </c>
    </row>
    <row r="106" spans="5:24" x14ac:dyDescent="0.25">
      <c r="E106">
        <v>104</v>
      </c>
      <c r="F106">
        <f t="shared" si="16"/>
        <v>30.4</v>
      </c>
      <c r="G106">
        <f t="shared" si="17"/>
        <v>303.54999999999995</v>
      </c>
      <c r="H106" s="4">
        <f t="shared" si="18"/>
        <v>0.86666699999999997</v>
      </c>
      <c r="I106" s="4">
        <f t="shared" si="19"/>
        <v>7923.4251249999998</v>
      </c>
      <c r="J106" s="4">
        <f t="shared" si="20"/>
        <v>7.9434251250000001</v>
      </c>
      <c r="K106" s="4">
        <f t="shared" si="21"/>
        <v>2015.0701100000001</v>
      </c>
      <c r="L106">
        <f t="shared" si="22"/>
        <v>2.0150701100000004</v>
      </c>
      <c r="M106">
        <f>$B$12*F106+$B$13</f>
        <v>2.0070314927365427</v>
      </c>
      <c r="N106">
        <f t="shared" si="23"/>
        <v>8.0386172634576702E-3</v>
      </c>
      <c r="O106" s="4">
        <f t="shared" ca="1" si="24"/>
        <v>7.3501107725947517</v>
      </c>
      <c r="P106" s="4">
        <f t="shared" si="25"/>
        <v>7.4022774409530552</v>
      </c>
      <c r="Q106" s="4">
        <f t="shared" ca="1" si="26"/>
        <v>5.2166668358303525E-2</v>
      </c>
      <c r="R106" s="2">
        <f t="shared" ca="1" si="27"/>
        <v>7.0473808600704088E-3</v>
      </c>
      <c r="S106" s="4">
        <f t="shared" si="28"/>
        <v>0.86666699999999997</v>
      </c>
      <c r="T106">
        <v>0.77163485353713046</v>
      </c>
      <c r="U106">
        <f t="shared" si="29"/>
        <v>9.5032146462869505E-2</v>
      </c>
      <c r="V106" s="2">
        <f t="shared" si="30"/>
        <v>0.10965243451391309</v>
      </c>
      <c r="W106">
        <f>(T106+5/3)/(1/12)</f>
        <v>29.259618242445569</v>
      </c>
      <c r="X106" s="2">
        <f t="shared" si="31"/>
        <v>3.7512557814290443E-2</v>
      </c>
    </row>
    <row r="107" spans="5:24" x14ac:dyDescent="0.25">
      <c r="E107">
        <v>105</v>
      </c>
      <c r="F107">
        <f t="shared" si="16"/>
        <v>30.5</v>
      </c>
      <c r="G107">
        <f t="shared" si="17"/>
        <v>303.64999999999998</v>
      </c>
      <c r="H107" s="4">
        <f t="shared" si="18"/>
        <v>0.875</v>
      </c>
      <c r="I107" s="4">
        <f t="shared" si="19"/>
        <v>7889.879414</v>
      </c>
      <c r="J107" s="4">
        <f t="shared" si="20"/>
        <v>7.9098794139999997</v>
      </c>
      <c r="K107" s="4">
        <f t="shared" si="21"/>
        <v>2012.904538</v>
      </c>
      <c r="L107">
        <f t="shared" si="22"/>
        <v>2.0129045379999999</v>
      </c>
      <c r="M107">
        <f>$B$12*F107+$B$13</f>
        <v>2.0046836539136486</v>
      </c>
      <c r="N107">
        <f t="shared" si="23"/>
        <v>8.2208840863513544E-3</v>
      </c>
      <c r="O107" s="4">
        <f t="shared" ca="1" si="24"/>
        <v>7.3422117725947516</v>
      </c>
      <c r="P107" s="4">
        <f t="shared" si="25"/>
        <v>7.3936182074449617</v>
      </c>
      <c r="Q107" s="4">
        <f t="shared" ca="1" si="26"/>
        <v>5.1406434850210125E-2</v>
      </c>
      <c r="R107" s="2">
        <f t="shared" ca="1" si="27"/>
        <v>6.9528116556582149E-3</v>
      </c>
      <c r="S107" s="4">
        <f t="shared" si="28"/>
        <v>0.875</v>
      </c>
      <c r="T107">
        <v>0.77924306938172661</v>
      </c>
      <c r="U107">
        <f t="shared" si="29"/>
        <v>9.5756930618273395E-2</v>
      </c>
      <c r="V107" s="2">
        <f t="shared" si="30"/>
        <v>0.10943649213516959</v>
      </c>
      <c r="W107">
        <f>(T107+5/3)/(1/12)</f>
        <v>29.350916832580719</v>
      </c>
      <c r="X107" s="2">
        <f t="shared" si="31"/>
        <v>3.767485794817315E-2</v>
      </c>
    </row>
    <row r="108" spans="5:24" x14ac:dyDescent="0.25">
      <c r="E108">
        <v>106</v>
      </c>
      <c r="F108">
        <f t="shared" si="16"/>
        <v>30.6</v>
      </c>
      <c r="G108">
        <f t="shared" si="17"/>
        <v>303.75</v>
      </c>
      <c r="H108" s="4">
        <f t="shared" si="18"/>
        <v>0.88333300000000003</v>
      </c>
      <c r="I108" s="4">
        <f t="shared" si="19"/>
        <v>7856.4948619999996</v>
      </c>
      <c r="J108" s="4">
        <f t="shared" si="20"/>
        <v>7.8764948619999995</v>
      </c>
      <c r="K108" s="4">
        <f t="shared" si="21"/>
        <v>2010.735731</v>
      </c>
      <c r="L108">
        <f t="shared" si="22"/>
        <v>2.010735731</v>
      </c>
      <c r="M108">
        <f>$B$12*F108+$B$13</f>
        <v>2.0023358150907544</v>
      </c>
      <c r="N108">
        <f t="shared" si="23"/>
        <v>8.3999159092456033E-3</v>
      </c>
      <c r="O108" s="4">
        <f t="shared" ca="1" si="24"/>
        <v>7.3346753644314875</v>
      </c>
      <c r="P108" s="4">
        <f t="shared" si="25"/>
        <v>7.3849589739368682</v>
      </c>
      <c r="Q108" s="4">
        <f t="shared" ca="1" si="26"/>
        <v>5.0283609505380689E-2</v>
      </c>
      <c r="R108" s="2">
        <f t="shared" ca="1" si="27"/>
        <v>6.8089219835672102E-3</v>
      </c>
      <c r="S108" s="4">
        <f t="shared" si="28"/>
        <v>0.88333300000000003</v>
      </c>
      <c r="T108">
        <v>0.78775963120027137</v>
      </c>
      <c r="U108">
        <f t="shared" si="29"/>
        <v>9.5573368799728664E-2</v>
      </c>
      <c r="V108" s="2">
        <f t="shared" si="30"/>
        <v>0.10819630739452581</v>
      </c>
      <c r="W108">
        <f>(T108+5/3)/(1/12)</f>
        <v>29.453115574403256</v>
      </c>
      <c r="X108" s="2">
        <f t="shared" si="31"/>
        <v>3.7479883189436125E-2</v>
      </c>
    </row>
    <row r="109" spans="5:24" x14ac:dyDescent="0.25">
      <c r="E109">
        <v>107</v>
      </c>
      <c r="F109">
        <f t="shared" si="16"/>
        <v>30.700000000000003</v>
      </c>
      <c r="G109">
        <f t="shared" si="17"/>
        <v>303.84999999999997</v>
      </c>
      <c r="H109" s="4">
        <f t="shared" si="18"/>
        <v>0.89166699999999999</v>
      </c>
      <c r="I109" s="4">
        <f t="shared" si="19"/>
        <v>7823.2706090000001</v>
      </c>
      <c r="J109" s="4">
        <f t="shared" si="20"/>
        <v>7.8432706090000002</v>
      </c>
      <c r="K109" s="4">
        <f t="shared" si="21"/>
        <v>2008.5637019999999</v>
      </c>
      <c r="L109">
        <f t="shared" si="22"/>
        <v>2.008563702</v>
      </c>
      <c r="M109">
        <f>$B$12*F109+$B$13</f>
        <v>1.9999879762678598</v>
      </c>
      <c r="N109">
        <f t="shared" si="23"/>
        <v>8.5757257321401603E-3</v>
      </c>
      <c r="O109" s="4">
        <f t="shared" ca="1" si="24"/>
        <v>7.3259708629737617</v>
      </c>
      <c r="P109" s="4">
        <f t="shared" si="25"/>
        <v>7.3762997404287729</v>
      </c>
      <c r="Q109" s="4">
        <f t="shared" ca="1" si="26"/>
        <v>5.0328877455011245E-2</v>
      </c>
      <c r="R109" s="2">
        <f t="shared" ca="1" si="27"/>
        <v>6.8230521028265186E-3</v>
      </c>
      <c r="S109" s="4">
        <f t="shared" si="28"/>
        <v>0.89166699999999999</v>
      </c>
      <c r="T109">
        <v>0.79542177374086231</v>
      </c>
      <c r="U109">
        <f t="shared" si="29"/>
        <v>9.6245226259137673E-2</v>
      </c>
      <c r="V109" s="2">
        <f t="shared" si="30"/>
        <v>0.1079385311547222</v>
      </c>
      <c r="W109">
        <f>(T109+5/3)/(1/12)</f>
        <v>29.545061284890352</v>
      </c>
      <c r="X109" s="2">
        <f t="shared" si="31"/>
        <v>3.7620153586633578E-2</v>
      </c>
    </row>
    <row r="110" spans="5:24" x14ac:dyDescent="0.25">
      <c r="E110">
        <v>108</v>
      </c>
      <c r="F110">
        <f t="shared" si="16"/>
        <v>30.8</v>
      </c>
      <c r="G110">
        <f t="shared" si="17"/>
        <v>303.95</v>
      </c>
      <c r="H110" s="4">
        <f t="shared" si="18"/>
        <v>0.9</v>
      </c>
      <c r="I110" s="4">
        <f t="shared" si="19"/>
        <v>7790.2058010000001</v>
      </c>
      <c r="J110" s="4">
        <f t="shared" si="20"/>
        <v>7.8102058010000004</v>
      </c>
      <c r="K110" s="4">
        <f t="shared" si="21"/>
        <v>2006.388463</v>
      </c>
      <c r="L110">
        <f t="shared" si="22"/>
        <v>2.006388463</v>
      </c>
      <c r="M110">
        <f>$B$12*F110+$B$13</f>
        <v>1.9976401374449655</v>
      </c>
      <c r="N110">
        <f t="shared" si="23"/>
        <v>8.7483255550344641E-3</v>
      </c>
      <c r="O110" s="4">
        <f t="shared" ca="1" si="24"/>
        <v>7.318818364431487</v>
      </c>
      <c r="P110" s="4">
        <f t="shared" si="25"/>
        <v>7.3676405069206785</v>
      </c>
      <c r="Q110" s="4">
        <f t="shared" ca="1" si="26"/>
        <v>4.8822142489191478E-2</v>
      </c>
      <c r="R110" s="2">
        <f t="shared" ca="1" si="27"/>
        <v>6.6265641548785064E-3</v>
      </c>
      <c r="S110" s="4">
        <f t="shared" si="28"/>
        <v>0.9</v>
      </c>
      <c r="T110">
        <v>0.80399021907383783</v>
      </c>
      <c r="U110">
        <f t="shared" si="29"/>
        <v>9.6009780926162192E-2</v>
      </c>
      <c r="V110" s="2">
        <f t="shared" si="30"/>
        <v>0.10667753436240243</v>
      </c>
      <c r="W110">
        <f>(T110+5/3)/(1/12)</f>
        <v>29.647882628886055</v>
      </c>
      <c r="X110" s="2">
        <f t="shared" si="31"/>
        <v>3.7406408153050172E-2</v>
      </c>
    </row>
    <row r="111" spans="5:24" x14ac:dyDescent="0.25">
      <c r="E111">
        <v>109</v>
      </c>
      <c r="F111">
        <f t="shared" si="16"/>
        <v>30.9</v>
      </c>
      <c r="G111">
        <f t="shared" si="17"/>
        <v>304.04999999999995</v>
      </c>
      <c r="H111" s="4">
        <f t="shared" si="18"/>
        <v>0.90833299999999995</v>
      </c>
      <c r="I111" s="4">
        <f t="shared" si="19"/>
        <v>7757.2995870000004</v>
      </c>
      <c r="J111" s="4">
        <f t="shared" si="20"/>
        <v>7.7772995870000008</v>
      </c>
      <c r="K111" s="4">
        <f t="shared" si="21"/>
        <v>2004.2100270000001</v>
      </c>
      <c r="L111">
        <f t="shared" si="22"/>
        <v>2.0042100270000001</v>
      </c>
      <c r="M111">
        <f>$B$12*F111+$B$13</f>
        <v>1.9952922986220711</v>
      </c>
      <c r="N111">
        <f t="shared" si="23"/>
        <v>8.917728377928924E-3</v>
      </c>
      <c r="O111" s="4">
        <f t="shared" ca="1" si="24"/>
        <v>7.3104870000000002</v>
      </c>
      <c r="P111" s="4">
        <f t="shared" si="25"/>
        <v>7.358981273412585</v>
      </c>
      <c r="Q111" s="4">
        <f t="shared" ca="1" si="26"/>
        <v>4.8494273412584832E-2</v>
      </c>
      <c r="R111" s="2">
        <f t="shared" ca="1" si="27"/>
        <v>6.5898079653756957E-3</v>
      </c>
      <c r="S111" s="4">
        <f t="shared" si="28"/>
        <v>0.90833299999999995</v>
      </c>
      <c r="T111">
        <v>0.81170608454510429</v>
      </c>
      <c r="U111">
        <f t="shared" si="29"/>
        <v>9.6626915454895657E-2</v>
      </c>
      <c r="V111" s="2">
        <f t="shared" si="30"/>
        <v>0.1063782945845804</v>
      </c>
      <c r="W111">
        <f>(T111+5/3)/(1/12)</f>
        <v>29.740473014541255</v>
      </c>
      <c r="X111" s="2">
        <f t="shared" si="31"/>
        <v>3.7525145160477141E-2</v>
      </c>
    </row>
    <row r="112" spans="5:24" x14ac:dyDescent="0.25">
      <c r="E112">
        <v>110</v>
      </c>
      <c r="F112">
        <f t="shared" si="16"/>
        <v>31</v>
      </c>
      <c r="G112">
        <f t="shared" si="17"/>
        <v>304.14999999999998</v>
      </c>
      <c r="H112" s="4">
        <f t="shared" si="18"/>
        <v>0.91666700000000001</v>
      </c>
      <c r="I112" s="4">
        <f t="shared" si="19"/>
        <v>7724.5511219999999</v>
      </c>
      <c r="J112" s="4">
        <f t="shared" si="20"/>
        <v>7.7445511219999998</v>
      </c>
      <c r="K112" s="4">
        <f t="shared" si="21"/>
        <v>2002.0284059999999</v>
      </c>
      <c r="L112">
        <f t="shared" si="22"/>
        <v>2.002028406</v>
      </c>
      <c r="M112">
        <f>$B$12*F112+$B$13</f>
        <v>1.9929444597991768</v>
      </c>
      <c r="N112">
        <f t="shared" si="23"/>
        <v>9.0839462008232008E-3</v>
      </c>
      <c r="O112" s="4">
        <f t="shared" ca="1" si="24"/>
        <v>7.3029143644314871</v>
      </c>
      <c r="P112" s="4">
        <f t="shared" si="25"/>
        <v>7.3503220399044906</v>
      </c>
      <c r="Q112" s="4">
        <f t="shared" ca="1" si="26"/>
        <v>4.7407675473003508E-2</v>
      </c>
      <c r="R112" s="2">
        <f t="shared" ca="1" si="27"/>
        <v>6.4497412787670894E-3</v>
      </c>
      <c r="S112" s="4">
        <f t="shared" si="28"/>
        <v>0.91666700000000001</v>
      </c>
      <c r="T112">
        <v>0.82032620185833582</v>
      </c>
      <c r="U112">
        <f t="shared" si="29"/>
        <v>9.6340798141664186E-2</v>
      </c>
      <c r="V112" s="2">
        <f t="shared" si="30"/>
        <v>0.10509901430035573</v>
      </c>
      <c r="W112">
        <f>(T112+5/3)/(1/12)</f>
        <v>29.843914422300031</v>
      </c>
      <c r="X112" s="2">
        <f t="shared" si="31"/>
        <v>3.7293083151611894E-2</v>
      </c>
    </row>
    <row r="113" spans="5:24" x14ac:dyDescent="0.25">
      <c r="E113">
        <v>111</v>
      </c>
      <c r="F113">
        <f t="shared" si="16"/>
        <v>31.1</v>
      </c>
      <c r="G113">
        <f t="shared" si="17"/>
        <v>304.25</v>
      </c>
      <c r="H113" s="4">
        <f t="shared" si="18"/>
        <v>0.92500000000000004</v>
      </c>
      <c r="I113" s="4">
        <f t="shared" si="19"/>
        <v>7691.9595669999999</v>
      </c>
      <c r="J113" s="4">
        <f t="shared" si="20"/>
        <v>7.7119595670000001</v>
      </c>
      <c r="K113" s="4">
        <f t="shared" si="21"/>
        <v>1999.8436119999999</v>
      </c>
      <c r="L113">
        <f t="shared" si="22"/>
        <v>1.9998436119999998</v>
      </c>
      <c r="M113">
        <f>$B$12*F113+$B$13</f>
        <v>1.9905966209762824</v>
      </c>
      <c r="N113">
        <f t="shared" si="23"/>
        <v>9.2469910237173991E-3</v>
      </c>
      <c r="O113" s="4">
        <f t="shared" ca="1" si="24"/>
        <v>7.2941746355685124</v>
      </c>
      <c r="P113" s="4">
        <f t="shared" si="25"/>
        <v>7.3416628063963962</v>
      </c>
      <c r="Q113" s="4">
        <f t="shared" ca="1" si="26"/>
        <v>4.7488170827883813E-2</v>
      </c>
      <c r="R113" s="2">
        <f t="shared" ca="1" si="27"/>
        <v>6.4683127079208707E-3</v>
      </c>
      <c r="S113" s="4">
        <f t="shared" si="28"/>
        <v>0.92500000000000004</v>
      </c>
      <c r="T113">
        <v>0.82809558250869664</v>
      </c>
      <c r="U113">
        <f t="shared" si="29"/>
        <v>9.6904417491303407E-2</v>
      </c>
      <c r="V113" s="2">
        <f t="shared" si="30"/>
        <v>0.10476153242303071</v>
      </c>
      <c r="W113">
        <f>(T113+5/3)/(1/12)</f>
        <v>29.937146990104363</v>
      </c>
      <c r="X113" s="2">
        <f t="shared" si="31"/>
        <v>3.7390772022367784E-2</v>
      </c>
    </row>
    <row r="114" spans="5:24" x14ac:dyDescent="0.25">
      <c r="E114">
        <v>112</v>
      </c>
      <c r="F114">
        <f t="shared" si="16"/>
        <v>31.200000000000003</v>
      </c>
      <c r="G114">
        <f t="shared" si="17"/>
        <v>304.34999999999997</v>
      </c>
      <c r="H114" s="4">
        <f t="shared" si="18"/>
        <v>0.93333299999999997</v>
      </c>
      <c r="I114" s="4">
        <f t="shared" si="19"/>
        <v>7659.524085</v>
      </c>
      <c r="J114" s="4">
        <f t="shared" si="20"/>
        <v>7.6795240850000006</v>
      </c>
      <c r="K114" s="4">
        <f t="shared" si="21"/>
        <v>1997.655659</v>
      </c>
      <c r="L114">
        <f t="shared" si="22"/>
        <v>1.9976556590000001</v>
      </c>
      <c r="M114">
        <f>$B$12*F114+$B$13</f>
        <v>1.9882487821533881</v>
      </c>
      <c r="N114">
        <f t="shared" si="23"/>
        <v>9.4068768466120112E-3</v>
      </c>
      <c r="O114" s="4">
        <f t="shared" ca="1" si="24"/>
        <v>7.2865789999999997</v>
      </c>
      <c r="P114" s="4">
        <f t="shared" si="25"/>
        <v>7.3330035728883018</v>
      </c>
      <c r="Q114" s="4">
        <f t="shared" ca="1" si="26"/>
        <v>4.6424572888302151E-2</v>
      </c>
      <c r="R114" s="2">
        <f t="shared" ca="1" si="27"/>
        <v>6.3309082597400911E-3</v>
      </c>
      <c r="S114" s="4">
        <f t="shared" si="28"/>
        <v>0.93333299999999997</v>
      </c>
      <c r="T114">
        <v>0.83589213069428647</v>
      </c>
      <c r="U114">
        <f t="shared" si="29"/>
        <v>9.7440869305713496E-2</v>
      </c>
      <c r="V114" s="2">
        <f t="shared" si="30"/>
        <v>0.10440096868503899</v>
      </c>
      <c r="W114">
        <f>(T114+5/3)/(1/12)</f>
        <v>30.030705568331442</v>
      </c>
      <c r="X114" s="2">
        <f t="shared" si="31"/>
        <v>3.74773856304026E-2</v>
      </c>
    </row>
    <row r="115" spans="5:24" x14ac:dyDescent="0.25">
      <c r="E115">
        <v>113</v>
      </c>
      <c r="F115">
        <f t="shared" si="16"/>
        <v>31.3</v>
      </c>
      <c r="G115">
        <f t="shared" si="17"/>
        <v>304.45</v>
      </c>
      <c r="H115" s="4">
        <f t="shared" si="18"/>
        <v>0.94166700000000003</v>
      </c>
      <c r="I115" s="4">
        <f t="shared" si="19"/>
        <v>7627.2438469999997</v>
      </c>
      <c r="J115" s="4">
        <f t="shared" si="20"/>
        <v>7.6472438469999995</v>
      </c>
      <c r="K115" s="4">
        <f t="shared" si="21"/>
        <v>1995.4645599999999</v>
      </c>
      <c r="L115">
        <f t="shared" si="22"/>
        <v>1.9954645599999998</v>
      </c>
      <c r="M115">
        <f>$B$12*F115+$B$13</f>
        <v>1.9859009433304937</v>
      </c>
      <c r="N115">
        <f t="shared" si="23"/>
        <v>9.5636166695061142E-3</v>
      </c>
      <c r="O115" s="4">
        <f t="shared" ca="1" si="24"/>
        <v>7.2789831370262386</v>
      </c>
      <c r="P115" s="4">
        <f t="shared" si="25"/>
        <v>7.3243443393802075</v>
      </c>
      <c r="Q115" s="4">
        <f t="shared" ca="1" si="26"/>
        <v>4.5361202353968899E-2</v>
      </c>
      <c r="R115" s="2">
        <f t="shared" ca="1" si="27"/>
        <v>6.1932099655772604E-3</v>
      </c>
      <c r="S115" s="4">
        <f t="shared" si="28"/>
        <v>0.94166700000000003</v>
      </c>
      <c r="T115">
        <v>0.84458984034423867</v>
      </c>
      <c r="U115">
        <f t="shared" si="29"/>
        <v>9.7077159655761358E-2</v>
      </c>
      <c r="V115" s="2">
        <f t="shared" si="30"/>
        <v>0.10309075252266603</v>
      </c>
      <c r="W115">
        <f>(T115+5/3)/(1/12)</f>
        <v>30.135078084130868</v>
      </c>
      <c r="X115" s="2">
        <f t="shared" si="31"/>
        <v>3.7217952583678375E-2</v>
      </c>
    </row>
    <row r="116" spans="5:24" x14ac:dyDescent="0.25">
      <c r="E116">
        <v>114</v>
      </c>
      <c r="F116">
        <f t="shared" si="16"/>
        <v>31.4</v>
      </c>
      <c r="G116">
        <f t="shared" si="17"/>
        <v>304.54999999999995</v>
      </c>
      <c r="H116" s="4">
        <f t="shared" si="18"/>
        <v>0.95</v>
      </c>
      <c r="I116" s="4">
        <f t="shared" si="19"/>
        <v>7595.1180279999999</v>
      </c>
      <c r="J116" s="4">
        <f t="shared" si="20"/>
        <v>7.6151180280000004</v>
      </c>
      <c r="K116" s="4">
        <f t="shared" si="21"/>
        <v>1993.2703260000001</v>
      </c>
      <c r="L116">
        <f t="shared" si="22"/>
        <v>1.9932703260000002</v>
      </c>
      <c r="M116">
        <f>$B$12*F116+$B$13</f>
        <v>1.9835531045075996</v>
      </c>
      <c r="N116">
        <f t="shared" si="23"/>
        <v>9.7172214924006184E-3</v>
      </c>
      <c r="O116" s="4">
        <f t="shared" ca="1" si="24"/>
        <v>7.270573227405249</v>
      </c>
      <c r="P116" s="4">
        <f t="shared" si="25"/>
        <v>7.315685105872114</v>
      </c>
      <c r="Q116" s="4">
        <f t="shared" ca="1" si="26"/>
        <v>4.511187846686493E-2</v>
      </c>
      <c r="R116" s="2">
        <f t="shared" ca="1" si="27"/>
        <v>6.1664598481220544E-3</v>
      </c>
      <c r="S116" s="4">
        <f t="shared" si="28"/>
        <v>0.95</v>
      </c>
      <c r="T116">
        <v>0.8524395855056488</v>
      </c>
      <c r="U116">
        <f t="shared" si="29"/>
        <v>9.7560414494351155E-2</v>
      </c>
      <c r="V116" s="2">
        <f t="shared" si="30"/>
        <v>0.10269517315194859</v>
      </c>
      <c r="W116">
        <f>(T116+5/3)/(1/12)</f>
        <v>30.229275026067789</v>
      </c>
      <c r="X116" s="2">
        <f t="shared" si="31"/>
        <v>3.72842348386054E-2</v>
      </c>
    </row>
    <row r="117" spans="5:24" x14ac:dyDescent="0.25">
      <c r="E117">
        <v>115</v>
      </c>
      <c r="F117">
        <f t="shared" si="16"/>
        <v>31.5</v>
      </c>
      <c r="G117">
        <f t="shared" si="17"/>
        <v>304.64999999999998</v>
      </c>
      <c r="H117" s="4">
        <f t="shared" si="18"/>
        <v>0.95833299999999999</v>
      </c>
      <c r="I117" s="4">
        <f t="shared" si="19"/>
        <v>7563.1458050000001</v>
      </c>
      <c r="J117" s="4">
        <f t="shared" si="20"/>
        <v>7.583145805</v>
      </c>
      <c r="K117" s="4">
        <f t="shared" si="21"/>
        <v>1991.0729710000001</v>
      </c>
      <c r="L117">
        <f t="shared" si="22"/>
        <v>1.9910729710000001</v>
      </c>
      <c r="M117">
        <f>$B$12*F117+$B$13</f>
        <v>1.981205265684705</v>
      </c>
      <c r="N117">
        <f t="shared" si="23"/>
        <v>9.8677053152951277E-3</v>
      </c>
      <c r="O117" s="4">
        <f t="shared" ca="1" si="24"/>
        <v>7.2621836355685128</v>
      </c>
      <c r="P117" s="4">
        <f t="shared" si="25"/>
        <v>7.3070258723640196</v>
      </c>
      <c r="Q117" s="4">
        <f t="shared" ca="1" si="26"/>
        <v>4.4842236795506807E-2</v>
      </c>
      <c r="R117" s="2">
        <f t="shared" ca="1" si="27"/>
        <v>6.1368657479515861E-3</v>
      </c>
      <c r="S117" s="4">
        <f t="shared" si="28"/>
        <v>0.95833299999999999</v>
      </c>
      <c r="T117">
        <v>0.86031633918793504</v>
      </c>
      <c r="U117">
        <f t="shared" si="29"/>
        <v>9.8016660812064949E-2</v>
      </c>
      <c r="V117" s="2">
        <f t="shared" si="30"/>
        <v>0.1022782903354731</v>
      </c>
      <c r="W117">
        <f>(T117+5/3)/(1/12)</f>
        <v>30.32379607025522</v>
      </c>
      <c r="X117" s="2">
        <f t="shared" si="31"/>
        <v>3.7339807293485079E-2</v>
      </c>
    </row>
    <row r="118" spans="5:24" x14ac:dyDescent="0.25">
      <c r="E118">
        <v>116</v>
      </c>
      <c r="F118">
        <f t="shared" si="16"/>
        <v>31.6</v>
      </c>
      <c r="G118">
        <f t="shared" si="17"/>
        <v>304.75</v>
      </c>
      <c r="H118" s="4">
        <f t="shared" si="18"/>
        <v>0.96666700000000005</v>
      </c>
      <c r="I118" s="4">
        <f t="shared" si="19"/>
        <v>7531.3263649999999</v>
      </c>
      <c r="J118" s="4">
        <f t="shared" si="20"/>
        <v>7.5513263650000004</v>
      </c>
      <c r="K118" s="4">
        <f t="shared" si="21"/>
        <v>1988.872509</v>
      </c>
      <c r="L118">
        <f t="shared" si="22"/>
        <v>1.9888725090000001</v>
      </c>
      <c r="M118">
        <f>$B$12*F118+$B$13</f>
        <v>1.9788574268618107</v>
      </c>
      <c r="N118">
        <f t="shared" si="23"/>
        <v>1.0015082138189468E-2</v>
      </c>
      <c r="O118" s="4">
        <f t="shared" ca="1" si="24"/>
        <v>7.2545312274052485</v>
      </c>
      <c r="P118" s="4">
        <f t="shared" si="25"/>
        <v>7.2983666388559252</v>
      </c>
      <c r="Q118" s="4">
        <f t="shared" ca="1" si="26"/>
        <v>4.3835411450676709E-2</v>
      </c>
      <c r="R118" s="2">
        <f t="shared" ca="1" si="27"/>
        <v>6.0061947583313303E-3</v>
      </c>
      <c r="S118" s="4">
        <f t="shared" si="28"/>
        <v>0.96666700000000005</v>
      </c>
      <c r="T118">
        <v>0.86996224843285996</v>
      </c>
      <c r="U118">
        <f t="shared" si="29"/>
        <v>9.670475156714009E-2</v>
      </c>
      <c r="V118" s="2">
        <f t="shared" si="30"/>
        <v>0.10003936367657124</v>
      </c>
      <c r="W118">
        <f>(T118+5/3)/(1/12)</f>
        <v>30.439546981194322</v>
      </c>
      <c r="X118" s="2">
        <f t="shared" si="31"/>
        <v>3.6723196797648072E-2</v>
      </c>
    </row>
    <row r="119" spans="5:24" x14ac:dyDescent="0.25">
      <c r="E119">
        <v>117</v>
      </c>
      <c r="F119">
        <f t="shared" si="16"/>
        <v>31.700000000000003</v>
      </c>
      <c r="G119">
        <f t="shared" si="17"/>
        <v>304.84999999999997</v>
      </c>
      <c r="H119" s="4">
        <f t="shared" si="18"/>
        <v>0.97499999999999998</v>
      </c>
      <c r="I119" s="4">
        <f t="shared" si="19"/>
        <v>7499.6588940000001</v>
      </c>
      <c r="J119" s="4">
        <f t="shared" si="20"/>
        <v>7.519658894</v>
      </c>
      <c r="K119" s="4">
        <f t="shared" si="21"/>
        <v>1986.6689510000001</v>
      </c>
      <c r="L119">
        <f t="shared" si="22"/>
        <v>1.9866689510000002</v>
      </c>
      <c r="M119">
        <f>$B$12*F119+$B$13</f>
        <v>1.9765095880389163</v>
      </c>
      <c r="N119">
        <f t="shared" si="23"/>
        <v>1.0159362961083884E-2</v>
      </c>
      <c r="O119" s="4">
        <f t="shared" ca="1" si="24"/>
        <v>7.2469011370262386</v>
      </c>
      <c r="P119" s="4">
        <f t="shared" si="25"/>
        <v>7.2897074053478308</v>
      </c>
      <c r="Q119" s="4">
        <f t="shared" ca="1" si="26"/>
        <v>4.2806268321592178E-2</v>
      </c>
      <c r="R119" s="2">
        <f t="shared" ca="1" si="27"/>
        <v>5.8721517807681697E-3</v>
      </c>
      <c r="S119" s="4">
        <f t="shared" si="28"/>
        <v>0.97499999999999998</v>
      </c>
      <c r="T119">
        <v>0.87789088624060807</v>
      </c>
      <c r="U119">
        <f t="shared" si="29"/>
        <v>9.7109113759391907E-2</v>
      </c>
      <c r="V119" s="2">
        <f t="shared" si="30"/>
        <v>9.9599091035273757E-2</v>
      </c>
      <c r="W119">
        <f>(T119+5/3)/(1/12)</f>
        <v>30.534690634887298</v>
      </c>
      <c r="X119" s="2">
        <f t="shared" si="31"/>
        <v>3.6760547795353468E-2</v>
      </c>
    </row>
    <row r="120" spans="5:24" x14ac:dyDescent="0.25">
      <c r="E120">
        <v>118</v>
      </c>
      <c r="F120">
        <f t="shared" si="16"/>
        <v>31.8</v>
      </c>
      <c r="G120">
        <f t="shared" si="17"/>
        <v>304.95</v>
      </c>
      <c r="H120" s="4">
        <f t="shared" si="18"/>
        <v>0.98333300000000001</v>
      </c>
      <c r="I120" s="4">
        <f t="shared" si="19"/>
        <v>7468.1425870000003</v>
      </c>
      <c r="J120" s="4">
        <f t="shared" si="20"/>
        <v>7.4881425870000005</v>
      </c>
      <c r="K120" s="4">
        <f t="shared" si="21"/>
        <v>1984.462311</v>
      </c>
      <c r="L120">
        <f t="shared" si="22"/>
        <v>1.9844623110000001</v>
      </c>
      <c r="M120">
        <f>$B$12*F120+$B$13</f>
        <v>1.9741617492160222</v>
      </c>
      <c r="N120">
        <f t="shared" si="23"/>
        <v>1.030056178397798E-2</v>
      </c>
      <c r="O120" s="4">
        <f t="shared" ca="1" si="24"/>
        <v>7.2380706355685129</v>
      </c>
      <c r="P120" s="4">
        <f t="shared" si="25"/>
        <v>7.2810481718397373</v>
      </c>
      <c r="Q120" s="4">
        <f t="shared" ca="1" si="26"/>
        <v>4.2977536271224359E-2</v>
      </c>
      <c r="R120" s="2">
        <f t="shared" ca="1" si="27"/>
        <v>5.9026578669599738E-3</v>
      </c>
      <c r="S120" s="4">
        <f t="shared" si="28"/>
        <v>0.98333300000000001</v>
      </c>
      <c r="T120">
        <v>0.88584636744454393</v>
      </c>
      <c r="U120">
        <f t="shared" si="29"/>
        <v>9.7486632555456088E-2</v>
      </c>
      <c r="V120" s="2">
        <f t="shared" si="30"/>
        <v>9.9138981967915332E-2</v>
      </c>
      <c r="W120">
        <f>(T120+5/3)/(1/12)</f>
        <v>30.630156409334528</v>
      </c>
      <c r="X120" s="2">
        <f t="shared" si="31"/>
        <v>3.6787534297656362E-2</v>
      </c>
    </row>
    <row r="121" spans="5:24" x14ac:dyDescent="0.25">
      <c r="E121">
        <v>119</v>
      </c>
      <c r="F121">
        <f t="shared" si="16"/>
        <v>31.9</v>
      </c>
      <c r="G121">
        <f t="shared" si="17"/>
        <v>305.04999999999995</v>
      </c>
      <c r="H121" s="4">
        <f t="shared" si="18"/>
        <v>0.99166699999999997</v>
      </c>
      <c r="I121" s="4">
        <f t="shared" si="19"/>
        <v>7436.7766430000001</v>
      </c>
      <c r="J121" s="4">
        <f t="shared" si="20"/>
        <v>7.4567766430000004</v>
      </c>
      <c r="K121" s="4">
        <f t="shared" si="21"/>
        <v>1982.2526029999999</v>
      </c>
      <c r="L121">
        <f t="shared" si="22"/>
        <v>1.9822526030000001</v>
      </c>
      <c r="M121">
        <f>$B$12*F121+$B$13</f>
        <v>1.9718139103931276</v>
      </c>
      <c r="N121">
        <f t="shared" si="23"/>
        <v>1.0438692606872468E-2</v>
      </c>
      <c r="O121" s="4">
        <f t="shared" ca="1" si="24"/>
        <v>7.2296144985422739</v>
      </c>
      <c r="P121" s="4">
        <f t="shared" si="25"/>
        <v>7.272388938331642</v>
      </c>
      <c r="Q121" s="4">
        <f t="shared" ca="1" si="26"/>
        <v>4.2774439789368124E-2</v>
      </c>
      <c r="R121" s="2">
        <f t="shared" ca="1" si="27"/>
        <v>5.8817590962318639E-3</v>
      </c>
      <c r="S121" s="4">
        <f t="shared" si="28"/>
        <v>0.99166699999999997</v>
      </c>
      <c r="T121">
        <v>0.8938286367024495</v>
      </c>
      <c r="U121">
        <f t="shared" si="29"/>
        <v>9.7838363297550468E-2</v>
      </c>
      <c r="V121" s="2">
        <f t="shared" si="30"/>
        <v>9.8660501254504249E-2</v>
      </c>
      <c r="W121">
        <f>(T121+5/3)/(1/12)</f>
        <v>30.725943640429392</v>
      </c>
      <c r="X121" s="2">
        <f t="shared" si="31"/>
        <v>3.6804274594689858E-2</v>
      </c>
    </row>
    <row r="122" spans="5:24" x14ac:dyDescent="0.25">
      <c r="E122">
        <v>120</v>
      </c>
      <c r="F122">
        <f t="shared" si="16"/>
        <v>32</v>
      </c>
      <c r="G122">
        <f t="shared" si="17"/>
        <v>305.14999999999998</v>
      </c>
      <c r="H122" s="4">
        <f t="shared" si="18"/>
        <v>1</v>
      </c>
      <c r="I122" s="4">
        <f t="shared" si="19"/>
        <v>7405.5602630000003</v>
      </c>
      <c r="J122" s="4">
        <f t="shared" si="20"/>
        <v>7.4255602630000004</v>
      </c>
      <c r="K122" s="4">
        <f t="shared" si="21"/>
        <v>1980.039839</v>
      </c>
      <c r="L122">
        <f t="shared" si="22"/>
        <v>1.980039839</v>
      </c>
      <c r="M122">
        <f>$B$12*F122+$B$13</f>
        <v>1.9694660715702335</v>
      </c>
      <c r="N122">
        <f t="shared" si="23"/>
        <v>1.0573767429766567E-2</v>
      </c>
      <c r="O122" s="4">
        <f t="shared" ca="1" si="24"/>
        <v>7.2223249999999997</v>
      </c>
      <c r="P122" s="4">
        <f t="shared" si="25"/>
        <v>7.2637297048235485</v>
      </c>
      <c r="Q122" s="4">
        <f t="shared" ca="1" si="26"/>
        <v>4.1404704823548855E-2</v>
      </c>
      <c r="R122" s="2">
        <f t="shared" ca="1" si="27"/>
        <v>5.700199003282524E-3</v>
      </c>
      <c r="S122" s="4">
        <f t="shared" si="28"/>
        <v>1</v>
      </c>
      <c r="T122">
        <v>0.90270479181287655</v>
      </c>
      <c r="U122">
        <f t="shared" si="29"/>
        <v>9.729520818712345E-2</v>
      </c>
      <c r="V122" s="2">
        <f t="shared" si="30"/>
        <v>9.729520818712345E-2</v>
      </c>
      <c r="W122">
        <f>(T122+5/3)/(1/12)</f>
        <v>30.832457501754522</v>
      </c>
      <c r="X122" s="2">
        <f t="shared" si="31"/>
        <v>3.6485703070171183E-2</v>
      </c>
    </row>
    <row r="123" spans="5:24" x14ac:dyDescent="0.25">
      <c r="E123">
        <v>121</v>
      </c>
      <c r="F123">
        <f t="shared" si="16"/>
        <v>32.1</v>
      </c>
      <c r="G123">
        <f t="shared" si="17"/>
        <v>305.25</v>
      </c>
      <c r="H123" s="4">
        <f t="shared" si="18"/>
        <v>1.0083329999999999</v>
      </c>
      <c r="I123" s="4">
        <f t="shared" si="19"/>
        <v>7374.4926560000004</v>
      </c>
      <c r="J123" s="4">
        <f t="shared" si="20"/>
        <v>7.3944926560000006</v>
      </c>
      <c r="K123" s="4">
        <f t="shared" si="21"/>
        <v>1977.8240330000001</v>
      </c>
      <c r="L123">
        <f t="shared" si="22"/>
        <v>1.9778240330000001</v>
      </c>
      <c r="M123">
        <f>$B$12*F123+$B$13</f>
        <v>1.9671182327473389</v>
      </c>
      <c r="N123">
        <f t="shared" si="23"/>
        <v>1.0705800252661213E-2</v>
      </c>
      <c r="O123" s="4">
        <f t="shared" ca="1" si="24"/>
        <v>7.2142419999999996</v>
      </c>
      <c r="P123" s="4">
        <f t="shared" si="25"/>
        <v>7.2550704713154541</v>
      </c>
      <c r="Q123" s="4">
        <f t="shared" ca="1" si="26"/>
        <v>4.0828471315454529E-2</v>
      </c>
      <c r="R123" s="2">
        <f t="shared" ca="1" si="27"/>
        <v>5.6275774958877431E-3</v>
      </c>
      <c r="S123" s="4">
        <f t="shared" si="28"/>
        <v>1.0083329999999999</v>
      </c>
      <c r="T123">
        <v>0.91073947900725294</v>
      </c>
      <c r="U123">
        <f t="shared" si="29"/>
        <v>9.7593520992746985E-2</v>
      </c>
      <c r="V123" s="2">
        <f t="shared" si="30"/>
        <v>9.678699496371436E-2</v>
      </c>
      <c r="W123">
        <f>(T123+5/3)/(1/12)</f>
        <v>30.928873748087039</v>
      </c>
      <c r="X123" s="2">
        <f t="shared" si="31"/>
        <v>3.6483683860216901E-2</v>
      </c>
    </row>
    <row r="124" spans="5:24" x14ac:dyDescent="0.25">
      <c r="E124">
        <v>122</v>
      </c>
      <c r="F124">
        <f t="shared" si="16"/>
        <v>32.200000000000003</v>
      </c>
      <c r="G124">
        <f t="shared" si="17"/>
        <v>305.34999999999997</v>
      </c>
      <c r="H124" s="4">
        <f t="shared" si="18"/>
        <v>1.016667</v>
      </c>
      <c r="I124" s="4">
        <f t="shared" si="19"/>
        <v>7343.5730329999997</v>
      </c>
      <c r="J124" s="4">
        <f t="shared" si="20"/>
        <v>7.3635730329999998</v>
      </c>
      <c r="K124" s="4">
        <f t="shared" si="21"/>
        <v>1975.6051970000001</v>
      </c>
      <c r="L124">
        <f t="shared" si="22"/>
        <v>1.9756051970000001</v>
      </c>
      <c r="M124">
        <f>$B$12*F124+$B$13</f>
        <v>1.9647703939244447</v>
      </c>
      <c r="N124">
        <f t="shared" si="23"/>
        <v>1.0834803075555399E-2</v>
      </c>
      <c r="O124" s="4">
        <f t="shared" ca="1" si="24"/>
        <v>7.2061597725947513</v>
      </c>
      <c r="P124" s="4">
        <f t="shared" si="25"/>
        <v>7.2464112378073606</v>
      </c>
      <c r="Q124" s="4">
        <f t="shared" ca="1" si="26"/>
        <v>4.0251465212609361E-2</v>
      </c>
      <c r="R124" s="2">
        <f t="shared" ca="1" si="27"/>
        <v>5.5546758100895139E-3</v>
      </c>
      <c r="S124" s="4">
        <f t="shared" si="28"/>
        <v>1.016667</v>
      </c>
      <c r="T124">
        <v>0.91880078467908355</v>
      </c>
      <c r="U124">
        <f t="shared" si="29"/>
        <v>9.7866215320916439E-2</v>
      </c>
      <c r="V124" s="2">
        <f t="shared" si="30"/>
        <v>9.6261819574075327E-2</v>
      </c>
      <c r="W124">
        <f>(T124+5/3)/(1/12)</f>
        <v>31.025609416149006</v>
      </c>
      <c r="X124" s="2">
        <f t="shared" si="31"/>
        <v>3.647175726245331E-2</v>
      </c>
    </row>
    <row r="125" spans="5:24" x14ac:dyDescent="0.25">
      <c r="E125">
        <v>123</v>
      </c>
      <c r="F125">
        <f t="shared" si="16"/>
        <v>32.299999999999997</v>
      </c>
      <c r="G125">
        <f t="shared" si="17"/>
        <v>305.45</v>
      </c>
      <c r="H125" s="4">
        <f t="shared" si="18"/>
        <v>1.0249999999999999</v>
      </c>
      <c r="I125" s="4">
        <f t="shared" si="19"/>
        <v>7312.8006109999997</v>
      </c>
      <c r="J125" s="4">
        <f t="shared" si="20"/>
        <v>7.3328006109999997</v>
      </c>
      <c r="K125" s="4">
        <f t="shared" si="21"/>
        <v>1973.383347</v>
      </c>
      <c r="L125">
        <f t="shared" si="22"/>
        <v>1.973383347</v>
      </c>
      <c r="M125">
        <f>$B$12*F125+$B$13</f>
        <v>1.9624225551015504</v>
      </c>
      <c r="N125">
        <f t="shared" si="23"/>
        <v>1.0960791898449562E-2</v>
      </c>
      <c r="O125" s="4">
        <f t="shared" ca="1" si="24"/>
        <v>7.1976488629737609</v>
      </c>
      <c r="P125" s="4">
        <f t="shared" si="25"/>
        <v>7.2377520042992662</v>
      </c>
      <c r="Q125" s="4">
        <f t="shared" ca="1" si="26"/>
        <v>4.0103141325505298E-2</v>
      </c>
      <c r="R125" s="2">
        <f t="shared" ca="1" si="27"/>
        <v>5.5408283264864284E-3</v>
      </c>
      <c r="S125" s="4">
        <f t="shared" si="28"/>
        <v>1.0249999999999999</v>
      </c>
      <c r="T125">
        <v>0.92688865159483547</v>
      </c>
      <c r="U125">
        <f t="shared" si="29"/>
        <v>9.8111348405164445E-2</v>
      </c>
      <c r="V125" s="2">
        <f t="shared" si="30"/>
        <v>9.5718388687965325E-2</v>
      </c>
      <c r="W125">
        <f>(T125+5/3)/(1/12)</f>
        <v>31.12266381913803</v>
      </c>
      <c r="X125" s="2">
        <f t="shared" si="31"/>
        <v>3.6450036559194043E-2</v>
      </c>
    </row>
    <row r="126" spans="5:24" x14ac:dyDescent="0.25">
      <c r="E126">
        <v>124</v>
      </c>
      <c r="F126">
        <f t="shared" si="16"/>
        <v>32.4</v>
      </c>
      <c r="G126">
        <f t="shared" si="17"/>
        <v>305.54999999999995</v>
      </c>
      <c r="H126" s="4">
        <f t="shared" si="18"/>
        <v>1.0333330000000001</v>
      </c>
      <c r="I126" s="4">
        <f t="shared" si="19"/>
        <v>7282.1746119999998</v>
      </c>
      <c r="J126" s="4">
        <f t="shared" si="20"/>
        <v>7.302174612</v>
      </c>
      <c r="K126" s="4">
        <f t="shared" si="21"/>
        <v>1971.1584949999999</v>
      </c>
      <c r="L126">
        <f t="shared" si="22"/>
        <v>1.9711584949999998</v>
      </c>
      <c r="M126">
        <f>$B$12*F126+$B$13</f>
        <v>1.960074716278656</v>
      </c>
      <c r="N126">
        <f t="shared" si="23"/>
        <v>1.1083778721343807E-2</v>
      </c>
      <c r="O126" s="4">
        <f t="shared" ca="1" si="24"/>
        <v>7.1899182274052489</v>
      </c>
      <c r="P126" s="4">
        <f t="shared" si="25"/>
        <v>7.2290927707911719</v>
      </c>
      <c r="Q126" s="4">
        <f t="shared" ca="1" si="26"/>
        <v>3.9174543385922966E-2</v>
      </c>
      <c r="R126" s="2">
        <f t="shared" ca="1" si="27"/>
        <v>5.4190124028019072E-3</v>
      </c>
      <c r="S126" s="4">
        <f t="shared" si="28"/>
        <v>1.0333330000000001</v>
      </c>
      <c r="T126">
        <v>0.93500302185177786</v>
      </c>
      <c r="U126">
        <f t="shared" si="29"/>
        <v>9.8329978148222197E-2</v>
      </c>
      <c r="V126" s="2">
        <f t="shared" si="30"/>
        <v>9.5158074065400208E-2</v>
      </c>
      <c r="W126">
        <f>(T126+5/3)/(1/12)</f>
        <v>31.220036262221338</v>
      </c>
      <c r="X126" s="2">
        <f t="shared" si="31"/>
        <v>3.6418633882057419E-2</v>
      </c>
    </row>
    <row r="127" spans="5:24" x14ac:dyDescent="0.25">
      <c r="E127">
        <v>125</v>
      </c>
      <c r="F127">
        <f t="shared" si="16"/>
        <v>32.5</v>
      </c>
      <c r="G127">
        <f t="shared" si="17"/>
        <v>305.64999999999998</v>
      </c>
      <c r="H127" s="4">
        <f t="shared" si="18"/>
        <v>1.0416669999999999</v>
      </c>
      <c r="I127" s="4">
        <f t="shared" si="19"/>
        <v>7251.6942600000002</v>
      </c>
      <c r="J127" s="4">
        <f t="shared" si="20"/>
        <v>7.2716942600000003</v>
      </c>
      <c r="K127" s="4">
        <f t="shared" si="21"/>
        <v>1968.930654</v>
      </c>
      <c r="L127">
        <f t="shared" si="22"/>
        <v>1.968930654</v>
      </c>
      <c r="M127">
        <f>$B$12*F127+$B$13</f>
        <v>1.9577268774557615</v>
      </c>
      <c r="N127">
        <f t="shared" si="23"/>
        <v>1.1203776544238542E-2</v>
      </c>
      <c r="O127" s="4">
        <f t="shared" ca="1" si="24"/>
        <v>7.1821883644314877</v>
      </c>
      <c r="P127" s="4">
        <f t="shared" si="25"/>
        <v>7.2204335372830766</v>
      </c>
      <c r="Q127" s="4">
        <f t="shared" ca="1" si="26"/>
        <v>3.8245172851588904E-2</v>
      </c>
      <c r="R127" s="2">
        <f t="shared" ca="1" si="27"/>
        <v>5.2967972981273221E-3</v>
      </c>
      <c r="S127" s="4">
        <f t="shared" si="28"/>
        <v>1.0416669999999999</v>
      </c>
      <c r="T127">
        <v>0.94400602463942607</v>
      </c>
      <c r="U127">
        <f t="shared" si="29"/>
        <v>9.7660975360573832E-2</v>
      </c>
      <c r="V127" s="2">
        <f t="shared" si="30"/>
        <v>9.375450634470886E-2</v>
      </c>
      <c r="W127">
        <f>(T127+5/3)/(1/12)</f>
        <v>31.328072295673117</v>
      </c>
      <c r="X127" s="2">
        <f t="shared" si="31"/>
        <v>3.6059313979288715E-2</v>
      </c>
    </row>
    <row r="128" spans="5:24" x14ac:dyDescent="0.25">
      <c r="E128">
        <v>126</v>
      </c>
      <c r="F128">
        <f t="shared" si="16"/>
        <v>32.6</v>
      </c>
      <c r="G128">
        <f t="shared" si="17"/>
        <v>305.75</v>
      </c>
      <c r="H128" s="4">
        <f t="shared" si="18"/>
        <v>1.05</v>
      </c>
      <c r="I128" s="4">
        <f t="shared" si="19"/>
        <v>7221.3587870000001</v>
      </c>
      <c r="J128" s="4">
        <f t="shared" si="20"/>
        <v>7.2413587870000002</v>
      </c>
      <c r="K128" s="4">
        <f t="shared" si="21"/>
        <v>1966.6998390000001</v>
      </c>
      <c r="L128">
        <f t="shared" si="22"/>
        <v>1.9666998390000001</v>
      </c>
      <c r="M128">
        <f>$B$12*F128+$B$13</f>
        <v>1.9553790386328673</v>
      </c>
      <c r="N128">
        <f t="shared" si="23"/>
        <v>1.1320800367132788E-2</v>
      </c>
      <c r="O128" s="4">
        <f t="shared" ca="1" si="24"/>
        <v>7.1736552274052485</v>
      </c>
      <c r="P128" s="4">
        <f t="shared" si="25"/>
        <v>7.2117743037749831</v>
      </c>
      <c r="Q128" s="4">
        <f t="shared" ca="1" si="26"/>
        <v>3.811907636973455E-2</v>
      </c>
      <c r="R128" s="2">
        <f t="shared" ca="1" si="27"/>
        <v>5.2856723968443143E-3</v>
      </c>
      <c r="S128" s="4">
        <f t="shared" si="28"/>
        <v>1.05</v>
      </c>
      <c r="T128">
        <v>0.95217222949896918</v>
      </c>
      <c r="U128">
        <f t="shared" si="29"/>
        <v>9.7827770501030864E-2</v>
      </c>
      <c r="V128" s="2">
        <f t="shared" si="30"/>
        <v>9.3169305239077016E-2</v>
      </c>
      <c r="W128">
        <f>(T128+5/3)/(1/12)</f>
        <v>31.426066753987634</v>
      </c>
      <c r="X128" s="2">
        <f t="shared" si="31"/>
        <v>3.6010222270318026E-2</v>
      </c>
    </row>
    <row r="129" spans="5:24" x14ac:dyDescent="0.25">
      <c r="E129">
        <v>127</v>
      </c>
      <c r="F129">
        <f t="shared" si="16"/>
        <v>32.700000000000003</v>
      </c>
      <c r="G129">
        <f t="shared" si="17"/>
        <v>305.84999999999997</v>
      </c>
      <c r="H129" s="4">
        <f t="shared" si="18"/>
        <v>1.058333</v>
      </c>
      <c r="I129" s="4">
        <f t="shared" si="19"/>
        <v>7191.1674270000003</v>
      </c>
      <c r="J129" s="4">
        <f t="shared" si="20"/>
        <v>7.2111674270000004</v>
      </c>
      <c r="K129" s="4">
        <f t="shared" si="21"/>
        <v>1964.4660630000001</v>
      </c>
      <c r="L129">
        <f t="shared" si="22"/>
        <v>1.9644660630000002</v>
      </c>
      <c r="M129">
        <f>$B$12*F129+$B$13</f>
        <v>1.9530311998099728</v>
      </c>
      <c r="N129">
        <f t="shared" si="23"/>
        <v>1.14348631900274E-2</v>
      </c>
      <c r="O129" s="4">
        <f t="shared" ca="1" si="24"/>
        <v>7.1659033644314869</v>
      </c>
      <c r="P129" s="4">
        <f t="shared" si="25"/>
        <v>7.2031150702668887</v>
      </c>
      <c r="Q129" s="4">
        <f t="shared" ca="1" si="26"/>
        <v>3.7211705835401787E-2</v>
      </c>
      <c r="R129" s="2">
        <f t="shared" ca="1" si="27"/>
        <v>5.1660573893932008E-3</v>
      </c>
      <c r="S129" s="4">
        <f t="shared" si="28"/>
        <v>1.058333</v>
      </c>
      <c r="T129">
        <v>0.95950456892844371</v>
      </c>
      <c r="U129">
        <f t="shared" si="29"/>
        <v>9.8828431071556255E-2</v>
      </c>
      <c r="V129" s="2">
        <f t="shared" si="30"/>
        <v>9.3381224124690673E-2</v>
      </c>
      <c r="W129">
        <f>(T129+5/3)/(1/12)</f>
        <v>31.514054827141326</v>
      </c>
      <c r="X129" s="2">
        <f t="shared" si="31"/>
        <v>3.626743647885862E-2</v>
      </c>
    </row>
    <row r="130" spans="5:24" x14ac:dyDescent="0.25">
      <c r="E130">
        <v>128</v>
      </c>
      <c r="F130">
        <f t="shared" si="16"/>
        <v>32.799999999999997</v>
      </c>
      <c r="G130">
        <f t="shared" si="17"/>
        <v>305.95</v>
      </c>
      <c r="H130" s="4">
        <f t="shared" si="18"/>
        <v>1.066667</v>
      </c>
      <c r="I130" s="4">
        <f t="shared" si="19"/>
        <v>7161.1194189999997</v>
      </c>
      <c r="J130" s="4">
        <f t="shared" si="20"/>
        <v>7.1811194189999998</v>
      </c>
      <c r="K130" s="4">
        <f t="shared" si="21"/>
        <v>1962.2293400000001</v>
      </c>
      <c r="L130">
        <f t="shared" si="22"/>
        <v>1.9622293400000002</v>
      </c>
      <c r="M130">
        <f>$B$12*F130+$B$13</f>
        <v>1.9506833609870786</v>
      </c>
      <c r="N130">
        <f t="shared" si="23"/>
        <v>1.1545979012921537E-2</v>
      </c>
      <c r="O130" s="4">
        <f t="shared" ca="1" si="24"/>
        <v>7.1573707725947511</v>
      </c>
      <c r="P130" s="4">
        <f t="shared" si="25"/>
        <v>7.1944558367587952</v>
      </c>
      <c r="Q130" s="4">
        <f t="shared" ca="1" si="26"/>
        <v>3.7085064164044113E-2</v>
      </c>
      <c r="R130" s="2">
        <f t="shared" ca="1" si="27"/>
        <v>5.1546725708655492E-3</v>
      </c>
      <c r="S130" s="4">
        <f t="shared" si="28"/>
        <v>1.066667</v>
      </c>
      <c r="T130">
        <v>0.96772436639382187</v>
      </c>
      <c r="U130">
        <f t="shared" si="29"/>
        <v>9.8942633606178165E-2</v>
      </c>
      <c r="V130" s="2">
        <f t="shared" si="30"/>
        <v>9.2758690018701392E-2</v>
      </c>
      <c r="W130">
        <f>(T130+5/3)/(1/12)</f>
        <v>31.612692396725862</v>
      </c>
      <c r="X130" s="2">
        <f t="shared" si="31"/>
        <v>3.6198402538845591E-2</v>
      </c>
    </row>
    <row r="131" spans="5:24" x14ac:dyDescent="0.25">
      <c r="E131">
        <v>129</v>
      </c>
      <c r="F131">
        <f t="shared" ref="F131:F194" si="32">E131*0.1+20</f>
        <v>32.9</v>
      </c>
      <c r="G131">
        <f t="shared" ref="G131:G194" si="33">F131+273.15</f>
        <v>306.04999999999995</v>
      </c>
      <c r="H131" s="4">
        <f t="shared" ref="H131:H194" si="34">ROUND(1/12*F131-5/3,6)</f>
        <v>1.075</v>
      </c>
      <c r="I131" s="4">
        <f t="shared" ref="I131:I194" si="35">ROUND(10000*EXP(($B$3)+($B$4/G131)+($B$5/(G131^2))+($B$6/(G131^3))),6)</f>
        <v>7131.2140060000002</v>
      </c>
      <c r="J131" s="4">
        <f t="shared" ref="J131:J194" si="36">$B$9*(2*$B$8+I131)</f>
        <v>7.151214006</v>
      </c>
      <c r="K131" s="4">
        <f t="shared" ref="K131:K194" si="37">ROUND(1/(1/(I131+2*$B$8)+1/($B$7)),6)</f>
        <v>1959.989683</v>
      </c>
      <c r="L131">
        <f t="shared" ref="L131:L194" si="38">$B$9*K131</f>
        <v>1.9599896830000001</v>
      </c>
      <c r="M131">
        <f>$B$12*F131+$B$13</f>
        <v>1.9483355221641843</v>
      </c>
      <c r="N131">
        <f t="shared" ref="N131:N194" si="39">ABS(L131-M131)</f>
        <v>1.165416083581583E-2</v>
      </c>
      <c r="O131" s="4">
        <f t="shared" ref="O131:O194" ca="1" si="40">ROUND(L131*$B$28,6)+RANDBETWEEN(-1,1)*$B$23+RANDBETWEEN(-1,1)*$B$24</f>
        <v>7.1495861370262386</v>
      </c>
      <c r="P131" s="4">
        <f t="shared" ref="P131:P194" si="41">M131*$B$22</f>
        <v>7.1857966032507008</v>
      </c>
      <c r="Q131" s="4">
        <f t="shared" ref="Q131:Q194" ca="1" si="42">ABS(O131-P131)</f>
        <v>3.6210466224462223E-2</v>
      </c>
      <c r="R131" s="2">
        <f t="shared" ref="R131:R194" ca="1" si="43">ABS(P131-O131)/P131</f>
        <v>5.0391721647230292E-3</v>
      </c>
      <c r="S131" s="4">
        <f t="shared" ref="S131:S194" si="44">ROUND($B$18*M131+$B$19,6)</f>
        <v>1.075</v>
      </c>
      <c r="T131">
        <v>0.97597037099435158</v>
      </c>
      <c r="U131">
        <f t="shared" ref="U131:U194" si="45">ABS(S131-T131)</f>
        <v>9.9029629005648379E-2</v>
      </c>
      <c r="V131" s="2">
        <f t="shared" ref="V131:V194" si="46">IF(S131=0, ABS(S131-T131),ABS(S131-T131)/S131)</f>
        <v>9.2120585121533385E-2</v>
      </c>
      <c r="W131">
        <f>(T131+5/3)/(1/12)</f>
        <v>31.711644451932223</v>
      </c>
      <c r="X131" s="2">
        <f t="shared" ref="X131:X194" si="47">ABS(F131-W131)/F131</f>
        <v>3.6120229424552452E-2</v>
      </c>
    </row>
    <row r="132" spans="5:24" x14ac:dyDescent="0.25">
      <c r="E132">
        <v>130</v>
      </c>
      <c r="F132">
        <f t="shared" si="32"/>
        <v>33</v>
      </c>
      <c r="G132">
        <f t="shared" si="33"/>
        <v>306.14999999999998</v>
      </c>
      <c r="H132" s="4">
        <f t="shared" si="34"/>
        <v>1.0833330000000001</v>
      </c>
      <c r="I132" s="4">
        <f t="shared" si="35"/>
        <v>7101.4504370000004</v>
      </c>
      <c r="J132" s="4">
        <f t="shared" si="36"/>
        <v>7.1214504370000009</v>
      </c>
      <c r="K132" s="4">
        <f t="shared" si="37"/>
        <v>1957.7471069999999</v>
      </c>
      <c r="L132">
        <f t="shared" si="38"/>
        <v>1.9577471069999999</v>
      </c>
      <c r="M132">
        <f>$B$12*F132+$B$13</f>
        <v>1.9459876833412899</v>
      </c>
      <c r="N132">
        <f t="shared" si="39"/>
        <v>1.1759423658709967E-2</v>
      </c>
      <c r="O132" s="4">
        <f t="shared" ca="1" si="40"/>
        <v>7.1417915014577256</v>
      </c>
      <c r="P132" s="4">
        <f t="shared" si="41"/>
        <v>7.1771373697426064</v>
      </c>
      <c r="Q132" s="4">
        <f t="shared" ca="1" si="42"/>
        <v>3.5345868284880844E-2</v>
      </c>
      <c r="R132" s="2">
        <f t="shared" ca="1" si="43"/>
        <v>4.9247863687118549E-3</v>
      </c>
      <c r="S132" s="4">
        <f t="shared" si="44"/>
        <v>1.0833330000000001</v>
      </c>
      <c r="T132">
        <v>0.98424252299414594</v>
      </c>
      <c r="U132">
        <f t="shared" si="45"/>
        <v>9.9090477005854161E-2</v>
      </c>
      <c r="V132" s="2">
        <f t="shared" si="46"/>
        <v>9.1468160764837908E-2</v>
      </c>
      <c r="W132">
        <f>(T132+5/3)/(1/12)</f>
        <v>31.810910275929754</v>
      </c>
      <c r="X132" s="2">
        <f t="shared" si="47"/>
        <v>3.6033021941522622E-2</v>
      </c>
    </row>
    <row r="133" spans="5:24" x14ac:dyDescent="0.25">
      <c r="E133">
        <v>131</v>
      </c>
      <c r="F133">
        <f t="shared" si="32"/>
        <v>33.1</v>
      </c>
      <c r="G133">
        <f t="shared" si="33"/>
        <v>306.25</v>
      </c>
      <c r="H133" s="4">
        <f t="shared" si="34"/>
        <v>1.0916669999999999</v>
      </c>
      <c r="I133" s="4">
        <f t="shared" si="35"/>
        <v>7071.8279629999997</v>
      </c>
      <c r="J133" s="4">
        <f t="shared" si="36"/>
        <v>7.0918279630000001</v>
      </c>
      <c r="K133" s="4">
        <f t="shared" si="37"/>
        <v>1955.501626</v>
      </c>
      <c r="L133">
        <f t="shared" si="38"/>
        <v>1.955501626</v>
      </c>
      <c r="M133">
        <f>$B$12*F133+$B$13</f>
        <v>1.9436398445183956</v>
      </c>
      <c r="N133">
        <f t="shared" si="39"/>
        <v>1.1861781481604439E-2</v>
      </c>
      <c r="O133" s="4">
        <f t="shared" ca="1" si="40"/>
        <v>7.1320384985422738</v>
      </c>
      <c r="P133" s="4">
        <f t="shared" si="41"/>
        <v>7.168478136234512</v>
      </c>
      <c r="Q133" s="4">
        <f t="shared" ca="1" si="42"/>
        <v>3.6439637692238236E-2</v>
      </c>
      <c r="R133" s="2">
        <f t="shared" ca="1" si="43"/>
        <v>5.08331573309079E-3</v>
      </c>
      <c r="S133" s="4">
        <f t="shared" si="44"/>
        <v>1.0916669999999999</v>
      </c>
      <c r="T133">
        <v>0.99254076050420348</v>
      </c>
      <c r="U133">
        <f t="shared" si="45"/>
        <v>9.9126239495796464E-2</v>
      </c>
      <c r="V133" s="2">
        <f t="shared" si="46"/>
        <v>9.0802634407558785E-2</v>
      </c>
      <c r="W133">
        <f>(T133+5/3)/(1/12)</f>
        <v>31.910489126050443</v>
      </c>
      <c r="X133" s="2">
        <f t="shared" si="47"/>
        <v>3.5936884409352214E-2</v>
      </c>
    </row>
    <row r="134" spans="5:24" x14ac:dyDescent="0.25">
      <c r="E134">
        <v>132</v>
      </c>
      <c r="F134">
        <f t="shared" si="32"/>
        <v>33.200000000000003</v>
      </c>
      <c r="G134">
        <f t="shared" si="33"/>
        <v>306.34999999999997</v>
      </c>
      <c r="H134" s="4">
        <f t="shared" si="34"/>
        <v>1.1000000000000001</v>
      </c>
      <c r="I134" s="4">
        <f t="shared" si="35"/>
        <v>7042.3458419999997</v>
      </c>
      <c r="J134" s="4">
        <f t="shared" si="36"/>
        <v>7.062345842</v>
      </c>
      <c r="K134" s="4">
        <f t="shared" si="37"/>
        <v>1953.2532530000001</v>
      </c>
      <c r="L134">
        <f t="shared" si="38"/>
        <v>1.9532532530000002</v>
      </c>
      <c r="M134">
        <f>$B$12*F134+$B$13</f>
        <v>1.9412920056955012</v>
      </c>
      <c r="N134">
        <f t="shared" si="39"/>
        <v>1.196124730449899E-2</v>
      </c>
      <c r="O134" s="4">
        <f t="shared" ca="1" si="40"/>
        <v>7.124619</v>
      </c>
      <c r="P134" s="4">
        <f t="shared" si="41"/>
        <v>7.1598189027264185</v>
      </c>
      <c r="Q134" s="4">
        <f t="shared" ca="1" si="42"/>
        <v>3.5199902726418486E-2</v>
      </c>
      <c r="R134" s="2">
        <f t="shared" ca="1" si="43"/>
        <v>4.9163118794826729E-3</v>
      </c>
      <c r="S134" s="4">
        <f t="shared" si="44"/>
        <v>1.1000000000000001</v>
      </c>
      <c r="T134">
        <v>1.0008650220137523</v>
      </c>
      <c r="U134">
        <f t="shared" si="45"/>
        <v>9.9134977986247819E-2</v>
      </c>
      <c r="V134" s="2">
        <f t="shared" si="46"/>
        <v>9.0122707260225282E-2</v>
      </c>
      <c r="W134">
        <f>(T134+5/3)/(1/12)</f>
        <v>32.010380264165029</v>
      </c>
      <c r="X134" s="2">
        <f t="shared" si="47"/>
        <v>3.5831919754065474E-2</v>
      </c>
    </row>
    <row r="135" spans="5:24" x14ac:dyDescent="0.25">
      <c r="E135">
        <v>133</v>
      </c>
      <c r="F135">
        <f t="shared" si="32"/>
        <v>33.299999999999997</v>
      </c>
      <c r="G135">
        <f t="shared" si="33"/>
        <v>306.45</v>
      </c>
      <c r="H135" s="4">
        <f t="shared" si="34"/>
        <v>1.108333</v>
      </c>
      <c r="I135" s="4">
        <f t="shared" si="35"/>
        <v>7013.0033329999997</v>
      </c>
      <c r="J135" s="4">
        <f t="shared" si="36"/>
        <v>7.0330033329999999</v>
      </c>
      <c r="K135" s="4">
        <f t="shared" si="37"/>
        <v>1951.0020030000001</v>
      </c>
      <c r="L135">
        <f t="shared" si="38"/>
        <v>1.9510020030000002</v>
      </c>
      <c r="M135">
        <f>$B$12*F135+$B$13</f>
        <v>1.9389441668726071</v>
      </c>
      <c r="N135">
        <f t="shared" si="39"/>
        <v>1.2057836127393085E-2</v>
      </c>
      <c r="O135" s="4">
        <f t="shared" ca="1" si="40"/>
        <v>7.1164069999999997</v>
      </c>
      <c r="P135" s="4">
        <f t="shared" si="41"/>
        <v>7.151159669218325</v>
      </c>
      <c r="Q135" s="4">
        <f t="shared" ca="1" si="42"/>
        <v>3.4752669218325316E-2</v>
      </c>
      <c r="R135" s="2">
        <f t="shared" ca="1" si="43"/>
        <v>4.8597249713100091E-3</v>
      </c>
      <c r="S135" s="4">
        <f t="shared" si="44"/>
        <v>1.108333</v>
      </c>
      <c r="T135">
        <v>1.0092152451391387</v>
      </c>
      <c r="U135">
        <f t="shared" si="45"/>
        <v>9.9117754860861274E-2</v>
      </c>
      <c r="V135" s="2">
        <f t="shared" si="46"/>
        <v>8.942958015403428E-2</v>
      </c>
      <c r="W135">
        <f>(T135+5/3)/(1/12)</f>
        <v>32.110582941669669</v>
      </c>
      <c r="X135" s="2">
        <f t="shared" si="47"/>
        <v>3.5718229979889729E-2</v>
      </c>
    </row>
    <row r="136" spans="5:24" x14ac:dyDescent="0.25">
      <c r="E136">
        <v>134</v>
      </c>
      <c r="F136">
        <f t="shared" si="32"/>
        <v>33.4</v>
      </c>
      <c r="G136">
        <f t="shared" si="33"/>
        <v>306.54999999999995</v>
      </c>
      <c r="H136" s="4">
        <f t="shared" si="34"/>
        <v>1.1166670000000001</v>
      </c>
      <c r="I136" s="4">
        <f t="shared" si="35"/>
        <v>6983.7997020000003</v>
      </c>
      <c r="J136" s="4">
        <f t="shared" si="36"/>
        <v>7.0037997020000002</v>
      </c>
      <c r="K136" s="4">
        <f t="shared" si="37"/>
        <v>1948.7478900000001</v>
      </c>
      <c r="L136">
        <f t="shared" si="38"/>
        <v>1.9487478900000001</v>
      </c>
      <c r="M136">
        <f>$B$12*F136+$B$13</f>
        <v>1.9365963280497125</v>
      </c>
      <c r="N136">
        <f t="shared" si="39"/>
        <v>1.2151561950287659E-2</v>
      </c>
      <c r="O136" s="4">
        <f t="shared" ca="1" si="40"/>
        <v>7.1085811370262384</v>
      </c>
      <c r="P136" s="4">
        <f t="shared" si="41"/>
        <v>7.1425004357102297</v>
      </c>
      <c r="Q136" s="4">
        <f t="shared" ca="1" si="42"/>
        <v>3.391929868399135E-2</v>
      </c>
      <c r="R136" s="2">
        <f t="shared" ca="1" si="43"/>
        <v>4.7489389730248598E-3</v>
      </c>
      <c r="S136" s="4">
        <f t="shared" si="44"/>
        <v>1.1166670000000001</v>
      </c>
      <c r="T136">
        <v>1.0175913680495066</v>
      </c>
      <c r="U136">
        <f t="shared" si="45"/>
        <v>9.9075631950493515E-2</v>
      </c>
      <c r="V136" s="2">
        <f t="shared" si="46"/>
        <v>8.8724420037928506E-2</v>
      </c>
      <c r="W136">
        <f>(T136+5/3)/(1/12)</f>
        <v>32.211096416594081</v>
      </c>
      <c r="X136" s="2">
        <f t="shared" si="47"/>
        <v>3.5595915670835844E-2</v>
      </c>
    </row>
    <row r="137" spans="5:24" x14ac:dyDescent="0.25">
      <c r="E137">
        <v>135</v>
      </c>
      <c r="F137">
        <f t="shared" si="32"/>
        <v>33.5</v>
      </c>
      <c r="G137">
        <f t="shared" si="33"/>
        <v>306.64999999999998</v>
      </c>
      <c r="H137" s="4">
        <f t="shared" si="34"/>
        <v>1.125</v>
      </c>
      <c r="I137" s="4">
        <f t="shared" si="35"/>
        <v>6954.7342189999999</v>
      </c>
      <c r="J137" s="4">
        <f t="shared" si="36"/>
        <v>6.9747342190000001</v>
      </c>
      <c r="K137" s="4">
        <f t="shared" si="37"/>
        <v>1946.4909279999999</v>
      </c>
      <c r="L137">
        <f t="shared" si="38"/>
        <v>1.946490928</v>
      </c>
      <c r="M137">
        <f>$B$12*F137+$B$13</f>
        <v>1.9342484892268181</v>
      </c>
      <c r="N137">
        <f t="shared" si="39"/>
        <v>1.2242438773181874E-2</v>
      </c>
      <c r="O137" s="4">
        <f t="shared" ca="1" si="40"/>
        <v>7.0991714985422743</v>
      </c>
      <c r="P137" s="4">
        <f t="shared" si="41"/>
        <v>7.1338412022021354</v>
      </c>
      <c r="Q137" s="4">
        <f t="shared" ca="1" si="42"/>
        <v>3.4669703659861106E-2</v>
      </c>
      <c r="R137" s="2">
        <f t="shared" ca="1" si="43"/>
        <v>4.8598928231201677E-3</v>
      </c>
      <c r="S137" s="4">
        <f t="shared" si="44"/>
        <v>1.125</v>
      </c>
      <c r="T137">
        <v>1.0259933269063579</v>
      </c>
      <c r="U137">
        <f t="shared" si="45"/>
        <v>9.9006673093642084E-2</v>
      </c>
      <c r="V137" s="2">
        <f t="shared" si="46"/>
        <v>8.8005931638792959E-2</v>
      </c>
      <c r="W137">
        <f>(T137+5/3)/(1/12)</f>
        <v>32.311919922876299</v>
      </c>
      <c r="X137" s="2">
        <f t="shared" si="47"/>
        <v>3.5465076929065691E-2</v>
      </c>
    </row>
    <row r="138" spans="5:24" x14ac:dyDescent="0.25">
      <c r="E138">
        <v>136</v>
      </c>
      <c r="F138">
        <f t="shared" si="32"/>
        <v>33.6</v>
      </c>
      <c r="G138">
        <f t="shared" si="33"/>
        <v>306.75</v>
      </c>
      <c r="H138" s="4">
        <f t="shared" si="34"/>
        <v>1.1333329999999999</v>
      </c>
      <c r="I138" s="4">
        <f t="shared" si="35"/>
        <v>6925.8061559999996</v>
      </c>
      <c r="J138" s="4">
        <f t="shared" si="36"/>
        <v>6.9458061559999997</v>
      </c>
      <c r="K138" s="4">
        <f t="shared" si="37"/>
        <v>1944.2311319999999</v>
      </c>
      <c r="L138">
        <f t="shared" si="38"/>
        <v>1.9442311319999999</v>
      </c>
      <c r="M138">
        <f>$B$12*F138+$B$13</f>
        <v>1.9319006504039238</v>
      </c>
      <c r="N138">
        <f t="shared" si="39"/>
        <v>1.2330481596076082E-2</v>
      </c>
      <c r="O138" s="4">
        <f t="shared" ca="1" si="40"/>
        <v>7.0920953644314872</v>
      </c>
      <c r="P138" s="4">
        <f t="shared" si="41"/>
        <v>7.125181968694041</v>
      </c>
      <c r="Q138" s="4">
        <f t="shared" ca="1" si="42"/>
        <v>3.308660426255372E-2</v>
      </c>
      <c r="R138" s="2">
        <f t="shared" ca="1" si="43"/>
        <v>4.643615336131281E-3</v>
      </c>
      <c r="S138" s="4">
        <f t="shared" si="44"/>
        <v>1.1333329999999999</v>
      </c>
      <c r="T138">
        <v>1.0344210583367337</v>
      </c>
      <c r="U138">
        <f t="shared" si="45"/>
        <v>9.8911941663266223E-2</v>
      </c>
      <c r="V138" s="2">
        <f t="shared" si="46"/>
        <v>8.7275268313254994E-2</v>
      </c>
      <c r="W138">
        <f>(T138+5/3)/(1/12)</f>
        <v>32.413052700040808</v>
      </c>
      <c r="X138" s="2">
        <f t="shared" si="47"/>
        <v>3.5325812498785518E-2</v>
      </c>
    </row>
    <row r="139" spans="5:24" x14ac:dyDescent="0.25">
      <c r="E139">
        <v>137</v>
      </c>
      <c r="F139">
        <f t="shared" si="32"/>
        <v>33.700000000000003</v>
      </c>
      <c r="G139">
        <f t="shared" si="33"/>
        <v>306.84999999999997</v>
      </c>
      <c r="H139" s="4">
        <f t="shared" si="34"/>
        <v>1.141667</v>
      </c>
      <c r="I139" s="4">
        <f t="shared" si="35"/>
        <v>6897.0147919999999</v>
      </c>
      <c r="J139" s="4">
        <f t="shared" si="36"/>
        <v>6.9170147919999998</v>
      </c>
      <c r="K139" s="4">
        <f t="shared" si="37"/>
        <v>1941.968515</v>
      </c>
      <c r="L139">
        <f t="shared" si="38"/>
        <v>1.9419685150000001</v>
      </c>
      <c r="M139">
        <f>$B$12*F139+$B$13</f>
        <v>1.9295528115810294</v>
      </c>
      <c r="N139">
        <f t="shared" si="39"/>
        <v>1.2415703418970692E-2</v>
      </c>
      <c r="O139" s="4">
        <f t="shared" ca="1" si="40"/>
        <v>7.0834462274052488</v>
      </c>
      <c r="P139" s="4">
        <f t="shared" si="41"/>
        <v>7.1165227351859466</v>
      </c>
      <c r="Q139" s="4">
        <f t="shared" ca="1" si="42"/>
        <v>3.3076507780697817E-2</v>
      </c>
      <c r="R139" s="2">
        <f t="shared" ca="1" si="43"/>
        <v>4.6478468504230199E-3</v>
      </c>
      <c r="S139" s="4">
        <f t="shared" si="44"/>
        <v>1.141667</v>
      </c>
      <c r="T139">
        <v>1.0428744983857243</v>
      </c>
      <c r="U139">
        <f t="shared" si="45"/>
        <v>9.8792501614275663E-2</v>
      </c>
      <c r="V139" s="2">
        <f t="shared" si="46"/>
        <v>8.6533552791028964E-2</v>
      </c>
      <c r="W139">
        <f>(T139+5/3)/(1/12)</f>
        <v>32.514493980628693</v>
      </c>
      <c r="X139" s="2">
        <f t="shared" si="47"/>
        <v>3.5178220159386049E-2</v>
      </c>
    </row>
    <row r="140" spans="5:24" x14ac:dyDescent="0.25">
      <c r="E140">
        <v>138</v>
      </c>
      <c r="F140">
        <f t="shared" si="32"/>
        <v>33.799999999999997</v>
      </c>
      <c r="G140">
        <f t="shared" si="33"/>
        <v>306.95</v>
      </c>
      <c r="H140" s="4">
        <f t="shared" si="34"/>
        <v>1.1499999999999999</v>
      </c>
      <c r="I140" s="4">
        <f t="shared" si="35"/>
        <v>6868.3594080000003</v>
      </c>
      <c r="J140" s="4">
        <f t="shared" si="36"/>
        <v>6.8883594080000004</v>
      </c>
      <c r="K140" s="4">
        <f t="shared" si="37"/>
        <v>1939.7030930000001</v>
      </c>
      <c r="L140">
        <f t="shared" si="38"/>
        <v>1.9397030930000001</v>
      </c>
      <c r="M140">
        <f>$B$12*F140+$B$13</f>
        <v>1.9272049727581351</v>
      </c>
      <c r="N140">
        <f t="shared" si="39"/>
        <v>1.2498120241865029E-2</v>
      </c>
      <c r="O140" s="4">
        <f t="shared" ca="1" si="40"/>
        <v>7.0744124985422738</v>
      </c>
      <c r="P140" s="4">
        <f t="shared" si="41"/>
        <v>7.1078635016778531</v>
      </c>
      <c r="Q140" s="4">
        <f t="shared" ca="1" si="42"/>
        <v>3.3451003135579249E-2</v>
      </c>
      <c r="R140" s="2">
        <f t="shared" ca="1" si="43"/>
        <v>4.7061966127631659E-3</v>
      </c>
      <c r="S140" s="4">
        <f t="shared" si="44"/>
        <v>1.1499999999999999</v>
      </c>
      <c r="T140">
        <v>1.0513535823128199</v>
      </c>
      <c r="U140">
        <f t="shared" si="45"/>
        <v>9.8646417687179966E-2</v>
      </c>
      <c r="V140" s="2">
        <f t="shared" si="46"/>
        <v>8.5779493641026064E-2</v>
      </c>
      <c r="W140">
        <f>(T140+5/3)/(1/12)</f>
        <v>32.616242987753843</v>
      </c>
      <c r="X140" s="2">
        <f t="shared" si="47"/>
        <v>3.5022396812016403E-2</v>
      </c>
    </row>
    <row r="141" spans="5:24" x14ac:dyDescent="0.25">
      <c r="E141">
        <v>139</v>
      </c>
      <c r="F141">
        <f t="shared" si="32"/>
        <v>33.9</v>
      </c>
      <c r="G141">
        <f t="shared" si="33"/>
        <v>307.04999999999995</v>
      </c>
      <c r="H141" s="4">
        <f t="shared" si="34"/>
        <v>1.1583330000000001</v>
      </c>
      <c r="I141" s="4">
        <f t="shared" si="35"/>
        <v>6839.8392910000002</v>
      </c>
      <c r="J141" s="4">
        <f t="shared" si="36"/>
        <v>6.8598392910000001</v>
      </c>
      <c r="K141" s="4">
        <f t="shared" si="37"/>
        <v>1937.43488</v>
      </c>
      <c r="L141">
        <f t="shared" si="38"/>
        <v>1.9374348800000001</v>
      </c>
      <c r="M141">
        <f>$B$12*F141+$B$13</f>
        <v>1.9248571339352409</v>
      </c>
      <c r="N141">
        <f t="shared" si="39"/>
        <v>1.2577746064759143E-2</v>
      </c>
      <c r="O141" s="4">
        <f t="shared" ca="1" si="40"/>
        <v>7.0677015014577256</v>
      </c>
      <c r="P141" s="4">
        <f t="shared" si="41"/>
        <v>7.0992042681697596</v>
      </c>
      <c r="Q141" s="4">
        <f t="shared" ca="1" si="42"/>
        <v>3.1502766712034003E-2</v>
      </c>
      <c r="R141" s="2">
        <f t="shared" ca="1" si="43"/>
        <v>4.4375067292092025E-3</v>
      </c>
      <c r="S141" s="4">
        <f t="shared" si="44"/>
        <v>1.1583330000000001</v>
      </c>
      <c r="T141">
        <v>1.0598582447373701</v>
      </c>
      <c r="U141">
        <f t="shared" si="45"/>
        <v>9.8474755262629943E-2</v>
      </c>
      <c r="V141" s="2">
        <f t="shared" si="46"/>
        <v>8.5014201669666611E-2</v>
      </c>
      <c r="W141">
        <f>(T141+5/3)/(1/12)</f>
        <v>32.718298936848448</v>
      </c>
      <c r="X141" s="2">
        <f t="shared" si="47"/>
        <v>3.4858438441048675E-2</v>
      </c>
    </row>
    <row r="142" spans="5:24" x14ac:dyDescent="0.25">
      <c r="E142">
        <v>140</v>
      </c>
      <c r="F142">
        <f t="shared" si="32"/>
        <v>34</v>
      </c>
      <c r="G142">
        <f t="shared" si="33"/>
        <v>307.14999999999998</v>
      </c>
      <c r="H142" s="4">
        <f t="shared" si="34"/>
        <v>1.1666669999999999</v>
      </c>
      <c r="I142" s="4">
        <f t="shared" si="35"/>
        <v>6811.4537300000002</v>
      </c>
      <c r="J142" s="4">
        <f t="shared" si="36"/>
        <v>6.8314537300000007</v>
      </c>
      <c r="K142" s="4">
        <f t="shared" si="37"/>
        <v>1935.1638889999999</v>
      </c>
      <c r="L142">
        <f t="shared" si="38"/>
        <v>1.935163889</v>
      </c>
      <c r="M142">
        <f>$B$12*F142+$B$13</f>
        <v>1.9225092951123464</v>
      </c>
      <c r="N142">
        <f t="shared" si="39"/>
        <v>1.2654593887653665E-2</v>
      </c>
      <c r="O142" s="4">
        <f t="shared" ca="1" si="40"/>
        <v>7.0590331370262387</v>
      </c>
      <c r="P142" s="4">
        <f t="shared" si="41"/>
        <v>7.0905450346616643</v>
      </c>
      <c r="Q142" s="4">
        <f t="shared" ca="1" si="42"/>
        <v>3.1511897635425612E-2</v>
      </c>
      <c r="R142" s="2">
        <f t="shared" ca="1" si="43"/>
        <v>4.444213735528336E-3</v>
      </c>
      <c r="S142" s="4">
        <f t="shared" si="44"/>
        <v>1.1666669999999999</v>
      </c>
      <c r="T142">
        <v>1.0675413284923381</v>
      </c>
      <c r="U142">
        <f t="shared" si="45"/>
        <v>9.9125671507661828E-2</v>
      </c>
      <c r="V142" s="2">
        <f t="shared" si="46"/>
        <v>8.4964837016613851E-2</v>
      </c>
      <c r="W142">
        <f>(T142+5/3)/(1/12)</f>
        <v>32.810495941908059</v>
      </c>
      <c r="X142" s="2">
        <f t="shared" si="47"/>
        <v>3.4985413473292391E-2</v>
      </c>
    </row>
    <row r="143" spans="5:24" x14ac:dyDescent="0.25">
      <c r="E143">
        <v>141</v>
      </c>
      <c r="F143">
        <f t="shared" si="32"/>
        <v>34.1</v>
      </c>
      <c r="G143">
        <f t="shared" si="33"/>
        <v>307.25</v>
      </c>
      <c r="H143" s="4">
        <f t="shared" si="34"/>
        <v>1.175</v>
      </c>
      <c r="I143" s="4">
        <f t="shared" si="35"/>
        <v>6783.2020190000003</v>
      </c>
      <c r="J143" s="4">
        <f t="shared" si="36"/>
        <v>6.8032020190000004</v>
      </c>
      <c r="K143" s="4">
        <f t="shared" si="37"/>
        <v>1932.8901370000001</v>
      </c>
      <c r="L143">
        <f t="shared" si="38"/>
        <v>1.9328901370000002</v>
      </c>
      <c r="M143">
        <f>$B$12*F143+$B$13</f>
        <v>1.920161456289452</v>
      </c>
      <c r="N143">
        <f t="shared" si="39"/>
        <v>1.2728680710548224E-2</v>
      </c>
      <c r="O143" s="4">
        <f t="shared" ca="1" si="40"/>
        <v>7.0499468629737612</v>
      </c>
      <c r="P143" s="4">
        <f t="shared" si="41"/>
        <v>7.0818858011535699</v>
      </c>
      <c r="Q143" s="4">
        <f t="shared" ca="1" si="42"/>
        <v>3.1938938179808751E-2</v>
      </c>
      <c r="R143" s="2">
        <f t="shared" ca="1" si="43"/>
        <v>4.5099482082309504E-3</v>
      </c>
      <c r="S143" s="4">
        <f t="shared" si="44"/>
        <v>1.175</v>
      </c>
      <c r="T143">
        <v>1.0760979677449558</v>
      </c>
      <c r="U143">
        <f t="shared" si="45"/>
        <v>9.8902032255044237E-2</v>
      </c>
      <c r="V143" s="2">
        <f t="shared" si="46"/>
        <v>8.4171942344718489E-2</v>
      </c>
      <c r="W143">
        <f>(T143+5/3)/(1/12)</f>
        <v>32.913175612939476</v>
      </c>
      <c r="X143" s="2">
        <f t="shared" si="47"/>
        <v>3.4804234224648838E-2</v>
      </c>
    </row>
    <row r="144" spans="5:24" x14ac:dyDescent="0.25">
      <c r="E144">
        <v>142</v>
      </c>
      <c r="F144">
        <f t="shared" si="32"/>
        <v>34.200000000000003</v>
      </c>
      <c r="G144">
        <f t="shared" si="33"/>
        <v>307.34999999999997</v>
      </c>
      <c r="H144" s="4">
        <f t="shared" si="34"/>
        <v>1.183333</v>
      </c>
      <c r="I144" s="4">
        <f t="shared" si="35"/>
        <v>6755.0834580000001</v>
      </c>
      <c r="J144" s="4">
        <f t="shared" si="36"/>
        <v>6.7750834580000001</v>
      </c>
      <c r="K144" s="4">
        <f t="shared" si="37"/>
        <v>1930.6136369999999</v>
      </c>
      <c r="L144">
        <f t="shared" si="38"/>
        <v>1.930613637</v>
      </c>
      <c r="M144">
        <f>$B$12*F144+$B$13</f>
        <v>1.9178136174665577</v>
      </c>
      <c r="N144">
        <f t="shared" si="39"/>
        <v>1.2800019533442342E-2</v>
      </c>
      <c r="O144" s="4">
        <f t="shared" ca="1" si="40"/>
        <v>7.0420282274052486</v>
      </c>
      <c r="P144" s="4">
        <f t="shared" si="41"/>
        <v>7.0732265676454755</v>
      </c>
      <c r="Q144" s="4">
        <f t="shared" ca="1" si="42"/>
        <v>3.1198340240226941E-2</v>
      </c>
      <c r="R144" s="2">
        <f t="shared" ca="1" si="43"/>
        <v>4.4107650082828029E-3</v>
      </c>
      <c r="S144" s="4">
        <f t="shared" si="44"/>
        <v>1.183333</v>
      </c>
      <c r="T144">
        <v>1.0846799886256711</v>
      </c>
      <c r="U144">
        <f t="shared" si="45"/>
        <v>9.8653011374328914E-2</v>
      </c>
      <c r="V144" s="2">
        <f t="shared" si="46"/>
        <v>8.3368765490634433E-2</v>
      </c>
      <c r="W144">
        <f>(T144+5/3)/(1/12)</f>
        <v>33.016159863508051</v>
      </c>
      <c r="X144" s="2">
        <f t="shared" si="47"/>
        <v>3.4615208669355316E-2</v>
      </c>
    </row>
    <row r="145" spans="5:24" x14ac:dyDescent="0.25">
      <c r="E145">
        <v>143</v>
      </c>
      <c r="F145">
        <f t="shared" si="32"/>
        <v>34.299999999999997</v>
      </c>
      <c r="G145">
        <f t="shared" si="33"/>
        <v>307.45</v>
      </c>
      <c r="H145" s="4">
        <f t="shared" si="34"/>
        <v>1.191667</v>
      </c>
      <c r="I145" s="4">
        <f t="shared" si="35"/>
        <v>6727.0973480000002</v>
      </c>
      <c r="J145" s="4">
        <f t="shared" si="36"/>
        <v>6.7470973480000005</v>
      </c>
      <c r="K145" s="4">
        <f t="shared" si="37"/>
        <v>1928.3344050000001</v>
      </c>
      <c r="L145">
        <f t="shared" si="38"/>
        <v>1.9283344050000002</v>
      </c>
      <c r="M145">
        <f>$B$12*F145+$B$13</f>
        <v>1.9154657786436635</v>
      </c>
      <c r="N145">
        <f t="shared" si="39"/>
        <v>1.2868626356336677E-2</v>
      </c>
      <c r="O145" s="4">
        <f t="shared" ca="1" si="40"/>
        <v>7.0329444985422738</v>
      </c>
      <c r="P145" s="4">
        <f t="shared" si="41"/>
        <v>7.064567334137382</v>
      </c>
      <c r="Q145" s="4">
        <f t="shared" ca="1" si="42"/>
        <v>3.1622835595108256E-2</v>
      </c>
      <c r="R145" s="2">
        <f t="shared" ca="1" si="43"/>
        <v>4.4762593516945448E-3</v>
      </c>
      <c r="S145" s="4">
        <f t="shared" si="44"/>
        <v>1.191667</v>
      </c>
      <c r="T145">
        <v>1.0932873247063608</v>
      </c>
      <c r="U145">
        <f t="shared" si="45"/>
        <v>9.8379675293639224E-2</v>
      </c>
      <c r="V145" s="2">
        <f t="shared" si="46"/>
        <v>8.2556347783096465E-2</v>
      </c>
      <c r="W145">
        <f>(T145+5/3)/(1/12)</f>
        <v>33.119447896476331</v>
      </c>
      <c r="X145" s="2">
        <f t="shared" si="47"/>
        <v>3.4418428674159375E-2</v>
      </c>
    </row>
    <row r="146" spans="5:24" x14ac:dyDescent="0.25">
      <c r="E146">
        <v>144</v>
      </c>
      <c r="F146">
        <f t="shared" si="32"/>
        <v>34.4</v>
      </c>
      <c r="G146">
        <f t="shared" si="33"/>
        <v>307.54999999999995</v>
      </c>
      <c r="H146" s="4">
        <f t="shared" si="34"/>
        <v>1.2</v>
      </c>
      <c r="I146" s="4">
        <f t="shared" si="35"/>
        <v>6699.2429949999996</v>
      </c>
      <c r="J146" s="4">
        <f t="shared" si="36"/>
        <v>6.7192429950000001</v>
      </c>
      <c r="K146" s="4">
        <f t="shared" si="37"/>
        <v>1926.0524539999999</v>
      </c>
      <c r="L146">
        <f t="shared" si="38"/>
        <v>1.9260524539999999</v>
      </c>
      <c r="M146">
        <f>$B$12*F146+$B$13</f>
        <v>1.9131179398207689</v>
      </c>
      <c r="N146">
        <f t="shared" si="39"/>
        <v>1.2934514179230971E-2</v>
      </c>
      <c r="O146" s="4">
        <f t="shared" ca="1" si="40"/>
        <v>7.0250058629737611</v>
      </c>
      <c r="P146" s="4">
        <f t="shared" si="41"/>
        <v>7.0559081006292876</v>
      </c>
      <c r="Q146" s="4">
        <f t="shared" ca="1" si="42"/>
        <v>3.0902237655526577E-2</v>
      </c>
      <c r="R146" s="2">
        <f t="shared" ca="1" si="43"/>
        <v>4.3796258702363958E-3</v>
      </c>
      <c r="S146" s="4">
        <f t="shared" si="44"/>
        <v>1.2</v>
      </c>
      <c r="T146">
        <v>1.1019199083658999</v>
      </c>
      <c r="U146">
        <f t="shared" si="45"/>
        <v>9.8080091634100031E-2</v>
      </c>
      <c r="V146" s="2">
        <f t="shared" si="46"/>
        <v>8.1733409695083359E-2</v>
      </c>
      <c r="W146">
        <f>(T146+5/3)/(1/12)</f>
        <v>33.223038900390797</v>
      </c>
      <c r="X146" s="2">
        <f t="shared" si="47"/>
        <v>3.4213985453755855E-2</v>
      </c>
    </row>
    <row r="147" spans="5:24" x14ac:dyDescent="0.25">
      <c r="E147">
        <v>145</v>
      </c>
      <c r="F147">
        <f t="shared" si="32"/>
        <v>34.5</v>
      </c>
      <c r="G147">
        <f t="shared" si="33"/>
        <v>307.64999999999998</v>
      </c>
      <c r="H147" s="4">
        <f t="shared" si="34"/>
        <v>1.2083330000000001</v>
      </c>
      <c r="I147" s="4">
        <f t="shared" si="35"/>
        <v>6671.5197099999996</v>
      </c>
      <c r="J147" s="4">
        <f t="shared" si="36"/>
        <v>6.6915197099999997</v>
      </c>
      <c r="K147" s="4">
        <f t="shared" si="37"/>
        <v>1923.767801</v>
      </c>
      <c r="L147">
        <f t="shared" si="38"/>
        <v>1.9237678010000001</v>
      </c>
      <c r="M147">
        <f>$B$12*F147+$B$13</f>
        <v>1.9107701009978748</v>
      </c>
      <c r="N147">
        <f t="shared" si="39"/>
        <v>1.2997700002125301E-2</v>
      </c>
      <c r="O147" s="4">
        <f t="shared" ca="1" si="40"/>
        <v>7.0174651370262389</v>
      </c>
      <c r="P147" s="4">
        <f t="shared" si="41"/>
        <v>7.0472488671211941</v>
      </c>
      <c r="Q147" s="4">
        <f t="shared" ca="1" si="42"/>
        <v>2.9783730094955274E-2</v>
      </c>
      <c r="R147" s="2">
        <f t="shared" ca="1" si="43"/>
        <v>4.2262917993304734E-3</v>
      </c>
      <c r="S147" s="4">
        <f t="shared" si="44"/>
        <v>1.2083330000000001</v>
      </c>
      <c r="T147">
        <v>1.1105776716631319</v>
      </c>
      <c r="U147">
        <f t="shared" si="45"/>
        <v>9.7755328336868175E-2</v>
      </c>
      <c r="V147" s="2">
        <f t="shared" si="46"/>
        <v>8.0900983699748463E-2</v>
      </c>
      <c r="W147">
        <f>(T147+5/3)/(1/12)</f>
        <v>33.326932059957585</v>
      </c>
      <c r="X147" s="2">
        <f t="shared" si="47"/>
        <v>3.4001969276591743E-2</v>
      </c>
    </row>
    <row r="148" spans="5:24" x14ac:dyDescent="0.25">
      <c r="E148">
        <v>146</v>
      </c>
      <c r="F148">
        <f t="shared" si="32"/>
        <v>34.6</v>
      </c>
      <c r="G148">
        <f t="shared" si="33"/>
        <v>307.75</v>
      </c>
      <c r="H148" s="4">
        <f t="shared" si="34"/>
        <v>1.2166669999999999</v>
      </c>
      <c r="I148" s="4">
        <f t="shared" si="35"/>
        <v>6643.9268069999998</v>
      </c>
      <c r="J148" s="4">
        <f t="shared" si="36"/>
        <v>6.6639268070000002</v>
      </c>
      <c r="K148" s="4">
        <f t="shared" si="37"/>
        <v>1921.4804590000001</v>
      </c>
      <c r="L148">
        <f t="shared" si="38"/>
        <v>1.9214804590000001</v>
      </c>
      <c r="M148">
        <f>$B$12*F148+$B$13</f>
        <v>1.9084222621749802</v>
      </c>
      <c r="N148">
        <f t="shared" si="39"/>
        <v>1.3058196825019852E-2</v>
      </c>
      <c r="O148" s="4">
        <f t="shared" ca="1" si="40"/>
        <v>7.0091103644314874</v>
      </c>
      <c r="P148" s="4">
        <f t="shared" si="41"/>
        <v>7.0385896336130989</v>
      </c>
      <c r="Q148" s="4">
        <f t="shared" ca="1" si="42"/>
        <v>2.9479269181611478E-2</v>
      </c>
      <c r="R148" s="2">
        <f t="shared" ca="1" si="43"/>
        <v>4.1882352454292709E-3</v>
      </c>
      <c r="S148" s="4">
        <f t="shared" si="44"/>
        <v>1.2166669999999999</v>
      </c>
      <c r="T148">
        <v>1.1184195694302885</v>
      </c>
      <c r="U148">
        <f t="shared" si="45"/>
        <v>9.8247430569711414E-2</v>
      </c>
      <c r="V148" s="2">
        <f t="shared" si="46"/>
        <v>8.0751290673381798E-2</v>
      </c>
      <c r="W148">
        <f>(T148+5/3)/(1/12)</f>
        <v>33.421034833163461</v>
      </c>
      <c r="X148" s="2">
        <f t="shared" si="47"/>
        <v>3.4074137769842222E-2</v>
      </c>
    </row>
    <row r="149" spans="5:24" x14ac:dyDescent="0.25">
      <c r="E149">
        <v>147</v>
      </c>
      <c r="F149">
        <f t="shared" si="32"/>
        <v>34.700000000000003</v>
      </c>
      <c r="G149">
        <f t="shared" si="33"/>
        <v>307.84999999999997</v>
      </c>
      <c r="H149" s="4">
        <f t="shared" si="34"/>
        <v>1.2250000000000001</v>
      </c>
      <c r="I149" s="4">
        <f t="shared" si="35"/>
        <v>6616.4636030000001</v>
      </c>
      <c r="J149" s="4">
        <f t="shared" si="36"/>
        <v>6.6364636030000002</v>
      </c>
      <c r="K149" s="4">
        <f t="shared" si="37"/>
        <v>1919.1904440000001</v>
      </c>
      <c r="L149">
        <f t="shared" si="38"/>
        <v>1.9191904440000001</v>
      </c>
      <c r="M149">
        <f>$B$12*F149+$B$13</f>
        <v>1.9060744233520861</v>
      </c>
      <c r="N149">
        <f t="shared" si="39"/>
        <v>1.3116020647913951E-2</v>
      </c>
      <c r="O149" s="4">
        <f t="shared" ca="1" si="40"/>
        <v>6.9999866355685123</v>
      </c>
      <c r="P149" s="4">
        <f t="shared" si="41"/>
        <v>7.0299304001050054</v>
      </c>
      <c r="Q149" s="4">
        <f t="shared" ca="1" si="42"/>
        <v>2.9943764536493056E-2</v>
      </c>
      <c r="R149" s="2">
        <f t="shared" ca="1" si="43"/>
        <v>4.259468135850362E-3</v>
      </c>
      <c r="S149" s="4">
        <f t="shared" si="44"/>
        <v>1.2250000000000001</v>
      </c>
      <c r="T149">
        <v>1.1271285090718575</v>
      </c>
      <c r="U149">
        <f t="shared" si="45"/>
        <v>9.7871490928142624E-2</v>
      </c>
      <c r="V149" s="2">
        <f t="shared" si="46"/>
        <v>7.9895094635218461E-2</v>
      </c>
      <c r="W149">
        <f>(T149+5/3)/(1/12)</f>
        <v>33.525542108862297</v>
      </c>
      <c r="X149" s="2">
        <f t="shared" si="47"/>
        <v>3.3846048735956945E-2</v>
      </c>
    </row>
    <row r="150" spans="5:24" x14ac:dyDescent="0.25">
      <c r="E150">
        <v>148</v>
      </c>
      <c r="F150">
        <f t="shared" si="32"/>
        <v>34.799999999999997</v>
      </c>
      <c r="G150">
        <f t="shared" si="33"/>
        <v>307.95</v>
      </c>
      <c r="H150" s="4">
        <f t="shared" si="34"/>
        <v>1.233333</v>
      </c>
      <c r="I150" s="4">
        <f t="shared" si="35"/>
        <v>6589.129422</v>
      </c>
      <c r="J150" s="4">
        <f t="shared" si="36"/>
        <v>6.6091294220000005</v>
      </c>
      <c r="K150" s="4">
        <f t="shared" si="37"/>
        <v>1916.8977709999999</v>
      </c>
      <c r="L150">
        <f t="shared" si="38"/>
        <v>1.9168977709999999</v>
      </c>
      <c r="M150">
        <f>$B$12*F150+$B$13</f>
        <v>1.9037265845291917</v>
      </c>
      <c r="N150">
        <f t="shared" si="39"/>
        <v>1.3171186470808172E-2</v>
      </c>
      <c r="O150" s="4">
        <f t="shared" ca="1" si="40"/>
        <v>6.991613862973761</v>
      </c>
      <c r="P150" s="4">
        <f t="shared" si="41"/>
        <v>7.021271166596911</v>
      </c>
      <c r="Q150" s="4">
        <f t="shared" ca="1" si="42"/>
        <v>2.965730362315E-2</v>
      </c>
      <c r="R150" s="2">
        <f t="shared" ca="1" si="43"/>
        <v>4.2239222669880703E-3</v>
      </c>
      <c r="S150" s="4">
        <f t="shared" si="44"/>
        <v>1.233333</v>
      </c>
      <c r="T150">
        <v>1.1358624229854624</v>
      </c>
      <c r="U150">
        <f t="shared" si="45"/>
        <v>9.7470577014537652E-2</v>
      </c>
      <c r="V150" s="2">
        <f t="shared" si="46"/>
        <v>7.9030218938873478E-2</v>
      </c>
      <c r="W150">
        <f>(T150+5/3)/(1/12)</f>
        <v>33.630349075825549</v>
      </c>
      <c r="X150" s="2">
        <f t="shared" si="47"/>
        <v>3.3610658740645061E-2</v>
      </c>
    </row>
    <row r="151" spans="5:24" x14ac:dyDescent="0.25">
      <c r="E151">
        <v>149</v>
      </c>
      <c r="F151">
        <f t="shared" si="32"/>
        <v>34.9</v>
      </c>
      <c r="G151">
        <f t="shared" si="33"/>
        <v>308.04999999999995</v>
      </c>
      <c r="H151" s="4">
        <f t="shared" si="34"/>
        <v>1.2416670000000001</v>
      </c>
      <c r="I151" s="4">
        <f t="shared" si="35"/>
        <v>6561.9235900000003</v>
      </c>
      <c r="J151" s="4">
        <f t="shared" si="36"/>
        <v>6.5819235900000006</v>
      </c>
      <c r="K151" s="4">
        <f t="shared" si="37"/>
        <v>1914.602455</v>
      </c>
      <c r="L151">
        <f t="shared" si="38"/>
        <v>1.914602455</v>
      </c>
      <c r="M151">
        <f>$B$12*F151+$B$13</f>
        <v>1.9013787457062974</v>
      </c>
      <c r="N151">
        <f t="shared" si="39"/>
        <v>1.3223709293702646E-2</v>
      </c>
      <c r="O151" s="4">
        <f t="shared" ca="1" si="40"/>
        <v>6.9832516355685126</v>
      </c>
      <c r="P151" s="4">
        <f t="shared" si="41"/>
        <v>7.0126119330888166</v>
      </c>
      <c r="Q151" s="4">
        <f t="shared" ca="1" si="42"/>
        <v>2.9360297520304002E-2</v>
      </c>
      <c r="R151" s="2">
        <f t="shared" ca="1" si="43"/>
        <v>4.1867848671004087E-3</v>
      </c>
      <c r="S151" s="4">
        <f t="shared" si="44"/>
        <v>1.2416670000000001</v>
      </c>
      <c r="T151">
        <v>1.1437833388646295</v>
      </c>
      <c r="U151">
        <f t="shared" si="45"/>
        <v>9.7883661135370614E-2</v>
      </c>
      <c r="V151" s="2">
        <f t="shared" si="46"/>
        <v>7.8832457603665557E-2</v>
      </c>
      <c r="W151">
        <f>(T151+5/3)/(1/12)</f>
        <v>33.725400066375556</v>
      </c>
      <c r="X151" s="2">
        <f t="shared" si="47"/>
        <v>3.3656158556574278E-2</v>
      </c>
    </row>
    <row r="152" spans="5:24" x14ac:dyDescent="0.25">
      <c r="E152">
        <v>150</v>
      </c>
      <c r="F152">
        <f t="shared" si="32"/>
        <v>35</v>
      </c>
      <c r="G152">
        <f t="shared" si="33"/>
        <v>308.14999999999998</v>
      </c>
      <c r="H152" s="4">
        <f t="shared" si="34"/>
        <v>1.25</v>
      </c>
      <c r="I152" s="4">
        <f t="shared" si="35"/>
        <v>6534.8454339999998</v>
      </c>
      <c r="J152" s="4">
        <f t="shared" si="36"/>
        <v>6.5548454339999997</v>
      </c>
      <c r="K152" s="4">
        <f t="shared" si="37"/>
        <v>1912.304511</v>
      </c>
      <c r="L152">
        <f t="shared" si="38"/>
        <v>1.9123045110000001</v>
      </c>
      <c r="M152">
        <f>$B$12*F152+$B$13</f>
        <v>1.899030906883403</v>
      </c>
      <c r="N152">
        <f t="shared" si="39"/>
        <v>1.327360411659706E-2</v>
      </c>
      <c r="O152" s="4">
        <f t="shared" ca="1" si="40"/>
        <v>6.9752452274052485</v>
      </c>
      <c r="P152" s="4">
        <f t="shared" si="41"/>
        <v>7.0039526995807231</v>
      </c>
      <c r="Q152" s="4">
        <f t="shared" ca="1" si="42"/>
        <v>2.8707472175474535E-2</v>
      </c>
      <c r="R152" s="2">
        <f t="shared" ca="1" si="43"/>
        <v>4.0987530051699306E-3</v>
      </c>
      <c r="S152" s="4">
        <f t="shared" si="44"/>
        <v>1.25</v>
      </c>
      <c r="T152">
        <v>1.1525680177511508</v>
      </c>
      <c r="U152">
        <f t="shared" si="45"/>
        <v>9.7431982248849192E-2</v>
      </c>
      <c r="V152" s="2">
        <f t="shared" si="46"/>
        <v>7.7945585799079356E-2</v>
      </c>
      <c r="W152">
        <f>(T152+5/3)/(1/12)</f>
        <v>33.830816213013811</v>
      </c>
      <c r="X152" s="2">
        <f t="shared" si="47"/>
        <v>3.3405251056748242E-2</v>
      </c>
    </row>
    <row r="153" spans="5:24" x14ac:dyDescent="0.25">
      <c r="E153">
        <v>151</v>
      </c>
      <c r="F153">
        <f t="shared" si="32"/>
        <v>35.1</v>
      </c>
      <c r="G153">
        <f t="shared" si="33"/>
        <v>308.25</v>
      </c>
      <c r="H153" s="4">
        <f t="shared" si="34"/>
        <v>1.2583329999999999</v>
      </c>
      <c r="I153" s="4">
        <f t="shared" si="35"/>
        <v>6507.8942909999996</v>
      </c>
      <c r="J153" s="4">
        <f t="shared" si="36"/>
        <v>6.527894291</v>
      </c>
      <c r="K153" s="4">
        <f t="shared" si="37"/>
        <v>1910.003954</v>
      </c>
      <c r="L153">
        <f t="shared" si="38"/>
        <v>1.910003954</v>
      </c>
      <c r="M153">
        <f>$B$12*F153+$B$13</f>
        <v>1.8966830680605087</v>
      </c>
      <c r="N153">
        <f t="shared" si="39"/>
        <v>1.3320885939491323E-2</v>
      </c>
      <c r="O153" s="4">
        <f t="shared" ca="1" si="40"/>
        <v>6.9672493644314875</v>
      </c>
      <c r="P153" s="4">
        <f t="shared" si="41"/>
        <v>6.9952934660726287</v>
      </c>
      <c r="Q153" s="4">
        <f t="shared" ca="1" si="42"/>
        <v>2.8044101641141239E-2</v>
      </c>
      <c r="R153" s="2">
        <f t="shared" ca="1" si="43"/>
        <v>4.0089957307947012E-3</v>
      </c>
      <c r="S153" s="4">
        <f t="shared" si="44"/>
        <v>1.2583329999999999</v>
      </c>
      <c r="T153">
        <v>1.1605416141950511</v>
      </c>
      <c r="U153">
        <f t="shared" si="45"/>
        <v>9.7791385804948838E-2</v>
      </c>
      <c r="V153" s="2">
        <f t="shared" si="46"/>
        <v>7.7715029173477002E-2</v>
      </c>
      <c r="W153">
        <f>(T153+5/3)/(1/12)</f>
        <v>33.926499370340615</v>
      </c>
      <c r="X153" s="2">
        <f t="shared" si="47"/>
        <v>3.3433066372062295E-2</v>
      </c>
    </row>
    <row r="154" spans="5:24" x14ac:dyDescent="0.25">
      <c r="E154">
        <v>152</v>
      </c>
      <c r="F154">
        <f t="shared" si="32"/>
        <v>35.200000000000003</v>
      </c>
      <c r="G154">
        <f t="shared" si="33"/>
        <v>308.34999999999997</v>
      </c>
      <c r="H154" s="4">
        <f t="shared" si="34"/>
        <v>1.266667</v>
      </c>
      <c r="I154" s="4">
        <f t="shared" si="35"/>
        <v>6481.0694960000001</v>
      </c>
      <c r="J154" s="4">
        <f t="shared" si="36"/>
        <v>6.5010694960000004</v>
      </c>
      <c r="K154" s="4">
        <f t="shared" si="37"/>
        <v>1907.7008000000001</v>
      </c>
      <c r="L154">
        <f t="shared" si="38"/>
        <v>1.9077008000000002</v>
      </c>
      <c r="M154">
        <f>$B$12*F154+$B$13</f>
        <v>1.8943352292376141</v>
      </c>
      <c r="N154">
        <f t="shared" si="39"/>
        <v>1.3365570762386092E-2</v>
      </c>
      <c r="O154" s="4">
        <f t="shared" ca="1" si="40"/>
        <v>6.9580668629737614</v>
      </c>
      <c r="P154" s="4">
        <f t="shared" si="41"/>
        <v>6.9866342325645334</v>
      </c>
      <c r="Q154" s="4">
        <f t="shared" ca="1" si="42"/>
        <v>2.8567369590771996E-2</v>
      </c>
      <c r="R154" s="2">
        <f t="shared" ca="1" si="43"/>
        <v>4.0888600490376573E-3</v>
      </c>
      <c r="S154" s="4">
        <f t="shared" si="44"/>
        <v>1.266667</v>
      </c>
      <c r="T154">
        <v>1.1685419635148073</v>
      </c>
      <c r="U154">
        <f t="shared" si="45"/>
        <v>9.8125036485192663E-2</v>
      </c>
      <c r="V154" s="2">
        <f t="shared" si="46"/>
        <v>7.7467113681174815E-2</v>
      </c>
      <c r="W154">
        <f>(T154+5/3)/(1/12)</f>
        <v>34.02250356217769</v>
      </c>
      <c r="X154" s="2">
        <f t="shared" si="47"/>
        <v>3.3451603347224801E-2</v>
      </c>
    </row>
    <row r="155" spans="5:24" x14ac:dyDescent="0.25">
      <c r="E155">
        <v>153</v>
      </c>
      <c r="F155">
        <f t="shared" si="32"/>
        <v>35.299999999999997</v>
      </c>
      <c r="G155">
        <f t="shared" si="33"/>
        <v>308.45</v>
      </c>
      <c r="H155" s="4">
        <f t="shared" si="34"/>
        <v>1.2749999999999999</v>
      </c>
      <c r="I155" s="4">
        <f t="shared" si="35"/>
        <v>6454.3703919999998</v>
      </c>
      <c r="J155" s="4">
        <f t="shared" si="36"/>
        <v>6.474370392</v>
      </c>
      <c r="K155" s="4">
        <f t="shared" si="37"/>
        <v>1905.395064</v>
      </c>
      <c r="L155">
        <f t="shared" si="38"/>
        <v>1.9053950640000001</v>
      </c>
      <c r="M155">
        <f>$B$12*F155+$B$13</f>
        <v>1.89198739041472</v>
      </c>
      <c r="N155">
        <f t="shared" si="39"/>
        <v>1.3407673585280167E-2</v>
      </c>
      <c r="O155" s="4">
        <f t="shared" ca="1" si="40"/>
        <v>6.9504491370262382</v>
      </c>
      <c r="P155" s="4">
        <f t="shared" si="41"/>
        <v>6.9779749990564399</v>
      </c>
      <c r="Q155" s="4">
        <f t="shared" ca="1" si="42"/>
        <v>2.7525862030201687E-2</v>
      </c>
      <c r="R155" s="2">
        <f t="shared" ca="1" si="43"/>
        <v>3.9446776513134153E-3</v>
      </c>
      <c r="S155" s="4">
        <f t="shared" si="44"/>
        <v>1.2749999999999999</v>
      </c>
      <c r="T155">
        <v>1.1774027814080497</v>
      </c>
      <c r="U155">
        <f t="shared" si="45"/>
        <v>9.7597218591950252E-2</v>
      </c>
      <c r="V155" s="2">
        <f t="shared" si="46"/>
        <v>7.6546838111333532E-2</v>
      </c>
      <c r="W155">
        <f>(T155+5/3)/(1/12)</f>
        <v>34.128833376896594</v>
      </c>
      <c r="X155" s="2">
        <f t="shared" si="47"/>
        <v>3.3177524733807452E-2</v>
      </c>
    </row>
    <row r="156" spans="5:24" x14ac:dyDescent="0.25">
      <c r="E156">
        <v>154</v>
      </c>
      <c r="F156">
        <f t="shared" si="32"/>
        <v>35.4</v>
      </c>
      <c r="G156">
        <f t="shared" si="33"/>
        <v>308.54999999999995</v>
      </c>
      <c r="H156" s="4">
        <f t="shared" si="34"/>
        <v>1.2833330000000001</v>
      </c>
      <c r="I156" s="4">
        <f t="shared" si="35"/>
        <v>6427.7963220000001</v>
      </c>
      <c r="J156" s="4">
        <f t="shared" si="36"/>
        <v>6.4477963220000003</v>
      </c>
      <c r="K156" s="4">
        <f t="shared" si="37"/>
        <v>1903.086761</v>
      </c>
      <c r="L156">
        <f t="shared" si="38"/>
        <v>1.903086761</v>
      </c>
      <c r="M156">
        <f>$B$12*F156+$B$13</f>
        <v>1.8896395515918256</v>
      </c>
      <c r="N156">
        <f t="shared" si="39"/>
        <v>1.3447209408174343E-2</v>
      </c>
      <c r="O156" s="4">
        <f t="shared" ca="1" si="40"/>
        <v>6.9412476355685131</v>
      </c>
      <c r="P156" s="4">
        <f t="shared" si="41"/>
        <v>6.9693157655483455</v>
      </c>
      <c r="Q156" s="4">
        <f t="shared" ca="1" si="42"/>
        <v>2.8068129979832435E-2</v>
      </c>
      <c r="R156" s="2">
        <f t="shared" ca="1" si="43"/>
        <v>4.0273867513052819E-3</v>
      </c>
      <c r="S156" s="4">
        <f t="shared" si="44"/>
        <v>1.2833330000000001</v>
      </c>
      <c r="T156">
        <v>1.1862881511451235</v>
      </c>
      <c r="U156">
        <f t="shared" si="45"/>
        <v>9.704484885487652E-2</v>
      </c>
      <c r="V156" s="2">
        <f t="shared" si="46"/>
        <v>7.5619382385457651E-2</v>
      </c>
      <c r="W156">
        <f>(T156+5/3)/(1/12)</f>
        <v>34.235457813741483</v>
      </c>
      <c r="X156" s="2">
        <f t="shared" si="47"/>
        <v>3.2896671928206646E-2</v>
      </c>
    </row>
    <row r="157" spans="5:24" x14ac:dyDescent="0.25">
      <c r="E157">
        <v>155</v>
      </c>
      <c r="F157">
        <f t="shared" si="32"/>
        <v>35.5</v>
      </c>
      <c r="G157">
        <f t="shared" si="33"/>
        <v>308.64999999999998</v>
      </c>
      <c r="H157" s="4">
        <f t="shared" si="34"/>
        <v>1.2916669999999999</v>
      </c>
      <c r="I157" s="4">
        <f t="shared" si="35"/>
        <v>6401.3466369999996</v>
      </c>
      <c r="J157" s="4">
        <f t="shared" si="36"/>
        <v>6.4213466370000001</v>
      </c>
      <c r="K157" s="4">
        <f t="shared" si="37"/>
        <v>1900.7759060000001</v>
      </c>
      <c r="L157">
        <f t="shared" si="38"/>
        <v>1.900775906</v>
      </c>
      <c r="M157">
        <f>$B$12*F157+$B$13</f>
        <v>1.8872917127689313</v>
      </c>
      <c r="N157">
        <f t="shared" si="39"/>
        <v>1.3484193231068753E-2</v>
      </c>
      <c r="O157" s="4">
        <f t="shared" ca="1" si="40"/>
        <v>6.9332039999999999</v>
      </c>
      <c r="P157" s="4">
        <f t="shared" si="41"/>
        <v>6.9606565320402511</v>
      </c>
      <c r="Q157" s="4">
        <f t="shared" ca="1" si="42"/>
        <v>2.7452532040251221E-2</v>
      </c>
      <c r="R157" s="2">
        <f t="shared" ca="1" si="43"/>
        <v>3.9439572853344849E-3</v>
      </c>
      <c r="S157" s="4">
        <f t="shared" si="44"/>
        <v>1.2916669999999999</v>
      </c>
      <c r="T157">
        <v>1.194366278119519</v>
      </c>
      <c r="U157">
        <f t="shared" si="45"/>
        <v>9.7300721880480889E-2</v>
      </c>
      <c r="V157" s="2">
        <f t="shared" si="46"/>
        <v>7.5329571693386069E-2</v>
      </c>
      <c r="W157">
        <f>(T157+5/3)/(1/12)</f>
        <v>34.332395337434235</v>
      </c>
      <c r="X157" s="2">
        <f t="shared" si="47"/>
        <v>3.2890272184951122E-2</v>
      </c>
    </row>
    <row r="158" spans="5:24" x14ac:dyDescent="0.25">
      <c r="E158">
        <v>156</v>
      </c>
      <c r="F158">
        <f t="shared" si="32"/>
        <v>35.6</v>
      </c>
      <c r="G158">
        <f t="shared" si="33"/>
        <v>308.75</v>
      </c>
      <c r="H158" s="4">
        <f t="shared" si="34"/>
        <v>1.3</v>
      </c>
      <c r="I158" s="4">
        <f t="shared" si="35"/>
        <v>6375.0206870000002</v>
      </c>
      <c r="J158" s="4">
        <f t="shared" si="36"/>
        <v>6.3950206870000006</v>
      </c>
      <c r="K158" s="4">
        <f t="shared" si="37"/>
        <v>1898.4625160000001</v>
      </c>
      <c r="L158">
        <f t="shared" si="38"/>
        <v>1.8984625160000002</v>
      </c>
      <c r="M158">
        <f>$B$12*F158+$B$13</f>
        <v>1.8849438739460369</v>
      </c>
      <c r="N158">
        <f t="shared" si="39"/>
        <v>1.3518642053963248E-2</v>
      </c>
      <c r="O158" s="4">
        <f t="shared" ca="1" si="40"/>
        <v>6.9251513644314873</v>
      </c>
      <c r="P158" s="4">
        <f t="shared" si="41"/>
        <v>6.9519972985321576</v>
      </c>
      <c r="Q158" s="4">
        <f t="shared" ca="1" si="42"/>
        <v>2.6845934100670377E-2</v>
      </c>
      <c r="R158" s="2">
        <f t="shared" ca="1" si="43"/>
        <v>3.8616145760497662E-3</v>
      </c>
      <c r="S158" s="4">
        <f t="shared" si="44"/>
        <v>1.3</v>
      </c>
      <c r="T158">
        <v>1.2033015661108566</v>
      </c>
      <c r="U158">
        <f t="shared" si="45"/>
        <v>9.6698433889143454E-2</v>
      </c>
      <c r="V158" s="2">
        <f t="shared" si="46"/>
        <v>7.43834106839565E-2</v>
      </c>
      <c r="W158">
        <f>(T158+5/3)/(1/12)</f>
        <v>34.439618793330283</v>
      </c>
      <c r="X158" s="2">
        <f t="shared" si="47"/>
        <v>3.2594977715441537E-2</v>
      </c>
    </row>
    <row r="159" spans="5:24" x14ac:dyDescent="0.25">
      <c r="E159">
        <v>157</v>
      </c>
      <c r="F159">
        <f t="shared" si="32"/>
        <v>35.700000000000003</v>
      </c>
      <c r="G159">
        <f t="shared" si="33"/>
        <v>308.84999999999997</v>
      </c>
      <c r="H159" s="4">
        <f t="shared" si="34"/>
        <v>1.308333</v>
      </c>
      <c r="I159" s="4">
        <f t="shared" si="35"/>
        <v>6348.81783</v>
      </c>
      <c r="J159" s="4">
        <f t="shared" si="36"/>
        <v>6.3688178300000002</v>
      </c>
      <c r="K159" s="4">
        <f t="shared" si="37"/>
        <v>1896.1466049999999</v>
      </c>
      <c r="L159">
        <f t="shared" si="38"/>
        <v>1.896146605</v>
      </c>
      <c r="M159">
        <f>$B$12*F159+$B$13</f>
        <v>1.8825960351231426</v>
      </c>
      <c r="N159">
        <f t="shared" si="39"/>
        <v>1.3550569876857432E-2</v>
      </c>
      <c r="O159" s="4">
        <f t="shared" ca="1" si="40"/>
        <v>6.916704364431487</v>
      </c>
      <c r="P159" s="4">
        <f t="shared" si="41"/>
        <v>6.9433380650240633</v>
      </c>
      <c r="Q159" s="4">
        <f t="shared" ca="1" si="42"/>
        <v>2.6633700592576304E-2</v>
      </c>
      <c r="R159" s="2">
        <f t="shared" ca="1" si="43"/>
        <v>3.8358640099549869E-3</v>
      </c>
      <c r="S159" s="4">
        <f t="shared" si="44"/>
        <v>1.308333</v>
      </c>
      <c r="T159">
        <v>1.2114315351948444</v>
      </c>
      <c r="U159">
        <f t="shared" si="45"/>
        <v>9.6901464805155602E-2</v>
      </c>
      <c r="V159" s="2">
        <f t="shared" si="46"/>
        <v>7.4064832733834282E-2</v>
      </c>
      <c r="W159">
        <f>(T159+5/3)/(1/12)</f>
        <v>34.537178422338137</v>
      </c>
      <c r="X159" s="2">
        <f t="shared" si="47"/>
        <v>3.2572032987727338E-2</v>
      </c>
    </row>
    <row r="160" spans="5:24" x14ac:dyDescent="0.25">
      <c r="E160">
        <v>158</v>
      </c>
      <c r="F160">
        <f t="shared" si="32"/>
        <v>35.799999999999997</v>
      </c>
      <c r="G160">
        <f t="shared" si="33"/>
        <v>308.95</v>
      </c>
      <c r="H160" s="4">
        <f t="shared" si="34"/>
        <v>1.316667</v>
      </c>
      <c r="I160" s="4">
        <f t="shared" si="35"/>
        <v>6322.7374259999997</v>
      </c>
      <c r="J160" s="4">
        <f t="shared" si="36"/>
        <v>6.3427374260000002</v>
      </c>
      <c r="K160" s="4">
        <f t="shared" si="37"/>
        <v>1893.8281899999999</v>
      </c>
      <c r="L160">
        <f t="shared" si="38"/>
        <v>1.89382819</v>
      </c>
      <c r="M160">
        <f>$B$12*F160+$B$13</f>
        <v>1.8802481963002484</v>
      </c>
      <c r="N160">
        <f t="shared" si="39"/>
        <v>1.3579993699751602E-2</v>
      </c>
      <c r="O160" s="4">
        <f t="shared" ca="1" si="40"/>
        <v>6.9078512274052484</v>
      </c>
      <c r="P160" s="4">
        <f t="shared" si="41"/>
        <v>6.9346788315159698</v>
      </c>
      <c r="Q160" s="4">
        <f t="shared" ca="1" si="42"/>
        <v>2.6827604110721381E-2</v>
      </c>
      <c r="R160" s="2">
        <f t="shared" ca="1" si="43"/>
        <v>3.8686152253797567E-3</v>
      </c>
      <c r="S160" s="4">
        <f t="shared" si="44"/>
        <v>1.316667</v>
      </c>
      <c r="T160">
        <v>1.2204164520721725</v>
      </c>
      <c r="U160">
        <f t="shared" si="45"/>
        <v>9.6250547927827501E-2</v>
      </c>
      <c r="V160" s="2">
        <f t="shared" si="46"/>
        <v>7.3101663463751659E-2</v>
      </c>
      <c r="W160">
        <f>(T160+5/3)/(1/12)</f>
        <v>34.644997424866077</v>
      </c>
      <c r="X160" s="2">
        <f t="shared" si="47"/>
        <v>3.2262641763517334E-2</v>
      </c>
    </row>
    <row r="161" spans="5:24" x14ac:dyDescent="0.25">
      <c r="E161">
        <v>159</v>
      </c>
      <c r="F161">
        <f t="shared" si="32"/>
        <v>35.9</v>
      </c>
      <c r="G161">
        <f t="shared" si="33"/>
        <v>309.04999999999995</v>
      </c>
      <c r="H161" s="4">
        <f t="shared" si="34"/>
        <v>1.325</v>
      </c>
      <c r="I161" s="4">
        <f t="shared" si="35"/>
        <v>6296.7788369999998</v>
      </c>
      <c r="J161" s="4">
        <f t="shared" si="36"/>
        <v>6.3167788370000002</v>
      </c>
      <c r="K161" s="4">
        <f t="shared" si="37"/>
        <v>1891.5072849999999</v>
      </c>
      <c r="L161">
        <f t="shared" si="38"/>
        <v>1.8915072849999999</v>
      </c>
      <c r="M161">
        <f>$B$12*F161+$B$13</f>
        <v>1.8779003574773538</v>
      </c>
      <c r="N161">
        <f t="shared" si="39"/>
        <v>1.3606927522646028E-2</v>
      </c>
      <c r="O161" s="4">
        <f t="shared" ca="1" si="40"/>
        <v>6.899010635568513</v>
      </c>
      <c r="P161" s="4">
        <f t="shared" si="41"/>
        <v>6.9260195980078745</v>
      </c>
      <c r="Q161" s="4">
        <f t="shared" ca="1" si="42"/>
        <v>2.7008962439361461E-2</v>
      </c>
      <c r="R161" s="2">
        <f t="shared" ca="1" si="43"/>
        <v>3.8996370219815763E-3</v>
      </c>
      <c r="S161" s="4">
        <f t="shared" si="44"/>
        <v>1.325</v>
      </c>
      <c r="T161">
        <v>1.2285979759924559</v>
      </c>
      <c r="U161">
        <f t="shared" si="45"/>
        <v>9.6402024007544052E-2</v>
      </c>
      <c r="V161" s="2">
        <f t="shared" si="46"/>
        <v>7.2756244533995512E-2</v>
      </c>
      <c r="W161">
        <f>(T161+5/3)/(1/12)</f>
        <v>34.743175711909473</v>
      </c>
      <c r="X161" s="2">
        <f t="shared" si="47"/>
        <v>3.222351777410936E-2</v>
      </c>
    </row>
    <row r="162" spans="5:24" x14ac:dyDescent="0.25">
      <c r="E162">
        <v>160</v>
      </c>
      <c r="F162">
        <f t="shared" si="32"/>
        <v>36</v>
      </c>
      <c r="G162">
        <f t="shared" si="33"/>
        <v>309.14999999999998</v>
      </c>
      <c r="H162" s="4">
        <f t="shared" si="34"/>
        <v>1.3333330000000001</v>
      </c>
      <c r="I162" s="4">
        <f t="shared" si="35"/>
        <v>6270.9414310000002</v>
      </c>
      <c r="J162" s="4">
        <f t="shared" si="36"/>
        <v>6.2909414310000003</v>
      </c>
      <c r="K162" s="4">
        <f t="shared" si="37"/>
        <v>1889.1839070000001</v>
      </c>
      <c r="L162">
        <f t="shared" si="38"/>
        <v>1.8891839070000001</v>
      </c>
      <c r="M162">
        <f>$B$12*F162+$B$13</f>
        <v>1.8755525186544595</v>
      </c>
      <c r="N162">
        <f t="shared" si="39"/>
        <v>1.3631388345540563E-2</v>
      </c>
      <c r="O162" s="4">
        <f t="shared" ca="1" si="40"/>
        <v>6.8917035014577257</v>
      </c>
      <c r="P162" s="4">
        <f t="shared" si="41"/>
        <v>6.9173603644997801</v>
      </c>
      <c r="Q162" s="4">
        <f t="shared" ca="1" si="42"/>
        <v>2.565686304205439E-2</v>
      </c>
      <c r="R162" s="2">
        <f t="shared" ca="1" si="43"/>
        <v>3.7090539873745223E-3</v>
      </c>
      <c r="S162" s="4">
        <f t="shared" si="44"/>
        <v>1.3333330000000001</v>
      </c>
      <c r="T162">
        <v>1.2376322285757886</v>
      </c>
      <c r="U162">
        <f t="shared" si="45"/>
        <v>9.5700771424211517E-2</v>
      </c>
      <c r="V162" s="2">
        <f t="shared" si="46"/>
        <v>7.1775596512057754E-2</v>
      </c>
      <c r="W162">
        <f>(T162+5/3)/(1/12)</f>
        <v>34.851586742909461</v>
      </c>
      <c r="X162" s="2">
        <f t="shared" si="47"/>
        <v>3.1900368252514966E-2</v>
      </c>
    </row>
    <row r="163" spans="5:24" x14ac:dyDescent="0.25">
      <c r="E163">
        <v>161</v>
      </c>
      <c r="F163">
        <f t="shared" si="32"/>
        <v>36.1</v>
      </c>
      <c r="G163">
        <f t="shared" si="33"/>
        <v>309.25</v>
      </c>
      <c r="H163" s="4">
        <f t="shared" si="34"/>
        <v>1.3416669999999999</v>
      </c>
      <c r="I163" s="4">
        <f t="shared" si="35"/>
        <v>6245.2245780000003</v>
      </c>
      <c r="J163" s="4">
        <f t="shared" si="36"/>
        <v>6.2652245780000007</v>
      </c>
      <c r="K163" s="4">
        <f t="shared" si="37"/>
        <v>1886.858072</v>
      </c>
      <c r="L163">
        <f t="shared" si="38"/>
        <v>1.8868580720000001</v>
      </c>
      <c r="M163">
        <f>$B$12*F163+$B$13</f>
        <v>1.8732046798315651</v>
      </c>
      <c r="N163">
        <f t="shared" si="39"/>
        <v>1.3653392168434975E-2</v>
      </c>
      <c r="O163" s="4">
        <f t="shared" ca="1" si="40"/>
        <v>6.8824379999999996</v>
      </c>
      <c r="P163" s="4">
        <f t="shared" si="41"/>
        <v>6.9087011309916866</v>
      </c>
      <c r="Q163" s="4">
        <f t="shared" ca="1" si="42"/>
        <v>2.6263130991686978E-2</v>
      </c>
      <c r="R163" s="2">
        <f t="shared" ca="1" si="43"/>
        <v>3.8014571036910846E-3</v>
      </c>
      <c r="S163" s="4">
        <f t="shared" si="44"/>
        <v>1.3416669999999999</v>
      </c>
      <c r="T163">
        <v>1.2458650165092511</v>
      </c>
      <c r="U163">
        <f t="shared" si="45"/>
        <v>9.5801983490748865E-2</v>
      </c>
      <c r="V163" s="2">
        <f t="shared" si="46"/>
        <v>7.140518734585323E-2</v>
      </c>
      <c r="W163">
        <f>(T163+5/3)/(1/12)</f>
        <v>34.95038019811102</v>
      </c>
      <c r="X163" s="2">
        <f t="shared" si="47"/>
        <v>3.1845423875041037E-2</v>
      </c>
    </row>
    <row r="164" spans="5:24" x14ac:dyDescent="0.25">
      <c r="E164">
        <v>162</v>
      </c>
      <c r="F164">
        <f t="shared" si="32"/>
        <v>36.200000000000003</v>
      </c>
      <c r="G164">
        <f t="shared" si="33"/>
        <v>309.34999999999997</v>
      </c>
      <c r="H164" s="4">
        <f t="shared" si="34"/>
        <v>1.35</v>
      </c>
      <c r="I164" s="4">
        <f t="shared" si="35"/>
        <v>6219.6276529999996</v>
      </c>
      <c r="J164" s="4">
        <f t="shared" si="36"/>
        <v>6.2396276529999994</v>
      </c>
      <c r="K164" s="4">
        <f t="shared" si="37"/>
        <v>1884.529794</v>
      </c>
      <c r="L164">
        <f t="shared" si="38"/>
        <v>1.8845297940000001</v>
      </c>
      <c r="M164">
        <f>$B$12*F164+$B$13</f>
        <v>1.8708568410086708</v>
      </c>
      <c r="N164">
        <f t="shared" si="39"/>
        <v>1.3672952991329312E-2</v>
      </c>
      <c r="O164" s="4">
        <f t="shared" ca="1" si="40"/>
        <v>6.8747265014577259</v>
      </c>
      <c r="P164" s="4">
        <f t="shared" si="41"/>
        <v>6.9000418974835922</v>
      </c>
      <c r="Q164" s="4">
        <f t="shared" ca="1" si="42"/>
        <v>2.5315396025866299E-2</v>
      </c>
      <c r="R164" s="2">
        <f t="shared" ca="1" si="43"/>
        <v>3.6688756969865191E-3</v>
      </c>
      <c r="S164" s="4">
        <f t="shared" si="44"/>
        <v>1.35</v>
      </c>
      <c r="T164">
        <v>1.254948308359771</v>
      </c>
      <c r="U164">
        <f t="shared" si="45"/>
        <v>9.5051691640229086E-2</v>
      </c>
      <c r="V164" s="2">
        <f t="shared" si="46"/>
        <v>7.0408660474243767E-2</v>
      </c>
      <c r="W164">
        <f>(T164+5/3)/(1/12)</f>
        <v>35.059379700317258</v>
      </c>
      <c r="X164" s="2">
        <f t="shared" si="47"/>
        <v>3.1508848057534379E-2</v>
      </c>
    </row>
    <row r="165" spans="5:24" x14ac:dyDescent="0.25">
      <c r="E165">
        <v>163</v>
      </c>
      <c r="F165">
        <f t="shared" si="32"/>
        <v>36.299999999999997</v>
      </c>
      <c r="G165">
        <f t="shared" si="33"/>
        <v>309.45</v>
      </c>
      <c r="H165" s="4">
        <f t="shared" si="34"/>
        <v>1.358333</v>
      </c>
      <c r="I165" s="4">
        <f t="shared" si="35"/>
        <v>6194.1500340000002</v>
      </c>
      <c r="J165" s="4">
        <f t="shared" si="36"/>
        <v>6.2141500340000002</v>
      </c>
      <c r="K165" s="4">
        <f t="shared" si="37"/>
        <v>1882.199091</v>
      </c>
      <c r="L165">
        <f t="shared" si="38"/>
        <v>1.8821990909999999</v>
      </c>
      <c r="M165">
        <f>$B$12*F165+$B$13</f>
        <v>1.8685090021857764</v>
      </c>
      <c r="N165">
        <f t="shared" si="39"/>
        <v>1.3690088814223511E-2</v>
      </c>
      <c r="O165" s="4">
        <f t="shared" ca="1" si="40"/>
        <v>6.8654332274052488</v>
      </c>
      <c r="P165" s="4">
        <f t="shared" si="41"/>
        <v>6.8913826639754978</v>
      </c>
      <c r="Q165" s="4">
        <f t="shared" ca="1" si="42"/>
        <v>2.5949436570249063E-2</v>
      </c>
      <c r="R165" s="2">
        <f t="shared" ca="1" si="43"/>
        <v>3.7654905895588976E-3</v>
      </c>
      <c r="S165" s="4">
        <f t="shared" si="44"/>
        <v>1.358333</v>
      </c>
      <c r="T165">
        <v>1.2632320658461689</v>
      </c>
      <c r="U165">
        <f t="shared" si="45"/>
        <v>9.510093415383114E-2</v>
      </c>
      <c r="V165" s="2">
        <f t="shared" si="46"/>
        <v>7.0012974840360315E-2</v>
      </c>
      <c r="W165">
        <f>(T165+5/3)/(1/12)</f>
        <v>35.15878479015403</v>
      </c>
      <c r="X165" s="2">
        <f t="shared" si="47"/>
        <v>3.1438435532946757E-2</v>
      </c>
    </row>
    <row r="166" spans="5:24" x14ac:dyDescent="0.25">
      <c r="E166">
        <v>164</v>
      </c>
      <c r="F166">
        <f t="shared" si="32"/>
        <v>36.400000000000006</v>
      </c>
      <c r="G166">
        <f t="shared" si="33"/>
        <v>309.54999999999995</v>
      </c>
      <c r="H166" s="4">
        <f t="shared" si="34"/>
        <v>1.3666670000000001</v>
      </c>
      <c r="I166" s="4">
        <f t="shared" si="35"/>
        <v>6168.7911020000001</v>
      </c>
      <c r="J166" s="4">
        <f t="shared" si="36"/>
        <v>6.1887911020000006</v>
      </c>
      <c r="K166" s="4">
        <f t="shared" si="37"/>
        <v>1879.865978</v>
      </c>
      <c r="L166">
        <f t="shared" si="38"/>
        <v>1.879865978</v>
      </c>
      <c r="M166">
        <f>$B$12*F166+$B$13</f>
        <v>1.8661611633628821</v>
      </c>
      <c r="N166">
        <f t="shared" si="39"/>
        <v>1.3704814637117924E-2</v>
      </c>
      <c r="O166" s="4">
        <f t="shared" ca="1" si="40"/>
        <v>6.8565486355685126</v>
      </c>
      <c r="P166" s="4">
        <f t="shared" si="41"/>
        <v>6.8827234304674034</v>
      </c>
      <c r="Q166" s="4">
        <f t="shared" ca="1" si="42"/>
        <v>2.6174794898890852E-2</v>
      </c>
      <c r="R166" s="2">
        <f t="shared" ca="1" si="43"/>
        <v>3.8029706065224431E-3</v>
      </c>
      <c r="S166" s="4">
        <f t="shared" si="44"/>
        <v>1.3666670000000001</v>
      </c>
      <c r="T166">
        <v>1.2723640959277791</v>
      </c>
      <c r="U166">
        <f t="shared" si="45"/>
        <v>9.4302904072220972E-2</v>
      </c>
      <c r="V166" s="2">
        <f t="shared" si="46"/>
        <v>6.9002108101110932E-2</v>
      </c>
      <c r="W166">
        <f>(T166+5/3)/(1/12)</f>
        <v>35.268369151133356</v>
      </c>
      <c r="X166" s="2">
        <f t="shared" si="47"/>
        <v>3.1088759584248601E-2</v>
      </c>
    </row>
    <row r="167" spans="5:24" x14ac:dyDescent="0.25">
      <c r="E167">
        <v>165</v>
      </c>
      <c r="F167">
        <f t="shared" si="32"/>
        <v>36.5</v>
      </c>
      <c r="G167">
        <f t="shared" si="33"/>
        <v>309.64999999999998</v>
      </c>
      <c r="H167" s="4">
        <f t="shared" si="34"/>
        <v>1.375</v>
      </c>
      <c r="I167" s="4">
        <f t="shared" si="35"/>
        <v>6143.5502409999999</v>
      </c>
      <c r="J167" s="4">
        <f t="shared" si="36"/>
        <v>6.1635502410000003</v>
      </c>
      <c r="K167" s="4">
        <f t="shared" si="37"/>
        <v>1877.5304699999999</v>
      </c>
      <c r="L167">
        <f t="shared" si="38"/>
        <v>1.87753047</v>
      </c>
      <c r="M167">
        <f>$B$12*F167+$B$13</f>
        <v>1.8638133245399877</v>
      </c>
      <c r="N167">
        <f t="shared" si="39"/>
        <v>1.3717145460012237E-2</v>
      </c>
      <c r="O167" s="4">
        <f t="shared" ca="1" si="40"/>
        <v>6.8480188629737615</v>
      </c>
      <c r="P167" s="4">
        <f t="shared" si="41"/>
        <v>6.874064196959309</v>
      </c>
      <c r="Q167" s="4">
        <f t="shared" ca="1" si="42"/>
        <v>2.6045333985547536E-2</v>
      </c>
      <c r="R167" s="2">
        <f t="shared" ca="1" si="43"/>
        <v>3.7889279528504397E-3</v>
      </c>
      <c r="S167" s="4">
        <f t="shared" si="44"/>
        <v>1.375</v>
      </c>
      <c r="T167">
        <v>1.2806985250152543</v>
      </c>
      <c r="U167">
        <f t="shared" si="45"/>
        <v>9.4301474984745726E-2</v>
      </c>
      <c r="V167" s="2">
        <f t="shared" si="46"/>
        <v>6.8582890897996893E-2</v>
      </c>
      <c r="W167">
        <f>(T167+5/3)/(1/12)</f>
        <v>35.368382300183058</v>
      </c>
      <c r="X167" s="2">
        <f t="shared" si="47"/>
        <v>3.1003224652518972E-2</v>
      </c>
    </row>
    <row r="168" spans="5:24" x14ac:dyDescent="0.25">
      <c r="E168">
        <v>166</v>
      </c>
      <c r="F168">
        <f t="shared" si="32"/>
        <v>36.6</v>
      </c>
      <c r="G168">
        <f t="shared" si="33"/>
        <v>309.75</v>
      </c>
      <c r="H168" s="4">
        <f t="shared" si="34"/>
        <v>1.3833329999999999</v>
      </c>
      <c r="I168" s="4">
        <f t="shared" si="35"/>
        <v>6118.4268410000004</v>
      </c>
      <c r="J168" s="4">
        <f t="shared" si="36"/>
        <v>6.1384268410000002</v>
      </c>
      <c r="K168" s="4">
        <f t="shared" si="37"/>
        <v>1875.1925839999999</v>
      </c>
      <c r="L168">
        <f t="shared" si="38"/>
        <v>1.8751925839999999</v>
      </c>
      <c r="M168">
        <f>$B$12*F168+$B$13</f>
        <v>1.8614654857170936</v>
      </c>
      <c r="N168">
        <f t="shared" si="39"/>
        <v>1.3727098282906303E-2</v>
      </c>
      <c r="O168" s="4">
        <f t="shared" ca="1" si="40"/>
        <v>6.8394908629737614</v>
      </c>
      <c r="P168" s="4">
        <f t="shared" si="41"/>
        <v>6.8654049634512155</v>
      </c>
      <c r="Q168" s="4">
        <f t="shared" ca="1" si="42"/>
        <v>2.5914100477454127E-2</v>
      </c>
      <c r="R168" s="2">
        <f t="shared" ca="1" si="43"/>
        <v>3.7745916832890216E-3</v>
      </c>
      <c r="S168" s="4">
        <f t="shared" si="44"/>
        <v>1.3833329999999999</v>
      </c>
      <c r="T168">
        <v>1.2890586994124942</v>
      </c>
      <c r="U168">
        <f t="shared" si="45"/>
        <v>9.4274300587505744E-2</v>
      </c>
      <c r="V168" s="2">
        <f t="shared" si="46"/>
        <v>6.8150113231959158E-2</v>
      </c>
      <c r="W168">
        <f>(T168+5/3)/(1/12)</f>
        <v>35.468704392949931</v>
      </c>
      <c r="X168" s="2">
        <f t="shared" si="47"/>
        <v>3.0909716039619409E-2</v>
      </c>
    </row>
    <row r="169" spans="5:24" x14ac:dyDescent="0.25">
      <c r="E169">
        <v>167</v>
      </c>
      <c r="F169">
        <f t="shared" si="32"/>
        <v>36.700000000000003</v>
      </c>
      <c r="G169">
        <f t="shared" si="33"/>
        <v>309.84999999999997</v>
      </c>
      <c r="H169" s="4">
        <f t="shared" si="34"/>
        <v>1.391667</v>
      </c>
      <c r="I169" s="4">
        <f t="shared" si="35"/>
        <v>6093.4202930000001</v>
      </c>
      <c r="J169" s="4">
        <f t="shared" si="36"/>
        <v>6.1134202929999999</v>
      </c>
      <c r="K169" s="4">
        <f t="shared" si="37"/>
        <v>1872.852337</v>
      </c>
      <c r="L169">
        <f t="shared" si="38"/>
        <v>1.8728523370000001</v>
      </c>
      <c r="M169">
        <f>$B$12*F169+$B$13</f>
        <v>1.859117646894199</v>
      </c>
      <c r="N169">
        <f t="shared" si="39"/>
        <v>1.3734690105801084E-2</v>
      </c>
      <c r="O169" s="4">
        <f t="shared" ca="1" si="40"/>
        <v>6.8317471370262384</v>
      </c>
      <c r="P169" s="4">
        <f t="shared" si="41"/>
        <v>6.8567457299431211</v>
      </c>
      <c r="Q169" s="4">
        <f t="shared" ca="1" si="42"/>
        <v>2.4998592916882778E-2</v>
      </c>
      <c r="R169" s="2">
        <f t="shared" ca="1" si="43"/>
        <v>3.6458392802455795E-3</v>
      </c>
      <c r="S169" s="4">
        <f t="shared" si="44"/>
        <v>1.391667</v>
      </c>
      <c r="T169">
        <v>1.2982637888308843</v>
      </c>
      <c r="U169">
        <f t="shared" si="45"/>
        <v>9.3403211169115652E-2</v>
      </c>
      <c r="V169" s="2">
        <f t="shared" si="46"/>
        <v>6.7116063806295367E-2</v>
      </c>
      <c r="W169">
        <f>(T169+5/3)/(1/12)</f>
        <v>35.579165465970618</v>
      </c>
      <c r="X169" s="2">
        <f t="shared" si="47"/>
        <v>3.0540450518511838E-2</v>
      </c>
    </row>
    <row r="170" spans="5:24" x14ac:dyDescent="0.25">
      <c r="E170">
        <v>168</v>
      </c>
      <c r="F170">
        <f t="shared" si="32"/>
        <v>36.799999999999997</v>
      </c>
      <c r="G170">
        <f t="shared" si="33"/>
        <v>309.95</v>
      </c>
      <c r="H170" s="4">
        <f t="shared" si="34"/>
        <v>1.4</v>
      </c>
      <c r="I170" s="4">
        <f t="shared" si="35"/>
        <v>6068.5299919999998</v>
      </c>
      <c r="J170" s="4">
        <f t="shared" si="36"/>
        <v>6.0885299919999998</v>
      </c>
      <c r="K170" s="4">
        <f t="shared" si="37"/>
        <v>1870.5097430000001</v>
      </c>
      <c r="L170">
        <f t="shared" si="38"/>
        <v>1.8705097430000002</v>
      </c>
      <c r="M170">
        <f>$B$12*F170+$B$13</f>
        <v>1.8567698080713049</v>
      </c>
      <c r="N170">
        <f t="shared" si="39"/>
        <v>1.3739934928695297E-2</v>
      </c>
      <c r="O170" s="4">
        <f t="shared" ca="1" si="40"/>
        <v>6.8224206355685126</v>
      </c>
      <c r="P170" s="4">
        <f t="shared" si="41"/>
        <v>6.8480864964350276</v>
      </c>
      <c r="Q170" s="4">
        <f t="shared" ca="1" si="42"/>
        <v>2.5665860866515011E-2</v>
      </c>
      <c r="R170" s="2">
        <f t="shared" ca="1" si="43"/>
        <v>3.7478879508715504E-3</v>
      </c>
      <c r="S170" s="4">
        <f t="shared" si="44"/>
        <v>1.4</v>
      </c>
      <c r="T170">
        <v>1.306674181791097</v>
      </c>
      <c r="U170">
        <f t="shared" si="45"/>
        <v>9.3325818208902955E-2</v>
      </c>
      <c r="V170" s="2">
        <f t="shared" si="46"/>
        <v>6.6661298720644968E-2</v>
      </c>
      <c r="W170">
        <f>(T170+5/3)/(1/12)</f>
        <v>35.680090181493171</v>
      </c>
      <c r="X170" s="2">
        <f t="shared" si="47"/>
        <v>3.0432332024642027E-2</v>
      </c>
    </row>
    <row r="171" spans="5:24" x14ac:dyDescent="0.25">
      <c r="E171">
        <v>169</v>
      </c>
      <c r="F171">
        <f t="shared" si="32"/>
        <v>36.900000000000006</v>
      </c>
      <c r="G171">
        <f t="shared" si="33"/>
        <v>310.04999999999995</v>
      </c>
      <c r="H171" s="4">
        <f t="shared" si="34"/>
        <v>1.4083330000000001</v>
      </c>
      <c r="I171" s="4">
        <f t="shared" si="35"/>
        <v>6043.7553369999996</v>
      </c>
      <c r="J171" s="4">
        <f t="shared" si="36"/>
        <v>6.0637553369999999</v>
      </c>
      <c r="K171" s="4">
        <f t="shared" si="37"/>
        <v>1868.16482</v>
      </c>
      <c r="L171">
        <f t="shared" si="38"/>
        <v>1.8681648200000001</v>
      </c>
      <c r="M171">
        <f>$B$12*F171+$B$13</f>
        <v>1.8544219692484103</v>
      </c>
      <c r="N171">
        <f t="shared" si="39"/>
        <v>1.3742850751589764E-2</v>
      </c>
      <c r="O171" s="4">
        <f t="shared" ca="1" si="40"/>
        <v>6.813471498542274</v>
      </c>
      <c r="P171" s="4">
        <f t="shared" si="41"/>
        <v>6.8394272629269324</v>
      </c>
      <c r="Q171" s="4">
        <f t="shared" ca="1" si="42"/>
        <v>2.5955764384658409E-2</v>
      </c>
      <c r="R171" s="2">
        <f t="shared" ca="1" si="43"/>
        <v>3.7950201657018048E-3</v>
      </c>
      <c r="S171" s="4">
        <f t="shared" si="44"/>
        <v>1.4083330000000001</v>
      </c>
      <c r="T171">
        <v>1.3151100936147369</v>
      </c>
      <c r="U171">
        <f t="shared" si="45"/>
        <v>9.3222906385263204E-2</v>
      </c>
      <c r="V171" s="2">
        <f t="shared" si="46"/>
        <v>6.6193795349014192E-2</v>
      </c>
      <c r="W171">
        <f>(T171+5/3)/(1/12)</f>
        <v>35.781321123376848</v>
      </c>
      <c r="X171" s="2">
        <f t="shared" si="47"/>
        <v>3.031650072149477E-2</v>
      </c>
    </row>
    <row r="172" spans="5:24" x14ac:dyDescent="0.25">
      <c r="E172">
        <v>170</v>
      </c>
      <c r="F172">
        <f t="shared" si="32"/>
        <v>37</v>
      </c>
      <c r="G172">
        <f t="shared" si="33"/>
        <v>310.14999999999998</v>
      </c>
      <c r="H172" s="4">
        <f t="shared" si="34"/>
        <v>1.4166669999999999</v>
      </c>
      <c r="I172" s="4">
        <f t="shared" si="35"/>
        <v>6019.0957310000003</v>
      </c>
      <c r="J172" s="4">
        <f t="shared" si="36"/>
        <v>6.0390957310000006</v>
      </c>
      <c r="K172" s="4">
        <f t="shared" si="37"/>
        <v>1865.817583</v>
      </c>
      <c r="L172">
        <f t="shared" si="38"/>
        <v>1.8658175830000001</v>
      </c>
      <c r="M172">
        <f>$B$12*F172+$B$13</f>
        <v>1.8520741304255162</v>
      </c>
      <c r="N172">
        <f t="shared" si="39"/>
        <v>1.374345257448395E-2</v>
      </c>
      <c r="O172" s="4">
        <f t="shared" ca="1" si="40"/>
        <v>6.8056910000000004</v>
      </c>
      <c r="P172" s="4">
        <f t="shared" si="41"/>
        <v>6.8307680294188389</v>
      </c>
      <c r="Q172" s="4">
        <f t="shared" ca="1" si="42"/>
        <v>2.5077029418838492E-2</v>
      </c>
      <c r="R172" s="2">
        <f t="shared" ca="1" si="43"/>
        <v>3.6711873849084647E-3</v>
      </c>
      <c r="S172" s="4">
        <f t="shared" si="44"/>
        <v>1.4166669999999999</v>
      </c>
      <c r="T172">
        <v>1.3243875486716703</v>
      </c>
      <c r="U172">
        <f t="shared" si="45"/>
        <v>9.2279451328329598E-2</v>
      </c>
      <c r="V172" s="2">
        <f t="shared" si="46"/>
        <v>6.5138420905074795E-2</v>
      </c>
      <c r="W172">
        <f>(T172+5/3)/(1/12)</f>
        <v>35.89265058406005</v>
      </c>
      <c r="X172" s="2">
        <f t="shared" si="47"/>
        <v>2.9928362592971627E-2</v>
      </c>
    </row>
    <row r="173" spans="5:24" x14ac:dyDescent="0.25">
      <c r="E173">
        <v>171</v>
      </c>
      <c r="F173">
        <f t="shared" si="32"/>
        <v>37.1</v>
      </c>
      <c r="G173">
        <f t="shared" si="33"/>
        <v>310.25</v>
      </c>
      <c r="H173" s="4">
        <f t="shared" si="34"/>
        <v>1.425</v>
      </c>
      <c r="I173" s="4">
        <f t="shared" si="35"/>
        <v>5994.5505780000003</v>
      </c>
      <c r="J173" s="4">
        <f t="shared" si="36"/>
        <v>6.0145505780000006</v>
      </c>
      <c r="K173" s="4">
        <f t="shared" si="37"/>
        <v>1863.4680490000001</v>
      </c>
      <c r="L173">
        <f t="shared" si="38"/>
        <v>1.8634680490000002</v>
      </c>
      <c r="M173">
        <f>$B$12*F173+$B$13</f>
        <v>1.8497262916026216</v>
      </c>
      <c r="N173">
        <f t="shared" si="39"/>
        <v>1.3741757397378596E-2</v>
      </c>
      <c r="O173" s="4">
        <f t="shared" ca="1" si="40"/>
        <v>6.7971209999999997</v>
      </c>
      <c r="P173" s="4">
        <f t="shared" si="41"/>
        <v>6.8221087959107436</v>
      </c>
      <c r="Q173" s="4">
        <f t="shared" ca="1" si="42"/>
        <v>2.4987795910743849E-2</v>
      </c>
      <c r="R173" s="2">
        <f t="shared" ca="1" si="43"/>
        <v>3.6627671381790103E-3</v>
      </c>
      <c r="S173" s="4">
        <f t="shared" si="44"/>
        <v>1.425</v>
      </c>
      <c r="T173">
        <v>1.3328732183822263</v>
      </c>
      <c r="U173">
        <f t="shared" si="45"/>
        <v>9.2126781617773768E-2</v>
      </c>
      <c r="V173" s="2">
        <f t="shared" si="46"/>
        <v>6.4650373065104391E-2</v>
      </c>
      <c r="W173">
        <f>(T173+5/3)/(1/12)</f>
        <v>35.994478620586719</v>
      </c>
      <c r="X173" s="2">
        <f t="shared" si="47"/>
        <v>2.9798419930277157E-2</v>
      </c>
    </row>
    <row r="174" spans="5:24" x14ac:dyDescent="0.25">
      <c r="E174">
        <v>172</v>
      </c>
      <c r="F174">
        <f t="shared" si="32"/>
        <v>37.200000000000003</v>
      </c>
      <c r="G174">
        <f t="shared" si="33"/>
        <v>310.34999999999997</v>
      </c>
      <c r="H174" s="4">
        <f t="shared" si="34"/>
        <v>1.433333</v>
      </c>
      <c r="I174" s="4">
        <f t="shared" si="35"/>
        <v>5970.1192879999999</v>
      </c>
      <c r="J174" s="4">
        <f t="shared" si="36"/>
        <v>5.9901192879999998</v>
      </c>
      <c r="K174" s="4">
        <f t="shared" si="37"/>
        <v>1861.116233</v>
      </c>
      <c r="L174">
        <f t="shared" si="38"/>
        <v>1.861116233</v>
      </c>
      <c r="M174">
        <f>$B$12*F174+$B$13</f>
        <v>1.8473784527797275</v>
      </c>
      <c r="N174">
        <f t="shared" si="39"/>
        <v>1.37377802202725E-2</v>
      </c>
      <c r="O174" s="4">
        <f t="shared" ca="1" si="40"/>
        <v>6.7881576355685125</v>
      </c>
      <c r="P174" s="4">
        <f t="shared" si="41"/>
        <v>6.8134495624026501</v>
      </c>
      <c r="Q174" s="4">
        <f t="shared" ca="1" si="42"/>
        <v>2.5291926834137612E-2</v>
      </c>
      <c r="R174" s="2">
        <f t="shared" ca="1" si="43"/>
        <v>3.7120590095362552E-3</v>
      </c>
      <c r="S174" s="4">
        <f t="shared" si="44"/>
        <v>1.433333</v>
      </c>
      <c r="T174">
        <v>1.3405701753312771</v>
      </c>
      <c r="U174">
        <f t="shared" si="45"/>
        <v>9.2762824668722876E-2</v>
      </c>
      <c r="V174" s="2">
        <f t="shared" si="46"/>
        <v>6.471826481963569E-2</v>
      </c>
      <c r="W174">
        <f>(T174+5/3)/(1/12)</f>
        <v>36.086842103975329</v>
      </c>
      <c r="X174" s="2">
        <f t="shared" si="47"/>
        <v>2.9923599355501991E-2</v>
      </c>
    </row>
    <row r="175" spans="5:24" x14ac:dyDescent="0.25">
      <c r="E175">
        <v>173</v>
      </c>
      <c r="F175">
        <f t="shared" si="32"/>
        <v>37.299999999999997</v>
      </c>
      <c r="G175">
        <f t="shared" si="33"/>
        <v>310.45</v>
      </c>
      <c r="H175" s="4">
        <f t="shared" si="34"/>
        <v>1.441667</v>
      </c>
      <c r="I175" s="4">
        <f t="shared" si="35"/>
        <v>5945.801273</v>
      </c>
      <c r="J175" s="4">
        <f t="shared" si="36"/>
        <v>5.9658012730000003</v>
      </c>
      <c r="K175" s="4">
        <f t="shared" si="37"/>
        <v>1858.762154</v>
      </c>
      <c r="L175">
        <f t="shared" si="38"/>
        <v>1.8587621540000001</v>
      </c>
      <c r="M175">
        <f>$B$12*F175+$B$13</f>
        <v>1.8450306139568331</v>
      </c>
      <c r="N175">
        <f t="shared" si="39"/>
        <v>1.3731540043167012E-2</v>
      </c>
      <c r="O175" s="4">
        <f t="shared" ca="1" si="40"/>
        <v>6.7795598629737617</v>
      </c>
      <c r="P175" s="4">
        <f t="shared" si="41"/>
        <v>6.8047903288945566</v>
      </c>
      <c r="Q175" s="4">
        <f t="shared" ca="1" si="42"/>
        <v>2.523046592079492E-2</v>
      </c>
      <c r="R175" s="2">
        <f t="shared" ca="1" si="43"/>
        <v>3.7077506728842341E-3</v>
      </c>
      <c r="S175" s="4">
        <f t="shared" si="44"/>
        <v>1.441667</v>
      </c>
      <c r="T175">
        <v>1.3491073945679499</v>
      </c>
      <c r="U175">
        <f t="shared" si="45"/>
        <v>9.2559605432050107E-2</v>
      </c>
      <c r="V175" s="2">
        <f t="shared" si="46"/>
        <v>6.4203179674675287E-2</v>
      </c>
      <c r="W175">
        <f>(T175+5/3)/(1/12)</f>
        <v>36.189288734815406</v>
      </c>
      <c r="X175" s="2">
        <f t="shared" si="47"/>
        <v>2.9777781908434078E-2</v>
      </c>
    </row>
    <row r="176" spans="5:24" x14ac:dyDescent="0.25">
      <c r="E176">
        <v>174</v>
      </c>
      <c r="F176">
        <f t="shared" si="32"/>
        <v>37.400000000000006</v>
      </c>
      <c r="G176">
        <f t="shared" si="33"/>
        <v>310.54999999999995</v>
      </c>
      <c r="H176" s="4">
        <f t="shared" si="34"/>
        <v>1.45</v>
      </c>
      <c r="I176" s="4">
        <f t="shared" si="35"/>
        <v>5921.5959480000001</v>
      </c>
      <c r="J176" s="4">
        <f t="shared" si="36"/>
        <v>5.9415959480000007</v>
      </c>
      <c r="K176" s="4">
        <f t="shared" si="37"/>
        <v>1856.4058259999999</v>
      </c>
      <c r="L176">
        <f t="shared" si="38"/>
        <v>1.856405826</v>
      </c>
      <c r="M176">
        <f>$B$12*F176+$B$13</f>
        <v>1.8426827751339385</v>
      </c>
      <c r="N176">
        <f t="shared" si="39"/>
        <v>1.3723050866061515E-2</v>
      </c>
      <c r="O176" s="4">
        <f t="shared" ca="1" si="40"/>
        <v>6.7713609999999997</v>
      </c>
      <c r="P176" s="4">
        <f t="shared" si="41"/>
        <v>6.7961310953864613</v>
      </c>
      <c r="Q176" s="4">
        <f t="shared" ca="1" si="42"/>
        <v>2.4770095386461577E-2</v>
      </c>
      <c r="R176" s="2">
        <f t="shared" ca="1" si="43"/>
        <v>3.6447347820110034E-3</v>
      </c>
      <c r="S176" s="4">
        <f t="shared" si="44"/>
        <v>1.45</v>
      </c>
      <c r="T176">
        <v>1.3584816412342156</v>
      </c>
      <c r="U176">
        <f t="shared" si="45"/>
        <v>9.1518358765784402E-2</v>
      </c>
      <c r="V176" s="2">
        <f t="shared" si="46"/>
        <v>6.3116109493644421E-2</v>
      </c>
      <c r="W176">
        <f>(T176+5/3)/(1/12)</f>
        <v>36.301779694810591</v>
      </c>
      <c r="X176" s="2">
        <f t="shared" si="47"/>
        <v>2.9364179283139422E-2</v>
      </c>
    </row>
    <row r="177" spans="5:24" x14ac:dyDescent="0.25">
      <c r="E177">
        <v>175</v>
      </c>
      <c r="F177">
        <f t="shared" si="32"/>
        <v>37.5</v>
      </c>
      <c r="G177">
        <f t="shared" si="33"/>
        <v>310.64999999999998</v>
      </c>
      <c r="H177" s="4">
        <f t="shared" si="34"/>
        <v>1.4583330000000001</v>
      </c>
      <c r="I177" s="4">
        <f t="shared" si="35"/>
        <v>5897.5027330000003</v>
      </c>
      <c r="J177" s="4">
        <f t="shared" si="36"/>
        <v>5.9175027330000001</v>
      </c>
      <c r="K177" s="4">
        <f t="shared" si="37"/>
        <v>1854.047266</v>
      </c>
      <c r="L177">
        <f t="shared" si="38"/>
        <v>1.854047266</v>
      </c>
      <c r="M177">
        <f>$B$12*F177+$B$13</f>
        <v>1.8403349363110444</v>
      </c>
      <c r="N177">
        <f t="shared" si="39"/>
        <v>1.3712329688955638E-2</v>
      </c>
      <c r="O177" s="4">
        <f t="shared" ca="1" si="40"/>
        <v>6.7623726355685125</v>
      </c>
      <c r="P177" s="4">
        <f t="shared" si="41"/>
        <v>6.7874718618783678</v>
      </c>
      <c r="Q177" s="4">
        <f t="shared" ca="1" si="42"/>
        <v>2.5099226309855283E-2</v>
      </c>
      <c r="R177" s="2">
        <f t="shared" ca="1" si="43"/>
        <v>3.6978755596504694E-3</v>
      </c>
      <c r="S177" s="4">
        <f t="shared" si="44"/>
        <v>1.4583330000000001</v>
      </c>
      <c r="T177">
        <v>1.3670679936773122</v>
      </c>
      <c r="U177">
        <f t="shared" si="45"/>
        <v>9.1265006322687858E-2</v>
      </c>
      <c r="V177" s="2">
        <f t="shared" si="46"/>
        <v>6.2581732925667766E-2</v>
      </c>
      <c r="W177">
        <f>(T177+5/3)/(1/12)</f>
        <v>36.404815924127753</v>
      </c>
      <c r="X177" s="2">
        <f t="shared" si="47"/>
        <v>2.9204908689926583E-2</v>
      </c>
    </row>
    <row r="178" spans="5:24" x14ac:dyDescent="0.25">
      <c r="E178">
        <v>176</v>
      </c>
      <c r="F178">
        <f t="shared" si="32"/>
        <v>37.6</v>
      </c>
      <c r="G178">
        <f t="shared" si="33"/>
        <v>310.75</v>
      </c>
      <c r="H178" s="4">
        <f t="shared" si="34"/>
        <v>1.4666669999999999</v>
      </c>
      <c r="I178" s="4">
        <f t="shared" si="35"/>
        <v>5873.5210489999999</v>
      </c>
      <c r="J178" s="4">
        <f t="shared" si="36"/>
        <v>5.8935210490000003</v>
      </c>
      <c r="K178" s="4">
        <f t="shared" si="37"/>
        <v>1851.6864909999999</v>
      </c>
      <c r="L178">
        <f t="shared" si="38"/>
        <v>1.8516864909999999</v>
      </c>
      <c r="M178">
        <f>$B$12*F178+$B$13</f>
        <v>1.83798709748815</v>
      </c>
      <c r="N178">
        <f t="shared" si="39"/>
        <v>1.36993935118499E-2</v>
      </c>
      <c r="O178" s="4">
        <f t="shared" ca="1" si="40"/>
        <v>6.7537616355685124</v>
      </c>
      <c r="P178" s="4">
        <f t="shared" si="41"/>
        <v>6.7788126283702734</v>
      </c>
      <c r="Q178" s="4">
        <f t="shared" ca="1" si="42"/>
        <v>2.5050992801761041E-2</v>
      </c>
      <c r="R178" s="2">
        <f t="shared" ca="1" si="43"/>
        <v>3.6954838811916932E-3</v>
      </c>
      <c r="S178" s="4">
        <f t="shared" si="44"/>
        <v>1.4666669999999999</v>
      </c>
      <c r="T178">
        <v>1.3756793211344109</v>
      </c>
      <c r="U178">
        <f t="shared" si="45"/>
        <v>9.0987678865589006E-2</v>
      </c>
      <c r="V178" s="2">
        <f t="shared" si="46"/>
        <v>6.2037039672665308E-2</v>
      </c>
      <c r="W178">
        <f>(T178+5/3)/(1/12)</f>
        <v>36.508151853612929</v>
      </c>
      <c r="X178" s="2">
        <f t="shared" si="47"/>
        <v>2.9038514531571063E-2</v>
      </c>
    </row>
    <row r="179" spans="5:24" x14ac:dyDescent="0.25">
      <c r="E179">
        <v>177</v>
      </c>
      <c r="F179">
        <f t="shared" si="32"/>
        <v>37.700000000000003</v>
      </c>
      <c r="G179">
        <f t="shared" si="33"/>
        <v>310.84999999999997</v>
      </c>
      <c r="H179" s="4">
        <f t="shared" si="34"/>
        <v>1.4750000000000001</v>
      </c>
      <c r="I179" s="4">
        <f t="shared" si="35"/>
        <v>5849.6503220000004</v>
      </c>
      <c r="J179" s="4">
        <f t="shared" si="36"/>
        <v>5.8696503220000009</v>
      </c>
      <c r="K179" s="4">
        <f t="shared" si="37"/>
        <v>1849.323517</v>
      </c>
      <c r="L179">
        <f t="shared" si="38"/>
        <v>1.849323517</v>
      </c>
      <c r="M179">
        <f>$B$12*F179+$B$13</f>
        <v>1.8356392586652555</v>
      </c>
      <c r="N179">
        <f t="shared" si="39"/>
        <v>1.3684258334744515E-2</v>
      </c>
      <c r="O179" s="4">
        <f t="shared" ca="1" si="40"/>
        <v>6.7455172274052488</v>
      </c>
      <c r="P179" s="4">
        <f t="shared" si="41"/>
        <v>6.7701533948621782</v>
      </c>
      <c r="Q179" s="4">
        <f t="shared" ca="1" si="42"/>
        <v>2.4636167456929314E-2</v>
      </c>
      <c r="R179" s="2">
        <f t="shared" ca="1" si="43"/>
        <v>3.6389378526674931E-3</v>
      </c>
      <c r="S179" s="4">
        <f t="shared" si="44"/>
        <v>1.4750000000000001</v>
      </c>
      <c r="T179">
        <v>1.3843155437346542</v>
      </c>
      <c r="U179">
        <f t="shared" si="45"/>
        <v>9.0684456265345936E-2</v>
      </c>
      <c r="V179" s="2">
        <f t="shared" si="46"/>
        <v>6.1480987298539617E-2</v>
      </c>
      <c r="W179">
        <f>(T179+5/3)/(1/12)</f>
        <v>36.611786524815848</v>
      </c>
      <c r="X179" s="2">
        <f t="shared" si="47"/>
        <v>2.8865078917351582E-2</v>
      </c>
    </row>
    <row r="180" spans="5:24" x14ac:dyDescent="0.25">
      <c r="E180">
        <v>178</v>
      </c>
      <c r="F180">
        <f t="shared" si="32"/>
        <v>37.799999999999997</v>
      </c>
      <c r="G180">
        <f t="shared" si="33"/>
        <v>310.95</v>
      </c>
      <c r="H180" s="4">
        <f t="shared" si="34"/>
        <v>1.483333</v>
      </c>
      <c r="I180" s="4">
        <f t="shared" si="35"/>
        <v>5825.8899810000003</v>
      </c>
      <c r="J180" s="4">
        <f t="shared" si="36"/>
        <v>5.845889981</v>
      </c>
      <c r="K180" s="4">
        <f t="shared" si="37"/>
        <v>1846.958361</v>
      </c>
      <c r="L180">
        <f t="shared" si="38"/>
        <v>1.846958361</v>
      </c>
      <c r="M180">
        <f>$B$12*F180+$B$13</f>
        <v>1.8332914198423613</v>
      </c>
      <c r="N180">
        <f t="shared" si="39"/>
        <v>1.3666941157638668E-2</v>
      </c>
      <c r="O180" s="4">
        <f t="shared" ca="1" si="40"/>
        <v>6.7372863644314869</v>
      </c>
      <c r="P180" s="4">
        <f t="shared" si="41"/>
        <v>6.7614941613540847</v>
      </c>
      <c r="Q180" s="4">
        <f t="shared" ca="1" si="42"/>
        <v>2.420779692259778E-2</v>
      </c>
      <c r="R180" s="2">
        <f t="shared" ca="1" si="43"/>
        <v>3.5802437072207463E-3</v>
      </c>
      <c r="S180" s="4">
        <f t="shared" si="44"/>
        <v>1.483333</v>
      </c>
      <c r="T180">
        <v>1.3937842573020207</v>
      </c>
      <c r="U180">
        <f t="shared" si="45"/>
        <v>8.95487426979793E-2</v>
      </c>
      <c r="V180" s="2">
        <f t="shared" si="46"/>
        <v>6.036995246379559E-2</v>
      </c>
      <c r="W180">
        <f>(T180+5/3)/(1/12)</f>
        <v>36.725411087624252</v>
      </c>
      <c r="X180" s="2">
        <f t="shared" si="47"/>
        <v>2.8428278105178444E-2</v>
      </c>
    </row>
    <row r="181" spans="5:24" x14ac:dyDescent="0.25">
      <c r="E181">
        <v>179</v>
      </c>
      <c r="F181">
        <f t="shared" si="32"/>
        <v>37.900000000000006</v>
      </c>
      <c r="G181">
        <f t="shared" si="33"/>
        <v>311.04999999999995</v>
      </c>
      <c r="H181" s="4">
        <f t="shared" si="34"/>
        <v>1.4916670000000001</v>
      </c>
      <c r="I181" s="4">
        <f t="shared" si="35"/>
        <v>5802.2394569999997</v>
      </c>
      <c r="J181" s="4">
        <f t="shared" si="36"/>
        <v>5.8222394570000002</v>
      </c>
      <c r="K181" s="4">
        <f t="shared" si="37"/>
        <v>1844.5910389999999</v>
      </c>
      <c r="L181">
        <f t="shared" si="38"/>
        <v>1.844591039</v>
      </c>
      <c r="M181">
        <f>$B$12*F181+$B$13</f>
        <v>1.8309435810194667</v>
      </c>
      <c r="N181">
        <f t="shared" si="39"/>
        <v>1.364745798053324E-2</v>
      </c>
      <c r="O181" s="4">
        <f t="shared" ca="1" si="40"/>
        <v>6.727869862973761</v>
      </c>
      <c r="P181" s="4">
        <f t="shared" si="41"/>
        <v>6.7528349278459903</v>
      </c>
      <c r="Q181" s="4">
        <f t="shared" ca="1" si="42"/>
        <v>2.496506487222927E-2</v>
      </c>
      <c r="R181" s="2">
        <f t="shared" ca="1" si="43"/>
        <v>3.6969754390535044E-3</v>
      </c>
      <c r="S181" s="4">
        <f t="shared" si="44"/>
        <v>1.4916670000000001</v>
      </c>
      <c r="T181">
        <v>1.4024689733414464</v>
      </c>
      <c r="U181">
        <f t="shared" si="45"/>
        <v>8.9198026658553697E-2</v>
      </c>
      <c r="V181" s="2">
        <f t="shared" si="46"/>
        <v>5.9797546408517248E-2</v>
      </c>
      <c r="W181">
        <f>(T181+5/3)/(1/12)</f>
        <v>36.82962768009736</v>
      </c>
      <c r="X181" s="2">
        <f t="shared" si="47"/>
        <v>2.8242013717747899E-2</v>
      </c>
    </row>
    <row r="182" spans="5:24" x14ac:dyDescent="0.25">
      <c r="E182">
        <v>180</v>
      </c>
      <c r="F182">
        <f t="shared" si="32"/>
        <v>38</v>
      </c>
      <c r="G182">
        <f t="shared" si="33"/>
        <v>311.14999999999998</v>
      </c>
      <c r="H182" s="4">
        <f t="shared" si="34"/>
        <v>1.5</v>
      </c>
      <c r="I182" s="4">
        <f t="shared" si="35"/>
        <v>5778.6981859999996</v>
      </c>
      <c r="J182" s="4">
        <f t="shared" si="36"/>
        <v>5.7986981859999993</v>
      </c>
      <c r="K182" s="4">
        <f t="shared" si="37"/>
        <v>1842.2215679999999</v>
      </c>
      <c r="L182">
        <f t="shared" si="38"/>
        <v>1.842221568</v>
      </c>
      <c r="M182">
        <f>$B$12*F182+$B$13</f>
        <v>1.8285957421965726</v>
      </c>
      <c r="N182">
        <f t="shared" si="39"/>
        <v>1.3625825803427416E-2</v>
      </c>
      <c r="O182" s="4">
        <f t="shared" ca="1" si="40"/>
        <v>6.7204045014577263</v>
      </c>
      <c r="P182" s="4">
        <f t="shared" si="41"/>
        <v>6.7441756943378968</v>
      </c>
      <c r="Q182" s="4">
        <f t="shared" ca="1" si="42"/>
        <v>2.3771192880170489E-2</v>
      </c>
      <c r="R182" s="2">
        <f t="shared" ca="1" si="43"/>
        <v>3.5246995270493474E-3</v>
      </c>
      <c r="S182" s="4">
        <f t="shared" si="44"/>
        <v>1.5</v>
      </c>
      <c r="T182">
        <v>1.4111783436019989</v>
      </c>
      <c r="U182">
        <f t="shared" si="45"/>
        <v>8.8821656398001103E-2</v>
      </c>
      <c r="V182" s="2">
        <f t="shared" si="46"/>
        <v>5.9214437598667402E-2</v>
      </c>
      <c r="W182">
        <f>(T182+5/3)/(1/12)</f>
        <v>36.93414012322399</v>
      </c>
      <c r="X182" s="2">
        <f t="shared" si="47"/>
        <v>2.8048944125684466E-2</v>
      </c>
    </row>
    <row r="183" spans="5:24" x14ac:dyDescent="0.25">
      <c r="E183">
        <v>181</v>
      </c>
      <c r="F183">
        <f t="shared" si="32"/>
        <v>38.1</v>
      </c>
      <c r="G183">
        <f t="shared" si="33"/>
        <v>311.25</v>
      </c>
      <c r="H183" s="4">
        <f t="shared" si="34"/>
        <v>1.5083329999999999</v>
      </c>
      <c r="I183" s="4">
        <f t="shared" si="35"/>
        <v>5755.2656049999996</v>
      </c>
      <c r="J183" s="4">
        <f t="shared" si="36"/>
        <v>5.7752656049999995</v>
      </c>
      <c r="K183" s="4">
        <f t="shared" si="37"/>
        <v>1839.849966</v>
      </c>
      <c r="L183">
        <f t="shared" si="38"/>
        <v>1.8398499660000001</v>
      </c>
      <c r="M183">
        <f>$B$12*F183+$B$13</f>
        <v>1.8262479033736783</v>
      </c>
      <c r="N183">
        <f t="shared" si="39"/>
        <v>1.3602062626321798E-2</v>
      </c>
      <c r="O183" s="4">
        <f t="shared" ca="1" si="40"/>
        <v>6.7105876355685128</v>
      </c>
      <c r="P183" s="4">
        <f t="shared" si="41"/>
        <v>6.7355164608298024</v>
      </c>
      <c r="Q183" s="4">
        <f t="shared" ca="1" si="42"/>
        <v>2.4928825261289589E-2</v>
      </c>
      <c r="R183" s="2">
        <f t="shared" ca="1" si="43"/>
        <v>3.7011007851086757E-3</v>
      </c>
      <c r="S183" s="4">
        <f t="shared" si="44"/>
        <v>1.5083329999999999</v>
      </c>
      <c r="T183">
        <v>1.4199122864960834</v>
      </c>
      <c r="U183">
        <f t="shared" si="45"/>
        <v>8.8420713503916559E-2</v>
      </c>
      <c r="V183" s="2">
        <f t="shared" si="46"/>
        <v>5.8621480471432078E-2</v>
      </c>
      <c r="W183">
        <f>(T183+5/3)/(1/12)</f>
        <v>37.038947437952999</v>
      </c>
      <c r="X183" s="2">
        <f t="shared" si="47"/>
        <v>2.7849148610157554E-2</v>
      </c>
    </row>
    <row r="184" spans="5:24" x14ac:dyDescent="0.25">
      <c r="E184">
        <v>182</v>
      </c>
      <c r="F184">
        <f t="shared" si="32"/>
        <v>38.200000000000003</v>
      </c>
      <c r="G184">
        <f t="shared" si="33"/>
        <v>311.34999999999997</v>
      </c>
      <c r="H184" s="4">
        <f t="shared" si="34"/>
        <v>1.516667</v>
      </c>
      <c r="I184" s="4">
        <f t="shared" si="35"/>
        <v>5731.9411570000002</v>
      </c>
      <c r="J184" s="4">
        <f t="shared" si="36"/>
        <v>5.7519411570000001</v>
      </c>
      <c r="K184" s="4">
        <f t="shared" si="37"/>
        <v>1837.4762479999999</v>
      </c>
      <c r="L184">
        <f t="shared" si="38"/>
        <v>1.837476248</v>
      </c>
      <c r="M184">
        <f>$B$12*F184+$B$13</f>
        <v>1.8239000645507839</v>
      </c>
      <c r="N184">
        <f t="shared" si="39"/>
        <v>1.3576183449216073E-2</v>
      </c>
      <c r="O184" s="4">
        <f t="shared" ca="1" si="40"/>
        <v>6.7023257725947509</v>
      </c>
      <c r="P184" s="4">
        <f t="shared" si="41"/>
        <v>6.726857227321708</v>
      </c>
      <c r="Q184" s="4">
        <f t="shared" ca="1" si="42"/>
        <v>2.4531454726957058E-2</v>
      </c>
      <c r="R184" s="2">
        <f t="shared" ca="1" si="43"/>
        <v>3.6467928332595567E-3</v>
      </c>
      <c r="S184" s="4">
        <f t="shared" si="44"/>
        <v>1.516667</v>
      </c>
      <c r="T184">
        <v>1.4294741627850502</v>
      </c>
      <c r="U184">
        <f t="shared" si="45"/>
        <v>8.7192837214949748E-2</v>
      </c>
      <c r="V184" s="2">
        <f t="shared" si="46"/>
        <v>5.7489770143973426E-2</v>
      </c>
      <c r="W184">
        <f>(T184+5/3)/(1/12)</f>
        <v>37.15368995342061</v>
      </c>
      <c r="X184" s="2">
        <f t="shared" si="47"/>
        <v>2.7390315355481486E-2</v>
      </c>
    </row>
    <row r="185" spans="5:24" x14ac:dyDescent="0.25">
      <c r="E185">
        <v>183</v>
      </c>
      <c r="F185">
        <f t="shared" si="32"/>
        <v>38.299999999999997</v>
      </c>
      <c r="G185">
        <f t="shared" si="33"/>
        <v>311.45</v>
      </c>
      <c r="H185" s="4">
        <f t="shared" si="34"/>
        <v>1.5249999999999999</v>
      </c>
      <c r="I185" s="4">
        <f t="shared" si="35"/>
        <v>5708.7242859999997</v>
      </c>
      <c r="J185" s="4">
        <f t="shared" si="36"/>
        <v>5.7287242859999994</v>
      </c>
      <c r="K185" s="4">
        <f t="shared" si="37"/>
        <v>1835.1004310000001</v>
      </c>
      <c r="L185">
        <f t="shared" si="38"/>
        <v>1.8351004310000001</v>
      </c>
      <c r="M185">
        <f>$B$12*F185+$B$13</f>
        <v>1.8215522257278898</v>
      </c>
      <c r="N185">
        <f t="shared" si="39"/>
        <v>1.3548205272110314E-2</v>
      </c>
      <c r="O185" s="4">
        <f t="shared" ca="1" si="40"/>
        <v>6.6928674985422738</v>
      </c>
      <c r="P185" s="4">
        <f t="shared" si="41"/>
        <v>6.7181979938136145</v>
      </c>
      <c r="Q185" s="4">
        <f t="shared" ca="1" si="42"/>
        <v>2.5330495271340681E-2</v>
      </c>
      <c r="R185" s="2">
        <f t="shared" ca="1" si="43"/>
        <v>3.7704300014179417E-3</v>
      </c>
      <c r="S185" s="4">
        <f t="shared" si="44"/>
        <v>1.5249999999999999</v>
      </c>
      <c r="T185">
        <v>1.4382559460101785</v>
      </c>
      <c r="U185">
        <f t="shared" si="45"/>
        <v>8.6744053989821435E-2</v>
      </c>
      <c r="V185" s="2">
        <f t="shared" si="46"/>
        <v>5.6881346878571437E-2</v>
      </c>
      <c r="W185">
        <f>(T185+5/3)/(1/12)</f>
        <v>37.259071352122149</v>
      </c>
      <c r="X185" s="2">
        <f t="shared" si="47"/>
        <v>2.7178293678272805E-2</v>
      </c>
    </row>
    <row r="186" spans="5:24" x14ac:dyDescent="0.25">
      <c r="E186">
        <v>184</v>
      </c>
      <c r="F186">
        <f t="shared" si="32"/>
        <v>38.400000000000006</v>
      </c>
      <c r="G186">
        <f t="shared" si="33"/>
        <v>311.54999999999995</v>
      </c>
      <c r="H186" s="4">
        <f t="shared" si="34"/>
        <v>1.5333330000000001</v>
      </c>
      <c r="I186" s="4">
        <f t="shared" si="35"/>
        <v>5685.6144400000003</v>
      </c>
      <c r="J186" s="4">
        <f t="shared" si="36"/>
        <v>5.7056144400000006</v>
      </c>
      <c r="K186" s="4">
        <f t="shared" si="37"/>
        <v>1832.7225330000001</v>
      </c>
      <c r="L186">
        <f t="shared" si="38"/>
        <v>1.8327225330000001</v>
      </c>
      <c r="M186">
        <f>$B$12*F186+$B$13</f>
        <v>1.8192043869049952</v>
      </c>
      <c r="N186">
        <f t="shared" si="39"/>
        <v>1.3518146095004901E-2</v>
      </c>
      <c r="O186" s="4">
        <f t="shared" ca="1" si="40"/>
        <v>6.6853711370262383</v>
      </c>
      <c r="P186" s="4">
        <f t="shared" si="41"/>
        <v>6.7095387603055192</v>
      </c>
      <c r="Q186" s="4">
        <f t="shared" ca="1" si="42"/>
        <v>2.4167623279280903E-2</v>
      </c>
      <c r="R186" s="2">
        <f t="shared" ca="1" si="43"/>
        <v>3.6019798294123617E-3</v>
      </c>
      <c r="S186" s="4">
        <f t="shared" si="44"/>
        <v>1.5333330000000001</v>
      </c>
      <c r="T186">
        <v>1.4470620553602411</v>
      </c>
      <c r="U186">
        <f t="shared" si="45"/>
        <v>8.6270944639758929E-2</v>
      </c>
      <c r="V186" s="2">
        <f t="shared" si="46"/>
        <v>5.6263671778901861E-2</v>
      </c>
      <c r="W186">
        <f>(T186+5/3)/(1/12)</f>
        <v>37.364744664322892</v>
      </c>
      <c r="X186" s="2">
        <f t="shared" si="47"/>
        <v>2.6959774366591506E-2</v>
      </c>
    </row>
    <row r="187" spans="5:24" x14ac:dyDescent="0.25">
      <c r="E187">
        <v>185</v>
      </c>
      <c r="F187">
        <f t="shared" si="32"/>
        <v>38.5</v>
      </c>
      <c r="G187">
        <f t="shared" si="33"/>
        <v>311.64999999999998</v>
      </c>
      <c r="H187" s="4">
        <f t="shared" si="34"/>
        <v>1.5416669999999999</v>
      </c>
      <c r="I187" s="4">
        <f t="shared" si="35"/>
        <v>5662.6110680000002</v>
      </c>
      <c r="J187" s="4">
        <f t="shared" si="36"/>
        <v>5.6826110679999999</v>
      </c>
      <c r="K187" s="4">
        <f t="shared" si="37"/>
        <v>1830.34257</v>
      </c>
      <c r="L187">
        <f t="shared" si="38"/>
        <v>1.83034257</v>
      </c>
      <c r="M187">
        <f>$B$12*F187+$B$13</f>
        <v>1.8168565480821008</v>
      </c>
      <c r="N187">
        <f t="shared" si="39"/>
        <v>1.348602191789916E-2</v>
      </c>
      <c r="O187" s="4">
        <f t="shared" ca="1" si="40"/>
        <v>6.6758978629737618</v>
      </c>
      <c r="P187" s="4">
        <f t="shared" si="41"/>
        <v>6.7008795267974257</v>
      </c>
      <c r="Q187" s="4">
        <f t="shared" ca="1" si="42"/>
        <v>2.4981663823663958E-2</v>
      </c>
      <c r="R187" s="2">
        <f t="shared" ca="1" si="43"/>
        <v>3.7281171410051494E-3</v>
      </c>
      <c r="S187" s="4">
        <f t="shared" si="44"/>
        <v>1.5416669999999999</v>
      </c>
      <c r="T187">
        <v>1.4558924089566518</v>
      </c>
      <c r="U187">
        <f t="shared" si="45"/>
        <v>8.5774591043348059E-2</v>
      </c>
      <c r="V187" s="2">
        <f t="shared" si="46"/>
        <v>5.5637560538915387E-2</v>
      </c>
      <c r="W187">
        <f>(T187+5/3)/(1/12)</f>
        <v>37.470708907479825</v>
      </c>
      <c r="X187" s="2">
        <f t="shared" si="47"/>
        <v>2.6734833571952603E-2</v>
      </c>
    </row>
    <row r="188" spans="5:24" x14ac:dyDescent="0.25">
      <c r="E188">
        <v>186</v>
      </c>
      <c r="F188">
        <f t="shared" si="32"/>
        <v>38.6</v>
      </c>
      <c r="G188">
        <f t="shared" si="33"/>
        <v>311.75</v>
      </c>
      <c r="H188" s="4">
        <f t="shared" si="34"/>
        <v>1.55</v>
      </c>
      <c r="I188" s="4">
        <f t="shared" si="35"/>
        <v>5639.7136270000001</v>
      </c>
      <c r="J188" s="4">
        <f t="shared" si="36"/>
        <v>5.6597136270000004</v>
      </c>
      <c r="K188" s="4">
        <f t="shared" si="37"/>
        <v>1827.9605590000001</v>
      </c>
      <c r="L188">
        <f t="shared" si="38"/>
        <v>1.8279605590000001</v>
      </c>
      <c r="M188">
        <f>$B$12*F188+$B$13</f>
        <v>1.8145087092592065</v>
      </c>
      <c r="N188">
        <f t="shared" si="39"/>
        <v>1.3451849740793609E-2</v>
      </c>
      <c r="O188" s="4">
        <f t="shared" ca="1" si="40"/>
        <v>6.6680011370262386</v>
      </c>
      <c r="P188" s="4">
        <f t="shared" si="41"/>
        <v>6.6922202932893313</v>
      </c>
      <c r="Q188" s="4">
        <f t="shared" ca="1" si="42"/>
        <v>2.4219156263092678E-2</v>
      </c>
      <c r="R188" s="2">
        <f t="shared" ca="1" si="43"/>
        <v>3.6190016469389986E-3</v>
      </c>
      <c r="S188" s="4">
        <f t="shared" si="44"/>
        <v>1.55</v>
      </c>
      <c r="T188">
        <v>1.4647469230004762</v>
      </c>
      <c r="U188">
        <f t="shared" si="45"/>
        <v>8.5253076999523891E-2</v>
      </c>
      <c r="V188" s="2">
        <f t="shared" si="46"/>
        <v>5.5001985160983154E-2</v>
      </c>
      <c r="W188">
        <f>(T188+5/3)/(1/12)</f>
        <v>37.576963076005718</v>
      </c>
      <c r="X188" s="2">
        <f t="shared" si="47"/>
        <v>2.6503547253737905E-2</v>
      </c>
    </row>
    <row r="189" spans="5:24" x14ac:dyDescent="0.25">
      <c r="E189">
        <v>187</v>
      </c>
      <c r="F189">
        <f t="shared" si="32"/>
        <v>38.700000000000003</v>
      </c>
      <c r="G189">
        <f t="shared" si="33"/>
        <v>311.84999999999997</v>
      </c>
      <c r="H189" s="4">
        <f t="shared" si="34"/>
        <v>1.558333</v>
      </c>
      <c r="I189" s="4">
        <f t="shared" si="35"/>
        <v>5616.9215709999999</v>
      </c>
      <c r="J189" s="4">
        <f t="shared" si="36"/>
        <v>5.6369215710000002</v>
      </c>
      <c r="K189" s="4">
        <f t="shared" si="37"/>
        <v>1825.576517</v>
      </c>
      <c r="L189">
        <f t="shared" si="38"/>
        <v>1.825576517</v>
      </c>
      <c r="M189">
        <f>$B$12*F189+$B$13</f>
        <v>1.8121608704363121</v>
      </c>
      <c r="N189">
        <f t="shared" si="39"/>
        <v>1.3415646563687877E-2</v>
      </c>
      <c r="O189" s="4">
        <f t="shared" ca="1" si="40"/>
        <v>6.6588982274052491</v>
      </c>
      <c r="P189" s="4">
        <f t="shared" si="41"/>
        <v>6.6835610597812369</v>
      </c>
      <c r="Q189" s="4">
        <f t="shared" ca="1" si="42"/>
        <v>2.4662832375987875E-2</v>
      </c>
      <c r="R189" s="2">
        <f t="shared" ca="1" si="43"/>
        <v>3.6900736232362823E-3</v>
      </c>
      <c r="S189" s="4">
        <f t="shared" si="44"/>
        <v>1.558333</v>
      </c>
      <c r="T189">
        <v>1.4728273873547839</v>
      </c>
      <c r="U189">
        <f t="shared" si="45"/>
        <v>8.5505612645216056E-2</v>
      </c>
      <c r="V189" s="2">
        <f t="shared" si="46"/>
        <v>5.486992359477471E-2</v>
      </c>
      <c r="W189">
        <f>(T189+5/3)/(1/12)</f>
        <v>37.673928648257409</v>
      </c>
      <c r="X189" s="2">
        <f t="shared" si="47"/>
        <v>2.6513471621255658E-2</v>
      </c>
    </row>
    <row r="190" spans="5:24" x14ac:dyDescent="0.25">
      <c r="E190">
        <v>188</v>
      </c>
      <c r="F190">
        <f t="shared" si="32"/>
        <v>38.799999999999997</v>
      </c>
      <c r="G190">
        <f t="shared" si="33"/>
        <v>311.95</v>
      </c>
      <c r="H190" s="4">
        <f t="shared" si="34"/>
        <v>1.566667</v>
      </c>
      <c r="I190" s="4">
        <f t="shared" si="35"/>
        <v>5594.2343620000001</v>
      </c>
      <c r="J190" s="4">
        <f t="shared" si="36"/>
        <v>5.6142343620000004</v>
      </c>
      <c r="K190" s="4">
        <f t="shared" si="37"/>
        <v>1823.1904609999999</v>
      </c>
      <c r="L190">
        <f t="shared" si="38"/>
        <v>1.823190461</v>
      </c>
      <c r="M190">
        <f>$B$12*F190+$B$13</f>
        <v>1.8098130316134178</v>
      </c>
      <c r="N190">
        <f t="shared" si="39"/>
        <v>1.3377429386582262E-2</v>
      </c>
      <c r="O190" s="4">
        <f t="shared" ca="1" si="40"/>
        <v>6.6509875014577258</v>
      </c>
      <c r="P190" s="4">
        <f t="shared" si="41"/>
        <v>6.6749018262731425</v>
      </c>
      <c r="Q190" s="4">
        <f t="shared" ca="1" si="42"/>
        <v>2.3914324815416776E-2</v>
      </c>
      <c r="R190" s="2">
        <f t="shared" ca="1" si="43"/>
        <v>3.5827230778567231E-3</v>
      </c>
      <c r="S190" s="4">
        <f t="shared" si="44"/>
        <v>1.566667</v>
      </c>
      <c r="T190">
        <v>1.4817310371800962</v>
      </c>
      <c r="U190">
        <f t="shared" si="45"/>
        <v>8.4935962819903787E-2</v>
      </c>
      <c r="V190" s="2">
        <f t="shared" si="46"/>
        <v>5.4214432818144372E-2</v>
      </c>
      <c r="W190">
        <f>(T190+5/3)/(1/12)</f>
        <v>37.780772446161158</v>
      </c>
      <c r="X190" s="2">
        <f t="shared" si="47"/>
        <v>2.6268751387598935E-2</v>
      </c>
    </row>
    <row r="191" spans="5:24" x14ac:dyDescent="0.25">
      <c r="E191">
        <v>189</v>
      </c>
      <c r="F191">
        <f t="shared" si="32"/>
        <v>38.900000000000006</v>
      </c>
      <c r="G191">
        <f t="shared" si="33"/>
        <v>312.04999999999995</v>
      </c>
      <c r="H191" s="4">
        <f t="shared" si="34"/>
        <v>1.575</v>
      </c>
      <c r="I191" s="4">
        <f t="shared" si="35"/>
        <v>5571.6514630000001</v>
      </c>
      <c r="J191" s="4">
        <f t="shared" si="36"/>
        <v>5.5916514629999998</v>
      </c>
      <c r="K191" s="4">
        <f t="shared" si="37"/>
        <v>1820.802408</v>
      </c>
      <c r="L191">
        <f t="shared" si="38"/>
        <v>1.820802408</v>
      </c>
      <c r="M191">
        <f>$B$12*F191+$B$13</f>
        <v>1.8074651927905234</v>
      </c>
      <c r="N191">
        <f t="shared" si="39"/>
        <v>1.3337215209476616E-2</v>
      </c>
      <c r="O191" s="4">
        <f t="shared" ca="1" si="40"/>
        <v>6.6418921370262387</v>
      </c>
      <c r="P191" s="4">
        <f t="shared" si="41"/>
        <v>6.6662425927650482</v>
      </c>
      <c r="Q191" s="4">
        <f t="shared" ca="1" si="42"/>
        <v>2.4350455738809451E-2</v>
      </c>
      <c r="R191" s="2">
        <f t="shared" ca="1" si="43"/>
        <v>3.6528007194393569E-3</v>
      </c>
      <c r="S191" s="4">
        <f t="shared" si="44"/>
        <v>1.575</v>
      </c>
      <c r="T191">
        <v>1.4906585970888542</v>
      </c>
      <c r="U191">
        <f t="shared" si="45"/>
        <v>8.434140291114578E-2</v>
      </c>
      <c r="V191" s="2">
        <f t="shared" si="46"/>
        <v>5.3550097086441768E-2</v>
      </c>
      <c r="W191">
        <f>(T191+5/3)/(1/12)</f>
        <v>37.887903165066248</v>
      </c>
      <c r="X191" s="2">
        <f t="shared" si="47"/>
        <v>2.6017913494441058E-2</v>
      </c>
    </row>
    <row r="192" spans="5:24" x14ac:dyDescent="0.25">
      <c r="E192">
        <v>190</v>
      </c>
      <c r="F192">
        <f t="shared" si="32"/>
        <v>39</v>
      </c>
      <c r="G192">
        <f t="shared" si="33"/>
        <v>312.14999999999998</v>
      </c>
      <c r="H192" s="4">
        <f t="shared" si="34"/>
        <v>1.5833330000000001</v>
      </c>
      <c r="I192" s="4">
        <f t="shared" si="35"/>
        <v>5549.1723389999997</v>
      </c>
      <c r="J192" s="4">
        <f t="shared" si="36"/>
        <v>5.5691723389999996</v>
      </c>
      <c r="K192" s="4">
        <f t="shared" si="37"/>
        <v>1818.4123750000001</v>
      </c>
      <c r="L192">
        <f t="shared" si="38"/>
        <v>1.8184123750000001</v>
      </c>
      <c r="M192">
        <f>$B$12*F192+$B$13</f>
        <v>1.8051173539676291</v>
      </c>
      <c r="N192">
        <f t="shared" si="39"/>
        <v>1.3295021032371013E-2</v>
      </c>
      <c r="O192" s="4">
        <f t="shared" ca="1" si="40"/>
        <v>6.6327780000000001</v>
      </c>
      <c r="P192" s="4">
        <f t="shared" si="41"/>
        <v>6.6575833592569547</v>
      </c>
      <c r="Q192" s="4">
        <f t="shared" ca="1" si="42"/>
        <v>2.4805359256954596E-2</v>
      </c>
      <c r="R192" s="2">
        <f t="shared" ca="1" si="43"/>
        <v>3.7258803860809779E-3</v>
      </c>
      <c r="S192" s="4">
        <f t="shared" si="44"/>
        <v>1.5833330000000001</v>
      </c>
      <c r="T192">
        <v>1.4996099821182447</v>
      </c>
      <c r="U192">
        <f t="shared" si="45"/>
        <v>8.3723017881755402E-2</v>
      </c>
      <c r="V192" s="2">
        <f t="shared" si="46"/>
        <v>5.2877706636415334E-2</v>
      </c>
      <c r="W192">
        <f>(T192+5/3)/(1/12)</f>
        <v>37.995319785418943</v>
      </c>
      <c r="X192" s="2">
        <f t="shared" si="47"/>
        <v>2.5761031143104036E-2</v>
      </c>
    </row>
    <row r="193" spans="5:24" x14ac:dyDescent="0.25">
      <c r="E193">
        <v>191</v>
      </c>
      <c r="F193">
        <f t="shared" si="32"/>
        <v>39.1</v>
      </c>
      <c r="G193">
        <f t="shared" si="33"/>
        <v>312.25</v>
      </c>
      <c r="H193" s="4">
        <f t="shared" si="34"/>
        <v>1.5916669999999999</v>
      </c>
      <c r="I193" s="4">
        <f t="shared" si="35"/>
        <v>5526.7964599999996</v>
      </c>
      <c r="J193" s="4">
        <f t="shared" si="36"/>
        <v>5.5467964599999995</v>
      </c>
      <c r="K193" s="4">
        <f t="shared" si="37"/>
        <v>1816.0203799999999</v>
      </c>
      <c r="L193">
        <f t="shared" si="38"/>
        <v>1.8160203799999999</v>
      </c>
      <c r="M193">
        <f>$B$12*F193+$B$13</f>
        <v>1.8027695151447349</v>
      </c>
      <c r="N193">
        <f t="shared" si="39"/>
        <v>1.3250864855264943E-2</v>
      </c>
      <c r="O193" s="4">
        <f t="shared" ca="1" si="40"/>
        <v>6.623271498542274</v>
      </c>
      <c r="P193" s="4">
        <f t="shared" si="41"/>
        <v>6.6489241257488612</v>
      </c>
      <c r="Q193" s="4">
        <f t="shared" ca="1" si="42"/>
        <v>2.565262720658712E-2</v>
      </c>
      <c r="R193" s="2">
        <f t="shared" ca="1" si="43"/>
        <v>3.8581621208826611E-3</v>
      </c>
      <c r="S193" s="4">
        <f t="shared" si="44"/>
        <v>1.5916669999999999</v>
      </c>
      <c r="T193">
        <v>1.5085851069562664</v>
      </c>
      <c r="U193">
        <f t="shared" si="45"/>
        <v>8.308189304373359E-2</v>
      </c>
      <c r="V193" s="2">
        <f t="shared" si="46"/>
        <v>5.2198037054065699E-2</v>
      </c>
      <c r="W193">
        <f>(T193+5/3)/(1/12)</f>
        <v>38.103021283475201</v>
      </c>
      <c r="X193" s="2">
        <f t="shared" si="47"/>
        <v>2.5498176893217411E-2</v>
      </c>
    </row>
    <row r="194" spans="5:24" x14ac:dyDescent="0.25">
      <c r="E194">
        <v>192</v>
      </c>
      <c r="F194">
        <f t="shared" si="32"/>
        <v>39.200000000000003</v>
      </c>
      <c r="G194">
        <f t="shared" si="33"/>
        <v>312.34999999999997</v>
      </c>
      <c r="H194" s="4">
        <f t="shared" si="34"/>
        <v>1.6</v>
      </c>
      <c r="I194" s="4">
        <f t="shared" si="35"/>
        <v>5504.5232980000001</v>
      </c>
      <c r="J194" s="4">
        <f t="shared" si="36"/>
        <v>5.5245232980000001</v>
      </c>
      <c r="K194" s="4">
        <f t="shared" si="37"/>
        <v>1813.6264389999999</v>
      </c>
      <c r="L194">
        <f t="shared" si="38"/>
        <v>1.8136264389999999</v>
      </c>
      <c r="M194">
        <f>$B$12*F194+$B$13</f>
        <v>1.8004216763218404</v>
      </c>
      <c r="N194">
        <f t="shared" si="39"/>
        <v>1.320476267815951E-2</v>
      </c>
      <c r="O194" s="4">
        <f t="shared" ca="1" si="40"/>
        <v>6.6161025014577257</v>
      </c>
      <c r="P194" s="4">
        <f t="shared" si="41"/>
        <v>6.6402648922407659</v>
      </c>
      <c r="Q194" s="4">
        <f t="shared" ca="1" si="42"/>
        <v>2.4162390783040166E-2</v>
      </c>
      <c r="R194" s="2">
        <f t="shared" ca="1" si="43"/>
        <v>3.638769111647071E-3</v>
      </c>
      <c r="S194" s="4">
        <f t="shared" si="44"/>
        <v>1.6</v>
      </c>
      <c r="T194">
        <v>1.5167910963608866</v>
      </c>
      <c r="U194">
        <f t="shared" si="45"/>
        <v>8.3208903639113485E-2</v>
      </c>
      <c r="V194" s="2">
        <f t="shared" si="46"/>
        <v>5.2005564774445928E-2</v>
      </c>
      <c r="W194">
        <f>(T194+5/3)/(1/12)</f>
        <v>38.201493156330642</v>
      </c>
      <c r="X194" s="2">
        <f t="shared" si="47"/>
        <v>2.5472113358912266E-2</v>
      </c>
    </row>
    <row r="195" spans="5:24" x14ac:dyDescent="0.25">
      <c r="E195">
        <v>193</v>
      </c>
      <c r="F195">
        <f t="shared" ref="F195:F258" si="48">E195*0.1+20</f>
        <v>39.299999999999997</v>
      </c>
      <c r="G195">
        <f t="shared" ref="G195:G258" si="49">F195+273.15</f>
        <v>312.45</v>
      </c>
      <c r="H195" s="4">
        <f t="shared" ref="H195:H258" si="50">ROUND(1/12*F195-5/3,6)</f>
        <v>1.608333</v>
      </c>
      <c r="I195" s="4">
        <f t="shared" ref="I195:I258" si="51">ROUND(10000*EXP(($B$3)+($B$4/G195)+($B$5/(G195^2))+($B$6/(G195^3))),6)</f>
        <v>5482.3523269999996</v>
      </c>
      <c r="J195" s="4">
        <f t="shared" ref="J195:J258" si="52">$B$9*(2*$B$8+I195)</f>
        <v>5.5023523269999997</v>
      </c>
      <c r="K195" s="4">
        <f t="shared" ref="K195:K258" si="53">ROUND(1/(1/(I195+2*$B$8)+1/($B$7)),6)</f>
        <v>1811.2305699999999</v>
      </c>
      <c r="L195">
        <f t="shared" ref="L195:L258" si="54">$B$9*K195</f>
        <v>1.81123057</v>
      </c>
      <c r="M195">
        <f>$B$12*F195+$B$13</f>
        <v>1.7980738374989462</v>
      </c>
      <c r="N195">
        <f t="shared" ref="N195:N258" si="55">ABS(L195-M195)</f>
        <v>1.3156732501053758E-2</v>
      </c>
      <c r="O195" s="4">
        <f t="shared" ref="O195:O258" ca="1" si="56">ROUND(L195*$B$28,6)+RANDBETWEEN(-1,1)*$B$23+RANDBETWEEN(-1,1)*$B$24</f>
        <v>6.606978137026239</v>
      </c>
      <c r="P195" s="4">
        <f t="shared" ref="P195:P258" si="57">M195*$B$22</f>
        <v>6.6316056587326724</v>
      </c>
      <c r="Q195" s="4">
        <f t="shared" ref="Q195:Q258" ca="1" si="58">ABS(O195-P195)</f>
        <v>2.4627521706433342E-2</v>
      </c>
      <c r="R195" s="2">
        <f t="shared" ref="R195:R258" ca="1" si="59">ABS(P195-O195)/P195</f>
        <v>3.7136589498507309E-3</v>
      </c>
      <c r="S195" s="4">
        <f t="shared" ref="S195:S258" si="60">ROUND($B$18*M195+$B$19,6)</f>
        <v>1.608333</v>
      </c>
      <c r="T195">
        <v>1.5258145135642385</v>
      </c>
      <c r="U195">
        <f t="shared" ref="U195:U258" si="61">ABS(S195-T195)</f>
        <v>8.251848643576154E-2</v>
      </c>
      <c r="V195" s="2">
        <f t="shared" ref="V195:V258" si="62">IF(S195=0, ABS(S195-T195),ABS(S195-T195)/S195)</f>
        <v>5.130684157805724E-2</v>
      </c>
      <c r="W195">
        <f>(T195+5/3)/(1/12)</f>
        <v>38.309774162770864</v>
      </c>
      <c r="X195" s="2">
        <f t="shared" ref="X195:X258" si="63">ABS(F195-W195)/F195</f>
        <v>2.519658618903646E-2</v>
      </c>
    </row>
    <row r="196" spans="5:24" x14ac:dyDescent="0.25">
      <c r="E196">
        <v>194</v>
      </c>
      <c r="F196">
        <f t="shared" si="48"/>
        <v>39.400000000000006</v>
      </c>
      <c r="G196">
        <f t="shared" si="49"/>
        <v>312.54999999999995</v>
      </c>
      <c r="H196" s="4">
        <f t="shared" si="50"/>
        <v>1.6166670000000001</v>
      </c>
      <c r="I196" s="4">
        <f t="shared" si="51"/>
        <v>5460.2830260000001</v>
      </c>
      <c r="J196" s="4">
        <f t="shared" si="52"/>
        <v>5.4802830260000004</v>
      </c>
      <c r="K196" s="4">
        <f t="shared" si="53"/>
        <v>1808.8327899999999</v>
      </c>
      <c r="L196">
        <f t="shared" si="54"/>
        <v>1.8088327900000001</v>
      </c>
      <c r="M196">
        <f>$B$12*F196+$B$13</f>
        <v>1.7957259986760516</v>
      </c>
      <c r="N196">
        <f t="shared" si="55"/>
        <v>1.310679132394843E-2</v>
      </c>
      <c r="O196" s="4">
        <f t="shared" ca="1" si="56"/>
        <v>6.5978467725947514</v>
      </c>
      <c r="P196" s="4">
        <f t="shared" si="57"/>
        <v>6.6229464252245771</v>
      </c>
      <c r="Q196" s="4">
        <f t="shared" ca="1" si="58"/>
        <v>2.5099652629825719E-2</v>
      </c>
      <c r="R196" s="2">
        <f t="shared" ca="1" si="59"/>
        <v>3.7898015502933224E-3</v>
      </c>
      <c r="S196" s="4">
        <f t="shared" si="60"/>
        <v>1.6166670000000001</v>
      </c>
      <c r="T196">
        <v>1.5340707653080601</v>
      </c>
      <c r="U196">
        <f t="shared" si="61"/>
        <v>8.2596234691939996E-2</v>
      </c>
      <c r="V196" s="2">
        <f t="shared" si="62"/>
        <v>5.1090443914510529E-2</v>
      </c>
      <c r="W196">
        <f>(T196+5/3)/(1/12)</f>
        <v>38.408849183696724</v>
      </c>
      <c r="X196" s="2">
        <f t="shared" si="63"/>
        <v>2.5156112088915786E-2</v>
      </c>
    </row>
    <row r="197" spans="5:24" x14ac:dyDescent="0.25">
      <c r="E197">
        <v>195</v>
      </c>
      <c r="F197">
        <f t="shared" si="48"/>
        <v>39.5</v>
      </c>
      <c r="G197">
        <f t="shared" si="49"/>
        <v>312.64999999999998</v>
      </c>
      <c r="H197" s="4">
        <f t="shared" si="50"/>
        <v>1.625</v>
      </c>
      <c r="I197" s="4">
        <f t="shared" si="51"/>
        <v>5438.3148760000004</v>
      </c>
      <c r="J197" s="4">
        <f t="shared" si="52"/>
        <v>5.4583148760000002</v>
      </c>
      <c r="K197" s="4">
        <f t="shared" si="53"/>
        <v>1806.4331159999999</v>
      </c>
      <c r="L197">
        <f t="shared" si="54"/>
        <v>1.806433116</v>
      </c>
      <c r="M197">
        <f>$B$12*F197+$B$13</f>
        <v>1.7933781598531575</v>
      </c>
      <c r="N197">
        <f t="shared" si="55"/>
        <v>1.3054956146842489E-2</v>
      </c>
      <c r="O197" s="4">
        <f t="shared" ca="1" si="56"/>
        <v>6.5894791370262382</v>
      </c>
      <c r="P197" s="4">
        <f t="shared" si="57"/>
        <v>6.6142871917164836</v>
      </c>
      <c r="Q197" s="4">
        <f t="shared" ca="1" si="58"/>
        <v>2.4808054690245385E-2</v>
      </c>
      <c r="R197" s="2">
        <f t="shared" ca="1" si="59"/>
        <v>3.7506769771524554E-3</v>
      </c>
      <c r="S197" s="4">
        <f t="shared" si="60"/>
        <v>1.625</v>
      </c>
      <c r="T197">
        <v>1.5431421328285895</v>
      </c>
      <c r="U197">
        <f t="shared" si="61"/>
        <v>8.1857867171410525E-2</v>
      </c>
      <c r="V197" s="2">
        <f t="shared" si="62"/>
        <v>5.0374072105483399E-2</v>
      </c>
      <c r="W197">
        <f>(T197+5/3)/(1/12)</f>
        <v>38.517705593943077</v>
      </c>
      <c r="X197" s="2">
        <f t="shared" si="63"/>
        <v>2.4868212811567664E-2</v>
      </c>
    </row>
    <row r="198" spans="5:24" x14ac:dyDescent="0.25">
      <c r="E198">
        <v>196</v>
      </c>
      <c r="F198">
        <f t="shared" si="48"/>
        <v>39.6</v>
      </c>
      <c r="G198">
        <f t="shared" si="49"/>
        <v>312.75</v>
      </c>
      <c r="H198" s="4">
        <f t="shared" si="50"/>
        <v>1.6333329999999999</v>
      </c>
      <c r="I198" s="4">
        <f t="shared" si="51"/>
        <v>5416.4473600000001</v>
      </c>
      <c r="J198" s="4">
        <f t="shared" si="52"/>
        <v>5.4364473599999998</v>
      </c>
      <c r="K198" s="4">
        <f t="shared" si="53"/>
        <v>1804.0315660000001</v>
      </c>
      <c r="L198">
        <f t="shared" si="54"/>
        <v>1.8040315660000001</v>
      </c>
      <c r="M198">
        <f>$B$12*F198+$B$13</f>
        <v>1.7910303210302629</v>
      </c>
      <c r="N198">
        <f t="shared" si="55"/>
        <v>1.3001244969737202E-2</v>
      </c>
      <c r="O198" s="4">
        <f t="shared" ca="1" si="56"/>
        <v>6.5803229999999999</v>
      </c>
      <c r="P198" s="4">
        <f t="shared" si="57"/>
        <v>6.6056279582083892</v>
      </c>
      <c r="Q198" s="4">
        <f t="shared" ca="1" si="58"/>
        <v>2.5304958208389294E-2</v>
      </c>
      <c r="R198" s="2">
        <f t="shared" ca="1" si="59"/>
        <v>3.8308179583357322E-3</v>
      </c>
      <c r="S198" s="4">
        <f t="shared" si="60"/>
        <v>1.6333329999999999</v>
      </c>
      <c r="T198">
        <v>1.5522368098151935</v>
      </c>
      <c r="U198">
        <f t="shared" si="61"/>
        <v>8.1096190184806405E-2</v>
      </c>
      <c r="V198" s="2">
        <f t="shared" si="62"/>
        <v>4.9650738817379192E-2</v>
      </c>
      <c r="W198">
        <f>(T198+5/3)/(1/12)</f>
        <v>38.626841717782327</v>
      </c>
      <c r="X198" s="2">
        <f t="shared" si="63"/>
        <v>2.4574704096405928E-2</v>
      </c>
    </row>
    <row r="199" spans="5:24" x14ac:dyDescent="0.25">
      <c r="E199">
        <v>197</v>
      </c>
      <c r="F199">
        <f t="shared" si="48"/>
        <v>39.700000000000003</v>
      </c>
      <c r="G199">
        <f t="shared" si="49"/>
        <v>312.84999999999997</v>
      </c>
      <c r="H199" s="4">
        <f t="shared" si="50"/>
        <v>1.641667</v>
      </c>
      <c r="I199" s="4">
        <f t="shared" si="51"/>
        <v>5394.6799659999997</v>
      </c>
      <c r="J199" s="4">
        <f t="shared" si="52"/>
        <v>5.4146799659999996</v>
      </c>
      <c r="K199" s="4">
        <f t="shared" si="53"/>
        <v>1801.6281570000001</v>
      </c>
      <c r="L199">
        <f t="shared" si="54"/>
        <v>1.8016281570000001</v>
      </c>
      <c r="M199">
        <f>$B$12*F199+$B$13</f>
        <v>1.7886824822073688</v>
      </c>
      <c r="N199">
        <f t="shared" si="55"/>
        <v>1.2945674792631312E-2</v>
      </c>
      <c r="O199" s="4">
        <f t="shared" ca="1" si="56"/>
        <v>6.5723375014577261</v>
      </c>
      <c r="P199" s="4">
        <f t="shared" si="57"/>
        <v>6.5969687247002957</v>
      </c>
      <c r="Q199" s="4">
        <f t="shared" ca="1" si="58"/>
        <v>2.4631223242569611E-2</v>
      </c>
      <c r="R199" s="2">
        <f t="shared" ca="1" si="59"/>
        <v>3.7337183592133253E-3</v>
      </c>
      <c r="S199" s="4">
        <f t="shared" si="60"/>
        <v>1.641667</v>
      </c>
      <c r="T199">
        <v>1.5613547095592029</v>
      </c>
      <c r="U199">
        <f t="shared" si="61"/>
        <v>8.0312290440797129E-2</v>
      </c>
      <c r="V199" s="2">
        <f t="shared" si="62"/>
        <v>4.8921182213443486E-2</v>
      </c>
      <c r="W199">
        <f>(T199+5/3)/(1/12)</f>
        <v>38.736256514710441</v>
      </c>
      <c r="X199" s="2">
        <f t="shared" si="63"/>
        <v>2.4275654541298798E-2</v>
      </c>
    </row>
    <row r="200" spans="5:24" x14ac:dyDescent="0.25">
      <c r="E200">
        <v>198</v>
      </c>
      <c r="F200">
        <f t="shared" si="48"/>
        <v>39.799999999999997</v>
      </c>
      <c r="G200">
        <f t="shared" si="49"/>
        <v>312.95</v>
      </c>
      <c r="H200" s="4">
        <f t="shared" si="50"/>
        <v>1.65</v>
      </c>
      <c r="I200" s="4">
        <f t="shared" si="51"/>
        <v>5373.0121820000004</v>
      </c>
      <c r="J200" s="4">
        <f t="shared" si="52"/>
        <v>5.3930121820000005</v>
      </c>
      <c r="K200" s="4">
        <f t="shared" si="53"/>
        <v>1799.2229050000001</v>
      </c>
      <c r="L200">
        <f t="shared" si="54"/>
        <v>1.7992229050000002</v>
      </c>
      <c r="M200">
        <f>$B$12*F200+$B$13</f>
        <v>1.7863346433844745</v>
      </c>
      <c r="N200">
        <f t="shared" si="55"/>
        <v>1.2888261615525698E-2</v>
      </c>
      <c r="O200" s="4">
        <f t="shared" ca="1" si="56"/>
        <v>6.5631683644314869</v>
      </c>
      <c r="P200" s="4">
        <f t="shared" si="57"/>
        <v>6.5883094911922013</v>
      </c>
      <c r="Q200" s="4">
        <f t="shared" ca="1" si="58"/>
        <v>2.514112676071445E-2</v>
      </c>
      <c r="R200" s="2">
        <f t="shared" ca="1" si="59"/>
        <v>3.816020907081732E-3</v>
      </c>
      <c r="S200" s="4">
        <f t="shared" si="60"/>
        <v>1.65</v>
      </c>
      <c r="T200">
        <v>1.5697093861918927</v>
      </c>
      <c r="U200">
        <f t="shared" si="61"/>
        <v>8.0290613808107203E-2</v>
      </c>
      <c r="V200" s="2">
        <f t="shared" si="62"/>
        <v>4.8660978065519521E-2</v>
      </c>
      <c r="W200">
        <f>(T200+5/3)/(1/12)</f>
        <v>38.836512634302714</v>
      </c>
      <c r="X200" s="2">
        <f t="shared" si="63"/>
        <v>2.4208225268775953E-2</v>
      </c>
    </row>
    <row r="201" spans="5:24" x14ac:dyDescent="0.25">
      <c r="E201">
        <v>199</v>
      </c>
      <c r="F201">
        <f t="shared" si="48"/>
        <v>39.900000000000006</v>
      </c>
      <c r="G201">
        <f t="shared" si="49"/>
        <v>313.04999999999995</v>
      </c>
      <c r="H201" s="4">
        <f t="shared" si="50"/>
        <v>1.6583330000000001</v>
      </c>
      <c r="I201" s="4">
        <f t="shared" si="51"/>
        <v>5351.4435009999997</v>
      </c>
      <c r="J201" s="4">
        <f t="shared" si="52"/>
        <v>5.3714435009999999</v>
      </c>
      <c r="K201" s="4">
        <f t="shared" si="53"/>
        <v>1796.81583</v>
      </c>
      <c r="L201">
        <f t="shared" si="54"/>
        <v>1.7968158300000001</v>
      </c>
      <c r="M201">
        <f>$B$12*F201+$B$13</f>
        <v>1.7839868045615799</v>
      </c>
      <c r="N201">
        <f t="shared" si="55"/>
        <v>1.2829025438420238E-2</v>
      </c>
      <c r="O201" s="4">
        <f t="shared" ca="1" si="56"/>
        <v>6.5543883644314871</v>
      </c>
      <c r="P201" s="4">
        <f t="shared" si="57"/>
        <v>6.5796502576841061</v>
      </c>
      <c r="Q201" s="4">
        <f t="shared" ca="1" si="58"/>
        <v>2.5261893252618961E-2</v>
      </c>
      <c r="R201" s="2">
        <f t="shared" ca="1" si="59"/>
        <v>3.8393975763554638E-3</v>
      </c>
      <c r="S201" s="4">
        <f t="shared" si="60"/>
        <v>1.6583330000000001</v>
      </c>
      <c r="T201">
        <v>1.5788745403580147</v>
      </c>
      <c r="U201">
        <f t="shared" si="61"/>
        <v>7.9458459641985391E-2</v>
      </c>
      <c r="V201" s="2">
        <f t="shared" si="62"/>
        <v>4.7914658661430118E-2</v>
      </c>
      <c r="W201">
        <f>(T201+5/3)/(1/12)</f>
        <v>38.946494484296174</v>
      </c>
      <c r="X201" s="2">
        <f t="shared" si="63"/>
        <v>2.3897381345960686E-2</v>
      </c>
    </row>
    <row r="202" spans="5:24" x14ac:dyDescent="0.25">
      <c r="E202">
        <v>200</v>
      </c>
      <c r="F202">
        <f t="shared" si="48"/>
        <v>40</v>
      </c>
      <c r="G202">
        <f t="shared" si="49"/>
        <v>313.14999999999998</v>
      </c>
      <c r="H202" s="4">
        <f t="shared" si="50"/>
        <v>1.6666669999999999</v>
      </c>
      <c r="I202" s="4">
        <f t="shared" si="51"/>
        <v>5329.9734189999999</v>
      </c>
      <c r="J202" s="4">
        <f t="shared" si="52"/>
        <v>5.3499734190000003</v>
      </c>
      <c r="K202" s="4">
        <f t="shared" si="53"/>
        <v>1794.4069480000001</v>
      </c>
      <c r="L202">
        <f t="shared" si="54"/>
        <v>1.794406948</v>
      </c>
      <c r="M202">
        <f>$B$12*F202+$B$13</f>
        <v>1.7816389657386857</v>
      </c>
      <c r="N202">
        <f t="shared" si="55"/>
        <v>1.2767982261314259E-2</v>
      </c>
      <c r="O202" s="4">
        <f t="shared" ca="1" si="56"/>
        <v>6.5452267725947513</v>
      </c>
      <c r="P202" s="4">
        <f t="shared" si="57"/>
        <v>6.5709910241760126</v>
      </c>
      <c r="Q202" s="4">
        <f t="shared" ca="1" si="58"/>
        <v>2.5764251581261277E-2</v>
      </c>
      <c r="R202" s="2">
        <f t="shared" ca="1" si="59"/>
        <v>3.9209080466659219E-3</v>
      </c>
      <c r="S202" s="4">
        <f t="shared" si="60"/>
        <v>1.6666669999999999</v>
      </c>
      <c r="T202">
        <v>1.5880626533293829</v>
      </c>
      <c r="U202">
        <f t="shared" si="61"/>
        <v>7.8604346670616998E-2</v>
      </c>
      <c r="V202" s="2">
        <f t="shared" si="62"/>
        <v>4.7162598569850486E-2</v>
      </c>
      <c r="W202">
        <f>(T202+5/3)/(1/12)</f>
        <v>39.056751839952597</v>
      </c>
      <c r="X202" s="2">
        <f t="shared" si="63"/>
        <v>2.3581204001185085E-2</v>
      </c>
    </row>
    <row r="203" spans="5:24" x14ac:dyDescent="0.25">
      <c r="E203">
        <v>201</v>
      </c>
      <c r="F203">
        <f t="shared" si="48"/>
        <v>40.1</v>
      </c>
      <c r="G203">
        <f t="shared" si="49"/>
        <v>313.25</v>
      </c>
      <c r="H203" s="4">
        <f t="shared" si="50"/>
        <v>1.675</v>
      </c>
      <c r="I203" s="4">
        <f t="shared" si="51"/>
        <v>5308.6014329999998</v>
      </c>
      <c r="J203" s="4">
        <f t="shared" si="52"/>
        <v>5.3286014330000002</v>
      </c>
      <c r="K203" s="4">
        <f t="shared" si="53"/>
        <v>1791.9962760000001</v>
      </c>
      <c r="L203">
        <f t="shared" si="54"/>
        <v>1.7919962760000001</v>
      </c>
      <c r="M203">
        <f>$B$12*F203+$B$13</f>
        <v>1.7792911269157914</v>
      </c>
      <c r="N203">
        <f t="shared" si="55"/>
        <v>1.2705149084208722E-2</v>
      </c>
      <c r="O203" s="4">
        <f t="shared" ca="1" si="56"/>
        <v>6.5368191370262387</v>
      </c>
      <c r="P203" s="4">
        <f t="shared" si="57"/>
        <v>6.5623317906679182</v>
      </c>
      <c r="Q203" s="4">
        <f t="shared" ca="1" si="58"/>
        <v>2.5512653641679428E-2</v>
      </c>
      <c r="R203" s="2">
        <f t="shared" ca="1" si="59"/>
        <v>3.8877421098945583E-3</v>
      </c>
      <c r="S203" s="4">
        <f t="shared" si="60"/>
        <v>1.675</v>
      </c>
      <c r="T203">
        <v>1.596490504115079</v>
      </c>
      <c r="U203">
        <f t="shared" si="61"/>
        <v>7.8509495884921066E-2</v>
      </c>
      <c r="V203" s="2">
        <f t="shared" si="62"/>
        <v>4.6871340826818549E-2</v>
      </c>
      <c r="W203">
        <f>(T203+5/3)/(1/12)</f>
        <v>39.157886049380949</v>
      </c>
      <c r="X203" s="2">
        <f t="shared" si="63"/>
        <v>2.349411348177189E-2</v>
      </c>
    </row>
    <row r="204" spans="5:24" x14ac:dyDescent="0.25">
      <c r="E204">
        <v>202</v>
      </c>
      <c r="F204">
        <f t="shared" si="48"/>
        <v>40.200000000000003</v>
      </c>
      <c r="G204">
        <f t="shared" si="49"/>
        <v>313.34999999999997</v>
      </c>
      <c r="H204" s="4">
        <f t="shared" si="50"/>
        <v>1.683333</v>
      </c>
      <c r="I204" s="4">
        <f t="shared" si="51"/>
        <v>5287.3270439999997</v>
      </c>
      <c r="J204" s="4">
        <f t="shared" si="52"/>
        <v>5.307327044</v>
      </c>
      <c r="K204" s="4">
        <f t="shared" si="53"/>
        <v>1789.583832</v>
      </c>
      <c r="L204">
        <f t="shared" si="54"/>
        <v>1.7895838320000002</v>
      </c>
      <c r="M204">
        <f>$B$12*F204+$B$13</f>
        <v>1.7769432880928968</v>
      </c>
      <c r="N204">
        <f t="shared" si="55"/>
        <v>1.2640543907103341E-2</v>
      </c>
      <c r="O204" s="4">
        <f t="shared" ca="1" si="56"/>
        <v>6.527613227405249</v>
      </c>
      <c r="P204" s="4">
        <f t="shared" si="57"/>
        <v>6.5536725571598238</v>
      </c>
      <c r="Q204" s="4">
        <f t="shared" ca="1" si="58"/>
        <v>2.6059329754574811E-2</v>
      </c>
      <c r="R204" s="2">
        <f t="shared" ca="1" si="59"/>
        <v>3.9762941354317813E-3</v>
      </c>
      <c r="S204" s="4">
        <f t="shared" si="60"/>
        <v>1.683333</v>
      </c>
      <c r="T204">
        <v>1.6057253423094078</v>
      </c>
      <c r="U204">
        <f t="shared" si="61"/>
        <v>7.7607657690592191E-2</v>
      </c>
      <c r="V204" s="2">
        <f t="shared" si="62"/>
        <v>4.6103568153533607E-2</v>
      </c>
      <c r="W204">
        <f>(T204+5/3)/(1/12)</f>
        <v>39.2687041077129</v>
      </c>
      <c r="X204" s="2">
        <f t="shared" si="63"/>
        <v>2.3166564484753811E-2</v>
      </c>
    </row>
    <row r="205" spans="5:24" x14ac:dyDescent="0.25">
      <c r="E205">
        <v>203</v>
      </c>
      <c r="F205">
        <f t="shared" si="48"/>
        <v>40.299999999999997</v>
      </c>
      <c r="G205">
        <f t="shared" si="49"/>
        <v>313.45</v>
      </c>
      <c r="H205" s="4">
        <f t="shared" si="50"/>
        <v>1.691667</v>
      </c>
      <c r="I205" s="4">
        <f t="shared" si="51"/>
        <v>5266.1497570000001</v>
      </c>
      <c r="J205" s="4">
        <f t="shared" si="52"/>
        <v>5.2861497570000004</v>
      </c>
      <c r="K205" s="4">
        <f t="shared" si="53"/>
        <v>1787.169635</v>
      </c>
      <c r="L205">
        <f t="shared" si="54"/>
        <v>1.7871696349999999</v>
      </c>
      <c r="M205">
        <f>$B$12*F205+$B$13</f>
        <v>1.7745954492700027</v>
      </c>
      <c r="N205">
        <f t="shared" si="55"/>
        <v>1.2574185729997245E-2</v>
      </c>
      <c r="O205" s="4">
        <f t="shared" ca="1" si="56"/>
        <v>6.5195995014577255</v>
      </c>
      <c r="P205" s="4">
        <f t="shared" si="57"/>
        <v>6.5450133236517303</v>
      </c>
      <c r="Q205" s="4">
        <f t="shared" ca="1" si="58"/>
        <v>2.5413822194004787E-2</v>
      </c>
      <c r="R205" s="2">
        <f t="shared" ca="1" si="59"/>
        <v>3.8829290235616169E-3</v>
      </c>
      <c r="S205" s="4">
        <f t="shared" si="60"/>
        <v>1.691667</v>
      </c>
      <c r="T205">
        <v>1.614982871545112</v>
      </c>
      <c r="U205">
        <f t="shared" si="61"/>
        <v>7.6684128454888034E-2</v>
      </c>
      <c r="V205" s="2">
        <f t="shared" si="62"/>
        <v>4.5330510351557392E-2</v>
      </c>
      <c r="W205">
        <f>(T205+5/3)/(1/12)</f>
        <v>39.379794458541348</v>
      </c>
      <c r="X205" s="2">
        <f t="shared" si="63"/>
        <v>2.283388440344044E-2</v>
      </c>
    </row>
    <row r="206" spans="5:24" x14ac:dyDescent="0.25">
      <c r="E206">
        <v>204</v>
      </c>
      <c r="F206">
        <f t="shared" si="48"/>
        <v>40.400000000000006</v>
      </c>
      <c r="G206">
        <f t="shared" si="49"/>
        <v>313.54999999999995</v>
      </c>
      <c r="H206" s="4">
        <f t="shared" si="50"/>
        <v>1.7</v>
      </c>
      <c r="I206" s="4">
        <f t="shared" si="51"/>
        <v>5245.0690770000001</v>
      </c>
      <c r="J206" s="4">
        <f t="shared" si="52"/>
        <v>5.2650690770000006</v>
      </c>
      <c r="K206" s="4">
        <f t="shared" si="53"/>
        <v>1784.7537</v>
      </c>
      <c r="L206">
        <f t="shared" si="54"/>
        <v>1.7847537</v>
      </c>
      <c r="M206">
        <f>$B$12*F206+$B$13</f>
        <v>1.7722476104471081</v>
      </c>
      <c r="N206">
        <f t="shared" si="55"/>
        <v>1.2506089552891897E-2</v>
      </c>
      <c r="O206" s="4">
        <f t="shared" ca="1" si="56"/>
        <v>6.5104021370262384</v>
      </c>
      <c r="P206" s="4">
        <f t="shared" si="57"/>
        <v>6.536354090143635</v>
      </c>
      <c r="Q206" s="4">
        <f t="shared" ca="1" si="58"/>
        <v>2.595195311739662E-2</v>
      </c>
      <c r="R206" s="2">
        <f t="shared" ca="1" si="59"/>
        <v>3.9704019640751029E-3</v>
      </c>
      <c r="S206" s="4">
        <f t="shared" si="60"/>
        <v>1.7</v>
      </c>
      <c r="T206">
        <v>1.6234831027505476</v>
      </c>
      <c r="U206">
        <f t="shared" si="61"/>
        <v>7.651689724945232E-2</v>
      </c>
      <c r="V206" s="2">
        <f t="shared" si="62"/>
        <v>4.5009939558501369E-2</v>
      </c>
      <c r="W206">
        <f>(T206+5/3)/(1/12)</f>
        <v>39.481797233006574</v>
      </c>
      <c r="X206" s="2">
        <f t="shared" si="63"/>
        <v>2.2727791262213644E-2</v>
      </c>
    </row>
    <row r="207" spans="5:24" x14ac:dyDescent="0.25">
      <c r="E207">
        <v>205</v>
      </c>
      <c r="F207">
        <f t="shared" si="48"/>
        <v>40.5</v>
      </c>
      <c r="G207">
        <f t="shared" si="49"/>
        <v>313.64999999999998</v>
      </c>
      <c r="H207" s="4">
        <f t="shared" si="50"/>
        <v>1.7083330000000001</v>
      </c>
      <c r="I207" s="4">
        <f t="shared" si="51"/>
        <v>5224.0845129999998</v>
      </c>
      <c r="J207" s="4">
        <f t="shared" si="52"/>
        <v>5.2440845129999998</v>
      </c>
      <c r="K207" s="4">
        <f t="shared" si="53"/>
        <v>1782.336047</v>
      </c>
      <c r="L207">
        <f t="shared" si="54"/>
        <v>1.782336047</v>
      </c>
      <c r="M207">
        <f>$B$12*F207+$B$13</f>
        <v>1.769899771624214</v>
      </c>
      <c r="N207">
        <f t="shared" si="55"/>
        <v>1.2436275375786066E-2</v>
      </c>
      <c r="O207" s="4">
        <f t="shared" ca="1" si="56"/>
        <v>6.5011869999999998</v>
      </c>
      <c r="P207" s="4">
        <f t="shared" si="57"/>
        <v>6.5276948566355415</v>
      </c>
      <c r="Q207" s="4">
        <f t="shared" ca="1" si="58"/>
        <v>2.6507856635541671E-2</v>
      </c>
      <c r="R207" s="2">
        <f t="shared" ca="1" si="59"/>
        <v>4.0608296217455493E-3</v>
      </c>
      <c r="S207" s="4">
        <f t="shared" si="60"/>
        <v>1.7083330000000001</v>
      </c>
      <c r="T207">
        <v>1.6327868215360017</v>
      </c>
      <c r="U207">
        <f t="shared" si="61"/>
        <v>7.5546178463998359E-2</v>
      </c>
      <c r="V207" s="2">
        <f t="shared" si="62"/>
        <v>4.4222161875933058E-2</v>
      </c>
      <c r="W207">
        <f>(T207+5/3)/(1/12)</f>
        <v>39.593441858432023</v>
      </c>
      <c r="X207" s="2">
        <f t="shared" si="63"/>
        <v>2.238415164365376E-2</v>
      </c>
    </row>
    <row r="208" spans="5:24" x14ac:dyDescent="0.25">
      <c r="E208">
        <v>206</v>
      </c>
      <c r="F208">
        <f t="shared" si="48"/>
        <v>40.6</v>
      </c>
      <c r="G208">
        <f t="shared" si="49"/>
        <v>313.75</v>
      </c>
      <c r="H208" s="4">
        <f t="shared" si="50"/>
        <v>1.7166669999999999</v>
      </c>
      <c r="I208" s="4">
        <f t="shared" si="51"/>
        <v>5203.1955779999998</v>
      </c>
      <c r="J208" s="4">
        <f t="shared" si="52"/>
        <v>5.2231955780000003</v>
      </c>
      <c r="K208" s="4">
        <f t="shared" si="53"/>
        <v>1779.916692</v>
      </c>
      <c r="L208">
        <f t="shared" si="54"/>
        <v>1.779916692</v>
      </c>
      <c r="M208">
        <f>$B$12*F208+$B$13</f>
        <v>1.7675519328013196</v>
      </c>
      <c r="N208">
        <f t="shared" si="55"/>
        <v>1.2364759198680408E-2</v>
      </c>
      <c r="O208" s="4">
        <f t="shared" ca="1" si="56"/>
        <v>6.4919766355685127</v>
      </c>
      <c r="P208" s="4">
        <f t="shared" si="57"/>
        <v>6.5190356231274471</v>
      </c>
      <c r="Q208" s="4">
        <f t="shared" ca="1" si="58"/>
        <v>2.7058987558934433E-2</v>
      </c>
      <c r="R208" s="2">
        <f t="shared" ca="1" si="59"/>
        <v>4.150765408143779E-3</v>
      </c>
      <c r="S208" s="4">
        <f t="shared" si="60"/>
        <v>1.7166669999999999</v>
      </c>
      <c r="T208">
        <v>1.6413352210814001</v>
      </c>
      <c r="U208">
        <f t="shared" si="61"/>
        <v>7.5331778918599879E-2</v>
      </c>
      <c r="V208" s="2">
        <f t="shared" si="62"/>
        <v>4.3882581140430775E-2</v>
      </c>
      <c r="W208">
        <f>(T208+5/3)/(1/12)</f>
        <v>39.696022652976808</v>
      </c>
      <c r="X208" s="2">
        <f t="shared" si="63"/>
        <v>2.2265451897122993E-2</v>
      </c>
    </row>
    <row r="209" spans="5:24" x14ac:dyDescent="0.25">
      <c r="E209">
        <v>207</v>
      </c>
      <c r="F209">
        <f t="shared" si="48"/>
        <v>40.700000000000003</v>
      </c>
      <c r="G209">
        <f t="shared" si="49"/>
        <v>313.84999999999997</v>
      </c>
      <c r="H209" s="4">
        <f t="shared" si="50"/>
        <v>1.7250000000000001</v>
      </c>
      <c r="I209" s="4">
        <f t="shared" si="51"/>
        <v>5182.4017860000004</v>
      </c>
      <c r="J209" s="4">
        <f t="shared" si="52"/>
        <v>5.2024017860000002</v>
      </c>
      <c r="K209" s="4">
        <f t="shared" si="53"/>
        <v>1777.4956529999999</v>
      </c>
      <c r="L209">
        <f t="shared" si="54"/>
        <v>1.7774956529999999</v>
      </c>
      <c r="M209">
        <f>$B$12*F209+$B$13</f>
        <v>1.7652040939784253</v>
      </c>
      <c r="N209">
        <f t="shared" si="55"/>
        <v>1.2291559021574638E-2</v>
      </c>
      <c r="O209" s="4">
        <f t="shared" ca="1" si="56"/>
        <v>6.4835310000000002</v>
      </c>
      <c r="P209" s="4">
        <f t="shared" si="57"/>
        <v>6.5103763896193527</v>
      </c>
      <c r="Q209" s="4">
        <f t="shared" ca="1" si="58"/>
        <v>2.6845389619352567E-2</v>
      </c>
      <c r="R209" s="2">
        <f t="shared" ca="1" si="59"/>
        <v>4.1234773556498103E-3</v>
      </c>
      <c r="S209" s="4">
        <f t="shared" si="60"/>
        <v>1.7250000000000001</v>
      </c>
      <c r="T209">
        <v>1.650684768499143</v>
      </c>
      <c r="U209">
        <f t="shared" si="61"/>
        <v>7.431523150085706E-2</v>
      </c>
      <c r="V209" s="2">
        <f t="shared" si="62"/>
        <v>4.3081293623685249E-2</v>
      </c>
      <c r="W209">
        <f>(T209+5/3)/(1/12)</f>
        <v>39.808217221989715</v>
      </c>
      <c r="X209" s="2">
        <f t="shared" si="63"/>
        <v>2.1911124766837549E-2</v>
      </c>
    </row>
    <row r="210" spans="5:24" x14ac:dyDescent="0.25">
      <c r="E210">
        <v>208</v>
      </c>
      <c r="F210">
        <f t="shared" si="48"/>
        <v>40.799999999999997</v>
      </c>
      <c r="G210">
        <f t="shared" si="49"/>
        <v>313.95</v>
      </c>
      <c r="H210" s="4">
        <f t="shared" si="50"/>
        <v>1.733333</v>
      </c>
      <c r="I210" s="4">
        <f t="shared" si="51"/>
        <v>5161.702655</v>
      </c>
      <c r="J210" s="4">
        <f t="shared" si="52"/>
        <v>5.1817026550000005</v>
      </c>
      <c r="K210" s="4">
        <f t="shared" si="53"/>
        <v>1775.072948</v>
      </c>
      <c r="L210">
        <f t="shared" si="54"/>
        <v>1.775072948</v>
      </c>
      <c r="M210">
        <f>$B$12*F210+$B$13</f>
        <v>1.7628562551555311</v>
      </c>
      <c r="N210">
        <f t="shared" si="55"/>
        <v>1.2216692844468913E-2</v>
      </c>
      <c r="O210" s="4">
        <f t="shared" ca="1" si="56"/>
        <v>6.4743086355685131</v>
      </c>
      <c r="P210" s="4">
        <f t="shared" si="57"/>
        <v>6.5017171561112601</v>
      </c>
      <c r="Q210" s="4">
        <f t="shared" ca="1" si="58"/>
        <v>2.7408520542747006E-2</v>
      </c>
      <c r="R210" s="2">
        <f t="shared" ca="1" si="59"/>
        <v>4.2155818047213099E-3</v>
      </c>
      <c r="S210" s="4">
        <f t="shared" si="60"/>
        <v>1.733333</v>
      </c>
      <c r="T210">
        <v>1.6592809767473002</v>
      </c>
      <c r="U210">
        <f t="shared" si="61"/>
        <v>7.4052023252699772E-2</v>
      </c>
      <c r="V210" s="2">
        <f t="shared" si="62"/>
        <v>4.2722329323159357E-2</v>
      </c>
      <c r="W210">
        <f>(T210+5/3)/(1/12)</f>
        <v>39.911371720967601</v>
      </c>
      <c r="X210" s="2">
        <f t="shared" si="63"/>
        <v>2.1780104878245003E-2</v>
      </c>
    </row>
    <row r="211" spans="5:24" x14ac:dyDescent="0.25">
      <c r="E211">
        <v>209</v>
      </c>
      <c r="F211">
        <f t="shared" si="48"/>
        <v>40.900000000000006</v>
      </c>
      <c r="G211">
        <f t="shared" si="49"/>
        <v>314.04999999999995</v>
      </c>
      <c r="H211" s="4">
        <f t="shared" si="50"/>
        <v>1.7416670000000001</v>
      </c>
      <c r="I211" s="4">
        <f t="shared" si="51"/>
        <v>5141.0977039999998</v>
      </c>
      <c r="J211" s="4">
        <f t="shared" si="52"/>
        <v>5.1610977040000003</v>
      </c>
      <c r="K211" s="4">
        <f t="shared" si="53"/>
        <v>1772.6485949999999</v>
      </c>
      <c r="L211">
        <f t="shared" si="54"/>
        <v>1.7726485949999999</v>
      </c>
      <c r="M211">
        <f>$B$12*F211+$B$13</f>
        <v>1.7605084163326365</v>
      </c>
      <c r="N211">
        <f t="shared" si="55"/>
        <v>1.2140178667363388E-2</v>
      </c>
      <c r="O211" s="4">
        <f t="shared" ca="1" si="56"/>
        <v>6.4658402274052484</v>
      </c>
      <c r="P211" s="4">
        <f t="shared" si="57"/>
        <v>6.4930579226031648</v>
      </c>
      <c r="Q211" s="4">
        <f t="shared" ca="1" si="58"/>
        <v>2.7217695197916392E-2</v>
      </c>
      <c r="R211" s="2">
        <f t="shared" ca="1" si="59"/>
        <v>4.1918146306947476E-3</v>
      </c>
      <c r="S211" s="4">
        <f t="shared" si="60"/>
        <v>1.7416670000000001</v>
      </c>
      <c r="T211">
        <v>1.6686759894648313</v>
      </c>
      <c r="U211">
        <f t="shared" si="61"/>
        <v>7.2991010535168765E-2</v>
      </c>
      <c r="V211" s="2">
        <f t="shared" si="62"/>
        <v>4.190870616206701E-2</v>
      </c>
      <c r="W211">
        <f>(T211+5/3)/(1/12)</f>
        <v>40.024111873577979</v>
      </c>
      <c r="X211" s="2">
        <f t="shared" si="63"/>
        <v>2.1415357614230471E-2</v>
      </c>
    </row>
    <row r="212" spans="5:24" x14ac:dyDescent="0.25">
      <c r="E212">
        <v>210</v>
      </c>
      <c r="F212">
        <f t="shared" si="48"/>
        <v>41</v>
      </c>
      <c r="G212">
        <f t="shared" si="49"/>
        <v>314.14999999999998</v>
      </c>
      <c r="H212" s="4">
        <f t="shared" si="50"/>
        <v>1.75</v>
      </c>
      <c r="I212" s="4">
        <f t="shared" si="51"/>
        <v>5120.586456</v>
      </c>
      <c r="J212" s="4">
        <f t="shared" si="52"/>
        <v>5.1405864560000003</v>
      </c>
      <c r="K212" s="4">
        <f t="shared" si="53"/>
        <v>1770.2226109999999</v>
      </c>
      <c r="L212">
        <f t="shared" si="54"/>
        <v>1.7702226109999999</v>
      </c>
      <c r="M212">
        <f>$B$12*F212+$B$13</f>
        <v>1.7581605775097424</v>
      </c>
      <c r="N212">
        <f t="shared" si="55"/>
        <v>1.2062033490257473E-2</v>
      </c>
      <c r="O212" s="4">
        <f t="shared" ca="1" si="56"/>
        <v>6.4570030000000003</v>
      </c>
      <c r="P212" s="4">
        <f t="shared" si="57"/>
        <v>6.4843986890950713</v>
      </c>
      <c r="Q212" s="4">
        <f t="shared" ca="1" si="58"/>
        <v>2.7395689095071063E-2</v>
      </c>
      <c r="R212" s="2">
        <f t="shared" ca="1" si="59"/>
        <v>4.2248619199098418E-3</v>
      </c>
      <c r="S212" s="4">
        <f t="shared" si="60"/>
        <v>1.75</v>
      </c>
      <c r="T212">
        <v>1.6773196438979556</v>
      </c>
      <c r="U212">
        <f t="shared" si="61"/>
        <v>7.2680356102044374E-2</v>
      </c>
      <c r="V212" s="2">
        <f t="shared" si="62"/>
        <v>4.153163205831107E-2</v>
      </c>
      <c r="W212">
        <f>(T212+5/3)/(1/12)</f>
        <v>40.127835726775466</v>
      </c>
      <c r="X212" s="2">
        <f t="shared" si="63"/>
        <v>2.127229934693986E-2</v>
      </c>
    </row>
    <row r="213" spans="5:24" x14ac:dyDescent="0.25">
      <c r="E213">
        <v>211</v>
      </c>
      <c r="F213">
        <f t="shared" si="48"/>
        <v>41.1</v>
      </c>
      <c r="G213">
        <f t="shared" si="49"/>
        <v>314.25</v>
      </c>
      <c r="H213" s="4">
        <f t="shared" si="50"/>
        <v>1.7583329999999999</v>
      </c>
      <c r="I213" s="4">
        <f t="shared" si="51"/>
        <v>5100.1684370000003</v>
      </c>
      <c r="J213" s="4">
        <f t="shared" si="52"/>
        <v>5.1201684370000002</v>
      </c>
      <c r="K213" s="4">
        <f t="shared" si="53"/>
        <v>1767.7950149999999</v>
      </c>
      <c r="L213">
        <f t="shared" si="54"/>
        <v>1.7677950149999999</v>
      </c>
      <c r="M213">
        <f>$B$12*F213+$B$13</f>
        <v>1.7558127386868478</v>
      </c>
      <c r="N213">
        <f t="shared" si="55"/>
        <v>1.1982276313152074E-2</v>
      </c>
      <c r="O213" s="4">
        <f t="shared" ca="1" si="56"/>
        <v>6.4481372274052484</v>
      </c>
      <c r="P213" s="4">
        <f t="shared" si="57"/>
        <v>6.4757394555869761</v>
      </c>
      <c r="Q213" s="4">
        <f t="shared" ca="1" si="58"/>
        <v>2.7602228181727639E-2</v>
      </c>
      <c r="R213" s="2">
        <f t="shared" ca="1" si="59"/>
        <v>4.2624056095885206E-3</v>
      </c>
      <c r="S213" s="4">
        <f t="shared" si="60"/>
        <v>1.7583329999999999</v>
      </c>
      <c r="T213">
        <v>1.6867597553966776</v>
      </c>
      <c r="U213">
        <f t="shared" si="61"/>
        <v>7.1573244603322372E-2</v>
      </c>
      <c r="V213" s="2">
        <f t="shared" si="62"/>
        <v>4.0705170524196713E-2</v>
      </c>
      <c r="W213">
        <f>(T213+5/3)/(1/12)</f>
        <v>40.241117064760132</v>
      </c>
      <c r="X213" s="2">
        <f t="shared" si="63"/>
        <v>2.0897395018001679E-2</v>
      </c>
    </row>
    <row r="214" spans="5:24" x14ac:dyDescent="0.25">
      <c r="E214">
        <v>212</v>
      </c>
      <c r="F214">
        <f t="shared" si="48"/>
        <v>41.2</v>
      </c>
      <c r="G214">
        <f t="shared" si="49"/>
        <v>314.34999999999997</v>
      </c>
      <c r="H214" s="4">
        <f t="shared" si="50"/>
        <v>1.766667</v>
      </c>
      <c r="I214" s="4">
        <f t="shared" si="51"/>
        <v>5079.8431739999996</v>
      </c>
      <c r="J214" s="4">
        <f t="shared" si="52"/>
        <v>5.0998431740000001</v>
      </c>
      <c r="K214" s="4">
        <f t="shared" si="53"/>
        <v>1765.365824</v>
      </c>
      <c r="L214">
        <f t="shared" si="54"/>
        <v>1.7653658240000001</v>
      </c>
      <c r="M214">
        <f>$B$12*F214+$B$13</f>
        <v>1.7534648998639535</v>
      </c>
      <c r="N214">
        <f t="shared" si="55"/>
        <v>1.1900924136046598E-2</v>
      </c>
      <c r="O214" s="4">
        <f t="shared" ca="1" si="56"/>
        <v>6.4389016355685129</v>
      </c>
      <c r="P214" s="4">
        <f t="shared" si="57"/>
        <v>6.4670802220788817</v>
      </c>
      <c r="Q214" s="4">
        <f t="shared" ca="1" si="58"/>
        <v>2.8178586510368753E-2</v>
      </c>
      <c r="R214" s="2">
        <f t="shared" ca="1" si="59"/>
        <v>4.3572347245926972E-3</v>
      </c>
      <c r="S214" s="4">
        <f t="shared" si="60"/>
        <v>1.766667</v>
      </c>
      <c r="T214">
        <v>1.6946792473336683</v>
      </c>
      <c r="U214">
        <f t="shared" si="61"/>
        <v>7.1987752666331728E-2</v>
      </c>
      <c r="V214" s="2">
        <f t="shared" si="62"/>
        <v>4.074777683985252E-2</v>
      </c>
      <c r="W214">
        <f>(T214+5/3)/(1/12)</f>
        <v>40.33615096800402</v>
      </c>
      <c r="X214" s="2">
        <f t="shared" si="63"/>
        <v>2.0967209514465603E-2</v>
      </c>
    </row>
    <row r="215" spans="5:24" x14ac:dyDescent="0.25">
      <c r="E215">
        <v>213</v>
      </c>
      <c r="F215">
        <f t="shared" si="48"/>
        <v>41.3</v>
      </c>
      <c r="G215">
        <f t="shared" si="49"/>
        <v>314.45</v>
      </c>
      <c r="H215" s="4">
        <f t="shared" si="50"/>
        <v>1.7749999999999999</v>
      </c>
      <c r="I215" s="4">
        <f t="shared" si="51"/>
        <v>5059.6101989999997</v>
      </c>
      <c r="J215" s="4">
        <f t="shared" si="52"/>
        <v>5.0796101990000002</v>
      </c>
      <c r="K215" s="4">
        <f t="shared" si="53"/>
        <v>1762.9350549999999</v>
      </c>
      <c r="L215">
        <f t="shared" si="54"/>
        <v>1.762935055</v>
      </c>
      <c r="M215">
        <f>$B$12*F215+$B$13</f>
        <v>1.7511170610410591</v>
      </c>
      <c r="N215">
        <f t="shared" si="55"/>
        <v>1.1817993958940898E-2</v>
      </c>
      <c r="O215" s="4">
        <f t="shared" ca="1" si="56"/>
        <v>6.4300248629737613</v>
      </c>
      <c r="P215" s="4">
        <f t="shared" si="57"/>
        <v>6.4584209885707873</v>
      </c>
      <c r="Q215" s="4">
        <f t="shared" ca="1" si="58"/>
        <v>2.8396125597025978E-2</v>
      </c>
      <c r="R215" s="2">
        <f t="shared" ca="1" si="59"/>
        <v>4.3967597725941806E-3</v>
      </c>
      <c r="S215" s="4">
        <f t="shared" si="60"/>
        <v>1.7749999999999999</v>
      </c>
      <c r="T215">
        <v>1.7033950137534382</v>
      </c>
      <c r="U215">
        <f t="shared" si="61"/>
        <v>7.1604986246561753E-2</v>
      </c>
      <c r="V215" s="2">
        <f t="shared" si="62"/>
        <v>4.034083732200662E-2</v>
      </c>
      <c r="W215">
        <f>(T215+5/3)/(1/12)</f>
        <v>40.440740165041262</v>
      </c>
      <c r="X215" s="2">
        <f t="shared" si="63"/>
        <v>2.0805322880356778E-2</v>
      </c>
    </row>
    <row r="216" spans="5:24" x14ac:dyDescent="0.25">
      <c r="E216">
        <v>214</v>
      </c>
      <c r="F216">
        <f t="shared" si="48"/>
        <v>41.400000000000006</v>
      </c>
      <c r="G216">
        <f t="shared" si="49"/>
        <v>314.54999999999995</v>
      </c>
      <c r="H216" s="4">
        <f t="shared" si="50"/>
        <v>1.7833330000000001</v>
      </c>
      <c r="I216" s="4">
        <f t="shared" si="51"/>
        <v>5039.4690440000004</v>
      </c>
      <c r="J216" s="4">
        <f t="shared" si="52"/>
        <v>5.0594690440000001</v>
      </c>
      <c r="K216" s="4">
        <f t="shared" si="53"/>
        <v>1760.5027279999999</v>
      </c>
      <c r="L216">
        <f t="shared" si="54"/>
        <v>1.7605027280000001</v>
      </c>
      <c r="M216">
        <f>$B$12*F216+$B$13</f>
        <v>1.7487692222181648</v>
      </c>
      <c r="N216">
        <f t="shared" si="55"/>
        <v>1.1733505781835296E-2</v>
      </c>
      <c r="O216" s="4">
        <f t="shared" ca="1" si="56"/>
        <v>6.4211636355685124</v>
      </c>
      <c r="P216" s="4">
        <f t="shared" si="57"/>
        <v>6.4497617550626938</v>
      </c>
      <c r="Q216" s="4">
        <f t="shared" ca="1" si="58"/>
        <v>2.859811949418134E-2</v>
      </c>
      <c r="R216" s="2">
        <f t="shared" ca="1" si="59"/>
        <v>4.4339807546741475E-3</v>
      </c>
      <c r="S216" s="4">
        <f t="shared" si="60"/>
        <v>1.7833330000000001</v>
      </c>
      <c r="T216">
        <v>1.7129037061892651</v>
      </c>
      <c r="U216">
        <f t="shared" si="61"/>
        <v>7.0429293810734928E-2</v>
      </c>
      <c r="V216" s="2">
        <f t="shared" si="62"/>
        <v>3.9493069331826933E-2</v>
      </c>
      <c r="W216">
        <f>(T216+5/3)/(1/12)</f>
        <v>40.554844474271185</v>
      </c>
      <c r="X216" s="2">
        <f t="shared" si="63"/>
        <v>2.0414384679440109E-2</v>
      </c>
    </row>
    <row r="217" spans="5:24" x14ac:dyDescent="0.25">
      <c r="E217">
        <v>215</v>
      </c>
      <c r="F217">
        <f t="shared" si="48"/>
        <v>41.5</v>
      </c>
      <c r="G217">
        <f t="shared" si="49"/>
        <v>314.64999999999998</v>
      </c>
      <c r="H217" s="4">
        <f t="shared" si="50"/>
        <v>1.7916669999999999</v>
      </c>
      <c r="I217" s="4">
        <f t="shared" si="51"/>
        <v>5019.419245</v>
      </c>
      <c r="J217" s="4">
        <f t="shared" si="52"/>
        <v>5.0394192450000004</v>
      </c>
      <c r="K217" s="4">
        <f t="shared" si="53"/>
        <v>1758.068859</v>
      </c>
      <c r="L217">
        <f t="shared" si="54"/>
        <v>1.758068859</v>
      </c>
      <c r="M217">
        <f>$B$12*F217+$B$13</f>
        <v>1.7464213833952704</v>
      </c>
      <c r="N217">
        <f t="shared" si="55"/>
        <v>1.1647475604729562E-2</v>
      </c>
      <c r="O217" s="4">
        <f t="shared" ca="1" si="56"/>
        <v>6.4126709999999996</v>
      </c>
      <c r="P217" s="4">
        <f t="shared" si="57"/>
        <v>6.4411025215545994</v>
      </c>
      <c r="Q217" s="4">
        <f t="shared" ca="1" si="58"/>
        <v>2.8431521554599826E-2</v>
      </c>
      <c r="R217" s="2">
        <f t="shared" ca="1" si="59"/>
        <v>4.4140768539945091E-3</v>
      </c>
      <c r="S217" s="4">
        <f t="shared" si="60"/>
        <v>1.7916669999999999</v>
      </c>
      <c r="T217">
        <v>1.7216660020683243</v>
      </c>
      <c r="U217">
        <f t="shared" si="61"/>
        <v>7.0000997931675579E-2</v>
      </c>
      <c r="V217" s="2">
        <f t="shared" si="62"/>
        <v>3.9070317158085503E-2</v>
      </c>
      <c r="W217">
        <f>(T217+5/3)/(1/12)</f>
        <v>40.659992024819893</v>
      </c>
      <c r="X217" s="2">
        <f t="shared" si="63"/>
        <v>2.0241156028436319E-2</v>
      </c>
    </row>
    <row r="218" spans="5:24" x14ac:dyDescent="0.25">
      <c r="E218">
        <v>216</v>
      </c>
      <c r="F218">
        <f t="shared" si="48"/>
        <v>41.6</v>
      </c>
      <c r="G218">
        <f t="shared" si="49"/>
        <v>314.75</v>
      </c>
      <c r="H218" s="4">
        <f t="shared" si="50"/>
        <v>1.8</v>
      </c>
      <c r="I218" s="4">
        <f t="shared" si="51"/>
        <v>4999.460341</v>
      </c>
      <c r="J218" s="4">
        <f t="shared" si="52"/>
        <v>5.0194603410000003</v>
      </c>
      <c r="K218" s="4">
        <f t="shared" si="53"/>
        <v>1755.6334670000001</v>
      </c>
      <c r="L218">
        <f t="shared" si="54"/>
        <v>1.7556334670000002</v>
      </c>
      <c r="M218">
        <f>$B$12*F218+$B$13</f>
        <v>1.7440735445723763</v>
      </c>
      <c r="N218">
        <f t="shared" si="55"/>
        <v>1.1559922427623937E-2</v>
      </c>
      <c r="O218" s="4">
        <f t="shared" ca="1" si="56"/>
        <v>6.4041733644314869</v>
      </c>
      <c r="P218" s="4">
        <f t="shared" si="57"/>
        <v>6.4324432880465059</v>
      </c>
      <c r="Q218" s="4">
        <f t="shared" ca="1" si="58"/>
        <v>2.826992361501901E-2</v>
      </c>
      <c r="R218" s="2">
        <f t="shared" ca="1" si="59"/>
        <v>4.3948966744181608E-3</v>
      </c>
      <c r="S218" s="4">
        <f t="shared" si="60"/>
        <v>1.8</v>
      </c>
      <c r="T218">
        <v>1.7304519669197036</v>
      </c>
      <c r="U218">
        <f t="shared" si="61"/>
        <v>6.9548033080296445E-2</v>
      </c>
      <c r="V218" s="2">
        <f t="shared" si="62"/>
        <v>3.8637796155720244E-2</v>
      </c>
      <c r="W218">
        <f>(T218+5/3)/(1/12)</f>
        <v>40.765423603036446</v>
      </c>
      <c r="X218" s="2">
        <f t="shared" si="63"/>
        <v>2.0061932619316238E-2</v>
      </c>
    </row>
    <row r="219" spans="5:24" x14ac:dyDescent="0.25">
      <c r="E219">
        <v>217</v>
      </c>
      <c r="F219">
        <f t="shared" si="48"/>
        <v>41.7</v>
      </c>
      <c r="G219">
        <f t="shared" si="49"/>
        <v>314.84999999999997</v>
      </c>
      <c r="H219" s="4">
        <f t="shared" si="50"/>
        <v>1.808333</v>
      </c>
      <c r="I219" s="4">
        <f t="shared" si="51"/>
        <v>4979.591872</v>
      </c>
      <c r="J219" s="4">
        <f t="shared" si="52"/>
        <v>4.9995918719999999</v>
      </c>
      <c r="K219" s="4">
        <f t="shared" si="53"/>
        <v>1753.196569</v>
      </c>
      <c r="L219">
        <f t="shared" si="54"/>
        <v>1.753196569</v>
      </c>
      <c r="M219">
        <f>$B$12*F219+$B$13</f>
        <v>1.7417257057494817</v>
      </c>
      <c r="N219">
        <f t="shared" si="55"/>
        <v>1.1470863250518271E-2</v>
      </c>
      <c r="O219" s="4">
        <f t="shared" ca="1" si="56"/>
        <v>6.3952951370262383</v>
      </c>
      <c r="P219" s="4">
        <f t="shared" si="57"/>
        <v>6.4237840545384106</v>
      </c>
      <c r="Q219" s="4">
        <f t="shared" ca="1" si="58"/>
        <v>2.8488917512172307E-2</v>
      </c>
      <c r="R219" s="2">
        <f t="shared" ca="1" si="59"/>
        <v>4.4349120814615268E-3</v>
      </c>
      <c r="S219" s="4">
        <f t="shared" si="60"/>
        <v>1.808333</v>
      </c>
      <c r="T219">
        <v>1.7400273194342883</v>
      </c>
      <c r="U219">
        <f t="shared" si="61"/>
        <v>6.8305680565711624E-2</v>
      </c>
      <c r="V219" s="2">
        <f t="shared" si="62"/>
        <v>3.7772733542832886E-2</v>
      </c>
      <c r="W219">
        <f>(T219+5/3)/(1/12)</f>
        <v>40.880327833211467</v>
      </c>
      <c r="X219" s="2">
        <f t="shared" si="63"/>
        <v>1.9656406877422913E-2</v>
      </c>
    </row>
    <row r="220" spans="5:24" x14ac:dyDescent="0.25">
      <c r="E220">
        <v>218</v>
      </c>
      <c r="F220">
        <f t="shared" si="48"/>
        <v>41.8</v>
      </c>
      <c r="G220">
        <f t="shared" si="49"/>
        <v>314.95</v>
      </c>
      <c r="H220" s="4">
        <f t="shared" si="50"/>
        <v>1.816667</v>
      </c>
      <c r="I220" s="4">
        <f t="shared" si="51"/>
        <v>4959.8133820000003</v>
      </c>
      <c r="J220" s="4">
        <f t="shared" si="52"/>
        <v>4.9798133820000006</v>
      </c>
      <c r="K220" s="4">
        <f t="shared" si="53"/>
        <v>1750.758184</v>
      </c>
      <c r="L220">
        <f t="shared" si="54"/>
        <v>1.7507581840000002</v>
      </c>
      <c r="M220">
        <f>$B$12*F220+$B$13</f>
        <v>1.7393778669265876</v>
      </c>
      <c r="N220">
        <f t="shared" si="55"/>
        <v>1.1380317073412582E-2</v>
      </c>
      <c r="O220" s="4">
        <f t="shared" ca="1" si="56"/>
        <v>6.3863903644314872</v>
      </c>
      <c r="P220" s="4">
        <f t="shared" si="57"/>
        <v>6.4151248210303171</v>
      </c>
      <c r="Q220" s="4">
        <f t="shared" ca="1" si="58"/>
        <v>2.8734456598829894E-2</v>
      </c>
      <c r="R220" s="2">
        <f t="shared" ca="1" si="59"/>
        <v>4.4791734222585124E-3</v>
      </c>
      <c r="S220" s="4">
        <f t="shared" si="60"/>
        <v>1.816667</v>
      </c>
      <c r="T220">
        <v>1.7488592546924064</v>
      </c>
      <c r="U220">
        <f t="shared" si="61"/>
        <v>6.7807745307593592E-2</v>
      </c>
      <c r="V220" s="2">
        <f t="shared" si="62"/>
        <v>3.73253575408116E-2</v>
      </c>
      <c r="W220">
        <f>(T220+5/3)/(1/12)</f>
        <v>40.986311056308878</v>
      </c>
      <c r="X220" s="2">
        <f t="shared" si="63"/>
        <v>1.9466242672036341E-2</v>
      </c>
    </row>
    <row r="221" spans="5:24" x14ac:dyDescent="0.25">
      <c r="E221">
        <v>219</v>
      </c>
      <c r="F221">
        <f t="shared" si="48"/>
        <v>41.900000000000006</v>
      </c>
      <c r="G221">
        <f t="shared" si="49"/>
        <v>315.04999999999995</v>
      </c>
      <c r="H221" s="4">
        <f t="shared" si="50"/>
        <v>1.825</v>
      </c>
      <c r="I221" s="4">
        <f t="shared" si="51"/>
        <v>4940.124417</v>
      </c>
      <c r="J221" s="4">
        <f t="shared" si="52"/>
        <v>4.9601244170000003</v>
      </c>
      <c r="K221" s="4">
        <f t="shared" si="53"/>
        <v>1748.3183300000001</v>
      </c>
      <c r="L221">
        <f t="shared" si="54"/>
        <v>1.74831833</v>
      </c>
      <c r="M221">
        <f>$B$12*F221+$B$13</f>
        <v>1.737030028103693</v>
      </c>
      <c r="N221">
        <f t="shared" si="55"/>
        <v>1.1288301896307029E-2</v>
      </c>
      <c r="O221" s="4">
        <f t="shared" ca="1" si="56"/>
        <v>6.3771157725947516</v>
      </c>
      <c r="P221" s="4">
        <f t="shared" si="57"/>
        <v>6.4064655875222227</v>
      </c>
      <c r="Q221" s="4">
        <f t="shared" ca="1" si="58"/>
        <v>2.934981492747113E-2</v>
      </c>
      <c r="R221" s="2">
        <f t="shared" ca="1" si="59"/>
        <v>4.5812803528727797E-3</v>
      </c>
      <c r="S221" s="4">
        <f t="shared" si="60"/>
        <v>1.825</v>
      </c>
      <c r="T221">
        <v>1.7584782147595095</v>
      </c>
      <c r="U221">
        <f t="shared" si="61"/>
        <v>6.6521785240490461E-2</v>
      </c>
      <c r="V221" s="2">
        <f t="shared" si="62"/>
        <v>3.6450293282460529E-2</v>
      </c>
      <c r="W221">
        <f>(T221+5/3)/(1/12)</f>
        <v>41.101738577114112</v>
      </c>
      <c r="X221" s="2">
        <f t="shared" si="63"/>
        <v>1.90515852717397E-2</v>
      </c>
    </row>
    <row r="222" spans="5:24" x14ac:dyDescent="0.25">
      <c r="E222">
        <v>220</v>
      </c>
      <c r="F222">
        <f t="shared" si="48"/>
        <v>42</v>
      </c>
      <c r="G222">
        <f t="shared" si="49"/>
        <v>315.14999999999998</v>
      </c>
      <c r="H222" s="4">
        <f t="shared" si="50"/>
        <v>1.8333330000000001</v>
      </c>
      <c r="I222" s="4">
        <f t="shared" si="51"/>
        <v>4920.5245249999998</v>
      </c>
      <c r="J222" s="4">
        <f t="shared" si="52"/>
        <v>4.9405245249999998</v>
      </c>
      <c r="K222" s="4">
        <f t="shared" si="53"/>
        <v>1745.8770239999999</v>
      </c>
      <c r="L222">
        <f t="shared" si="54"/>
        <v>1.7458770239999999</v>
      </c>
      <c r="M222">
        <f>$B$12*F222+$B$13</f>
        <v>1.7346821892807989</v>
      </c>
      <c r="N222">
        <f t="shared" si="55"/>
        <v>1.1194834719201019E-2</v>
      </c>
      <c r="O222" s="4">
        <f t="shared" ca="1" si="56"/>
        <v>6.3682107725947512</v>
      </c>
      <c r="P222" s="4">
        <f t="shared" si="57"/>
        <v>6.3978063540141292</v>
      </c>
      <c r="Q222" s="4">
        <f t="shared" ca="1" si="58"/>
        <v>2.9595581419378014E-2</v>
      </c>
      <c r="R222" s="2">
        <f t="shared" ca="1" si="59"/>
        <v>4.6258951555807988E-3</v>
      </c>
      <c r="S222" s="4">
        <f t="shared" si="60"/>
        <v>1.8333330000000001</v>
      </c>
      <c r="T222">
        <v>1.7673557436345699</v>
      </c>
      <c r="U222">
        <f t="shared" si="61"/>
        <v>6.597725636543017E-2</v>
      </c>
      <c r="V222" s="2">
        <f t="shared" si="62"/>
        <v>3.5987600924343895E-2</v>
      </c>
      <c r="W222">
        <f>(T222+5/3)/(1/12)</f>
        <v>41.208268923614845</v>
      </c>
      <c r="X222" s="2">
        <f t="shared" si="63"/>
        <v>1.8850739913932251E-2</v>
      </c>
    </row>
    <row r="223" spans="5:24" x14ac:dyDescent="0.25">
      <c r="E223">
        <v>221</v>
      </c>
      <c r="F223">
        <f t="shared" si="48"/>
        <v>42.1</v>
      </c>
      <c r="G223">
        <f t="shared" si="49"/>
        <v>315.25</v>
      </c>
      <c r="H223" s="4">
        <f t="shared" si="50"/>
        <v>1.8416669999999999</v>
      </c>
      <c r="I223" s="4">
        <f t="shared" si="51"/>
        <v>4901.013258</v>
      </c>
      <c r="J223" s="4">
        <f t="shared" si="52"/>
        <v>4.9210132580000003</v>
      </c>
      <c r="K223" s="4">
        <f t="shared" si="53"/>
        <v>1743.4342839999999</v>
      </c>
      <c r="L223">
        <f t="shared" si="54"/>
        <v>1.7434342839999999</v>
      </c>
      <c r="M223">
        <f>$B$12*F223+$B$13</f>
        <v>1.7323343504579043</v>
      </c>
      <c r="N223">
        <f t="shared" si="55"/>
        <v>1.1099933542095597E-2</v>
      </c>
      <c r="O223" s="4">
        <f t="shared" ca="1" si="56"/>
        <v>6.359300772594751</v>
      </c>
      <c r="P223" s="4">
        <f t="shared" si="57"/>
        <v>6.3891471205060339</v>
      </c>
      <c r="Q223" s="4">
        <f t="shared" ca="1" si="58"/>
        <v>2.9846347911282933E-2</v>
      </c>
      <c r="R223" s="2">
        <f t="shared" ca="1" si="59"/>
        <v>4.6714134685505631E-3</v>
      </c>
      <c r="S223" s="4">
        <f t="shared" si="60"/>
        <v>1.8416669999999999</v>
      </c>
      <c r="T223">
        <v>1.7762564723096324</v>
      </c>
      <c r="U223">
        <f t="shared" si="61"/>
        <v>6.5410527690367593E-2</v>
      </c>
      <c r="V223" s="2">
        <f t="shared" si="62"/>
        <v>3.5517022181734047E-2</v>
      </c>
      <c r="W223">
        <f>(T223+5/3)/(1/12)</f>
        <v>41.315077667715592</v>
      </c>
      <c r="X223" s="2">
        <f t="shared" si="63"/>
        <v>1.8644235921244885E-2</v>
      </c>
    </row>
    <row r="224" spans="5:24" x14ac:dyDescent="0.25">
      <c r="E224">
        <v>222</v>
      </c>
      <c r="F224">
        <f t="shared" si="48"/>
        <v>42.2</v>
      </c>
      <c r="G224">
        <f t="shared" si="49"/>
        <v>315.34999999999997</v>
      </c>
      <c r="H224" s="4">
        <f t="shared" si="50"/>
        <v>1.85</v>
      </c>
      <c r="I224" s="4">
        <f t="shared" si="51"/>
        <v>4881.5901690000001</v>
      </c>
      <c r="J224" s="4">
        <f t="shared" si="52"/>
        <v>4.9015901690000003</v>
      </c>
      <c r="K224" s="4">
        <f t="shared" si="53"/>
        <v>1740.9901299999999</v>
      </c>
      <c r="L224">
        <f t="shared" si="54"/>
        <v>1.7409901299999999</v>
      </c>
      <c r="M224">
        <f>$B$12*F224+$B$13</f>
        <v>1.7299865116350102</v>
      </c>
      <c r="N224">
        <f t="shared" si="55"/>
        <v>1.1003618364989753E-2</v>
      </c>
      <c r="O224" s="4">
        <f t="shared" ca="1" si="56"/>
        <v>6.350385772594751</v>
      </c>
      <c r="P224" s="4">
        <f t="shared" si="57"/>
        <v>6.3804878869979404</v>
      </c>
      <c r="Q224" s="4">
        <f t="shared" ca="1" si="58"/>
        <v>3.0102114403189439E-2</v>
      </c>
      <c r="R224" s="2">
        <f t="shared" ca="1" si="59"/>
        <v>4.7178389703600981E-3</v>
      </c>
      <c r="S224" s="4">
        <f t="shared" si="60"/>
        <v>1.85</v>
      </c>
      <c r="T224">
        <v>1.785940674129006</v>
      </c>
      <c r="U224">
        <f t="shared" si="61"/>
        <v>6.4059325870994055E-2</v>
      </c>
      <c r="V224" s="2">
        <f t="shared" si="62"/>
        <v>3.4626662632969755E-2</v>
      </c>
      <c r="W224">
        <f>(T224+5/3)/(1/12)</f>
        <v>41.431288089548076</v>
      </c>
      <c r="X224" s="2">
        <f t="shared" si="63"/>
        <v>1.8215922048623857E-2</v>
      </c>
    </row>
    <row r="225" spans="5:24" x14ac:dyDescent="0.25">
      <c r="E225">
        <v>223</v>
      </c>
      <c r="F225">
        <f t="shared" si="48"/>
        <v>42.3</v>
      </c>
      <c r="G225">
        <f t="shared" si="49"/>
        <v>315.45</v>
      </c>
      <c r="H225" s="4">
        <f t="shared" si="50"/>
        <v>1.858333</v>
      </c>
      <c r="I225" s="4">
        <f t="shared" si="51"/>
        <v>4862.2548139999999</v>
      </c>
      <c r="J225" s="4">
        <f t="shared" si="52"/>
        <v>4.8822548140000004</v>
      </c>
      <c r="K225" s="4">
        <f t="shared" si="53"/>
        <v>1738.544578</v>
      </c>
      <c r="L225">
        <f t="shared" si="54"/>
        <v>1.738544578</v>
      </c>
      <c r="M225">
        <f>$B$12*F225+$B$13</f>
        <v>1.7276386728121158</v>
      </c>
      <c r="N225">
        <f t="shared" si="55"/>
        <v>1.0905905187884146E-2</v>
      </c>
      <c r="O225" s="4">
        <f t="shared" ca="1" si="56"/>
        <v>6.3422365014577258</v>
      </c>
      <c r="P225" s="4">
        <f t="shared" si="57"/>
        <v>6.3718286534898461</v>
      </c>
      <c r="Q225" s="4">
        <f t="shared" ca="1" si="58"/>
        <v>2.9592152032120289E-2</v>
      </c>
      <c r="R225" s="2">
        <f t="shared" ca="1" si="59"/>
        <v>4.644216541496716E-3</v>
      </c>
      <c r="S225" s="4">
        <f t="shared" si="60"/>
        <v>1.858333</v>
      </c>
      <c r="T225">
        <v>1.7948864269372451</v>
      </c>
      <c r="U225">
        <f t="shared" si="61"/>
        <v>6.3446573062754918E-2</v>
      </c>
      <c r="V225" s="2">
        <f t="shared" si="62"/>
        <v>3.4141659790120994E-2</v>
      </c>
      <c r="W225">
        <f>(T225+5/3)/(1/12)</f>
        <v>41.538637123246943</v>
      </c>
      <c r="X225" s="2">
        <f t="shared" si="63"/>
        <v>1.7999122381868897E-2</v>
      </c>
    </row>
    <row r="226" spans="5:24" x14ac:dyDescent="0.25">
      <c r="E226">
        <v>224</v>
      </c>
      <c r="F226">
        <f t="shared" si="48"/>
        <v>42.400000000000006</v>
      </c>
      <c r="G226">
        <f t="shared" si="49"/>
        <v>315.54999999999995</v>
      </c>
      <c r="H226" s="4">
        <f t="shared" si="50"/>
        <v>1.8666670000000001</v>
      </c>
      <c r="I226" s="4">
        <f t="shared" si="51"/>
        <v>4843.0067509999999</v>
      </c>
      <c r="J226" s="4">
        <f t="shared" si="52"/>
        <v>4.8630067510000003</v>
      </c>
      <c r="K226" s="4">
        <f t="shared" si="53"/>
        <v>1736.0976470000001</v>
      </c>
      <c r="L226">
        <f t="shared" si="54"/>
        <v>1.736097647</v>
      </c>
      <c r="M226">
        <f>$B$12*F226+$B$13</f>
        <v>1.7252908339892215</v>
      </c>
      <c r="N226">
        <f t="shared" si="55"/>
        <v>1.0806813010778571E-2</v>
      </c>
      <c r="O226" s="4">
        <f t="shared" ca="1" si="56"/>
        <v>6.3321328629737614</v>
      </c>
      <c r="P226" s="4">
        <f t="shared" si="57"/>
        <v>6.3631694199817517</v>
      </c>
      <c r="Q226" s="4">
        <f t="shared" ca="1" si="58"/>
        <v>3.103655700799024E-2</v>
      </c>
      <c r="R226" s="2">
        <f t="shared" ca="1" si="59"/>
        <v>4.8775311420325576E-3</v>
      </c>
      <c r="S226" s="4">
        <f t="shared" si="60"/>
        <v>1.8666670000000001</v>
      </c>
      <c r="T226">
        <v>1.8038550944980998</v>
      </c>
      <c r="U226">
        <f t="shared" si="61"/>
        <v>6.28119055019003E-2</v>
      </c>
      <c r="V226" s="2">
        <f t="shared" si="62"/>
        <v>3.3649229081512827E-2</v>
      </c>
      <c r="W226">
        <f>(T226+5/3)/(1/12)</f>
        <v>41.646261133977198</v>
      </c>
      <c r="X226" s="2">
        <f t="shared" si="63"/>
        <v>1.7776860047707722E-2</v>
      </c>
    </row>
    <row r="227" spans="5:24" x14ac:dyDescent="0.25">
      <c r="E227">
        <v>225</v>
      </c>
      <c r="F227">
        <f t="shared" si="48"/>
        <v>42.5</v>
      </c>
      <c r="G227">
        <f t="shared" si="49"/>
        <v>315.64999999999998</v>
      </c>
      <c r="H227" s="4">
        <f t="shared" si="50"/>
        <v>1.875</v>
      </c>
      <c r="I227" s="4">
        <f t="shared" si="51"/>
        <v>4823.845542</v>
      </c>
      <c r="J227" s="4">
        <f t="shared" si="52"/>
        <v>4.8438455420000004</v>
      </c>
      <c r="K227" s="4">
        <f t="shared" si="53"/>
        <v>1733.6493559999999</v>
      </c>
      <c r="L227">
        <f t="shared" si="54"/>
        <v>1.7336493559999999</v>
      </c>
      <c r="M227">
        <f>$B$12*F227+$B$13</f>
        <v>1.7229429951663271</v>
      </c>
      <c r="N227">
        <f t="shared" si="55"/>
        <v>1.0706360833672823E-2</v>
      </c>
      <c r="O227" s="4">
        <f t="shared" ca="1" si="56"/>
        <v>6.3232136355685125</v>
      </c>
      <c r="P227" s="4">
        <f t="shared" si="57"/>
        <v>6.3545101864736573</v>
      </c>
      <c r="Q227" s="4">
        <f t="shared" ca="1" si="58"/>
        <v>3.1296550905144827E-2</v>
      </c>
      <c r="R227" s="2">
        <f t="shared" ca="1" si="59"/>
        <v>4.9250925699613037E-3</v>
      </c>
      <c r="S227" s="4">
        <f t="shared" si="60"/>
        <v>1.875</v>
      </c>
      <c r="T227">
        <v>1.8128465812137984</v>
      </c>
      <c r="U227">
        <f t="shared" si="61"/>
        <v>6.215341878620162E-2</v>
      </c>
      <c r="V227" s="2">
        <f t="shared" si="62"/>
        <v>3.314849001930753E-2</v>
      </c>
      <c r="W227">
        <f>(T227+5/3)/(1/12)</f>
        <v>41.754158974565584</v>
      </c>
      <c r="X227" s="2">
        <f t="shared" si="63"/>
        <v>1.7549200598456844E-2</v>
      </c>
    </row>
    <row r="228" spans="5:24" x14ac:dyDescent="0.25">
      <c r="E228">
        <v>226</v>
      </c>
      <c r="F228">
        <f t="shared" si="48"/>
        <v>42.6</v>
      </c>
      <c r="G228">
        <f t="shared" si="49"/>
        <v>315.75</v>
      </c>
      <c r="H228" s="4">
        <f t="shared" si="50"/>
        <v>1.8833329999999999</v>
      </c>
      <c r="I228" s="4">
        <f t="shared" si="51"/>
        <v>4804.7707490000003</v>
      </c>
      <c r="J228" s="4">
        <f t="shared" si="52"/>
        <v>4.8247707490000007</v>
      </c>
      <c r="K228" s="4">
        <f t="shared" si="53"/>
        <v>1731.199721</v>
      </c>
      <c r="L228">
        <f t="shared" si="54"/>
        <v>1.7311997210000001</v>
      </c>
      <c r="M228">
        <f>$B$12*F228+$B$13</f>
        <v>1.7205951563434327</v>
      </c>
      <c r="N228">
        <f t="shared" si="55"/>
        <v>1.0604564656567339E-2</v>
      </c>
      <c r="O228" s="4">
        <f t="shared" ca="1" si="56"/>
        <v>6.3146532274052483</v>
      </c>
      <c r="P228" s="4">
        <f t="shared" si="57"/>
        <v>6.3458509529655638</v>
      </c>
      <c r="Q228" s="4">
        <f t="shared" ca="1" si="58"/>
        <v>3.1197725560315526E-2</v>
      </c>
      <c r="R228" s="2">
        <f t="shared" ca="1" si="59"/>
        <v>4.9162398851703417E-3</v>
      </c>
      <c r="S228" s="4">
        <f t="shared" si="60"/>
        <v>1.8833329999999999</v>
      </c>
      <c r="T228">
        <v>1.8218607905700759</v>
      </c>
      <c r="U228">
        <f t="shared" si="61"/>
        <v>6.1472209429924041E-2</v>
      </c>
      <c r="V228" s="2">
        <f t="shared" si="62"/>
        <v>3.2640116978741432E-2</v>
      </c>
      <c r="W228">
        <f>(T228+5/3)/(1/12)</f>
        <v>41.862329486840913</v>
      </c>
      <c r="X228" s="2">
        <f t="shared" si="63"/>
        <v>1.7316209229086575E-2</v>
      </c>
    </row>
    <row r="229" spans="5:24" x14ac:dyDescent="0.25">
      <c r="E229">
        <v>227</v>
      </c>
      <c r="F229">
        <f t="shared" si="48"/>
        <v>42.7</v>
      </c>
      <c r="G229">
        <f t="shared" si="49"/>
        <v>315.84999999999997</v>
      </c>
      <c r="H229" s="4">
        <f t="shared" si="50"/>
        <v>1.891667</v>
      </c>
      <c r="I229" s="4">
        <f t="shared" si="51"/>
        <v>4785.7819380000001</v>
      </c>
      <c r="J229" s="4">
        <f t="shared" si="52"/>
        <v>4.805781938</v>
      </c>
      <c r="K229" s="4">
        <f t="shared" si="53"/>
        <v>1728.7487619999999</v>
      </c>
      <c r="L229">
        <f t="shared" si="54"/>
        <v>1.7287487619999999</v>
      </c>
      <c r="M229">
        <f>$B$12*F229+$B$13</f>
        <v>1.7182473175205384</v>
      </c>
      <c r="N229">
        <f t="shared" si="55"/>
        <v>1.0501444479461552E-2</v>
      </c>
      <c r="O229" s="4">
        <f t="shared" ca="1" si="56"/>
        <v>6.3049424985422737</v>
      </c>
      <c r="P229" s="4">
        <f t="shared" si="57"/>
        <v>6.3371917194574694</v>
      </c>
      <c r="Q229" s="4">
        <f t="shared" ca="1" si="58"/>
        <v>3.2249220915195664E-2</v>
      </c>
      <c r="R229" s="2">
        <f t="shared" ca="1" si="59"/>
        <v>5.0888820068641597E-3</v>
      </c>
      <c r="S229" s="4">
        <f t="shared" si="60"/>
        <v>1.891667</v>
      </c>
      <c r="T229">
        <v>1.8308976264454468</v>
      </c>
      <c r="U229">
        <f t="shared" si="61"/>
        <v>6.0769373554553141E-2</v>
      </c>
      <c r="V229" s="2">
        <f t="shared" si="62"/>
        <v>3.2124773310816937E-2</v>
      </c>
      <c r="W229">
        <f>(T229+5/3)/(1/12)</f>
        <v>41.970771517345369</v>
      </c>
      <c r="X229" s="2">
        <f t="shared" si="63"/>
        <v>1.7077950413457461E-2</v>
      </c>
    </row>
    <row r="230" spans="5:24" x14ac:dyDescent="0.25">
      <c r="E230">
        <v>228</v>
      </c>
      <c r="F230">
        <f t="shared" si="48"/>
        <v>42.8</v>
      </c>
      <c r="G230">
        <f t="shared" si="49"/>
        <v>315.95</v>
      </c>
      <c r="H230" s="4">
        <f t="shared" si="50"/>
        <v>1.9</v>
      </c>
      <c r="I230" s="4">
        <f t="shared" si="51"/>
        <v>4766.878678</v>
      </c>
      <c r="J230" s="4">
        <f t="shared" si="52"/>
        <v>4.7868786779999999</v>
      </c>
      <c r="K230" s="4">
        <f t="shared" si="53"/>
        <v>1726.2964959999999</v>
      </c>
      <c r="L230">
        <f t="shared" si="54"/>
        <v>1.726296496</v>
      </c>
      <c r="M230">
        <f>$B$12*F230+$B$13</f>
        <v>1.715899478697644</v>
      </c>
      <c r="N230">
        <f t="shared" si="55"/>
        <v>1.0397017302355982E-2</v>
      </c>
      <c r="O230" s="4">
        <f t="shared" ca="1" si="56"/>
        <v>6.2975605014577258</v>
      </c>
      <c r="P230" s="4">
        <f t="shared" si="57"/>
        <v>6.328532485949375</v>
      </c>
      <c r="Q230" s="4">
        <f t="shared" ca="1" si="58"/>
        <v>3.0971984491649174E-2</v>
      </c>
      <c r="R230" s="2">
        <f t="shared" ca="1" si="59"/>
        <v>4.8940231499819678E-3</v>
      </c>
      <c r="S230" s="4">
        <f t="shared" si="60"/>
        <v>1.9</v>
      </c>
      <c r="T230">
        <v>1.8399569925874981</v>
      </c>
      <c r="U230">
        <f t="shared" si="61"/>
        <v>6.0043007412501792E-2</v>
      </c>
      <c r="V230" s="2">
        <f t="shared" si="62"/>
        <v>3.1601582848685153E-2</v>
      </c>
      <c r="W230">
        <f>(T230+5/3)/(1/12)</f>
        <v>42.079483911049984</v>
      </c>
      <c r="X230" s="2">
        <f t="shared" si="63"/>
        <v>1.6834488059579756E-2</v>
      </c>
    </row>
    <row r="231" spans="5:24" x14ac:dyDescent="0.25">
      <c r="E231">
        <v>229</v>
      </c>
      <c r="F231">
        <f t="shared" si="48"/>
        <v>42.900000000000006</v>
      </c>
      <c r="G231">
        <f t="shared" si="49"/>
        <v>316.04999999999995</v>
      </c>
      <c r="H231" s="4">
        <f t="shared" si="50"/>
        <v>1.9083330000000001</v>
      </c>
      <c r="I231" s="4">
        <f t="shared" si="51"/>
        <v>4748.0605390000001</v>
      </c>
      <c r="J231" s="4">
        <f t="shared" si="52"/>
        <v>4.7680605390000004</v>
      </c>
      <c r="K231" s="4">
        <f t="shared" si="53"/>
        <v>1723.8429430000001</v>
      </c>
      <c r="L231">
        <f t="shared" si="54"/>
        <v>1.7238429430000002</v>
      </c>
      <c r="M231">
        <f>$B$12*F231+$B$13</f>
        <v>1.7135516398747495</v>
      </c>
      <c r="N231">
        <f t="shared" si="55"/>
        <v>1.0291303125250728E-2</v>
      </c>
      <c r="O231" s="4">
        <f t="shared" ca="1" si="56"/>
        <v>6.2886115014577255</v>
      </c>
      <c r="P231" s="4">
        <f t="shared" si="57"/>
        <v>6.3198732524412797</v>
      </c>
      <c r="Q231" s="4">
        <f t="shared" ca="1" si="58"/>
        <v>3.1261750983554215E-2</v>
      </c>
      <c r="R231" s="2">
        <f t="shared" ca="1" si="59"/>
        <v>4.9465787896107302E-3</v>
      </c>
      <c r="S231" s="4">
        <f t="shared" si="60"/>
        <v>1.9083330000000001</v>
      </c>
      <c r="T231">
        <v>1.8490387917690758</v>
      </c>
      <c r="U231">
        <f t="shared" si="61"/>
        <v>5.9294208230924239E-2</v>
      </c>
      <c r="V231" s="2">
        <f t="shared" si="62"/>
        <v>3.1071206246983223E-2</v>
      </c>
      <c r="W231">
        <f>(T231+5/3)/(1/12)</f>
        <v>42.188465501228912</v>
      </c>
      <c r="X231" s="2">
        <f t="shared" si="63"/>
        <v>1.6585885752239952E-2</v>
      </c>
    </row>
    <row r="232" spans="5:24" x14ac:dyDescent="0.25">
      <c r="E232">
        <v>230</v>
      </c>
      <c r="F232">
        <f t="shared" si="48"/>
        <v>43</v>
      </c>
      <c r="G232">
        <f t="shared" si="49"/>
        <v>316.14999999999998</v>
      </c>
      <c r="H232" s="4">
        <f t="shared" si="50"/>
        <v>1.9166669999999999</v>
      </c>
      <c r="I232" s="4">
        <f t="shared" si="51"/>
        <v>4729.3270929999999</v>
      </c>
      <c r="J232" s="4">
        <f t="shared" si="52"/>
        <v>4.7493270929999998</v>
      </c>
      <c r="K232" s="4">
        <f t="shared" si="53"/>
        <v>1721.388119</v>
      </c>
      <c r="L232">
        <f t="shared" si="54"/>
        <v>1.721388119</v>
      </c>
      <c r="M232">
        <f>$B$12*F232+$B$13</f>
        <v>1.7112038010518553</v>
      </c>
      <c r="N232">
        <f t="shared" si="55"/>
        <v>1.0184317948144672E-2</v>
      </c>
      <c r="O232" s="4">
        <f t="shared" ca="1" si="56"/>
        <v>6.2788867725947517</v>
      </c>
      <c r="P232" s="4">
        <f t="shared" si="57"/>
        <v>6.3112140189331862</v>
      </c>
      <c r="Q232" s="4">
        <f t="shared" ca="1" si="58"/>
        <v>3.2327246338434534E-2</v>
      </c>
      <c r="R232" s="2">
        <f t="shared" ca="1" si="59"/>
        <v>5.1221914264759725E-3</v>
      </c>
      <c r="S232" s="4">
        <f t="shared" si="60"/>
        <v>1.9166669999999999</v>
      </c>
      <c r="T232">
        <v>1.8573913042790977</v>
      </c>
      <c r="U232">
        <f t="shared" si="61"/>
        <v>5.9275695720902188E-2</v>
      </c>
      <c r="V232" s="2">
        <f t="shared" si="62"/>
        <v>3.0926444562828177E-2</v>
      </c>
      <c r="W232">
        <f>(T232+5/3)/(1/12)</f>
        <v>42.28869565134918</v>
      </c>
      <c r="X232" s="2">
        <f t="shared" si="63"/>
        <v>1.6541961596530708E-2</v>
      </c>
    </row>
    <row r="233" spans="5:24" x14ac:dyDescent="0.25">
      <c r="E233">
        <v>231</v>
      </c>
      <c r="F233">
        <f t="shared" si="48"/>
        <v>43.1</v>
      </c>
      <c r="G233">
        <f t="shared" si="49"/>
        <v>316.25</v>
      </c>
      <c r="H233" s="4">
        <f t="shared" si="50"/>
        <v>1.925</v>
      </c>
      <c r="I233" s="4">
        <f t="shared" si="51"/>
        <v>4710.6779159999996</v>
      </c>
      <c r="J233" s="4">
        <f t="shared" si="52"/>
        <v>4.7306779159999994</v>
      </c>
      <c r="K233" s="4">
        <f t="shared" si="53"/>
        <v>1718.932043</v>
      </c>
      <c r="L233">
        <f t="shared" si="54"/>
        <v>1.7189320430000001</v>
      </c>
      <c r="M233">
        <f>$B$12*F233+$B$13</f>
        <v>1.708855962228961</v>
      </c>
      <c r="N233">
        <f t="shared" si="55"/>
        <v>1.0076080771039164E-2</v>
      </c>
      <c r="O233" s="4">
        <f t="shared" ca="1" si="56"/>
        <v>6.2706985014577263</v>
      </c>
      <c r="P233" s="4">
        <f t="shared" si="57"/>
        <v>6.3025547854250927</v>
      </c>
      <c r="Q233" s="4">
        <f t="shared" ca="1" si="58"/>
        <v>3.1856283967366394E-2</v>
      </c>
      <c r="R233" s="2">
        <f t="shared" ca="1" si="59"/>
        <v>5.0545033009527047E-3</v>
      </c>
      <c r="S233" s="4">
        <f t="shared" si="60"/>
        <v>1.925</v>
      </c>
      <c r="T233">
        <v>1.8665187730204209</v>
      </c>
      <c r="U233">
        <f t="shared" si="61"/>
        <v>5.8481226979579137E-2</v>
      </c>
      <c r="V233" s="2">
        <f t="shared" si="62"/>
        <v>3.0379858171209941E-2</v>
      </c>
      <c r="W233">
        <f>(T233+5/3)/(1/12)</f>
        <v>42.398225276245057</v>
      </c>
      <c r="X233" s="2">
        <f t="shared" si="63"/>
        <v>1.6282476189209843E-2</v>
      </c>
    </row>
    <row r="234" spans="5:24" x14ac:dyDescent="0.25">
      <c r="E234">
        <v>232</v>
      </c>
      <c r="F234">
        <f t="shared" si="48"/>
        <v>43.2</v>
      </c>
      <c r="G234">
        <f t="shared" si="49"/>
        <v>316.34999999999997</v>
      </c>
      <c r="H234" s="4">
        <f t="shared" si="50"/>
        <v>1.933333</v>
      </c>
      <c r="I234" s="4">
        <f t="shared" si="51"/>
        <v>4692.1125849999999</v>
      </c>
      <c r="J234" s="4">
        <f t="shared" si="52"/>
        <v>4.7121125849999999</v>
      </c>
      <c r="K234" s="4">
        <f t="shared" si="53"/>
        <v>1716.4747339999999</v>
      </c>
      <c r="L234">
        <f t="shared" si="54"/>
        <v>1.7164747339999999</v>
      </c>
      <c r="M234">
        <f>$B$12*F234+$B$13</f>
        <v>1.7065081234060666</v>
      </c>
      <c r="N234">
        <f t="shared" si="55"/>
        <v>9.9666105939333338E-3</v>
      </c>
      <c r="O234" s="4">
        <f t="shared" ca="1" si="56"/>
        <v>6.2605578629737613</v>
      </c>
      <c r="P234" s="4">
        <f t="shared" si="57"/>
        <v>6.2938955519169983</v>
      </c>
      <c r="Q234" s="4">
        <f t="shared" ca="1" si="58"/>
        <v>3.3337688943237076E-2</v>
      </c>
      <c r="R234" s="2">
        <f t="shared" ca="1" si="59"/>
        <v>5.296829073225256E-3</v>
      </c>
      <c r="S234" s="4">
        <f t="shared" si="60"/>
        <v>1.933333</v>
      </c>
      <c r="T234">
        <v>1.8756683828870042</v>
      </c>
      <c r="U234">
        <f t="shared" si="61"/>
        <v>5.7664617112995753E-2</v>
      </c>
      <c r="V234" s="2">
        <f t="shared" si="62"/>
        <v>2.9826531235434224E-2</v>
      </c>
      <c r="W234">
        <f>(T234+5/3)/(1/12)</f>
        <v>42.508020594644051</v>
      </c>
      <c r="X234" s="2">
        <f t="shared" si="63"/>
        <v>1.601804179064702E-2</v>
      </c>
    </row>
    <row r="235" spans="5:24" x14ac:dyDescent="0.25">
      <c r="E235">
        <v>233</v>
      </c>
      <c r="F235">
        <f t="shared" si="48"/>
        <v>43.3</v>
      </c>
      <c r="G235">
        <f t="shared" si="49"/>
        <v>316.45</v>
      </c>
      <c r="H235" s="4">
        <f t="shared" si="50"/>
        <v>1.941667</v>
      </c>
      <c r="I235" s="4">
        <f t="shared" si="51"/>
        <v>4673.6306809999996</v>
      </c>
      <c r="J235" s="4">
        <f t="shared" si="52"/>
        <v>4.6936306810000001</v>
      </c>
      <c r="K235" s="4">
        <f t="shared" si="53"/>
        <v>1714.01621</v>
      </c>
      <c r="L235">
        <f t="shared" si="54"/>
        <v>1.71401621</v>
      </c>
      <c r="M235">
        <f>$B$12*F235+$B$13</f>
        <v>1.7041602845831725</v>
      </c>
      <c r="N235">
        <f t="shared" si="55"/>
        <v>9.8559254168275601E-3</v>
      </c>
      <c r="O235" s="4">
        <f t="shared" ca="1" si="56"/>
        <v>6.251589862973761</v>
      </c>
      <c r="P235" s="4">
        <f t="shared" si="57"/>
        <v>6.2852363184089048</v>
      </c>
      <c r="Q235" s="4">
        <f t="shared" ca="1" si="58"/>
        <v>3.3646455435143885E-2</v>
      </c>
      <c r="R235" s="2">
        <f t="shared" ca="1" si="59"/>
        <v>5.3532522455196118E-3</v>
      </c>
      <c r="S235" s="4">
        <f t="shared" si="60"/>
        <v>1.941667</v>
      </c>
      <c r="T235">
        <v>1.8848400351677552</v>
      </c>
      <c r="U235">
        <f t="shared" si="61"/>
        <v>5.6826964832244808E-2</v>
      </c>
      <c r="V235" s="2">
        <f t="shared" si="62"/>
        <v>2.9267101326975638E-2</v>
      </c>
      <c r="W235">
        <f>(T235+5/3)/(1/12)</f>
        <v>42.618080422013065</v>
      </c>
      <c r="X235" s="2">
        <f t="shared" si="63"/>
        <v>1.5748720045887572E-2</v>
      </c>
    </row>
    <row r="236" spans="5:24" x14ac:dyDescent="0.25">
      <c r="E236">
        <v>234</v>
      </c>
      <c r="F236">
        <f t="shared" si="48"/>
        <v>43.400000000000006</v>
      </c>
      <c r="G236">
        <f t="shared" si="49"/>
        <v>316.54999999999995</v>
      </c>
      <c r="H236" s="4">
        <f t="shared" si="50"/>
        <v>1.95</v>
      </c>
      <c r="I236" s="4">
        <f t="shared" si="51"/>
        <v>4655.2317849999999</v>
      </c>
      <c r="J236" s="4">
        <f t="shared" si="52"/>
        <v>4.6752317850000003</v>
      </c>
      <c r="K236" s="4">
        <f t="shared" si="53"/>
        <v>1711.5564890000001</v>
      </c>
      <c r="L236">
        <f t="shared" si="54"/>
        <v>1.7115564890000001</v>
      </c>
      <c r="M236">
        <f>$B$12*F236+$B$13</f>
        <v>1.7018124457602779</v>
      </c>
      <c r="N236">
        <f t="shared" si="55"/>
        <v>9.7440432397222221E-3</v>
      </c>
      <c r="O236" s="4">
        <f t="shared" ca="1" si="56"/>
        <v>6.243024772594751</v>
      </c>
      <c r="P236" s="4">
        <f t="shared" si="57"/>
        <v>6.2765770849008096</v>
      </c>
      <c r="Q236" s="4">
        <f t="shared" ca="1" si="58"/>
        <v>3.3552312306058596E-2</v>
      </c>
      <c r="R236" s="2">
        <f t="shared" ca="1" si="59"/>
        <v>5.345638530716592E-3</v>
      </c>
      <c r="S236" s="4">
        <f t="shared" si="60"/>
        <v>1.95</v>
      </c>
      <c r="T236">
        <v>1.8940336319662774</v>
      </c>
      <c r="U236">
        <f t="shared" si="61"/>
        <v>5.5966368033722569E-2</v>
      </c>
      <c r="V236" s="2">
        <f t="shared" si="62"/>
        <v>2.8700701555755163E-2</v>
      </c>
      <c r="W236">
        <f>(T236+5/3)/(1/12)</f>
        <v>42.72840358359533</v>
      </c>
      <c r="X236" s="2">
        <f t="shared" si="63"/>
        <v>1.5474571806559336E-2</v>
      </c>
    </row>
    <row r="237" spans="5:24" x14ac:dyDescent="0.25">
      <c r="E237">
        <v>235</v>
      </c>
      <c r="F237">
        <f t="shared" si="48"/>
        <v>43.5</v>
      </c>
      <c r="G237">
        <f t="shared" si="49"/>
        <v>316.64999999999998</v>
      </c>
      <c r="H237" s="4">
        <f t="shared" si="50"/>
        <v>1.9583330000000001</v>
      </c>
      <c r="I237" s="4">
        <f t="shared" si="51"/>
        <v>4636.9154820000003</v>
      </c>
      <c r="J237" s="4">
        <f t="shared" si="52"/>
        <v>4.6569154820000005</v>
      </c>
      <c r="K237" s="4">
        <f t="shared" si="53"/>
        <v>1709.095589</v>
      </c>
      <c r="L237">
        <f t="shared" si="54"/>
        <v>1.7090955890000001</v>
      </c>
      <c r="M237">
        <f>$B$12*F237+$B$13</f>
        <v>1.6994646069373835</v>
      </c>
      <c r="N237">
        <f t="shared" si="55"/>
        <v>9.6309820626165887E-3</v>
      </c>
      <c r="O237" s="4">
        <f t="shared" ca="1" si="56"/>
        <v>6.2344341370262386</v>
      </c>
      <c r="P237" s="4">
        <f t="shared" si="57"/>
        <v>6.2679178513927152</v>
      </c>
      <c r="Q237" s="4">
        <f t="shared" ca="1" si="58"/>
        <v>3.3483714366476569E-2</v>
      </c>
      <c r="R237" s="2">
        <f t="shared" ca="1" si="59"/>
        <v>5.3420793252796977E-3</v>
      </c>
      <c r="S237" s="4">
        <f t="shared" si="60"/>
        <v>1.9583330000000001</v>
      </c>
      <c r="T237">
        <v>1.9032490741495651</v>
      </c>
      <c r="U237">
        <f t="shared" si="61"/>
        <v>5.5083925850434978E-2</v>
      </c>
      <c r="V237" s="2">
        <f t="shared" si="62"/>
        <v>2.812796692413138E-2</v>
      </c>
      <c r="W237">
        <f>(T237+5/3)/(1/12)</f>
        <v>42.838988889794784</v>
      </c>
      <c r="X237" s="2">
        <f t="shared" si="63"/>
        <v>1.5195657705867031E-2</v>
      </c>
    </row>
    <row r="238" spans="5:24" x14ac:dyDescent="0.25">
      <c r="E238">
        <v>236</v>
      </c>
      <c r="F238">
        <f t="shared" si="48"/>
        <v>43.6</v>
      </c>
      <c r="G238">
        <f t="shared" si="49"/>
        <v>316.75</v>
      </c>
      <c r="H238" s="4">
        <f t="shared" si="50"/>
        <v>1.9666669999999999</v>
      </c>
      <c r="I238" s="4">
        <f t="shared" si="51"/>
        <v>4618.6813579999998</v>
      </c>
      <c r="J238" s="4">
        <f t="shared" si="52"/>
        <v>4.6386813579999995</v>
      </c>
      <c r="K238" s="4">
        <f t="shared" si="53"/>
        <v>1706.633529</v>
      </c>
      <c r="L238">
        <f t="shared" si="54"/>
        <v>1.7066335290000001</v>
      </c>
      <c r="M238">
        <f>$B$12*F238+$B$13</f>
        <v>1.6971167681144892</v>
      </c>
      <c r="N238">
        <f t="shared" si="55"/>
        <v>9.5167608855108998E-3</v>
      </c>
      <c r="O238" s="4">
        <f t="shared" ca="1" si="56"/>
        <v>6.2250569999999996</v>
      </c>
      <c r="P238" s="4">
        <f t="shared" si="57"/>
        <v>6.2592586178846208</v>
      </c>
      <c r="Q238" s="4">
        <f t="shared" ca="1" si="58"/>
        <v>3.4201617884621172E-2</v>
      </c>
      <c r="R238" s="2">
        <f t="shared" ca="1" si="59"/>
        <v>5.4641643639546482E-3</v>
      </c>
      <c r="S238" s="4">
        <f t="shared" si="60"/>
        <v>1.9666669999999999</v>
      </c>
      <c r="T238">
        <v>1.911741220704948</v>
      </c>
      <c r="U238">
        <f t="shared" si="61"/>
        <v>5.4925779295051935E-2</v>
      </c>
      <c r="V238" s="2">
        <f t="shared" si="62"/>
        <v>2.7928357619796302E-2</v>
      </c>
      <c r="W238">
        <f>(T238+5/3)/(1/12)</f>
        <v>42.940894648459377</v>
      </c>
      <c r="X238" s="2">
        <f t="shared" si="63"/>
        <v>1.5117095218821661E-2</v>
      </c>
    </row>
    <row r="239" spans="5:24" x14ac:dyDescent="0.25">
      <c r="E239">
        <v>237</v>
      </c>
      <c r="F239">
        <f t="shared" si="48"/>
        <v>43.7</v>
      </c>
      <c r="G239">
        <f t="shared" si="49"/>
        <v>316.84999999999997</v>
      </c>
      <c r="H239" s="4">
        <f t="shared" si="50"/>
        <v>1.9750000000000001</v>
      </c>
      <c r="I239" s="4">
        <f t="shared" si="51"/>
        <v>4600.5290029999996</v>
      </c>
      <c r="J239" s="4">
        <f t="shared" si="52"/>
        <v>4.6205290029999997</v>
      </c>
      <c r="K239" s="4">
        <f t="shared" si="53"/>
        <v>1704.170327</v>
      </c>
      <c r="L239">
        <f t="shared" si="54"/>
        <v>1.7041703270000002</v>
      </c>
      <c r="M239">
        <f>$B$12*F239+$B$13</f>
        <v>1.6947689292915948</v>
      </c>
      <c r="N239">
        <f t="shared" si="55"/>
        <v>9.4013977084053124E-3</v>
      </c>
      <c r="O239" s="4">
        <f t="shared" ca="1" si="56"/>
        <v>6.2164573644314869</v>
      </c>
      <c r="P239" s="4">
        <f t="shared" si="57"/>
        <v>6.2505993843765273</v>
      </c>
      <c r="Q239" s="4">
        <f t="shared" ca="1" si="58"/>
        <v>3.4142019945040403E-2</v>
      </c>
      <c r="R239" s="2">
        <f t="shared" ca="1" si="59"/>
        <v>5.4621993580933892E-3</v>
      </c>
      <c r="S239" s="4">
        <f t="shared" si="60"/>
        <v>1.9750000000000001</v>
      </c>
      <c r="T239">
        <v>1.9210011540542211</v>
      </c>
      <c r="U239">
        <f t="shared" si="61"/>
        <v>5.3998845945778973E-2</v>
      </c>
      <c r="V239" s="2">
        <f t="shared" si="62"/>
        <v>2.7341187820647581E-2</v>
      </c>
      <c r="W239">
        <f>(T239+5/3)/(1/12)</f>
        <v>43.05201384865066</v>
      </c>
      <c r="X239" s="2">
        <f t="shared" si="63"/>
        <v>1.4828058383280164E-2</v>
      </c>
    </row>
    <row r="240" spans="5:24" x14ac:dyDescent="0.25">
      <c r="E240">
        <v>238</v>
      </c>
      <c r="F240">
        <f t="shared" si="48"/>
        <v>43.8</v>
      </c>
      <c r="G240">
        <f t="shared" si="49"/>
        <v>316.95</v>
      </c>
      <c r="H240" s="4">
        <f t="shared" si="50"/>
        <v>1.983333</v>
      </c>
      <c r="I240" s="4">
        <f t="shared" si="51"/>
        <v>4582.4580079999996</v>
      </c>
      <c r="J240" s="4">
        <f t="shared" si="52"/>
        <v>4.6024580079999993</v>
      </c>
      <c r="K240" s="4">
        <f t="shared" si="53"/>
        <v>1701.7060019999999</v>
      </c>
      <c r="L240">
        <f t="shared" si="54"/>
        <v>1.7017060019999999</v>
      </c>
      <c r="M240">
        <f>$B$12*F240+$B$13</f>
        <v>1.6924210904687007</v>
      </c>
      <c r="N240">
        <f t="shared" si="55"/>
        <v>9.2849115312991781E-3</v>
      </c>
      <c r="O240" s="4">
        <f t="shared" ca="1" si="56"/>
        <v>6.2070732274052487</v>
      </c>
      <c r="P240" s="4">
        <f t="shared" si="57"/>
        <v>6.2419401508684338</v>
      </c>
      <c r="Q240" s="4">
        <f t="shared" ca="1" si="58"/>
        <v>3.4866923463185095E-2</v>
      </c>
      <c r="R240" s="2">
        <f t="shared" ca="1" si="59"/>
        <v>5.5859112103684785E-3</v>
      </c>
      <c r="S240" s="4">
        <f t="shared" si="60"/>
        <v>1.983333</v>
      </c>
      <c r="T240">
        <v>1.9302826350110038</v>
      </c>
      <c r="U240">
        <f t="shared" si="61"/>
        <v>5.3050364988996179E-2</v>
      </c>
      <c r="V240" s="2">
        <f t="shared" si="62"/>
        <v>2.6748087683206086E-2</v>
      </c>
      <c r="W240">
        <f>(T240+5/3)/(1/12)</f>
        <v>43.163391620132053</v>
      </c>
      <c r="X240" s="2">
        <f t="shared" si="63"/>
        <v>1.4534437896528404E-2</v>
      </c>
    </row>
    <row r="241" spans="5:24" x14ac:dyDescent="0.25">
      <c r="E241">
        <v>239</v>
      </c>
      <c r="F241">
        <f t="shared" si="48"/>
        <v>43.900000000000006</v>
      </c>
      <c r="G241">
        <f t="shared" si="49"/>
        <v>317.04999999999995</v>
      </c>
      <c r="H241" s="4">
        <f t="shared" si="50"/>
        <v>1.9916670000000001</v>
      </c>
      <c r="I241" s="4">
        <f t="shared" si="51"/>
        <v>4564.4679660000002</v>
      </c>
      <c r="J241" s="4">
        <f t="shared" si="52"/>
        <v>4.5844679660000001</v>
      </c>
      <c r="K241" s="4">
        <f t="shared" si="53"/>
        <v>1699.240571</v>
      </c>
      <c r="L241">
        <f t="shared" si="54"/>
        <v>1.699240571</v>
      </c>
      <c r="M241">
        <f>$B$12*F241+$B$13</f>
        <v>1.6900732516458061</v>
      </c>
      <c r="N241">
        <f t="shared" si="55"/>
        <v>9.1673193541939035E-3</v>
      </c>
      <c r="O241" s="4">
        <f t="shared" ca="1" si="56"/>
        <v>6.1977056355685125</v>
      </c>
      <c r="P241" s="4">
        <f t="shared" si="57"/>
        <v>6.2332809173603385</v>
      </c>
      <c r="Q241" s="4">
        <f t="shared" ca="1" si="58"/>
        <v>3.5575281791826008E-2</v>
      </c>
      <c r="R241" s="2">
        <f t="shared" ca="1" si="59"/>
        <v>5.7073124512558278E-3</v>
      </c>
      <c r="S241" s="4">
        <f t="shared" si="60"/>
        <v>1.9916670000000001</v>
      </c>
      <c r="T241">
        <v>1.9395855636421113</v>
      </c>
      <c r="U241">
        <f t="shared" si="61"/>
        <v>5.2081436357888755E-2</v>
      </c>
      <c r="V241" s="2">
        <f t="shared" si="62"/>
        <v>2.6149670782258657E-2</v>
      </c>
      <c r="W241">
        <f>(T241+5/3)/(1/12)</f>
        <v>43.275026763705334</v>
      </c>
      <c r="X241" s="2">
        <f t="shared" si="63"/>
        <v>1.4236292398511879E-2</v>
      </c>
    </row>
    <row r="242" spans="5:24" x14ac:dyDescent="0.25">
      <c r="E242">
        <v>240</v>
      </c>
      <c r="F242">
        <f t="shared" si="48"/>
        <v>44</v>
      </c>
      <c r="G242">
        <f t="shared" si="49"/>
        <v>317.14999999999998</v>
      </c>
      <c r="H242" s="4">
        <f t="shared" si="50"/>
        <v>2</v>
      </c>
      <c r="I242" s="4">
        <f t="shared" si="51"/>
        <v>4546.5584740000004</v>
      </c>
      <c r="J242" s="4">
        <f t="shared" si="52"/>
        <v>4.5665584740000007</v>
      </c>
      <c r="K242" s="4">
        <f t="shared" si="53"/>
        <v>1696.774054</v>
      </c>
      <c r="L242">
        <f t="shared" si="54"/>
        <v>1.696774054</v>
      </c>
      <c r="M242">
        <f>$B$12*F242+$B$13</f>
        <v>1.687725412822912</v>
      </c>
      <c r="N242">
        <f t="shared" si="55"/>
        <v>9.0486411770880348E-3</v>
      </c>
      <c r="O242" s="4">
        <f t="shared" ca="1" si="56"/>
        <v>6.1898755014577258</v>
      </c>
      <c r="P242" s="4">
        <f t="shared" si="57"/>
        <v>6.224621683852245</v>
      </c>
      <c r="Q242" s="4">
        <f t="shared" ca="1" si="58"/>
        <v>3.4746182394519209E-2</v>
      </c>
      <c r="R242" s="2">
        <f t="shared" ca="1" si="59"/>
        <v>5.582055289345033E-3</v>
      </c>
      <c r="S242" s="4">
        <f t="shared" si="60"/>
        <v>2</v>
      </c>
      <c r="T242">
        <v>1.9481691939574883</v>
      </c>
      <c r="U242">
        <f t="shared" si="61"/>
        <v>5.1830806042511668E-2</v>
      </c>
      <c r="V242" s="2">
        <f t="shared" si="62"/>
        <v>2.5915403021255834E-2</v>
      </c>
      <c r="W242">
        <f>(T242+5/3)/(1/12)</f>
        <v>43.378030327489867</v>
      </c>
      <c r="X242" s="2">
        <f t="shared" si="63"/>
        <v>1.4135674375230294E-2</v>
      </c>
    </row>
    <row r="243" spans="5:24" x14ac:dyDescent="0.25">
      <c r="E243">
        <v>241</v>
      </c>
      <c r="F243">
        <f t="shared" si="48"/>
        <v>44.1</v>
      </c>
      <c r="G243">
        <f t="shared" si="49"/>
        <v>317.25</v>
      </c>
      <c r="H243" s="4">
        <f t="shared" si="50"/>
        <v>2.0083329999999999</v>
      </c>
      <c r="I243" s="4">
        <f t="shared" si="51"/>
        <v>4528.7291279999999</v>
      </c>
      <c r="J243" s="4">
        <f t="shared" si="52"/>
        <v>4.5487291279999997</v>
      </c>
      <c r="K243" s="4">
        <f t="shared" si="53"/>
        <v>1694.306468</v>
      </c>
      <c r="L243">
        <f t="shared" si="54"/>
        <v>1.694306468</v>
      </c>
      <c r="M243">
        <f>$B$12*F243+$B$13</f>
        <v>1.6853775740000174</v>
      </c>
      <c r="N243">
        <f t="shared" si="55"/>
        <v>8.9288939999825345E-3</v>
      </c>
      <c r="O243" s="4">
        <f t="shared" ca="1" si="56"/>
        <v>6.1804783644314876</v>
      </c>
      <c r="P243" s="4">
        <f t="shared" si="57"/>
        <v>6.2159624503441497</v>
      </c>
      <c r="Q243" s="4">
        <f t="shared" ca="1" si="58"/>
        <v>3.5484085912662167E-2</v>
      </c>
      <c r="R243" s="2">
        <f t="shared" ca="1" si="59"/>
        <v>5.7085425139107096E-3</v>
      </c>
      <c r="S243" s="4">
        <f t="shared" si="60"/>
        <v>2.0083329999999999</v>
      </c>
      <c r="T243">
        <v>1.9575158164424038</v>
      </c>
      <c r="U243">
        <f t="shared" si="61"/>
        <v>5.0817183557596124E-2</v>
      </c>
      <c r="V243" s="2">
        <f t="shared" si="62"/>
        <v>2.5303166137087885E-2</v>
      </c>
      <c r="W243">
        <f>(T243+5/3)/(1/12)</f>
        <v>43.490189797308844</v>
      </c>
      <c r="X243" s="2">
        <f t="shared" si="63"/>
        <v>1.3827895752633958E-2</v>
      </c>
    </row>
    <row r="244" spans="5:24" x14ac:dyDescent="0.25">
      <c r="E244">
        <v>242</v>
      </c>
      <c r="F244">
        <f t="shared" si="48"/>
        <v>44.2</v>
      </c>
      <c r="G244">
        <f t="shared" si="49"/>
        <v>317.34999999999997</v>
      </c>
      <c r="H244" s="4">
        <f t="shared" si="50"/>
        <v>2.016667</v>
      </c>
      <c r="I244" s="4">
        <f t="shared" si="51"/>
        <v>4510.9795299999996</v>
      </c>
      <c r="J244" s="4">
        <f t="shared" si="52"/>
        <v>4.5309795299999998</v>
      </c>
      <c r="K244" s="4">
        <f t="shared" si="53"/>
        <v>1691.8378319999999</v>
      </c>
      <c r="L244">
        <f t="shared" si="54"/>
        <v>1.691837832</v>
      </c>
      <c r="M244">
        <f>$B$12*F244+$B$13</f>
        <v>1.6830297351771231</v>
      </c>
      <c r="N244">
        <f t="shared" si="55"/>
        <v>8.8080968228769763E-3</v>
      </c>
      <c r="O244" s="4">
        <f t="shared" ca="1" si="56"/>
        <v>6.1714743644314876</v>
      </c>
      <c r="P244" s="4">
        <f t="shared" si="57"/>
        <v>6.2073032168360553</v>
      </c>
      <c r="Q244" s="4">
        <f t="shared" ca="1" si="58"/>
        <v>3.582885240456779E-2</v>
      </c>
      <c r="R244" s="2">
        <f t="shared" ca="1" si="59"/>
        <v>5.7720480461449456E-3</v>
      </c>
      <c r="S244" s="4">
        <f t="shared" si="60"/>
        <v>2.016667</v>
      </c>
      <c r="T244">
        <v>1.9668835850708808</v>
      </c>
      <c r="U244">
        <f t="shared" si="61"/>
        <v>4.9783414929119196E-2</v>
      </c>
      <c r="V244" s="2">
        <f t="shared" si="62"/>
        <v>2.4685986793615007E-2</v>
      </c>
      <c r="W244">
        <f>(T244+5/3)/(1/12)</f>
        <v>43.602603020850573</v>
      </c>
      <c r="X244" s="2">
        <f t="shared" si="63"/>
        <v>1.3515768759036872E-2</v>
      </c>
    </row>
    <row r="245" spans="5:24" x14ac:dyDescent="0.25">
      <c r="E245">
        <v>243</v>
      </c>
      <c r="F245">
        <f t="shared" si="48"/>
        <v>44.3</v>
      </c>
      <c r="G245">
        <f t="shared" si="49"/>
        <v>317.45</v>
      </c>
      <c r="H245" s="4">
        <f t="shared" si="50"/>
        <v>2.0249999999999999</v>
      </c>
      <c r="I245" s="4">
        <f t="shared" si="51"/>
        <v>4493.3092820000002</v>
      </c>
      <c r="J245" s="4">
        <f t="shared" si="52"/>
        <v>4.5133092820000007</v>
      </c>
      <c r="K245" s="4">
        <f t="shared" si="53"/>
        <v>1689.368164</v>
      </c>
      <c r="L245">
        <f t="shared" si="54"/>
        <v>1.689368164</v>
      </c>
      <c r="M245">
        <f>$B$12*F245+$B$13</f>
        <v>1.6806818963542289</v>
      </c>
      <c r="N245">
        <f t="shared" si="55"/>
        <v>8.686267645771073E-3</v>
      </c>
      <c r="O245" s="4">
        <f t="shared" ca="1" si="56"/>
        <v>6.1616956355685124</v>
      </c>
      <c r="P245" s="4">
        <f t="shared" si="57"/>
        <v>6.1986439833279627</v>
      </c>
      <c r="Q245" s="4">
        <f t="shared" ca="1" si="58"/>
        <v>3.6948347759450328E-2</v>
      </c>
      <c r="R245" s="2">
        <f t="shared" ca="1" si="59"/>
        <v>5.9607146109419392E-3</v>
      </c>
      <c r="S245" s="4">
        <f t="shared" si="60"/>
        <v>2.0249999999999999</v>
      </c>
      <c r="T245">
        <v>1.9755350552263227</v>
      </c>
      <c r="U245">
        <f t="shared" si="61"/>
        <v>4.9464944773677244E-2</v>
      </c>
      <c r="V245" s="2">
        <f t="shared" si="62"/>
        <v>2.442713322156901E-2</v>
      </c>
      <c r="W245">
        <f>(T245+5/3)/(1/12)</f>
        <v>43.706420662715878</v>
      </c>
      <c r="X245" s="2">
        <f t="shared" si="63"/>
        <v>1.339908210573632E-2</v>
      </c>
    </row>
    <row r="246" spans="5:24" x14ac:dyDescent="0.25">
      <c r="E246">
        <v>244</v>
      </c>
      <c r="F246">
        <f t="shared" si="48"/>
        <v>44.400000000000006</v>
      </c>
      <c r="G246">
        <f t="shared" si="49"/>
        <v>317.54999999999995</v>
      </c>
      <c r="H246" s="4">
        <f t="shared" si="50"/>
        <v>2.0333329999999998</v>
      </c>
      <c r="I246" s="4">
        <f t="shared" si="51"/>
        <v>4475.717987</v>
      </c>
      <c r="J246" s="4">
        <f t="shared" si="52"/>
        <v>4.4957179869999999</v>
      </c>
      <c r="K246" s="4">
        <f t="shared" si="53"/>
        <v>1686.8974840000001</v>
      </c>
      <c r="L246">
        <f t="shared" si="54"/>
        <v>1.6868974840000002</v>
      </c>
      <c r="M246">
        <f>$B$12*F246+$B$13</f>
        <v>1.6783340575313344</v>
      </c>
      <c r="N246">
        <f t="shared" si="55"/>
        <v>8.5634264686658135E-3</v>
      </c>
      <c r="O246" s="4">
        <f t="shared" ca="1" si="56"/>
        <v>6.1534543644314876</v>
      </c>
      <c r="P246" s="4">
        <f t="shared" si="57"/>
        <v>6.1899847498198675</v>
      </c>
      <c r="Q246" s="4">
        <f t="shared" ca="1" si="58"/>
        <v>3.6530385388379827E-2</v>
      </c>
      <c r="R246" s="2">
        <f t="shared" ca="1" si="59"/>
        <v>5.9015307573161441E-3</v>
      </c>
      <c r="S246" s="4">
        <f t="shared" si="60"/>
        <v>2.0333329999999998</v>
      </c>
      <c r="T246">
        <v>1.9849459136577783</v>
      </c>
      <c r="U246">
        <f t="shared" si="61"/>
        <v>4.8387086342221552E-2</v>
      </c>
      <c r="V246" s="2">
        <f t="shared" si="62"/>
        <v>2.379693161042562E-2</v>
      </c>
      <c r="W246">
        <f>(T246+5/3)/(1/12)</f>
        <v>43.819350963893342</v>
      </c>
      <c r="X246" s="2">
        <f t="shared" si="63"/>
        <v>1.3077680993393324E-2</v>
      </c>
    </row>
    <row r="247" spans="5:24" x14ac:dyDescent="0.25">
      <c r="E247">
        <v>245</v>
      </c>
      <c r="F247">
        <f t="shared" si="48"/>
        <v>44.5</v>
      </c>
      <c r="G247">
        <f t="shared" si="49"/>
        <v>317.64999999999998</v>
      </c>
      <c r="H247" s="4">
        <f t="shared" si="50"/>
        <v>2.0416669999999999</v>
      </c>
      <c r="I247" s="4">
        <f t="shared" si="51"/>
        <v>4458.2052540000004</v>
      </c>
      <c r="J247" s="4">
        <f t="shared" si="52"/>
        <v>4.4782052540000006</v>
      </c>
      <c r="K247" s="4">
        <f t="shared" si="53"/>
        <v>1684.425808</v>
      </c>
      <c r="L247">
        <f t="shared" si="54"/>
        <v>1.6844258080000001</v>
      </c>
      <c r="M247">
        <f>$B$12*F247+$B$13</f>
        <v>1.6759862187084402</v>
      </c>
      <c r="N247">
        <f t="shared" si="55"/>
        <v>8.4395892915598569E-3</v>
      </c>
      <c r="O247" s="4">
        <f t="shared" ca="1" si="56"/>
        <v>6.1448345014577264</v>
      </c>
      <c r="P247" s="4">
        <f t="shared" si="57"/>
        <v>6.181325516311774</v>
      </c>
      <c r="Q247" s="4">
        <f t="shared" ca="1" si="58"/>
        <v>3.6491014854047599E-2</v>
      </c>
      <c r="R247" s="2">
        <f t="shared" ca="1" si="59"/>
        <v>5.9034287642273815E-3</v>
      </c>
      <c r="S247" s="4">
        <f t="shared" si="60"/>
        <v>2.0416669999999999</v>
      </c>
      <c r="T247">
        <v>1.9943776148252708</v>
      </c>
      <c r="U247">
        <f t="shared" si="61"/>
        <v>4.7289385174729137E-2</v>
      </c>
      <c r="V247" s="2">
        <f t="shared" si="62"/>
        <v>2.3162144059109119E-2</v>
      </c>
      <c r="W247">
        <f>(T247+5/3)/(1/12)</f>
        <v>43.932531377903253</v>
      </c>
      <c r="X247" s="2">
        <f t="shared" si="63"/>
        <v>1.2752103867342636E-2</v>
      </c>
    </row>
    <row r="248" spans="5:24" x14ac:dyDescent="0.25">
      <c r="E248">
        <v>246</v>
      </c>
      <c r="F248">
        <f t="shared" si="48"/>
        <v>44.6</v>
      </c>
      <c r="G248">
        <f t="shared" si="49"/>
        <v>317.75</v>
      </c>
      <c r="H248" s="4">
        <f t="shared" si="50"/>
        <v>2.0499999999999998</v>
      </c>
      <c r="I248" s="4">
        <f t="shared" si="51"/>
        <v>4440.7706900000003</v>
      </c>
      <c r="J248" s="4">
        <f t="shared" si="52"/>
        <v>4.4607706900000004</v>
      </c>
      <c r="K248" s="4">
        <f t="shared" si="53"/>
        <v>1681.953156</v>
      </c>
      <c r="L248">
        <f t="shared" si="54"/>
        <v>1.6819531560000001</v>
      </c>
      <c r="M248">
        <f>$B$12*F248+$B$13</f>
        <v>1.6736383798855459</v>
      </c>
      <c r="N248">
        <f t="shared" si="55"/>
        <v>8.3147761144541921E-3</v>
      </c>
      <c r="O248" s="4">
        <f t="shared" ca="1" si="56"/>
        <v>6.1350447725947514</v>
      </c>
      <c r="P248" s="4">
        <f t="shared" si="57"/>
        <v>6.1726662828036796</v>
      </c>
      <c r="Q248" s="4">
        <f t="shared" ca="1" si="58"/>
        <v>3.7621510208928122E-2</v>
      </c>
      <c r="R248" s="2">
        <f t="shared" ca="1" si="59"/>
        <v>6.0948556888191438E-3</v>
      </c>
      <c r="S248" s="4">
        <f t="shared" si="60"/>
        <v>2.0499999999999998</v>
      </c>
      <c r="T248">
        <v>2.0030960176679673</v>
      </c>
      <c r="U248">
        <f t="shared" si="61"/>
        <v>4.6903982332032523E-2</v>
      </c>
      <c r="V248" s="2">
        <f t="shared" si="62"/>
        <v>2.2879991381479281E-2</v>
      </c>
      <c r="W248">
        <f>(T248+5/3)/(1/12)</f>
        <v>44.037152212015606</v>
      </c>
      <c r="X248" s="2">
        <f t="shared" si="63"/>
        <v>1.2619905560188242E-2</v>
      </c>
    </row>
    <row r="249" spans="5:24" x14ac:dyDescent="0.25">
      <c r="E249">
        <v>247</v>
      </c>
      <c r="F249">
        <f t="shared" si="48"/>
        <v>44.7</v>
      </c>
      <c r="G249">
        <f t="shared" si="49"/>
        <v>317.84999999999997</v>
      </c>
      <c r="H249" s="4">
        <f t="shared" si="50"/>
        <v>2.0583330000000002</v>
      </c>
      <c r="I249" s="4">
        <f t="shared" si="51"/>
        <v>4423.4139059999998</v>
      </c>
      <c r="J249" s="4">
        <f t="shared" si="52"/>
        <v>4.443413906</v>
      </c>
      <c r="K249" s="4">
        <f t="shared" si="53"/>
        <v>1679.479546</v>
      </c>
      <c r="L249">
        <f t="shared" si="54"/>
        <v>1.679479546</v>
      </c>
      <c r="M249">
        <f>$B$12*F249+$B$13</f>
        <v>1.6712905410626515</v>
      </c>
      <c r="N249">
        <f t="shared" si="55"/>
        <v>8.1890049373485319E-3</v>
      </c>
      <c r="O249" s="4">
        <f t="shared" ca="1" si="56"/>
        <v>6.1260217725947514</v>
      </c>
      <c r="P249" s="4">
        <f t="shared" si="57"/>
        <v>6.1640070492955852</v>
      </c>
      <c r="Q249" s="4">
        <f t="shared" ca="1" si="58"/>
        <v>3.7985276700833737E-2</v>
      </c>
      <c r="R249" s="2">
        <f t="shared" ca="1" si="59"/>
        <v>6.1624323913086121E-3</v>
      </c>
      <c r="S249" s="4">
        <f t="shared" si="60"/>
        <v>2.0583330000000002</v>
      </c>
      <c r="T249">
        <v>2.01183726433965</v>
      </c>
      <c r="U249">
        <f t="shared" si="61"/>
        <v>4.6495735660350146E-2</v>
      </c>
      <c r="V249" s="2">
        <f t="shared" si="62"/>
        <v>2.2589025031591166E-2</v>
      </c>
      <c r="W249">
        <f>(T249+5/3)/(1/12)</f>
        <v>44.142047172075799</v>
      </c>
      <c r="X249" s="2">
        <f t="shared" si="63"/>
        <v>1.2482166172800985E-2</v>
      </c>
    </row>
    <row r="250" spans="5:24" x14ac:dyDescent="0.25">
      <c r="E250">
        <v>248</v>
      </c>
      <c r="F250">
        <f t="shared" si="48"/>
        <v>44.8</v>
      </c>
      <c r="G250">
        <f t="shared" si="49"/>
        <v>317.95</v>
      </c>
      <c r="H250" s="4">
        <f t="shared" si="50"/>
        <v>2.0666669999999998</v>
      </c>
      <c r="I250" s="4">
        <f t="shared" si="51"/>
        <v>4406.1345170000004</v>
      </c>
      <c r="J250" s="4">
        <f t="shared" si="52"/>
        <v>4.4261345170000004</v>
      </c>
      <c r="K250" s="4">
        <f t="shared" si="53"/>
        <v>1677.004997</v>
      </c>
      <c r="L250">
        <f t="shared" si="54"/>
        <v>1.6770049970000001</v>
      </c>
      <c r="M250">
        <f>$B$12*F250+$B$13</f>
        <v>1.6689427022397572</v>
      </c>
      <c r="N250">
        <f t="shared" si="55"/>
        <v>8.062294760242894E-3</v>
      </c>
      <c r="O250" s="4">
        <f t="shared" ca="1" si="56"/>
        <v>6.117370364431487</v>
      </c>
      <c r="P250" s="4">
        <f t="shared" si="57"/>
        <v>6.1553478157874908</v>
      </c>
      <c r="Q250" s="4">
        <f t="shared" ca="1" si="58"/>
        <v>3.7977451356003833E-2</v>
      </c>
      <c r="R250" s="2">
        <f t="shared" ca="1" si="59"/>
        <v>6.1698302829610524E-3</v>
      </c>
      <c r="S250" s="4">
        <f t="shared" si="60"/>
        <v>2.0666669999999998</v>
      </c>
      <c r="T250">
        <v>2.0206012533504776</v>
      </c>
      <c r="U250">
        <f t="shared" si="61"/>
        <v>4.6065746649522232E-2</v>
      </c>
      <c r="V250" s="2">
        <f t="shared" si="62"/>
        <v>2.228987381591821E-2</v>
      </c>
      <c r="W250">
        <f>(T250+5/3)/(1/12)</f>
        <v>44.247215040205738</v>
      </c>
      <c r="X250" s="2">
        <f t="shared" si="63"/>
        <v>1.2338949995407571E-2</v>
      </c>
    </row>
    <row r="251" spans="5:24" x14ac:dyDescent="0.25">
      <c r="E251">
        <v>249</v>
      </c>
      <c r="F251">
        <f t="shared" si="48"/>
        <v>44.900000000000006</v>
      </c>
      <c r="G251">
        <f t="shared" si="49"/>
        <v>318.04999999999995</v>
      </c>
      <c r="H251" s="4">
        <f t="shared" si="50"/>
        <v>2.0750000000000002</v>
      </c>
      <c r="I251" s="4">
        <f t="shared" si="51"/>
        <v>4388.9321360000004</v>
      </c>
      <c r="J251" s="4">
        <f t="shared" si="52"/>
        <v>4.4089321360000007</v>
      </c>
      <c r="K251" s="4">
        <f t="shared" si="53"/>
        <v>1674.5295269999999</v>
      </c>
      <c r="L251">
        <f t="shared" si="54"/>
        <v>1.674529527</v>
      </c>
      <c r="M251">
        <f>$B$12*F251+$B$13</f>
        <v>1.6665948634168626</v>
      </c>
      <c r="N251">
        <f t="shared" si="55"/>
        <v>7.9346635831374357E-3</v>
      </c>
      <c r="O251" s="4">
        <f t="shared" ca="1" si="56"/>
        <v>6.1087375014577256</v>
      </c>
      <c r="P251" s="4">
        <f t="shared" si="57"/>
        <v>6.1466885822793964</v>
      </c>
      <c r="Q251" s="4">
        <f t="shared" ca="1" si="58"/>
        <v>3.7951080821670757E-2</v>
      </c>
      <c r="R251" s="2">
        <f t="shared" ca="1" si="59"/>
        <v>6.1742319158777413E-3</v>
      </c>
      <c r="S251" s="4">
        <f t="shared" si="60"/>
        <v>2.0750000000000002</v>
      </c>
      <c r="T251">
        <v>2.0301186090565357</v>
      </c>
      <c r="U251">
        <f t="shared" si="61"/>
        <v>4.4881390943464439E-2</v>
      </c>
      <c r="V251" s="2">
        <f t="shared" si="62"/>
        <v>2.1629585996850331E-2</v>
      </c>
      <c r="W251">
        <f>(T251+5/3)/(1/12)</f>
        <v>44.361423308678432</v>
      </c>
      <c r="X251" s="2">
        <f t="shared" si="63"/>
        <v>1.1995026532774459E-2</v>
      </c>
    </row>
    <row r="252" spans="5:24" x14ac:dyDescent="0.25">
      <c r="E252">
        <v>250</v>
      </c>
      <c r="F252">
        <f t="shared" si="48"/>
        <v>45</v>
      </c>
      <c r="G252">
        <f t="shared" si="49"/>
        <v>318.14999999999998</v>
      </c>
      <c r="H252" s="4">
        <f t="shared" si="50"/>
        <v>2.0833330000000001</v>
      </c>
      <c r="I252" s="4">
        <f t="shared" si="51"/>
        <v>4371.8063819999998</v>
      </c>
      <c r="J252" s="4">
        <f t="shared" si="52"/>
        <v>4.3918063819999995</v>
      </c>
      <c r="K252" s="4">
        <f t="shared" si="53"/>
        <v>1672.0531539999999</v>
      </c>
      <c r="L252">
        <f t="shared" si="54"/>
        <v>1.6720531539999999</v>
      </c>
      <c r="M252">
        <f>$B$12*F252+$B$13</f>
        <v>1.6642470245939684</v>
      </c>
      <c r="N252">
        <f t="shared" si="55"/>
        <v>7.8061294060314257E-3</v>
      </c>
      <c r="O252" s="4">
        <f t="shared" ca="1" si="56"/>
        <v>6.0989337725947514</v>
      </c>
      <c r="P252" s="4">
        <f t="shared" si="57"/>
        <v>6.1380293487713029</v>
      </c>
      <c r="Q252" s="4">
        <f t="shared" ca="1" si="58"/>
        <v>3.9095576176551461E-2</v>
      </c>
      <c r="R252" s="2">
        <f t="shared" ca="1" si="59"/>
        <v>6.3694019619468792E-3</v>
      </c>
      <c r="S252" s="4">
        <f t="shared" si="60"/>
        <v>2.0833330000000001</v>
      </c>
      <c r="T252">
        <v>2.0389266722026069</v>
      </c>
      <c r="U252">
        <f t="shared" si="61"/>
        <v>4.4406327797393175E-2</v>
      </c>
      <c r="V252" s="2">
        <f t="shared" si="62"/>
        <v>2.1315040753155243E-2</v>
      </c>
      <c r="W252">
        <f>(T252+5/3)/(1/12)</f>
        <v>44.467120066431285</v>
      </c>
      <c r="X252" s="2">
        <f t="shared" si="63"/>
        <v>1.1841776301527003E-2</v>
      </c>
    </row>
    <row r="253" spans="5:24" x14ac:dyDescent="0.25">
      <c r="E253">
        <v>251</v>
      </c>
      <c r="F253">
        <f t="shared" si="48"/>
        <v>45.1</v>
      </c>
      <c r="G253">
        <f t="shared" si="49"/>
        <v>318.25</v>
      </c>
      <c r="H253" s="4">
        <f t="shared" si="50"/>
        <v>2.0916670000000002</v>
      </c>
      <c r="I253" s="4">
        <f t="shared" si="51"/>
        <v>4354.7568730000003</v>
      </c>
      <c r="J253" s="4">
        <f t="shared" si="52"/>
        <v>4.3747568729999999</v>
      </c>
      <c r="K253" s="4">
        <f t="shared" si="53"/>
        <v>1669.5758980000001</v>
      </c>
      <c r="L253">
        <f t="shared" si="54"/>
        <v>1.6695758980000002</v>
      </c>
      <c r="M253">
        <f>$B$12*F253+$B$13</f>
        <v>1.6618991857710741</v>
      </c>
      <c r="N253">
        <f t="shared" si="55"/>
        <v>7.6767122289260747E-3</v>
      </c>
      <c r="O253" s="4">
        <f t="shared" ca="1" si="56"/>
        <v>6.0894908629737614</v>
      </c>
      <c r="P253" s="4">
        <f t="shared" si="57"/>
        <v>6.1293701152632085</v>
      </c>
      <c r="Q253" s="4">
        <f t="shared" ca="1" si="58"/>
        <v>3.9879252289447109E-2</v>
      </c>
      <c r="R253" s="2">
        <f t="shared" ca="1" si="59"/>
        <v>6.5062561959084121E-3</v>
      </c>
      <c r="S253" s="4">
        <f t="shared" si="60"/>
        <v>2.0916670000000002</v>
      </c>
      <c r="T253">
        <v>2.0492142107272038</v>
      </c>
      <c r="U253">
        <f t="shared" si="61"/>
        <v>4.2452789272796387E-2</v>
      </c>
      <c r="V253" s="2">
        <f t="shared" si="62"/>
        <v>2.0296150999559864E-2</v>
      </c>
      <c r="W253">
        <f>(T253+5/3)/(1/12)</f>
        <v>44.590570528726452</v>
      </c>
      <c r="X253" s="2">
        <f t="shared" si="63"/>
        <v>1.1295553686774921E-2</v>
      </c>
    </row>
    <row r="254" spans="5:24" x14ac:dyDescent="0.25">
      <c r="E254">
        <v>252</v>
      </c>
      <c r="F254">
        <f t="shared" si="48"/>
        <v>45.2</v>
      </c>
      <c r="G254">
        <f t="shared" si="49"/>
        <v>318.34999999999997</v>
      </c>
      <c r="H254" s="4">
        <f t="shared" si="50"/>
        <v>2.1</v>
      </c>
      <c r="I254" s="4">
        <f t="shared" si="51"/>
        <v>4337.7832319999998</v>
      </c>
      <c r="J254" s="4">
        <f t="shared" si="52"/>
        <v>4.3577832320000001</v>
      </c>
      <c r="K254" s="4">
        <f t="shared" si="53"/>
        <v>1667.0977760000001</v>
      </c>
      <c r="L254">
        <f t="shared" si="54"/>
        <v>1.6670977760000001</v>
      </c>
      <c r="M254">
        <f>$B$12*F254+$B$13</f>
        <v>1.6595513469481797</v>
      </c>
      <c r="N254">
        <f t="shared" si="55"/>
        <v>7.546429051820347E-3</v>
      </c>
      <c r="O254" s="4">
        <f t="shared" ca="1" si="56"/>
        <v>6.0816295014577255</v>
      </c>
      <c r="P254" s="4">
        <f t="shared" si="57"/>
        <v>6.1207108817551141</v>
      </c>
      <c r="Q254" s="4">
        <f t="shared" ca="1" si="58"/>
        <v>3.9081380297388613E-2</v>
      </c>
      <c r="R254" s="2">
        <f t="shared" ca="1" si="59"/>
        <v>6.3851047782511865E-3</v>
      </c>
      <c r="S254" s="4">
        <f t="shared" si="60"/>
        <v>2.1</v>
      </c>
      <c r="T254">
        <v>2.0580648322948178</v>
      </c>
      <c r="U254">
        <f t="shared" si="61"/>
        <v>4.1935167705182241E-2</v>
      </c>
      <c r="V254" s="2">
        <f t="shared" si="62"/>
        <v>1.996912747865821E-2</v>
      </c>
      <c r="W254">
        <f>(T254+5/3)/(1/12)</f>
        <v>44.696777987537821</v>
      </c>
      <c r="X254" s="2">
        <f t="shared" si="63"/>
        <v>1.1133230364207556E-2</v>
      </c>
    </row>
    <row r="255" spans="5:24" x14ac:dyDescent="0.25">
      <c r="E255">
        <v>253</v>
      </c>
      <c r="F255">
        <f t="shared" si="48"/>
        <v>45.3</v>
      </c>
      <c r="G255">
        <f t="shared" si="49"/>
        <v>318.45</v>
      </c>
      <c r="H255" s="4">
        <f t="shared" si="50"/>
        <v>2.108333</v>
      </c>
      <c r="I255" s="4">
        <f t="shared" si="51"/>
        <v>4320.8850810000004</v>
      </c>
      <c r="J255" s="4">
        <f t="shared" si="52"/>
        <v>4.3408850810000006</v>
      </c>
      <c r="K255" s="4">
        <f t="shared" si="53"/>
        <v>1664.6188059999999</v>
      </c>
      <c r="L255">
        <f t="shared" si="54"/>
        <v>1.664618806</v>
      </c>
      <c r="M255">
        <f>$B$12*F255+$B$13</f>
        <v>1.6572035081252854</v>
      </c>
      <c r="N255">
        <f t="shared" si="55"/>
        <v>7.4152978747146214E-3</v>
      </c>
      <c r="O255" s="4">
        <f t="shared" ca="1" si="56"/>
        <v>6.071409862973761</v>
      </c>
      <c r="P255" s="4">
        <f t="shared" si="57"/>
        <v>6.1120516482470197</v>
      </c>
      <c r="Q255" s="4">
        <f t="shared" ca="1" si="58"/>
        <v>4.064178527325879E-2</v>
      </c>
      <c r="R255" s="2">
        <f t="shared" ca="1" si="59"/>
        <v>6.6494505629570632E-3</v>
      </c>
      <c r="S255" s="4">
        <f t="shared" si="60"/>
        <v>2.108333</v>
      </c>
      <c r="T255">
        <v>2.0676639957162091</v>
      </c>
      <c r="U255">
        <f t="shared" si="61"/>
        <v>4.0669004283790944E-2</v>
      </c>
      <c r="V255" s="2">
        <f t="shared" si="62"/>
        <v>1.9289649350359237E-2</v>
      </c>
      <c r="W255">
        <f>(T255+5/3)/(1/12)</f>
        <v>44.811967948594507</v>
      </c>
      <c r="X255" s="2">
        <f t="shared" si="63"/>
        <v>1.0773334468112366E-2</v>
      </c>
    </row>
    <row r="256" spans="5:24" x14ac:dyDescent="0.25">
      <c r="E256">
        <v>254</v>
      </c>
      <c r="F256">
        <f t="shared" si="48"/>
        <v>45.400000000000006</v>
      </c>
      <c r="G256">
        <f t="shared" si="49"/>
        <v>318.54999999999995</v>
      </c>
      <c r="H256" s="4">
        <f t="shared" si="50"/>
        <v>2.1166670000000001</v>
      </c>
      <c r="I256" s="4">
        <f t="shared" si="51"/>
        <v>4304.0620470000003</v>
      </c>
      <c r="J256" s="4">
        <f t="shared" si="52"/>
        <v>4.3240620470000009</v>
      </c>
      <c r="K256" s="4">
        <f t="shared" si="53"/>
        <v>1662.139009</v>
      </c>
      <c r="L256">
        <f t="shared" si="54"/>
        <v>1.6621390090000001</v>
      </c>
      <c r="M256">
        <f>$B$12*F256+$B$13</f>
        <v>1.654855669302391</v>
      </c>
      <c r="N256">
        <f t="shared" si="55"/>
        <v>7.2833396976090814E-3</v>
      </c>
      <c r="O256" s="4">
        <f t="shared" ca="1" si="56"/>
        <v>6.0619794985422741</v>
      </c>
      <c r="P256" s="4">
        <f t="shared" si="57"/>
        <v>6.1033924147389254</v>
      </c>
      <c r="Q256" s="4">
        <f t="shared" ca="1" si="58"/>
        <v>4.1412916196651217E-2</v>
      </c>
      <c r="R256" s="2">
        <f t="shared" ca="1" si="59"/>
        <v>6.7852291615142146E-3</v>
      </c>
      <c r="S256" s="4">
        <f t="shared" si="60"/>
        <v>2.1166670000000001</v>
      </c>
      <c r="T256">
        <v>2.0765578671922906</v>
      </c>
      <c r="U256">
        <f t="shared" si="61"/>
        <v>4.0109132807709447E-2</v>
      </c>
      <c r="V256" s="2">
        <f t="shared" si="62"/>
        <v>1.8949193617942475E-2</v>
      </c>
      <c r="W256">
        <f>(T256+5/3)/(1/12)</f>
        <v>44.918694406307495</v>
      </c>
      <c r="X256" s="2">
        <f t="shared" si="63"/>
        <v>1.0601444794989229E-2</v>
      </c>
    </row>
    <row r="257" spans="5:24" x14ac:dyDescent="0.25">
      <c r="E257">
        <v>255</v>
      </c>
      <c r="F257">
        <f t="shared" si="48"/>
        <v>45.5</v>
      </c>
      <c r="G257">
        <f t="shared" si="49"/>
        <v>318.64999999999998</v>
      </c>
      <c r="H257" s="4">
        <f t="shared" si="50"/>
        <v>2.125</v>
      </c>
      <c r="I257" s="4">
        <f t="shared" si="51"/>
        <v>4287.3137559999996</v>
      </c>
      <c r="J257" s="4">
        <f t="shared" si="52"/>
        <v>4.3073137559999992</v>
      </c>
      <c r="K257" s="4">
        <f t="shared" si="53"/>
        <v>1659.6584009999999</v>
      </c>
      <c r="L257">
        <f t="shared" si="54"/>
        <v>1.6596584009999999</v>
      </c>
      <c r="M257">
        <f>$B$12*F257+$B$13</f>
        <v>1.6525078304794967</v>
      </c>
      <c r="N257">
        <f t="shared" si="55"/>
        <v>7.1505705205032744E-3</v>
      </c>
      <c r="O257" s="4">
        <f t="shared" ca="1" si="56"/>
        <v>6.0541081370262386</v>
      </c>
      <c r="P257" s="4">
        <f t="shared" si="57"/>
        <v>6.0947331812308319</v>
      </c>
      <c r="Q257" s="4">
        <f t="shared" ca="1" si="58"/>
        <v>4.062504420459323E-2</v>
      </c>
      <c r="R257" s="2">
        <f t="shared" ca="1" si="59"/>
        <v>6.6655984760253277E-3</v>
      </c>
      <c r="S257" s="4">
        <f t="shared" si="60"/>
        <v>2.125</v>
      </c>
      <c r="T257">
        <v>2.0854737617913113</v>
      </c>
      <c r="U257">
        <f t="shared" si="61"/>
        <v>3.9526238208688724E-2</v>
      </c>
      <c r="V257" s="2">
        <f t="shared" si="62"/>
        <v>1.8600582686441752E-2</v>
      </c>
      <c r="W257">
        <f>(T257+5/3)/(1/12)</f>
        <v>45.025685141495742</v>
      </c>
      <c r="X257" s="2">
        <f t="shared" si="63"/>
        <v>1.0424502384708958E-2</v>
      </c>
    </row>
    <row r="258" spans="5:24" x14ac:dyDescent="0.25">
      <c r="E258">
        <v>256</v>
      </c>
      <c r="F258">
        <f t="shared" si="48"/>
        <v>45.6</v>
      </c>
      <c r="G258">
        <f t="shared" si="49"/>
        <v>318.75</v>
      </c>
      <c r="H258" s="4">
        <f t="shared" si="50"/>
        <v>2.1333329999999999</v>
      </c>
      <c r="I258" s="4">
        <f t="shared" si="51"/>
        <v>4270.6398390000004</v>
      </c>
      <c r="J258" s="4">
        <f t="shared" si="52"/>
        <v>4.2906398390000007</v>
      </c>
      <c r="K258" s="4">
        <f t="shared" si="53"/>
        <v>1657.177001</v>
      </c>
      <c r="L258">
        <f t="shared" si="54"/>
        <v>1.657177001</v>
      </c>
      <c r="M258">
        <f>$B$12*F258+$B$13</f>
        <v>1.6501599916566023</v>
      </c>
      <c r="N258">
        <f t="shared" si="55"/>
        <v>7.0170093433976621E-3</v>
      </c>
      <c r="O258" s="4">
        <f t="shared" ca="1" si="56"/>
        <v>6.0454425014577255</v>
      </c>
      <c r="P258" s="4">
        <f t="shared" si="57"/>
        <v>6.0860739477227375</v>
      </c>
      <c r="Q258" s="4">
        <f t="shared" ca="1" si="58"/>
        <v>4.0631446265011917E-2</v>
      </c>
      <c r="R258" s="2">
        <f t="shared" ca="1" si="59"/>
        <v>6.6761341735282771E-3</v>
      </c>
      <c r="S258" s="4">
        <f t="shared" si="60"/>
        <v>2.1333329999999999</v>
      </c>
      <c r="T258">
        <v>2.095134571422248</v>
      </c>
      <c r="U258">
        <f t="shared" si="61"/>
        <v>3.8198428577751908E-2</v>
      </c>
      <c r="V258" s="2">
        <f t="shared" si="62"/>
        <v>1.7905516193558114E-2</v>
      </c>
      <c r="W258">
        <f>(T258+5/3)/(1/12)</f>
        <v>45.141614857066983</v>
      </c>
      <c r="X258" s="2">
        <f t="shared" si="63"/>
        <v>1.0052305766074958E-2</v>
      </c>
    </row>
    <row r="259" spans="5:24" x14ac:dyDescent="0.25">
      <c r="E259">
        <v>257</v>
      </c>
      <c r="F259">
        <f t="shared" ref="F259:F322" si="64">E259*0.1+20</f>
        <v>45.7</v>
      </c>
      <c r="G259">
        <f t="shared" ref="G259:G322" si="65">F259+273.15</f>
        <v>318.84999999999997</v>
      </c>
      <c r="H259" s="4">
        <f t="shared" ref="H259:H322" si="66">ROUND(1/12*F259-5/3,6)</f>
        <v>2.141667</v>
      </c>
      <c r="I259" s="4">
        <f t="shared" ref="I259:I322" si="67">ROUND(10000*EXP(($B$3)+($B$4/G259)+($B$5/(G259^2))+($B$6/(G259^3))),6)</f>
        <v>4254.0399280000001</v>
      </c>
      <c r="J259" s="4">
        <f t="shared" ref="J259:J322" si="68">$B$9*(2*$B$8+I259)</f>
        <v>4.2740399280000005</v>
      </c>
      <c r="K259" s="4">
        <f t="shared" ref="K259:K322" si="69">ROUND(1/(1/(I259+2*$B$8)+1/($B$7)),6)</f>
        <v>1654.694829</v>
      </c>
      <c r="L259">
        <f t="shared" ref="L259:L322" si="70">$B$9*K259</f>
        <v>1.6546948290000001</v>
      </c>
      <c r="M259">
        <f>$B$12*F259+$B$13</f>
        <v>1.647812152833708</v>
      </c>
      <c r="N259">
        <f t="shared" ref="N259:N322" si="71">ABS(L259-M259)</f>
        <v>6.8826761662921232E-3</v>
      </c>
      <c r="O259" s="4">
        <f t="shared" ref="O259:O322" ca="1" si="72">ROUND(L259*$B$28,6)+RANDBETWEEN(-1,1)*$B$23+RANDBETWEEN(-1,1)*$B$24</f>
        <v>6.0348254985422738</v>
      </c>
      <c r="P259" s="4">
        <f t="shared" ref="P259:P322" si="73">M259*$B$22</f>
        <v>6.0774147142146431</v>
      </c>
      <c r="Q259" s="4">
        <f t="shared" ref="Q259:Q322" ca="1" si="74">ABS(O259-P259)</f>
        <v>4.2589215672369285E-2</v>
      </c>
      <c r="R259" s="2">
        <f t="shared" ref="R259:R322" ca="1" si="75">ABS(P259-O259)/P259</f>
        <v>7.0077849998875542E-3</v>
      </c>
      <c r="S259" s="4">
        <f t="shared" ref="S259:S322" si="76">ROUND($B$18*M259+$B$19,6)</f>
        <v>2.141667</v>
      </c>
      <c r="T259">
        <v>2.1040930934751318</v>
      </c>
      <c r="U259">
        <f t="shared" ref="U259:U322" si="77">ABS(S259-T259)</f>
        <v>3.7573906524868139E-2</v>
      </c>
      <c r="V259" s="2">
        <f t="shared" ref="V259:V322" si="78">IF(S259=0, ABS(S259-T259),ABS(S259-T259)/S259)</f>
        <v>1.7544233779046015E-2</v>
      </c>
      <c r="W259">
        <f>(T259+5/3)/(1/12)</f>
        <v>45.24911712170158</v>
      </c>
      <c r="X259" s="2">
        <f t="shared" ref="X259:X322" si="79">ABS(F259-W259)/F259</f>
        <v>9.866146133444692E-3</v>
      </c>
    </row>
    <row r="260" spans="5:24" x14ac:dyDescent="0.25">
      <c r="E260">
        <v>258</v>
      </c>
      <c r="F260">
        <f t="shared" si="64"/>
        <v>45.8</v>
      </c>
      <c r="G260">
        <f t="shared" si="65"/>
        <v>318.95</v>
      </c>
      <c r="H260" s="4">
        <f t="shared" si="66"/>
        <v>2.15</v>
      </c>
      <c r="I260" s="4">
        <f t="shared" si="67"/>
        <v>4237.5136549999997</v>
      </c>
      <c r="J260" s="4">
        <f t="shared" si="68"/>
        <v>4.2575136549999995</v>
      </c>
      <c r="K260" s="4">
        <f t="shared" si="69"/>
        <v>1652.211902</v>
      </c>
      <c r="L260">
        <f t="shared" si="70"/>
        <v>1.6522119020000001</v>
      </c>
      <c r="M260">
        <f>$B$12*F260+$B$13</f>
        <v>1.6454643140108138</v>
      </c>
      <c r="N260">
        <f t="shared" si="71"/>
        <v>6.7475879891862878E-3</v>
      </c>
      <c r="O260" s="4">
        <f t="shared" ca="1" si="72"/>
        <v>6.0265617725947518</v>
      </c>
      <c r="P260" s="4">
        <f t="shared" si="73"/>
        <v>6.0687554807065496</v>
      </c>
      <c r="Q260" s="4">
        <f t="shared" ca="1" si="74"/>
        <v>4.219370811179779E-2</v>
      </c>
      <c r="R260" s="2">
        <f t="shared" ca="1" si="75"/>
        <v>6.9526129773950663E-3</v>
      </c>
      <c r="S260" s="4">
        <f t="shared" si="76"/>
        <v>2.15</v>
      </c>
      <c r="T260">
        <v>2.1130733263689025</v>
      </c>
      <c r="U260">
        <f t="shared" si="77"/>
        <v>3.6926673631097362E-2</v>
      </c>
      <c r="V260" s="2">
        <f t="shared" si="78"/>
        <v>1.7175197037719706E-2</v>
      </c>
      <c r="W260">
        <f>(T260+5/3)/(1/12)</f>
        <v>45.356879916426834</v>
      </c>
      <c r="X260" s="2">
        <f t="shared" si="79"/>
        <v>9.6751109950472276E-3</v>
      </c>
    </row>
    <row r="261" spans="5:24" x14ac:dyDescent="0.25">
      <c r="E261">
        <v>259</v>
      </c>
      <c r="F261">
        <f t="shared" si="64"/>
        <v>45.900000000000006</v>
      </c>
      <c r="G261">
        <f t="shared" si="65"/>
        <v>319.04999999999995</v>
      </c>
      <c r="H261" s="4">
        <f t="shared" si="66"/>
        <v>2.1583329999999998</v>
      </c>
      <c r="I261" s="4">
        <f t="shared" si="67"/>
        <v>4221.060657</v>
      </c>
      <c r="J261" s="4">
        <f t="shared" si="68"/>
        <v>4.2410606570000002</v>
      </c>
      <c r="K261" s="4">
        <f t="shared" si="69"/>
        <v>1649.728239</v>
      </c>
      <c r="L261">
        <f t="shared" si="70"/>
        <v>1.6497282390000001</v>
      </c>
      <c r="M261">
        <f>$B$12*F261+$B$13</f>
        <v>1.6431164751879193</v>
      </c>
      <c r="N261">
        <f t="shared" si="71"/>
        <v>6.6117638120808397E-3</v>
      </c>
      <c r="O261" s="4">
        <f t="shared" ca="1" si="72"/>
        <v>6.0174802274052483</v>
      </c>
      <c r="P261" s="4">
        <f t="shared" si="73"/>
        <v>6.0600962471984543</v>
      </c>
      <c r="Q261" s="4">
        <f t="shared" ca="1" si="74"/>
        <v>4.261601979320595E-2</v>
      </c>
      <c r="R261" s="2">
        <f t="shared" ca="1" si="75"/>
        <v>7.0322348119317537E-3</v>
      </c>
      <c r="S261" s="4">
        <f t="shared" si="76"/>
        <v>2.1583329999999998</v>
      </c>
      <c r="T261">
        <v>2.1227948427444896</v>
      </c>
      <c r="U261">
        <f t="shared" si="77"/>
        <v>3.5538157255510239E-2</v>
      </c>
      <c r="V261" s="2">
        <f t="shared" si="78"/>
        <v>1.6465558028121816E-2</v>
      </c>
      <c r="W261">
        <f>(T261+5/3)/(1/12)</f>
        <v>45.473538112933873</v>
      </c>
      <c r="X261" s="2">
        <f t="shared" si="79"/>
        <v>9.2911086506782623E-3</v>
      </c>
    </row>
    <row r="262" spans="5:24" x14ac:dyDescent="0.25">
      <c r="E262">
        <v>260</v>
      </c>
      <c r="F262">
        <f t="shared" si="64"/>
        <v>46</v>
      </c>
      <c r="G262">
        <f t="shared" si="65"/>
        <v>319.14999999999998</v>
      </c>
      <c r="H262" s="4">
        <f t="shared" si="66"/>
        <v>2.1666669999999999</v>
      </c>
      <c r="I262" s="4">
        <f t="shared" si="67"/>
        <v>4204.6805709999999</v>
      </c>
      <c r="J262" s="4">
        <f t="shared" si="68"/>
        <v>4.2246805710000004</v>
      </c>
      <c r="K262" s="4">
        <f t="shared" si="69"/>
        <v>1647.243858</v>
      </c>
      <c r="L262">
        <f t="shared" si="70"/>
        <v>1.6472438580000002</v>
      </c>
      <c r="M262">
        <f>$B$12*F262+$B$13</f>
        <v>1.6407686363650249</v>
      </c>
      <c r="N262">
        <f t="shared" si="71"/>
        <v>6.47522163497527E-3</v>
      </c>
      <c r="O262" s="4">
        <f t="shared" ca="1" si="72"/>
        <v>6.0088251370262382</v>
      </c>
      <c r="P262" s="4">
        <f t="shared" si="73"/>
        <v>6.0514370136903608</v>
      </c>
      <c r="Q262" s="4">
        <f t="shared" ca="1" si="74"/>
        <v>4.2611876664122583E-2</v>
      </c>
      <c r="R262" s="2">
        <f t="shared" ca="1" si="75"/>
        <v>7.0416128545534497E-3</v>
      </c>
      <c r="S262" s="4">
        <f t="shared" si="76"/>
        <v>2.1666669999999999</v>
      </c>
      <c r="T262">
        <v>2.1318170759529322</v>
      </c>
      <c r="U262">
        <f t="shared" si="77"/>
        <v>3.484992404706766E-2</v>
      </c>
      <c r="V262" s="2">
        <f t="shared" si="78"/>
        <v>1.6084577854865403E-2</v>
      </c>
      <c r="W262">
        <f>(T262+5/3)/(1/12)</f>
        <v>45.581804911435185</v>
      </c>
      <c r="X262" s="2">
        <f t="shared" si="79"/>
        <v>9.0911975774959769E-3</v>
      </c>
    </row>
    <row r="263" spans="5:24" x14ac:dyDescent="0.25">
      <c r="E263">
        <v>261</v>
      </c>
      <c r="F263">
        <f t="shared" si="64"/>
        <v>46.1</v>
      </c>
      <c r="G263">
        <f t="shared" si="65"/>
        <v>319.25</v>
      </c>
      <c r="H263" s="4">
        <f t="shared" si="66"/>
        <v>2.1749999999999998</v>
      </c>
      <c r="I263" s="4">
        <f t="shared" si="67"/>
        <v>4188.3730370000003</v>
      </c>
      <c r="J263" s="4">
        <f t="shared" si="68"/>
        <v>4.2083730370000003</v>
      </c>
      <c r="K263" s="4">
        <f t="shared" si="69"/>
        <v>1644.758779</v>
      </c>
      <c r="L263">
        <f t="shared" si="70"/>
        <v>1.644758779</v>
      </c>
      <c r="M263">
        <f>$B$12*F263+$B$13</f>
        <v>1.6384207975421305</v>
      </c>
      <c r="N263">
        <f t="shared" si="71"/>
        <v>6.3379814578694571E-3</v>
      </c>
      <c r="O263" s="4">
        <f t="shared" ca="1" si="72"/>
        <v>6.000146501457726</v>
      </c>
      <c r="P263" s="4">
        <f t="shared" si="73"/>
        <v>6.0427777801822664</v>
      </c>
      <c r="Q263" s="4">
        <f t="shared" ca="1" si="74"/>
        <v>4.2631278724540422E-2</v>
      </c>
      <c r="R263" s="2">
        <f t="shared" ca="1" si="75"/>
        <v>7.0549141926669603E-3</v>
      </c>
      <c r="S263" s="4">
        <f t="shared" si="76"/>
        <v>2.1749999999999998</v>
      </c>
      <c r="T263">
        <v>2.1408607054942919</v>
      </c>
      <c r="U263">
        <f t="shared" si="77"/>
        <v>3.4139294505707962E-2</v>
      </c>
      <c r="V263" s="2">
        <f t="shared" si="78"/>
        <v>1.5696227358946192E-2</v>
      </c>
      <c r="W263">
        <f>(T263+5/3)/(1/12)</f>
        <v>45.690328465931501</v>
      </c>
      <c r="X263" s="2">
        <f t="shared" si="79"/>
        <v>8.8865842531128166E-3</v>
      </c>
    </row>
    <row r="264" spans="5:24" x14ac:dyDescent="0.25">
      <c r="E264">
        <v>262</v>
      </c>
      <c r="F264">
        <f t="shared" si="64"/>
        <v>46.2</v>
      </c>
      <c r="G264">
        <f t="shared" si="65"/>
        <v>319.34999999999997</v>
      </c>
      <c r="H264" s="4">
        <f t="shared" si="66"/>
        <v>2.1833330000000002</v>
      </c>
      <c r="I264" s="4">
        <f t="shared" si="67"/>
        <v>4172.1376970000001</v>
      </c>
      <c r="J264" s="4">
        <f t="shared" si="68"/>
        <v>4.1921376970000006</v>
      </c>
      <c r="K264" s="4">
        <f t="shared" si="69"/>
        <v>1642.273019</v>
      </c>
      <c r="L264">
        <f t="shared" si="70"/>
        <v>1.6422730190000001</v>
      </c>
      <c r="M264">
        <f>$B$12*F264+$B$13</f>
        <v>1.6360729587192362</v>
      </c>
      <c r="N264">
        <f t="shared" si="71"/>
        <v>6.2000602807639194E-3</v>
      </c>
      <c r="O264" s="4">
        <f t="shared" ca="1" si="72"/>
        <v>5.9895164985422742</v>
      </c>
      <c r="P264" s="4">
        <f t="shared" si="73"/>
        <v>6.034118546674172</v>
      </c>
      <c r="Q264" s="4">
        <f t="shared" ca="1" si="74"/>
        <v>4.4602048131897831E-2</v>
      </c>
      <c r="R264" s="2">
        <f t="shared" ca="1" si="75"/>
        <v>7.3916426710710159E-3</v>
      </c>
      <c r="S264" s="4">
        <f t="shared" si="76"/>
        <v>2.1833330000000002</v>
      </c>
      <c r="T264">
        <v>2.1499256260524788</v>
      </c>
      <c r="U264">
        <f t="shared" si="77"/>
        <v>3.3407373947521357E-2</v>
      </c>
      <c r="V264" s="2">
        <f t="shared" si="78"/>
        <v>1.5301089640252473E-2</v>
      </c>
      <c r="W264">
        <f>(T264+5/3)/(1/12)</f>
        <v>45.799107512629753</v>
      </c>
      <c r="X264" s="2">
        <f t="shared" si="79"/>
        <v>8.6773265664556211E-3</v>
      </c>
    </row>
    <row r="265" spans="5:24" x14ac:dyDescent="0.25">
      <c r="E265">
        <v>263</v>
      </c>
      <c r="F265">
        <f t="shared" si="64"/>
        <v>46.3</v>
      </c>
      <c r="G265">
        <f t="shared" si="65"/>
        <v>319.45</v>
      </c>
      <c r="H265" s="4">
        <f t="shared" si="66"/>
        <v>2.1916669999999998</v>
      </c>
      <c r="I265" s="4">
        <f t="shared" si="67"/>
        <v>4155.9741940000004</v>
      </c>
      <c r="J265" s="4">
        <f t="shared" si="68"/>
        <v>4.1759741940000001</v>
      </c>
      <c r="K265" s="4">
        <f t="shared" si="69"/>
        <v>1639.786597</v>
      </c>
      <c r="L265">
        <f t="shared" si="70"/>
        <v>1.6397865970000001</v>
      </c>
      <c r="M265">
        <f>$B$12*F265+$B$13</f>
        <v>1.6337251198963421</v>
      </c>
      <c r="N265">
        <f t="shared" si="71"/>
        <v>6.0614771036580084E-3</v>
      </c>
      <c r="O265" s="4">
        <f t="shared" ca="1" si="72"/>
        <v>5.9812397725947513</v>
      </c>
      <c r="P265" s="4">
        <f t="shared" si="73"/>
        <v>6.0254593131660785</v>
      </c>
      <c r="Q265" s="4">
        <f t="shared" ca="1" si="74"/>
        <v>4.4219540571327265E-2</v>
      </c>
      <c r="R265" s="2">
        <f t="shared" ca="1" si="75"/>
        <v>7.3387833645651322E-3</v>
      </c>
      <c r="S265" s="4">
        <f t="shared" si="76"/>
        <v>2.1916669999999998</v>
      </c>
      <c r="T265">
        <v>2.1590117321513764</v>
      </c>
      <c r="U265">
        <f t="shared" si="77"/>
        <v>3.2655267848623382E-2</v>
      </c>
      <c r="V265" s="2">
        <f t="shared" si="78"/>
        <v>1.4899739718042652E-2</v>
      </c>
      <c r="W265">
        <f>(T265+5/3)/(1/12)</f>
        <v>45.908140785816521</v>
      </c>
      <c r="X265" s="2">
        <f t="shared" si="79"/>
        <v>8.4634819478072668E-3</v>
      </c>
    </row>
    <row r="266" spans="5:24" x14ac:dyDescent="0.25">
      <c r="E266">
        <v>264</v>
      </c>
      <c r="F266">
        <f t="shared" si="64"/>
        <v>46.400000000000006</v>
      </c>
      <c r="G266">
        <f t="shared" si="65"/>
        <v>319.54999999999995</v>
      </c>
      <c r="H266" s="4">
        <f t="shared" si="66"/>
        <v>2.2000000000000002</v>
      </c>
      <c r="I266" s="4">
        <f t="shared" si="67"/>
        <v>4139.882173</v>
      </c>
      <c r="J266" s="4">
        <f t="shared" si="68"/>
        <v>4.1598821729999997</v>
      </c>
      <c r="K266" s="4">
        <f t="shared" si="69"/>
        <v>1637.2995309999999</v>
      </c>
      <c r="L266">
        <f t="shared" si="70"/>
        <v>1.637299531</v>
      </c>
      <c r="M266">
        <f>$B$12*F266+$B$13</f>
        <v>1.6313772810734475</v>
      </c>
      <c r="N266">
        <f t="shared" si="71"/>
        <v>5.9222499265525474E-3</v>
      </c>
      <c r="O266" s="4">
        <f t="shared" ca="1" si="72"/>
        <v>5.9721462274052488</v>
      </c>
      <c r="P266" s="4">
        <f t="shared" si="73"/>
        <v>6.0168000796579832</v>
      </c>
      <c r="Q266" s="4">
        <f t="shared" ca="1" si="74"/>
        <v>4.4653852252734438E-2</v>
      </c>
      <c r="R266" s="2">
        <f t="shared" ca="1" si="75"/>
        <v>7.4215283309318003E-3</v>
      </c>
      <c r="S266" s="4">
        <f t="shared" si="76"/>
        <v>2.2000000000000002</v>
      </c>
      <c r="T266">
        <v>2.1674047792362665</v>
      </c>
      <c r="U266">
        <f t="shared" si="77"/>
        <v>3.2595220763733668E-2</v>
      </c>
      <c r="V266" s="2">
        <f t="shared" si="78"/>
        <v>1.4816009438060758E-2</v>
      </c>
      <c r="W266">
        <f>(T266+5/3)/(1/12)</f>
        <v>46.0088573508352</v>
      </c>
      <c r="X266" s="2">
        <f t="shared" si="79"/>
        <v>8.4297984733794334E-3</v>
      </c>
    </row>
    <row r="267" spans="5:24" x14ac:dyDescent="0.25">
      <c r="E267">
        <v>265</v>
      </c>
      <c r="F267">
        <f t="shared" si="64"/>
        <v>46.5</v>
      </c>
      <c r="G267">
        <f t="shared" si="65"/>
        <v>319.64999999999998</v>
      </c>
      <c r="H267" s="4">
        <f t="shared" si="66"/>
        <v>2.2083330000000001</v>
      </c>
      <c r="I267" s="4">
        <f t="shared" si="67"/>
        <v>4123.8612810000004</v>
      </c>
      <c r="J267" s="4">
        <f t="shared" si="68"/>
        <v>4.1438612810000004</v>
      </c>
      <c r="K267" s="4">
        <f t="shared" si="69"/>
        <v>1634.811841</v>
      </c>
      <c r="L267">
        <f t="shared" si="70"/>
        <v>1.6348118410000001</v>
      </c>
      <c r="M267">
        <f>$B$12*F267+$B$13</f>
        <v>1.6290294422505534</v>
      </c>
      <c r="N267">
        <f t="shared" si="71"/>
        <v>5.7823987494467488E-3</v>
      </c>
      <c r="O267" s="4">
        <f t="shared" ca="1" si="72"/>
        <v>5.9634683644314874</v>
      </c>
      <c r="P267" s="4">
        <f t="shared" si="73"/>
        <v>6.0081408461498897</v>
      </c>
      <c r="Q267" s="4">
        <f t="shared" ca="1" si="74"/>
        <v>4.4672481718402324E-2</v>
      </c>
      <c r="R267" s="2">
        <f t="shared" ca="1" si="75"/>
        <v>7.4353253131589194E-3</v>
      </c>
      <c r="S267" s="4">
        <f t="shared" si="76"/>
        <v>2.2083330000000001</v>
      </c>
      <c r="T267">
        <v>2.1772470783103097</v>
      </c>
      <c r="U267">
        <f t="shared" si="77"/>
        <v>3.1085921689690377E-2</v>
      </c>
      <c r="V267" s="2">
        <f t="shared" si="78"/>
        <v>1.4076645908787476E-2</v>
      </c>
      <c r="W267">
        <f>(T267+5/3)/(1/12)</f>
        <v>46.12696493972372</v>
      </c>
      <c r="X267" s="2">
        <f t="shared" si="79"/>
        <v>8.0222593607802099E-3</v>
      </c>
    </row>
    <row r="268" spans="5:24" x14ac:dyDescent="0.25">
      <c r="E268">
        <v>266</v>
      </c>
      <c r="F268">
        <f t="shared" si="64"/>
        <v>46.6</v>
      </c>
      <c r="G268">
        <f t="shared" si="65"/>
        <v>319.75</v>
      </c>
      <c r="H268" s="4">
        <f t="shared" si="66"/>
        <v>2.2166670000000002</v>
      </c>
      <c r="I268" s="4">
        <f t="shared" si="67"/>
        <v>4107.911169</v>
      </c>
      <c r="J268" s="4">
        <f t="shared" si="68"/>
        <v>4.1279111689999999</v>
      </c>
      <c r="K268" s="4">
        <f t="shared" si="69"/>
        <v>1632.3235440000001</v>
      </c>
      <c r="L268">
        <f t="shared" si="70"/>
        <v>1.6323235440000001</v>
      </c>
      <c r="M268">
        <f>$B$12*F268+$B$13</f>
        <v>1.626681603427659</v>
      </c>
      <c r="N268">
        <f t="shared" si="71"/>
        <v>5.6419405723411309E-3</v>
      </c>
      <c r="O268" s="4">
        <f t="shared" ca="1" si="72"/>
        <v>5.9536108629737612</v>
      </c>
      <c r="P268" s="4">
        <f t="shared" si="73"/>
        <v>5.9994816126417962</v>
      </c>
      <c r="Q268" s="4">
        <f t="shared" ca="1" si="74"/>
        <v>4.587074966803506E-2</v>
      </c>
      <c r="R268" s="2">
        <f t="shared" ca="1" si="75"/>
        <v>7.6457855244324103E-3</v>
      </c>
      <c r="S268" s="4">
        <f t="shared" si="76"/>
        <v>2.2166670000000002</v>
      </c>
      <c r="T268">
        <v>2.1863961061378467</v>
      </c>
      <c r="U268">
        <f t="shared" si="77"/>
        <v>3.0270893862153425E-2</v>
      </c>
      <c r="V268" s="2">
        <f t="shared" si="78"/>
        <v>1.3656040290288718E-2</v>
      </c>
      <c r="W268">
        <f>(T268+5/3)/(1/12)</f>
        <v>46.236753273654159</v>
      </c>
      <c r="X268" s="2">
        <f t="shared" si="79"/>
        <v>7.7949941275931829E-3</v>
      </c>
    </row>
    <row r="269" spans="5:24" x14ac:dyDescent="0.25">
      <c r="E269">
        <v>267</v>
      </c>
      <c r="F269">
        <f t="shared" si="64"/>
        <v>46.7</v>
      </c>
      <c r="G269">
        <f t="shared" si="65"/>
        <v>319.84999999999997</v>
      </c>
      <c r="H269" s="4">
        <f t="shared" si="66"/>
        <v>2.2250000000000001</v>
      </c>
      <c r="I269" s="4">
        <f t="shared" si="67"/>
        <v>4092.0314880000001</v>
      </c>
      <c r="J269" s="4">
        <f t="shared" si="68"/>
        <v>4.1120314880000004</v>
      </c>
      <c r="K269" s="4">
        <f t="shared" si="69"/>
        <v>1629.8346590000001</v>
      </c>
      <c r="L269">
        <f t="shared" si="70"/>
        <v>1.6298346590000001</v>
      </c>
      <c r="M269">
        <f>$B$12*F269+$B$13</f>
        <v>1.6243337646047644</v>
      </c>
      <c r="N269">
        <f t="shared" si="71"/>
        <v>5.5008943952357114E-3</v>
      </c>
      <c r="O269" s="4">
        <f t="shared" ca="1" si="72"/>
        <v>5.9453133644314873</v>
      </c>
      <c r="P269" s="4">
        <f t="shared" si="73"/>
        <v>5.990822379133701</v>
      </c>
      <c r="Q269" s="4">
        <f t="shared" ca="1" si="74"/>
        <v>4.550901470221369E-2</v>
      </c>
      <c r="R269" s="2">
        <f t="shared" ca="1" si="75"/>
        <v>7.5964553482212394E-3</v>
      </c>
      <c r="S269" s="4">
        <f t="shared" si="76"/>
        <v>2.2250000000000001</v>
      </c>
      <c r="T269">
        <v>2.1955658953902484</v>
      </c>
      <c r="U269">
        <f t="shared" si="77"/>
        <v>2.943410460975171E-2</v>
      </c>
      <c r="V269" s="2">
        <f t="shared" si="78"/>
        <v>1.3228811060562565E-2</v>
      </c>
      <c r="W269">
        <f>(T269+5/3)/(1/12)</f>
        <v>46.346790744682984</v>
      </c>
      <c r="X269" s="2">
        <f t="shared" si="79"/>
        <v>7.563367351542157E-3</v>
      </c>
    </row>
    <row r="270" spans="5:24" x14ac:dyDescent="0.25">
      <c r="E270">
        <v>268</v>
      </c>
      <c r="F270">
        <f t="shared" si="64"/>
        <v>46.8</v>
      </c>
      <c r="G270">
        <f t="shared" si="65"/>
        <v>319.95</v>
      </c>
      <c r="H270" s="4">
        <f t="shared" si="66"/>
        <v>2.233333</v>
      </c>
      <c r="I270" s="4">
        <f t="shared" si="67"/>
        <v>4076.2218889999999</v>
      </c>
      <c r="J270" s="4">
        <f t="shared" si="68"/>
        <v>4.0962218890000006</v>
      </c>
      <c r="K270" s="4">
        <f t="shared" si="69"/>
        <v>1627.3452050000001</v>
      </c>
      <c r="L270">
        <f t="shared" si="70"/>
        <v>1.6273452050000001</v>
      </c>
      <c r="M270">
        <f>$B$12*F270+$B$13</f>
        <v>1.6219859257818703</v>
      </c>
      <c r="N270">
        <f t="shared" si="71"/>
        <v>5.3592792181298421E-3</v>
      </c>
      <c r="O270" s="4">
        <f t="shared" ca="1" si="72"/>
        <v>5.9358587725947514</v>
      </c>
      <c r="P270" s="4">
        <f t="shared" si="73"/>
        <v>5.9821631456256075</v>
      </c>
      <c r="Q270" s="4">
        <f t="shared" ca="1" si="74"/>
        <v>4.6304373030856105E-2</v>
      </c>
      <c r="R270" s="2">
        <f t="shared" ca="1" si="75"/>
        <v>7.7404062550042087E-3</v>
      </c>
      <c r="S270" s="4">
        <f t="shared" si="76"/>
        <v>2.233333</v>
      </c>
      <c r="T270">
        <v>2.2047563395584504</v>
      </c>
      <c r="U270">
        <f t="shared" si="77"/>
        <v>2.8576660441549606E-2</v>
      </c>
      <c r="V270" s="2">
        <f t="shared" si="78"/>
        <v>1.2795521510473183E-2</v>
      </c>
      <c r="W270">
        <f>(T270+5/3)/(1/12)</f>
        <v>46.457076074701412</v>
      </c>
      <c r="X270" s="2">
        <f t="shared" si="79"/>
        <v>7.3274343012518202E-3</v>
      </c>
    </row>
    <row r="271" spans="5:24" x14ac:dyDescent="0.25">
      <c r="E271">
        <v>269</v>
      </c>
      <c r="F271">
        <f t="shared" si="64"/>
        <v>46.900000000000006</v>
      </c>
      <c r="G271">
        <f t="shared" si="65"/>
        <v>320.04999999999995</v>
      </c>
      <c r="H271" s="4">
        <f t="shared" si="66"/>
        <v>2.2416670000000001</v>
      </c>
      <c r="I271" s="4">
        <f t="shared" si="67"/>
        <v>4060.4820289999998</v>
      </c>
      <c r="J271" s="4">
        <f t="shared" si="68"/>
        <v>4.0804820289999997</v>
      </c>
      <c r="K271" s="4">
        <f t="shared" si="69"/>
        <v>1624.8551990000001</v>
      </c>
      <c r="L271">
        <f t="shared" si="70"/>
        <v>1.6248551990000002</v>
      </c>
      <c r="M271">
        <f>$B$12*F271+$B$13</f>
        <v>1.6196380869589757</v>
      </c>
      <c r="N271">
        <f t="shared" si="71"/>
        <v>5.2171120410244853E-3</v>
      </c>
      <c r="O271" s="4">
        <f t="shared" ca="1" si="72"/>
        <v>5.9267542274052483</v>
      </c>
      <c r="P271" s="4">
        <f t="shared" si="73"/>
        <v>5.9735039121175122</v>
      </c>
      <c r="Q271" s="4">
        <f t="shared" ca="1" si="74"/>
        <v>4.6749684712263928E-2</v>
      </c>
      <c r="R271" s="2">
        <f t="shared" ca="1" si="75"/>
        <v>7.8261746204652451E-3</v>
      </c>
      <c r="S271" s="4">
        <f t="shared" si="76"/>
        <v>2.2416670000000001</v>
      </c>
      <c r="T271">
        <v>2.2139673317405957</v>
      </c>
      <c r="U271">
        <f t="shared" si="77"/>
        <v>2.7699668259404397E-2</v>
      </c>
      <c r="V271" s="2">
        <f t="shared" si="78"/>
        <v>1.2356727497618691E-2</v>
      </c>
      <c r="W271">
        <f>(T271+5/3)/(1/12)</f>
        <v>46.567607980887146</v>
      </c>
      <c r="X271" s="2">
        <f t="shared" si="79"/>
        <v>7.0872498744746111E-3</v>
      </c>
    </row>
    <row r="272" spans="5:24" x14ac:dyDescent="0.25">
      <c r="E272">
        <v>270</v>
      </c>
      <c r="F272">
        <f t="shared" si="64"/>
        <v>47</v>
      </c>
      <c r="G272">
        <f t="shared" si="65"/>
        <v>320.14999999999998</v>
      </c>
      <c r="H272" s="4">
        <f t="shared" si="66"/>
        <v>2.25</v>
      </c>
      <c r="I272" s="4">
        <f t="shared" si="67"/>
        <v>4044.8115640000001</v>
      </c>
      <c r="J272" s="4">
        <f t="shared" si="68"/>
        <v>4.0648115640000002</v>
      </c>
      <c r="K272" s="4">
        <f t="shared" si="69"/>
        <v>1622.3646610000001</v>
      </c>
      <c r="L272">
        <f t="shared" si="70"/>
        <v>1.6223646610000002</v>
      </c>
      <c r="M272">
        <f>$B$12*F272+$B$13</f>
        <v>1.6172902481360816</v>
      </c>
      <c r="N272">
        <f t="shared" si="71"/>
        <v>5.0744128639186314E-3</v>
      </c>
      <c r="O272" s="4">
        <f t="shared" ca="1" si="72"/>
        <v>5.9184625014577259</v>
      </c>
      <c r="P272" s="4">
        <f t="shared" si="73"/>
        <v>5.9648446786094187</v>
      </c>
      <c r="Q272" s="4">
        <f t="shared" ca="1" si="74"/>
        <v>4.6382177151692794E-2</v>
      </c>
      <c r="R272" s="2">
        <f t="shared" ca="1" si="75"/>
        <v>7.7759237081267722E-3</v>
      </c>
      <c r="S272" s="4">
        <f t="shared" si="76"/>
        <v>2.25</v>
      </c>
      <c r="T272">
        <v>2.2231987647293097</v>
      </c>
      <c r="U272">
        <f t="shared" si="77"/>
        <v>2.6801235270690338E-2</v>
      </c>
      <c r="V272" s="2">
        <f t="shared" si="78"/>
        <v>1.1911660120306818E-2</v>
      </c>
      <c r="W272">
        <f>(T272+5/3)/(1/12)</f>
        <v>46.678385176751718</v>
      </c>
      <c r="X272" s="2">
        <f t="shared" si="79"/>
        <v>6.8428685797506869E-3</v>
      </c>
    </row>
    <row r="273" spans="5:24" x14ac:dyDescent="0.25">
      <c r="E273">
        <v>271</v>
      </c>
      <c r="F273">
        <f t="shared" si="64"/>
        <v>47.1</v>
      </c>
      <c r="G273">
        <f t="shared" si="65"/>
        <v>320.25</v>
      </c>
      <c r="H273" s="4">
        <f t="shared" si="66"/>
        <v>2.2583329999999999</v>
      </c>
      <c r="I273" s="4">
        <f t="shared" si="67"/>
        <v>4029.2101520000001</v>
      </c>
      <c r="J273" s="4">
        <f t="shared" si="68"/>
        <v>4.0492101520000006</v>
      </c>
      <c r="K273" s="4">
        <f t="shared" si="69"/>
        <v>1619.8736100000001</v>
      </c>
      <c r="L273">
        <f t="shared" si="70"/>
        <v>1.6198736100000002</v>
      </c>
      <c r="M273">
        <f>$B$12*F273+$B$13</f>
        <v>1.6149424093131872</v>
      </c>
      <c r="N273">
        <f t="shared" si="71"/>
        <v>4.9312006868129643E-3</v>
      </c>
      <c r="O273" s="4">
        <f t="shared" ca="1" si="72"/>
        <v>5.9081988629737614</v>
      </c>
      <c r="P273" s="4">
        <f t="shared" si="73"/>
        <v>5.9561854451013243</v>
      </c>
      <c r="Q273" s="4">
        <f t="shared" ca="1" si="74"/>
        <v>4.7986582127562905E-2</v>
      </c>
      <c r="R273" s="2">
        <f t="shared" ca="1" si="75"/>
        <v>8.0565963853643195E-3</v>
      </c>
      <c r="S273" s="4">
        <f t="shared" si="76"/>
        <v>2.2583329999999999</v>
      </c>
      <c r="T273">
        <v>2.2324505313171921</v>
      </c>
      <c r="U273">
        <f t="shared" si="77"/>
        <v>2.5882468682807858E-2</v>
      </c>
      <c r="V273" s="2">
        <f t="shared" si="78"/>
        <v>1.146087343310657E-2</v>
      </c>
      <c r="W273">
        <f>(T273+5/3)/(1/12)</f>
        <v>46.789406375806308</v>
      </c>
      <c r="X273" s="2">
        <f t="shared" si="79"/>
        <v>6.5943444627111058E-3</v>
      </c>
    </row>
    <row r="274" spans="5:24" x14ac:dyDescent="0.25">
      <c r="E274">
        <v>272</v>
      </c>
      <c r="F274">
        <f t="shared" si="64"/>
        <v>47.2</v>
      </c>
      <c r="G274">
        <f t="shared" si="65"/>
        <v>320.34999999999997</v>
      </c>
      <c r="H274" s="4">
        <f t="shared" si="66"/>
        <v>2.266667</v>
      </c>
      <c r="I274" s="4">
        <f t="shared" si="67"/>
        <v>4013.677455</v>
      </c>
      <c r="J274" s="4">
        <f t="shared" si="68"/>
        <v>4.0336774550000003</v>
      </c>
      <c r="K274" s="4">
        <f t="shared" si="69"/>
        <v>1617.3820619999999</v>
      </c>
      <c r="L274">
        <f t="shared" si="70"/>
        <v>1.6173820619999999</v>
      </c>
      <c r="M274">
        <f>$B$12*F274+$B$13</f>
        <v>1.6125945704902929</v>
      </c>
      <c r="N274">
        <f t="shared" si="71"/>
        <v>4.7874915097070314E-3</v>
      </c>
      <c r="O274" s="4">
        <f t="shared" ca="1" si="72"/>
        <v>5.9002885014577258</v>
      </c>
      <c r="P274" s="4">
        <f t="shared" si="73"/>
        <v>5.9475262115932308</v>
      </c>
      <c r="Q274" s="4">
        <f t="shared" ca="1" si="74"/>
        <v>4.723771013550504E-2</v>
      </c>
      <c r="R274" s="2">
        <f t="shared" ca="1" si="75"/>
        <v>7.9424131067176822E-3</v>
      </c>
      <c r="S274" s="4">
        <f t="shared" si="76"/>
        <v>2.266667</v>
      </c>
      <c r="T274">
        <v>2.2417225241077428</v>
      </c>
      <c r="U274">
        <f t="shared" si="77"/>
        <v>2.4944475892257234E-2</v>
      </c>
      <c r="V274" s="2">
        <f t="shared" si="78"/>
        <v>1.100491421644963E-2</v>
      </c>
      <c r="W274">
        <f>(T274+5/3)/(1/12)</f>
        <v>46.900670289292911</v>
      </c>
      <c r="X274" s="2">
        <f t="shared" si="79"/>
        <v>6.3417311590485501E-3</v>
      </c>
    </row>
    <row r="275" spans="5:24" x14ac:dyDescent="0.25">
      <c r="E275">
        <v>273</v>
      </c>
      <c r="F275">
        <f t="shared" si="64"/>
        <v>47.3</v>
      </c>
      <c r="G275">
        <f t="shared" si="65"/>
        <v>320.45</v>
      </c>
      <c r="H275" s="4">
        <f t="shared" si="66"/>
        <v>2.2749999999999999</v>
      </c>
      <c r="I275" s="4">
        <f t="shared" si="67"/>
        <v>3998.213135</v>
      </c>
      <c r="J275" s="4">
        <f t="shared" si="68"/>
        <v>4.0182131349999999</v>
      </c>
      <c r="K275" s="4">
        <f t="shared" si="69"/>
        <v>1614.890038</v>
      </c>
      <c r="L275">
        <f t="shared" si="70"/>
        <v>1.614890038</v>
      </c>
      <c r="M275">
        <f>$B$12*F275+$B$13</f>
        <v>1.6102467316673985</v>
      </c>
      <c r="N275">
        <f t="shared" si="71"/>
        <v>4.6433063326014601E-3</v>
      </c>
      <c r="O275" s="4">
        <f t="shared" ca="1" si="72"/>
        <v>5.8896354985422743</v>
      </c>
      <c r="P275" s="4">
        <f t="shared" si="73"/>
        <v>5.9388669780851364</v>
      </c>
      <c r="Q275" s="4">
        <f t="shared" ca="1" si="74"/>
        <v>4.9231479542862111E-2</v>
      </c>
      <c r="R275" s="2">
        <f t="shared" ca="1" si="75"/>
        <v>8.2897090850039164E-3</v>
      </c>
      <c r="S275" s="4">
        <f t="shared" si="76"/>
        <v>2.2749999999999999</v>
      </c>
      <c r="T275">
        <v>2.2503104760198176</v>
      </c>
      <c r="U275">
        <f t="shared" si="77"/>
        <v>2.4689523980182315E-2</v>
      </c>
      <c r="V275" s="2">
        <f t="shared" si="78"/>
        <v>1.0852538013266952E-2</v>
      </c>
      <c r="W275">
        <f>(T275+5/3)/(1/12)</f>
        <v>47.003725712237809</v>
      </c>
      <c r="X275" s="2">
        <f t="shared" si="79"/>
        <v>6.2637270139997417E-3</v>
      </c>
    </row>
    <row r="276" spans="5:24" x14ac:dyDescent="0.25">
      <c r="E276">
        <v>274</v>
      </c>
      <c r="F276">
        <f t="shared" si="64"/>
        <v>47.400000000000006</v>
      </c>
      <c r="G276">
        <f t="shared" si="65"/>
        <v>320.54999999999995</v>
      </c>
      <c r="H276" s="4">
        <f t="shared" si="66"/>
        <v>2.2833329999999998</v>
      </c>
      <c r="I276" s="4">
        <f t="shared" si="67"/>
        <v>3982.816855</v>
      </c>
      <c r="J276" s="4">
        <f t="shared" si="68"/>
        <v>4.0028168549999998</v>
      </c>
      <c r="K276" s="4">
        <f t="shared" si="69"/>
        <v>1612.397555</v>
      </c>
      <c r="L276">
        <f t="shared" si="70"/>
        <v>1.612397555</v>
      </c>
      <c r="M276">
        <f>$B$12*F276+$B$13</f>
        <v>1.6078988928445039</v>
      </c>
      <c r="N276">
        <f t="shared" si="71"/>
        <v>4.4986621554961026E-3</v>
      </c>
      <c r="O276" s="4">
        <f t="shared" ca="1" si="72"/>
        <v>5.8805434985422744</v>
      </c>
      <c r="P276" s="4">
        <f t="shared" si="73"/>
        <v>5.9302077445770411</v>
      </c>
      <c r="Q276" s="4">
        <f t="shared" ca="1" si="74"/>
        <v>4.9664246034766713E-2</v>
      </c>
      <c r="R276" s="2">
        <f t="shared" ca="1" si="75"/>
        <v>8.3747902559034044E-3</v>
      </c>
      <c r="S276" s="4">
        <f t="shared" si="76"/>
        <v>2.2833329999999998</v>
      </c>
      <c r="T276">
        <v>2.259623707194633</v>
      </c>
      <c r="U276">
        <f t="shared" si="77"/>
        <v>2.3709292805366822E-2</v>
      </c>
      <c r="V276" s="2">
        <f t="shared" si="78"/>
        <v>1.0383633401421004E-2</v>
      </c>
      <c r="W276">
        <f>(T276+5/3)/(1/12)</f>
        <v>47.115484486335603</v>
      </c>
      <c r="X276" s="2">
        <f t="shared" si="79"/>
        <v>6.0024369971392912E-3</v>
      </c>
    </row>
    <row r="277" spans="5:24" x14ac:dyDescent="0.25">
      <c r="E277">
        <v>275</v>
      </c>
      <c r="F277">
        <f t="shared" si="64"/>
        <v>47.5</v>
      </c>
      <c r="G277">
        <f t="shared" si="65"/>
        <v>320.64999999999998</v>
      </c>
      <c r="H277" s="4">
        <f t="shared" si="66"/>
        <v>2.2916669999999999</v>
      </c>
      <c r="I277" s="4">
        <f t="shared" si="67"/>
        <v>3967.4882819999998</v>
      </c>
      <c r="J277" s="4">
        <f t="shared" si="68"/>
        <v>3.9874882819999997</v>
      </c>
      <c r="K277" s="4">
        <f t="shared" si="69"/>
        <v>1609.904632</v>
      </c>
      <c r="L277">
        <f t="shared" si="70"/>
        <v>1.6099046320000001</v>
      </c>
      <c r="M277">
        <f>$B$12*F277+$B$13</f>
        <v>1.6055510540216098</v>
      </c>
      <c r="N277">
        <f t="shared" si="71"/>
        <v>4.3535779783903106E-3</v>
      </c>
      <c r="O277" s="4">
        <f t="shared" ca="1" si="72"/>
        <v>5.8722427725947517</v>
      </c>
      <c r="P277" s="4">
        <f t="shared" si="73"/>
        <v>5.9215485110689476</v>
      </c>
      <c r="Q277" s="4">
        <f t="shared" ca="1" si="74"/>
        <v>4.9305738474195948E-2</v>
      </c>
      <c r="R277" s="2">
        <f t="shared" ca="1" si="75"/>
        <v>8.3264940550652287E-3</v>
      </c>
      <c r="S277" s="4">
        <f t="shared" si="76"/>
        <v>2.2916669999999999</v>
      </c>
      <c r="T277">
        <v>2.2689568410004854</v>
      </c>
      <c r="U277">
        <f t="shared" si="77"/>
        <v>2.2710158999514451E-2</v>
      </c>
      <c r="V277" s="2">
        <f t="shared" si="78"/>
        <v>9.9098861219865074E-3</v>
      </c>
      <c r="W277">
        <f>(T277+5/3)/(1/12)</f>
        <v>47.227482092005829</v>
      </c>
      <c r="X277" s="2">
        <f t="shared" si="79"/>
        <v>5.73721911566676E-3</v>
      </c>
    </row>
    <row r="278" spans="5:24" x14ac:dyDescent="0.25">
      <c r="E278">
        <v>276</v>
      </c>
      <c r="F278">
        <f t="shared" si="64"/>
        <v>47.6</v>
      </c>
      <c r="G278">
        <f t="shared" si="65"/>
        <v>320.75</v>
      </c>
      <c r="H278" s="4">
        <f t="shared" si="66"/>
        <v>2.2999999999999998</v>
      </c>
      <c r="I278" s="4">
        <f t="shared" si="67"/>
        <v>3952.2270840000001</v>
      </c>
      <c r="J278" s="4">
        <f t="shared" si="68"/>
        <v>3.972227084</v>
      </c>
      <c r="K278" s="4">
        <f t="shared" si="69"/>
        <v>1607.4112869999999</v>
      </c>
      <c r="L278">
        <f t="shared" si="70"/>
        <v>1.6074112869999999</v>
      </c>
      <c r="M278">
        <f>$B$12*F278+$B$13</f>
        <v>1.6032032151987154</v>
      </c>
      <c r="N278">
        <f t="shared" si="71"/>
        <v>4.2080718012844631E-3</v>
      </c>
      <c r="O278" s="4">
        <f t="shared" ca="1" si="72"/>
        <v>5.8635233644314875</v>
      </c>
      <c r="P278" s="4">
        <f t="shared" si="73"/>
        <v>5.9128892775608533</v>
      </c>
      <c r="Q278" s="4">
        <f t="shared" ca="1" si="74"/>
        <v>4.9365913129365779E-2</v>
      </c>
      <c r="R278" s="2">
        <f t="shared" ca="1" si="75"/>
        <v>8.3488647955420343E-3</v>
      </c>
      <c r="S278" s="4">
        <f t="shared" si="76"/>
        <v>2.2999999999999998</v>
      </c>
      <c r="T278">
        <v>2.278309769240674</v>
      </c>
      <c r="U278">
        <f t="shared" si="77"/>
        <v>2.1690230759325857E-2</v>
      </c>
      <c r="V278" s="2">
        <f t="shared" si="78"/>
        <v>9.4305351127503736E-3</v>
      </c>
      <c r="W278">
        <f>(T278+5/3)/(1/12)</f>
        <v>47.339717230888091</v>
      </c>
      <c r="X278" s="2">
        <f t="shared" si="79"/>
        <v>5.4681254015107204E-3</v>
      </c>
    </row>
    <row r="279" spans="5:24" x14ac:dyDescent="0.25">
      <c r="E279">
        <v>277</v>
      </c>
      <c r="F279">
        <f t="shared" si="64"/>
        <v>47.7</v>
      </c>
      <c r="G279">
        <f t="shared" si="65"/>
        <v>320.84999999999997</v>
      </c>
      <c r="H279" s="4">
        <f t="shared" si="66"/>
        <v>2.3083330000000002</v>
      </c>
      <c r="I279" s="4">
        <f t="shared" si="67"/>
        <v>3937.032929</v>
      </c>
      <c r="J279" s="4">
        <f t="shared" si="68"/>
        <v>3.9570329289999999</v>
      </c>
      <c r="K279" s="4">
        <f t="shared" si="69"/>
        <v>1604.917539</v>
      </c>
      <c r="L279">
        <f t="shared" si="70"/>
        <v>1.6049175390000001</v>
      </c>
      <c r="M279">
        <f>$B$12*F279+$B$13</f>
        <v>1.6008553763758211</v>
      </c>
      <c r="N279">
        <f t="shared" si="71"/>
        <v>4.0621626241790221E-3</v>
      </c>
      <c r="O279" s="4">
        <f t="shared" ca="1" si="72"/>
        <v>5.8540409999999996</v>
      </c>
      <c r="P279" s="4">
        <f t="shared" si="73"/>
        <v>5.9042300440527589</v>
      </c>
      <c r="Q279" s="4">
        <f t="shared" ca="1" si="74"/>
        <v>5.0189044052759257E-2</v>
      </c>
      <c r="R279" s="2">
        <f t="shared" ca="1" si="75"/>
        <v>8.5005231297371146E-3</v>
      </c>
      <c r="S279" s="4">
        <f t="shared" si="76"/>
        <v>2.3083330000000002</v>
      </c>
      <c r="T279">
        <v>2.2883821043860855</v>
      </c>
      <c r="U279">
        <f t="shared" si="77"/>
        <v>1.9950895613914721E-2</v>
      </c>
      <c r="V279" s="2">
        <f t="shared" si="78"/>
        <v>8.6429885176509281E-3</v>
      </c>
      <c r="W279">
        <f>(T279+5/3)/(1/12)</f>
        <v>47.460585252633024</v>
      </c>
      <c r="X279" s="2">
        <f t="shared" si="79"/>
        <v>5.0191770936473578E-3</v>
      </c>
    </row>
    <row r="280" spans="5:24" x14ac:dyDescent="0.25">
      <c r="E280">
        <v>278</v>
      </c>
      <c r="F280">
        <f t="shared" si="64"/>
        <v>47.8</v>
      </c>
      <c r="G280">
        <f t="shared" si="65"/>
        <v>320.95</v>
      </c>
      <c r="H280" s="4">
        <f t="shared" si="66"/>
        <v>2.3166669999999998</v>
      </c>
      <c r="I280" s="4">
        <f t="shared" si="67"/>
        <v>3921.9054900000001</v>
      </c>
      <c r="J280" s="4">
        <f t="shared" si="68"/>
        <v>3.9419054900000003</v>
      </c>
      <c r="K280" s="4">
        <f t="shared" si="69"/>
        <v>1602.423407</v>
      </c>
      <c r="L280">
        <f t="shared" si="70"/>
        <v>1.6024234070000001</v>
      </c>
      <c r="M280">
        <f>$B$12*F280+$B$13</f>
        <v>1.5985075375529267</v>
      </c>
      <c r="N280">
        <f t="shared" si="71"/>
        <v>3.9158694470733391E-3</v>
      </c>
      <c r="O280" s="4">
        <f t="shared" ca="1" si="72"/>
        <v>5.844162498542274</v>
      </c>
      <c r="P280" s="4">
        <f t="shared" si="73"/>
        <v>5.8955708105446654</v>
      </c>
      <c r="Q280" s="4">
        <f t="shared" ca="1" si="74"/>
        <v>5.1408312002391376E-2</v>
      </c>
      <c r="R280" s="2">
        <f t="shared" ca="1" si="75"/>
        <v>8.7198192769466533E-3</v>
      </c>
      <c r="S280" s="4">
        <f t="shared" si="76"/>
        <v>2.3166669999999998</v>
      </c>
      <c r="T280">
        <v>2.297074574127866</v>
      </c>
      <c r="U280">
        <f t="shared" si="77"/>
        <v>1.9592425872133834E-2</v>
      </c>
      <c r="V280" s="2">
        <f t="shared" si="78"/>
        <v>8.4571610301065435E-3</v>
      </c>
      <c r="W280">
        <f>(T280+5/3)/(1/12)</f>
        <v>47.564894889534393</v>
      </c>
      <c r="X280" s="2">
        <f t="shared" si="79"/>
        <v>4.9185169553473572E-3</v>
      </c>
    </row>
    <row r="281" spans="5:24" x14ac:dyDescent="0.25">
      <c r="E281">
        <v>279</v>
      </c>
      <c r="F281">
        <f t="shared" si="64"/>
        <v>47.900000000000006</v>
      </c>
      <c r="G281">
        <f t="shared" si="65"/>
        <v>321.04999999999995</v>
      </c>
      <c r="H281" s="4">
        <f t="shared" si="66"/>
        <v>2.3250000000000002</v>
      </c>
      <c r="I281" s="4">
        <f t="shared" si="67"/>
        <v>3906.8444399999998</v>
      </c>
      <c r="J281" s="4">
        <f t="shared" si="68"/>
        <v>3.92684444</v>
      </c>
      <c r="K281" s="4">
        <f t="shared" si="69"/>
        <v>1599.9289080000001</v>
      </c>
      <c r="L281">
        <f t="shared" si="70"/>
        <v>1.5999289080000001</v>
      </c>
      <c r="M281">
        <f>$B$12*F281+$B$13</f>
        <v>1.5961596987300324</v>
      </c>
      <c r="N281">
        <f t="shared" si="71"/>
        <v>3.7692092699677104E-3</v>
      </c>
      <c r="O281" s="4">
        <f t="shared" ca="1" si="72"/>
        <v>5.8354488629737613</v>
      </c>
      <c r="P281" s="4">
        <f t="shared" si="73"/>
        <v>5.886911577036571</v>
      </c>
      <c r="Q281" s="4">
        <f t="shared" ca="1" si="74"/>
        <v>5.1462714062809667E-2</v>
      </c>
      <c r="R281" s="2">
        <f t="shared" ca="1" si="75"/>
        <v>8.7418867073786807E-3</v>
      </c>
      <c r="S281" s="4">
        <f t="shared" si="76"/>
        <v>2.3250000000000002</v>
      </c>
      <c r="T281">
        <v>2.306486232941221</v>
      </c>
      <c r="U281">
        <f t="shared" si="77"/>
        <v>1.8513767058779163E-2</v>
      </c>
      <c r="V281" s="2">
        <f t="shared" si="78"/>
        <v>7.9629105629157679E-3</v>
      </c>
      <c r="W281">
        <f>(T281+5/3)/(1/12)</f>
        <v>47.67783479529465</v>
      </c>
      <c r="X281" s="2">
        <f t="shared" si="79"/>
        <v>4.638104482366498E-3</v>
      </c>
    </row>
    <row r="282" spans="5:24" x14ac:dyDescent="0.25">
      <c r="E282">
        <v>280</v>
      </c>
      <c r="F282">
        <f t="shared" si="64"/>
        <v>48</v>
      </c>
      <c r="G282">
        <f t="shared" si="65"/>
        <v>321.14999999999998</v>
      </c>
      <c r="H282" s="4">
        <f t="shared" si="66"/>
        <v>2.3333330000000001</v>
      </c>
      <c r="I282" s="4">
        <f t="shared" si="67"/>
        <v>3891.8494529999998</v>
      </c>
      <c r="J282" s="4">
        <f t="shared" si="68"/>
        <v>3.9118494529999999</v>
      </c>
      <c r="K282" s="4">
        <f t="shared" si="69"/>
        <v>1597.4340609999999</v>
      </c>
      <c r="L282">
        <f t="shared" si="70"/>
        <v>1.597434061</v>
      </c>
      <c r="M282">
        <f>$B$12*F282+$B$13</f>
        <v>1.593811859907138</v>
      </c>
      <c r="N282">
        <f t="shared" si="71"/>
        <v>3.6222010928619319E-3</v>
      </c>
      <c r="O282" s="4">
        <f t="shared" ca="1" si="72"/>
        <v>5.8263596355685126</v>
      </c>
      <c r="P282" s="4">
        <f t="shared" si="73"/>
        <v>5.8782523435284766</v>
      </c>
      <c r="Q282" s="4">
        <f t="shared" ca="1" si="74"/>
        <v>5.1892707959964035E-2</v>
      </c>
      <c r="R282" s="2">
        <f t="shared" ca="1" si="75"/>
        <v>8.8279143063829321E-3</v>
      </c>
      <c r="S282" s="4">
        <f t="shared" si="76"/>
        <v>2.3333330000000001</v>
      </c>
      <c r="T282">
        <v>2.31591725124904</v>
      </c>
      <c r="U282">
        <f t="shared" si="77"/>
        <v>1.7415748750960081E-2</v>
      </c>
      <c r="V282" s="2">
        <f t="shared" si="78"/>
        <v>7.4638933881105186E-3</v>
      </c>
      <c r="W282">
        <f>(T282+5/3)/(1/12)</f>
        <v>47.791007014988487</v>
      </c>
      <c r="X282" s="2">
        <f t="shared" si="79"/>
        <v>4.3540205210731804E-3</v>
      </c>
    </row>
    <row r="283" spans="5:24" x14ac:dyDescent="0.25">
      <c r="E283">
        <v>281</v>
      </c>
      <c r="F283">
        <f t="shared" si="64"/>
        <v>48.1</v>
      </c>
      <c r="G283">
        <f t="shared" si="65"/>
        <v>321.25</v>
      </c>
      <c r="H283" s="4">
        <f t="shared" si="66"/>
        <v>2.3416670000000002</v>
      </c>
      <c r="I283" s="4">
        <f t="shared" si="67"/>
        <v>3876.9202059999998</v>
      </c>
      <c r="J283" s="4">
        <f t="shared" si="68"/>
        <v>3.8969202059999999</v>
      </c>
      <c r="K283" s="4">
        <f t="shared" si="69"/>
        <v>1594.938885</v>
      </c>
      <c r="L283">
        <f t="shared" si="70"/>
        <v>1.5949388850000001</v>
      </c>
      <c r="M283">
        <f>$B$12*F283+$B$13</f>
        <v>1.5914640210842437</v>
      </c>
      <c r="N283">
        <f t="shared" si="71"/>
        <v>3.4748639157564654E-3</v>
      </c>
      <c r="O283" s="4">
        <f t="shared" ca="1" si="72"/>
        <v>5.817247862973761</v>
      </c>
      <c r="P283" s="4">
        <f t="shared" si="73"/>
        <v>5.8695931100203822</v>
      </c>
      <c r="Q283" s="4">
        <f t="shared" ca="1" si="74"/>
        <v>5.2345247046621246E-2</v>
      </c>
      <c r="R283" s="2">
        <f t="shared" ca="1" si="75"/>
        <v>8.9180367472592118E-3</v>
      </c>
      <c r="S283" s="4">
        <f t="shared" si="76"/>
        <v>2.3416670000000002</v>
      </c>
      <c r="T283">
        <v>2.3246722396842903</v>
      </c>
      <c r="U283">
        <f t="shared" si="77"/>
        <v>1.69947603157099E-2</v>
      </c>
      <c r="V283" s="2">
        <f t="shared" si="78"/>
        <v>7.257547856168234E-3</v>
      </c>
      <c r="W283">
        <f>(T283+5/3)/(1/12)</f>
        <v>47.896066876211485</v>
      </c>
      <c r="X283" s="2">
        <f t="shared" si="79"/>
        <v>4.2397738833371409E-3</v>
      </c>
    </row>
    <row r="284" spans="5:24" x14ac:dyDescent="0.25">
      <c r="E284">
        <v>282</v>
      </c>
      <c r="F284">
        <f t="shared" si="64"/>
        <v>48.2</v>
      </c>
      <c r="G284">
        <f t="shared" si="65"/>
        <v>321.34999999999997</v>
      </c>
      <c r="H284" s="4">
        <f t="shared" si="66"/>
        <v>2.35</v>
      </c>
      <c r="I284" s="4">
        <f t="shared" si="67"/>
        <v>3862.0563780000002</v>
      </c>
      <c r="J284" s="4">
        <f t="shared" si="68"/>
        <v>3.8820563780000001</v>
      </c>
      <c r="K284" s="4">
        <f t="shared" si="69"/>
        <v>1592.443397</v>
      </c>
      <c r="L284">
        <f t="shared" si="70"/>
        <v>1.592443397</v>
      </c>
      <c r="M284">
        <f>$B$12*F284+$B$13</f>
        <v>1.5891161822613493</v>
      </c>
      <c r="N284">
        <f t="shared" si="71"/>
        <v>3.3272147386507189E-3</v>
      </c>
      <c r="O284" s="4">
        <f t="shared" ca="1" si="72"/>
        <v>5.8081448629737613</v>
      </c>
      <c r="P284" s="4">
        <f t="shared" si="73"/>
        <v>5.8609338765122878</v>
      </c>
      <c r="Q284" s="4">
        <f t="shared" ca="1" si="74"/>
        <v>5.2789013538526497E-2</v>
      </c>
      <c r="R284" s="2">
        <f t="shared" ca="1" si="75"/>
        <v>9.0069286995505347E-3</v>
      </c>
      <c r="S284" s="4">
        <f t="shared" si="76"/>
        <v>2.35</v>
      </c>
      <c r="T284">
        <v>2.3334485902345468</v>
      </c>
      <c r="U284">
        <f t="shared" si="77"/>
        <v>1.6551409765453329E-2</v>
      </c>
      <c r="V284" s="2">
        <f t="shared" si="78"/>
        <v>7.0431530916822676E-3</v>
      </c>
      <c r="W284">
        <f>(T284+5/3)/(1/12)</f>
        <v>48.001383082814563</v>
      </c>
      <c r="X284" s="2">
        <f t="shared" si="79"/>
        <v>4.120682929158505E-3</v>
      </c>
    </row>
    <row r="285" spans="5:24" x14ac:dyDescent="0.25">
      <c r="E285">
        <v>283</v>
      </c>
      <c r="F285">
        <f t="shared" si="64"/>
        <v>48.3</v>
      </c>
      <c r="G285">
        <f t="shared" si="65"/>
        <v>321.45</v>
      </c>
      <c r="H285" s="4">
        <f t="shared" si="66"/>
        <v>2.358333</v>
      </c>
      <c r="I285" s="4">
        <f t="shared" si="67"/>
        <v>3847.2576479999998</v>
      </c>
      <c r="J285" s="4">
        <f t="shared" si="68"/>
        <v>3.8672576479999998</v>
      </c>
      <c r="K285" s="4">
        <f t="shared" si="69"/>
        <v>1589.947617</v>
      </c>
      <c r="L285">
        <f t="shared" si="70"/>
        <v>1.589947617</v>
      </c>
      <c r="M285">
        <f>$B$12*F285+$B$13</f>
        <v>1.5867683434384552</v>
      </c>
      <c r="N285">
        <f t="shared" si="71"/>
        <v>3.1792735615447931E-3</v>
      </c>
      <c r="O285" s="4">
        <f t="shared" ca="1" si="72"/>
        <v>5.799427227405249</v>
      </c>
      <c r="P285" s="4">
        <f t="shared" si="73"/>
        <v>5.8522746430041943</v>
      </c>
      <c r="Q285" s="4">
        <f t="shared" ca="1" si="74"/>
        <v>5.2847415598945346E-2</v>
      </c>
      <c r="R285" s="2">
        <f t="shared" ca="1" si="75"/>
        <v>9.0302350492246827E-3</v>
      </c>
      <c r="S285" s="4">
        <f t="shared" si="76"/>
        <v>2.358333</v>
      </c>
      <c r="T285">
        <v>2.3429392497454296</v>
      </c>
      <c r="U285">
        <f t="shared" si="77"/>
        <v>1.539375025457046E-2</v>
      </c>
      <c r="V285" s="2">
        <f t="shared" si="78"/>
        <v>6.5273861895544264E-3</v>
      </c>
      <c r="W285">
        <f>(T285+5/3)/(1/12)</f>
        <v>48.115270996945156</v>
      </c>
      <c r="X285" s="2">
        <f t="shared" si="79"/>
        <v>3.8246170404728935E-3</v>
      </c>
    </row>
    <row r="286" spans="5:24" x14ac:dyDescent="0.25">
      <c r="E286">
        <v>284</v>
      </c>
      <c r="F286">
        <f t="shared" si="64"/>
        <v>48.400000000000006</v>
      </c>
      <c r="G286">
        <f t="shared" si="65"/>
        <v>321.54999999999995</v>
      </c>
      <c r="H286" s="4">
        <f t="shared" si="66"/>
        <v>2.3666670000000001</v>
      </c>
      <c r="I286" s="4">
        <f t="shared" si="67"/>
        <v>3832.5236989999999</v>
      </c>
      <c r="J286" s="4">
        <f t="shared" si="68"/>
        <v>3.8525236989999998</v>
      </c>
      <c r="K286" s="4">
        <f t="shared" si="69"/>
        <v>1587.4515630000001</v>
      </c>
      <c r="L286">
        <f t="shared" si="70"/>
        <v>1.5874515630000001</v>
      </c>
      <c r="M286">
        <f>$B$12*F286+$B$13</f>
        <v>1.5844205046155606</v>
      </c>
      <c r="N286">
        <f t="shared" si="71"/>
        <v>3.0310583844395111E-3</v>
      </c>
      <c r="O286" s="4">
        <f t="shared" ca="1" si="72"/>
        <v>5.790322227405249</v>
      </c>
      <c r="P286" s="4">
        <f t="shared" si="73"/>
        <v>5.8436154094960999</v>
      </c>
      <c r="Q286" s="4">
        <f t="shared" ca="1" si="74"/>
        <v>5.3293182090850877E-2</v>
      </c>
      <c r="R286" s="2">
        <f t="shared" ca="1" si="75"/>
        <v>9.1198989591695923E-3</v>
      </c>
      <c r="S286" s="4">
        <f t="shared" si="76"/>
        <v>2.3666670000000001</v>
      </c>
      <c r="T286">
        <v>2.3517568845366155</v>
      </c>
      <c r="U286">
        <f t="shared" si="77"/>
        <v>1.491011546338461E-2</v>
      </c>
      <c r="V286" s="2">
        <f t="shared" si="78"/>
        <v>6.3000479000149198E-3</v>
      </c>
      <c r="W286">
        <f>(T286+5/3)/(1/12)</f>
        <v>48.221082614439389</v>
      </c>
      <c r="X286" s="2">
        <f t="shared" si="79"/>
        <v>3.6966401975333991E-3</v>
      </c>
    </row>
    <row r="287" spans="5:24" x14ac:dyDescent="0.25">
      <c r="E287">
        <v>285</v>
      </c>
      <c r="F287">
        <f t="shared" si="64"/>
        <v>48.5</v>
      </c>
      <c r="G287">
        <f t="shared" si="65"/>
        <v>321.64999999999998</v>
      </c>
      <c r="H287" s="4">
        <f t="shared" si="66"/>
        <v>2.375</v>
      </c>
      <c r="I287" s="4">
        <f t="shared" si="67"/>
        <v>3817.8542130000001</v>
      </c>
      <c r="J287" s="4">
        <f t="shared" si="68"/>
        <v>3.837854213</v>
      </c>
      <c r="K287" s="4">
        <f t="shared" si="69"/>
        <v>1584.9552530000001</v>
      </c>
      <c r="L287">
        <f t="shared" si="70"/>
        <v>1.5849552530000002</v>
      </c>
      <c r="M287">
        <f>$B$12*F287+$B$13</f>
        <v>1.5820726657926663</v>
      </c>
      <c r="N287">
        <f t="shared" si="71"/>
        <v>2.8825872073339198E-3</v>
      </c>
      <c r="O287" s="4">
        <f t="shared" ca="1" si="72"/>
        <v>5.7812279999999996</v>
      </c>
      <c r="P287" s="4">
        <f t="shared" si="73"/>
        <v>5.8349561759880055</v>
      </c>
      <c r="Q287" s="4">
        <f t="shared" ca="1" si="74"/>
        <v>5.3728175988005944E-2</v>
      </c>
      <c r="R287" s="2">
        <f t="shared" ca="1" si="75"/>
        <v>9.2079827795636202E-3</v>
      </c>
      <c r="S287" s="4">
        <f t="shared" si="76"/>
        <v>2.375</v>
      </c>
      <c r="T287">
        <v>2.3612863864071358</v>
      </c>
      <c r="U287">
        <f t="shared" si="77"/>
        <v>1.371361359286416E-2</v>
      </c>
      <c r="V287" s="2">
        <f t="shared" si="78"/>
        <v>5.7741530917322778E-3</v>
      </c>
      <c r="W287">
        <f>(T287+5/3)/(1/12)</f>
        <v>48.335436636885632</v>
      </c>
      <c r="X287" s="2">
        <f t="shared" si="79"/>
        <v>3.3930590332859412E-3</v>
      </c>
    </row>
    <row r="288" spans="5:24" x14ac:dyDescent="0.25">
      <c r="E288">
        <v>286</v>
      </c>
      <c r="F288">
        <f t="shared" si="64"/>
        <v>48.6</v>
      </c>
      <c r="G288">
        <f t="shared" si="65"/>
        <v>321.75</v>
      </c>
      <c r="H288" s="4">
        <f t="shared" si="66"/>
        <v>2.3833329999999999</v>
      </c>
      <c r="I288" s="4">
        <f t="shared" si="67"/>
        <v>3803.248877</v>
      </c>
      <c r="J288" s="4">
        <f t="shared" si="68"/>
        <v>3.8232488770000002</v>
      </c>
      <c r="K288" s="4">
        <f t="shared" si="69"/>
        <v>1582.458705</v>
      </c>
      <c r="L288">
        <f t="shared" si="70"/>
        <v>1.5824587050000001</v>
      </c>
      <c r="M288">
        <f>$B$12*F288+$B$13</f>
        <v>1.5797248269697719</v>
      </c>
      <c r="N288">
        <f t="shared" si="71"/>
        <v>2.7338780302281762E-3</v>
      </c>
      <c r="O288" s="4">
        <f t="shared" ca="1" si="72"/>
        <v>5.7721317725947516</v>
      </c>
      <c r="P288" s="4">
        <f t="shared" si="73"/>
        <v>5.8262969424799111</v>
      </c>
      <c r="Q288" s="4">
        <f t="shared" ca="1" si="74"/>
        <v>5.4165169885159514E-2</v>
      </c>
      <c r="R288" s="2">
        <f t="shared" ca="1" si="75"/>
        <v>9.2966716972898728E-3</v>
      </c>
      <c r="S288" s="4">
        <f t="shared" si="76"/>
        <v>2.3833329999999999</v>
      </c>
      <c r="T288">
        <v>2.3701448653492312</v>
      </c>
      <c r="U288">
        <f t="shared" si="77"/>
        <v>1.3188134650768735E-2</v>
      </c>
      <c r="V288" s="2">
        <f t="shared" si="78"/>
        <v>5.5334838441664404E-3</v>
      </c>
      <c r="W288">
        <f>(T288+5/3)/(1/12)</f>
        <v>48.441738384190778</v>
      </c>
      <c r="X288" s="2">
        <f t="shared" si="79"/>
        <v>3.2564118479264112E-3</v>
      </c>
    </row>
    <row r="289" spans="5:24" x14ac:dyDescent="0.25">
      <c r="E289">
        <v>287</v>
      </c>
      <c r="F289">
        <f t="shared" si="64"/>
        <v>48.7</v>
      </c>
      <c r="G289">
        <f t="shared" si="65"/>
        <v>321.84999999999997</v>
      </c>
      <c r="H289" s="4">
        <f t="shared" si="66"/>
        <v>2.391667</v>
      </c>
      <c r="I289" s="4">
        <f t="shared" si="67"/>
        <v>3788.7073759999998</v>
      </c>
      <c r="J289" s="4">
        <f t="shared" si="68"/>
        <v>3.8087073760000001</v>
      </c>
      <c r="K289" s="4">
        <f t="shared" si="69"/>
        <v>1579.961937</v>
      </c>
      <c r="L289">
        <f t="shared" si="70"/>
        <v>1.579961937</v>
      </c>
      <c r="M289">
        <f>$B$12*F289+$B$13</f>
        <v>1.5773769881468775</v>
      </c>
      <c r="N289">
        <f t="shared" si="71"/>
        <v>2.5849488531224374E-3</v>
      </c>
      <c r="O289" s="4">
        <f t="shared" ca="1" si="72"/>
        <v>5.7634101370262387</v>
      </c>
      <c r="P289" s="4">
        <f t="shared" si="73"/>
        <v>5.8176377089718168</v>
      </c>
      <c r="Q289" s="4">
        <f t="shared" ca="1" si="74"/>
        <v>5.4227571945578035E-2</v>
      </c>
      <c r="R289" s="2">
        <f t="shared" ca="1" si="75"/>
        <v>9.3212356386424017E-3</v>
      </c>
      <c r="S289" s="4">
        <f t="shared" si="76"/>
        <v>2.391667</v>
      </c>
      <c r="T289">
        <v>2.379712769183842</v>
      </c>
      <c r="U289">
        <f t="shared" si="77"/>
        <v>1.1954230816157985E-2</v>
      </c>
      <c r="V289" s="2">
        <f t="shared" si="78"/>
        <v>4.9982839651832736E-3</v>
      </c>
      <c r="W289">
        <f>(T289+5/3)/(1/12)</f>
        <v>48.556553230206106</v>
      </c>
      <c r="X289" s="2">
        <f t="shared" si="79"/>
        <v>2.9455188869383373E-3</v>
      </c>
    </row>
    <row r="290" spans="5:24" x14ac:dyDescent="0.25">
      <c r="E290">
        <v>288</v>
      </c>
      <c r="F290">
        <f t="shared" si="64"/>
        <v>48.8</v>
      </c>
      <c r="G290">
        <f t="shared" si="65"/>
        <v>321.95</v>
      </c>
      <c r="H290" s="4">
        <f t="shared" si="66"/>
        <v>2.4</v>
      </c>
      <c r="I290" s="4">
        <f t="shared" si="67"/>
        <v>3774.2294000000002</v>
      </c>
      <c r="J290" s="4">
        <f t="shared" si="68"/>
        <v>3.7942294000000003</v>
      </c>
      <c r="K290" s="4">
        <f t="shared" si="69"/>
        <v>1577.4649690000001</v>
      </c>
      <c r="L290">
        <f t="shared" si="70"/>
        <v>1.5774649690000002</v>
      </c>
      <c r="M290">
        <f>$B$12*F290+$B$13</f>
        <v>1.5750291493239834</v>
      </c>
      <c r="N290">
        <f t="shared" si="71"/>
        <v>2.4358196760168038E-3</v>
      </c>
      <c r="O290" s="4">
        <f t="shared" ca="1" si="72"/>
        <v>5.7539059999999997</v>
      </c>
      <c r="P290" s="4">
        <f t="shared" si="73"/>
        <v>5.8089784754637233</v>
      </c>
      <c r="Q290" s="4">
        <f t="shared" ca="1" si="74"/>
        <v>5.5072475463723514E-2</v>
      </c>
      <c r="R290" s="2">
        <f t="shared" ca="1" si="75"/>
        <v>9.4805783316880259E-3</v>
      </c>
      <c r="S290" s="4">
        <f t="shared" si="76"/>
        <v>2.4</v>
      </c>
      <c r="T290">
        <v>2.3886116514739628</v>
      </c>
      <c r="U290">
        <f t="shared" si="77"/>
        <v>1.1388348526037095E-2</v>
      </c>
      <c r="V290" s="2">
        <f t="shared" si="78"/>
        <v>4.7451452191821231E-3</v>
      </c>
      <c r="W290">
        <f>(T290+5/3)/(1/12)</f>
        <v>48.663339817687557</v>
      </c>
      <c r="X290" s="2">
        <f t="shared" si="79"/>
        <v>2.8004135719762258E-3</v>
      </c>
    </row>
    <row r="291" spans="5:24" x14ac:dyDescent="0.25">
      <c r="E291">
        <v>289</v>
      </c>
      <c r="F291">
        <f t="shared" si="64"/>
        <v>48.900000000000006</v>
      </c>
      <c r="G291">
        <f t="shared" si="65"/>
        <v>322.04999999999995</v>
      </c>
      <c r="H291" s="4">
        <f t="shared" si="66"/>
        <v>2.4083329999999998</v>
      </c>
      <c r="I291" s="4">
        <f t="shared" si="67"/>
        <v>3759.8146390000002</v>
      </c>
      <c r="J291" s="4">
        <f t="shared" si="68"/>
        <v>3.779814639</v>
      </c>
      <c r="K291" s="4">
        <f t="shared" si="69"/>
        <v>1574.9678180000001</v>
      </c>
      <c r="L291">
        <f t="shared" si="70"/>
        <v>1.5749678180000002</v>
      </c>
      <c r="M291">
        <f>$B$12*F291+$B$13</f>
        <v>1.5726813105010888</v>
      </c>
      <c r="N291">
        <f t="shared" si="71"/>
        <v>2.2865074989113499E-3</v>
      </c>
      <c r="O291" s="4">
        <f t="shared" ca="1" si="72"/>
        <v>5.744412635568513</v>
      </c>
      <c r="P291" s="4">
        <f t="shared" si="73"/>
        <v>5.8003192419556289</v>
      </c>
      <c r="Q291" s="4">
        <f t="shared" ca="1" si="74"/>
        <v>5.5906606387115865E-2</v>
      </c>
      <c r="R291" s="2">
        <f t="shared" ca="1" si="75"/>
        <v>9.6385395449831244E-3</v>
      </c>
      <c r="S291" s="4">
        <f t="shared" si="76"/>
        <v>2.4083329999999998</v>
      </c>
      <c r="T291">
        <v>2.3982175154368335</v>
      </c>
      <c r="U291">
        <f t="shared" si="77"/>
        <v>1.0115484563166355E-2</v>
      </c>
      <c r="V291" s="2">
        <f t="shared" si="78"/>
        <v>4.2002017840416404E-3</v>
      </c>
      <c r="W291">
        <f>(T291+5/3)/(1/12)</f>
        <v>48.778610185242009</v>
      </c>
      <c r="X291" s="2">
        <f t="shared" si="79"/>
        <v>2.482409299754536E-3</v>
      </c>
    </row>
    <row r="292" spans="5:24" x14ac:dyDescent="0.25">
      <c r="E292">
        <v>290</v>
      </c>
      <c r="F292">
        <f t="shared" si="64"/>
        <v>49</v>
      </c>
      <c r="G292">
        <f t="shared" si="65"/>
        <v>322.14999999999998</v>
      </c>
      <c r="H292" s="4">
        <f t="shared" si="66"/>
        <v>2.4166669999999999</v>
      </c>
      <c r="I292" s="4">
        <f t="shared" si="67"/>
        <v>3745.4627850000002</v>
      </c>
      <c r="J292" s="4">
        <f t="shared" si="68"/>
        <v>3.7654627850000004</v>
      </c>
      <c r="K292" s="4">
        <f t="shared" si="69"/>
        <v>1572.470503</v>
      </c>
      <c r="L292">
        <f t="shared" si="70"/>
        <v>1.5724705030000001</v>
      </c>
      <c r="M292">
        <f>$B$12*F292+$B$13</f>
        <v>1.5703334716781947</v>
      </c>
      <c r="N292">
        <f t="shared" si="71"/>
        <v>2.1370313218054271E-3</v>
      </c>
      <c r="O292" s="4">
        <f t="shared" ca="1" si="72"/>
        <v>5.7349074985422739</v>
      </c>
      <c r="P292" s="4">
        <f t="shared" si="73"/>
        <v>5.7916600084475354</v>
      </c>
      <c r="Q292" s="4">
        <f t="shared" ca="1" si="74"/>
        <v>5.6752509905261483E-2</v>
      </c>
      <c r="R292" s="2">
        <f t="shared" ca="1" si="75"/>
        <v>9.799005781154977E-3</v>
      </c>
      <c r="S292" s="4">
        <f t="shared" si="76"/>
        <v>2.4166669999999999</v>
      </c>
      <c r="T292">
        <v>2.4071563582934883</v>
      </c>
      <c r="U292">
        <f t="shared" si="77"/>
        <v>9.5106417065116133E-3</v>
      </c>
      <c r="V292" s="2">
        <f t="shared" si="78"/>
        <v>3.9354374047030948E-3</v>
      </c>
      <c r="W292">
        <f>(T292+5/3)/(1/12)</f>
        <v>48.885876299521861</v>
      </c>
      <c r="X292" s="2">
        <f t="shared" si="79"/>
        <v>2.3290551117987508E-3</v>
      </c>
    </row>
    <row r="293" spans="5:24" x14ac:dyDescent="0.25">
      <c r="E293">
        <v>291</v>
      </c>
      <c r="F293">
        <f t="shared" si="64"/>
        <v>49.1</v>
      </c>
      <c r="G293">
        <f t="shared" si="65"/>
        <v>322.25</v>
      </c>
      <c r="H293" s="4">
        <f t="shared" si="66"/>
        <v>2.4249999999999998</v>
      </c>
      <c r="I293" s="4">
        <f t="shared" si="67"/>
        <v>3731.1735309999999</v>
      </c>
      <c r="J293" s="4">
        <f t="shared" si="68"/>
        <v>3.7511735310000001</v>
      </c>
      <c r="K293" s="4">
        <f t="shared" si="69"/>
        <v>1569.9730420000001</v>
      </c>
      <c r="L293">
        <f t="shared" si="70"/>
        <v>1.5699730420000002</v>
      </c>
      <c r="M293">
        <f>$B$12*F293+$B$13</f>
        <v>1.5679856328553003</v>
      </c>
      <c r="N293">
        <f t="shared" si="71"/>
        <v>1.9874091446998587E-3</v>
      </c>
      <c r="O293" s="4">
        <f t="shared" ca="1" si="72"/>
        <v>5.7269751370262387</v>
      </c>
      <c r="P293" s="4">
        <f t="shared" si="73"/>
        <v>5.783000774939441</v>
      </c>
      <c r="Q293" s="4">
        <f t="shared" ca="1" si="74"/>
        <v>5.6025637913202253E-2</v>
      </c>
      <c r="R293" s="2">
        <f t="shared" ca="1" si="75"/>
        <v>9.6879872740098238E-3</v>
      </c>
      <c r="S293" s="4">
        <f t="shared" si="76"/>
        <v>2.4249999999999998</v>
      </c>
      <c r="T293">
        <v>2.4167997393412795</v>
      </c>
      <c r="U293">
        <f t="shared" si="77"/>
        <v>8.2002606587203708E-3</v>
      </c>
      <c r="V293" s="2">
        <f t="shared" si="78"/>
        <v>3.3815507871011842E-3</v>
      </c>
      <c r="W293">
        <f>(T293+5/3)/(1/12)</f>
        <v>49.001596872095355</v>
      </c>
      <c r="X293" s="2">
        <f t="shared" si="79"/>
        <v>2.0041370245345463E-3</v>
      </c>
    </row>
    <row r="294" spans="5:24" x14ac:dyDescent="0.25">
      <c r="E294">
        <v>292</v>
      </c>
      <c r="F294">
        <f t="shared" si="64"/>
        <v>49.2</v>
      </c>
      <c r="G294">
        <f t="shared" si="65"/>
        <v>322.34999999999997</v>
      </c>
      <c r="H294" s="4">
        <f t="shared" si="66"/>
        <v>2.4333330000000002</v>
      </c>
      <c r="I294" s="4">
        <f t="shared" si="67"/>
        <v>3716.9465730000002</v>
      </c>
      <c r="J294" s="4">
        <f t="shared" si="68"/>
        <v>3.7369465730000004</v>
      </c>
      <c r="K294" s="4">
        <f t="shared" si="69"/>
        <v>1567.475453</v>
      </c>
      <c r="L294">
        <f t="shared" si="70"/>
        <v>1.5674754530000001</v>
      </c>
      <c r="M294">
        <f>$B$12*F294+$B$13</f>
        <v>1.5656377940324058</v>
      </c>
      <c r="N294">
        <f t="shared" si="71"/>
        <v>1.8376589675943578E-3</v>
      </c>
      <c r="O294" s="4">
        <f t="shared" ca="1" si="72"/>
        <v>5.7178543644314876</v>
      </c>
      <c r="P294" s="4">
        <f t="shared" si="73"/>
        <v>5.7743415414313457</v>
      </c>
      <c r="Q294" s="4">
        <f t="shared" ca="1" si="74"/>
        <v>5.6487176999858058E-2</v>
      </c>
      <c r="R294" s="2">
        <f t="shared" ca="1" si="75"/>
        <v>9.7824447332320423E-3</v>
      </c>
      <c r="S294" s="4">
        <f t="shared" si="76"/>
        <v>2.4333330000000002</v>
      </c>
      <c r="T294">
        <v>2.4257780991682862</v>
      </c>
      <c r="U294">
        <f t="shared" si="77"/>
        <v>7.554900831713951E-3</v>
      </c>
      <c r="V294" s="2">
        <f t="shared" si="78"/>
        <v>3.1047541917665813E-3</v>
      </c>
      <c r="W294">
        <f>(T294+5/3)/(1/12)</f>
        <v>49.109337190019438</v>
      </c>
      <c r="X294" s="2">
        <f t="shared" si="79"/>
        <v>1.8427400402553742E-3</v>
      </c>
    </row>
    <row r="295" spans="5:24" x14ac:dyDescent="0.25">
      <c r="E295">
        <v>293</v>
      </c>
      <c r="F295">
        <f t="shared" si="64"/>
        <v>49.3</v>
      </c>
      <c r="G295">
        <f t="shared" si="65"/>
        <v>322.45</v>
      </c>
      <c r="H295" s="4">
        <f t="shared" si="66"/>
        <v>2.4416669999999998</v>
      </c>
      <c r="I295" s="4">
        <f t="shared" si="67"/>
        <v>3702.7816069999999</v>
      </c>
      <c r="J295" s="4">
        <f t="shared" si="68"/>
        <v>3.7227816069999999</v>
      </c>
      <c r="K295" s="4">
        <f t="shared" si="69"/>
        <v>1564.9777549999999</v>
      </c>
      <c r="L295">
        <f t="shared" si="70"/>
        <v>1.5649777549999999</v>
      </c>
      <c r="M295">
        <f>$B$12*F295+$B$13</f>
        <v>1.5632899552095116</v>
      </c>
      <c r="N295">
        <f t="shared" si="71"/>
        <v>1.6877997904882758E-3</v>
      </c>
      <c r="O295" s="4">
        <f t="shared" ca="1" si="72"/>
        <v>5.7083697725947511</v>
      </c>
      <c r="P295" s="4">
        <f t="shared" si="73"/>
        <v>5.7656823079232522</v>
      </c>
      <c r="Q295" s="4">
        <f t="shared" ca="1" si="74"/>
        <v>5.7312535328501113E-2</v>
      </c>
      <c r="R295" s="2">
        <f t="shared" ca="1" si="75"/>
        <v>9.9402867288996676E-3</v>
      </c>
      <c r="S295" s="4">
        <f t="shared" si="76"/>
        <v>2.4416669999999998</v>
      </c>
      <c r="T295">
        <v>2.4347766064763885</v>
      </c>
      <c r="U295">
        <f t="shared" si="77"/>
        <v>6.8903935236113156E-3</v>
      </c>
      <c r="V295" s="2">
        <f t="shared" si="78"/>
        <v>2.8220037882361994E-3</v>
      </c>
      <c r="W295">
        <f>(T295+5/3)/(1/12)</f>
        <v>49.217319277716669</v>
      </c>
      <c r="X295" s="2">
        <f t="shared" si="79"/>
        <v>1.6770937582825179E-3</v>
      </c>
    </row>
    <row r="296" spans="5:24" x14ac:dyDescent="0.25">
      <c r="E296">
        <v>294</v>
      </c>
      <c r="F296">
        <f t="shared" si="64"/>
        <v>49.400000000000006</v>
      </c>
      <c r="G296">
        <f t="shared" si="65"/>
        <v>322.54999999999995</v>
      </c>
      <c r="H296" s="4">
        <f t="shared" si="66"/>
        <v>2.4500000000000002</v>
      </c>
      <c r="I296" s="4">
        <f t="shared" si="67"/>
        <v>3688.6783310000001</v>
      </c>
      <c r="J296" s="4">
        <f t="shared" si="68"/>
        <v>3.7086783310000002</v>
      </c>
      <c r="K296" s="4">
        <f t="shared" si="69"/>
        <v>1562.479965</v>
      </c>
      <c r="L296">
        <f t="shared" si="70"/>
        <v>1.5624799650000001</v>
      </c>
      <c r="M296">
        <f>$B$12*F296+$B$13</f>
        <v>1.5609421163866171</v>
      </c>
      <c r="N296">
        <f t="shared" si="71"/>
        <v>1.5378486133830194E-3</v>
      </c>
      <c r="O296" s="4">
        <f t="shared" ca="1" si="72"/>
        <v>5.6996333644314872</v>
      </c>
      <c r="P296" s="4">
        <f t="shared" si="73"/>
        <v>5.7570230744151569</v>
      </c>
      <c r="Q296" s="4">
        <f t="shared" ca="1" si="74"/>
        <v>5.7389709983669768E-2</v>
      </c>
      <c r="R296" s="2">
        <f t="shared" ca="1" si="75"/>
        <v>9.9686433842372368E-3</v>
      </c>
      <c r="S296" s="4">
        <f t="shared" si="76"/>
        <v>2.4500000000000002</v>
      </c>
      <c r="T296">
        <v>2.4444759844036281</v>
      </c>
      <c r="U296">
        <f t="shared" si="77"/>
        <v>5.5240155963720561E-3</v>
      </c>
      <c r="V296" s="2">
        <f t="shared" si="78"/>
        <v>2.2547002434171654E-3</v>
      </c>
      <c r="W296">
        <f>(T296+5/3)/(1/12)</f>
        <v>49.333711812843539</v>
      </c>
      <c r="X296" s="2">
        <f t="shared" si="79"/>
        <v>1.3418661367705757E-3</v>
      </c>
    </row>
    <row r="297" spans="5:24" x14ac:dyDescent="0.25">
      <c r="E297">
        <v>295</v>
      </c>
      <c r="F297">
        <f t="shared" si="64"/>
        <v>49.5</v>
      </c>
      <c r="G297">
        <f t="shared" si="65"/>
        <v>322.64999999999998</v>
      </c>
      <c r="H297" s="4">
        <f t="shared" si="66"/>
        <v>2.4583330000000001</v>
      </c>
      <c r="I297" s="4">
        <f t="shared" si="67"/>
        <v>3674.6364469999999</v>
      </c>
      <c r="J297" s="4">
        <f t="shared" si="68"/>
        <v>3.6946364470000002</v>
      </c>
      <c r="K297" s="4">
        <f t="shared" si="69"/>
        <v>1559.9821019999999</v>
      </c>
      <c r="L297">
        <f t="shared" si="70"/>
        <v>1.559982102</v>
      </c>
      <c r="M297">
        <f>$B$12*F297+$B$13</f>
        <v>1.5585942775637229</v>
      </c>
      <c r="N297">
        <f t="shared" si="71"/>
        <v>1.387824436277052E-3</v>
      </c>
      <c r="O297" s="4">
        <f t="shared" ca="1" si="72"/>
        <v>5.6897408629737614</v>
      </c>
      <c r="P297" s="4">
        <f t="shared" si="73"/>
        <v>5.7483638409070643</v>
      </c>
      <c r="Q297" s="4">
        <f t="shared" ca="1" si="74"/>
        <v>5.8622977933302955E-2</v>
      </c>
      <c r="R297" s="2">
        <f t="shared" ca="1" si="75"/>
        <v>1.019820240259053E-2</v>
      </c>
      <c r="S297" s="4">
        <f t="shared" si="76"/>
        <v>2.4583330000000001</v>
      </c>
      <c r="T297">
        <v>2.4535133402399043</v>
      </c>
      <c r="U297">
        <f t="shared" si="77"/>
        <v>4.8196597600957958E-3</v>
      </c>
      <c r="V297" s="2">
        <f t="shared" si="78"/>
        <v>1.9605398292647071E-3</v>
      </c>
      <c r="W297">
        <f>(T297+5/3)/(1/12)</f>
        <v>49.44216008287885</v>
      </c>
      <c r="X297" s="2">
        <f t="shared" si="79"/>
        <v>1.1684831741646487E-3</v>
      </c>
    </row>
    <row r="298" spans="5:24" x14ac:dyDescent="0.25">
      <c r="E298">
        <v>296</v>
      </c>
      <c r="F298">
        <f t="shared" si="64"/>
        <v>49.6</v>
      </c>
      <c r="G298">
        <f t="shared" si="65"/>
        <v>322.75</v>
      </c>
      <c r="H298" s="4">
        <f t="shared" si="66"/>
        <v>2.4666670000000002</v>
      </c>
      <c r="I298" s="4">
        <f t="shared" si="67"/>
        <v>3660.655655</v>
      </c>
      <c r="J298" s="4">
        <f t="shared" si="68"/>
        <v>3.6806556550000002</v>
      </c>
      <c r="K298" s="4">
        <f t="shared" si="69"/>
        <v>1557.4841839999999</v>
      </c>
      <c r="L298">
        <f t="shared" si="70"/>
        <v>1.557484184</v>
      </c>
      <c r="M298">
        <f>$B$12*F298+$B$13</f>
        <v>1.5562464387408286</v>
      </c>
      <c r="N298">
        <f t="shared" si="71"/>
        <v>1.2377452591714189E-3</v>
      </c>
      <c r="O298" s="4">
        <f t="shared" ca="1" si="72"/>
        <v>5.6810357725947513</v>
      </c>
      <c r="P298" s="4">
        <f t="shared" si="73"/>
        <v>5.7397046073989699</v>
      </c>
      <c r="Q298" s="4">
        <f t="shared" ca="1" si="74"/>
        <v>5.8668834804218584E-2</v>
      </c>
      <c r="R298" s="2">
        <f t="shared" ca="1" si="75"/>
        <v>1.0221577383719267E-2</v>
      </c>
      <c r="S298" s="4">
        <f t="shared" si="76"/>
        <v>2.4666670000000002</v>
      </c>
      <c r="T298">
        <v>2.4625705087397045</v>
      </c>
      <c r="U298">
        <f t="shared" si="77"/>
        <v>4.0964912602956538E-3</v>
      </c>
      <c r="V298" s="2">
        <f t="shared" si="78"/>
        <v>1.660739475695606E-3</v>
      </c>
      <c r="W298">
        <f>(T298+5/3)/(1/12)</f>
        <v>49.550846104876456</v>
      </c>
      <c r="X298" s="2">
        <f t="shared" si="79"/>
        <v>9.9100595007148209E-4</v>
      </c>
    </row>
    <row r="299" spans="5:24" x14ac:dyDescent="0.25">
      <c r="E299">
        <v>297</v>
      </c>
      <c r="F299">
        <f t="shared" si="64"/>
        <v>49.7</v>
      </c>
      <c r="G299">
        <f t="shared" si="65"/>
        <v>322.84999999999997</v>
      </c>
      <c r="H299" s="4">
        <f t="shared" si="66"/>
        <v>2.4750000000000001</v>
      </c>
      <c r="I299" s="4">
        <f t="shared" si="67"/>
        <v>3646.7356589999999</v>
      </c>
      <c r="J299" s="4">
        <f t="shared" si="68"/>
        <v>3.666735659</v>
      </c>
      <c r="K299" s="4">
        <f t="shared" si="69"/>
        <v>1554.98623</v>
      </c>
      <c r="L299">
        <f t="shared" si="70"/>
        <v>1.5549862299999999</v>
      </c>
      <c r="M299">
        <f>$B$12*F299+$B$13</f>
        <v>1.5538985999179342</v>
      </c>
      <c r="N299">
        <f t="shared" si="71"/>
        <v>1.0876300820656937E-3</v>
      </c>
      <c r="O299" s="4">
        <f t="shared" ca="1" si="72"/>
        <v>5.6711324985422742</v>
      </c>
      <c r="P299" s="4">
        <f t="shared" si="73"/>
        <v>5.7310453738908755</v>
      </c>
      <c r="Q299" s="4">
        <f t="shared" ca="1" si="74"/>
        <v>5.9912875348601347E-2</v>
      </c>
      <c r="R299" s="2">
        <f t="shared" ca="1" si="75"/>
        <v>1.0454091957036064E-2</v>
      </c>
      <c r="S299" s="4">
        <f t="shared" si="76"/>
        <v>2.4750000000000001</v>
      </c>
      <c r="T299">
        <v>2.4709698773358166</v>
      </c>
      <c r="U299">
        <f t="shared" si="77"/>
        <v>4.0301226641834553E-3</v>
      </c>
      <c r="V299" s="2">
        <f t="shared" si="78"/>
        <v>1.6283323895690729E-3</v>
      </c>
      <c r="W299">
        <f>(T299+5/3)/(1/12)</f>
        <v>49.651638528029807</v>
      </c>
      <c r="X299" s="2">
        <f t="shared" si="79"/>
        <v>9.7306784648281959E-4</v>
      </c>
    </row>
    <row r="300" spans="5:24" x14ac:dyDescent="0.25">
      <c r="E300">
        <v>298</v>
      </c>
      <c r="F300">
        <f t="shared" si="64"/>
        <v>49.8</v>
      </c>
      <c r="G300">
        <f t="shared" si="65"/>
        <v>322.95</v>
      </c>
      <c r="H300" s="4">
        <f t="shared" si="66"/>
        <v>2.483333</v>
      </c>
      <c r="I300" s="4">
        <f t="shared" si="67"/>
        <v>3632.8761639999998</v>
      </c>
      <c r="J300" s="4">
        <f t="shared" si="68"/>
        <v>3.6528761639999998</v>
      </c>
      <c r="K300" s="4">
        <f t="shared" si="69"/>
        <v>1552.488257</v>
      </c>
      <c r="L300">
        <f t="shared" si="70"/>
        <v>1.552488257</v>
      </c>
      <c r="M300">
        <f>$B$12*F300+$B$13</f>
        <v>1.5515507610950399</v>
      </c>
      <c r="N300">
        <f t="shared" si="71"/>
        <v>9.3749590496017277E-4</v>
      </c>
      <c r="O300" s="4">
        <f t="shared" ca="1" si="72"/>
        <v>5.6627912274052488</v>
      </c>
      <c r="P300" s="4">
        <f t="shared" si="73"/>
        <v>5.7223861403827812</v>
      </c>
      <c r="Q300" s="4">
        <f t="shared" ca="1" si="74"/>
        <v>5.9594912977532388E-2</v>
      </c>
      <c r="R300" s="2">
        <f t="shared" ca="1" si="75"/>
        <v>1.0414346658113843E-2</v>
      </c>
      <c r="S300" s="4">
        <f t="shared" si="76"/>
        <v>2.483333</v>
      </c>
      <c r="T300">
        <v>2.4807438347216979</v>
      </c>
      <c r="U300">
        <f t="shared" si="77"/>
        <v>2.589165278302108E-3</v>
      </c>
      <c r="V300" s="2">
        <f t="shared" si="78"/>
        <v>1.0426170305400475E-3</v>
      </c>
      <c r="W300">
        <f>(T300+5/3)/(1/12)</f>
        <v>49.768926016660373</v>
      </c>
      <c r="X300" s="2">
        <f t="shared" si="79"/>
        <v>6.2397556906875666E-4</v>
      </c>
    </row>
    <row r="301" spans="5:24" x14ac:dyDescent="0.25">
      <c r="E301">
        <v>299</v>
      </c>
      <c r="F301">
        <f t="shared" si="64"/>
        <v>49.900000000000006</v>
      </c>
      <c r="G301">
        <f t="shared" si="65"/>
        <v>323.04999999999995</v>
      </c>
      <c r="H301" s="4">
        <f t="shared" si="66"/>
        <v>2.4916670000000001</v>
      </c>
      <c r="I301" s="4">
        <f t="shared" si="67"/>
        <v>3619.0768760000001</v>
      </c>
      <c r="J301" s="4">
        <f t="shared" si="68"/>
        <v>3.6390768760000003</v>
      </c>
      <c r="K301" s="4">
        <f t="shared" si="69"/>
        <v>1549.990284</v>
      </c>
      <c r="L301">
        <f t="shared" si="70"/>
        <v>1.5499902839999999</v>
      </c>
      <c r="M301">
        <f>$B$12*F301+$B$13</f>
        <v>1.5492029222721453</v>
      </c>
      <c r="N301">
        <f t="shared" si="71"/>
        <v>7.8736172785465186E-4</v>
      </c>
      <c r="O301" s="4">
        <f t="shared" ca="1" si="72"/>
        <v>5.6537017725947516</v>
      </c>
      <c r="P301" s="4">
        <f t="shared" si="73"/>
        <v>5.7137269068746859</v>
      </c>
      <c r="Q301" s="4">
        <f t="shared" ca="1" si="74"/>
        <v>6.0025134279934278E-2</v>
      </c>
      <c r="R301" s="2">
        <f t="shared" ca="1" si="75"/>
        <v>1.0505425838206019E-2</v>
      </c>
      <c r="S301" s="4">
        <f t="shared" si="76"/>
        <v>2.4916670000000001</v>
      </c>
      <c r="T301">
        <v>2.4905350477826125</v>
      </c>
      <c r="U301">
        <f t="shared" si="77"/>
        <v>1.1319522173875995E-3</v>
      </c>
      <c r="V301" s="2">
        <f t="shared" si="78"/>
        <v>4.5429514352744548E-4</v>
      </c>
      <c r="W301">
        <f>(T301+5/3)/(1/12)</f>
        <v>49.886420573391348</v>
      </c>
      <c r="X301" s="2">
        <f t="shared" si="79"/>
        <v>2.7213279776869216E-4</v>
      </c>
    </row>
    <row r="302" spans="5:24" x14ac:dyDescent="0.25">
      <c r="E302">
        <v>300</v>
      </c>
      <c r="F302">
        <f t="shared" si="64"/>
        <v>50</v>
      </c>
      <c r="G302">
        <f t="shared" si="65"/>
        <v>323.14999999999998</v>
      </c>
      <c r="H302" s="4">
        <f t="shared" si="66"/>
        <v>2.5</v>
      </c>
      <c r="I302" s="4">
        <f t="shared" si="67"/>
        <v>3605.3375030000002</v>
      </c>
      <c r="J302" s="4">
        <f t="shared" si="68"/>
        <v>3.6253375030000003</v>
      </c>
      <c r="K302" s="4">
        <f t="shared" si="69"/>
        <v>1547.492328</v>
      </c>
      <c r="L302">
        <f t="shared" si="70"/>
        <v>1.5474923280000001</v>
      </c>
      <c r="M302">
        <f>$B$12*F302+$B$13</f>
        <v>1.5468550834492512</v>
      </c>
      <c r="N302">
        <f t="shared" si="71"/>
        <v>6.3724455074898323E-4</v>
      </c>
      <c r="O302" s="4">
        <f t="shared" ca="1" si="72"/>
        <v>5.6437974985422743</v>
      </c>
      <c r="P302" s="4">
        <f t="shared" si="73"/>
        <v>5.7050676733665924</v>
      </c>
      <c r="Q302" s="4">
        <f t="shared" ca="1" si="74"/>
        <v>6.1270174824318069E-2</v>
      </c>
      <c r="R302" s="2">
        <f t="shared" ca="1" si="75"/>
        <v>1.0739605265394195E-2</v>
      </c>
      <c r="S302" s="4">
        <f t="shared" si="76"/>
        <v>2.5</v>
      </c>
      <c r="T302">
        <v>2.4996692336651813</v>
      </c>
      <c r="U302">
        <f t="shared" si="77"/>
        <v>3.3076633481865514E-4</v>
      </c>
      <c r="V302" s="2">
        <f t="shared" si="78"/>
        <v>1.3230653392746206E-4</v>
      </c>
      <c r="W302">
        <f>(T302+5/3)/(1/12)</f>
        <v>49.99603080398218</v>
      </c>
      <c r="X302" s="2">
        <f t="shared" si="79"/>
        <v>7.9383920356406181E-5</v>
      </c>
    </row>
    <row r="303" spans="5:24" x14ac:dyDescent="0.25">
      <c r="E303">
        <v>301</v>
      </c>
      <c r="F303">
        <f t="shared" si="64"/>
        <v>50.1</v>
      </c>
      <c r="G303">
        <f t="shared" si="65"/>
        <v>323.25</v>
      </c>
      <c r="H303" s="4">
        <f t="shared" si="66"/>
        <v>2.5083329999999999</v>
      </c>
      <c r="I303" s="4">
        <f t="shared" si="67"/>
        <v>3591.6577550000002</v>
      </c>
      <c r="J303" s="4">
        <f t="shared" si="68"/>
        <v>3.6116577550000004</v>
      </c>
      <c r="K303" s="4">
        <f t="shared" si="69"/>
        <v>1544.994408</v>
      </c>
      <c r="L303">
        <f t="shared" si="70"/>
        <v>1.544994408</v>
      </c>
      <c r="M303">
        <f>$B$12*F303+$B$13</f>
        <v>1.5445072446263568</v>
      </c>
      <c r="N303">
        <f t="shared" si="71"/>
        <v>4.8716337364318463E-4</v>
      </c>
      <c r="O303" s="4">
        <f t="shared" ca="1" si="72"/>
        <v>5.6358533644314877</v>
      </c>
      <c r="P303" s="4">
        <f t="shared" si="73"/>
        <v>5.6964084398584989</v>
      </c>
      <c r="Q303" s="4">
        <f t="shared" ca="1" si="74"/>
        <v>6.0555075427011218E-2</v>
      </c>
      <c r="R303" s="2">
        <f t="shared" ca="1" si="75"/>
        <v>1.0630395637240407E-2</v>
      </c>
      <c r="S303" s="4">
        <f t="shared" si="76"/>
        <v>2.5083329999999999</v>
      </c>
      <c r="T303">
        <v>2.5088226709473807</v>
      </c>
      <c r="U303">
        <f t="shared" si="77"/>
        <v>4.8967094738072703E-4</v>
      </c>
      <c r="V303" s="2">
        <f t="shared" si="78"/>
        <v>1.9521767938337017E-4</v>
      </c>
      <c r="W303">
        <f>(T303+5/3)/(1/12)</f>
        <v>50.105872051368571</v>
      </c>
      <c r="X303" s="2">
        <f t="shared" si="79"/>
        <v>1.172066141431126E-4</v>
      </c>
    </row>
    <row r="304" spans="5:24" x14ac:dyDescent="0.25">
      <c r="E304">
        <v>302</v>
      </c>
      <c r="F304">
        <f t="shared" si="64"/>
        <v>50.2</v>
      </c>
      <c r="G304">
        <f t="shared" si="65"/>
        <v>323.34999999999997</v>
      </c>
      <c r="H304" s="4">
        <f t="shared" si="66"/>
        <v>2.516667</v>
      </c>
      <c r="I304" s="4">
        <f t="shared" si="67"/>
        <v>3578.0373420000001</v>
      </c>
      <c r="J304" s="4">
        <f t="shared" si="68"/>
        <v>3.598037342</v>
      </c>
      <c r="K304" s="4">
        <f t="shared" si="69"/>
        <v>1542.4965420000001</v>
      </c>
      <c r="L304">
        <f t="shared" si="70"/>
        <v>1.5424965420000001</v>
      </c>
      <c r="M304">
        <f>$B$12*F304+$B$13</f>
        <v>1.5421594058034624</v>
      </c>
      <c r="N304">
        <f t="shared" si="71"/>
        <v>3.3713619653763516E-4</v>
      </c>
      <c r="O304" s="4">
        <f t="shared" ca="1" si="72"/>
        <v>5.6263462274052483</v>
      </c>
      <c r="P304" s="4">
        <f t="shared" si="73"/>
        <v>5.6877492063504045</v>
      </c>
      <c r="Q304" s="4">
        <f t="shared" ca="1" si="74"/>
        <v>6.1402978945156228E-2</v>
      </c>
      <c r="R304" s="2">
        <f t="shared" ca="1" si="75"/>
        <v>1.0795655138345314E-2</v>
      </c>
      <c r="S304" s="4">
        <f t="shared" si="76"/>
        <v>2.516667</v>
      </c>
      <c r="T304">
        <v>2.5179952465151674</v>
      </c>
      <c r="U304">
        <f t="shared" si="77"/>
        <v>1.3282465151673861E-3</v>
      </c>
      <c r="V304" s="2">
        <f t="shared" si="78"/>
        <v>5.2778000234730545E-4</v>
      </c>
      <c r="W304">
        <f>(T304+5/3)/(1/12)</f>
        <v>50.215942958182012</v>
      </c>
      <c r="X304" s="2">
        <f t="shared" si="79"/>
        <v>3.1758880840655762E-4</v>
      </c>
    </row>
    <row r="305" spans="5:24" x14ac:dyDescent="0.25">
      <c r="E305">
        <v>303</v>
      </c>
      <c r="F305">
        <f t="shared" si="64"/>
        <v>50.3</v>
      </c>
      <c r="G305">
        <f t="shared" si="65"/>
        <v>323.45</v>
      </c>
      <c r="H305" s="4">
        <f t="shared" si="66"/>
        <v>2.5249999999999999</v>
      </c>
      <c r="I305" s="4">
        <f t="shared" si="67"/>
        <v>3564.4759779999999</v>
      </c>
      <c r="J305" s="4">
        <f t="shared" si="68"/>
        <v>3.584475978</v>
      </c>
      <c r="K305" s="4">
        <f t="shared" si="69"/>
        <v>1539.998748</v>
      </c>
      <c r="L305">
        <f t="shared" si="70"/>
        <v>1.5399987479999999</v>
      </c>
      <c r="M305">
        <f>$B$12*F305+$B$13</f>
        <v>1.5398115669805683</v>
      </c>
      <c r="N305">
        <f t="shared" si="71"/>
        <v>1.871810194316037E-4</v>
      </c>
      <c r="O305" s="4">
        <f t="shared" ca="1" si="72"/>
        <v>5.6172352274052484</v>
      </c>
      <c r="P305" s="4">
        <f t="shared" si="73"/>
        <v>5.679089972842311</v>
      </c>
      <c r="Q305" s="4">
        <f t="shared" ca="1" si="74"/>
        <v>6.1854745437062597E-2</v>
      </c>
      <c r="R305" s="2">
        <f t="shared" ca="1" si="75"/>
        <v>1.0891664990844492E-2</v>
      </c>
      <c r="S305" s="4">
        <f t="shared" si="76"/>
        <v>2.5249999999999999</v>
      </c>
      <c r="T305">
        <v>2.5271868480983017</v>
      </c>
      <c r="U305">
        <f t="shared" si="77"/>
        <v>2.1868480983018301E-3</v>
      </c>
      <c r="V305" s="2">
        <f t="shared" si="78"/>
        <v>8.6607845477300208E-4</v>
      </c>
      <c r="W305">
        <f>(T305+5/3)/(1/12)</f>
        <v>50.326242177179623</v>
      </c>
      <c r="X305" s="2">
        <f t="shared" si="79"/>
        <v>5.2171326400845955E-4</v>
      </c>
    </row>
    <row r="306" spans="5:24" x14ac:dyDescent="0.25">
      <c r="E306">
        <v>304</v>
      </c>
      <c r="F306">
        <f t="shared" si="64"/>
        <v>50.400000000000006</v>
      </c>
      <c r="G306">
        <f t="shared" si="65"/>
        <v>323.54999999999995</v>
      </c>
      <c r="H306" s="4">
        <f t="shared" si="66"/>
        <v>2.5333329999999998</v>
      </c>
      <c r="I306" s="4">
        <f t="shared" si="67"/>
        <v>3550.9733769999998</v>
      </c>
      <c r="J306" s="4">
        <f t="shared" si="68"/>
        <v>3.5709733770000001</v>
      </c>
      <c r="K306" s="4">
        <f t="shared" si="69"/>
        <v>1537.501045</v>
      </c>
      <c r="L306">
        <f t="shared" si="70"/>
        <v>1.537501045</v>
      </c>
      <c r="M306">
        <f>$B$12*F306+$B$13</f>
        <v>1.5374637281576737</v>
      </c>
      <c r="N306">
        <f t="shared" si="71"/>
        <v>3.7316842326218236E-5</v>
      </c>
      <c r="O306" s="4">
        <f t="shared" ca="1" si="72"/>
        <v>5.6081242274052485</v>
      </c>
      <c r="P306" s="4">
        <f t="shared" si="73"/>
        <v>5.6704307393342157</v>
      </c>
      <c r="Q306" s="4">
        <f t="shared" ca="1" si="74"/>
        <v>6.230651192896719E-2</v>
      </c>
      <c r="R306" s="2">
        <f t="shared" ca="1" si="75"/>
        <v>1.0987968073882656E-2</v>
      </c>
      <c r="S306" s="4">
        <f t="shared" si="76"/>
        <v>2.5333329999999998</v>
      </c>
      <c r="T306">
        <v>2.5363973621317366</v>
      </c>
      <c r="U306">
        <f t="shared" si="77"/>
        <v>3.0643621317367753E-3</v>
      </c>
      <c r="V306" s="2">
        <f t="shared" si="78"/>
        <v>1.2096167901088312E-3</v>
      </c>
      <c r="W306">
        <f>(T306+5/3)/(1/12)</f>
        <v>50.436768345580838</v>
      </c>
      <c r="X306" s="2">
        <f t="shared" si="79"/>
        <v>7.2953066628634645E-4</v>
      </c>
    </row>
    <row r="307" spans="5:24" x14ac:dyDescent="0.25">
      <c r="E307">
        <v>305</v>
      </c>
      <c r="F307">
        <f t="shared" si="64"/>
        <v>50.5</v>
      </c>
      <c r="G307">
        <f t="shared" si="65"/>
        <v>323.64999999999998</v>
      </c>
      <c r="H307" s="4">
        <f t="shared" si="66"/>
        <v>2.5416669999999999</v>
      </c>
      <c r="I307" s="4">
        <f t="shared" si="67"/>
        <v>3537.5292530000002</v>
      </c>
      <c r="J307" s="4">
        <f t="shared" si="68"/>
        <v>3.5575292530000002</v>
      </c>
      <c r="K307" s="4">
        <f t="shared" si="69"/>
        <v>1535.003449</v>
      </c>
      <c r="L307">
        <f t="shared" si="70"/>
        <v>1.5350034490000002</v>
      </c>
      <c r="M307">
        <f>$B$12*F307+$B$13</f>
        <v>1.5351158893347794</v>
      </c>
      <c r="N307">
        <f t="shared" si="71"/>
        <v>1.1244033477919579E-4</v>
      </c>
      <c r="O307" s="4">
        <f t="shared" ca="1" si="72"/>
        <v>5.5986396355685129</v>
      </c>
      <c r="P307" s="4">
        <f t="shared" si="73"/>
        <v>5.6617715058261213</v>
      </c>
      <c r="Q307" s="4">
        <f t="shared" ca="1" si="74"/>
        <v>6.3131870257608469E-2</v>
      </c>
      <c r="R307" s="2">
        <f t="shared" ca="1" si="75"/>
        <v>1.115055070531264E-2</v>
      </c>
      <c r="S307" s="4">
        <f t="shared" si="76"/>
        <v>2.5416669999999999</v>
      </c>
      <c r="T307">
        <v>2.5456266760688195</v>
      </c>
      <c r="U307">
        <f t="shared" si="77"/>
        <v>3.9596760688196397E-3</v>
      </c>
      <c r="V307" s="2">
        <f t="shared" si="78"/>
        <v>1.557905134236562E-3</v>
      </c>
      <c r="W307">
        <f>(T307+5/3)/(1/12)</f>
        <v>50.547520112825836</v>
      </c>
      <c r="X307" s="2">
        <f t="shared" si="79"/>
        <v>9.4099233318487594E-4</v>
      </c>
    </row>
    <row r="308" spans="5:24" x14ac:dyDescent="0.25">
      <c r="E308">
        <v>306</v>
      </c>
      <c r="F308">
        <f t="shared" si="64"/>
        <v>50.6</v>
      </c>
      <c r="G308">
        <f t="shared" si="65"/>
        <v>323.75</v>
      </c>
      <c r="H308" s="4">
        <f t="shared" si="66"/>
        <v>2.5499999999999998</v>
      </c>
      <c r="I308" s="4">
        <f t="shared" si="67"/>
        <v>3524.143325</v>
      </c>
      <c r="J308" s="4">
        <f t="shared" si="68"/>
        <v>3.5441433250000003</v>
      </c>
      <c r="K308" s="4">
        <f t="shared" si="69"/>
        <v>1532.505979</v>
      </c>
      <c r="L308">
        <f t="shared" si="70"/>
        <v>1.532505979</v>
      </c>
      <c r="M308">
        <f>$B$12*F308+$B$13</f>
        <v>1.532768050511885</v>
      </c>
      <c r="N308">
        <f t="shared" si="71"/>
        <v>2.6207151188506472E-4</v>
      </c>
      <c r="O308" s="4">
        <f t="shared" ca="1" si="72"/>
        <v>5.5899052274052483</v>
      </c>
      <c r="P308" s="4">
        <f t="shared" si="73"/>
        <v>5.6531122723180269</v>
      </c>
      <c r="Q308" s="4">
        <f t="shared" ca="1" si="74"/>
        <v>6.320704491277862E-2</v>
      </c>
      <c r="R308" s="2">
        <f t="shared" ca="1" si="75"/>
        <v>1.1180928640368383E-2</v>
      </c>
      <c r="S308" s="4">
        <f t="shared" si="76"/>
        <v>2.5499999999999998</v>
      </c>
      <c r="T308">
        <v>2.5548746766645603</v>
      </c>
      <c r="U308">
        <f t="shared" si="77"/>
        <v>4.8746766645604289E-3</v>
      </c>
      <c r="V308" s="2">
        <f t="shared" si="78"/>
        <v>1.9116379076707566E-3</v>
      </c>
      <c r="W308">
        <f>(T308+5/3)/(1/12)</f>
        <v>50.658496119974721</v>
      </c>
      <c r="X308" s="2">
        <f t="shared" si="79"/>
        <v>1.1560498018719331E-3</v>
      </c>
    </row>
    <row r="309" spans="5:24" x14ac:dyDescent="0.25">
      <c r="E309">
        <v>307</v>
      </c>
      <c r="F309">
        <f t="shared" si="64"/>
        <v>50.7</v>
      </c>
      <c r="G309">
        <f t="shared" si="65"/>
        <v>323.84999999999997</v>
      </c>
      <c r="H309" s="4">
        <f t="shared" si="66"/>
        <v>2.5583330000000002</v>
      </c>
      <c r="I309" s="4">
        <f t="shared" si="67"/>
        <v>3510.8153109999998</v>
      </c>
      <c r="J309" s="4">
        <f t="shared" si="68"/>
        <v>3.530815311</v>
      </c>
      <c r="K309" s="4">
        <f t="shared" si="69"/>
        <v>1530.0086530000001</v>
      </c>
      <c r="L309">
        <f t="shared" si="70"/>
        <v>1.5300086530000001</v>
      </c>
      <c r="M309">
        <f>$B$12*F309+$B$13</f>
        <v>1.5304202116889907</v>
      </c>
      <c r="N309">
        <f t="shared" si="71"/>
        <v>4.1155868899056536E-4</v>
      </c>
      <c r="O309" s="4">
        <f t="shared" ca="1" si="72"/>
        <v>5.5808167725947513</v>
      </c>
      <c r="P309" s="4">
        <f t="shared" si="73"/>
        <v>5.6444530388099334</v>
      </c>
      <c r="Q309" s="4">
        <f t="shared" ca="1" si="74"/>
        <v>6.3636266215182147E-2</v>
      </c>
      <c r="R309" s="2">
        <f t="shared" ca="1" si="75"/>
        <v>1.1274124486045704E-2</v>
      </c>
      <c r="S309" s="4">
        <f t="shared" si="76"/>
        <v>2.5583330000000002</v>
      </c>
      <c r="T309">
        <v>2.5641412499174652</v>
      </c>
      <c r="U309">
        <f t="shared" si="77"/>
        <v>5.8082499174649804E-3</v>
      </c>
      <c r="V309" s="2">
        <f t="shared" si="78"/>
        <v>2.2703259964457247E-3</v>
      </c>
      <c r="W309">
        <f>(T309+5/3)/(1/12)</f>
        <v>50.76969499900958</v>
      </c>
      <c r="X309" s="2">
        <f t="shared" si="79"/>
        <v>1.3746548128121779E-3</v>
      </c>
    </row>
    <row r="310" spans="5:24" x14ac:dyDescent="0.25">
      <c r="E310">
        <v>308</v>
      </c>
      <c r="F310">
        <f t="shared" si="64"/>
        <v>50.8</v>
      </c>
      <c r="G310">
        <f t="shared" si="65"/>
        <v>323.95</v>
      </c>
      <c r="H310" s="4">
        <f t="shared" si="66"/>
        <v>2.5666669999999998</v>
      </c>
      <c r="I310" s="4">
        <f t="shared" si="67"/>
        <v>3497.5449319999998</v>
      </c>
      <c r="J310" s="4">
        <f t="shared" si="68"/>
        <v>3.5175449319999998</v>
      </c>
      <c r="K310" s="4">
        <f t="shared" si="69"/>
        <v>1527.511489</v>
      </c>
      <c r="L310">
        <f t="shared" si="70"/>
        <v>1.5275114890000001</v>
      </c>
      <c r="M310">
        <f>$B$12*F310+$B$13</f>
        <v>1.5280723728660965</v>
      </c>
      <c r="N310">
        <f t="shared" si="71"/>
        <v>5.6088386609642882E-4</v>
      </c>
      <c r="O310" s="4">
        <f t="shared" ca="1" si="72"/>
        <v>5.5720941370262382</v>
      </c>
      <c r="P310" s="4">
        <f t="shared" si="73"/>
        <v>5.6357938053018399</v>
      </c>
      <c r="Q310" s="4">
        <f t="shared" ca="1" si="74"/>
        <v>6.3699668275601695E-2</v>
      </c>
      <c r="R310" s="2">
        <f t="shared" ca="1" si="75"/>
        <v>1.1302696740905709E-2</v>
      </c>
      <c r="S310" s="4">
        <f t="shared" si="76"/>
        <v>2.5666669999999998</v>
      </c>
      <c r="T310">
        <v>2.573426282931714</v>
      </c>
      <c r="U310">
        <f t="shared" si="77"/>
        <v>6.7592829317142389E-3</v>
      </c>
      <c r="V310" s="2">
        <f t="shared" si="78"/>
        <v>2.6334865145008057E-3</v>
      </c>
      <c r="W310">
        <f>(T310+5/3)/(1/12)</f>
        <v>50.881115395180572</v>
      </c>
      <c r="X310" s="2">
        <f t="shared" si="79"/>
        <v>1.5967597476491137E-3</v>
      </c>
    </row>
    <row r="311" spans="5:24" x14ac:dyDescent="0.25">
      <c r="E311">
        <v>309</v>
      </c>
      <c r="F311">
        <f t="shared" si="64"/>
        <v>50.900000000000006</v>
      </c>
      <c r="G311">
        <f t="shared" si="65"/>
        <v>324.04999999999995</v>
      </c>
      <c r="H311" s="4">
        <f t="shared" si="66"/>
        <v>2.5750000000000002</v>
      </c>
      <c r="I311" s="4">
        <f t="shared" si="67"/>
        <v>3484.3319080000001</v>
      </c>
      <c r="J311" s="4">
        <f t="shared" si="68"/>
        <v>3.5043319080000002</v>
      </c>
      <c r="K311" s="4">
        <f t="shared" si="69"/>
        <v>1525.0145050000001</v>
      </c>
      <c r="L311">
        <f t="shared" si="70"/>
        <v>1.5250145050000001</v>
      </c>
      <c r="M311">
        <f>$B$12*F311+$B$13</f>
        <v>1.525724534043202</v>
      </c>
      <c r="N311">
        <f t="shared" si="71"/>
        <v>7.1002904320183191E-4</v>
      </c>
      <c r="O311" s="4">
        <f t="shared" ca="1" si="72"/>
        <v>5.5625900000000001</v>
      </c>
      <c r="P311" s="4">
        <f t="shared" si="73"/>
        <v>5.6271345717937447</v>
      </c>
      <c r="Q311" s="4">
        <f t="shared" ca="1" si="74"/>
        <v>6.454457179374451E-2</v>
      </c>
      <c r="R311" s="2">
        <f t="shared" ca="1" si="75"/>
        <v>1.1470237821799565E-2</v>
      </c>
      <c r="S311" s="4">
        <f t="shared" si="76"/>
        <v>2.5750000000000002</v>
      </c>
      <c r="T311">
        <v>2.5827296620404243</v>
      </c>
      <c r="U311">
        <f t="shared" si="77"/>
        <v>7.7296620404241345E-3</v>
      </c>
      <c r="V311" s="2">
        <f t="shared" si="78"/>
        <v>3.0018105011355859E-3</v>
      </c>
      <c r="W311">
        <f>(T311+5/3)/(1/12)</f>
        <v>50.99275594448509</v>
      </c>
      <c r="X311" s="2">
        <f t="shared" si="79"/>
        <v>1.8223171804535221E-3</v>
      </c>
    </row>
    <row r="312" spans="5:24" x14ac:dyDescent="0.25">
      <c r="E312">
        <v>310</v>
      </c>
      <c r="F312">
        <f t="shared" si="64"/>
        <v>51</v>
      </c>
      <c r="G312">
        <f t="shared" si="65"/>
        <v>324.14999999999998</v>
      </c>
      <c r="H312" s="4">
        <f t="shared" si="66"/>
        <v>2.5833330000000001</v>
      </c>
      <c r="I312" s="4">
        <f t="shared" si="67"/>
        <v>3471.175964</v>
      </c>
      <c r="J312" s="4">
        <f t="shared" si="68"/>
        <v>3.491175964</v>
      </c>
      <c r="K312" s="4">
        <f t="shared" si="69"/>
        <v>1522.5177180000001</v>
      </c>
      <c r="L312">
        <f t="shared" si="70"/>
        <v>1.522517718</v>
      </c>
      <c r="M312">
        <f>$B$12*F312+$B$13</f>
        <v>1.5233766952203078</v>
      </c>
      <c r="N312">
        <f t="shared" si="71"/>
        <v>8.5897722030781054E-4</v>
      </c>
      <c r="O312" s="4">
        <f t="shared" ca="1" si="72"/>
        <v>5.5530976355685127</v>
      </c>
      <c r="P312" s="4">
        <f t="shared" si="73"/>
        <v>5.6184753382856512</v>
      </c>
      <c r="Q312" s="4">
        <f t="shared" ca="1" si="74"/>
        <v>6.5377702717138497E-2</v>
      </c>
      <c r="R312" s="2">
        <f t="shared" ca="1" si="75"/>
        <v>1.1636199997468887E-2</v>
      </c>
      <c r="S312" s="4">
        <f t="shared" si="76"/>
        <v>2.5833330000000001</v>
      </c>
      <c r="T312">
        <v>2.5920512736930763</v>
      </c>
      <c r="U312">
        <f t="shared" si="77"/>
        <v>8.7182736930762061E-3</v>
      </c>
      <c r="V312" s="2">
        <f t="shared" si="78"/>
        <v>3.3748160585864097E-3</v>
      </c>
      <c r="W312">
        <f>(T312+5/3)/(1/12)</f>
        <v>51.104615284316914</v>
      </c>
      <c r="X312" s="2">
        <f t="shared" si="79"/>
        <v>2.051280084645371E-3</v>
      </c>
    </row>
    <row r="313" spans="5:24" x14ac:dyDescent="0.25">
      <c r="E313">
        <v>311</v>
      </c>
      <c r="F313">
        <f t="shared" si="64"/>
        <v>51.1</v>
      </c>
      <c r="G313">
        <f t="shared" si="65"/>
        <v>324.25</v>
      </c>
      <c r="H313" s="4">
        <f t="shared" si="66"/>
        <v>2.5916670000000002</v>
      </c>
      <c r="I313" s="4">
        <f t="shared" si="67"/>
        <v>3458.0768229999999</v>
      </c>
      <c r="J313" s="4">
        <f t="shared" si="68"/>
        <v>3.4780768229999999</v>
      </c>
      <c r="K313" s="4">
        <f t="shared" si="69"/>
        <v>1520.021148</v>
      </c>
      <c r="L313">
        <f t="shared" si="70"/>
        <v>1.5200211480000001</v>
      </c>
      <c r="M313">
        <f>$B$12*F313+$B$13</f>
        <v>1.5210288563974133</v>
      </c>
      <c r="N313">
        <f t="shared" si="71"/>
        <v>1.007708397413154E-3</v>
      </c>
      <c r="O313" s="4">
        <f t="shared" ca="1" si="72"/>
        <v>5.5443652274052484</v>
      </c>
      <c r="P313" s="4">
        <f t="shared" si="73"/>
        <v>5.6098161047775559</v>
      </c>
      <c r="Q313" s="4">
        <f t="shared" ca="1" si="74"/>
        <v>6.5450877372307481E-2</v>
      </c>
      <c r="R313" s="2">
        <f t="shared" ca="1" si="75"/>
        <v>1.1667205510812869E-2</v>
      </c>
      <c r="S313" s="4">
        <f t="shared" si="76"/>
        <v>2.5916670000000002</v>
      </c>
      <c r="T313">
        <v>2.6013910038590993</v>
      </c>
      <c r="U313">
        <f t="shared" si="77"/>
        <v>9.7240038590991063E-3</v>
      </c>
      <c r="V313" s="2">
        <f t="shared" si="78"/>
        <v>3.7520267299383393E-3</v>
      </c>
      <c r="W313">
        <f>(T313+5/3)/(1/12)</f>
        <v>51.216692046309198</v>
      </c>
      <c r="X313" s="2">
        <f t="shared" si="79"/>
        <v>2.2836016890253803E-3</v>
      </c>
    </row>
    <row r="314" spans="5:24" x14ac:dyDescent="0.25">
      <c r="E314">
        <v>312</v>
      </c>
      <c r="F314">
        <f t="shared" si="64"/>
        <v>51.2</v>
      </c>
      <c r="G314">
        <f t="shared" si="65"/>
        <v>324.34999999999997</v>
      </c>
      <c r="H314" s="4">
        <f t="shared" si="66"/>
        <v>2.6</v>
      </c>
      <c r="I314" s="4">
        <f t="shared" si="67"/>
        <v>3445.034212</v>
      </c>
      <c r="J314" s="4">
        <f t="shared" si="68"/>
        <v>3.4650342119999999</v>
      </c>
      <c r="K314" s="4">
        <f t="shared" si="69"/>
        <v>1517.5248099999999</v>
      </c>
      <c r="L314">
        <f t="shared" si="70"/>
        <v>1.5175248099999998</v>
      </c>
      <c r="M314">
        <f>$B$12*F314+$B$13</f>
        <v>1.5186810175745189</v>
      </c>
      <c r="N314">
        <f t="shared" si="71"/>
        <v>1.1562075745190636E-3</v>
      </c>
      <c r="O314" s="4">
        <f t="shared" ca="1" si="72"/>
        <v>5.5356563644314871</v>
      </c>
      <c r="P314" s="4">
        <f t="shared" si="73"/>
        <v>5.6011568712694615</v>
      </c>
      <c r="Q314" s="4">
        <f t="shared" ca="1" si="74"/>
        <v>6.550050683797437E-2</v>
      </c>
      <c r="R314" s="2">
        <f t="shared" ca="1" si="75"/>
        <v>1.1694103261765842E-2</v>
      </c>
      <c r="S314" s="4">
        <f t="shared" si="76"/>
        <v>2.6</v>
      </c>
      <c r="T314">
        <v>2.6100878909408065</v>
      </c>
      <c r="U314">
        <f t="shared" si="77"/>
        <v>1.0087890940806421E-2</v>
      </c>
      <c r="V314" s="2">
        <f t="shared" si="78"/>
        <v>3.8799580541563155E-3</v>
      </c>
      <c r="W314">
        <f>(T314+5/3)/(1/12)</f>
        <v>51.321054691289682</v>
      </c>
      <c r="X314" s="2">
        <f t="shared" si="79"/>
        <v>2.3643494392515396E-3</v>
      </c>
    </row>
    <row r="315" spans="5:24" x14ac:dyDescent="0.25">
      <c r="E315">
        <v>313</v>
      </c>
      <c r="F315">
        <f t="shared" si="64"/>
        <v>51.3</v>
      </c>
      <c r="G315">
        <f t="shared" si="65"/>
        <v>324.45</v>
      </c>
      <c r="H315" s="4">
        <f t="shared" si="66"/>
        <v>2.608333</v>
      </c>
      <c r="I315" s="4">
        <f t="shared" si="67"/>
        <v>3432.0478589999998</v>
      </c>
      <c r="J315" s="4">
        <f t="shared" si="68"/>
        <v>3.4520478589999999</v>
      </c>
      <c r="K315" s="4">
        <f t="shared" si="69"/>
        <v>1515.028724</v>
      </c>
      <c r="L315">
        <f t="shared" si="70"/>
        <v>1.515028724</v>
      </c>
      <c r="M315">
        <f>$B$12*F315+$B$13</f>
        <v>1.5163331787516248</v>
      </c>
      <c r="N315">
        <f t="shared" si="71"/>
        <v>1.3044547516247729E-3</v>
      </c>
      <c r="O315" s="4">
        <f t="shared" ca="1" si="72"/>
        <v>5.5257698629737613</v>
      </c>
      <c r="P315" s="4">
        <f t="shared" si="73"/>
        <v>5.5924976377613689</v>
      </c>
      <c r="Q315" s="4">
        <f t="shared" ca="1" si="74"/>
        <v>6.6727774787607608E-2</v>
      </c>
      <c r="R315" s="2">
        <f t="shared" ca="1" si="75"/>
        <v>1.1931659002777548E-2</v>
      </c>
      <c r="S315" s="4">
        <f t="shared" si="76"/>
        <v>2.608333</v>
      </c>
      <c r="T315">
        <v>2.6188048884487638</v>
      </c>
      <c r="U315">
        <f t="shared" si="77"/>
        <v>1.0471888448763789E-2</v>
      </c>
      <c r="V315" s="2">
        <f t="shared" si="78"/>
        <v>4.0147820269742351E-3</v>
      </c>
      <c r="W315">
        <f>(T315+5/3)/(1/12)</f>
        <v>51.425658661385164</v>
      </c>
      <c r="X315" s="2">
        <f t="shared" si="79"/>
        <v>2.4494865767089023E-3</v>
      </c>
    </row>
    <row r="316" spans="5:24" x14ac:dyDescent="0.25">
      <c r="E316">
        <v>314</v>
      </c>
      <c r="F316">
        <f t="shared" si="64"/>
        <v>51.400000000000006</v>
      </c>
      <c r="G316">
        <f t="shared" si="65"/>
        <v>324.54999999999995</v>
      </c>
      <c r="H316" s="4">
        <f t="shared" si="66"/>
        <v>2.6166670000000001</v>
      </c>
      <c r="I316" s="4">
        <f t="shared" si="67"/>
        <v>3419.1174919999999</v>
      </c>
      <c r="J316" s="4">
        <f t="shared" si="68"/>
        <v>3.4391174919999998</v>
      </c>
      <c r="K316" s="4">
        <f t="shared" si="69"/>
        <v>1512.532907</v>
      </c>
      <c r="L316">
        <f t="shared" si="70"/>
        <v>1.512532907</v>
      </c>
      <c r="M316">
        <f>$B$12*F316+$B$13</f>
        <v>1.5139853399287302</v>
      </c>
      <c r="N316">
        <f t="shared" si="71"/>
        <v>1.4524329287302074E-3</v>
      </c>
      <c r="O316" s="4">
        <f t="shared" ca="1" si="72"/>
        <v>5.5166658629737615</v>
      </c>
      <c r="P316" s="4">
        <f t="shared" si="73"/>
        <v>5.5838384042532736</v>
      </c>
      <c r="Q316" s="4">
        <f t="shared" ca="1" si="74"/>
        <v>6.717254127951211E-2</v>
      </c>
      <c r="R316" s="2">
        <f t="shared" ca="1" si="75"/>
        <v>1.2029814693123286E-2</v>
      </c>
      <c r="S316" s="4">
        <f t="shared" si="76"/>
        <v>2.6166670000000001</v>
      </c>
      <c r="T316">
        <v>2.6282005079667758</v>
      </c>
      <c r="U316">
        <f t="shared" si="77"/>
        <v>1.1533507966775769E-2</v>
      </c>
      <c r="V316" s="2">
        <f t="shared" si="78"/>
        <v>4.4077094895054545E-3</v>
      </c>
      <c r="W316">
        <f>(T316+5/3)/(1/12)</f>
        <v>51.538406095601317</v>
      </c>
      <c r="X316" s="2">
        <f t="shared" si="79"/>
        <v>2.6927255953562556E-3</v>
      </c>
    </row>
    <row r="317" spans="5:24" x14ac:dyDescent="0.25">
      <c r="E317">
        <v>315</v>
      </c>
      <c r="F317">
        <f t="shared" si="64"/>
        <v>51.5</v>
      </c>
      <c r="G317">
        <f t="shared" si="65"/>
        <v>324.64999999999998</v>
      </c>
      <c r="H317" s="4">
        <f t="shared" si="66"/>
        <v>2.625</v>
      </c>
      <c r="I317" s="4">
        <f t="shared" si="67"/>
        <v>3406.2428410000002</v>
      </c>
      <c r="J317" s="4">
        <f t="shared" si="68"/>
        <v>3.4262428410000001</v>
      </c>
      <c r="K317" s="4">
        <f t="shared" si="69"/>
        <v>1510.0373770000001</v>
      </c>
      <c r="L317">
        <f t="shared" si="70"/>
        <v>1.5100373770000002</v>
      </c>
      <c r="M317">
        <f>$B$12*F317+$B$13</f>
        <v>1.5116375011058361</v>
      </c>
      <c r="N317">
        <f t="shared" si="71"/>
        <v>1.6001241058358762E-3</v>
      </c>
      <c r="O317" s="4">
        <f t="shared" ca="1" si="72"/>
        <v>5.5079707725947511</v>
      </c>
      <c r="P317" s="4">
        <f t="shared" si="73"/>
        <v>5.5751791707451801</v>
      </c>
      <c r="Q317" s="4">
        <f t="shared" ca="1" si="74"/>
        <v>6.7208398150429005E-2</v>
      </c>
      <c r="R317" s="2">
        <f t="shared" ca="1" si="75"/>
        <v>1.2054930629511214E-2</v>
      </c>
      <c r="S317" s="4">
        <f t="shared" si="76"/>
        <v>2.625</v>
      </c>
      <c r="T317">
        <v>2.636956271353263</v>
      </c>
      <c r="U317">
        <f t="shared" si="77"/>
        <v>1.1956271353263048E-2</v>
      </c>
      <c r="V317" s="2">
        <f t="shared" si="78"/>
        <v>4.554770039338304E-3</v>
      </c>
      <c r="W317">
        <f>(T317+5/3)/(1/12)</f>
        <v>51.643475256239164</v>
      </c>
      <c r="X317" s="2">
        <f t="shared" si="79"/>
        <v>2.7859273056148287E-3</v>
      </c>
    </row>
    <row r="318" spans="5:24" x14ac:dyDescent="0.25">
      <c r="E318">
        <v>316</v>
      </c>
      <c r="F318">
        <f t="shared" si="64"/>
        <v>51.6</v>
      </c>
      <c r="G318">
        <f t="shared" si="65"/>
        <v>324.75</v>
      </c>
      <c r="H318" s="4">
        <f t="shared" si="66"/>
        <v>2.6333329999999999</v>
      </c>
      <c r="I318" s="4">
        <f t="shared" si="67"/>
        <v>3393.42364</v>
      </c>
      <c r="J318" s="4">
        <f t="shared" si="68"/>
        <v>3.41342364</v>
      </c>
      <c r="K318" s="4">
        <f t="shared" si="69"/>
        <v>1507.542152</v>
      </c>
      <c r="L318">
        <f t="shared" si="70"/>
        <v>1.5075421520000001</v>
      </c>
      <c r="M318">
        <f>$B$12*F318+$B$13</f>
        <v>1.5092896622829417</v>
      </c>
      <c r="N318">
        <f t="shared" si="71"/>
        <v>1.7475102829416223E-3</v>
      </c>
      <c r="O318" s="4">
        <f t="shared" ca="1" si="72"/>
        <v>5.4996395014577262</v>
      </c>
      <c r="P318" s="4">
        <f t="shared" si="73"/>
        <v>5.5665199372370857</v>
      </c>
      <c r="Q318" s="4">
        <f t="shared" ca="1" si="74"/>
        <v>6.6880435779359537E-2</v>
      </c>
      <c r="R318" s="2">
        <f t="shared" ca="1" si="75"/>
        <v>1.2014766233381229E-2</v>
      </c>
      <c r="S318" s="4">
        <f t="shared" si="76"/>
        <v>2.6333329999999999</v>
      </c>
      <c r="T318">
        <v>2.6463882089473083</v>
      </c>
      <c r="U318">
        <f t="shared" si="77"/>
        <v>1.3055208947308383E-2</v>
      </c>
      <c r="V318" s="2">
        <f t="shared" si="78"/>
        <v>4.9576749113417803E-3</v>
      </c>
      <c r="W318">
        <f>(T318+5/3)/(1/12)</f>
        <v>51.756658507367703</v>
      </c>
      <c r="X318" s="2">
        <f t="shared" si="79"/>
        <v>3.036017584645384E-3</v>
      </c>
    </row>
    <row r="319" spans="5:24" x14ac:dyDescent="0.25">
      <c r="E319">
        <v>317</v>
      </c>
      <c r="F319">
        <f t="shared" si="64"/>
        <v>51.7</v>
      </c>
      <c r="G319">
        <f t="shared" si="65"/>
        <v>324.84999999999997</v>
      </c>
      <c r="H319" s="4">
        <f t="shared" si="66"/>
        <v>2.641667</v>
      </c>
      <c r="I319" s="4">
        <f t="shared" si="67"/>
        <v>3380.6596199999999</v>
      </c>
      <c r="J319" s="4">
        <f t="shared" si="68"/>
        <v>3.4006596199999999</v>
      </c>
      <c r="K319" s="4">
        <f t="shared" si="69"/>
        <v>1505.0472480000001</v>
      </c>
      <c r="L319">
        <f t="shared" si="70"/>
        <v>1.5050472480000001</v>
      </c>
      <c r="M319">
        <f>$B$12*F319+$B$13</f>
        <v>1.5069418234600473</v>
      </c>
      <c r="N319">
        <f t="shared" si="71"/>
        <v>1.894575460047232E-3</v>
      </c>
      <c r="O319" s="4">
        <f t="shared" ca="1" si="72"/>
        <v>5.4901541370262388</v>
      </c>
      <c r="P319" s="4">
        <f t="shared" si="73"/>
        <v>5.5578607037289913</v>
      </c>
      <c r="Q319" s="4">
        <f t="shared" ca="1" si="74"/>
        <v>6.7706566702752546E-2</v>
      </c>
      <c r="R319" s="2">
        <f t="shared" ca="1" si="75"/>
        <v>1.2182127316959473E-2</v>
      </c>
      <c r="S319" s="4">
        <f t="shared" si="76"/>
        <v>2.641667</v>
      </c>
      <c r="T319">
        <v>2.655837579387184</v>
      </c>
      <c r="U319">
        <f t="shared" si="77"/>
        <v>1.4170579387184024E-2</v>
      </c>
      <c r="V319" s="2">
        <f t="shared" si="78"/>
        <v>5.3642565043906078E-3</v>
      </c>
      <c r="W319">
        <f>(T319+5/3)/(1/12)</f>
        <v>51.87005095264621</v>
      </c>
      <c r="X319" s="2">
        <f t="shared" si="79"/>
        <v>3.2891867049556489E-3</v>
      </c>
    </row>
    <row r="320" spans="5:24" x14ac:dyDescent="0.25">
      <c r="E320">
        <v>318</v>
      </c>
      <c r="F320">
        <f t="shared" si="64"/>
        <v>51.8</v>
      </c>
      <c r="G320">
        <f t="shared" si="65"/>
        <v>324.95</v>
      </c>
      <c r="H320" s="4">
        <f t="shared" si="66"/>
        <v>2.65</v>
      </c>
      <c r="I320" s="4">
        <f t="shared" si="67"/>
        <v>3367.9505170000002</v>
      </c>
      <c r="J320" s="4">
        <f t="shared" si="68"/>
        <v>3.3879505170000002</v>
      </c>
      <c r="K320" s="4">
        <f t="shared" si="69"/>
        <v>1502.5526850000001</v>
      </c>
      <c r="L320">
        <f t="shared" si="70"/>
        <v>1.5025526850000002</v>
      </c>
      <c r="M320">
        <f>$B$12*F320+$B$13</f>
        <v>1.504593984637153</v>
      </c>
      <c r="N320">
        <f t="shared" si="71"/>
        <v>2.0412996371528269E-3</v>
      </c>
      <c r="O320" s="4">
        <f t="shared" ca="1" si="72"/>
        <v>5.4810443644314875</v>
      </c>
      <c r="P320" s="4">
        <f t="shared" si="73"/>
        <v>5.5492014702208969</v>
      </c>
      <c r="Q320" s="4">
        <f t="shared" ca="1" si="74"/>
        <v>6.8157105789409478E-2</v>
      </c>
      <c r="R320" s="2">
        <f t="shared" ca="1" si="75"/>
        <v>1.2282326773530597E-2</v>
      </c>
      <c r="S320" s="4">
        <f t="shared" si="76"/>
        <v>2.65</v>
      </c>
      <c r="T320">
        <v>2.6653042687150386</v>
      </c>
      <c r="U320">
        <f t="shared" si="77"/>
        <v>1.5304268715038649E-2</v>
      </c>
      <c r="V320" s="2">
        <f t="shared" si="78"/>
        <v>5.7751957415240187E-3</v>
      </c>
      <c r="W320">
        <f>(T320+5/3)/(1/12)</f>
        <v>51.98365122458047</v>
      </c>
      <c r="X320" s="2">
        <f t="shared" si="79"/>
        <v>3.5453904359164612E-3</v>
      </c>
    </row>
    <row r="321" spans="5:24" x14ac:dyDescent="0.25">
      <c r="E321">
        <v>319</v>
      </c>
      <c r="F321">
        <f t="shared" si="64"/>
        <v>51.900000000000006</v>
      </c>
      <c r="G321">
        <f t="shared" si="65"/>
        <v>325.04999999999995</v>
      </c>
      <c r="H321" s="4">
        <f t="shared" si="66"/>
        <v>2.6583329999999998</v>
      </c>
      <c r="I321" s="4">
        <f t="shared" si="67"/>
        <v>3355.2960659999999</v>
      </c>
      <c r="J321" s="4">
        <f t="shared" si="68"/>
        <v>3.3752960659999998</v>
      </c>
      <c r="K321" s="4">
        <f t="shared" si="69"/>
        <v>1500.058479</v>
      </c>
      <c r="L321">
        <f t="shared" si="70"/>
        <v>1.500058479</v>
      </c>
      <c r="M321">
        <f>$B$12*F321+$B$13</f>
        <v>1.5022461458142584</v>
      </c>
      <c r="N321">
        <f t="shared" si="71"/>
        <v>2.1876668142584155E-3</v>
      </c>
      <c r="O321" s="4">
        <f t="shared" ca="1" si="72"/>
        <v>5.471550227405249</v>
      </c>
      <c r="P321" s="4">
        <f t="shared" si="73"/>
        <v>5.5405422367128025</v>
      </c>
      <c r="Q321" s="4">
        <f t="shared" ca="1" si="74"/>
        <v>6.8992009307553559E-2</v>
      </c>
      <c r="R321" s="2">
        <f t="shared" ca="1" si="75"/>
        <v>1.2452212501945737E-2</v>
      </c>
      <c r="S321" s="4">
        <f t="shared" si="76"/>
        <v>2.6583329999999998</v>
      </c>
      <c r="T321">
        <v>2.6747881623183503</v>
      </c>
      <c r="U321">
        <f t="shared" si="77"/>
        <v>1.6455162318350425E-2</v>
      </c>
      <c r="V321" s="2">
        <f t="shared" si="78"/>
        <v>6.1900304884115066E-3</v>
      </c>
      <c r="W321">
        <f>(T321+5/3)/(1/12)</f>
        <v>52.09745794782021</v>
      </c>
      <c r="X321" s="2">
        <f t="shared" si="79"/>
        <v>3.8045847364201256E-3</v>
      </c>
    </row>
    <row r="322" spans="5:24" x14ac:dyDescent="0.25">
      <c r="E322">
        <v>320</v>
      </c>
      <c r="F322">
        <f t="shared" si="64"/>
        <v>52</v>
      </c>
      <c r="G322">
        <f t="shared" si="65"/>
        <v>325.14999999999998</v>
      </c>
      <c r="H322" s="4">
        <f t="shared" si="66"/>
        <v>2.6666669999999999</v>
      </c>
      <c r="I322" s="4">
        <f t="shared" si="67"/>
        <v>3342.6960049999998</v>
      </c>
      <c r="J322" s="4">
        <f t="shared" si="68"/>
        <v>3.3626960049999997</v>
      </c>
      <c r="K322" s="4">
        <f t="shared" si="69"/>
        <v>1497.5646489999999</v>
      </c>
      <c r="L322">
        <f t="shared" si="70"/>
        <v>1.4975646489999999</v>
      </c>
      <c r="M322">
        <f>$B$12*F322+$B$13</f>
        <v>1.4998983069913643</v>
      </c>
      <c r="N322">
        <f t="shared" si="71"/>
        <v>2.333657991364424E-3</v>
      </c>
      <c r="O322" s="4">
        <f t="shared" ca="1" si="72"/>
        <v>5.4628611370262385</v>
      </c>
      <c r="P322" s="4">
        <f t="shared" si="73"/>
        <v>5.531883003204709</v>
      </c>
      <c r="Q322" s="4">
        <f t="shared" ca="1" si="74"/>
        <v>6.9021866178470503E-2</v>
      </c>
      <c r="R322" s="2">
        <f t="shared" ca="1" si="75"/>
        <v>1.2477101583400268E-2</v>
      </c>
      <c r="S322" s="4">
        <f t="shared" si="76"/>
        <v>2.6666669999999999</v>
      </c>
      <c r="T322">
        <v>2.6842891452353994</v>
      </c>
      <c r="U322">
        <f t="shared" si="77"/>
        <v>1.7622145235399511E-2</v>
      </c>
      <c r="V322" s="2">
        <f t="shared" si="78"/>
        <v>6.6083036372368625E-3</v>
      </c>
      <c r="W322">
        <f>(T322+5/3)/(1/12)</f>
        <v>52.211469742824796</v>
      </c>
      <c r="X322" s="2">
        <f t="shared" si="79"/>
        <v>4.0667258235537783E-3</v>
      </c>
    </row>
    <row r="323" spans="5:24" x14ac:dyDescent="0.25">
      <c r="E323">
        <v>321</v>
      </c>
      <c r="F323">
        <f t="shared" ref="F323:F386" si="80">E323*0.1+20</f>
        <v>52.1</v>
      </c>
      <c r="G323">
        <f t="shared" ref="G323:G386" si="81">F323+273.15</f>
        <v>325.25</v>
      </c>
      <c r="H323" s="4">
        <f t="shared" ref="H323:H386" si="82">ROUND(1/12*F323-5/3,6)</f>
        <v>2.6749999999999998</v>
      </c>
      <c r="I323" s="4">
        <f t="shared" ref="I323:I386" si="83">ROUND(10000*EXP(($B$3)+($B$4/G323)+($B$5/(G323^2))+($B$6/(G323^3))),6)</f>
        <v>3330.1500740000001</v>
      </c>
      <c r="J323" s="4">
        <f t="shared" ref="J323:J386" si="84">$B$9*(2*$B$8+I323)</f>
        <v>3.3501500740000001</v>
      </c>
      <c r="K323" s="4">
        <f t="shared" ref="K323:K386" si="85">ROUND(1/(1/(I323+2*$B$8)+1/($B$7)),6)</f>
        <v>1495.0712109999999</v>
      </c>
      <c r="L323">
        <f t="shared" ref="L323:L386" si="86">$B$9*K323</f>
        <v>1.495071211</v>
      </c>
      <c r="M323">
        <f>$B$12*F323+$B$13</f>
        <v>1.4975504681684699</v>
      </c>
      <c r="N323">
        <f t="shared" ref="N323:N386" si="87">ABS(L323-M323)</f>
        <v>2.4792571684699727E-3</v>
      </c>
      <c r="O323" s="4">
        <f t="shared" ref="O323:O386" ca="1" si="88">ROUND(L323*$B$28,6)+RANDBETWEEN(-1,1)*$B$23+RANDBETWEEN(-1,1)*$B$24</f>
        <v>5.4525884985422737</v>
      </c>
      <c r="P323" s="4">
        <f t="shared" ref="P323:P386" si="89">M323*$B$22</f>
        <v>5.5232237696966147</v>
      </c>
      <c r="Q323" s="4">
        <f t="shared" ref="Q323:Q386" ca="1" si="90">ABS(O323-P323)</f>
        <v>7.0635271154340984E-2</v>
      </c>
      <c r="R323" s="2">
        <f t="shared" ref="R323:R386" ca="1" si="91">ABS(P323-O323)/P323</f>
        <v>1.2788775921389278E-2</v>
      </c>
      <c r="S323" s="4">
        <f t="shared" ref="S323:S386" si="92">ROUND($B$18*M323+$B$19,6)</f>
        <v>2.6749999999999998</v>
      </c>
      <c r="T323">
        <v>2.6931562313198816</v>
      </c>
      <c r="U323">
        <f t="shared" ref="U323:U386" si="93">ABS(S323-T323)</f>
        <v>1.8156231319881755E-2</v>
      </c>
      <c r="V323" s="2">
        <f t="shared" ref="V323:V386" si="94">IF(S323=0, ABS(S323-T323),ABS(S323-T323)/S323)</f>
        <v>6.7873761943483199E-3</v>
      </c>
      <c r="W323">
        <f>(T323+5/3)/(1/12)</f>
        <v>52.317874775838582</v>
      </c>
      <c r="X323" s="2">
        <f t="shared" ref="X323:X386" si="95">ABS(F323-W323)/F323</f>
        <v>4.1818575017002124E-3</v>
      </c>
    </row>
    <row r="324" spans="5:24" x14ac:dyDescent="0.25">
      <c r="E324">
        <v>322</v>
      </c>
      <c r="F324">
        <f t="shared" si="80"/>
        <v>52.2</v>
      </c>
      <c r="G324">
        <f t="shared" si="81"/>
        <v>325.34999999999997</v>
      </c>
      <c r="H324" s="4">
        <f t="shared" si="82"/>
        <v>2.6833330000000002</v>
      </c>
      <c r="I324" s="4">
        <f t="shared" si="83"/>
        <v>3317.658011</v>
      </c>
      <c r="J324" s="4">
        <f t="shared" si="84"/>
        <v>3.3376580110000003</v>
      </c>
      <c r="K324" s="4">
        <f t="shared" si="85"/>
        <v>1492.578184</v>
      </c>
      <c r="L324">
        <f t="shared" si="86"/>
        <v>1.4925781840000001</v>
      </c>
      <c r="M324">
        <f>$B$12*F324+$B$13</f>
        <v>1.4952026293455756</v>
      </c>
      <c r="N324">
        <f t="shared" si="87"/>
        <v>2.6244453455754879E-3</v>
      </c>
      <c r="O324" s="4">
        <f t="shared" ca="1" si="88"/>
        <v>5.4446613644314876</v>
      </c>
      <c r="P324" s="4">
        <f t="shared" si="89"/>
        <v>5.5145645361885203</v>
      </c>
      <c r="Q324" s="4">
        <f t="shared" ca="1" si="90"/>
        <v>6.9903171757032645E-2</v>
      </c>
      <c r="R324" s="2">
        <f t="shared" ca="1" si="91"/>
        <v>1.2676100043494521E-2</v>
      </c>
      <c r="S324" s="4">
        <f t="shared" si="92"/>
        <v>2.6833330000000002</v>
      </c>
      <c r="T324">
        <v>2.7026921561478252</v>
      </c>
      <c r="U324">
        <f t="shared" si="93"/>
        <v>1.9359156147825018E-2</v>
      </c>
      <c r="V324" s="2">
        <f t="shared" si="94"/>
        <v>7.2145932494494785E-3</v>
      </c>
      <c r="W324">
        <f>(T324+5/3)/(1/12)</f>
        <v>52.432305873773906</v>
      </c>
      <c r="X324" s="2">
        <f t="shared" si="95"/>
        <v>4.4503040952855021E-3</v>
      </c>
    </row>
    <row r="325" spans="5:24" x14ac:dyDescent="0.25">
      <c r="E325">
        <v>323</v>
      </c>
      <c r="F325">
        <f t="shared" si="80"/>
        <v>52.300000000000004</v>
      </c>
      <c r="G325">
        <f t="shared" si="81"/>
        <v>325.45</v>
      </c>
      <c r="H325" s="4">
        <f t="shared" si="82"/>
        <v>2.6916669999999998</v>
      </c>
      <c r="I325" s="4">
        <f t="shared" si="83"/>
        <v>3305.2195590000001</v>
      </c>
      <c r="J325" s="4">
        <f t="shared" si="84"/>
        <v>3.3252195590000002</v>
      </c>
      <c r="K325" s="4">
        <f t="shared" si="85"/>
        <v>1490.085585</v>
      </c>
      <c r="L325">
        <f t="shared" si="86"/>
        <v>1.4900855850000001</v>
      </c>
      <c r="M325">
        <f>$B$12*F325+$B$13</f>
        <v>1.4928547905226812</v>
      </c>
      <c r="N325">
        <f t="shared" si="87"/>
        <v>2.7692055226811174E-3</v>
      </c>
      <c r="O325" s="4">
        <f t="shared" ca="1" si="88"/>
        <v>5.4355801370262382</v>
      </c>
      <c r="P325" s="4">
        <f t="shared" si="89"/>
        <v>5.5059053026804259</v>
      </c>
      <c r="Q325" s="4">
        <f t="shared" ca="1" si="90"/>
        <v>7.0325165654187671E-2</v>
      </c>
      <c r="R325" s="2">
        <f t="shared" ca="1" si="91"/>
        <v>1.2772679838854375E-2</v>
      </c>
      <c r="S325" s="4">
        <f t="shared" si="92"/>
        <v>2.6916669999999998</v>
      </c>
      <c r="T325">
        <v>2.7115961685782035</v>
      </c>
      <c r="U325">
        <f t="shared" si="93"/>
        <v>1.9929168578203704E-2</v>
      </c>
      <c r="V325" s="2">
        <f t="shared" si="94"/>
        <v>7.4040245610633507E-3</v>
      </c>
      <c r="W325">
        <f>(T325+5/3)/(1/12)</f>
        <v>52.53915402293844</v>
      </c>
      <c r="X325" s="2">
        <f t="shared" si="95"/>
        <v>4.5727346642148396E-3</v>
      </c>
    </row>
    <row r="326" spans="5:24" x14ac:dyDescent="0.25">
      <c r="E326">
        <v>324</v>
      </c>
      <c r="F326">
        <f t="shared" si="80"/>
        <v>52.4</v>
      </c>
      <c r="G326">
        <f t="shared" si="81"/>
        <v>325.54999999999995</v>
      </c>
      <c r="H326" s="4">
        <f t="shared" si="82"/>
        <v>2.7</v>
      </c>
      <c r="I326" s="4">
        <f t="shared" si="83"/>
        <v>3292.8344619999998</v>
      </c>
      <c r="J326" s="4">
        <f t="shared" si="84"/>
        <v>3.3128344620000001</v>
      </c>
      <c r="K326" s="4">
        <f t="shared" si="85"/>
        <v>1487.593431</v>
      </c>
      <c r="L326">
        <f t="shared" si="86"/>
        <v>1.4875934310000001</v>
      </c>
      <c r="M326">
        <f>$B$12*F326+$B$13</f>
        <v>1.4905069516997869</v>
      </c>
      <c r="N326">
        <f t="shared" si="87"/>
        <v>2.9135206997867868E-3</v>
      </c>
      <c r="O326" s="4">
        <f t="shared" ca="1" si="88"/>
        <v>5.4256978629737613</v>
      </c>
      <c r="P326" s="4">
        <f t="shared" si="89"/>
        <v>5.4972460691723324</v>
      </c>
      <c r="Q326" s="4">
        <f t="shared" ca="1" si="90"/>
        <v>7.1548206198571052E-2</v>
      </c>
      <c r="R326" s="2">
        <f t="shared" ca="1" si="91"/>
        <v>1.3015281706198641E-2</v>
      </c>
      <c r="S326" s="4">
        <f t="shared" si="92"/>
        <v>2.7</v>
      </c>
      <c r="T326">
        <v>2.7205190244120341</v>
      </c>
      <c r="U326">
        <f t="shared" si="93"/>
        <v>2.0519024412033904E-2</v>
      </c>
      <c r="V326" s="2">
        <f t="shared" si="94"/>
        <v>7.5996386711236676E-3</v>
      </c>
      <c r="W326">
        <f>(T326+5/3)/(1/12)</f>
        <v>52.646228292944407</v>
      </c>
      <c r="X326" s="2">
        <f t="shared" si="95"/>
        <v>4.6990132241299352E-3</v>
      </c>
    </row>
    <row r="327" spans="5:24" x14ac:dyDescent="0.25">
      <c r="E327">
        <v>325</v>
      </c>
      <c r="F327">
        <f t="shared" si="80"/>
        <v>52.5</v>
      </c>
      <c r="G327">
        <f t="shared" si="81"/>
        <v>325.64999999999998</v>
      </c>
      <c r="H327" s="4">
        <f t="shared" si="82"/>
        <v>2.7083330000000001</v>
      </c>
      <c r="I327" s="4">
        <f t="shared" si="83"/>
        <v>3280.5024619999999</v>
      </c>
      <c r="J327" s="4">
        <f t="shared" si="84"/>
        <v>3.3005024619999999</v>
      </c>
      <c r="K327" s="4">
        <f t="shared" si="85"/>
        <v>1485.1017400000001</v>
      </c>
      <c r="L327">
        <f t="shared" si="86"/>
        <v>1.4851017400000002</v>
      </c>
      <c r="M327">
        <f>$B$12*F327+$B$13</f>
        <v>1.4881591128768925</v>
      </c>
      <c r="N327">
        <f t="shared" si="87"/>
        <v>3.0573728768923392E-3</v>
      </c>
      <c r="O327" s="4">
        <f t="shared" ca="1" si="88"/>
        <v>5.4169952274052484</v>
      </c>
      <c r="P327" s="4">
        <f t="shared" si="89"/>
        <v>5.488586835664238</v>
      </c>
      <c r="Q327" s="4">
        <f t="shared" ca="1" si="90"/>
        <v>7.1591608258989581E-2</v>
      </c>
      <c r="R327" s="2">
        <f t="shared" ca="1" si="91"/>
        <v>1.3043723348566726E-2</v>
      </c>
      <c r="S327" s="4">
        <f t="shared" si="92"/>
        <v>2.7083330000000001</v>
      </c>
      <c r="T327">
        <v>2.7301070507917444</v>
      </c>
      <c r="U327">
        <f t="shared" si="93"/>
        <v>2.1774050791744326E-2</v>
      </c>
      <c r="V327" s="2">
        <f t="shared" si="94"/>
        <v>8.0396505126010456E-3</v>
      </c>
      <c r="W327">
        <f>(T327+5/3)/(1/12)</f>
        <v>52.76128460950094</v>
      </c>
      <c r="X327" s="2">
        <f t="shared" si="95"/>
        <v>4.9768497047798137E-3</v>
      </c>
    </row>
    <row r="328" spans="5:24" x14ac:dyDescent="0.25">
      <c r="E328">
        <v>326</v>
      </c>
      <c r="F328">
        <f t="shared" si="80"/>
        <v>52.6</v>
      </c>
      <c r="G328">
        <f t="shared" si="81"/>
        <v>325.75</v>
      </c>
      <c r="H328" s="4">
        <f t="shared" si="82"/>
        <v>2.7166670000000002</v>
      </c>
      <c r="I328" s="4">
        <f t="shared" si="83"/>
        <v>3268.2233059999999</v>
      </c>
      <c r="J328" s="4">
        <f t="shared" si="84"/>
        <v>3.2882233059999999</v>
      </c>
      <c r="K328" s="4">
        <f t="shared" si="85"/>
        <v>1482.610529</v>
      </c>
      <c r="L328">
        <f t="shared" si="86"/>
        <v>1.482610529</v>
      </c>
      <c r="M328">
        <f>$B$12*F328+$B$13</f>
        <v>1.4858112740539982</v>
      </c>
      <c r="N328">
        <f t="shared" si="87"/>
        <v>3.2007450539981441E-3</v>
      </c>
      <c r="O328" s="4">
        <f t="shared" ca="1" si="88"/>
        <v>5.4079189999999997</v>
      </c>
      <c r="P328" s="4">
        <f t="shared" si="89"/>
        <v>5.4799276021561436</v>
      </c>
      <c r="Q328" s="4">
        <f t="shared" ca="1" si="90"/>
        <v>7.2008602156143908E-2</v>
      </c>
      <c r="R328" s="2">
        <f t="shared" ca="1" si="91"/>
        <v>1.3140429469873153E-2</v>
      </c>
      <c r="S328" s="4">
        <f t="shared" si="92"/>
        <v>2.7166670000000002</v>
      </c>
      <c r="T328">
        <v>2.7390661397242164</v>
      </c>
      <c r="U328">
        <f t="shared" si="93"/>
        <v>2.2399139724216255E-2</v>
      </c>
      <c r="V328" s="2">
        <f t="shared" si="94"/>
        <v>8.2450810954070759E-3</v>
      </c>
      <c r="W328">
        <f>(T328+5/3)/(1/12)</f>
        <v>52.868793676690601</v>
      </c>
      <c r="X328" s="2">
        <f t="shared" si="95"/>
        <v>5.1101459446881974E-3</v>
      </c>
    </row>
    <row r="329" spans="5:24" x14ac:dyDescent="0.25">
      <c r="E329">
        <v>327</v>
      </c>
      <c r="F329">
        <f t="shared" si="80"/>
        <v>52.7</v>
      </c>
      <c r="G329">
        <f t="shared" si="81"/>
        <v>325.84999999999997</v>
      </c>
      <c r="H329" s="4">
        <f t="shared" si="82"/>
        <v>2.7250000000000001</v>
      </c>
      <c r="I329" s="4">
        <f t="shared" si="83"/>
        <v>3255.99674</v>
      </c>
      <c r="J329" s="4">
        <f t="shared" si="84"/>
        <v>3.2759967400000001</v>
      </c>
      <c r="K329" s="4">
        <f t="shared" si="85"/>
        <v>1480.1198159999999</v>
      </c>
      <c r="L329">
        <f t="shared" si="86"/>
        <v>1.480119816</v>
      </c>
      <c r="M329">
        <f>$B$12*F329+$B$13</f>
        <v>1.4834634352311038</v>
      </c>
      <c r="N329">
        <f t="shared" si="87"/>
        <v>3.3436192311038226E-3</v>
      </c>
      <c r="O329" s="4">
        <f t="shared" ca="1" si="88"/>
        <v>5.3984378629737613</v>
      </c>
      <c r="P329" s="4">
        <f t="shared" si="89"/>
        <v>5.4712683686480492</v>
      </c>
      <c r="Q329" s="4">
        <f t="shared" ca="1" si="90"/>
        <v>7.2830505674287949E-2</v>
      </c>
      <c r="R329" s="2">
        <f t="shared" ca="1" si="91"/>
        <v>1.3311448235957099E-2</v>
      </c>
      <c r="S329" s="4">
        <f t="shared" si="92"/>
        <v>2.7250000000000001</v>
      </c>
      <c r="T329">
        <v>2.7480437246872671</v>
      </c>
      <c r="U329">
        <f t="shared" si="93"/>
        <v>2.3043724687267009E-2</v>
      </c>
      <c r="V329" s="2">
        <f t="shared" si="94"/>
        <v>8.456412729272297E-3</v>
      </c>
      <c r="W329">
        <f>(T329+5/3)/(1/12)</f>
        <v>52.976524696247203</v>
      </c>
      <c r="X329" s="2">
        <f t="shared" si="95"/>
        <v>5.2471479363795171E-3</v>
      </c>
    </row>
    <row r="330" spans="5:24" x14ac:dyDescent="0.25">
      <c r="E330">
        <v>328</v>
      </c>
      <c r="F330">
        <f t="shared" si="80"/>
        <v>52.800000000000004</v>
      </c>
      <c r="G330">
        <f t="shared" si="81"/>
        <v>325.95</v>
      </c>
      <c r="H330" s="4">
        <f t="shared" si="82"/>
        <v>2.733333</v>
      </c>
      <c r="I330" s="4">
        <f t="shared" si="83"/>
        <v>3243.822514</v>
      </c>
      <c r="J330" s="4">
        <f t="shared" si="84"/>
        <v>3.2638225140000001</v>
      </c>
      <c r="K330" s="4">
        <f t="shared" si="85"/>
        <v>1477.629619</v>
      </c>
      <c r="L330">
        <f t="shared" si="86"/>
        <v>1.477629619</v>
      </c>
      <c r="M330">
        <f>$B$12*F330+$B$13</f>
        <v>1.4811155964082094</v>
      </c>
      <c r="N330">
        <f t="shared" si="87"/>
        <v>3.4859774082094397E-3</v>
      </c>
      <c r="O330" s="4">
        <f t="shared" ca="1" si="88"/>
        <v>5.3901461370262389</v>
      </c>
      <c r="P330" s="4">
        <f t="shared" si="89"/>
        <v>5.4626091351399548</v>
      </c>
      <c r="Q330" s="4">
        <f t="shared" ca="1" si="90"/>
        <v>7.2462998113715926E-2</v>
      </c>
      <c r="R330" s="2">
        <f t="shared" ca="1" si="91"/>
        <v>1.3265272385603219E-2</v>
      </c>
      <c r="S330" s="4">
        <f t="shared" si="92"/>
        <v>2.733333</v>
      </c>
      <c r="T330">
        <v>2.757039689453491</v>
      </c>
      <c r="U330">
        <f t="shared" si="93"/>
        <v>2.370668945349097E-2</v>
      </c>
      <c r="V330" s="2">
        <f t="shared" si="94"/>
        <v>8.6731801260552487E-3</v>
      </c>
      <c r="W330">
        <f>(T330+5/3)/(1/12)</f>
        <v>53.084476273441894</v>
      </c>
      <c r="X330" s="2">
        <f t="shared" si="95"/>
        <v>5.3878082091266908E-3</v>
      </c>
    </row>
    <row r="331" spans="5:24" x14ac:dyDescent="0.25">
      <c r="E331">
        <v>329</v>
      </c>
      <c r="F331">
        <f t="shared" si="80"/>
        <v>52.9</v>
      </c>
      <c r="G331">
        <f t="shared" si="81"/>
        <v>326.04999999999995</v>
      </c>
      <c r="H331" s="4">
        <f t="shared" si="82"/>
        <v>2.7416670000000001</v>
      </c>
      <c r="I331" s="4">
        <f t="shared" si="83"/>
        <v>3231.7003759999998</v>
      </c>
      <c r="J331" s="4">
        <f t="shared" si="84"/>
        <v>3.2517003760000001</v>
      </c>
      <c r="K331" s="4">
        <f t="shared" si="85"/>
        <v>1475.1399530000001</v>
      </c>
      <c r="L331">
        <f t="shared" si="86"/>
        <v>1.4751399530000002</v>
      </c>
      <c r="M331">
        <f>$B$12*F331+$B$13</f>
        <v>1.4787677575853151</v>
      </c>
      <c r="N331">
        <f t="shared" si="87"/>
        <v>3.6278045853148644E-3</v>
      </c>
      <c r="O331" s="4">
        <f t="shared" ca="1" si="88"/>
        <v>5.3810651370262388</v>
      </c>
      <c r="P331" s="4">
        <f t="shared" si="89"/>
        <v>5.4539499016318604</v>
      </c>
      <c r="Q331" s="4">
        <f t="shared" ca="1" si="90"/>
        <v>7.2884764605621655E-2</v>
      </c>
      <c r="R331" s="2">
        <f t="shared" ca="1" si="91"/>
        <v>1.3363665952232897E-2</v>
      </c>
      <c r="S331" s="4">
        <f t="shared" si="92"/>
        <v>2.7416670000000001</v>
      </c>
      <c r="T331">
        <v>2.7660539185374349</v>
      </c>
      <c r="U331">
        <f t="shared" si="93"/>
        <v>2.4386918537434799E-2</v>
      </c>
      <c r="V331" s="2">
        <f t="shared" si="94"/>
        <v>8.8949236130554145E-3</v>
      </c>
      <c r="W331">
        <f>(T331+5/3)/(1/12)</f>
        <v>53.192647022449222</v>
      </c>
      <c r="X331" s="2">
        <f t="shared" si="95"/>
        <v>5.53207981945602E-3</v>
      </c>
    </row>
    <row r="332" spans="5:24" x14ac:dyDescent="0.25">
      <c r="E332">
        <v>330</v>
      </c>
      <c r="F332">
        <f t="shared" si="80"/>
        <v>53</v>
      </c>
      <c r="G332">
        <f t="shared" si="81"/>
        <v>326.14999999999998</v>
      </c>
      <c r="H332" s="4">
        <f t="shared" si="82"/>
        <v>2.75</v>
      </c>
      <c r="I332" s="4">
        <f t="shared" si="83"/>
        <v>3219.6300780000001</v>
      </c>
      <c r="J332" s="4">
        <f t="shared" si="84"/>
        <v>3.2396300780000002</v>
      </c>
      <c r="K332" s="4">
        <f t="shared" si="85"/>
        <v>1472.650838</v>
      </c>
      <c r="L332">
        <f t="shared" si="86"/>
        <v>1.4726508380000001</v>
      </c>
      <c r="M332">
        <f>$B$12*F332+$B$13</f>
        <v>1.4764199187624207</v>
      </c>
      <c r="N332">
        <f t="shared" si="87"/>
        <v>3.7690807624206624E-3</v>
      </c>
      <c r="O332" s="4">
        <f t="shared" ca="1" si="88"/>
        <v>5.3716007725947517</v>
      </c>
      <c r="P332" s="4">
        <f t="shared" si="89"/>
        <v>5.4452906681237669</v>
      </c>
      <c r="Q332" s="4">
        <f t="shared" ca="1" si="90"/>
        <v>7.3689895529015281E-2</v>
      </c>
      <c r="R332" s="2">
        <f t="shared" ca="1" si="91"/>
        <v>1.3532775387067798E-2</v>
      </c>
      <c r="S332" s="4">
        <f t="shared" si="92"/>
        <v>2.75</v>
      </c>
      <c r="T332">
        <v>2.7750862949697317</v>
      </c>
      <c r="U332">
        <f t="shared" si="93"/>
        <v>2.5086294969731693E-2</v>
      </c>
      <c r="V332" s="2">
        <f t="shared" si="94"/>
        <v>9.1222890799024341E-3</v>
      </c>
      <c r="W332">
        <f>(T332+5/3)/(1/12)</f>
        <v>53.301035539636779</v>
      </c>
      <c r="X332" s="2">
        <f t="shared" si="95"/>
        <v>5.6799158422033685E-3</v>
      </c>
    </row>
    <row r="333" spans="5:24" x14ac:dyDescent="0.25">
      <c r="E333">
        <v>331</v>
      </c>
      <c r="F333">
        <f t="shared" si="80"/>
        <v>53.1</v>
      </c>
      <c r="G333">
        <f t="shared" si="81"/>
        <v>326.25</v>
      </c>
      <c r="H333" s="4">
        <f t="shared" si="82"/>
        <v>2.7583329999999999</v>
      </c>
      <c r="I333" s="4">
        <f t="shared" si="83"/>
        <v>3207.6113730000002</v>
      </c>
      <c r="J333" s="4">
        <f t="shared" si="84"/>
        <v>3.2276113730000002</v>
      </c>
      <c r="K333" s="4">
        <f t="shared" si="85"/>
        <v>1470.1622890000001</v>
      </c>
      <c r="L333">
        <f t="shared" si="86"/>
        <v>1.4701622890000001</v>
      </c>
      <c r="M333">
        <f>$B$12*F333+$B$13</f>
        <v>1.4740720799395264</v>
      </c>
      <c r="N333">
        <f t="shared" si="87"/>
        <v>3.9097909395262587E-3</v>
      </c>
      <c r="O333" s="4">
        <f t="shared" ca="1" si="88"/>
        <v>5.3625129999999999</v>
      </c>
      <c r="P333" s="4">
        <f t="shared" si="89"/>
        <v>5.4366314346156726</v>
      </c>
      <c r="Q333" s="4">
        <f t="shared" ca="1" si="90"/>
        <v>7.411843461567269E-2</v>
      </c>
      <c r="R333" s="2">
        <f t="shared" ca="1" si="91"/>
        <v>1.3633154188777979E-2</v>
      </c>
      <c r="S333" s="4">
        <f t="shared" si="92"/>
        <v>2.7583329999999999</v>
      </c>
      <c r="T333">
        <v>2.7841367027121051</v>
      </c>
      <c r="U333">
        <f t="shared" si="93"/>
        <v>2.5803702712105192E-2</v>
      </c>
      <c r="V333" s="2">
        <f t="shared" si="94"/>
        <v>9.3548178237019223E-3</v>
      </c>
      <c r="W333">
        <f>(T333+5/3)/(1/12)</f>
        <v>53.40964043254526</v>
      </c>
      <c r="X333" s="2">
        <f t="shared" si="95"/>
        <v>5.831269916106557E-3</v>
      </c>
    </row>
    <row r="334" spans="5:24" x14ac:dyDescent="0.25">
      <c r="E334">
        <v>332</v>
      </c>
      <c r="F334">
        <f t="shared" si="80"/>
        <v>53.2</v>
      </c>
      <c r="G334">
        <f t="shared" si="81"/>
        <v>326.34999999999997</v>
      </c>
      <c r="H334" s="4">
        <f t="shared" si="82"/>
        <v>2.766667</v>
      </c>
      <c r="I334" s="4">
        <f t="shared" si="83"/>
        <v>3195.6440120000002</v>
      </c>
      <c r="J334" s="4">
        <f t="shared" si="84"/>
        <v>3.2156440120000003</v>
      </c>
      <c r="K334" s="4">
        <f t="shared" si="85"/>
        <v>1467.674325</v>
      </c>
      <c r="L334">
        <f t="shared" si="86"/>
        <v>1.4676743249999999</v>
      </c>
      <c r="M334">
        <f>$B$12*F334+$B$13</f>
        <v>1.471724241116632</v>
      </c>
      <c r="N334">
        <f t="shared" si="87"/>
        <v>4.0499161166320796E-3</v>
      </c>
      <c r="O334" s="4">
        <f t="shared" ca="1" si="88"/>
        <v>5.3526564985422738</v>
      </c>
      <c r="P334" s="4">
        <f t="shared" si="89"/>
        <v>5.4279722011075782</v>
      </c>
      <c r="Q334" s="4">
        <f t="shared" ca="1" si="90"/>
        <v>7.5315702565304399E-2</v>
      </c>
      <c r="R334" s="2">
        <f t="shared" ca="1" si="91"/>
        <v>1.3875476840123873E-2</v>
      </c>
      <c r="S334" s="4">
        <f t="shared" si="92"/>
        <v>2.766667</v>
      </c>
      <c r="T334">
        <v>2.7938437275707662</v>
      </c>
      <c r="U334">
        <f t="shared" si="93"/>
        <v>2.7176727570766168E-2</v>
      </c>
      <c r="V334" s="2">
        <f t="shared" si="94"/>
        <v>9.8229123963115787E-3</v>
      </c>
      <c r="W334">
        <f>(T334+5/3)/(1/12)</f>
        <v>53.526124730849197</v>
      </c>
      <c r="X334" s="2">
        <f t="shared" si="95"/>
        <v>6.1301641137066643E-3</v>
      </c>
    </row>
    <row r="335" spans="5:24" x14ac:dyDescent="0.25">
      <c r="E335">
        <v>333</v>
      </c>
      <c r="F335">
        <f t="shared" si="80"/>
        <v>53.300000000000004</v>
      </c>
      <c r="G335">
        <f t="shared" si="81"/>
        <v>326.45</v>
      </c>
      <c r="H335" s="4">
        <f t="shared" si="82"/>
        <v>2.7749999999999999</v>
      </c>
      <c r="I335" s="4">
        <f t="shared" si="83"/>
        <v>3183.7277530000001</v>
      </c>
      <c r="J335" s="4">
        <f t="shared" si="84"/>
        <v>3.2037277530000003</v>
      </c>
      <c r="K335" s="4">
        <f t="shared" si="85"/>
        <v>1465.186962</v>
      </c>
      <c r="L335">
        <f t="shared" si="86"/>
        <v>1.465186962</v>
      </c>
      <c r="M335">
        <f>$B$12*F335+$B$13</f>
        <v>1.4693764022937377</v>
      </c>
      <c r="N335">
        <f t="shared" si="87"/>
        <v>4.1894402937376896E-3</v>
      </c>
      <c r="O335" s="4">
        <f t="shared" ca="1" si="88"/>
        <v>5.3443542274052485</v>
      </c>
      <c r="P335" s="4">
        <f t="shared" si="89"/>
        <v>5.4193129675994838</v>
      </c>
      <c r="Q335" s="4">
        <f t="shared" ca="1" si="90"/>
        <v>7.4958740194235318E-2</v>
      </c>
      <c r="R335" s="2">
        <f t="shared" ca="1" si="91"/>
        <v>1.3831779165069835E-2</v>
      </c>
      <c r="S335" s="4">
        <f t="shared" si="92"/>
        <v>2.7749999999999999</v>
      </c>
      <c r="T335">
        <v>2.8029287442831992</v>
      </c>
      <c r="U335">
        <f t="shared" si="93"/>
        <v>2.7928744283199247E-2</v>
      </c>
      <c r="V335" s="2">
        <f t="shared" si="94"/>
        <v>1.0064412354306036E-2</v>
      </c>
      <c r="W335">
        <f>(T335+5/3)/(1/12)</f>
        <v>53.635144931398393</v>
      </c>
      <c r="X335" s="2">
        <f t="shared" si="95"/>
        <v>6.287897399594543E-3</v>
      </c>
    </row>
    <row r="336" spans="5:24" x14ac:dyDescent="0.25">
      <c r="E336">
        <v>334</v>
      </c>
      <c r="F336">
        <f t="shared" si="80"/>
        <v>53.4</v>
      </c>
      <c r="G336">
        <f t="shared" si="81"/>
        <v>326.54999999999995</v>
      </c>
      <c r="H336" s="4">
        <f t="shared" si="82"/>
        <v>2.7833329999999998</v>
      </c>
      <c r="I336" s="4">
        <f t="shared" si="83"/>
        <v>3171.8623499999999</v>
      </c>
      <c r="J336" s="4">
        <f t="shared" si="84"/>
        <v>3.1918623500000001</v>
      </c>
      <c r="K336" s="4">
        <f t="shared" si="85"/>
        <v>1462.7002179999999</v>
      </c>
      <c r="L336">
        <f t="shared" si="86"/>
        <v>1.4627002179999999</v>
      </c>
      <c r="M336">
        <f>$B$12*F336+$B$13</f>
        <v>1.4670285634708435</v>
      </c>
      <c r="N336">
        <f t="shared" si="87"/>
        <v>4.3283454708435976E-3</v>
      </c>
      <c r="O336" s="4">
        <f t="shared" ca="1" si="88"/>
        <v>5.3349096355685131</v>
      </c>
      <c r="P336" s="4">
        <f t="shared" si="89"/>
        <v>5.4106537340913903</v>
      </c>
      <c r="Q336" s="4">
        <f t="shared" ca="1" si="90"/>
        <v>7.5744098522877223E-2</v>
      </c>
      <c r="R336" s="2">
        <f t="shared" ca="1" si="91"/>
        <v>1.3999065962330874E-2</v>
      </c>
      <c r="S336" s="4">
        <f t="shared" si="92"/>
        <v>2.7833329999999998</v>
      </c>
      <c r="T336">
        <v>2.8120314430706328</v>
      </c>
      <c r="U336">
        <f t="shared" si="93"/>
        <v>2.8698443070632962E-2</v>
      </c>
      <c r="V336" s="2">
        <f t="shared" si="94"/>
        <v>1.0310819104517125E-2</v>
      </c>
      <c r="W336">
        <f>(T336+5/3)/(1/12)</f>
        <v>53.744377316847597</v>
      </c>
      <c r="X336" s="2">
        <f t="shared" si="95"/>
        <v>6.449013424112332E-3</v>
      </c>
    </row>
    <row r="337" spans="5:24" x14ac:dyDescent="0.25">
      <c r="E337">
        <v>335</v>
      </c>
      <c r="F337">
        <f t="shared" si="80"/>
        <v>53.5</v>
      </c>
      <c r="G337">
        <f t="shared" si="81"/>
        <v>326.64999999999998</v>
      </c>
      <c r="H337" s="4">
        <f t="shared" si="82"/>
        <v>2.7916669999999999</v>
      </c>
      <c r="I337" s="4">
        <f t="shared" si="83"/>
        <v>3160.0475609999999</v>
      </c>
      <c r="J337" s="4">
        <f t="shared" si="84"/>
        <v>3.1800475609999999</v>
      </c>
      <c r="K337" s="4">
        <f t="shared" si="85"/>
        <v>1460.2141099999999</v>
      </c>
      <c r="L337">
        <f t="shared" si="86"/>
        <v>1.4602141099999999</v>
      </c>
      <c r="M337">
        <f>$B$12*F337+$B$13</f>
        <v>1.4646807246479492</v>
      </c>
      <c r="N337">
        <f t="shared" si="87"/>
        <v>4.4666146479492852E-3</v>
      </c>
      <c r="O337" s="4">
        <f t="shared" ca="1" si="88"/>
        <v>5.3262367725947515</v>
      </c>
      <c r="P337" s="4">
        <f t="shared" si="89"/>
        <v>5.4019945005832959</v>
      </c>
      <c r="Q337" s="4">
        <f t="shared" ca="1" si="90"/>
        <v>7.575772798854441E-2</v>
      </c>
      <c r="R337" s="2">
        <f t="shared" ca="1" si="91"/>
        <v>1.4024029084139987E-2</v>
      </c>
      <c r="S337" s="4">
        <f t="shared" si="92"/>
        <v>2.7916669999999999</v>
      </c>
      <c r="T337">
        <v>2.8217870995785677</v>
      </c>
      <c r="U337">
        <f t="shared" si="93"/>
        <v>3.0120099578567761E-2</v>
      </c>
      <c r="V337" s="2">
        <f t="shared" si="94"/>
        <v>1.0789288113004796E-2</v>
      </c>
      <c r="W337">
        <f>(T337+5/3)/(1/12)</f>
        <v>53.86144519494281</v>
      </c>
      <c r="X337" s="2">
        <f t="shared" si="95"/>
        <v>6.755984952202059E-3</v>
      </c>
    </row>
    <row r="338" spans="5:24" x14ac:dyDescent="0.25">
      <c r="E338">
        <v>336</v>
      </c>
      <c r="F338">
        <f t="shared" si="80"/>
        <v>53.6</v>
      </c>
      <c r="G338">
        <f t="shared" si="81"/>
        <v>326.75</v>
      </c>
      <c r="H338" s="4">
        <f t="shared" si="82"/>
        <v>2.8</v>
      </c>
      <c r="I338" s="4">
        <f t="shared" si="83"/>
        <v>3148.2831449999999</v>
      </c>
      <c r="J338" s="4">
        <f t="shared" si="84"/>
        <v>3.1682831449999997</v>
      </c>
      <c r="K338" s="4">
        <f t="shared" si="85"/>
        <v>1457.728654</v>
      </c>
      <c r="L338">
        <f t="shared" si="86"/>
        <v>1.4577286540000001</v>
      </c>
      <c r="M338">
        <f>$B$12*F338+$B$13</f>
        <v>1.4623328858250546</v>
      </c>
      <c r="N338">
        <f t="shared" si="87"/>
        <v>4.6042318250545389E-3</v>
      </c>
      <c r="O338" s="4">
        <f t="shared" ca="1" si="88"/>
        <v>5.3171600000000003</v>
      </c>
      <c r="P338" s="4">
        <f t="shared" si="89"/>
        <v>5.3933352670752015</v>
      </c>
      <c r="Q338" s="4">
        <f t="shared" ca="1" si="90"/>
        <v>7.617526707520117E-2</v>
      </c>
      <c r="R338" s="2">
        <f t="shared" ca="1" si="91"/>
        <v>1.412396287325763E-2</v>
      </c>
      <c r="S338" s="4">
        <f t="shared" si="92"/>
        <v>2.8</v>
      </c>
      <c r="T338">
        <v>2.83092371008799</v>
      </c>
      <c r="U338">
        <f t="shared" si="93"/>
        <v>3.0923710087990219E-2</v>
      </c>
      <c r="V338" s="2">
        <f t="shared" si="94"/>
        <v>1.1044182174282222E-2</v>
      </c>
      <c r="W338">
        <f>(T338+5/3)/(1/12)</f>
        <v>53.971084521055879</v>
      </c>
      <c r="X338" s="2">
        <f t="shared" si="95"/>
        <v>6.9232186764156215E-3</v>
      </c>
    </row>
    <row r="339" spans="5:24" x14ac:dyDescent="0.25">
      <c r="E339">
        <v>337</v>
      </c>
      <c r="F339">
        <f t="shared" si="80"/>
        <v>53.7</v>
      </c>
      <c r="G339">
        <f t="shared" si="81"/>
        <v>326.84999999999997</v>
      </c>
      <c r="H339" s="4">
        <f t="shared" si="82"/>
        <v>2.8083330000000002</v>
      </c>
      <c r="I339" s="4">
        <f t="shared" si="83"/>
        <v>3136.5688610000002</v>
      </c>
      <c r="J339" s="4">
        <f t="shared" si="84"/>
        <v>3.1565688610000002</v>
      </c>
      <c r="K339" s="4">
        <f t="shared" si="85"/>
        <v>1455.243868</v>
      </c>
      <c r="L339">
        <f t="shared" si="86"/>
        <v>1.4552438679999999</v>
      </c>
      <c r="M339">
        <f>$B$12*F339+$B$13</f>
        <v>1.4599850470021603</v>
      </c>
      <c r="N339">
        <f t="shared" si="87"/>
        <v>4.7411790021603117E-3</v>
      </c>
      <c r="O339" s="4">
        <f t="shared" ca="1" si="88"/>
        <v>5.3077116355685128</v>
      </c>
      <c r="P339" s="4">
        <f t="shared" si="89"/>
        <v>5.3846760335671071</v>
      </c>
      <c r="Q339" s="4">
        <f t="shared" ca="1" si="90"/>
        <v>7.6964397998594336E-2</v>
      </c>
      <c r="R339" s="2">
        <f t="shared" ca="1" si="91"/>
        <v>1.4293227209735934E-2</v>
      </c>
      <c r="S339" s="4">
        <f t="shared" si="92"/>
        <v>2.8083330000000002</v>
      </c>
      <c r="T339">
        <v>2.8400776536264702</v>
      </c>
      <c r="U339">
        <f t="shared" si="93"/>
        <v>3.1744653626470054E-2</v>
      </c>
      <c r="V339" s="2">
        <f t="shared" si="94"/>
        <v>1.130373557069979E-2</v>
      </c>
      <c r="W339">
        <f>(T339+5/3)/(1/12)</f>
        <v>54.080931843517646</v>
      </c>
      <c r="X339" s="2">
        <f t="shared" si="95"/>
        <v>7.0937028588015571E-3</v>
      </c>
    </row>
    <row r="340" spans="5:24" x14ac:dyDescent="0.25">
      <c r="E340">
        <v>338</v>
      </c>
      <c r="F340">
        <f t="shared" si="80"/>
        <v>53.800000000000004</v>
      </c>
      <c r="G340">
        <f t="shared" si="81"/>
        <v>326.95</v>
      </c>
      <c r="H340" s="4">
        <f t="shared" si="82"/>
        <v>2.8166669999999998</v>
      </c>
      <c r="I340" s="4">
        <f t="shared" si="83"/>
        <v>3124.9044720000002</v>
      </c>
      <c r="J340" s="4">
        <f t="shared" si="84"/>
        <v>3.1449044720000003</v>
      </c>
      <c r="K340" s="4">
        <f t="shared" si="85"/>
        <v>1452.7597699999999</v>
      </c>
      <c r="L340">
        <f t="shared" si="86"/>
        <v>1.4527597699999999</v>
      </c>
      <c r="M340">
        <f>$B$12*F340+$B$13</f>
        <v>1.4576372081792659</v>
      </c>
      <c r="N340">
        <f t="shared" si="87"/>
        <v>4.8774381792660026E-3</v>
      </c>
      <c r="O340" s="4">
        <f t="shared" ca="1" si="88"/>
        <v>5.2990252274052487</v>
      </c>
      <c r="P340" s="4">
        <f t="shared" si="89"/>
        <v>5.3760168000590127</v>
      </c>
      <c r="Q340" s="4">
        <f t="shared" ca="1" si="90"/>
        <v>7.6991572653763996E-2</v>
      </c>
      <c r="R340" s="2">
        <f t="shared" ca="1" si="91"/>
        <v>1.4321304325707995E-2</v>
      </c>
      <c r="S340" s="4">
        <f t="shared" si="92"/>
        <v>2.8166669999999998</v>
      </c>
      <c r="T340">
        <v>2.8492488132682698</v>
      </c>
      <c r="U340">
        <f t="shared" si="93"/>
        <v>3.2581813268270032E-2</v>
      </c>
      <c r="V340" s="2">
        <f t="shared" si="94"/>
        <v>1.156750630027264E-2</v>
      </c>
      <c r="W340">
        <f>(T340+5/3)/(1/12)</f>
        <v>54.190985759219245</v>
      </c>
      <c r="X340" s="2">
        <f t="shared" si="95"/>
        <v>7.2673932940379351E-3</v>
      </c>
    </row>
    <row r="341" spans="5:24" x14ac:dyDescent="0.25">
      <c r="E341">
        <v>339</v>
      </c>
      <c r="F341">
        <f t="shared" si="80"/>
        <v>53.9</v>
      </c>
      <c r="G341">
        <f t="shared" si="81"/>
        <v>327.04999999999995</v>
      </c>
      <c r="H341" s="4">
        <f t="shared" si="82"/>
        <v>2.8250000000000002</v>
      </c>
      <c r="I341" s="4">
        <f t="shared" si="83"/>
        <v>3113.2897389999998</v>
      </c>
      <c r="J341" s="4">
        <f t="shared" si="84"/>
        <v>3.1332897389999999</v>
      </c>
      <c r="K341" s="4">
        <f t="shared" si="85"/>
        <v>1450.2763749999999</v>
      </c>
      <c r="L341">
        <f t="shared" si="86"/>
        <v>1.4502763749999998</v>
      </c>
      <c r="M341">
        <f>$B$12*F341+$B$13</f>
        <v>1.4552893693563718</v>
      </c>
      <c r="N341">
        <f t="shared" si="87"/>
        <v>5.0129943563719248E-3</v>
      </c>
      <c r="O341" s="4">
        <f t="shared" ca="1" si="88"/>
        <v>5.2899672274052483</v>
      </c>
      <c r="P341" s="4">
        <f t="shared" si="89"/>
        <v>5.3673575665509192</v>
      </c>
      <c r="Q341" s="4">
        <f t="shared" ca="1" si="90"/>
        <v>7.739033914567095E-2</v>
      </c>
      <c r="R341" s="2">
        <f t="shared" ca="1" si="91"/>
        <v>1.4418703838172314E-2</v>
      </c>
      <c r="S341" s="4">
        <f t="shared" si="92"/>
        <v>2.8250000000000002</v>
      </c>
      <c r="T341">
        <v>2.8584370726986856</v>
      </c>
      <c r="U341">
        <f t="shared" si="93"/>
        <v>3.3437072698685455E-2</v>
      </c>
      <c r="V341" s="2">
        <f t="shared" si="94"/>
        <v>1.1836131928738213E-2</v>
      </c>
      <c r="W341">
        <f>(T341+5/3)/(1/12)</f>
        <v>54.301244872384231</v>
      </c>
      <c r="X341" s="2">
        <f t="shared" si="95"/>
        <v>7.4442462408948534E-3</v>
      </c>
    </row>
    <row r="342" spans="5:24" x14ac:dyDescent="0.25">
      <c r="E342">
        <v>340</v>
      </c>
      <c r="F342">
        <f t="shared" si="80"/>
        <v>54</v>
      </c>
      <c r="G342">
        <f t="shared" si="81"/>
        <v>327.14999999999998</v>
      </c>
      <c r="H342" s="4">
        <f t="shared" si="82"/>
        <v>2.8333330000000001</v>
      </c>
      <c r="I342" s="4">
        <f t="shared" si="83"/>
        <v>3101.7244270000001</v>
      </c>
      <c r="J342" s="4">
        <f t="shared" si="84"/>
        <v>3.1217244270000002</v>
      </c>
      <c r="K342" s="4">
        <f t="shared" si="85"/>
        <v>1447.7937010000001</v>
      </c>
      <c r="L342">
        <f t="shared" si="86"/>
        <v>1.4477937010000002</v>
      </c>
      <c r="M342">
        <f>$B$12*F342+$B$13</f>
        <v>1.4529415305334774</v>
      </c>
      <c r="N342">
        <f t="shared" si="87"/>
        <v>5.147829533477255E-3</v>
      </c>
      <c r="O342" s="4">
        <f t="shared" ca="1" si="88"/>
        <v>5.2809220000000003</v>
      </c>
      <c r="P342" s="4">
        <f t="shared" si="89"/>
        <v>5.3586983330428248</v>
      </c>
      <c r="Q342" s="4">
        <f t="shared" ca="1" si="90"/>
        <v>7.7776333042824497E-2</v>
      </c>
      <c r="R342" s="2">
        <f t="shared" ca="1" si="91"/>
        <v>1.4514034604866595E-2</v>
      </c>
      <c r="S342" s="4">
        <f t="shared" si="92"/>
        <v>2.8333330000000001</v>
      </c>
      <c r="T342">
        <v>2.8676423147592072</v>
      </c>
      <c r="U342">
        <f t="shared" si="93"/>
        <v>3.4309314759207066E-2</v>
      </c>
      <c r="V342" s="2">
        <f t="shared" si="94"/>
        <v>1.2109171339622651E-2</v>
      </c>
      <c r="W342">
        <f>(T342+5/3)/(1/12)</f>
        <v>54.411707777110493</v>
      </c>
      <c r="X342" s="2">
        <f t="shared" si="95"/>
        <v>7.6242180946387616E-3</v>
      </c>
    </row>
    <row r="343" spans="5:24" x14ac:dyDescent="0.25">
      <c r="E343">
        <v>341</v>
      </c>
      <c r="F343">
        <f t="shared" si="80"/>
        <v>54.1</v>
      </c>
      <c r="G343">
        <f t="shared" si="81"/>
        <v>327.25</v>
      </c>
      <c r="H343" s="4">
        <f t="shared" si="82"/>
        <v>2.8416670000000002</v>
      </c>
      <c r="I343" s="4">
        <f t="shared" si="83"/>
        <v>3090.2082999999998</v>
      </c>
      <c r="J343" s="4">
        <f t="shared" si="84"/>
        <v>3.1102083</v>
      </c>
      <c r="K343" s="4">
        <f t="shared" si="85"/>
        <v>1445.311764</v>
      </c>
      <c r="L343">
        <f t="shared" si="86"/>
        <v>1.4453117640000002</v>
      </c>
      <c r="M343">
        <f>$B$12*F343+$B$13</f>
        <v>1.4505936917105831</v>
      </c>
      <c r="N343">
        <f t="shared" si="87"/>
        <v>5.2819277105828899E-3</v>
      </c>
      <c r="O343" s="4">
        <f t="shared" ca="1" si="88"/>
        <v>5.2722651370262383</v>
      </c>
      <c r="P343" s="4">
        <f t="shared" si="89"/>
        <v>5.3500390995347304</v>
      </c>
      <c r="Q343" s="4">
        <f t="shared" ca="1" si="90"/>
        <v>7.7773962508492112E-2</v>
      </c>
      <c r="R343" s="2">
        <f t="shared" ca="1" si="91"/>
        <v>1.4537083012207476E-2</v>
      </c>
      <c r="S343" s="4">
        <f t="shared" si="92"/>
        <v>2.8416670000000002</v>
      </c>
      <c r="T343">
        <v>2.8768644231496951</v>
      </c>
      <c r="U343">
        <f t="shared" si="93"/>
        <v>3.5197423149694984E-2</v>
      </c>
      <c r="V343" s="2">
        <f t="shared" si="94"/>
        <v>1.2386188511776707E-2</v>
      </c>
      <c r="W343">
        <f>(T343+5/3)/(1/12)</f>
        <v>54.522373077796345</v>
      </c>
      <c r="X343" s="2">
        <f t="shared" si="95"/>
        <v>7.8072657633335291E-3</v>
      </c>
    </row>
    <row r="344" spans="5:24" x14ac:dyDescent="0.25">
      <c r="E344">
        <v>342</v>
      </c>
      <c r="F344">
        <f t="shared" si="80"/>
        <v>54.2</v>
      </c>
      <c r="G344">
        <f t="shared" si="81"/>
        <v>327.34999999999997</v>
      </c>
      <c r="H344" s="4">
        <f t="shared" si="82"/>
        <v>2.85</v>
      </c>
      <c r="I344" s="4">
        <f t="shared" si="83"/>
        <v>3078.741125</v>
      </c>
      <c r="J344" s="4">
        <f t="shared" si="84"/>
        <v>3.0987411250000001</v>
      </c>
      <c r="K344" s="4">
        <f t="shared" si="85"/>
        <v>1442.8305829999999</v>
      </c>
      <c r="L344">
        <f t="shared" si="86"/>
        <v>1.4428305829999999</v>
      </c>
      <c r="M344">
        <f>$B$12*F344+$B$13</f>
        <v>1.4482458528876887</v>
      </c>
      <c r="N344">
        <f t="shared" si="87"/>
        <v>5.4152698876888117E-3</v>
      </c>
      <c r="O344" s="4">
        <f t="shared" ca="1" si="88"/>
        <v>5.2632043644314876</v>
      </c>
      <c r="P344" s="4">
        <f t="shared" si="89"/>
        <v>5.3413798660266369</v>
      </c>
      <c r="Q344" s="4">
        <f t="shared" ca="1" si="90"/>
        <v>7.8175501595149299E-2</v>
      </c>
      <c r="R344" s="2">
        <f t="shared" ca="1" si="91"/>
        <v>1.4635825115599341E-2</v>
      </c>
      <c r="S344" s="4">
        <f t="shared" si="92"/>
        <v>2.85</v>
      </c>
      <c r="T344">
        <v>2.8861032803770077</v>
      </c>
      <c r="U344">
        <f t="shared" si="93"/>
        <v>3.6103280377007607E-2</v>
      </c>
      <c r="V344" s="2">
        <f t="shared" si="94"/>
        <v>1.266781767614302E-2</v>
      </c>
      <c r="W344">
        <f>(T344+5/3)/(1/12)</f>
        <v>54.633239364524094</v>
      </c>
      <c r="X344" s="2">
        <f t="shared" si="95"/>
        <v>7.9933462089315736E-3</v>
      </c>
    </row>
    <row r="345" spans="5:24" x14ac:dyDescent="0.25">
      <c r="E345">
        <v>343</v>
      </c>
      <c r="F345">
        <f t="shared" si="80"/>
        <v>54.300000000000004</v>
      </c>
      <c r="G345">
        <f t="shared" si="81"/>
        <v>327.45</v>
      </c>
      <c r="H345" s="4">
        <f t="shared" si="82"/>
        <v>2.858333</v>
      </c>
      <c r="I345" s="4">
        <f t="shared" si="83"/>
        <v>3067.3226679999998</v>
      </c>
      <c r="J345" s="4">
        <f t="shared" si="84"/>
        <v>3.0873226679999997</v>
      </c>
      <c r="K345" s="4">
        <f t="shared" si="85"/>
        <v>1440.350173</v>
      </c>
      <c r="L345">
        <f t="shared" si="86"/>
        <v>1.4403501730000001</v>
      </c>
      <c r="M345">
        <f>$B$12*F345+$B$13</f>
        <v>1.4458980140647941</v>
      </c>
      <c r="N345">
        <f t="shared" si="87"/>
        <v>5.5478410647940013E-3</v>
      </c>
      <c r="O345" s="4">
        <f t="shared" ca="1" si="88"/>
        <v>5.2533856355685131</v>
      </c>
      <c r="P345" s="4">
        <f t="shared" si="89"/>
        <v>5.3327206325185417</v>
      </c>
      <c r="Q345" s="4">
        <f t="shared" ca="1" si="90"/>
        <v>7.9334996950028547E-2</v>
      </c>
      <c r="R345" s="2">
        <f t="shared" ca="1" si="91"/>
        <v>1.4877021021174355E-2</v>
      </c>
      <c r="S345" s="4">
        <f t="shared" si="92"/>
        <v>2.858333</v>
      </c>
      <c r="T345">
        <v>2.8941056177688731</v>
      </c>
      <c r="U345">
        <f t="shared" si="93"/>
        <v>3.5772617768873083E-2</v>
      </c>
      <c r="V345" s="2">
        <f t="shared" si="94"/>
        <v>1.2515203011291226E-2</v>
      </c>
      <c r="W345">
        <f>(T345+5/3)/(1/12)</f>
        <v>54.729267413226481</v>
      </c>
      <c r="X345" s="2">
        <f t="shared" si="95"/>
        <v>7.9054772233236904E-3</v>
      </c>
    </row>
    <row r="346" spans="5:24" x14ac:dyDescent="0.25">
      <c r="E346">
        <v>344</v>
      </c>
      <c r="F346">
        <f t="shared" si="80"/>
        <v>54.4</v>
      </c>
      <c r="G346">
        <f t="shared" si="81"/>
        <v>327.54999999999995</v>
      </c>
      <c r="H346" s="4">
        <f t="shared" si="82"/>
        <v>2.8666670000000001</v>
      </c>
      <c r="I346" s="4">
        <f t="shared" si="83"/>
        <v>3055.9526989999999</v>
      </c>
      <c r="J346" s="4">
        <f t="shared" si="84"/>
        <v>3.0759526990000001</v>
      </c>
      <c r="K346" s="4">
        <f t="shared" si="85"/>
        <v>1437.870551</v>
      </c>
      <c r="L346">
        <f t="shared" si="86"/>
        <v>1.4378705510000001</v>
      </c>
      <c r="M346">
        <f>$B$12*F346+$B$13</f>
        <v>1.4435501752419</v>
      </c>
      <c r="N346">
        <f t="shared" si="87"/>
        <v>5.6796242418999388E-3</v>
      </c>
      <c r="O346" s="4">
        <f t="shared" ca="1" si="88"/>
        <v>5.2443308629737615</v>
      </c>
      <c r="P346" s="4">
        <f t="shared" si="89"/>
        <v>5.3240613990104482</v>
      </c>
      <c r="Q346" s="4">
        <f t="shared" ca="1" si="90"/>
        <v>7.9730536036686672E-2</v>
      </c>
      <c r="R346" s="2">
        <f t="shared" ca="1" si="91"/>
        <v>1.4975510247027901E-2</v>
      </c>
      <c r="S346" s="4">
        <f t="shared" si="92"/>
        <v>2.8666670000000001</v>
      </c>
      <c r="T346">
        <v>2.9033798225755199</v>
      </c>
      <c r="U346">
        <f t="shared" si="93"/>
        <v>3.6712822575519777E-2</v>
      </c>
      <c r="V346" s="2">
        <f t="shared" si="94"/>
        <v>1.2806797083693285E-2</v>
      </c>
      <c r="W346">
        <f>(T346+5/3)/(1/12)</f>
        <v>54.840557870906245</v>
      </c>
      <c r="X346" s="2">
        <f t="shared" si="95"/>
        <v>8.0984902740118894E-3</v>
      </c>
    </row>
    <row r="347" spans="5:24" x14ac:dyDescent="0.25">
      <c r="E347">
        <v>345</v>
      </c>
      <c r="F347">
        <f t="shared" si="80"/>
        <v>54.5</v>
      </c>
      <c r="G347">
        <f t="shared" si="81"/>
        <v>327.64999999999998</v>
      </c>
      <c r="H347" s="4">
        <f t="shared" si="82"/>
        <v>2.875</v>
      </c>
      <c r="I347" s="4">
        <f t="shared" si="83"/>
        <v>3044.630987</v>
      </c>
      <c r="J347" s="4">
        <f t="shared" si="84"/>
        <v>3.0646309870000001</v>
      </c>
      <c r="K347" s="4">
        <f t="shared" si="85"/>
        <v>1435.3917329999999</v>
      </c>
      <c r="L347">
        <f t="shared" si="86"/>
        <v>1.4353917329999999</v>
      </c>
      <c r="M347">
        <f>$B$12*F347+$B$13</f>
        <v>1.4412023364190056</v>
      </c>
      <c r="N347">
        <f t="shared" si="87"/>
        <v>5.8106034190057443E-3</v>
      </c>
      <c r="O347" s="4">
        <f t="shared" ca="1" si="88"/>
        <v>5.2360811370262388</v>
      </c>
      <c r="P347" s="4">
        <f t="shared" si="89"/>
        <v>5.3154021655023538</v>
      </c>
      <c r="Q347" s="4">
        <f t="shared" ca="1" si="90"/>
        <v>7.9321028476114996E-2</v>
      </c>
      <c r="R347" s="2">
        <f t="shared" ca="1" si="91"/>
        <v>1.4922864913386744E-2</v>
      </c>
      <c r="S347" s="4">
        <f t="shared" si="92"/>
        <v>2.875</v>
      </c>
      <c r="T347">
        <v>2.9126704251799169</v>
      </c>
      <c r="U347">
        <f t="shared" si="93"/>
        <v>3.7670425179916922E-2</v>
      </c>
      <c r="V347" s="2">
        <f t="shared" si="94"/>
        <v>1.310275658431893E-2</v>
      </c>
      <c r="W347">
        <f>(T347+5/3)/(1/12)</f>
        <v>54.952045102159005</v>
      </c>
      <c r="X347" s="2">
        <f t="shared" si="95"/>
        <v>8.2944055442019243E-3</v>
      </c>
    </row>
    <row r="348" spans="5:24" x14ac:dyDescent="0.25">
      <c r="E348">
        <v>346</v>
      </c>
      <c r="F348">
        <f t="shared" si="80"/>
        <v>54.6</v>
      </c>
      <c r="G348">
        <f t="shared" si="81"/>
        <v>327.75</v>
      </c>
      <c r="H348" s="4">
        <f t="shared" si="82"/>
        <v>2.8833329999999999</v>
      </c>
      <c r="I348" s="4">
        <f t="shared" si="83"/>
        <v>3033.3573040000001</v>
      </c>
      <c r="J348" s="4">
        <f t="shared" si="84"/>
        <v>3.0533573040000004</v>
      </c>
      <c r="K348" s="4">
        <f t="shared" si="85"/>
        <v>1432.913738</v>
      </c>
      <c r="L348">
        <f t="shared" si="86"/>
        <v>1.4329137380000001</v>
      </c>
      <c r="M348">
        <f>$B$12*F348+$B$13</f>
        <v>1.4388544975961113</v>
      </c>
      <c r="N348">
        <f t="shared" si="87"/>
        <v>5.9407595961111781E-3</v>
      </c>
      <c r="O348" s="4">
        <f t="shared" ca="1" si="88"/>
        <v>5.227031364431487</v>
      </c>
      <c r="P348" s="4">
        <f t="shared" si="89"/>
        <v>5.3067429319942594</v>
      </c>
      <c r="Q348" s="4">
        <f t="shared" ca="1" si="90"/>
        <v>7.9711567562772423E-2</v>
      </c>
      <c r="R348" s="2">
        <f t="shared" ca="1" si="91"/>
        <v>1.5020808165059737E-2</v>
      </c>
      <c r="S348" s="4">
        <f t="shared" si="92"/>
        <v>2.8833329999999999</v>
      </c>
      <c r="T348">
        <v>2.9219773085108547</v>
      </c>
      <c r="U348">
        <f t="shared" si="93"/>
        <v>3.8644308510854763E-2</v>
      </c>
      <c r="V348" s="2">
        <f t="shared" si="94"/>
        <v>1.3402651900024994E-2</v>
      </c>
      <c r="W348">
        <f>(T348+5/3)/(1/12)</f>
        <v>55.063727702130258</v>
      </c>
      <c r="X348" s="2">
        <f t="shared" si="95"/>
        <v>8.4931813576970064E-3</v>
      </c>
    </row>
    <row r="349" spans="5:24" x14ac:dyDescent="0.25">
      <c r="E349">
        <v>347</v>
      </c>
      <c r="F349">
        <f t="shared" si="80"/>
        <v>54.7</v>
      </c>
      <c r="G349">
        <f t="shared" si="81"/>
        <v>327.84999999999997</v>
      </c>
      <c r="H349" s="4">
        <f t="shared" si="82"/>
        <v>2.891667</v>
      </c>
      <c r="I349" s="4">
        <f t="shared" si="83"/>
        <v>3022.131421</v>
      </c>
      <c r="J349" s="4">
        <f t="shared" si="84"/>
        <v>3.0421314210000001</v>
      </c>
      <c r="K349" s="4">
        <f t="shared" si="85"/>
        <v>1430.4365809999999</v>
      </c>
      <c r="L349">
        <f t="shared" si="86"/>
        <v>1.4304365809999999</v>
      </c>
      <c r="M349">
        <f>$B$12*F349+$B$13</f>
        <v>1.4365066587732169</v>
      </c>
      <c r="N349">
        <f t="shared" si="87"/>
        <v>6.0700777732169975E-3</v>
      </c>
      <c r="O349" s="4">
        <f t="shared" ca="1" si="88"/>
        <v>5.2176109999999998</v>
      </c>
      <c r="P349" s="4">
        <f t="shared" si="89"/>
        <v>5.298083698486165</v>
      </c>
      <c r="Q349" s="4">
        <f t="shared" ca="1" si="90"/>
        <v>8.0472698486165228E-2</v>
      </c>
      <c r="R349" s="2">
        <f t="shared" ca="1" si="91"/>
        <v>1.5189019854321837E-2</v>
      </c>
      <c r="S349" s="4">
        <f t="shared" si="92"/>
        <v>2.891667</v>
      </c>
      <c r="T349">
        <v>2.9306781788800538</v>
      </c>
      <c r="U349">
        <f t="shared" si="93"/>
        <v>3.9011178880053787E-2</v>
      </c>
      <c r="V349" s="2">
        <f t="shared" si="94"/>
        <v>1.3490896040261132E-2</v>
      </c>
      <c r="W349">
        <f>(T349+5/3)/(1/12)</f>
        <v>55.168138146560644</v>
      </c>
      <c r="X349" s="2">
        <f t="shared" si="95"/>
        <v>8.5582842150025706E-3</v>
      </c>
    </row>
    <row r="350" spans="5:24" x14ac:dyDescent="0.25">
      <c r="E350">
        <v>348</v>
      </c>
      <c r="F350">
        <f t="shared" si="80"/>
        <v>54.800000000000004</v>
      </c>
      <c r="G350">
        <f t="shared" si="81"/>
        <v>327.95</v>
      </c>
      <c r="H350" s="4">
        <f t="shared" si="82"/>
        <v>2.9</v>
      </c>
      <c r="I350" s="4">
        <f t="shared" si="83"/>
        <v>3010.953113</v>
      </c>
      <c r="J350" s="4">
        <f t="shared" si="84"/>
        <v>3.0309531130000003</v>
      </c>
      <c r="K350" s="4">
        <f t="shared" si="85"/>
        <v>1427.9602789999999</v>
      </c>
      <c r="L350">
        <f t="shared" si="86"/>
        <v>1.4279602789999999</v>
      </c>
      <c r="M350">
        <f>$B$12*F350+$B$13</f>
        <v>1.4341588199503226</v>
      </c>
      <c r="N350">
        <f t="shared" si="87"/>
        <v>6.198540950322684E-3</v>
      </c>
      <c r="O350" s="4">
        <f t="shared" ca="1" si="88"/>
        <v>5.2085780000000002</v>
      </c>
      <c r="P350" s="4">
        <f t="shared" si="89"/>
        <v>5.2894244649780715</v>
      </c>
      <c r="Q350" s="4">
        <f t="shared" ca="1" si="90"/>
        <v>8.0846464978071353E-2</v>
      </c>
      <c r="R350" s="2">
        <f t="shared" ca="1" si="91"/>
        <v>1.5284548538950829E-2</v>
      </c>
      <c r="S350" s="4">
        <f t="shared" si="92"/>
        <v>2.9</v>
      </c>
      <c r="T350">
        <v>2.9400183708569041</v>
      </c>
      <c r="U350">
        <f t="shared" si="93"/>
        <v>4.0018370856904184E-2</v>
      </c>
      <c r="V350" s="2">
        <f t="shared" si="94"/>
        <v>1.3799438226518685E-2</v>
      </c>
      <c r="W350">
        <f>(T350+5/3)/(1/12)</f>
        <v>55.280220450282847</v>
      </c>
      <c r="X350" s="2">
        <f t="shared" si="95"/>
        <v>8.7631469029715893E-3</v>
      </c>
    </row>
    <row r="351" spans="5:24" x14ac:dyDescent="0.25">
      <c r="E351">
        <v>349</v>
      </c>
      <c r="F351">
        <f t="shared" si="80"/>
        <v>54.9</v>
      </c>
      <c r="G351">
        <f t="shared" si="81"/>
        <v>328.04999999999995</v>
      </c>
      <c r="H351" s="4">
        <f t="shared" si="82"/>
        <v>2.9083329999999998</v>
      </c>
      <c r="I351" s="4">
        <f t="shared" si="83"/>
        <v>2999.8221530000001</v>
      </c>
      <c r="J351" s="4">
        <f t="shared" si="84"/>
        <v>3.0198221530000002</v>
      </c>
      <c r="K351" s="4">
        <f t="shared" si="85"/>
        <v>1425.4848480000001</v>
      </c>
      <c r="L351">
        <f t="shared" si="86"/>
        <v>1.4254848480000002</v>
      </c>
      <c r="M351">
        <f>$B$12*F351+$B$13</f>
        <v>1.4318109811274282</v>
      </c>
      <c r="N351">
        <f t="shared" si="87"/>
        <v>6.3261331274280241E-3</v>
      </c>
      <c r="O351" s="4">
        <f t="shared" ca="1" si="88"/>
        <v>5.2003305014577261</v>
      </c>
      <c r="P351" s="4">
        <f t="shared" si="89"/>
        <v>5.2807652314699771</v>
      </c>
      <c r="Q351" s="4">
        <f t="shared" ca="1" si="90"/>
        <v>8.0434730012250988E-2</v>
      </c>
      <c r="R351" s="2">
        <f t="shared" ca="1" si="91"/>
        <v>1.5231642856022369E-2</v>
      </c>
      <c r="S351" s="4">
        <f t="shared" si="92"/>
        <v>2.9083329999999998</v>
      </c>
      <c r="T351">
        <v>2.949374492550306</v>
      </c>
      <c r="U351">
        <f t="shared" si="93"/>
        <v>4.1041492550306202E-2</v>
      </c>
      <c r="V351" s="2">
        <f t="shared" si="94"/>
        <v>1.4111689600298936E-2</v>
      </c>
      <c r="W351">
        <f>(T351+5/3)/(1/12)</f>
        <v>55.392493910603676</v>
      </c>
      <c r="X351" s="2">
        <f t="shared" si="95"/>
        <v>8.970745184037841E-3</v>
      </c>
    </row>
    <row r="352" spans="5:24" x14ac:dyDescent="0.25">
      <c r="E352">
        <v>350</v>
      </c>
      <c r="F352">
        <f t="shared" si="80"/>
        <v>55</v>
      </c>
      <c r="G352">
        <f t="shared" si="81"/>
        <v>328.15</v>
      </c>
      <c r="H352" s="4">
        <f t="shared" si="82"/>
        <v>2.9166669999999999</v>
      </c>
      <c r="I352" s="4">
        <f t="shared" si="83"/>
        <v>2988.7383180000002</v>
      </c>
      <c r="J352" s="4">
        <f t="shared" si="84"/>
        <v>3.0087383180000002</v>
      </c>
      <c r="K352" s="4">
        <f t="shared" si="85"/>
        <v>1423.0103059999999</v>
      </c>
      <c r="L352">
        <f t="shared" si="86"/>
        <v>1.4230103059999999</v>
      </c>
      <c r="M352">
        <f>$B$12*F352+$B$13</f>
        <v>1.4294631423045339</v>
      </c>
      <c r="N352">
        <f t="shared" si="87"/>
        <v>6.4528363045339709E-3</v>
      </c>
      <c r="O352" s="4">
        <f t="shared" ca="1" si="88"/>
        <v>5.1901376355685125</v>
      </c>
      <c r="P352" s="4">
        <f t="shared" si="89"/>
        <v>5.2721059979618827</v>
      </c>
      <c r="Q352" s="4">
        <f t="shared" ca="1" si="90"/>
        <v>8.1968362393370242E-2</v>
      </c>
      <c r="R352" s="2">
        <f t="shared" ca="1" si="91"/>
        <v>1.5547555839176599E-2</v>
      </c>
      <c r="S352" s="4">
        <f t="shared" si="92"/>
        <v>2.9166669999999999</v>
      </c>
      <c r="T352">
        <v>2.9587464269035948</v>
      </c>
      <c r="U352">
        <f t="shared" si="93"/>
        <v>4.2079426903594896E-2</v>
      </c>
      <c r="V352" s="2">
        <f t="shared" si="94"/>
        <v>1.4427230432406202E-2</v>
      </c>
      <c r="W352">
        <f>(T352+5/3)/(1/12)</f>
        <v>55.504957122843145</v>
      </c>
      <c r="X352" s="2">
        <f t="shared" si="95"/>
        <v>9.1810385971480852E-3</v>
      </c>
    </row>
    <row r="353" spans="5:24" x14ac:dyDescent="0.25">
      <c r="E353">
        <v>351</v>
      </c>
      <c r="F353">
        <f t="shared" si="80"/>
        <v>55.1</v>
      </c>
      <c r="G353">
        <f t="shared" si="81"/>
        <v>328.25</v>
      </c>
      <c r="H353" s="4">
        <f t="shared" si="82"/>
        <v>2.9249999999999998</v>
      </c>
      <c r="I353" s="4">
        <f t="shared" si="83"/>
        <v>2977.7013849999998</v>
      </c>
      <c r="J353" s="4">
        <f t="shared" si="84"/>
        <v>2.9977013850000001</v>
      </c>
      <c r="K353" s="4">
        <f t="shared" si="85"/>
        <v>1420.536668</v>
      </c>
      <c r="L353">
        <f t="shared" si="86"/>
        <v>1.420536668</v>
      </c>
      <c r="M353">
        <f>$B$12*F353+$B$13</f>
        <v>1.4271153034816395</v>
      </c>
      <c r="N353">
        <f t="shared" si="87"/>
        <v>6.5786354816395054E-3</v>
      </c>
      <c r="O353" s="4">
        <f t="shared" ca="1" si="88"/>
        <v>5.1814892274052484</v>
      </c>
      <c r="P353" s="4">
        <f t="shared" si="89"/>
        <v>5.2634467644537883</v>
      </c>
      <c r="Q353" s="4">
        <f t="shared" ca="1" si="90"/>
        <v>8.1957537048539919E-2</v>
      </c>
      <c r="R353" s="2">
        <f t="shared" ca="1" si="91"/>
        <v>1.5571077416804656E-2</v>
      </c>
      <c r="S353" s="4">
        <f t="shared" si="92"/>
        <v>2.9249999999999998</v>
      </c>
      <c r="T353">
        <v>2.9681340568600998</v>
      </c>
      <c r="U353">
        <f t="shared" si="93"/>
        <v>4.3134056860099967E-2</v>
      </c>
      <c r="V353" s="2">
        <f t="shared" si="94"/>
        <v>1.4746686106017084E-2</v>
      </c>
      <c r="W353">
        <f>(T353+5/3)/(1/12)</f>
        <v>55.617608682321205</v>
      </c>
      <c r="X353" s="2">
        <f t="shared" si="95"/>
        <v>9.3939869749764641E-3</v>
      </c>
    </row>
    <row r="354" spans="5:24" x14ac:dyDescent="0.25">
      <c r="E354">
        <v>352</v>
      </c>
      <c r="F354">
        <f t="shared" si="80"/>
        <v>55.2</v>
      </c>
      <c r="G354">
        <f t="shared" si="81"/>
        <v>328.34999999999997</v>
      </c>
      <c r="H354" s="4">
        <f t="shared" si="82"/>
        <v>2.9333330000000002</v>
      </c>
      <c r="I354" s="4">
        <f t="shared" si="83"/>
        <v>2966.711131</v>
      </c>
      <c r="J354" s="4">
        <f t="shared" si="84"/>
        <v>2.9867111310000003</v>
      </c>
      <c r="K354" s="4">
        <f t="shared" si="85"/>
        <v>1418.0639510000001</v>
      </c>
      <c r="L354">
        <f t="shared" si="86"/>
        <v>1.4180639510000002</v>
      </c>
      <c r="M354">
        <f>$B$12*F354+$B$13</f>
        <v>1.4247674646587452</v>
      </c>
      <c r="N354">
        <f t="shared" si="87"/>
        <v>6.7035136587449973E-3</v>
      </c>
      <c r="O354" s="4">
        <f t="shared" ca="1" si="88"/>
        <v>5.1716994985422744</v>
      </c>
      <c r="P354" s="4">
        <f t="shared" si="89"/>
        <v>5.254787530945694</v>
      </c>
      <c r="Q354" s="4">
        <f t="shared" ca="1" si="90"/>
        <v>8.3088032403419554E-2</v>
      </c>
      <c r="R354" s="2">
        <f t="shared" ca="1" si="91"/>
        <v>1.5811872870998146E-2</v>
      </c>
      <c r="S354" s="4">
        <f t="shared" si="92"/>
        <v>2.9333330000000002</v>
      </c>
      <c r="T354">
        <v>2.9769205743481537</v>
      </c>
      <c r="U354">
        <f t="shared" si="93"/>
        <v>4.3587574348153524E-2</v>
      </c>
      <c r="V354" s="2">
        <f t="shared" si="94"/>
        <v>1.485940203452984E-2</v>
      </c>
      <c r="W354">
        <f>(T354+5/3)/(1/12)</f>
        <v>55.723046892177848</v>
      </c>
      <c r="X354" s="2">
        <f t="shared" si="95"/>
        <v>9.4754871771348774E-3</v>
      </c>
    </row>
    <row r="355" spans="5:24" x14ac:dyDescent="0.25">
      <c r="E355">
        <v>353</v>
      </c>
      <c r="F355">
        <f t="shared" si="80"/>
        <v>55.300000000000004</v>
      </c>
      <c r="G355">
        <f t="shared" si="81"/>
        <v>328.45</v>
      </c>
      <c r="H355" s="4">
        <f t="shared" si="82"/>
        <v>2.9416669999999998</v>
      </c>
      <c r="I355" s="4">
        <f t="shared" si="83"/>
        <v>2955.7673359999999</v>
      </c>
      <c r="J355" s="4">
        <f t="shared" si="84"/>
        <v>2.9757673360000001</v>
      </c>
      <c r="K355" s="4">
        <f t="shared" si="85"/>
        <v>1415.592171</v>
      </c>
      <c r="L355">
        <f t="shared" si="86"/>
        <v>1.4155921710000001</v>
      </c>
      <c r="M355">
        <f>$B$12*F355+$B$13</f>
        <v>1.4224196258358508</v>
      </c>
      <c r="N355">
        <f t="shared" si="87"/>
        <v>6.827454835850677E-3</v>
      </c>
      <c r="O355" s="4">
        <f t="shared" ca="1" si="88"/>
        <v>5.1638611370262391</v>
      </c>
      <c r="P355" s="4">
        <f t="shared" si="89"/>
        <v>5.2461282974376005</v>
      </c>
      <c r="Q355" s="4">
        <f t="shared" ca="1" si="90"/>
        <v>8.2267160411361395E-2</v>
      </c>
      <c r="R355" s="2">
        <f t="shared" ca="1" si="91"/>
        <v>1.5681499907568723E-2</v>
      </c>
      <c r="S355" s="4">
        <f t="shared" si="92"/>
        <v>2.9416669999999998</v>
      </c>
      <c r="T355">
        <v>2.9863403403616249</v>
      </c>
      <c r="U355">
        <f t="shared" si="93"/>
        <v>4.4673340361625069E-2</v>
      </c>
      <c r="V355" s="2">
        <f t="shared" si="94"/>
        <v>1.518640293467108E-2</v>
      </c>
      <c r="W355">
        <f>(T355+5/3)/(1/12)</f>
        <v>55.836084084339497</v>
      </c>
      <c r="X355" s="2">
        <f t="shared" si="95"/>
        <v>9.6941064075857595E-3</v>
      </c>
    </row>
    <row r="356" spans="5:24" x14ac:dyDescent="0.25">
      <c r="E356">
        <v>354</v>
      </c>
      <c r="F356">
        <f t="shared" si="80"/>
        <v>55.4</v>
      </c>
      <c r="G356">
        <f t="shared" si="81"/>
        <v>328.54999999999995</v>
      </c>
      <c r="H356" s="4">
        <f t="shared" si="82"/>
        <v>2.95</v>
      </c>
      <c r="I356" s="4">
        <f t="shared" si="83"/>
        <v>2944.86978</v>
      </c>
      <c r="J356" s="4">
        <f t="shared" si="84"/>
        <v>2.9648697799999999</v>
      </c>
      <c r="K356" s="4">
        <f t="shared" si="85"/>
        <v>1413.1213459999999</v>
      </c>
      <c r="L356">
        <f t="shared" si="86"/>
        <v>1.4131213459999998</v>
      </c>
      <c r="M356">
        <f>$B$12*F356+$B$13</f>
        <v>1.4200717870129567</v>
      </c>
      <c r="N356">
        <f t="shared" si="87"/>
        <v>6.9504410129568317E-3</v>
      </c>
      <c r="O356" s="4">
        <f t="shared" ca="1" si="88"/>
        <v>5.1540558629737614</v>
      </c>
      <c r="P356" s="4">
        <f t="shared" si="89"/>
        <v>5.237469063929507</v>
      </c>
      <c r="Q356" s="4">
        <f t="shared" ca="1" si="90"/>
        <v>8.3413200955745559E-2</v>
      </c>
      <c r="R356" s="2">
        <f t="shared" ca="1" si="91"/>
        <v>1.5926242224553262E-2</v>
      </c>
      <c r="S356" s="4">
        <f t="shared" si="92"/>
        <v>2.95</v>
      </c>
      <c r="T356">
        <v>2.9951609511797379</v>
      </c>
      <c r="U356">
        <f t="shared" si="93"/>
        <v>4.5160951179737729E-2</v>
      </c>
      <c r="V356" s="2">
        <f t="shared" si="94"/>
        <v>1.5308797010080585E-2</v>
      </c>
      <c r="W356">
        <f>(T356+5/3)/(1/12)</f>
        <v>55.941931414156862</v>
      </c>
      <c r="X356" s="2">
        <f t="shared" si="95"/>
        <v>9.782155490196091E-3</v>
      </c>
    </row>
    <row r="357" spans="5:24" x14ac:dyDescent="0.25">
      <c r="E357">
        <v>355</v>
      </c>
      <c r="F357">
        <f t="shared" si="80"/>
        <v>55.5</v>
      </c>
      <c r="G357">
        <f t="shared" si="81"/>
        <v>328.65</v>
      </c>
      <c r="H357" s="4">
        <f t="shared" si="82"/>
        <v>2.9583330000000001</v>
      </c>
      <c r="I357" s="4">
        <f t="shared" si="83"/>
        <v>2934.0182460000001</v>
      </c>
      <c r="J357" s="4">
        <f t="shared" si="84"/>
        <v>2.954018246</v>
      </c>
      <c r="K357" s="4">
        <f t="shared" si="85"/>
        <v>1410.65149</v>
      </c>
      <c r="L357">
        <f t="shared" si="86"/>
        <v>1.41065149</v>
      </c>
      <c r="M357">
        <f>$B$12*F357+$B$13</f>
        <v>1.4177239481900621</v>
      </c>
      <c r="N357">
        <f t="shared" si="87"/>
        <v>7.0724581900620809E-3</v>
      </c>
      <c r="O357" s="4">
        <f t="shared" ca="1" si="88"/>
        <v>5.1450468629737616</v>
      </c>
      <c r="P357" s="4">
        <f t="shared" si="89"/>
        <v>5.2288098304214117</v>
      </c>
      <c r="Q357" s="4">
        <f t="shared" ca="1" si="90"/>
        <v>8.3762967447650105E-2</v>
      </c>
      <c r="R357" s="2">
        <f t="shared" ca="1" si="91"/>
        <v>1.6019509250520838E-2</v>
      </c>
      <c r="S357" s="4">
        <f t="shared" si="92"/>
        <v>2.9583330000000001</v>
      </c>
      <c r="T357">
        <v>3.0046123833504219</v>
      </c>
      <c r="U357">
        <f t="shared" si="93"/>
        <v>4.627938335042181E-2</v>
      </c>
      <c r="V357" s="2">
        <f t="shared" si="94"/>
        <v>1.5643736979718582E-2</v>
      </c>
      <c r="W357">
        <f>(T357+5/3)/(1/12)</f>
        <v>56.055348600205065</v>
      </c>
      <c r="X357" s="2">
        <f t="shared" si="95"/>
        <v>1.000628108477594E-2</v>
      </c>
    </row>
    <row r="358" spans="5:24" x14ac:dyDescent="0.25">
      <c r="E358">
        <v>356</v>
      </c>
      <c r="F358">
        <f t="shared" si="80"/>
        <v>55.6</v>
      </c>
      <c r="G358">
        <f t="shared" si="81"/>
        <v>328.75</v>
      </c>
      <c r="H358" s="4">
        <f t="shared" si="82"/>
        <v>2.9666670000000002</v>
      </c>
      <c r="I358" s="4">
        <f t="shared" si="83"/>
        <v>2923.2125139999998</v>
      </c>
      <c r="J358" s="4">
        <f t="shared" si="84"/>
        <v>2.9432125139999998</v>
      </c>
      <c r="K358" s="4">
        <f t="shared" si="85"/>
        <v>1408.1826209999999</v>
      </c>
      <c r="L358">
        <f t="shared" si="86"/>
        <v>1.4081826209999999</v>
      </c>
      <c r="M358">
        <f>$B$12*F358+$B$13</f>
        <v>1.4153761093671677</v>
      </c>
      <c r="N358">
        <f t="shared" si="87"/>
        <v>7.1934883671678218E-3</v>
      </c>
      <c r="O358" s="4">
        <f t="shared" ca="1" si="88"/>
        <v>5.1368233644314873</v>
      </c>
      <c r="P358" s="4">
        <f t="shared" si="89"/>
        <v>5.2201505969133173</v>
      </c>
      <c r="Q358" s="4">
        <f t="shared" ca="1" si="90"/>
        <v>8.3327232481829938E-2</v>
      </c>
      <c r="R358" s="2">
        <f t="shared" ca="1" si="91"/>
        <v>1.5962610835614868E-2</v>
      </c>
      <c r="S358" s="4">
        <f t="shared" si="92"/>
        <v>2.9666670000000002</v>
      </c>
      <c r="T358">
        <v>3.0134666157075274</v>
      </c>
      <c r="U358">
        <f t="shared" si="93"/>
        <v>4.679961570752722E-2</v>
      </c>
      <c r="V358" s="2">
        <f t="shared" si="94"/>
        <v>1.5775149589599108E-2</v>
      </c>
      <c r="W358">
        <f>(T358+5/3)/(1/12)</f>
        <v>56.16159938849033</v>
      </c>
      <c r="X358" s="2">
        <f t="shared" si="95"/>
        <v>1.0100708426085053E-2</v>
      </c>
    </row>
    <row r="359" spans="5:24" x14ac:dyDescent="0.25">
      <c r="E359">
        <v>357</v>
      </c>
      <c r="F359">
        <f t="shared" si="80"/>
        <v>55.7</v>
      </c>
      <c r="G359">
        <f t="shared" si="81"/>
        <v>328.84999999999997</v>
      </c>
      <c r="H359" s="4">
        <f t="shared" si="82"/>
        <v>2.9750000000000001</v>
      </c>
      <c r="I359" s="4">
        <f t="shared" si="83"/>
        <v>2912.4523709999999</v>
      </c>
      <c r="J359" s="4">
        <f t="shared" si="84"/>
        <v>2.9324523710000001</v>
      </c>
      <c r="K359" s="4">
        <f t="shared" si="85"/>
        <v>1405.7147540000001</v>
      </c>
      <c r="L359">
        <f t="shared" si="86"/>
        <v>1.4057147540000001</v>
      </c>
      <c r="M359">
        <f>$B$12*F359+$B$13</f>
        <v>1.4130282705442734</v>
      </c>
      <c r="N359">
        <f t="shared" si="87"/>
        <v>7.3135165442732575E-3</v>
      </c>
      <c r="O359" s="4">
        <f t="shared" ca="1" si="88"/>
        <v>5.1278213644314876</v>
      </c>
      <c r="P359" s="4">
        <f t="shared" si="89"/>
        <v>5.2114913634052229</v>
      </c>
      <c r="Q359" s="4">
        <f t="shared" ca="1" si="90"/>
        <v>8.3669998973735282E-2</v>
      </c>
      <c r="R359" s="2">
        <f t="shared" ca="1" si="91"/>
        <v>1.6054905043354949E-2</v>
      </c>
      <c r="S359" s="4">
        <f t="shared" si="92"/>
        <v>2.9750000000000001</v>
      </c>
      <c r="T359">
        <v>3.0229492443684571</v>
      </c>
      <c r="U359">
        <f t="shared" si="93"/>
        <v>4.7949244368457045E-2</v>
      </c>
      <c r="V359" s="2">
        <f t="shared" si="94"/>
        <v>1.6117393065027578E-2</v>
      </c>
      <c r="W359">
        <f>(T359+5/3)/(1/12)</f>
        <v>56.275390932421487</v>
      </c>
      <c r="X359" s="2">
        <f t="shared" si="95"/>
        <v>1.0330178319954839E-2</v>
      </c>
    </row>
    <row r="360" spans="5:24" x14ac:dyDescent="0.25">
      <c r="E360">
        <v>358</v>
      </c>
      <c r="F360">
        <f t="shared" si="80"/>
        <v>55.800000000000004</v>
      </c>
      <c r="G360">
        <f t="shared" si="81"/>
        <v>328.95</v>
      </c>
      <c r="H360" s="4">
        <f t="shared" si="82"/>
        <v>2.983333</v>
      </c>
      <c r="I360" s="4">
        <f t="shared" si="83"/>
        <v>2901.737599</v>
      </c>
      <c r="J360" s="4">
        <f t="shared" si="84"/>
        <v>2.9217375990000001</v>
      </c>
      <c r="K360" s="4">
        <f t="shared" si="85"/>
        <v>1403.2479069999999</v>
      </c>
      <c r="L360">
        <f t="shared" si="86"/>
        <v>1.4032479069999999</v>
      </c>
      <c r="M360">
        <f>$B$12*F360+$B$13</f>
        <v>1.410680431721379</v>
      </c>
      <c r="N360">
        <f t="shared" si="87"/>
        <v>7.432524721379119E-3</v>
      </c>
      <c r="O360" s="4">
        <f t="shared" ca="1" si="88"/>
        <v>5.1188233644314876</v>
      </c>
      <c r="P360" s="4">
        <f t="shared" si="89"/>
        <v>5.2028321298971285</v>
      </c>
      <c r="Q360" s="4">
        <f t="shared" ca="1" si="90"/>
        <v>8.4008765465640955E-2</v>
      </c>
      <c r="R360" s="2">
        <f t="shared" ca="1" si="91"/>
        <v>1.6146737655228172E-2</v>
      </c>
      <c r="S360" s="4">
        <f t="shared" si="92"/>
        <v>2.983333</v>
      </c>
      <c r="T360">
        <v>3.0312265049331972</v>
      </c>
      <c r="U360">
        <f t="shared" si="93"/>
        <v>4.7893504933197217E-2</v>
      </c>
      <c r="V360" s="2">
        <f t="shared" si="94"/>
        <v>1.6053690598132095E-2</v>
      </c>
      <c r="W360">
        <f>(T360+5/3)/(1/12)</f>
        <v>56.374718059198365</v>
      </c>
      <c r="X360" s="2">
        <f t="shared" si="95"/>
        <v>1.0299606795669547E-2</v>
      </c>
    </row>
    <row r="361" spans="5:24" x14ac:dyDescent="0.25">
      <c r="E361">
        <v>359</v>
      </c>
      <c r="F361">
        <f t="shared" si="80"/>
        <v>55.9</v>
      </c>
      <c r="G361">
        <f t="shared" si="81"/>
        <v>329.04999999999995</v>
      </c>
      <c r="H361" s="4">
        <f t="shared" si="82"/>
        <v>2.9916670000000001</v>
      </c>
      <c r="I361" s="4">
        <f t="shared" si="83"/>
        <v>2891.067986</v>
      </c>
      <c r="J361" s="4">
        <f t="shared" si="84"/>
        <v>2.9110679859999999</v>
      </c>
      <c r="K361" s="4">
        <f t="shared" si="85"/>
        <v>1400.7820939999999</v>
      </c>
      <c r="L361">
        <f t="shared" si="86"/>
        <v>1.400782094</v>
      </c>
      <c r="M361">
        <f>$B$12*F361+$B$13</f>
        <v>1.4083325928984849</v>
      </c>
      <c r="N361">
        <f t="shared" si="87"/>
        <v>7.5504988984849142E-3</v>
      </c>
      <c r="O361" s="4">
        <f t="shared" ca="1" si="88"/>
        <v>5.1094439999999999</v>
      </c>
      <c r="P361" s="4">
        <f t="shared" si="89"/>
        <v>5.194172896389035</v>
      </c>
      <c r="Q361" s="4">
        <f t="shared" ca="1" si="90"/>
        <v>8.4728896389035135E-2</v>
      </c>
      <c r="R361" s="2">
        <f t="shared" ca="1" si="91"/>
        <v>1.6312298046131324E-2</v>
      </c>
      <c r="S361" s="4">
        <f t="shared" si="92"/>
        <v>2.9916670000000001</v>
      </c>
      <c r="T361">
        <v>3.0401319253170205</v>
      </c>
      <c r="U361">
        <f t="shared" si="93"/>
        <v>4.8464925317020402E-2</v>
      </c>
      <c r="V361" s="2">
        <f t="shared" si="94"/>
        <v>1.6199973231318995E-2</v>
      </c>
      <c r="W361">
        <f>(T361+5/3)/(1/12)</f>
        <v>56.481583103804248</v>
      </c>
      <c r="X361" s="2">
        <f t="shared" si="95"/>
        <v>1.0403991123510715E-2</v>
      </c>
    </row>
    <row r="362" spans="5:24" x14ac:dyDescent="0.25">
      <c r="E362">
        <v>360</v>
      </c>
      <c r="F362">
        <f t="shared" si="80"/>
        <v>56</v>
      </c>
      <c r="G362">
        <f t="shared" si="81"/>
        <v>329.15</v>
      </c>
      <c r="H362" s="4">
        <f t="shared" si="82"/>
        <v>3</v>
      </c>
      <c r="I362" s="4">
        <f t="shared" si="83"/>
        <v>2880.443319</v>
      </c>
      <c r="J362" s="4">
        <f t="shared" si="84"/>
        <v>2.9004433189999999</v>
      </c>
      <c r="K362" s="4">
        <f t="shared" si="85"/>
        <v>1398.3173320000001</v>
      </c>
      <c r="L362">
        <f t="shared" si="86"/>
        <v>1.3983173320000002</v>
      </c>
      <c r="M362">
        <f>$B$12*F362+$B$13</f>
        <v>1.4059847540755905</v>
      </c>
      <c r="N362">
        <f t="shared" si="87"/>
        <v>7.6674220755903466E-3</v>
      </c>
      <c r="O362" s="4">
        <f t="shared" ca="1" si="88"/>
        <v>5.0996724985422741</v>
      </c>
      <c r="P362" s="4">
        <f t="shared" si="89"/>
        <v>5.1855136628809415</v>
      </c>
      <c r="Q362" s="4">
        <f t="shared" ca="1" si="90"/>
        <v>8.5841164338667397E-2</v>
      </c>
      <c r="R362" s="2">
        <f t="shared" ca="1" si="91"/>
        <v>1.6554033007980969E-2</v>
      </c>
      <c r="S362" s="4">
        <f t="shared" si="92"/>
        <v>3</v>
      </c>
      <c r="T362">
        <v>3.0490541709460341</v>
      </c>
      <c r="U362">
        <f t="shared" si="93"/>
        <v>4.9054170946034148E-2</v>
      </c>
      <c r="V362" s="2">
        <f t="shared" si="94"/>
        <v>1.6351390315344716E-2</v>
      </c>
      <c r="W362">
        <f>(T362+5/3)/(1/12)</f>
        <v>56.588650051352417</v>
      </c>
      <c r="X362" s="2">
        <f t="shared" si="95"/>
        <v>1.0511608059864588E-2</v>
      </c>
    </row>
    <row r="363" spans="5:24" x14ac:dyDescent="0.25">
      <c r="E363">
        <v>361</v>
      </c>
      <c r="F363">
        <f t="shared" si="80"/>
        <v>56.1</v>
      </c>
      <c r="G363">
        <f t="shared" si="81"/>
        <v>329.25</v>
      </c>
      <c r="H363" s="4">
        <f t="shared" si="82"/>
        <v>3.0083329999999999</v>
      </c>
      <c r="I363" s="4">
        <f t="shared" si="83"/>
        <v>2869.863386</v>
      </c>
      <c r="J363" s="4">
        <f t="shared" si="84"/>
        <v>2.889863386</v>
      </c>
      <c r="K363" s="4">
        <f t="shared" si="85"/>
        <v>1395.853638</v>
      </c>
      <c r="L363">
        <f t="shared" si="86"/>
        <v>1.3958536380000002</v>
      </c>
      <c r="M363">
        <f>$B$12*F363+$B$13</f>
        <v>1.4036369152526962</v>
      </c>
      <c r="N363">
        <f t="shared" si="87"/>
        <v>7.7832772526960081E-3</v>
      </c>
      <c r="O363" s="4">
        <f t="shared" ca="1" si="88"/>
        <v>5.0922485014577257</v>
      </c>
      <c r="P363" s="4">
        <f t="shared" si="89"/>
        <v>5.1768544293728471</v>
      </c>
      <c r="Q363" s="4">
        <f t="shared" ca="1" si="90"/>
        <v>8.4605927915121448E-2</v>
      </c>
      <c r="R363" s="2">
        <f t="shared" ca="1" si="91"/>
        <v>1.6343115123167773E-2</v>
      </c>
      <c r="S363" s="4">
        <f t="shared" si="92"/>
        <v>3.0083329999999999</v>
      </c>
      <c r="T363">
        <v>3.0585999651963864</v>
      </c>
      <c r="U363">
        <f t="shared" si="93"/>
        <v>5.0266965196386515E-2</v>
      </c>
      <c r="V363" s="2">
        <f t="shared" si="94"/>
        <v>1.6709242359933728E-2</v>
      </c>
      <c r="W363">
        <f>(T363+5/3)/(1/12)</f>
        <v>56.703199582356639</v>
      </c>
      <c r="X363" s="2">
        <f t="shared" si="95"/>
        <v>1.0752220719369654E-2</v>
      </c>
    </row>
    <row r="364" spans="5:24" x14ac:dyDescent="0.25">
      <c r="E364">
        <v>362</v>
      </c>
      <c r="F364">
        <f t="shared" si="80"/>
        <v>56.2</v>
      </c>
      <c r="G364">
        <f t="shared" si="81"/>
        <v>329.34999999999997</v>
      </c>
      <c r="H364" s="4">
        <f t="shared" si="82"/>
        <v>3.016667</v>
      </c>
      <c r="I364" s="4">
        <f t="shared" si="83"/>
        <v>2859.327976</v>
      </c>
      <c r="J364" s="4">
        <f t="shared" si="84"/>
        <v>2.8793279759999999</v>
      </c>
      <c r="K364" s="4">
        <f t="shared" si="85"/>
        <v>1393.391026</v>
      </c>
      <c r="L364">
        <f t="shared" si="86"/>
        <v>1.393391026</v>
      </c>
      <c r="M364">
        <f>$B$12*F364+$B$13</f>
        <v>1.4012890764298016</v>
      </c>
      <c r="N364">
        <f t="shared" si="87"/>
        <v>7.8980504298016285E-3</v>
      </c>
      <c r="O364" s="4">
        <f t="shared" ca="1" si="88"/>
        <v>5.0824850000000001</v>
      </c>
      <c r="P364" s="4">
        <f t="shared" si="89"/>
        <v>5.1681951958647518</v>
      </c>
      <c r="Q364" s="4">
        <f t="shared" ca="1" si="90"/>
        <v>8.5710195864751704E-2</v>
      </c>
      <c r="R364" s="2">
        <f t="shared" ca="1" si="91"/>
        <v>1.6584163836019843E-2</v>
      </c>
      <c r="S364" s="4">
        <f t="shared" si="92"/>
        <v>3.016667</v>
      </c>
      <c r="T364">
        <v>3.0675544145616653</v>
      </c>
      <c r="U364">
        <f t="shared" si="93"/>
        <v>5.0887414561665345E-2</v>
      </c>
      <c r="V364" s="2">
        <f t="shared" si="94"/>
        <v>1.6868754344336098E-2</v>
      </c>
      <c r="W364">
        <f>(T364+5/3)/(1/12)</f>
        <v>56.810652974739988</v>
      </c>
      <c r="X364" s="2">
        <f t="shared" si="95"/>
        <v>1.0865711294305778E-2</v>
      </c>
    </row>
    <row r="365" spans="5:24" x14ac:dyDescent="0.25">
      <c r="E365">
        <v>363</v>
      </c>
      <c r="F365">
        <f t="shared" si="80"/>
        <v>56.300000000000004</v>
      </c>
      <c r="G365">
        <f t="shared" si="81"/>
        <v>329.45</v>
      </c>
      <c r="H365" s="4">
        <f t="shared" si="82"/>
        <v>3.0249999999999999</v>
      </c>
      <c r="I365" s="4">
        <f t="shared" si="83"/>
        <v>2848.836879</v>
      </c>
      <c r="J365" s="4">
        <f t="shared" si="84"/>
        <v>2.8688368789999998</v>
      </c>
      <c r="K365" s="4">
        <f t="shared" si="85"/>
        <v>1390.9295139999999</v>
      </c>
      <c r="L365">
        <f t="shared" si="86"/>
        <v>1.390929514</v>
      </c>
      <c r="M365">
        <f>$B$12*F365+$B$13</f>
        <v>1.3989412376069073</v>
      </c>
      <c r="N365">
        <f t="shared" si="87"/>
        <v>8.0117236069072728E-3</v>
      </c>
      <c r="O365" s="4">
        <f t="shared" ca="1" si="88"/>
        <v>5.0731098629737614</v>
      </c>
      <c r="P365" s="4">
        <f t="shared" si="89"/>
        <v>5.1595359623566575</v>
      </c>
      <c r="Q365" s="4">
        <f t="shared" ca="1" si="90"/>
        <v>8.6426099382896027E-2</v>
      </c>
      <c r="R365" s="2">
        <f t="shared" ca="1" si="91"/>
        <v>1.6750750457686557E-2</v>
      </c>
      <c r="S365" s="4">
        <f t="shared" si="92"/>
        <v>3.0249999999999999</v>
      </c>
      <c r="T365">
        <v>3.0771299945846016</v>
      </c>
      <c r="U365">
        <f t="shared" si="93"/>
        <v>5.2129994584601658E-2</v>
      </c>
      <c r="V365" s="2">
        <f t="shared" si="94"/>
        <v>1.7233056061025341E-2</v>
      </c>
      <c r="W365">
        <f>(T365+5/3)/(1/12)</f>
        <v>56.925559935015222</v>
      </c>
      <c r="X365" s="2">
        <f t="shared" si="95"/>
        <v>1.1111188899026963E-2</v>
      </c>
    </row>
    <row r="366" spans="5:24" x14ac:dyDescent="0.25">
      <c r="E366">
        <v>364</v>
      </c>
      <c r="F366">
        <f t="shared" si="80"/>
        <v>56.4</v>
      </c>
      <c r="G366">
        <f t="shared" si="81"/>
        <v>329.54999999999995</v>
      </c>
      <c r="H366" s="4">
        <f t="shared" si="82"/>
        <v>3.0333329999999998</v>
      </c>
      <c r="I366" s="4">
        <f t="shared" si="83"/>
        <v>2838.3898880000002</v>
      </c>
      <c r="J366" s="4">
        <f t="shared" si="84"/>
        <v>2.858389888</v>
      </c>
      <c r="K366" s="4">
        <f t="shared" si="85"/>
        <v>1388.4691170000001</v>
      </c>
      <c r="L366">
        <f t="shared" si="86"/>
        <v>1.3884691170000001</v>
      </c>
      <c r="M366">
        <f>$B$12*F366+$B$13</f>
        <v>1.3965933987840131</v>
      </c>
      <c r="N366">
        <f t="shared" si="87"/>
        <v>8.1242817840130321E-3</v>
      </c>
      <c r="O366" s="4">
        <f t="shared" ca="1" si="88"/>
        <v>5.0641466355685125</v>
      </c>
      <c r="P366" s="4">
        <f t="shared" si="89"/>
        <v>5.150876728848564</v>
      </c>
      <c r="Q366" s="4">
        <f t="shared" ca="1" si="90"/>
        <v>8.6730093280051435E-2</v>
      </c>
      <c r="R366" s="2">
        <f t="shared" ca="1" si="91"/>
        <v>1.6837928346120454E-2</v>
      </c>
      <c r="S366" s="4">
        <f t="shared" si="92"/>
        <v>3.0333329999999998</v>
      </c>
      <c r="T366">
        <v>3.086116176142423</v>
      </c>
      <c r="U366">
        <f t="shared" si="93"/>
        <v>5.2783176142423116E-2</v>
      </c>
      <c r="V366" s="2">
        <f t="shared" si="94"/>
        <v>1.7401048992122897E-2</v>
      </c>
      <c r="W366">
        <f>(T366+5/3)/(1/12)</f>
        <v>57.033394113709079</v>
      </c>
      <c r="X366" s="2">
        <f t="shared" si="95"/>
        <v>1.1230392087040433E-2</v>
      </c>
    </row>
    <row r="367" spans="5:24" x14ac:dyDescent="0.25">
      <c r="E367">
        <v>365</v>
      </c>
      <c r="F367">
        <f t="shared" si="80"/>
        <v>56.5</v>
      </c>
      <c r="G367">
        <f t="shared" si="81"/>
        <v>329.65</v>
      </c>
      <c r="H367" s="4">
        <f t="shared" si="82"/>
        <v>3.0416669999999999</v>
      </c>
      <c r="I367" s="4">
        <f t="shared" si="83"/>
        <v>2827.9867949999998</v>
      </c>
      <c r="J367" s="4">
        <f t="shared" si="84"/>
        <v>2.8479867949999997</v>
      </c>
      <c r="K367" s="4">
        <f t="shared" si="85"/>
        <v>1386.0098499999999</v>
      </c>
      <c r="L367">
        <f t="shared" si="86"/>
        <v>1.38600985</v>
      </c>
      <c r="M367">
        <f>$B$12*F367+$B$13</f>
        <v>1.3942455599611188</v>
      </c>
      <c r="N367">
        <f t="shared" si="87"/>
        <v>8.2357099611187756E-3</v>
      </c>
      <c r="O367" s="4">
        <f t="shared" ca="1" si="88"/>
        <v>5.0555717725947513</v>
      </c>
      <c r="P367" s="4">
        <f t="shared" si="89"/>
        <v>5.1422174953404705</v>
      </c>
      <c r="Q367" s="4">
        <f t="shared" ca="1" si="90"/>
        <v>8.6645722745719134E-2</v>
      </c>
      <c r="R367" s="2">
        <f t="shared" ca="1" si="91"/>
        <v>1.6849875141265732E-2</v>
      </c>
      <c r="S367" s="4">
        <f t="shared" si="92"/>
        <v>3.0416669999999999</v>
      </c>
      <c r="T367">
        <v>3.095118591624483</v>
      </c>
      <c r="U367">
        <f t="shared" si="93"/>
        <v>5.3451591624483097E-2</v>
      </c>
      <c r="V367" s="2">
        <f t="shared" si="94"/>
        <v>1.7573124087706872E-2</v>
      </c>
      <c r="W367">
        <f>(T367+5/3)/(1/12)</f>
        <v>57.141423099493799</v>
      </c>
      <c r="X367" s="2">
        <f t="shared" si="95"/>
        <v>1.1352621229978752E-2</v>
      </c>
    </row>
    <row r="368" spans="5:24" x14ac:dyDescent="0.25">
      <c r="E368">
        <v>366</v>
      </c>
      <c r="F368">
        <f t="shared" si="80"/>
        <v>56.6</v>
      </c>
      <c r="G368">
        <f t="shared" si="81"/>
        <v>329.75</v>
      </c>
      <c r="H368" s="4">
        <f t="shared" si="82"/>
        <v>3.05</v>
      </c>
      <c r="I368" s="4">
        <f t="shared" si="83"/>
        <v>2817.6273940000001</v>
      </c>
      <c r="J368" s="4">
        <f t="shared" si="84"/>
        <v>2.8376273940000001</v>
      </c>
      <c r="K368" s="4">
        <f t="shared" si="85"/>
        <v>1383.5517299999999</v>
      </c>
      <c r="L368">
        <f t="shared" si="86"/>
        <v>1.38355173</v>
      </c>
      <c r="M368">
        <f>$B$12*F368+$B$13</f>
        <v>1.3918977211382244</v>
      </c>
      <c r="N368">
        <f t="shared" si="87"/>
        <v>8.345991138224429E-3</v>
      </c>
      <c r="O368" s="4">
        <f t="shared" ca="1" si="88"/>
        <v>5.0469911370262386</v>
      </c>
      <c r="P368" s="4">
        <f t="shared" si="89"/>
        <v>5.1335582618323761</v>
      </c>
      <c r="Q368" s="4">
        <f t="shared" ca="1" si="90"/>
        <v>8.6567124806137485E-2</v>
      </c>
      <c r="R368" s="2">
        <f t="shared" ca="1" si="91"/>
        <v>1.6862986722047672E-2</v>
      </c>
      <c r="S368" s="4">
        <f t="shared" si="92"/>
        <v>3.05</v>
      </c>
      <c r="T368">
        <v>3.1041371235231008</v>
      </c>
      <c r="U368">
        <f t="shared" si="93"/>
        <v>5.4137123523100961E-2</v>
      </c>
      <c r="V368" s="2">
        <f t="shared" si="94"/>
        <v>1.7749876564951136E-2</v>
      </c>
      <c r="W368">
        <f>(T368+5/3)/(1/12)</f>
        <v>57.249645482277217</v>
      </c>
      <c r="X368" s="2">
        <f t="shared" si="95"/>
        <v>1.1477835375922528E-2</v>
      </c>
    </row>
    <row r="369" spans="5:24" x14ac:dyDescent="0.25">
      <c r="E369">
        <v>367</v>
      </c>
      <c r="F369">
        <f t="shared" si="80"/>
        <v>56.7</v>
      </c>
      <c r="G369">
        <f t="shared" si="81"/>
        <v>329.84999999999997</v>
      </c>
      <c r="H369" s="4">
        <f t="shared" si="82"/>
        <v>3.0583330000000002</v>
      </c>
      <c r="I369" s="4">
        <f t="shared" si="83"/>
        <v>2807.311479</v>
      </c>
      <c r="J369" s="4">
        <f t="shared" si="84"/>
        <v>2.827311479</v>
      </c>
      <c r="K369" s="4">
        <f t="shared" si="85"/>
        <v>1381.094773</v>
      </c>
      <c r="L369">
        <f t="shared" si="86"/>
        <v>1.3810947730000001</v>
      </c>
      <c r="M369">
        <f>$B$12*F369+$B$13</f>
        <v>1.3895498823153301</v>
      </c>
      <c r="N369">
        <f t="shared" si="87"/>
        <v>8.4551093153300005E-3</v>
      </c>
      <c r="O369" s="4">
        <f t="shared" ca="1" si="88"/>
        <v>5.0368514985422737</v>
      </c>
      <c r="P369" s="4">
        <f t="shared" si="89"/>
        <v>5.1248990283242817</v>
      </c>
      <c r="Q369" s="4">
        <f t="shared" ca="1" si="90"/>
        <v>8.8047529782008027E-2</v>
      </c>
      <c r="R369" s="2">
        <f t="shared" ca="1" si="91"/>
        <v>1.7180344294665539E-2</v>
      </c>
      <c r="S369" s="4">
        <f t="shared" si="92"/>
        <v>3.0583330000000002</v>
      </c>
      <c r="T369">
        <v>3.1131716527302911</v>
      </c>
      <c r="U369">
        <f t="shared" si="93"/>
        <v>5.4838652730290871E-2</v>
      </c>
      <c r="V369" s="2">
        <f t="shared" si="94"/>
        <v>1.7930896580029339E-2</v>
      </c>
      <c r="W369">
        <f>(T369+5/3)/(1/12)</f>
        <v>57.358059832763495</v>
      </c>
      <c r="X369" s="2">
        <f t="shared" si="95"/>
        <v>1.1605993523165638E-2</v>
      </c>
    </row>
    <row r="370" spans="5:24" x14ac:dyDescent="0.25">
      <c r="E370">
        <v>368</v>
      </c>
      <c r="F370">
        <f t="shared" si="80"/>
        <v>56.800000000000004</v>
      </c>
      <c r="G370">
        <f t="shared" si="81"/>
        <v>329.95</v>
      </c>
      <c r="H370" s="4">
        <f t="shared" si="82"/>
        <v>3.0666669999999998</v>
      </c>
      <c r="I370" s="4">
        <f t="shared" si="83"/>
        <v>2797.0388459999999</v>
      </c>
      <c r="J370" s="4">
        <f t="shared" si="84"/>
        <v>2.817038846</v>
      </c>
      <c r="K370" s="4">
        <f t="shared" si="85"/>
        <v>1378.6389939999999</v>
      </c>
      <c r="L370">
        <f t="shared" si="86"/>
        <v>1.3786389939999999</v>
      </c>
      <c r="M370">
        <f>$B$12*F370+$B$13</f>
        <v>1.3872020434924357</v>
      </c>
      <c r="N370">
        <f t="shared" si="87"/>
        <v>8.5630494924358036E-3</v>
      </c>
      <c r="O370" s="4">
        <f t="shared" ca="1" si="88"/>
        <v>5.0294575014577259</v>
      </c>
      <c r="P370" s="4">
        <f t="shared" si="89"/>
        <v>5.1162397948161873</v>
      </c>
      <c r="Q370" s="4">
        <f t="shared" ca="1" si="90"/>
        <v>8.6782293358461438E-2</v>
      </c>
      <c r="R370" s="2">
        <f t="shared" ca="1" si="91"/>
        <v>1.6962123911078191E-2</v>
      </c>
      <c r="S370" s="4">
        <f t="shared" si="92"/>
        <v>3.0666669999999998</v>
      </c>
      <c r="T370">
        <v>3.1222220609236615</v>
      </c>
      <c r="U370">
        <f t="shared" si="93"/>
        <v>5.5555060923661692E-2</v>
      </c>
      <c r="V370" s="2">
        <f t="shared" si="94"/>
        <v>1.8115778766870254E-2</v>
      </c>
      <c r="W370">
        <f>(T370+5/3)/(1/12)</f>
        <v>57.466664731083945</v>
      </c>
      <c r="X370" s="2">
        <f t="shared" si="95"/>
        <v>1.1737055124717267E-2</v>
      </c>
    </row>
    <row r="371" spans="5:24" x14ac:dyDescent="0.25">
      <c r="E371">
        <v>369</v>
      </c>
      <c r="F371">
        <f t="shared" si="80"/>
        <v>56.9</v>
      </c>
      <c r="G371">
        <f t="shared" si="81"/>
        <v>330.04999999999995</v>
      </c>
      <c r="H371" s="4">
        <f t="shared" si="82"/>
        <v>3.0750000000000002</v>
      </c>
      <c r="I371" s="4">
        <f t="shared" si="83"/>
        <v>2786.8092919999999</v>
      </c>
      <c r="J371" s="4">
        <f t="shared" si="84"/>
        <v>2.8068092920000001</v>
      </c>
      <c r="K371" s="4">
        <f t="shared" si="85"/>
        <v>1376.184409</v>
      </c>
      <c r="L371">
        <f t="shared" si="86"/>
        <v>1.3761844089999999</v>
      </c>
      <c r="M371">
        <f>$B$12*F371+$B$13</f>
        <v>1.3848542046695413</v>
      </c>
      <c r="N371">
        <f t="shared" si="87"/>
        <v>8.6697956695414025E-3</v>
      </c>
      <c r="O371" s="4">
        <f t="shared" ca="1" si="88"/>
        <v>5.0201181370262384</v>
      </c>
      <c r="P371" s="4">
        <f t="shared" si="89"/>
        <v>5.1075805613080929</v>
      </c>
      <c r="Q371" s="4">
        <f t="shared" ca="1" si="90"/>
        <v>8.7462424281854467E-2</v>
      </c>
      <c r="R371" s="2">
        <f t="shared" ca="1" si="91"/>
        <v>1.7124042045350455E-2</v>
      </c>
      <c r="S371" s="4">
        <f t="shared" si="92"/>
        <v>3.0750000000000002</v>
      </c>
      <c r="T371">
        <v>3.1312882301590785</v>
      </c>
      <c r="U371">
        <f t="shared" si="93"/>
        <v>5.6288230159078356E-2</v>
      </c>
      <c r="V371" s="2">
        <f t="shared" si="94"/>
        <v>1.8305115498887269E-2</v>
      </c>
      <c r="W371">
        <f>(T371+5/3)/(1/12)</f>
        <v>57.575458761908941</v>
      </c>
      <c r="X371" s="2">
        <f t="shared" si="95"/>
        <v>1.1870979998399684E-2</v>
      </c>
    </row>
    <row r="372" spans="5:24" x14ac:dyDescent="0.25">
      <c r="E372">
        <v>370</v>
      </c>
      <c r="F372">
        <f t="shared" si="80"/>
        <v>57</v>
      </c>
      <c r="G372">
        <f t="shared" si="81"/>
        <v>330.15</v>
      </c>
      <c r="H372" s="4">
        <f t="shared" si="82"/>
        <v>3.0833330000000001</v>
      </c>
      <c r="I372" s="4">
        <f t="shared" si="83"/>
        <v>2776.6226160000001</v>
      </c>
      <c r="J372" s="4">
        <f t="shared" si="84"/>
        <v>2.7966226160000001</v>
      </c>
      <c r="K372" s="4">
        <f t="shared" si="85"/>
        <v>1373.731033</v>
      </c>
      <c r="L372">
        <f t="shared" si="86"/>
        <v>1.3737310330000001</v>
      </c>
      <c r="M372">
        <f>$B$12*F372+$B$13</f>
        <v>1.382506365846647</v>
      </c>
      <c r="N372">
        <f t="shared" si="87"/>
        <v>8.7753328466468883E-3</v>
      </c>
      <c r="O372" s="4">
        <f t="shared" ca="1" si="88"/>
        <v>5.0103886355685123</v>
      </c>
      <c r="P372" s="4">
        <f t="shared" si="89"/>
        <v>5.0989213277999985</v>
      </c>
      <c r="Q372" s="4">
        <f t="shared" ca="1" si="90"/>
        <v>8.8532692231486187E-2</v>
      </c>
      <c r="R372" s="2">
        <f t="shared" ca="1" si="91"/>
        <v>1.7363023773046694E-2</v>
      </c>
      <c r="S372" s="4">
        <f t="shared" si="92"/>
        <v>3.0833330000000001</v>
      </c>
      <c r="T372">
        <v>3.1403700417868272</v>
      </c>
      <c r="U372">
        <f t="shared" si="93"/>
        <v>5.7037041786827114E-2</v>
      </c>
      <c r="V372" s="2">
        <f t="shared" si="94"/>
        <v>1.8498502038809015E-2</v>
      </c>
      <c r="W372">
        <f>(T372+5/3)/(1/12)</f>
        <v>57.684440501441934</v>
      </c>
      <c r="X372" s="2">
        <f t="shared" si="95"/>
        <v>1.2007728095472521E-2</v>
      </c>
    </row>
    <row r="373" spans="5:24" x14ac:dyDescent="0.25">
      <c r="E373">
        <v>371</v>
      </c>
      <c r="F373">
        <f t="shared" si="80"/>
        <v>57.1</v>
      </c>
      <c r="G373">
        <f t="shared" si="81"/>
        <v>330.25</v>
      </c>
      <c r="H373" s="4">
        <f t="shared" si="82"/>
        <v>3.0916670000000002</v>
      </c>
      <c r="I373" s="4">
        <f t="shared" si="83"/>
        <v>2766.478615</v>
      </c>
      <c r="J373" s="4">
        <f t="shared" si="84"/>
        <v>2.786478615</v>
      </c>
      <c r="K373" s="4">
        <f t="shared" si="85"/>
        <v>1371.2788820000001</v>
      </c>
      <c r="L373">
        <f t="shared" si="86"/>
        <v>1.3712788820000001</v>
      </c>
      <c r="M373">
        <f>$B$12*F373+$B$13</f>
        <v>1.3801585270237526</v>
      </c>
      <c r="N373">
        <f t="shared" si="87"/>
        <v>8.8796450237524915E-3</v>
      </c>
      <c r="O373" s="4">
        <f t="shared" ca="1" si="88"/>
        <v>5.0010474985422739</v>
      </c>
      <c r="P373" s="4">
        <f t="shared" si="89"/>
        <v>5.090262094291905</v>
      </c>
      <c r="Q373" s="4">
        <f t="shared" ca="1" si="90"/>
        <v>8.9214595749631087E-2</v>
      </c>
      <c r="R373" s="2">
        <f t="shared" ca="1" si="91"/>
        <v>1.7526523015322561E-2</v>
      </c>
      <c r="S373" s="4">
        <f t="shared" si="92"/>
        <v>3.0916670000000002</v>
      </c>
      <c r="T373">
        <v>3.1494673778482438</v>
      </c>
      <c r="U373">
        <f t="shared" si="93"/>
        <v>5.7800377848243656E-2</v>
      </c>
      <c r="V373" s="2">
        <f t="shared" si="94"/>
        <v>1.8695537989131317E-2</v>
      </c>
      <c r="W373">
        <f>(T373+5/3)/(1/12)</f>
        <v>57.793608534178929</v>
      </c>
      <c r="X373" s="2">
        <f t="shared" si="95"/>
        <v>1.2147259792975972E-2</v>
      </c>
    </row>
    <row r="374" spans="5:24" x14ac:dyDescent="0.25">
      <c r="E374">
        <v>372</v>
      </c>
      <c r="F374">
        <f t="shared" si="80"/>
        <v>57.2</v>
      </c>
      <c r="G374">
        <f t="shared" si="81"/>
        <v>330.34999999999997</v>
      </c>
      <c r="H374" s="4">
        <f t="shared" si="82"/>
        <v>3.1</v>
      </c>
      <c r="I374" s="4">
        <f t="shared" si="83"/>
        <v>2756.3770909999998</v>
      </c>
      <c r="J374" s="4">
        <f t="shared" si="84"/>
        <v>2.7763770910000001</v>
      </c>
      <c r="K374" s="4">
        <f t="shared" si="85"/>
        <v>1368.827972</v>
      </c>
      <c r="L374">
        <f t="shared" si="86"/>
        <v>1.3688279720000001</v>
      </c>
      <c r="M374">
        <f>$B$12*F374+$B$13</f>
        <v>1.3778106882008583</v>
      </c>
      <c r="N374">
        <f t="shared" si="87"/>
        <v>8.9827162008582206E-3</v>
      </c>
      <c r="O374" s="4">
        <f t="shared" ca="1" si="88"/>
        <v>4.9928889999999999</v>
      </c>
      <c r="P374" s="4">
        <f t="shared" si="89"/>
        <v>5.0816028607838106</v>
      </c>
      <c r="Q374" s="4">
        <f t="shared" ca="1" si="90"/>
        <v>8.8713860783810716E-2</v>
      </c>
      <c r="R374" s="2">
        <f t="shared" ca="1" si="91"/>
        <v>1.7457850055233766E-2</v>
      </c>
      <c r="S374" s="4">
        <f t="shared" si="92"/>
        <v>3.1</v>
      </c>
      <c r="T374">
        <v>3.1585801199991042</v>
      </c>
      <c r="U374">
        <f t="shared" si="93"/>
        <v>5.8580119999104063E-2</v>
      </c>
      <c r="V374" s="2">
        <f t="shared" si="94"/>
        <v>1.8896812902936794E-2</v>
      </c>
      <c r="W374">
        <f>(T374+5/3)/(1/12)</f>
        <v>57.902961439989248</v>
      </c>
      <c r="X374" s="2">
        <f t="shared" si="95"/>
        <v>1.2289535664147642E-2</v>
      </c>
    </row>
    <row r="375" spans="5:24" x14ac:dyDescent="0.25">
      <c r="E375">
        <v>373</v>
      </c>
      <c r="F375">
        <f t="shared" si="80"/>
        <v>57.300000000000004</v>
      </c>
      <c r="G375">
        <f t="shared" si="81"/>
        <v>330.45</v>
      </c>
      <c r="H375" s="4">
        <f t="shared" si="82"/>
        <v>3.108333</v>
      </c>
      <c r="I375" s="4">
        <f t="shared" si="83"/>
        <v>2746.3178429999998</v>
      </c>
      <c r="J375" s="4">
        <f t="shared" si="84"/>
        <v>2.7663178429999999</v>
      </c>
      <c r="K375" s="4">
        <f t="shared" si="85"/>
        <v>1366.3783169999999</v>
      </c>
      <c r="L375">
        <f t="shared" si="86"/>
        <v>1.3663783169999999</v>
      </c>
      <c r="M375">
        <f>$B$12*F375+$B$13</f>
        <v>1.3754628493779639</v>
      </c>
      <c r="N375">
        <f t="shared" si="87"/>
        <v>9.0845323779640275E-3</v>
      </c>
      <c r="O375" s="4">
        <f t="shared" ca="1" si="88"/>
        <v>4.9839432274052484</v>
      </c>
      <c r="P375" s="4">
        <f t="shared" si="89"/>
        <v>5.0729436272757162</v>
      </c>
      <c r="Q375" s="4">
        <f t="shared" ca="1" si="90"/>
        <v>8.9000399870467817E-2</v>
      </c>
      <c r="R375" s="2">
        <f t="shared" ca="1" si="91"/>
        <v>1.7544133428161711E-2</v>
      </c>
      <c r="S375" s="4">
        <f t="shared" si="92"/>
        <v>3.108333</v>
      </c>
      <c r="T375">
        <v>3.1671143680316654</v>
      </c>
      <c r="U375">
        <f t="shared" si="93"/>
        <v>5.8781368031665338E-2</v>
      </c>
      <c r="V375" s="2">
        <f t="shared" si="94"/>
        <v>1.8910897909479241E-2</v>
      </c>
      <c r="W375">
        <f>(T375+5/3)/(1/12)</f>
        <v>58.005372416379991</v>
      </c>
      <c r="X375" s="2">
        <f t="shared" si="95"/>
        <v>1.2310164334729267E-2</v>
      </c>
    </row>
    <row r="376" spans="5:24" x14ac:dyDescent="0.25">
      <c r="E376">
        <v>374</v>
      </c>
      <c r="F376">
        <f t="shared" si="80"/>
        <v>57.4</v>
      </c>
      <c r="G376">
        <f t="shared" si="81"/>
        <v>330.54999999999995</v>
      </c>
      <c r="H376" s="4">
        <f t="shared" si="82"/>
        <v>3.1166670000000001</v>
      </c>
      <c r="I376" s="4">
        <f t="shared" si="83"/>
        <v>2736.300675</v>
      </c>
      <c r="J376" s="4">
        <f t="shared" si="84"/>
        <v>2.7563006749999999</v>
      </c>
      <c r="K376" s="4">
        <f t="shared" si="85"/>
        <v>1363.9299349999999</v>
      </c>
      <c r="L376">
        <f t="shared" si="86"/>
        <v>1.3639299349999998</v>
      </c>
      <c r="M376">
        <f>$B$12*F376+$B$13</f>
        <v>1.3731150105550696</v>
      </c>
      <c r="N376">
        <f t="shared" si="87"/>
        <v>9.1850755550697549E-3</v>
      </c>
      <c r="O376" s="4">
        <f t="shared" ca="1" si="88"/>
        <v>4.9754083644314875</v>
      </c>
      <c r="P376" s="4">
        <f t="shared" si="89"/>
        <v>5.0642843937676219</v>
      </c>
      <c r="Q376" s="4">
        <f t="shared" ca="1" si="90"/>
        <v>8.8876029336134366E-2</v>
      </c>
      <c r="R376" s="2">
        <f t="shared" ca="1" si="91"/>
        <v>1.7549573133276233E-2</v>
      </c>
      <c r="S376" s="4">
        <f t="shared" si="92"/>
        <v>3.1166670000000001</v>
      </c>
      <c r="T376">
        <v>3.1762586520452247</v>
      </c>
      <c r="U376">
        <f t="shared" si="93"/>
        <v>5.9591652045224652E-2</v>
      </c>
      <c r="V376" s="2">
        <f t="shared" si="94"/>
        <v>1.912031411928982E-2</v>
      </c>
      <c r="W376">
        <f>(T376+5/3)/(1/12)</f>
        <v>58.1151038245427</v>
      </c>
      <c r="X376" s="2">
        <f t="shared" si="95"/>
        <v>1.2458254782973898E-2</v>
      </c>
    </row>
    <row r="377" spans="5:24" x14ac:dyDescent="0.25">
      <c r="E377">
        <v>375</v>
      </c>
      <c r="F377">
        <f t="shared" si="80"/>
        <v>57.5</v>
      </c>
      <c r="G377">
        <f t="shared" si="81"/>
        <v>330.65</v>
      </c>
      <c r="H377" s="4">
        <f t="shared" si="82"/>
        <v>3.125</v>
      </c>
      <c r="I377" s="4">
        <f t="shared" si="83"/>
        <v>2726.3253890000001</v>
      </c>
      <c r="J377" s="4">
        <f t="shared" si="84"/>
        <v>2.7463253890000003</v>
      </c>
      <c r="K377" s="4">
        <f t="shared" si="85"/>
        <v>1361.482839</v>
      </c>
      <c r="L377">
        <f t="shared" si="86"/>
        <v>1.361482839</v>
      </c>
      <c r="M377">
        <f>$B$12*F377+$B$13</f>
        <v>1.3707671717321752</v>
      </c>
      <c r="N377">
        <f t="shared" si="87"/>
        <v>9.2843327321752156E-3</v>
      </c>
      <c r="O377" s="4">
        <f t="shared" ca="1" si="88"/>
        <v>4.9660872274052483</v>
      </c>
      <c r="P377" s="4">
        <f t="shared" si="89"/>
        <v>5.0556251602595275</v>
      </c>
      <c r="Q377" s="4">
        <f t="shared" ca="1" si="90"/>
        <v>8.9537932854279134E-2</v>
      </c>
      <c r="R377" s="2">
        <f t="shared" ca="1" si="91"/>
        <v>1.7710556066953896E-2</v>
      </c>
      <c r="S377" s="4">
        <f t="shared" si="92"/>
        <v>3.125</v>
      </c>
      <c r="T377">
        <v>3.1848263744812395</v>
      </c>
      <c r="U377">
        <f t="shared" si="93"/>
        <v>5.9826374481239508E-2</v>
      </c>
      <c r="V377" s="2">
        <f t="shared" si="94"/>
        <v>1.9144439833996642E-2</v>
      </c>
      <c r="W377">
        <f>(T377+5/3)/(1/12)</f>
        <v>58.217916493774872</v>
      </c>
      <c r="X377" s="2">
        <f t="shared" si="95"/>
        <v>1.2485504239562998E-2</v>
      </c>
    </row>
    <row r="378" spans="5:24" x14ac:dyDescent="0.25">
      <c r="E378">
        <v>376</v>
      </c>
      <c r="F378">
        <f t="shared" si="80"/>
        <v>57.6</v>
      </c>
      <c r="G378">
        <f t="shared" si="81"/>
        <v>330.75</v>
      </c>
      <c r="H378" s="4">
        <f t="shared" si="82"/>
        <v>3.1333329999999999</v>
      </c>
      <c r="I378" s="4">
        <f t="shared" si="83"/>
        <v>2716.3917900000001</v>
      </c>
      <c r="J378" s="4">
        <f t="shared" si="84"/>
        <v>2.7363917900000003</v>
      </c>
      <c r="K378" s="4">
        <f t="shared" si="85"/>
        <v>1359.037045</v>
      </c>
      <c r="L378">
        <f t="shared" si="86"/>
        <v>1.359037045</v>
      </c>
      <c r="M378">
        <f>$B$12*F378+$B$13</f>
        <v>1.3684193329092809</v>
      </c>
      <c r="N378">
        <f t="shared" si="87"/>
        <v>9.382287909280862E-3</v>
      </c>
      <c r="O378" s="4">
        <f t="shared" ca="1" si="88"/>
        <v>4.9571759999999996</v>
      </c>
      <c r="P378" s="4">
        <f t="shared" si="89"/>
        <v>5.0469659267514331</v>
      </c>
      <c r="Q378" s="4">
        <f t="shared" ca="1" si="90"/>
        <v>8.9789926751433491E-2</v>
      </c>
      <c r="R378" s="2">
        <f t="shared" ca="1" si="91"/>
        <v>1.779087238839917E-2</v>
      </c>
      <c r="S378" s="4">
        <f t="shared" si="92"/>
        <v>3.1333329999999999</v>
      </c>
      <c r="T378">
        <v>3.1945922557351656</v>
      </c>
      <c r="U378">
        <f t="shared" si="93"/>
        <v>6.1259255735165663E-2</v>
      </c>
      <c r="V378" s="2">
        <f t="shared" si="94"/>
        <v>1.9550828378332486E-2</v>
      </c>
      <c r="W378">
        <f>(T378+5/3)/(1/12)</f>
        <v>58.335107068821991</v>
      </c>
      <c r="X378" s="2">
        <f t="shared" si="95"/>
        <v>1.2762275500381757E-2</v>
      </c>
    </row>
    <row r="379" spans="5:24" x14ac:dyDescent="0.25">
      <c r="E379">
        <v>377</v>
      </c>
      <c r="F379">
        <f t="shared" si="80"/>
        <v>57.7</v>
      </c>
      <c r="G379">
        <f t="shared" si="81"/>
        <v>330.84999999999997</v>
      </c>
      <c r="H379" s="4">
        <f t="shared" si="82"/>
        <v>3.141667</v>
      </c>
      <c r="I379" s="4">
        <f t="shared" si="83"/>
        <v>2706.4996820000001</v>
      </c>
      <c r="J379" s="4">
        <f t="shared" si="84"/>
        <v>2.726499682</v>
      </c>
      <c r="K379" s="4">
        <f t="shared" si="85"/>
        <v>1356.592568</v>
      </c>
      <c r="L379">
        <f t="shared" si="86"/>
        <v>1.3565925680000002</v>
      </c>
      <c r="M379">
        <f>$B$12*F379+$B$13</f>
        <v>1.3660714940863865</v>
      </c>
      <c r="N379">
        <f t="shared" si="87"/>
        <v>9.4789260863863412E-3</v>
      </c>
      <c r="O379" s="4">
        <f t="shared" ca="1" si="88"/>
        <v>4.9478638629737617</v>
      </c>
      <c r="P379" s="4">
        <f t="shared" si="89"/>
        <v>5.0383066932433396</v>
      </c>
      <c r="Q379" s="4">
        <f t="shared" ca="1" si="90"/>
        <v>9.044283026957789E-2</v>
      </c>
      <c r="R379" s="2">
        <f t="shared" ca="1" si="91"/>
        <v>1.7951037079752798E-2</v>
      </c>
      <c r="S379" s="4">
        <f t="shared" si="92"/>
        <v>3.141667</v>
      </c>
      <c r="T379">
        <v>3.2037813390650158</v>
      </c>
      <c r="U379">
        <f t="shared" si="93"/>
        <v>6.2114339065015844E-2</v>
      </c>
      <c r="V379" s="2">
        <f t="shared" si="94"/>
        <v>1.9771140310228884E-2</v>
      </c>
      <c r="W379">
        <f>(T379+5/3)/(1/12)</f>
        <v>58.445376068780192</v>
      </c>
      <c r="X379" s="2">
        <f t="shared" si="95"/>
        <v>1.2918129441597728E-2</v>
      </c>
    </row>
    <row r="380" spans="5:24" x14ac:dyDescent="0.25">
      <c r="E380">
        <v>378</v>
      </c>
      <c r="F380">
        <f t="shared" si="80"/>
        <v>57.800000000000004</v>
      </c>
      <c r="G380">
        <f t="shared" si="81"/>
        <v>330.95</v>
      </c>
      <c r="H380" s="4">
        <f t="shared" si="82"/>
        <v>3.15</v>
      </c>
      <c r="I380" s="4">
        <f t="shared" si="83"/>
        <v>2696.6488709999999</v>
      </c>
      <c r="J380" s="4">
        <f t="shared" si="84"/>
        <v>2.7166488709999999</v>
      </c>
      <c r="K380" s="4">
        <f t="shared" si="85"/>
        <v>1354.1494250000001</v>
      </c>
      <c r="L380">
        <f t="shared" si="86"/>
        <v>1.3541494250000001</v>
      </c>
      <c r="M380">
        <f>$B$12*F380+$B$13</f>
        <v>1.3637236552634922</v>
      </c>
      <c r="N380">
        <f t="shared" si="87"/>
        <v>9.5742302634920229E-3</v>
      </c>
      <c r="O380" s="4">
        <f t="shared" ca="1" si="88"/>
        <v>4.9393372274052485</v>
      </c>
      <c r="P380" s="4">
        <f t="shared" si="89"/>
        <v>5.0296474597352452</v>
      </c>
      <c r="Q380" s="4">
        <f t="shared" ca="1" si="90"/>
        <v>9.0310232329996687E-2</v>
      </c>
      <c r="R380" s="2">
        <f t="shared" ca="1" si="91"/>
        <v>1.7955579004885269E-2</v>
      </c>
      <c r="S380" s="4">
        <f t="shared" si="92"/>
        <v>3.15</v>
      </c>
      <c r="T380">
        <v>3.2123967531471243</v>
      </c>
      <c r="U380">
        <f t="shared" si="93"/>
        <v>6.239675314712434E-2</v>
      </c>
      <c r="V380" s="2">
        <f t="shared" si="94"/>
        <v>1.9808493062579157E-2</v>
      </c>
      <c r="W380">
        <f>(T380+5/3)/(1/12)</f>
        <v>58.548761037765495</v>
      </c>
      <c r="X380" s="2">
        <f t="shared" si="95"/>
        <v>1.2954343213935817E-2</v>
      </c>
    </row>
    <row r="381" spans="5:24" x14ac:dyDescent="0.25">
      <c r="E381">
        <v>379</v>
      </c>
      <c r="F381">
        <f t="shared" si="80"/>
        <v>57.9</v>
      </c>
      <c r="G381">
        <f t="shared" si="81"/>
        <v>331.04999999999995</v>
      </c>
      <c r="H381" s="4">
        <f t="shared" si="82"/>
        <v>3.1583329999999998</v>
      </c>
      <c r="I381" s="4">
        <f t="shared" si="83"/>
        <v>2686.8391660000002</v>
      </c>
      <c r="J381" s="4">
        <f t="shared" si="84"/>
        <v>2.7068391660000004</v>
      </c>
      <c r="K381" s="4">
        <f t="shared" si="85"/>
        <v>1351.707629</v>
      </c>
      <c r="L381">
        <f t="shared" si="86"/>
        <v>1.3517076290000001</v>
      </c>
      <c r="M381">
        <f>$B$12*F381+$B$13</f>
        <v>1.361375816440598</v>
      </c>
      <c r="N381">
        <f t="shared" si="87"/>
        <v>9.6681874405979418E-3</v>
      </c>
      <c r="O381" s="4">
        <f t="shared" ca="1" si="88"/>
        <v>4.9300458629737616</v>
      </c>
      <c r="P381" s="4">
        <f t="shared" si="89"/>
        <v>5.0209882262271517</v>
      </c>
      <c r="Q381" s="4">
        <f t="shared" ca="1" si="90"/>
        <v>9.0942363253390113E-2</v>
      </c>
      <c r="R381" s="2">
        <f t="shared" ca="1" si="91"/>
        <v>1.8112443040266917E-2</v>
      </c>
      <c r="S381" s="4">
        <f t="shared" si="92"/>
        <v>3.1583329999999998</v>
      </c>
      <c r="T381">
        <v>3.2216161940392523</v>
      </c>
      <c r="U381">
        <f t="shared" si="93"/>
        <v>6.3283194039252422E-2</v>
      </c>
      <c r="V381" s="2">
        <f t="shared" si="94"/>
        <v>2.0036897325029508E-2</v>
      </c>
      <c r="W381">
        <f>(T381+5/3)/(1/12)</f>
        <v>58.659394328471031</v>
      </c>
      <c r="X381" s="2">
        <f t="shared" si="95"/>
        <v>1.3115618799154268E-2</v>
      </c>
    </row>
    <row r="382" spans="5:24" x14ac:dyDescent="0.25">
      <c r="E382">
        <v>380</v>
      </c>
      <c r="F382">
        <f t="shared" si="80"/>
        <v>58</v>
      </c>
      <c r="G382">
        <f t="shared" si="81"/>
        <v>331.15</v>
      </c>
      <c r="H382" s="4">
        <f t="shared" si="82"/>
        <v>3.1666669999999999</v>
      </c>
      <c r="I382" s="4">
        <f t="shared" si="83"/>
        <v>2677.070373</v>
      </c>
      <c r="J382" s="4">
        <f t="shared" si="84"/>
        <v>2.6970703729999999</v>
      </c>
      <c r="K382" s="4">
        <f t="shared" si="85"/>
        <v>1349.267196</v>
      </c>
      <c r="L382">
        <f t="shared" si="86"/>
        <v>1.349267196</v>
      </c>
      <c r="M382">
        <f>$B$12*F382+$B$13</f>
        <v>1.3590279776177034</v>
      </c>
      <c r="N382">
        <f t="shared" si="87"/>
        <v>9.7607816177034401E-3</v>
      </c>
      <c r="O382" s="4">
        <f t="shared" ca="1" si="88"/>
        <v>4.921154635568513</v>
      </c>
      <c r="P382" s="4">
        <f t="shared" si="89"/>
        <v>5.0123289927190564</v>
      </c>
      <c r="Q382" s="4">
        <f t="shared" ca="1" si="90"/>
        <v>9.117435715054345E-2</v>
      </c>
      <c r="R382" s="2">
        <f t="shared" ca="1" si="91"/>
        <v>1.8190018508957403E-2</v>
      </c>
      <c r="S382" s="4">
        <f t="shared" si="92"/>
        <v>3.1666669999999999</v>
      </c>
      <c r="T382">
        <v>3.2308500961802906</v>
      </c>
      <c r="U382">
        <f t="shared" si="93"/>
        <v>6.4183096180290722E-2</v>
      </c>
      <c r="V382" s="2">
        <f t="shared" si="94"/>
        <v>2.0268344028687171E-2</v>
      </c>
      <c r="W382">
        <f>(T382+5/3)/(1/12)</f>
        <v>58.770201154163495</v>
      </c>
      <c r="X382" s="2">
        <f t="shared" si="95"/>
        <v>1.3279330244198181E-2</v>
      </c>
    </row>
    <row r="383" spans="5:24" x14ac:dyDescent="0.25">
      <c r="E383">
        <v>381</v>
      </c>
      <c r="F383">
        <f t="shared" si="80"/>
        <v>58.1</v>
      </c>
      <c r="G383">
        <f t="shared" si="81"/>
        <v>331.25</v>
      </c>
      <c r="H383" s="4">
        <f t="shared" si="82"/>
        <v>3.1749999999999998</v>
      </c>
      <c r="I383" s="4">
        <f t="shared" si="83"/>
        <v>2667.342302</v>
      </c>
      <c r="J383" s="4">
        <f t="shared" si="84"/>
        <v>2.6873423020000002</v>
      </c>
      <c r="K383" s="4">
        <f t="shared" si="85"/>
        <v>1346.828141</v>
      </c>
      <c r="L383">
        <f t="shared" si="86"/>
        <v>1.346828141</v>
      </c>
      <c r="M383">
        <f>$B$12*F383+$B$13</f>
        <v>1.3566801387948091</v>
      </c>
      <c r="N383">
        <f t="shared" si="87"/>
        <v>9.8519977948090531E-3</v>
      </c>
      <c r="O383" s="4">
        <f t="shared" ca="1" si="88"/>
        <v>4.9126332274052489</v>
      </c>
      <c r="P383" s="4">
        <f t="shared" si="89"/>
        <v>5.003669759210962</v>
      </c>
      <c r="Q383" s="4">
        <f t="shared" ca="1" si="90"/>
        <v>9.1036531805713139E-2</v>
      </c>
      <c r="R383" s="2">
        <f t="shared" ca="1" si="91"/>
        <v>1.8193952875912588E-2</v>
      </c>
      <c r="S383" s="4">
        <f t="shared" si="92"/>
        <v>3.1749999999999998</v>
      </c>
      <c r="T383">
        <v>3.2395132162168658</v>
      </c>
      <c r="U383">
        <f t="shared" si="93"/>
        <v>6.4513216216866009E-2</v>
      </c>
      <c r="V383" s="2">
        <f t="shared" si="94"/>
        <v>2.0319123217910556E-2</v>
      </c>
      <c r="W383">
        <f>(T383+5/3)/(1/12)</f>
        <v>58.874158594602392</v>
      </c>
      <c r="X383" s="2">
        <f t="shared" si="95"/>
        <v>1.3324588547373327E-2</v>
      </c>
    </row>
    <row r="384" spans="5:24" x14ac:dyDescent="0.25">
      <c r="E384">
        <v>382</v>
      </c>
      <c r="F384">
        <f t="shared" si="80"/>
        <v>58.2</v>
      </c>
      <c r="G384">
        <f t="shared" si="81"/>
        <v>331.34999999999997</v>
      </c>
      <c r="H384" s="4">
        <f t="shared" si="82"/>
        <v>3.1833330000000002</v>
      </c>
      <c r="I384" s="4">
        <f t="shared" si="83"/>
        <v>2657.6547639999999</v>
      </c>
      <c r="J384" s="4">
        <f t="shared" si="84"/>
        <v>2.6776547640000001</v>
      </c>
      <c r="K384" s="4">
        <f t="shared" si="85"/>
        <v>1344.3904789999999</v>
      </c>
      <c r="L384">
        <f t="shared" si="86"/>
        <v>1.3443904789999999</v>
      </c>
      <c r="M384">
        <f>$B$12*F384+$B$13</f>
        <v>1.3543322999719147</v>
      </c>
      <c r="N384">
        <f t="shared" si="87"/>
        <v>9.941820971914872E-3</v>
      </c>
      <c r="O384" s="4">
        <f t="shared" ca="1" si="88"/>
        <v>4.9037627725947512</v>
      </c>
      <c r="P384" s="4">
        <f t="shared" si="89"/>
        <v>4.9950105257028685</v>
      </c>
      <c r="Q384" s="4">
        <f t="shared" ca="1" si="90"/>
        <v>9.124775310811728E-2</v>
      </c>
      <c r="R384" s="2">
        <f t="shared" ca="1" si="91"/>
        <v>1.8267779945324025E-2</v>
      </c>
      <c r="S384" s="4">
        <f t="shared" si="92"/>
        <v>3.1833330000000002</v>
      </c>
      <c r="T384">
        <v>3.2487767660586129</v>
      </c>
      <c r="U384">
        <f t="shared" si="93"/>
        <v>6.5443766058612685E-2</v>
      </c>
      <c r="V384" s="2">
        <f t="shared" si="94"/>
        <v>2.0558253270585476E-2</v>
      </c>
      <c r="W384">
        <f>(T384+5/3)/(1/12)</f>
        <v>58.985321192703353</v>
      </c>
      <c r="X384" s="2">
        <f t="shared" si="95"/>
        <v>1.3493491283562711E-2</v>
      </c>
    </row>
    <row r="385" spans="5:24" x14ac:dyDescent="0.25">
      <c r="E385">
        <v>383</v>
      </c>
      <c r="F385">
        <f t="shared" si="80"/>
        <v>58.300000000000004</v>
      </c>
      <c r="G385">
        <f t="shared" si="81"/>
        <v>331.45</v>
      </c>
      <c r="H385" s="4">
        <f t="shared" si="82"/>
        <v>3.1916669999999998</v>
      </c>
      <c r="I385" s="4">
        <f t="shared" si="83"/>
        <v>2648.007568</v>
      </c>
      <c r="J385" s="4">
        <f t="shared" si="84"/>
        <v>2.6680075680000002</v>
      </c>
      <c r="K385" s="4">
        <f t="shared" si="85"/>
        <v>1341.954225</v>
      </c>
      <c r="L385">
        <f t="shared" si="86"/>
        <v>1.3419542250000001</v>
      </c>
      <c r="M385">
        <f>$B$12*F385+$B$13</f>
        <v>1.3519844611490204</v>
      </c>
      <c r="N385">
        <f t="shared" si="87"/>
        <v>1.0030236149020322E-2</v>
      </c>
      <c r="O385" s="4">
        <f t="shared" ca="1" si="88"/>
        <v>4.895262137026239</v>
      </c>
      <c r="P385" s="4">
        <f t="shared" si="89"/>
        <v>4.9863512921947741</v>
      </c>
      <c r="Q385" s="4">
        <f t="shared" ca="1" si="90"/>
        <v>9.1089155168535108E-2</v>
      </c>
      <c r="R385" s="2">
        <f t="shared" ca="1" si="91"/>
        <v>1.8267697125775837E-2</v>
      </c>
      <c r="S385" s="4">
        <f t="shared" si="92"/>
        <v>3.1916669999999998</v>
      </c>
      <c r="T385">
        <v>3.257471455701741</v>
      </c>
      <c r="U385">
        <f t="shared" si="93"/>
        <v>6.5804455701741205E-2</v>
      </c>
      <c r="V385" s="2">
        <f t="shared" si="94"/>
        <v>2.0617581878604883E-2</v>
      </c>
      <c r="W385">
        <f>(T385+5/3)/(1/12)</f>
        <v>59.089657468420896</v>
      </c>
      <c r="X385" s="2">
        <f t="shared" si="95"/>
        <v>1.3544725015795737E-2</v>
      </c>
    </row>
    <row r="386" spans="5:24" x14ac:dyDescent="0.25">
      <c r="E386">
        <v>384</v>
      </c>
      <c r="F386">
        <f t="shared" si="80"/>
        <v>58.400000000000006</v>
      </c>
      <c r="G386">
        <f t="shared" si="81"/>
        <v>331.54999999999995</v>
      </c>
      <c r="H386" s="4">
        <f t="shared" si="82"/>
        <v>3.2</v>
      </c>
      <c r="I386" s="4">
        <f t="shared" si="83"/>
        <v>2638.4005269999998</v>
      </c>
      <c r="J386" s="4">
        <f t="shared" si="84"/>
        <v>2.658400527</v>
      </c>
      <c r="K386" s="4">
        <f t="shared" si="85"/>
        <v>1339.519393</v>
      </c>
      <c r="L386">
        <f t="shared" si="86"/>
        <v>1.339519393</v>
      </c>
      <c r="M386">
        <f>$B$12*F386+$B$13</f>
        <v>1.349636622326126</v>
      </c>
      <c r="N386">
        <f t="shared" si="87"/>
        <v>1.011722932612602E-2</v>
      </c>
      <c r="O386" s="4">
        <f t="shared" ca="1" si="88"/>
        <v>4.886369364431487</v>
      </c>
      <c r="P386" s="4">
        <f t="shared" si="89"/>
        <v>4.9776920586866797</v>
      </c>
      <c r="Q386" s="4">
        <f t="shared" ca="1" si="90"/>
        <v>9.1322694255192793E-2</v>
      </c>
      <c r="R386" s="2">
        <f t="shared" ca="1" si="91"/>
        <v>1.8346392902273564E-2</v>
      </c>
      <c r="S386" s="4">
        <f t="shared" si="92"/>
        <v>3.2</v>
      </c>
      <c r="T386">
        <v>3.2661822910474321</v>
      </c>
      <c r="U386">
        <f t="shared" si="93"/>
        <v>6.6182291047431896E-2</v>
      </c>
      <c r="V386" s="2">
        <f t="shared" si="94"/>
        <v>2.0681965952322467E-2</v>
      </c>
      <c r="W386">
        <f>(T386+5/3)/(1/12)</f>
        <v>59.194187492569192</v>
      </c>
      <c r="X386" s="2">
        <f t="shared" si="95"/>
        <v>1.3599100900157299E-2</v>
      </c>
    </row>
    <row r="387" spans="5:24" x14ac:dyDescent="0.25">
      <c r="E387">
        <v>385</v>
      </c>
      <c r="F387">
        <f t="shared" ref="F387:F450" si="96">E387*0.1+20</f>
        <v>58.5</v>
      </c>
      <c r="G387">
        <f t="shared" ref="G387:G450" si="97">F387+273.15</f>
        <v>331.65</v>
      </c>
      <c r="H387" s="4">
        <f t="shared" ref="H387:H450" si="98">ROUND(1/12*F387-5/3,6)</f>
        <v>3.2083330000000001</v>
      </c>
      <c r="I387" s="4">
        <f t="shared" ref="I387:I450" si="99">ROUND(10000*EXP(($B$3)+($B$4/G387)+($B$5/(G387^2))+($B$6/(G387^3))),6)</f>
        <v>2628.833455</v>
      </c>
      <c r="J387" s="4">
        <f t="shared" ref="J387:J450" si="100">$B$9*(2*$B$8+I387)</f>
        <v>2.6488334550000001</v>
      </c>
      <c r="K387" s="4">
        <f t="shared" ref="K387:K450" si="101">ROUND(1/(1/(I387+2*$B$8)+1/($B$7)),6)</f>
        <v>1337.086</v>
      </c>
      <c r="L387">
        <f t="shared" ref="L387:L450" si="102">$B$9*K387</f>
        <v>1.337086</v>
      </c>
      <c r="M387">
        <f>$B$12*F387+$B$13</f>
        <v>1.3472887835032319</v>
      </c>
      <c r="N387">
        <f t="shared" ref="N387:N450" si="103">ABS(L387-M387)</f>
        <v>1.0202783503231894E-2</v>
      </c>
      <c r="O387" s="4">
        <f t="shared" ref="O387:O450" ca="1" si="104">ROUND(L387*$B$28,6)+RANDBETWEEN(-1,1)*$B$23+RANDBETWEEN(-1,1)*$B$24</f>
        <v>4.8771079999999998</v>
      </c>
      <c r="P387" s="4">
        <f t="shared" ref="P387:P450" si="105">M387*$B$22</f>
        <v>4.9690328251785862</v>
      </c>
      <c r="Q387" s="4">
        <f t="shared" ref="Q387:Q450" ca="1" si="106">ABS(O387-P387)</f>
        <v>9.1924825178586467E-2</v>
      </c>
      <c r="R387" s="2">
        <f t="shared" ref="R387:R450" ca="1" si="107">ABS(P387-O387)/P387</f>
        <v>1.8499540738148114E-2</v>
      </c>
      <c r="S387" s="4">
        <f t="shared" ref="S387:S450" si="108">ROUND($B$18*M387+$B$19,6)</f>
        <v>3.2083330000000001</v>
      </c>
      <c r="T387">
        <v>3.2754899635434236</v>
      </c>
      <c r="U387">
        <f t="shared" ref="U387:U450" si="109">ABS(S387-T387)</f>
        <v>6.7156963543423487E-2</v>
      </c>
      <c r="V387" s="2">
        <f t="shared" ref="V387:V450" si="110">IF(S387=0, ABS(S387-T387),ABS(S387-T387)/S387)</f>
        <v>2.0932042759720854E-2</v>
      </c>
      <c r="W387">
        <f>(T387+5/3)/(1/12)</f>
        <v>59.305879562521085</v>
      </c>
      <c r="X387" s="2">
        <f t="shared" ref="X387:X450" si="111">ABS(F387-W387)/F387</f>
        <v>1.3775719017454441E-2</v>
      </c>
    </row>
    <row r="388" spans="5:24" x14ac:dyDescent="0.25">
      <c r="E388">
        <v>386</v>
      </c>
      <c r="F388">
        <f t="shared" si="96"/>
        <v>58.6</v>
      </c>
      <c r="G388">
        <f t="shared" si="97"/>
        <v>331.75</v>
      </c>
      <c r="H388" s="4">
        <f t="shared" si="98"/>
        <v>3.2166670000000002</v>
      </c>
      <c r="I388" s="4">
        <f t="shared" si="99"/>
        <v>2619.306165</v>
      </c>
      <c r="J388" s="4">
        <f t="shared" si="100"/>
        <v>2.6393061649999998</v>
      </c>
      <c r="K388" s="4">
        <f t="shared" si="101"/>
        <v>1334.654059</v>
      </c>
      <c r="L388">
        <f t="shared" si="102"/>
        <v>1.334654059</v>
      </c>
      <c r="M388">
        <f>$B$12*F388+$B$13</f>
        <v>1.3449409446803375</v>
      </c>
      <c r="N388">
        <f t="shared" si="103"/>
        <v>1.0286885680337532E-2</v>
      </c>
      <c r="O388" s="4">
        <f t="shared" ca="1" si="104"/>
        <v>4.8682379999999998</v>
      </c>
      <c r="P388" s="4">
        <f t="shared" si="105"/>
        <v>4.9603735916704919</v>
      </c>
      <c r="Q388" s="4">
        <f t="shared" ca="1" si="106"/>
        <v>9.2135591670492012E-2</v>
      </c>
      <c r="R388" s="2">
        <f t="shared" ca="1" si="107"/>
        <v>1.8574325092208178E-2</v>
      </c>
      <c r="S388" s="4">
        <f t="shared" si="108"/>
        <v>3.2166670000000002</v>
      </c>
      <c r="T388">
        <v>3.2842316543132193</v>
      </c>
      <c r="U388">
        <f t="shared" si="109"/>
        <v>6.7564654313219119E-2</v>
      </c>
      <c r="V388" s="2">
        <f t="shared" si="110"/>
        <v>2.1004553568404537E-2</v>
      </c>
      <c r="W388">
        <f>(T388+5/3)/(1/12)</f>
        <v>59.410779851758633</v>
      </c>
      <c r="X388" s="2">
        <f t="shared" si="111"/>
        <v>1.3835833647758221E-2</v>
      </c>
    </row>
    <row r="389" spans="5:24" x14ac:dyDescent="0.25">
      <c r="E389">
        <v>387</v>
      </c>
      <c r="F389">
        <f t="shared" si="96"/>
        <v>58.7</v>
      </c>
      <c r="G389">
        <f t="shared" si="97"/>
        <v>331.84999999999997</v>
      </c>
      <c r="H389" s="4">
        <f t="shared" si="98"/>
        <v>3.2250000000000001</v>
      </c>
      <c r="I389" s="4">
        <f t="shared" si="99"/>
        <v>2609.818471</v>
      </c>
      <c r="J389" s="4">
        <f t="shared" si="100"/>
        <v>2.6298184710000001</v>
      </c>
      <c r="K389" s="4">
        <f t="shared" si="101"/>
        <v>1332.223585</v>
      </c>
      <c r="L389">
        <f t="shared" si="102"/>
        <v>1.3322235849999999</v>
      </c>
      <c r="M389">
        <f>$B$12*F389+$B$13</f>
        <v>1.342593105857443</v>
      </c>
      <c r="N389">
        <f t="shared" si="103"/>
        <v>1.0369520857443026E-2</v>
      </c>
      <c r="O389" s="4">
        <f t="shared" ca="1" si="104"/>
        <v>4.8593719999999996</v>
      </c>
      <c r="P389" s="4">
        <f t="shared" si="105"/>
        <v>4.9517143581623966</v>
      </c>
      <c r="Q389" s="4">
        <f t="shared" ca="1" si="106"/>
        <v>9.2342358162396998E-2</v>
      </c>
      <c r="R389" s="2">
        <f t="shared" ca="1" si="107"/>
        <v>1.8648563201183046E-2</v>
      </c>
      <c r="S389" s="4">
        <f t="shared" si="108"/>
        <v>3.2250000000000001</v>
      </c>
      <c r="T389">
        <v>3.29414645314051</v>
      </c>
      <c r="U389">
        <f t="shared" si="109"/>
        <v>6.9146453140509934E-2</v>
      </c>
      <c r="V389" s="2">
        <f t="shared" si="110"/>
        <v>2.1440760663724009E-2</v>
      </c>
      <c r="W389">
        <f>(T389+5/3)/(1/12)</f>
        <v>59.529757437686122</v>
      </c>
      <c r="X389" s="2">
        <f t="shared" si="111"/>
        <v>1.4135561119013955E-2</v>
      </c>
    </row>
    <row r="390" spans="5:24" x14ac:dyDescent="0.25">
      <c r="E390">
        <v>388</v>
      </c>
      <c r="F390">
        <f t="shared" si="96"/>
        <v>58.800000000000004</v>
      </c>
      <c r="G390">
        <f t="shared" si="97"/>
        <v>331.95</v>
      </c>
      <c r="H390" s="4">
        <f t="shared" si="98"/>
        <v>3.233333</v>
      </c>
      <c r="I390" s="4">
        <f t="shared" si="99"/>
        <v>2600.3701900000001</v>
      </c>
      <c r="J390" s="4">
        <f t="shared" si="100"/>
        <v>2.62037019</v>
      </c>
      <c r="K390" s="4">
        <f t="shared" si="101"/>
        <v>1329.7945930000001</v>
      </c>
      <c r="L390">
        <f t="shared" si="102"/>
        <v>1.3297945930000001</v>
      </c>
      <c r="M390">
        <f>$B$12*F390+$B$13</f>
        <v>1.3402452670345486</v>
      </c>
      <c r="N390">
        <f t="shared" si="103"/>
        <v>1.0450674034548468E-2</v>
      </c>
      <c r="O390" s="4">
        <f t="shared" ca="1" si="104"/>
        <v>4.8505022274052489</v>
      </c>
      <c r="P390" s="4">
        <f t="shared" si="105"/>
        <v>4.9430551246543031</v>
      </c>
      <c r="Q390" s="4">
        <f t="shared" ca="1" si="106"/>
        <v>9.2552897249054134E-2</v>
      </c>
      <c r="R390" s="2">
        <f t="shared" ca="1" si="107"/>
        <v>1.8723824621625456E-2</v>
      </c>
      <c r="S390" s="4">
        <f t="shared" si="108"/>
        <v>3.233333</v>
      </c>
      <c r="T390">
        <v>3.3023398636230676</v>
      </c>
      <c r="U390">
        <f t="shared" si="109"/>
        <v>6.9006863623067627E-2</v>
      </c>
      <c r="V390" s="2">
        <f t="shared" si="110"/>
        <v>2.1342331155828252E-2</v>
      </c>
      <c r="W390">
        <f>(T390+5/3)/(1/12)</f>
        <v>59.62807836347681</v>
      </c>
      <c r="X390" s="2">
        <f t="shared" si="111"/>
        <v>1.4082965365251795E-2</v>
      </c>
    </row>
    <row r="391" spans="5:24" x14ac:dyDescent="0.25">
      <c r="E391">
        <v>389</v>
      </c>
      <c r="F391">
        <f t="shared" si="96"/>
        <v>58.900000000000006</v>
      </c>
      <c r="G391">
        <f t="shared" si="97"/>
        <v>332.04999999999995</v>
      </c>
      <c r="H391" s="4">
        <f t="shared" si="98"/>
        <v>3.2416670000000001</v>
      </c>
      <c r="I391" s="4">
        <f t="shared" si="99"/>
        <v>2590.961139</v>
      </c>
      <c r="J391" s="4">
        <f t="shared" si="100"/>
        <v>2.610961139</v>
      </c>
      <c r="K391" s="4">
        <f t="shared" si="101"/>
        <v>1327.3670979999999</v>
      </c>
      <c r="L391">
        <f t="shared" si="102"/>
        <v>1.3273670980000001</v>
      </c>
      <c r="M391">
        <f>$B$12*F391+$B$13</f>
        <v>1.3378974282116542</v>
      </c>
      <c r="N391">
        <f t="shared" si="103"/>
        <v>1.0530330211654171E-2</v>
      </c>
      <c r="O391" s="4">
        <f t="shared" ca="1" si="104"/>
        <v>4.8408764985422739</v>
      </c>
      <c r="P391" s="4">
        <f t="shared" si="105"/>
        <v>4.9343958911462087</v>
      </c>
      <c r="Q391" s="4">
        <f t="shared" ca="1" si="106"/>
        <v>9.3519392603934826E-2</v>
      </c>
      <c r="R391" s="2">
        <f t="shared" ca="1" si="107"/>
        <v>1.8952551572065136E-2</v>
      </c>
      <c r="S391" s="4">
        <f t="shared" si="108"/>
        <v>3.2416670000000001</v>
      </c>
      <c r="T391">
        <v>3.3111274850314718</v>
      </c>
      <c r="U391">
        <f t="shared" si="109"/>
        <v>6.946048503147173E-2</v>
      </c>
      <c r="V391" s="2">
        <f t="shared" si="110"/>
        <v>2.1427396778099579E-2</v>
      </c>
      <c r="W391">
        <f>(T391+5/3)/(1/12)</f>
        <v>59.733529820377669</v>
      </c>
      <c r="X391" s="2">
        <f t="shared" si="111"/>
        <v>1.4151609853610577E-2</v>
      </c>
    </row>
    <row r="392" spans="5:24" x14ac:dyDescent="0.25">
      <c r="E392">
        <v>390</v>
      </c>
      <c r="F392">
        <f t="shared" si="96"/>
        <v>59</v>
      </c>
      <c r="G392">
        <f t="shared" si="97"/>
        <v>332.15</v>
      </c>
      <c r="H392" s="4">
        <f t="shared" si="98"/>
        <v>3.25</v>
      </c>
      <c r="I392" s="4">
        <f t="shared" si="99"/>
        <v>2581.5911350000001</v>
      </c>
      <c r="J392" s="4">
        <f t="shared" si="100"/>
        <v>2.6015911350000001</v>
      </c>
      <c r="K392" s="4">
        <f t="shared" si="101"/>
        <v>1324.941114</v>
      </c>
      <c r="L392">
        <f t="shared" si="102"/>
        <v>1.324941114</v>
      </c>
      <c r="M392">
        <f>$B$12*F392+$B$13</f>
        <v>1.3355495893887601</v>
      </c>
      <c r="N392">
        <f t="shared" si="103"/>
        <v>1.0608475388760086E-2</v>
      </c>
      <c r="O392" s="4">
        <f t="shared" ca="1" si="104"/>
        <v>4.8320274985422742</v>
      </c>
      <c r="P392" s="4">
        <f t="shared" si="105"/>
        <v>4.9257366576381152</v>
      </c>
      <c r="Q392" s="4">
        <f t="shared" ca="1" si="106"/>
        <v>9.3709159095840988E-2</v>
      </c>
      <c r="R392" s="2">
        <f t="shared" ca="1" si="107"/>
        <v>1.902439484874419E-2</v>
      </c>
      <c r="S392" s="4">
        <f t="shared" si="108"/>
        <v>3.25</v>
      </c>
      <c r="T392">
        <v>3.3199305368106602</v>
      </c>
      <c r="U392">
        <f t="shared" si="109"/>
        <v>6.9930536810660193E-2</v>
      </c>
      <c r="V392" s="2">
        <f t="shared" si="110"/>
        <v>2.1517088249433904E-2</v>
      </c>
      <c r="W392">
        <f>(T392+5/3)/(1/12)</f>
        <v>59.839166441727926</v>
      </c>
      <c r="X392" s="2">
        <f t="shared" si="111"/>
        <v>1.4223160029286879E-2</v>
      </c>
    </row>
    <row r="393" spans="5:24" x14ac:dyDescent="0.25">
      <c r="E393">
        <v>391</v>
      </c>
      <c r="F393">
        <f t="shared" si="96"/>
        <v>59.1</v>
      </c>
      <c r="G393">
        <f t="shared" si="97"/>
        <v>332.25</v>
      </c>
      <c r="H393" s="4">
        <f t="shared" si="98"/>
        <v>3.2583329999999999</v>
      </c>
      <c r="I393" s="4">
        <f t="shared" si="99"/>
        <v>2572.2599970000001</v>
      </c>
      <c r="J393" s="4">
        <f t="shared" si="100"/>
        <v>2.5922599970000002</v>
      </c>
      <c r="K393" s="4">
        <f t="shared" si="101"/>
        <v>1322.516656</v>
      </c>
      <c r="L393">
        <f t="shared" si="102"/>
        <v>1.3225166560000001</v>
      </c>
      <c r="M393">
        <f>$B$12*F393+$B$13</f>
        <v>1.3332017505658658</v>
      </c>
      <c r="N393">
        <f t="shared" si="103"/>
        <v>1.0685094565865638E-2</v>
      </c>
      <c r="O393" s="4">
        <f t="shared" ca="1" si="104"/>
        <v>4.8247475014577264</v>
      </c>
      <c r="P393" s="4">
        <f t="shared" si="105"/>
        <v>4.9170774241300208</v>
      </c>
      <c r="Q393" s="4">
        <f t="shared" ca="1" si="106"/>
        <v>9.2329922672294451E-2</v>
      </c>
      <c r="R393" s="2">
        <f t="shared" ca="1" si="107"/>
        <v>1.8777398586240564E-2</v>
      </c>
      <c r="S393" s="4">
        <f t="shared" si="108"/>
        <v>3.2583329999999999</v>
      </c>
      <c r="T393">
        <v>3.3293232634242127</v>
      </c>
      <c r="U393">
        <f t="shared" si="109"/>
        <v>7.0990263424212774E-2</v>
      </c>
      <c r="V393" s="2">
        <f t="shared" si="110"/>
        <v>2.1787295351399866E-2</v>
      </c>
      <c r="W393">
        <f>(T393+5/3)/(1/12)</f>
        <v>59.951879161090559</v>
      </c>
      <c r="X393" s="2">
        <f t="shared" si="111"/>
        <v>1.4414199003224333E-2</v>
      </c>
    </row>
    <row r="394" spans="5:24" x14ac:dyDescent="0.25">
      <c r="E394">
        <v>392</v>
      </c>
      <c r="F394">
        <f t="shared" si="96"/>
        <v>59.2</v>
      </c>
      <c r="G394">
        <f t="shared" si="97"/>
        <v>332.34999999999997</v>
      </c>
      <c r="H394" s="4">
        <f t="shared" si="98"/>
        <v>3.266667</v>
      </c>
      <c r="I394" s="4">
        <f t="shared" si="99"/>
        <v>2562.9675440000001</v>
      </c>
      <c r="J394" s="4">
        <f t="shared" si="100"/>
        <v>2.5829675440000002</v>
      </c>
      <c r="K394" s="4">
        <f t="shared" si="101"/>
        <v>1320.0937369999999</v>
      </c>
      <c r="L394">
        <f t="shared" si="102"/>
        <v>1.3200937369999999</v>
      </c>
      <c r="M394">
        <f>$B$12*F394+$B$13</f>
        <v>1.3308539117429714</v>
      </c>
      <c r="N394">
        <f t="shared" si="103"/>
        <v>1.0760174742971529E-2</v>
      </c>
      <c r="O394" s="4">
        <f t="shared" ca="1" si="104"/>
        <v>4.814731862973761</v>
      </c>
      <c r="P394" s="4">
        <f t="shared" si="105"/>
        <v>4.9084181906219264</v>
      </c>
      <c r="Q394" s="4">
        <f t="shared" ca="1" si="106"/>
        <v>9.3686327648165424E-2</v>
      </c>
      <c r="R394" s="2">
        <f t="shared" ca="1" si="107"/>
        <v>1.9086867501869231E-2</v>
      </c>
      <c r="S394" s="4">
        <f t="shared" si="108"/>
        <v>3.266667</v>
      </c>
      <c r="T394">
        <v>3.3381557465907719</v>
      </c>
      <c r="U394">
        <f t="shared" si="109"/>
        <v>7.1488746590771868E-2</v>
      </c>
      <c r="V394" s="2">
        <f t="shared" si="110"/>
        <v>2.1884307947755883E-2</v>
      </c>
      <c r="W394">
        <f>(T394+5/3)/(1/12)</f>
        <v>60.057868959089269</v>
      </c>
      <c r="X394" s="2">
        <f t="shared" si="111"/>
        <v>1.4491029714345717E-2</v>
      </c>
    </row>
    <row r="395" spans="5:24" x14ac:dyDescent="0.25">
      <c r="E395">
        <v>393</v>
      </c>
      <c r="F395">
        <f t="shared" si="96"/>
        <v>59.300000000000004</v>
      </c>
      <c r="G395">
        <f t="shared" si="97"/>
        <v>332.45</v>
      </c>
      <c r="H395" s="4">
        <f t="shared" si="98"/>
        <v>3.2749999999999999</v>
      </c>
      <c r="I395" s="4">
        <f t="shared" si="99"/>
        <v>2553.7135979999998</v>
      </c>
      <c r="J395" s="4">
        <f t="shared" si="100"/>
        <v>2.5737135979999999</v>
      </c>
      <c r="K395" s="4">
        <f t="shared" si="101"/>
        <v>1317.672374</v>
      </c>
      <c r="L395">
        <f t="shared" si="102"/>
        <v>1.317672374</v>
      </c>
      <c r="M395">
        <f>$B$12*F395+$B$13</f>
        <v>1.3285060729200771</v>
      </c>
      <c r="N395">
        <f t="shared" si="103"/>
        <v>1.0833698920077017E-2</v>
      </c>
      <c r="O395" s="4">
        <f t="shared" ca="1" si="104"/>
        <v>4.806681364431487</v>
      </c>
      <c r="P395" s="4">
        <f t="shared" si="105"/>
        <v>4.899758957113832</v>
      </c>
      <c r="Q395" s="4">
        <f t="shared" ca="1" si="106"/>
        <v>9.3077592682345056E-2</v>
      </c>
      <c r="R395" s="2">
        <f t="shared" ca="1" si="107"/>
        <v>1.8996361555134896E-2</v>
      </c>
      <c r="S395" s="4">
        <f t="shared" si="108"/>
        <v>3.2749999999999999</v>
      </c>
      <c r="T395">
        <v>3.3470033036842954</v>
      </c>
      <c r="U395">
        <f t="shared" si="109"/>
        <v>7.2003303684295528E-2</v>
      </c>
      <c r="V395" s="2">
        <f t="shared" si="110"/>
        <v>2.1985741582991002E-2</v>
      </c>
      <c r="W395">
        <f>(T395+5/3)/(1/12)</f>
        <v>60.164039644211549</v>
      </c>
      <c r="X395" s="2">
        <f t="shared" si="111"/>
        <v>1.4570651673044594E-2</v>
      </c>
    </row>
    <row r="396" spans="5:24" x14ac:dyDescent="0.25">
      <c r="E396">
        <v>394</v>
      </c>
      <c r="F396">
        <f t="shared" si="96"/>
        <v>59.400000000000006</v>
      </c>
      <c r="G396">
        <f t="shared" si="97"/>
        <v>332.54999999999995</v>
      </c>
      <c r="H396" s="4">
        <f t="shared" si="98"/>
        <v>3.2833329999999998</v>
      </c>
      <c r="I396" s="4">
        <f t="shared" si="99"/>
        <v>2544.4979779999999</v>
      </c>
      <c r="J396" s="4">
        <f t="shared" si="100"/>
        <v>2.5644979779999999</v>
      </c>
      <c r="K396" s="4">
        <f t="shared" si="101"/>
        <v>1315.252579</v>
      </c>
      <c r="L396">
        <f t="shared" si="102"/>
        <v>1.315252579</v>
      </c>
      <c r="M396">
        <f>$B$12*F396+$B$13</f>
        <v>1.3261582340971825</v>
      </c>
      <c r="N396">
        <f t="shared" si="103"/>
        <v>1.0905655097182443E-2</v>
      </c>
      <c r="O396" s="4">
        <f t="shared" ca="1" si="104"/>
        <v>4.7970846355685124</v>
      </c>
      <c r="P396" s="4">
        <f t="shared" si="105"/>
        <v>4.8910997236057376</v>
      </c>
      <c r="Q396" s="4">
        <f t="shared" ca="1" si="106"/>
        <v>9.4015088037225247E-2</v>
      </c>
      <c r="R396" s="2">
        <f t="shared" ca="1" si="107"/>
        <v>1.9221666567844371E-2</v>
      </c>
      <c r="S396" s="4">
        <f t="shared" si="108"/>
        <v>3.2833329999999998</v>
      </c>
      <c r="T396">
        <v>3.3558658159750396</v>
      </c>
      <c r="U396">
        <f t="shared" si="109"/>
        <v>7.2532815975039799E-2</v>
      </c>
      <c r="V396" s="2">
        <f t="shared" si="110"/>
        <v>2.2091215230084733E-2</v>
      </c>
      <c r="W396">
        <f>(T396+5/3)/(1/12)</f>
        <v>60.270389791700474</v>
      </c>
      <c r="X396" s="2">
        <f t="shared" si="111"/>
        <v>1.4653026796304177E-2</v>
      </c>
    </row>
    <row r="397" spans="5:24" x14ac:dyDescent="0.25">
      <c r="E397">
        <v>395</v>
      </c>
      <c r="F397">
        <f t="shared" si="96"/>
        <v>59.5</v>
      </c>
      <c r="G397">
        <f t="shared" si="97"/>
        <v>332.65</v>
      </c>
      <c r="H397" s="4">
        <f t="shared" si="98"/>
        <v>3.2916669999999999</v>
      </c>
      <c r="I397" s="4">
        <f t="shared" si="99"/>
        <v>2535.3205090000001</v>
      </c>
      <c r="J397" s="4">
        <f t="shared" si="100"/>
        <v>2.555320509</v>
      </c>
      <c r="K397" s="4">
        <f t="shared" si="101"/>
        <v>1312.8343669999999</v>
      </c>
      <c r="L397">
        <f t="shared" si="102"/>
        <v>1.312834367</v>
      </c>
      <c r="M397">
        <f>$B$12*F397+$B$13</f>
        <v>1.3238103952742883</v>
      </c>
      <c r="N397">
        <f t="shared" si="103"/>
        <v>1.0976028274288341E-2</v>
      </c>
      <c r="O397" s="4">
        <f t="shared" ca="1" si="104"/>
        <v>4.7890343644314877</v>
      </c>
      <c r="P397" s="4">
        <f t="shared" si="105"/>
        <v>4.8824404900976441</v>
      </c>
      <c r="Q397" s="4">
        <f t="shared" ca="1" si="106"/>
        <v>9.340612566615647E-2</v>
      </c>
      <c r="R397" s="2">
        <f t="shared" ca="1" si="107"/>
        <v>1.9131032084384592E-2</v>
      </c>
      <c r="S397" s="4">
        <f t="shared" si="108"/>
        <v>3.2916669999999999</v>
      </c>
      <c r="T397">
        <v>3.3647431647405335</v>
      </c>
      <c r="U397">
        <f t="shared" si="109"/>
        <v>7.3076164740533578E-2</v>
      </c>
      <c r="V397" s="2">
        <f t="shared" si="110"/>
        <v>2.2200351597088521E-2</v>
      </c>
      <c r="W397">
        <f>(T397+5/3)/(1/12)</f>
        <v>60.376917976886403</v>
      </c>
      <c r="X397" s="2">
        <f t="shared" si="111"/>
        <v>1.4738117258595017E-2</v>
      </c>
    </row>
    <row r="398" spans="5:24" x14ac:dyDescent="0.25">
      <c r="E398">
        <v>396</v>
      </c>
      <c r="F398">
        <f t="shared" si="96"/>
        <v>59.6</v>
      </c>
      <c r="G398">
        <f t="shared" si="97"/>
        <v>332.75</v>
      </c>
      <c r="H398" s="4">
        <f t="shared" si="98"/>
        <v>3.3</v>
      </c>
      <c r="I398" s="4">
        <f t="shared" si="99"/>
        <v>2526.1810129999999</v>
      </c>
      <c r="J398" s="4">
        <f t="shared" si="100"/>
        <v>2.546181013</v>
      </c>
      <c r="K398" s="4">
        <f t="shared" si="101"/>
        <v>1310.4177529999999</v>
      </c>
      <c r="L398">
        <f t="shared" si="102"/>
        <v>1.3104177530000001</v>
      </c>
      <c r="M398">
        <f>$B$12*F398+$B$13</f>
        <v>1.321462556451394</v>
      </c>
      <c r="N398">
        <f t="shared" si="103"/>
        <v>1.1044803451393914E-2</v>
      </c>
      <c r="O398" s="4">
        <f t="shared" ca="1" si="104"/>
        <v>4.7790524985422742</v>
      </c>
      <c r="P398" s="4">
        <f t="shared" si="105"/>
        <v>4.8737812565895497</v>
      </c>
      <c r="Q398" s="4">
        <f t="shared" ca="1" si="106"/>
        <v>9.4728758047275541E-2</v>
      </c>
      <c r="R398" s="2">
        <f t="shared" ca="1" si="107"/>
        <v>1.9436399185785866E-2</v>
      </c>
      <c r="S398" s="4">
        <f t="shared" si="108"/>
        <v>3.3</v>
      </c>
      <c r="T398">
        <v>3.3736352308436932</v>
      </c>
      <c r="U398">
        <f t="shared" si="109"/>
        <v>7.3635230843693389E-2</v>
      </c>
      <c r="V398" s="2">
        <f t="shared" si="110"/>
        <v>2.2313706316270724E-2</v>
      </c>
      <c r="W398">
        <f>(T398+5/3)/(1/12)</f>
        <v>60.48362277012432</v>
      </c>
      <c r="X398" s="2">
        <f t="shared" si="111"/>
        <v>1.482588540477045E-2</v>
      </c>
    </row>
    <row r="399" spans="5:24" x14ac:dyDescent="0.25">
      <c r="E399">
        <v>397</v>
      </c>
      <c r="F399">
        <f t="shared" si="96"/>
        <v>59.7</v>
      </c>
      <c r="G399">
        <f t="shared" si="97"/>
        <v>332.84999999999997</v>
      </c>
      <c r="H399" s="4">
        <f t="shared" si="98"/>
        <v>3.3083330000000002</v>
      </c>
      <c r="I399" s="4">
        <f t="shared" si="99"/>
        <v>2517.0793130000002</v>
      </c>
      <c r="J399" s="4">
        <f t="shared" si="100"/>
        <v>2.5370793130000004</v>
      </c>
      <c r="K399" s="4">
        <f t="shared" si="101"/>
        <v>1308.0027500000001</v>
      </c>
      <c r="L399">
        <f t="shared" si="102"/>
        <v>1.3080027500000002</v>
      </c>
      <c r="M399">
        <f>$B$12*F399+$B$13</f>
        <v>1.3191147176284996</v>
      </c>
      <c r="N399">
        <f t="shared" si="103"/>
        <v>1.111196762849942E-2</v>
      </c>
      <c r="O399" s="4">
        <f t="shared" ca="1" si="104"/>
        <v>4.7718065014577258</v>
      </c>
      <c r="P399" s="4">
        <f t="shared" si="105"/>
        <v>4.8651220230814554</v>
      </c>
      <c r="Q399" s="4">
        <f t="shared" ca="1" si="106"/>
        <v>9.331552162372958E-2</v>
      </c>
      <c r="R399" s="2">
        <f t="shared" ca="1" si="107"/>
        <v>1.9180510001807868E-2</v>
      </c>
      <c r="S399" s="4">
        <f t="shared" si="108"/>
        <v>3.3083330000000002</v>
      </c>
      <c r="T399">
        <v>3.3825418960930556</v>
      </c>
      <c r="U399">
        <f t="shared" si="109"/>
        <v>7.4208896093055365E-2</v>
      </c>
      <c r="V399" s="2">
        <f t="shared" si="110"/>
        <v>2.2430902842324324E-2</v>
      </c>
      <c r="W399">
        <f>(T399+5/3)/(1/12)</f>
        <v>60.590502753116674</v>
      </c>
      <c r="X399" s="2">
        <f t="shared" si="111"/>
        <v>1.4916294022054789E-2</v>
      </c>
    </row>
    <row r="400" spans="5:24" x14ac:dyDescent="0.25">
      <c r="E400">
        <v>398</v>
      </c>
      <c r="F400">
        <f t="shared" si="96"/>
        <v>59.800000000000004</v>
      </c>
      <c r="G400">
        <f t="shared" si="97"/>
        <v>332.95</v>
      </c>
      <c r="H400" s="4">
        <f t="shared" si="98"/>
        <v>3.3166669999999998</v>
      </c>
      <c r="I400" s="4">
        <f t="shared" si="99"/>
        <v>2508.0152360000002</v>
      </c>
      <c r="J400" s="4">
        <f t="shared" si="100"/>
        <v>2.5280152360000003</v>
      </c>
      <c r="K400" s="4">
        <f t="shared" si="101"/>
        <v>1305.5893739999999</v>
      </c>
      <c r="L400">
        <f t="shared" si="102"/>
        <v>1.305589374</v>
      </c>
      <c r="M400">
        <f>$B$12*F400+$B$13</f>
        <v>1.3167668788056053</v>
      </c>
      <c r="N400">
        <f t="shared" si="103"/>
        <v>1.1177504805605309E-2</v>
      </c>
      <c r="O400" s="4">
        <f t="shared" ca="1" si="104"/>
        <v>4.7630035014577263</v>
      </c>
      <c r="P400" s="4">
        <f t="shared" si="105"/>
        <v>4.856462789573361</v>
      </c>
      <c r="Q400" s="4">
        <f t="shared" ca="1" si="106"/>
        <v>9.3459288115634642E-2</v>
      </c>
      <c r="R400" s="2">
        <f t="shared" ca="1" si="107"/>
        <v>1.9244312612934696E-2</v>
      </c>
      <c r="S400" s="4">
        <f t="shared" si="108"/>
        <v>3.3166669999999998</v>
      </c>
      <c r="T400">
        <v>3.3920299169623997</v>
      </c>
      <c r="U400">
        <f t="shared" si="109"/>
        <v>7.536291696239994E-2</v>
      </c>
      <c r="V400" s="2">
        <f t="shared" si="110"/>
        <v>2.2722485242684883E-2</v>
      </c>
      <c r="W400">
        <f>(T400+5/3)/(1/12)</f>
        <v>60.704359003548795</v>
      </c>
      <c r="X400" s="2">
        <f t="shared" si="111"/>
        <v>1.5123060260013225E-2</v>
      </c>
    </row>
    <row r="401" spans="5:24" x14ac:dyDescent="0.25">
      <c r="E401">
        <v>399</v>
      </c>
      <c r="F401">
        <f t="shared" si="96"/>
        <v>59.900000000000006</v>
      </c>
      <c r="G401">
        <f t="shared" si="97"/>
        <v>333.04999999999995</v>
      </c>
      <c r="H401" s="4">
        <f t="shared" si="98"/>
        <v>3.3250000000000002</v>
      </c>
      <c r="I401" s="4">
        <f t="shared" si="99"/>
        <v>2498.9886080000001</v>
      </c>
      <c r="J401" s="4">
        <f t="shared" si="100"/>
        <v>2.5189886080000004</v>
      </c>
      <c r="K401" s="4">
        <f t="shared" si="101"/>
        <v>1303.177637</v>
      </c>
      <c r="L401">
        <f t="shared" si="102"/>
        <v>1.3031776370000001</v>
      </c>
      <c r="M401">
        <f>$B$12*F401+$B$13</f>
        <v>1.3144190399827109</v>
      </c>
      <c r="N401">
        <f t="shared" si="103"/>
        <v>1.1241402982710813E-2</v>
      </c>
      <c r="O401" s="4">
        <f t="shared" ca="1" si="104"/>
        <v>4.7538211370262387</v>
      </c>
      <c r="P401" s="4">
        <f t="shared" si="105"/>
        <v>4.8478035560652666</v>
      </c>
      <c r="Q401" s="4">
        <f t="shared" ca="1" si="106"/>
        <v>9.3982419039027931E-2</v>
      </c>
      <c r="R401" s="2">
        <f t="shared" ca="1" si="107"/>
        <v>1.9386598064899525E-2</v>
      </c>
      <c r="S401" s="4">
        <f t="shared" si="108"/>
        <v>3.3250000000000002</v>
      </c>
      <c r="T401">
        <v>3.4009643580023194</v>
      </c>
      <c r="U401">
        <f t="shared" si="109"/>
        <v>7.5964358002319265E-2</v>
      </c>
      <c r="V401" s="2">
        <f t="shared" si="110"/>
        <v>2.284642345934414E-2</v>
      </c>
      <c r="W401">
        <f>(T401+5/3)/(1/12)</f>
        <v>60.81157229602784</v>
      </c>
      <c r="X401" s="2">
        <f t="shared" si="111"/>
        <v>1.5218235326007256E-2</v>
      </c>
    </row>
    <row r="402" spans="5:24" x14ac:dyDescent="0.25">
      <c r="E402">
        <v>400</v>
      </c>
      <c r="F402">
        <f t="shared" si="96"/>
        <v>60</v>
      </c>
      <c r="G402">
        <f t="shared" si="97"/>
        <v>333.15</v>
      </c>
      <c r="H402" s="4">
        <f t="shared" si="98"/>
        <v>3.3333330000000001</v>
      </c>
      <c r="I402" s="4">
        <f t="shared" si="99"/>
        <v>2489.9992539999998</v>
      </c>
      <c r="J402" s="4">
        <f t="shared" si="100"/>
        <v>2.5099992539999998</v>
      </c>
      <c r="K402" s="4">
        <f t="shared" si="101"/>
        <v>1300.767554</v>
      </c>
      <c r="L402">
        <f t="shared" si="102"/>
        <v>1.3007675540000001</v>
      </c>
      <c r="M402">
        <f>$B$12*F402+$B$13</f>
        <v>1.3120712011598166</v>
      </c>
      <c r="N402">
        <f t="shared" si="103"/>
        <v>1.1303647159816466E-2</v>
      </c>
      <c r="O402" s="4">
        <f t="shared" ca="1" si="104"/>
        <v>4.7454165014577256</v>
      </c>
      <c r="P402" s="4">
        <f t="shared" si="105"/>
        <v>4.8391443225571731</v>
      </c>
      <c r="Q402" s="4">
        <f t="shared" ca="1" si="106"/>
        <v>9.3727821099447439E-2</v>
      </c>
      <c r="R402" s="2">
        <f t="shared" ca="1" si="107"/>
        <v>1.9368676536995363E-2</v>
      </c>
      <c r="S402" s="4">
        <f t="shared" si="108"/>
        <v>3.3333330000000001</v>
      </c>
      <c r="T402">
        <v>3.4093483003812226</v>
      </c>
      <c r="U402">
        <f t="shared" si="109"/>
        <v>7.6015300381222506E-2</v>
      </c>
      <c r="V402" s="2">
        <f t="shared" si="110"/>
        <v>2.280459239482599E-2</v>
      </c>
      <c r="W402">
        <f>(T402+5/3)/(1/12)</f>
        <v>60.912179604574675</v>
      </c>
      <c r="X402" s="2">
        <f t="shared" si="111"/>
        <v>1.5202993409577915E-2</v>
      </c>
    </row>
    <row r="403" spans="5:24" x14ac:dyDescent="0.25">
      <c r="E403">
        <v>401</v>
      </c>
      <c r="F403">
        <f t="shared" si="96"/>
        <v>60.1</v>
      </c>
      <c r="G403">
        <f t="shared" si="97"/>
        <v>333.25</v>
      </c>
      <c r="H403" s="4">
        <f t="shared" si="98"/>
        <v>3.3416670000000002</v>
      </c>
      <c r="I403" s="4">
        <f t="shared" si="99"/>
        <v>2481.0470019999998</v>
      </c>
      <c r="J403" s="4">
        <f t="shared" si="100"/>
        <v>2.501047002</v>
      </c>
      <c r="K403" s="4">
        <f t="shared" si="101"/>
        <v>1298.3591389999999</v>
      </c>
      <c r="L403">
        <f t="shared" si="102"/>
        <v>1.298359139</v>
      </c>
      <c r="M403">
        <f>$B$12*F403+$B$13</f>
        <v>1.3097233623369222</v>
      </c>
      <c r="N403">
        <f t="shared" si="103"/>
        <v>1.1364223336922219E-2</v>
      </c>
      <c r="O403" s="4">
        <f t="shared" ca="1" si="104"/>
        <v>4.7358392274052488</v>
      </c>
      <c r="P403" s="4">
        <f t="shared" si="105"/>
        <v>4.8304850890490787</v>
      </c>
      <c r="Q403" s="4">
        <f t="shared" ca="1" si="106"/>
        <v>9.4645861643829932E-2</v>
      </c>
      <c r="R403" s="2">
        <f t="shared" ca="1" si="107"/>
        <v>1.9593448670071716E-2</v>
      </c>
      <c r="S403" s="4">
        <f t="shared" si="108"/>
        <v>3.3416670000000002</v>
      </c>
      <c r="T403">
        <v>3.4183121766711224</v>
      </c>
      <c r="U403">
        <f t="shared" si="109"/>
        <v>7.664517667112225E-2</v>
      </c>
      <c r="V403" s="2">
        <f t="shared" si="110"/>
        <v>2.2936210182260004E-2</v>
      </c>
      <c r="W403">
        <f>(T403+5/3)/(1/12)</f>
        <v>61.019746120053476</v>
      </c>
      <c r="X403" s="2">
        <f t="shared" si="111"/>
        <v>1.5303596007545335E-2</v>
      </c>
    </row>
    <row r="404" spans="5:24" x14ac:dyDescent="0.25">
      <c r="E404">
        <v>402</v>
      </c>
      <c r="F404">
        <f t="shared" si="96"/>
        <v>60.2</v>
      </c>
      <c r="G404">
        <f t="shared" si="97"/>
        <v>333.34999999999997</v>
      </c>
      <c r="H404" s="4">
        <f t="shared" si="98"/>
        <v>3.35</v>
      </c>
      <c r="I404" s="4">
        <f t="shared" si="99"/>
        <v>2472.1316820000002</v>
      </c>
      <c r="J404" s="4">
        <f t="shared" si="100"/>
        <v>2.4921316820000001</v>
      </c>
      <c r="K404" s="4">
        <f t="shared" si="101"/>
        <v>1295.952405</v>
      </c>
      <c r="L404">
        <f t="shared" si="102"/>
        <v>1.295952405</v>
      </c>
      <c r="M404">
        <f>$B$12*F404+$B$13</f>
        <v>1.3073755235140279</v>
      </c>
      <c r="N404">
        <f t="shared" si="103"/>
        <v>1.1423118514027886E-2</v>
      </c>
      <c r="O404" s="4">
        <f t="shared" ca="1" si="104"/>
        <v>4.7274563644314869</v>
      </c>
      <c r="P404" s="4">
        <f t="shared" si="105"/>
        <v>4.8218258555409843</v>
      </c>
      <c r="Q404" s="4">
        <f t="shared" ca="1" si="106"/>
        <v>9.4369491109497439E-2</v>
      </c>
      <c r="R404" s="2">
        <f t="shared" ca="1" si="107"/>
        <v>1.9571318819208924E-2</v>
      </c>
      <c r="S404" s="4">
        <f t="shared" si="108"/>
        <v>3.35</v>
      </c>
      <c r="T404">
        <v>3.4272900606262384</v>
      </c>
      <c r="U404">
        <f t="shared" si="109"/>
        <v>7.7290060626238333E-2</v>
      </c>
      <c r="V404" s="2">
        <f t="shared" si="110"/>
        <v>2.3071659888429352E-2</v>
      </c>
      <c r="W404">
        <f>(T404+5/3)/(1/12)</f>
        <v>61.127480727514865</v>
      </c>
      <c r="X404" s="2">
        <f t="shared" si="111"/>
        <v>1.5406656603236906E-2</v>
      </c>
    </row>
    <row r="405" spans="5:24" x14ac:dyDescent="0.25">
      <c r="E405">
        <v>403</v>
      </c>
      <c r="F405">
        <f t="shared" si="96"/>
        <v>60.300000000000004</v>
      </c>
      <c r="G405">
        <f t="shared" si="97"/>
        <v>333.45</v>
      </c>
      <c r="H405" s="4">
        <f t="shared" si="98"/>
        <v>3.358333</v>
      </c>
      <c r="I405" s="4">
        <f t="shared" si="99"/>
        <v>2463.253123</v>
      </c>
      <c r="J405" s="4">
        <f t="shared" si="100"/>
        <v>2.4832531229999999</v>
      </c>
      <c r="K405" s="4">
        <f t="shared" si="101"/>
        <v>1293.5473669999999</v>
      </c>
      <c r="L405">
        <f t="shared" si="102"/>
        <v>1.2935473669999999</v>
      </c>
      <c r="M405">
        <f>$B$12*F405+$B$13</f>
        <v>1.3050276846911335</v>
      </c>
      <c r="N405">
        <f t="shared" si="103"/>
        <v>1.1480317691133557E-2</v>
      </c>
      <c r="O405" s="4">
        <f t="shared" ca="1" si="104"/>
        <v>4.717516498542274</v>
      </c>
      <c r="P405" s="4">
        <f t="shared" si="105"/>
        <v>4.8131666220328899</v>
      </c>
      <c r="Q405" s="4">
        <f t="shared" ca="1" si="106"/>
        <v>9.5650123490615968E-2</v>
      </c>
      <c r="R405" s="2">
        <f t="shared" ca="1" si="107"/>
        <v>1.9872597606067743E-2</v>
      </c>
      <c r="S405" s="4">
        <f t="shared" si="108"/>
        <v>3.358333</v>
      </c>
      <c r="T405">
        <v>3.4357202847119268</v>
      </c>
      <c r="U405">
        <f t="shared" si="109"/>
        <v>7.7387284711926796E-2</v>
      </c>
      <c r="V405" s="2">
        <f t="shared" si="110"/>
        <v>2.3043362499170508E-2</v>
      </c>
      <c r="W405">
        <f>(T405+5/3)/(1/12)</f>
        <v>61.228643416543129</v>
      </c>
      <c r="X405" s="2">
        <f t="shared" si="111"/>
        <v>1.5400388334048498E-2</v>
      </c>
    </row>
    <row r="406" spans="5:24" x14ac:dyDescent="0.25">
      <c r="E406">
        <v>404</v>
      </c>
      <c r="F406">
        <f t="shared" si="96"/>
        <v>60.400000000000006</v>
      </c>
      <c r="G406">
        <f t="shared" si="97"/>
        <v>333.54999999999995</v>
      </c>
      <c r="H406" s="4">
        <f t="shared" si="98"/>
        <v>3.3666670000000001</v>
      </c>
      <c r="I406" s="4">
        <f t="shared" si="99"/>
        <v>2454.4111539999999</v>
      </c>
      <c r="J406" s="4">
        <f t="shared" si="100"/>
        <v>2.4744111539999998</v>
      </c>
      <c r="K406" s="4">
        <f t="shared" si="101"/>
        <v>1291.144039</v>
      </c>
      <c r="L406">
        <f t="shared" si="102"/>
        <v>1.291144039</v>
      </c>
      <c r="M406">
        <f>$B$12*F406+$B$13</f>
        <v>1.3026798458682392</v>
      </c>
      <c r="N406">
        <f t="shared" si="103"/>
        <v>1.1535806868239185E-2</v>
      </c>
      <c r="O406" s="4">
        <f t="shared" ca="1" si="104"/>
        <v>4.7091358629737616</v>
      </c>
      <c r="P406" s="4">
        <f t="shared" si="105"/>
        <v>4.8045073885247955</v>
      </c>
      <c r="Q406" s="4">
        <f t="shared" ca="1" si="106"/>
        <v>9.5371525551033898E-2</v>
      </c>
      <c r="R406" s="2">
        <f t="shared" ca="1" si="107"/>
        <v>1.9850427492071634E-2</v>
      </c>
      <c r="S406" s="4">
        <f t="shared" si="108"/>
        <v>3.3666670000000001</v>
      </c>
      <c r="T406">
        <v>3.4441664061948356</v>
      </c>
      <c r="U406">
        <f t="shared" si="109"/>
        <v>7.749940619483553E-2</v>
      </c>
      <c r="V406" s="2">
        <f t="shared" si="110"/>
        <v>2.3019623323255769E-2</v>
      </c>
      <c r="W406">
        <f>(T406+5/3)/(1/12)</f>
        <v>61.329996874338029</v>
      </c>
      <c r="X406" s="2">
        <f t="shared" si="111"/>
        <v>1.5397299244007007E-2</v>
      </c>
    </row>
    <row r="407" spans="5:24" x14ac:dyDescent="0.25">
      <c r="E407">
        <v>405</v>
      </c>
      <c r="F407">
        <f t="shared" si="96"/>
        <v>60.5</v>
      </c>
      <c r="G407">
        <f t="shared" si="97"/>
        <v>333.65</v>
      </c>
      <c r="H407" s="4">
        <f t="shared" si="98"/>
        <v>3.375</v>
      </c>
      <c r="I407" s="4">
        <f t="shared" si="99"/>
        <v>2445.6056079999998</v>
      </c>
      <c r="J407" s="4">
        <f t="shared" si="100"/>
        <v>2.4656056079999997</v>
      </c>
      <c r="K407" s="4">
        <f t="shared" si="101"/>
        <v>1288.7424329999999</v>
      </c>
      <c r="L407">
        <f t="shared" si="102"/>
        <v>1.2887424329999999</v>
      </c>
      <c r="M407">
        <f>$B$12*F407+$B$13</f>
        <v>1.300332007045345</v>
      </c>
      <c r="N407">
        <f t="shared" si="103"/>
        <v>1.1589574045345108E-2</v>
      </c>
      <c r="O407" s="4">
        <f t="shared" ca="1" si="104"/>
        <v>4.7007719999999997</v>
      </c>
      <c r="P407" s="4">
        <f t="shared" si="105"/>
        <v>4.795848155016702</v>
      </c>
      <c r="Q407" s="4">
        <f t="shared" ca="1" si="106"/>
        <v>9.5076155016702302E-2</v>
      </c>
      <c r="R407" s="2">
        <f t="shared" ca="1" si="107"/>
        <v>1.982468000310806E-2</v>
      </c>
      <c r="S407" s="4">
        <f t="shared" si="108"/>
        <v>3.375</v>
      </c>
      <c r="T407">
        <v>3.4531877270566667</v>
      </c>
      <c r="U407">
        <f t="shared" si="109"/>
        <v>7.8187727056666656E-2</v>
      </c>
      <c r="V407" s="2">
        <f t="shared" si="110"/>
        <v>2.3166733942716046E-2</v>
      </c>
      <c r="W407">
        <f>(T407+5/3)/(1/12)</f>
        <v>61.438252724679998</v>
      </c>
      <c r="X407" s="2">
        <f t="shared" si="111"/>
        <v>1.5508309498842944E-2</v>
      </c>
    </row>
    <row r="408" spans="5:24" x14ac:dyDescent="0.25">
      <c r="E408">
        <v>406</v>
      </c>
      <c r="F408">
        <f t="shared" si="96"/>
        <v>60.6</v>
      </c>
      <c r="G408">
        <f t="shared" si="97"/>
        <v>333.75</v>
      </c>
      <c r="H408" s="4">
        <f t="shared" si="98"/>
        <v>3.3833329999999999</v>
      </c>
      <c r="I408" s="4">
        <f t="shared" si="99"/>
        <v>2436.8363159999999</v>
      </c>
      <c r="J408" s="4">
        <f t="shared" si="100"/>
        <v>2.456836316</v>
      </c>
      <c r="K408" s="4">
        <f t="shared" si="101"/>
        <v>1286.3425649999999</v>
      </c>
      <c r="L408">
        <f t="shared" si="102"/>
        <v>1.286342565</v>
      </c>
      <c r="M408">
        <f>$B$12*F408+$B$13</f>
        <v>1.2979841682224504</v>
      </c>
      <c r="N408">
        <f t="shared" si="103"/>
        <v>1.1641603222450447E-2</v>
      </c>
      <c r="O408" s="4">
        <f t="shared" ca="1" si="104"/>
        <v>4.6916326355685127</v>
      </c>
      <c r="P408" s="4">
        <f t="shared" si="105"/>
        <v>4.7871889215086076</v>
      </c>
      <c r="Q408" s="4">
        <f t="shared" ca="1" si="106"/>
        <v>9.5556285940094909E-2</v>
      </c>
      <c r="R408" s="2">
        <f t="shared" ca="1" si="107"/>
        <v>1.9960834532927071E-2</v>
      </c>
      <c r="S408" s="4">
        <f t="shared" si="108"/>
        <v>3.3833329999999999</v>
      </c>
      <c r="T408">
        <v>3.4622225823378203</v>
      </c>
      <c r="U408">
        <f t="shared" si="109"/>
        <v>7.8889582337820396E-2</v>
      </c>
      <c r="V408" s="2">
        <f t="shared" si="110"/>
        <v>2.3317120229613932E-2</v>
      </c>
      <c r="W408">
        <f>(T408+5/3)/(1/12)</f>
        <v>61.546670988053847</v>
      </c>
      <c r="X408" s="2">
        <f t="shared" si="111"/>
        <v>1.5621633466235081E-2</v>
      </c>
    </row>
    <row r="409" spans="5:24" x14ac:dyDescent="0.25">
      <c r="E409">
        <v>407</v>
      </c>
      <c r="F409">
        <f t="shared" si="96"/>
        <v>60.7</v>
      </c>
      <c r="G409">
        <f t="shared" si="97"/>
        <v>333.84999999999997</v>
      </c>
      <c r="H409" s="4">
        <f t="shared" si="98"/>
        <v>3.391667</v>
      </c>
      <c r="I409" s="4">
        <f t="shared" si="99"/>
        <v>2428.10311</v>
      </c>
      <c r="J409" s="4">
        <f t="shared" si="100"/>
        <v>2.4481031099999999</v>
      </c>
      <c r="K409" s="4">
        <f t="shared" si="101"/>
        <v>1283.944446</v>
      </c>
      <c r="L409">
        <f t="shared" si="102"/>
        <v>1.283944446</v>
      </c>
      <c r="M409">
        <f>$B$12*F409+$B$13</f>
        <v>1.2956363293995561</v>
      </c>
      <c r="N409">
        <f t="shared" si="103"/>
        <v>1.1691883399556069E-2</v>
      </c>
      <c r="O409" s="4">
        <f t="shared" ca="1" si="104"/>
        <v>4.6828748629737618</v>
      </c>
      <c r="P409" s="4">
        <f t="shared" si="105"/>
        <v>4.7785296880005133</v>
      </c>
      <c r="Q409" s="4">
        <f t="shared" ca="1" si="106"/>
        <v>9.5654825026751489E-2</v>
      </c>
      <c r="R409" s="2">
        <f t="shared" ca="1" si="107"/>
        <v>2.0017627025934931E-2</v>
      </c>
      <c r="S409" s="4">
        <f t="shared" si="108"/>
        <v>3.391667</v>
      </c>
      <c r="T409">
        <v>3.4707135522888941</v>
      </c>
      <c r="U409">
        <f t="shared" si="109"/>
        <v>7.9046552288894123E-2</v>
      </c>
      <c r="V409" s="2">
        <f t="shared" si="110"/>
        <v>2.3306106492439891E-2</v>
      </c>
      <c r="W409">
        <f>(T409+5/3)/(1/12)</f>
        <v>61.648562627466731</v>
      </c>
      <c r="X409" s="2">
        <f t="shared" si="111"/>
        <v>1.5627061408018585E-2</v>
      </c>
    </row>
    <row r="410" spans="5:24" x14ac:dyDescent="0.25">
      <c r="E410">
        <v>408</v>
      </c>
      <c r="F410">
        <f t="shared" si="96"/>
        <v>60.800000000000004</v>
      </c>
      <c r="G410">
        <f t="shared" si="97"/>
        <v>333.95</v>
      </c>
      <c r="H410" s="4">
        <f t="shared" si="98"/>
        <v>3.4</v>
      </c>
      <c r="I410" s="4">
        <f t="shared" si="99"/>
        <v>2419.4058260000002</v>
      </c>
      <c r="J410" s="4">
        <f t="shared" si="100"/>
        <v>2.4394058260000002</v>
      </c>
      <c r="K410" s="4">
        <f t="shared" si="101"/>
        <v>1281.548092</v>
      </c>
      <c r="L410">
        <f t="shared" si="102"/>
        <v>1.281548092</v>
      </c>
      <c r="M410">
        <f>$B$12*F410+$B$13</f>
        <v>1.2932884905766617</v>
      </c>
      <c r="N410">
        <f t="shared" si="103"/>
        <v>1.1740398576661759E-2</v>
      </c>
      <c r="O410" s="4">
        <f t="shared" ca="1" si="104"/>
        <v>4.6749153644314871</v>
      </c>
      <c r="P410" s="4">
        <f t="shared" si="105"/>
        <v>4.7698704544924189</v>
      </c>
      <c r="Q410" s="4">
        <f t="shared" ca="1" si="106"/>
        <v>9.4955090060931724E-2</v>
      </c>
      <c r="R410" s="2">
        <f t="shared" ca="1" si="107"/>
        <v>1.9907268125384819E-2</v>
      </c>
      <c r="S410" s="4">
        <f t="shared" si="108"/>
        <v>3.4</v>
      </c>
      <c r="T410">
        <v>3.4803324258001069</v>
      </c>
      <c r="U410">
        <f t="shared" si="109"/>
        <v>8.0332425800107021E-2</v>
      </c>
      <c r="V410" s="2">
        <f t="shared" si="110"/>
        <v>2.3627184058855007E-2</v>
      </c>
      <c r="W410">
        <f>(T410+5/3)/(1/12)</f>
        <v>61.76398910960129</v>
      </c>
      <c r="X410" s="2">
        <f t="shared" si="111"/>
        <v>1.5855084039494836E-2</v>
      </c>
    </row>
    <row r="411" spans="5:24" x14ac:dyDescent="0.25">
      <c r="E411">
        <v>409</v>
      </c>
      <c r="F411">
        <f t="shared" si="96"/>
        <v>60.900000000000006</v>
      </c>
      <c r="G411">
        <f t="shared" si="97"/>
        <v>334.04999999999995</v>
      </c>
      <c r="H411" s="4">
        <f t="shared" si="98"/>
        <v>3.4083329999999998</v>
      </c>
      <c r="I411" s="4">
        <f t="shared" si="99"/>
        <v>2410.7442970000002</v>
      </c>
      <c r="J411" s="4">
        <f t="shared" si="100"/>
        <v>2.4307442970000004</v>
      </c>
      <c r="K411" s="4">
        <f t="shared" si="101"/>
        <v>1279.153515</v>
      </c>
      <c r="L411">
        <f t="shared" si="102"/>
        <v>1.279153515</v>
      </c>
      <c r="M411">
        <f>$B$12*F411+$B$13</f>
        <v>1.2909406517537674</v>
      </c>
      <c r="N411">
        <f t="shared" si="103"/>
        <v>1.1787136753767413E-2</v>
      </c>
      <c r="O411" s="4">
        <f t="shared" ca="1" si="104"/>
        <v>4.6661921370262389</v>
      </c>
      <c r="P411" s="4">
        <f t="shared" si="105"/>
        <v>4.7612112209843245</v>
      </c>
      <c r="Q411" s="4">
        <f t="shared" ca="1" si="106"/>
        <v>9.501908395808556E-2</v>
      </c>
      <c r="R411" s="2">
        <f t="shared" ca="1" si="107"/>
        <v>1.9956914227897134E-2</v>
      </c>
      <c r="S411" s="4">
        <f t="shared" si="108"/>
        <v>3.4083329999999998</v>
      </c>
      <c r="T411">
        <v>3.488851993520766</v>
      </c>
      <c r="U411">
        <f t="shared" si="109"/>
        <v>8.0518993520766191E-2</v>
      </c>
      <c r="V411" s="2">
        <f t="shared" si="110"/>
        <v>2.3624156888650903E-2</v>
      </c>
      <c r="W411">
        <f>(T411+5/3)/(1/12)</f>
        <v>61.866223922249191</v>
      </c>
      <c r="X411" s="2">
        <f t="shared" si="111"/>
        <v>1.5865745849740306E-2</v>
      </c>
    </row>
    <row r="412" spans="5:24" x14ac:dyDescent="0.25">
      <c r="E412">
        <v>410</v>
      </c>
      <c r="F412">
        <f t="shared" si="96"/>
        <v>61</v>
      </c>
      <c r="G412">
        <f t="shared" si="97"/>
        <v>334.15</v>
      </c>
      <c r="H412" s="4">
        <f t="shared" si="98"/>
        <v>3.4166669999999999</v>
      </c>
      <c r="I412" s="4">
        <f t="shared" si="99"/>
        <v>2402.1183590000001</v>
      </c>
      <c r="J412" s="4">
        <f t="shared" si="100"/>
        <v>2.4221183590000002</v>
      </c>
      <c r="K412" s="4">
        <f t="shared" si="101"/>
        <v>1276.7607290000001</v>
      </c>
      <c r="L412">
        <f t="shared" si="102"/>
        <v>1.276760729</v>
      </c>
      <c r="M412">
        <f>$B$12*F412+$B$13</f>
        <v>1.2885928129308732</v>
      </c>
      <c r="N412">
        <f t="shared" si="103"/>
        <v>1.1832083930873205E-2</v>
      </c>
      <c r="O412" s="4">
        <f t="shared" ca="1" si="104"/>
        <v>4.6566826355685125</v>
      </c>
      <c r="P412" s="4">
        <f t="shared" si="105"/>
        <v>4.752551987476231</v>
      </c>
      <c r="Q412" s="4">
        <f t="shared" ca="1" si="106"/>
        <v>9.5869351907718503E-2</v>
      </c>
      <c r="R412" s="2">
        <f t="shared" ca="1" si="107"/>
        <v>2.0172183736306363E-2</v>
      </c>
      <c r="S412" s="4">
        <f t="shared" si="108"/>
        <v>3.4166669999999999</v>
      </c>
      <c r="T412">
        <v>3.4979408687242635</v>
      </c>
      <c r="U412">
        <f t="shared" si="109"/>
        <v>8.1273868724263565E-2</v>
      </c>
      <c r="V412" s="2">
        <f t="shared" si="110"/>
        <v>2.3787471452226268E-2</v>
      </c>
      <c r="W412">
        <f>(T412+5/3)/(1/12)</f>
        <v>61.97529042469116</v>
      </c>
      <c r="X412" s="2">
        <f t="shared" si="111"/>
        <v>1.5988367617887866E-2</v>
      </c>
    </row>
    <row r="413" spans="5:24" x14ac:dyDescent="0.25">
      <c r="E413">
        <v>411</v>
      </c>
      <c r="F413">
        <f t="shared" si="96"/>
        <v>61.1</v>
      </c>
      <c r="G413">
        <f t="shared" si="97"/>
        <v>334.25</v>
      </c>
      <c r="H413" s="4">
        <f t="shared" si="98"/>
        <v>3.4249999999999998</v>
      </c>
      <c r="I413" s="4">
        <f t="shared" si="99"/>
        <v>2393.5278480000002</v>
      </c>
      <c r="J413" s="4">
        <f t="shared" si="100"/>
        <v>2.4135278480000002</v>
      </c>
      <c r="K413" s="4">
        <f t="shared" si="101"/>
        <v>1274.369747</v>
      </c>
      <c r="L413">
        <f t="shared" si="102"/>
        <v>1.2743697469999999</v>
      </c>
      <c r="M413">
        <f>$B$12*F413+$B$13</f>
        <v>1.2862449741079789</v>
      </c>
      <c r="N413">
        <f t="shared" si="103"/>
        <v>1.1875227107978947E-2</v>
      </c>
      <c r="O413" s="4">
        <f t="shared" ca="1" si="104"/>
        <v>4.6483577725947516</v>
      </c>
      <c r="P413" s="4">
        <f t="shared" si="105"/>
        <v>4.7438927539681366</v>
      </c>
      <c r="Q413" s="4">
        <f t="shared" ca="1" si="106"/>
        <v>9.5534981373385008E-2</v>
      </c>
      <c r="R413" s="2">
        <f t="shared" ca="1" si="107"/>
        <v>2.0138520478455716E-2</v>
      </c>
      <c r="S413" s="4">
        <f t="shared" si="108"/>
        <v>3.4249999999999998</v>
      </c>
      <c r="T413">
        <v>3.5064896200434239</v>
      </c>
      <c r="U413">
        <f t="shared" si="109"/>
        <v>8.1489620043424082E-2</v>
      </c>
      <c r="V413" s="2">
        <f t="shared" si="110"/>
        <v>2.3792589793700462E-2</v>
      </c>
      <c r="W413">
        <f>(T413+5/3)/(1/12)</f>
        <v>62.07787544052109</v>
      </c>
      <c r="X413" s="2">
        <f t="shared" si="111"/>
        <v>1.6004508028168395E-2</v>
      </c>
    </row>
    <row r="414" spans="5:24" x14ac:dyDescent="0.25">
      <c r="E414">
        <v>412</v>
      </c>
      <c r="F414">
        <f t="shared" si="96"/>
        <v>61.2</v>
      </c>
      <c r="G414">
        <f t="shared" si="97"/>
        <v>334.34999999999997</v>
      </c>
      <c r="H414" s="4">
        <f t="shared" si="98"/>
        <v>3.4333330000000002</v>
      </c>
      <c r="I414" s="4">
        <f t="shared" si="99"/>
        <v>2384.9726009999999</v>
      </c>
      <c r="J414" s="4">
        <f t="shared" si="100"/>
        <v>2.4049726009999999</v>
      </c>
      <c r="K414" s="4">
        <f t="shared" si="101"/>
        <v>1271.980583</v>
      </c>
      <c r="L414">
        <f t="shared" si="102"/>
        <v>1.2719805829999999</v>
      </c>
      <c r="M414">
        <f>$B$12*F414+$B$13</f>
        <v>1.2838971352850845</v>
      </c>
      <c r="N414">
        <f t="shared" si="103"/>
        <v>1.1916552285084592E-2</v>
      </c>
      <c r="O414" s="4">
        <f t="shared" ca="1" si="104"/>
        <v>4.6392466355685125</v>
      </c>
      <c r="P414" s="4">
        <f t="shared" si="105"/>
        <v>4.7352335204600431</v>
      </c>
      <c r="Q414" s="4">
        <f t="shared" ca="1" si="106"/>
        <v>9.5986884891530622E-2</v>
      </c>
      <c r="R414" s="2">
        <f t="shared" ca="1" si="107"/>
        <v>2.0270781678831583E-2</v>
      </c>
      <c r="S414" s="4">
        <f t="shared" si="108"/>
        <v>3.4333330000000002</v>
      </c>
      <c r="T414">
        <v>3.5156053277026862</v>
      </c>
      <c r="U414">
        <f t="shared" si="109"/>
        <v>8.2272327702685999E-2</v>
      </c>
      <c r="V414" s="2">
        <f t="shared" si="110"/>
        <v>2.3962816220473224E-2</v>
      </c>
      <c r="W414">
        <f>(T414+5/3)/(1/12)</f>
        <v>62.187263932432238</v>
      </c>
      <c r="X414" s="2">
        <f t="shared" si="111"/>
        <v>1.6131763601833903E-2</v>
      </c>
    </row>
    <row r="415" spans="5:24" x14ac:dyDescent="0.25">
      <c r="E415">
        <v>413</v>
      </c>
      <c r="F415">
        <f t="shared" si="96"/>
        <v>61.300000000000004</v>
      </c>
      <c r="G415">
        <f t="shared" si="97"/>
        <v>334.45</v>
      </c>
      <c r="H415" s="4">
        <f t="shared" si="98"/>
        <v>3.4416669999999998</v>
      </c>
      <c r="I415" s="4">
        <f t="shared" si="99"/>
        <v>2376.4524569999999</v>
      </c>
      <c r="J415" s="4">
        <f t="shared" si="100"/>
        <v>2.3964524570000001</v>
      </c>
      <c r="K415" s="4">
        <f t="shared" si="101"/>
        <v>1269.593249</v>
      </c>
      <c r="L415">
        <f t="shared" si="102"/>
        <v>1.2695932490000001</v>
      </c>
      <c r="M415">
        <f>$B$12*F415+$B$13</f>
        <v>1.28154929646219</v>
      </c>
      <c r="N415">
        <f t="shared" si="103"/>
        <v>1.1956047462189812E-2</v>
      </c>
      <c r="O415" s="4">
        <f t="shared" ca="1" si="104"/>
        <v>4.6317055014577262</v>
      </c>
      <c r="P415" s="4">
        <f t="shared" si="105"/>
        <v>4.7265742869519478</v>
      </c>
      <c r="Q415" s="4">
        <f t="shared" ca="1" si="106"/>
        <v>9.4868785494221619E-2</v>
      </c>
      <c r="R415" s="2">
        <f t="shared" ca="1" si="107"/>
        <v>2.0071362414870703E-2</v>
      </c>
      <c r="S415" s="4">
        <f t="shared" si="108"/>
        <v>3.4416669999999998</v>
      </c>
      <c r="T415">
        <v>3.5241827878759886</v>
      </c>
      <c r="U415">
        <f t="shared" si="109"/>
        <v>8.2515787875988789E-2</v>
      </c>
      <c r="V415" s="2">
        <f t="shared" si="110"/>
        <v>2.3975529264158559E-2</v>
      </c>
      <c r="W415">
        <f>(T415+5/3)/(1/12)</f>
        <v>62.290193454511865</v>
      </c>
      <c r="X415" s="2">
        <f t="shared" si="111"/>
        <v>1.6153237430862326E-2</v>
      </c>
    </row>
    <row r="416" spans="5:24" x14ac:dyDescent="0.25">
      <c r="E416">
        <v>414</v>
      </c>
      <c r="F416">
        <f t="shared" si="96"/>
        <v>61.400000000000006</v>
      </c>
      <c r="G416">
        <f t="shared" si="97"/>
        <v>334.54999999999995</v>
      </c>
      <c r="H416" s="4">
        <f t="shared" si="98"/>
        <v>3.45</v>
      </c>
      <c r="I416" s="4">
        <f t="shared" si="99"/>
        <v>2367.9672529999998</v>
      </c>
      <c r="J416" s="4">
        <f t="shared" si="100"/>
        <v>2.3879672529999998</v>
      </c>
      <c r="K416" s="4">
        <f t="shared" si="101"/>
        <v>1267.20776</v>
      </c>
      <c r="L416">
        <f t="shared" si="102"/>
        <v>1.26720776</v>
      </c>
      <c r="M416">
        <f>$B$12*F416+$B$13</f>
        <v>1.2792014576392956</v>
      </c>
      <c r="N416">
        <f t="shared" si="103"/>
        <v>1.1993697639295586E-2</v>
      </c>
      <c r="O416" s="4">
        <f t="shared" ca="1" si="104"/>
        <v>4.622223</v>
      </c>
      <c r="P416" s="4">
        <f t="shared" si="105"/>
        <v>4.7179150534438534</v>
      </c>
      <c r="Q416" s="4">
        <f t="shared" ca="1" si="106"/>
        <v>9.5692053443853453E-2</v>
      </c>
      <c r="R416" s="2">
        <f t="shared" ca="1" si="107"/>
        <v>2.0282699531438745E-2</v>
      </c>
      <c r="S416" s="4">
        <f t="shared" si="108"/>
        <v>3.45</v>
      </c>
      <c r="T416">
        <v>3.5327749518205267</v>
      </c>
      <c r="U416">
        <f t="shared" si="109"/>
        <v>8.2774951820526521E-2</v>
      </c>
      <c r="V416" s="2">
        <f t="shared" si="110"/>
        <v>2.3992739658123628E-2</v>
      </c>
      <c r="W416">
        <f>(T416+5/3)/(1/12)</f>
        <v>62.393299421846322</v>
      </c>
      <c r="X416" s="2">
        <f t="shared" si="111"/>
        <v>1.6177515013783655E-2</v>
      </c>
    </row>
    <row r="417" spans="5:24" x14ac:dyDescent="0.25">
      <c r="E417">
        <v>415</v>
      </c>
      <c r="F417">
        <f t="shared" si="96"/>
        <v>61.5</v>
      </c>
      <c r="G417">
        <f t="shared" si="97"/>
        <v>334.65</v>
      </c>
      <c r="H417" s="4">
        <f t="shared" si="98"/>
        <v>3.4583330000000001</v>
      </c>
      <c r="I417" s="4">
        <f t="shared" si="99"/>
        <v>2359.5168290000001</v>
      </c>
      <c r="J417" s="4">
        <f t="shared" si="100"/>
        <v>2.3795168290000004</v>
      </c>
      <c r="K417" s="4">
        <f t="shared" si="101"/>
        <v>1264.8241270000001</v>
      </c>
      <c r="L417">
        <f t="shared" si="102"/>
        <v>1.264824127</v>
      </c>
      <c r="M417">
        <f>$B$12*F417+$B$13</f>
        <v>1.2768536188164015</v>
      </c>
      <c r="N417">
        <f t="shared" si="103"/>
        <v>1.202949181640145E-2</v>
      </c>
      <c r="O417" s="4">
        <f t="shared" ca="1" si="104"/>
        <v>4.6131436355685125</v>
      </c>
      <c r="P417" s="4">
        <f t="shared" si="105"/>
        <v>4.7092558199357599</v>
      </c>
      <c r="Q417" s="4">
        <f t="shared" ca="1" si="106"/>
        <v>9.6112184367247444E-2</v>
      </c>
      <c r="R417" s="2">
        <f t="shared" ca="1" si="107"/>
        <v>2.0409208597327495E-2</v>
      </c>
      <c r="S417" s="4">
        <f t="shared" si="108"/>
        <v>3.4583330000000001</v>
      </c>
      <c r="T417">
        <v>3.5419305523743048</v>
      </c>
      <c r="U417">
        <f t="shared" si="109"/>
        <v>8.3597552374304662E-2</v>
      </c>
      <c r="V417" s="2">
        <f t="shared" si="110"/>
        <v>2.4172788558621931E-2</v>
      </c>
      <c r="W417">
        <f>(T417+5/3)/(1/12)</f>
        <v>62.503166628491655</v>
      </c>
      <c r="X417" s="2">
        <f t="shared" si="111"/>
        <v>1.6311652495799276E-2</v>
      </c>
    </row>
    <row r="418" spans="5:24" x14ac:dyDescent="0.25">
      <c r="E418">
        <v>416</v>
      </c>
      <c r="F418">
        <f t="shared" si="96"/>
        <v>61.6</v>
      </c>
      <c r="G418">
        <f t="shared" si="97"/>
        <v>334.75</v>
      </c>
      <c r="H418" s="4">
        <f t="shared" si="98"/>
        <v>3.4666670000000002</v>
      </c>
      <c r="I418" s="4">
        <f t="shared" si="99"/>
        <v>2351.1010259999998</v>
      </c>
      <c r="J418" s="4">
        <f t="shared" si="100"/>
        <v>2.3711010259999998</v>
      </c>
      <c r="K418" s="4">
        <f t="shared" si="101"/>
        <v>1262.4423650000001</v>
      </c>
      <c r="L418">
        <f t="shared" si="102"/>
        <v>1.2624423650000001</v>
      </c>
      <c r="M418">
        <f>$B$12*F418+$B$13</f>
        <v>1.2745057799935071</v>
      </c>
      <c r="N418">
        <f t="shared" si="103"/>
        <v>1.2063414993507049E-2</v>
      </c>
      <c r="O418" s="4">
        <f t="shared" ca="1" si="104"/>
        <v>4.6052263644314877</v>
      </c>
      <c r="P418" s="4">
        <f t="shared" si="105"/>
        <v>4.7005965864276655</v>
      </c>
      <c r="Q418" s="4">
        <f t="shared" ca="1" si="106"/>
        <v>9.537022199617784E-2</v>
      </c>
      <c r="R418" s="2">
        <f t="shared" ca="1" si="107"/>
        <v>2.0288961250481782E-2</v>
      </c>
      <c r="S418" s="4">
        <f t="shared" si="108"/>
        <v>3.4666670000000002</v>
      </c>
      <c r="T418">
        <v>3.5505507140238715</v>
      </c>
      <c r="U418">
        <f t="shared" si="109"/>
        <v>8.3883714023871292E-2</v>
      </c>
      <c r="V418" s="2">
        <f t="shared" si="110"/>
        <v>2.4197222872537595E-2</v>
      </c>
      <c r="W418">
        <f>(T418+5/3)/(1/12)</f>
        <v>62.606608568286461</v>
      </c>
      <c r="X418" s="2">
        <f t="shared" si="111"/>
        <v>1.6341048186468501E-2</v>
      </c>
    </row>
    <row r="419" spans="5:24" x14ac:dyDescent="0.25">
      <c r="E419">
        <v>417</v>
      </c>
      <c r="F419">
        <f t="shared" si="96"/>
        <v>61.7</v>
      </c>
      <c r="G419">
        <f t="shared" si="97"/>
        <v>334.84999999999997</v>
      </c>
      <c r="H419" s="4">
        <f t="shared" si="98"/>
        <v>3.4750000000000001</v>
      </c>
      <c r="I419" s="4">
        <f t="shared" si="99"/>
        <v>2342.719685</v>
      </c>
      <c r="J419" s="4">
        <f t="shared" si="100"/>
        <v>2.3627196850000001</v>
      </c>
      <c r="K419" s="4">
        <f t="shared" si="101"/>
        <v>1260.0624849999999</v>
      </c>
      <c r="L419">
        <f t="shared" si="102"/>
        <v>1.260062485</v>
      </c>
      <c r="M419">
        <f>$B$12*F419+$B$13</f>
        <v>1.2721579411706128</v>
      </c>
      <c r="N419">
        <f t="shared" si="103"/>
        <v>1.2095456170612806E-2</v>
      </c>
      <c r="O419" s="4">
        <f t="shared" ca="1" si="104"/>
        <v>4.5961707725947516</v>
      </c>
      <c r="P419" s="4">
        <f t="shared" si="105"/>
        <v>4.6919373529195711</v>
      </c>
      <c r="Q419" s="4">
        <f t="shared" ca="1" si="106"/>
        <v>9.576658032481955E-2</v>
      </c>
      <c r="R419" s="2">
        <f t="shared" ca="1" si="107"/>
        <v>2.0410882141303214E-2</v>
      </c>
      <c r="S419" s="4">
        <f t="shared" si="108"/>
        <v>3.4750000000000001</v>
      </c>
      <c r="T419">
        <v>3.5597319716802804</v>
      </c>
      <c r="U419">
        <f t="shared" si="109"/>
        <v>8.4731971680280349E-2</v>
      </c>
      <c r="V419" s="2">
        <f t="shared" si="110"/>
        <v>2.4383301202958372E-2</v>
      </c>
      <c r="W419">
        <f>(T419+5/3)/(1/12)</f>
        <v>62.716783660163372</v>
      </c>
      <c r="X419" s="2">
        <f t="shared" si="111"/>
        <v>1.6479475853539212E-2</v>
      </c>
    </row>
    <row r="420" spans="5:24" x14ac:dyDescent="0.25">
      <c r="E420">
        <v>418</v>
      </c>
      <c r="F420">
        <f t="shared" si="96"/>
        <v>61.800000000000004</v>
      </c>
      <c r="G420">
        <f t="shared" si="97"/>
        <v>334.95</v>
      </c>
      <c r="H420" s="4">
        <f t="shared" si="98"/>
        <v>3.483333</v>
      </c>
      <c r="I420" s="4">
        <f t="shared" si="99"/>
        <v>2334.372648</v>
      </c>
      <c r="J420" s="4">
        <f t="shared" si="100"/>
        <v>2.354372648</v>
      </c>
      <c r="K420" s="4">
        <f t="shared" si="101"/>
        <v>1257.6845029999999</v>
      </c>
      <c r="L420">
        <f t="shared" si="102"/>
        <v>1.2576845029999999</v>
      </c>
      <c r="M420">
        <f>$B$12*F420+$B$13</f>
        <v>1.2698101023477184</v>
      </c>
      <c r="N420">
        <f t="shared" si="103"/>
        <v>1.2125599347718508E-2</v>
      </c>
      <c r="O420" s="4">
        <f t="shared" ca="1" si="104"/>
        <v>4.5870898629737615</v>
      </c>
      <c r="P420" s="4">
        <f t="shared" si="105"/>
        <v>4.6832781194114776</v>
      </c>
      <c r="Q420" s="4">
        <f t="shared" ca="1" si="106"/>
        <v>9.6188256437716113E-2</v>
      </c>
      <c r="R420" s="2">
        <f t="shared" ca="1" si="107"/>
        <v>2.0538659884201702E-2</v>
      </c>
      <c r="S420" s="4">
        <f t="shared" si="108"/>
        <v>3.483333</v>
      </c>
      <c r="T420">
        <v>3.5678339612738821</v>
      </c>
      <c r="U420">
        <f t="shared" si="109"/>
        <v>8.4500961273882069E-2</v>
      </c>
      <c r="V420" s="2">
        <f t="shared" si="110"/>
        <v>2.4258651490937578E-2</v>
      </c>
      <c r="W420">
        <f>(T420+5/3)/(1/12)</f>
        <v>62.814007535286592</v>
      </c>
      <c r="X420" s="2">
        <f t="shared" si="111"/>
        <v>1.6407888920494947E-2</v>
      </c>
    </row>
    <row r="421" spans="5:24" x14ac:dyDescent="0.25">
      <c r="E421">
        <v>419</v>
      </c>
      <c r="F421">
        <f t="shared" si="96"/>
        <v>61.900000000000006</v>
      </c>
      <c r="G421">
        <f t="shared" si="97"/>
        <v>335.04999999999995</v>
      </c>
      <c r="H421" s="4">
        <f t="shared" si="98"/>
        <v>3.4916670000000001</v>
      </c>
      <c r="I421" s="4">
        <f t="shared" si="99"/>
        <v>2326.059757</v>
      </c>
      <c r="J421" s="4">
        <f t="shared" si="100"/>
        <v>2.3460597569999999</v>
      </c>
      <c r="K421" s="4">
        <f t="shared" si="101"/>
        <v>1255.3084289999999</v>
      </c>
      <c r="L421">
        <f t="shared" si="102"/>
        <v>1.2553084290000001</v>
      </c>
      <c r="M421">
        <f>$B$12*F421+$B$13</f>
        <v>1.2674622635248241</v>
      </c>
      <c r="N421">
        <f t="shared" si="103"/>
        <v>1.2153834524823992E-2</v>
      </c>
      <c r="O421" s="4">
        <f t="shared" ca="1" si="104"/>
        <v>4.5792151370262388</v>
      </c>
      <c r="P421" s="4">
        <f t="shared" si="105"/>
        <v>4.6746188859033833</v>
      </c>
      <c r="Q421" s="4">
        <f t="shared" ca="1" si="106"/>
        <v>9.5403748877144423E-2</v>
      </c>
      <c r="R421" s="2">
        <f t="shared" ca="1" si="107"/>
        <v>2.0408882778624075E-2</v>
      </c>
      <c r="S421" s="4">
        <f t="shared" si="108"/>
        <v>3.4916670000000001</v>
      </c>
      <c r="T421">
        <v>3.576496809727634</v>
      </c>
      <c r="U421">
        <f t="shared" si="109"/>
        <v>8.4829809727633876E-2</v>
      </c>
      <c r="V421" s="2">
        <f t="shared" si="110"/>
        <v>2.4294931254221514E-2</v>
      </c>
      <c r="W421">
        <f>(T421+5/3)/(1/12)</f>
        <v>62.917961716731611</v>
      </c>
      <c r="X421" s="2">
        <f t="shared" si="111"/>
        <v>1.6445261982739986E-2</v>
      </c>
    </row>
    <row r="422" spans="5:24" x14ac:dyDescent="0.25">
      <c r="E422">
        <v>420</v>
      </c>
      <c r="F422">
        <f t="shared" si="96"/>
        <v>62</v>
      </c>
      <c r="G422">
        <f t="shared" si="97"/>
        <v>335.15</v>
      </c>
      <c r="H422" s="4">
        <f t="shared" si="98"/>
        <v>3.5</v>
      </c>
      <c r="I422" s="4">
        <f t="shared" si="99"/>
        <v>2317.7808559999999</v>
      </c>
      <c r="J422" s="4">
        <f t="shared" si="100"/>
        <v>2.3377808559999997</v>
      </c>
      <c r="K422" s="4">
        <f t="shared" si="101"/>
        <v>1252.934276</v>
      </c>
      <c r="L422">
        <f t="shared" si="102"/>
        <v>1.252934276</v>
      </c>
      <c r="M422">
        <f>$B$12*F422+$B$13</f>
        <v>1.2651144247019297</v>
      </c>
      <c r="N422">
        <f t="shared" si="103"/>
        <v>1.2180148701929738E-2</v>
      </c>
      <c r="O422" s="4">
        <f t="shared" ca="1" si="104"/>
        <v>4.5709415014577255</v>
      </c>
      <c r="P422" s="4">
        <f t="shared" si="105"/>
        <v>4.6659596523952889</v>
      </c>
      <c r="Q422" s="4">
        <f t="shared" ca="1" si="106"/>
        <v>9.5018150937563384E-2</v>
      </c>
      <c r="R422" s="2">
        <f t="shared" ca="1" si="107"/>
        <v>2.036411756985199E-2</v>
      </c>
      <c r="S422" s="4">
        <f t="shared" si="108"/>
        <v>3.5</v>
      </c>
      <c r="T422">
        <v>3.5851736495232687</v>
      </c>
      <c r="U422">
        <f t="shared" si="109"/>
        <v>8.5173649523268669E-2</v>
      </c>
      <c r="V422" s="2">
        <f t="shared" si="110"/>
        <v>2.4335328435219621E-2</v>
      </c>
      <c r="W422">
        <f>(T422+5/3)/(1/12)</f>
        <v>63.022083794279226</v>
      </c>
      <c r="X422" s="2">
        <f t="shared" si="111"/>
        <v>1.6485222488374609E-2</v>
      </c>
    </row>
    <row r="423" spans="5:24" x14ac:dyDescent="0.25">
      <c r="E423">
        <v>421</v>
      </c>
      <c r="F423">
        <f t="shared" si="96"/>
        <v>62.1</v>
      </c>
      <c r="G423">
        <f t="shared" si="97"/>
        <v>335.25</v>
      </c>
      <c r="H423" s="4">
        <f t="shared" si="98"/>
        <v>3.5083329999999999</v>
      </c>
      <c r="I423" s="4">
        <f t="shared" si="99"/>
        <v>2309.5357899999999</v>
      </c>
      <c r="J423" s="4">
        <f t="shared" si="100"/>
        <v>2.32953579</v>
      </c>
      <c r="K423" s="4">
        <f t="shared" si="101"/>
        <v>1250.5620590000001</v>
      </c>
      <c r="L423">
        <f t="shared" si="102"/>
        <v>1.2505620590000002</v>
      </c>
      <c r="M423">
        <f>$B$12*F423+$B$13</f>
        <v>1.2627665858790353</v>
      </c>
      <c r="N423">
        <f t="shared" si="103"/>
        <v>1.2204526879035171E-2</v>
      </c>
      <c r="O423" s="4">
        <f t="shared" ca="1" si="104"/>
        <v>4.5615069999999998</v>
      </c>
      <c r="P423" s="4">
        <f t="shared" si="105"/>
        <v>4.6573004188871945</v>
      </c>
      <c r="Q423" s="4">
        <f t="shared" ca="1" si="106"/>
        <v>9.5793418887194726E-2</v>
      </c>
      <c r="R423" s="2">
        <f t="shared" ca="1" si="107"/>
        <v>2.056844314760425E-2</v>
      </c>
      <c r="S423" s="4">
        <f t="shared" si="108"/>
        <v>3.5083329999999999</v>
      </c>
      <c r="T423">
        <v>3.5944069125081168</v>
      </c>
      <c r="U423">
        <f t="shared" si="109"/>
        <v>8.6073912508116912E-2</v>
      </c>
      <c r="V423" s="2">
        <f t="shared" si="110"/>
        <v>2.4534134162326356E-2</v>
      </c>
      <c r="W423">
        <f>(T423+5/3)/(1/12)</f>
        <v>63.132882950097404</v>
      </c>
      <c r="X423" s="2">
        <f t="shared" si="111"/>
        <v>1.663257568594851E-2</v>
      </c>
    </row>
    <row r="424" spans="5:24" x14ac:dyDescent="0.25">
      <c r="E424">
        <v>422</v>
      </c>
      <c r="F424">
        <f t="shared" si="96"/>
        <v>62.2</v>
      </c>
      <c r="G424">
        <f t="shared" si="97"/>
        <v>335.34999999999997</v>
      </c>
      <c r="H424" s="4">
        <f t="shared" si="98"/>
        <v>3.516667</v>
      </c>
      <c r="I424" s="4">
        <f t="shared" si="99"/>
        <v>2301.324404</v>
      </c>
      <c r="J424" s="4">
        <f t="shared" si="100"/>
        <v>2.3213244039999998</v>
      </c>
      <c r="K424" s="4">
        <f t="shared" si="101"/>
        <v>1248.191789</v>
      </c>
      <c r="L424">
        <f t="shared" si="102"/>
        <v>1.2481917890000001</v>
      </c>
      <c r="M424">
        <f>$B$12*F424+$B$13</f>
        <v>1.260418747056141</v>
      </c>
      <c r="N424">
        <f t="shared" si="103"/>
        <v>1.2226958056140935E-2</v>
      </c>
      <c r="O424" s="4">
        <f t="shared" ca="1" si="104"/>
        <v>4.5524756355685128</v>
      </c>
      <c r="P424" s="4">
        <f t="shared" si="105"/>
        <v>4.6486411853791001</v>
      </c>
      <c r="Q424" s="4">
        <f t="shared" ca="1" si="106"/>
        <v>9.6165549810587336E-2</v>
      </c>
      <c r="R424" s="2">
        <f t="shared" ca="1" si="107"/>
        <v>2.0686808462018341E-2</v>
      </c>
      <c r="S424" s="4">
        <f t="shared" si="108"/>
        <v>3.516667</v>
      </c>
      <c r="T424">
        <v>3.6031103334644881</v>
      </c>
      <c r="U424">
        <f t="shared" si="109"/>
        <v>8.644333346448807E-2</v>
      </c>
      <c r="V424" s="2">
        <f t="shared" si="110"/>
        <v>2.4581040361367188E-2</v>
      </c>
      <c r="W424">
        <f>(T424+5/3)/(1/12)</f>
        <v>63.23732400157386</v>
      </c>
      <c r="X424" s="2">
        <f t="shared" si="111"/>
        <v>1.6677234751991277E-2</v>
      </c>
    </row>
    <row r="425" spans="5:24" x14ac:dyDescent="0.25">
      <c r="E425">
        <v>423</v>
      </c>
      <c r="F425">
        <f t="shared" si="96"/>
        <v>62.300000000000004</v>
      </c>
      <c r="G425">
        <f t="shared" si="97"/>
        <v>335.45</v>
      </c>
      <c r="H425" s="4">
        <f t="shared" si="98"/>
        <v>3.5249999999999999</v>
      </c>
      <c r="I425" s="4">
        <f t="shared" si="99"/>
        <v>2293.1465429999998</v>
      </c>
      <c r="J425" s="4">
        <f t="shared" si="100"/>
        <v>2.3131465429999998</v>
      </c>
      <c r="K425" s="4">
        <f t="shared" si="101"/>
        <v>1245.8234789999999</v>
      </c>
      <c r="L425">
        <f t="shared" si="102"/>
        <v>1.245823479</v>
      </c>
      <c r="M425">
        <f>$B$12*F425+$B$13</f>
        <v>1.2580709082332466</v>
      </c>
      <c r="N425">
        <f t="shared" si="103"/>
        <v>1.2247429233246621E-2</v>
      </c>
      <c r="O425" s="4">
        <f t="shared" ca="1" si="104"/>
        <v>4.5442327725947518</v>
      </c>
      <c r="P425" s="4">
        <f t="shared" si="105"/>
        <v>4.6399819518710066</v>
      </c>
      <c r="Q425" s="4">
        <f t="shared" ca="1" si="106"/>
        <v>9.5749179276254814E-2</v>
      </c>
      <c r="R425" s="2">
        <f t="shared" ca="1" si="107"/>
        <v>2.0635679248201672E-2</v>
      </c>
      <c r="S425" s="4">
        <f t="shared" si="108"/>
        <v>3.5249999999999999</v>
      </c>
      <c r="T425">
        <v>3.6112869353161594</v>
      </c>
      <c r="U425">
        <f t="shared" si="109"/>
        <v>8.6286935316159497E-2</v>
      </c>
      <c r="V425" s="2">
        <f t="shared" si="110"/>
        <v>2.4478563210258014E-2</v>
      </c>
      <c r="W425">
        <f>(T425+5/3)/(1/12)</f>
        <v>63.335443223793916</v>
      </c>
      <c r="X425" s="2">
        <f t="shared" si="111"/>
        <v>1.6620276465391846E-2</v>
      </c>
    </row>
    <row r="426" spans="5:24" x14ac:dyDescent="0.25">
      <c r="E426">
        <v>424</v>
      </c>
      <c r="F426">
        <f t="shared" si="96"/>
        <v>62.400000000000006</v>
      </c>
      <c r="G426">
        <f t="shared" si="97"/>
        <v>335.54999999999995</v>
      </c>
      <c r="H426" s="4">
        <f t="shared" si="98"/>
        <v>3.5333329999999998</v>
      </c>
      <c r="I426" s="4">
        <f t="shared" si="99"/>
        <v>2285.0020549999999</v>
      </c>
      <c r="J426" s="4">
        <f t="shared" si="100"/>
        <v>2.3050020550000001</v>
      </c>
      <c r="K426" s="4">
        <f t="shared" si="101"/>
        <v>1243.4571410000001</v>
      </c>
      <c r="L426">
        <f t="shared" si="102"/>
        <v>1.2434571410000002</v>
      </c>
      <c r="M426">
        <f>$B$12*F426+$B$13</f>
        <v>1.2557230694103523</v>
      </c>
      <c r="N426">
        <f t="shared" si="103"/>
        <v>1.2265928410352123E-2</v>
      </c>
      <c r="O426" s="4">
        <f t="shared" ca="1" si="104"/>
        <v>4.5352056355685129</v>
      </c>
      <c r="P426" s="4">
        <f t="shared" si="105"/>
        <v>4.6313227183629122</v>
      </c>
      <c r="Q426" s="4">
        <f t="shared" ca="1" si="106"/>
        <v>9.6117082794399344E-2</v>
      </c>
      <c r="R426" s="2">
        <f t="shared" ca="1" si="107"/>
        <v>2.0753700106732137E-2</v>
      </c>
      <c r="S426" s="4">
        <f t="shared" si="108"/>
        <v>3.5333329999999998</v>
      </c>
      <c r="T426">
        <v>3.6200185587539888</v>
      </c>
      <c r="U426">
        <f t="shared" si="109"/>
        <v>8.6685558753988978E-2</v>
      </c>
      <c r="V426" s="2">
        <f t="shared" si="110"/>
        <v>2.4533651018454526E-2</v>
      </c>
      <c r="W426">
        <f>(T426+5/3)/(1/12)</f>
        <v>63.440222705047873</v>
      </c>
      <c r="X426" s="2">
        <f t="shared" si="111"/>
        <v>1.6670235657818382E-2</v>
      </c>
    </row>
    <row r="427" spans="5:24" x14ac:dyDescent="0.25">
      <c r="E427">
        <v>425</v>
      </c>
      <c r="F427">
        <f t="shared" si="96"/>
        <v>62.5</v>
      </c>
      <c r="G427">
        <f t="shared" si="97"/>
        <v>335.65</v>
      </c>
      <c r="H427" s="4">
        <f t="shared" si="98"/>
        <v>3.5416669999999999</v>
      </c>
      <c r="I427" s="4">
        <f t="shared" si="99"/>
        <v>2276.8907859999999</v>
      </c>
      <c r="J427" s="4">
        <f t="shared" si="100"/>
        <v>2.2968907860000001</v>
      </c>
      <c r="K427" s="4">
        <f t="shared" si="101"/>
        <v>1241.092789</v>
      </c>
      <c r="L427">
        <f t="shared" si="102"/>
        <v>1.2410927890000001</v>
      </c>
      <c r="M427">
        <f>$B$12*F427+$B$13</f>
        <v>1.2533752305874579</v>
      </c>
      <c r="N427">
        <f t="shared" si="103"/>
        <v>1.2282441587457837E-2</v>
      </c>
      <c r="O427" s="4">
        <f t="shared" ca="1" si="104"/>
        <v>4.5265816355685127</v>
      </c>
      <c r="P427" s="4">
        <f t="shared" si="105"/>
        <v>4.6226634848548178</v>
      </c>
      <c r="Q427" s="4">
        <f t="shared" ca="1" si="106"/>
        <v>9.6081849286305143E-2</v>
      </c>
      <c r="R427" s="2">
        <f t="shared" ca="1" si="107"/>
        <v>2.0784954302015941E-2</v>
      </c>
      <c r="S427" s="4">
        <f t="shared" si="108"/>
        <v>3.5416669999999999</v>
      </c>
      <c r="T427">
        <v>3.6287635833184266</v>
      </c>
      <c r="U427">
        <f t="shared" si="109"/>
        <v>8.7096583318426735E-2</v>
      </c>
      <c r="V427" s="2">
        <f t="shared" si="110"/>
        <v>2.459197415184057E-2</v>
      </c>
      <c r="W427">
        <f>(T427+5/3)/(1/12)</f>
        <v>63.545162999821123</v>
      </c>
      <c r="X427" s="2">
        <f t="shared" si="111"/>
        <v>1.672260799713797E-2</v>
      </c>
    </row>
    <row r="428" spans="5:24" x14ac:dyDescent="0.25">
      <c r="E428">
        <v>426</v>
      </c>
      <c r="F428">
        <f t="shared" si="96"/>
        <v>62.6</v>
      </c>
      <c r="G428">
        <f t="shared" si="97"/>
        <v>335.75</v>
      </c>
      <c r="H428" s="4">
        <f t="shared" si="98"/>
        <v>3.55</v>
      </c>
      <c r="I428" s="4">
        <f t="shared" si="99"/>
        <v>2268.8125850000001</v>
      </c>
      <c r="J428" s="4">
        <f t="shared" si="100"/>
        <v>2.2888125850000001</v>
      </c>
      <c r="K428" s="4">
        <f t="shared" si="101"/>
        <v>1238.7304340000001</v>
      </c>
      <c r="L428">
        <f t="shared" si="102"/>
        <v>1.238730434</v>
      </c>
      <c r="M428">
        <f>$B$12*F428+$B$13</f>
        <v>1.2510273917645636</v>
      </c>
      <c r="N428">
        <f t="shared" si="103"/>
        <v>1.2296957764563521E-2</v>
      </c>
      <c r="O428" s="4">
        <f t="shared" ca="1" si="104"/>
        <v>4.5179646355685126</v>
      </c>
      <c r="P428" s="4">
        <f t="shared" si="105"/>
        <v>4.6140042513467234</v>
      </c>
      <c r="Q428" s="4">
        <f t="shared" ca="1" si="106"/>
        <v>9.6039615778210852E-2</v>
      </c>
      <c r="R428" s="2">
        <f t="shared" ca="1" si="107"/>
        <v>2.0814808688175583E-2</v>
      </c>
      <c r="S428" s="4">
        <f t="shared" si="108"/>
        <v>3.55</v>
      </c>
      <c r="T428">
        <v>3.6380592154316029</v>
      </c>
      <c r="U428">
        <f t="shared" si="109"/>
        <v>8.8059215431603111E-2</v>
      </c>
      <c r="V428" s="2">
        <f t="shared" si="110"/>
        <v>2.4805412797634679E-2</v>
      </c>
      <c r="W428">
        <f>(T428+5/3)/(1/12)</f>
        <v>63.656710585179233</v>
      </c>
      <c r="X428" s="2">
        <f t="shared" si="111"/>
        <v>1.6880360785610733E-2</v>
      </c>
    </row>
    <row r="429" spans="5:24" x14ac:dyDescent="0.25">
      <c r="E429">
        <v>427</v>
      </c>
      <c r="F429">
        <f t="shared" si="96"/>
        <v>62.7</v>
      </c>
      <c r="G429">
        <f t="shared" si="97"/>
        <v>335.84999999999997</v>
      </c>
      <c r="H429" s="4">
        <f t="shared" si="98"/>
        <v>3.5583330000000002</v>
      </c>
      <c r="I429" s="4">
        <f t="shared" si="99"/>
        <v>2260.7673009999999</v>
      </c>
      <c r="J429" s="4">
        <f t="shared" si="100"/>
        <v>2.280767301</v>
      </c>
      <c r="K429" s="4">
        <f t="shared" si="101"/>
        <v>1236.370089</v>
      </c>
      <c r="L429">
        <f t="shared" si="102"/>
        <v>1.236370089</v>
      </c>
      <c r="M429">
        <f>$B$12*F429+$B$13</f>
        <v>1.2486795529416692</v>
      </c>
      <c r="N429">
        <f t="shared" si="103"/>
        <v>1.2309463941669208E-2</v>
      </c>
      <c r="O429" s="4">
        <f t="shared" ca="1" si="104"/>
        <v>4.5097517725947514</v>
      </c>
      <c r="P429" s="4">
        <f t="shared" si="105"/>
        <v>4.605345017838629</v>
      </c>
      <c r="Q429" s="4">
        <f t="shared" ca="1" si="106"/>
        <v>9.5593245243877689E-2</v>
      </c>
      <c r="R429" s="2">
        <f t="shared" ca="1" si="107"/>
        <v>2.0757021433486716E-2</v>
      </c>
      <c r="S429" s="4">
        <f t="shared" si="108"/>
        <v>3.5583330000000002</v>
      </c>
      <c r="T429">
        <v>3.646829647040255</v>
      </c>
      <c r="U429">
        <f t="shared" si="109"/>
        <v>8.8496647040254839E-2</v>
      </c>
      <c r="V429" s="2">
        <f t="shared" si="110"/>
        <v>2.4870254425388191E-2</v>
      </c>
      <c r="W429">
        <f>(T429+5/3)/(1/12)</f>
        <v>63.761955764483062</v>
      </c>
      <c r="X429" s="2">
        <f t="shared" si="111"/>
        <v>1.6937093532425188E-2</v>
      </c>
    </row>
    <row r="430" spans="5:24" x14ac:dyDescent="0.25">
      <c r="E430">
        <v>428</v>
      </c>
      <c r="F430">
        <f t="shared" si="96"/>
        <v>62.800000000000004</v>
      </c>
      <c r="G430">
        <f t="shared" si="97"/>
        <v>335.95</v>
      </c>
      <c r="H430" s="4">
        <f t="shared" si="98"/>
        <v>3.5666669999999998</v>
      </c>
      <c r="I430" s="4">
        <f t="shared" si="99"/>
        <v>2252.7547829999999</v>
      </c>
      <c r="J430" s="4">
        <f t="shared" si="100"/>
        <v>2.2727547829999999</v>
      </c>
      <c r="K430" s="4">
        <f t="shared" si="101"/>
        <v>1234.0117660000001</v>
      </c>
      <c r="L430">
        <f t="shared" si="102"/>
        <v>1.2340117660000001</v>
      </c>
      <c r="M430">
        <f>$B$12*F430+$B$13</f>
        <v>1.2463317141187749</v>
      </c>
      <c r="N430">
        <f t="shared" si="103"/>
        <v>1.2319948118774793E-2</v>
      </c>
      <c r="O430" s="4">
        <f t="shared" ca="1" si="104"/>
        <v>4.5011380000000001</v>
      </c>
      <c r="P430" s="4">
        <f t="shared" si="105"/>
        <v>4.5966857843305347</v>
      </c>
      <c r="Q430" s="4">
        <f t="shared" ca="1" si="106"/>
        <v>9.5547784330534569E-2</v>
      </c>
      <c r="R430" s="2">
        <f t="shared" ca="1" si="107"/>
        <v>2.0786233563373797E-2</v>
      </c>
      <c r="S430" s="4">
        <f t="shared" si="108"/>
        <v>3.5666669999999998</v>
      </c>
      <c r="T430">
        <v>3.6556131283799989</v>
      </c>
      <c r="U430">
        <f t="shared" si="109"/>
        <v>8.8946128379999045E-2</v>
      </c>
      <c r="V430" s="2">
        <f t="shared" si="110"/>
        <v>2.4938164504844172E-2</v>
      </c>
      <c r="W430">
        <f>(T430+5/3)/(1/12)</f>
        <v>63.867357540559993</v>
      </c>
      <c r="X430" s="2">
        <f t="shared" si="111"/>
        <v>1.6996139180891545E-2</v>
      </c>
    </row>
    <row r="431" spans="5:24" x14ac:dyDescent="0.25">
      <c r="E431">
        <v>429</v>
      </c>
      <c r="F431">
        <f t="shared" si="96"/>
        <v>62.900000000000006</v>
      </c>
      <c r="G431">
        <f t="shared" si="97"/>
        <v>336.04999999999995</v>
      </c>
      <c r="H431" s="4">
        <f t="shared" si="98"/>
        <v>3.5750000000000002</v>
      </c>
      <c r="I431" s="4">
        <f t="shared" si="99"/>
        <v>2244.774883</v>
      </c>
      <c r="J431" s="4">
        <f t="shared" si="100"/>
        <v>2.2647748830000003</v>
      </c>
      <c r="K431" s="4">
        <f t="shared" si="101"/>
        <v>1231.6554779999999</v>
      </c>
      <c r="L431">
        <f t="shared" si="102"/>
        <v>1.231655478</v>
      </c>
      <c r="M431">
        <f>$B$12*F431+$B$13</f>
        <v>1.2439838752958805</v>
      </c>
      <c r="N431">
        <f t="shared" si="103"/>
        <v>1.2328397295880533E-2</v>
      </c>
      <c r="O431" s="4">
        <f t="shared" ca="1" si="104"/>
        <v>4.4925439999999996</v>
      </c>
      <c r="P431" s="4">
        <f t="shared" si="105"/>
        <v>4.5880265508224412</v>
      </c>
      <c r="Q431" s="4">
        <f t="shared" ca="1" si="106"/>
        <v>9.5482550822441503E-2</v>
      </c>
      <c r="R431" s="2">
        <f t="shared" ca="1" si="107"/>
        <v>2.0811246352819269E-2</v>
      </c>
      <c r="S431" s="4">
        <f t="shared" si="108"/>
        <v>3.5750000000000002</v>
      </c>
      <c r="T431">
        <v>3.6638753407248594</v>
      </c>
      <c r="U431">
        <f t="shared" si="109"/>
        <v>8.8875340724859253E-2</v>
      </c>
      <c r="V431" s="2">
        <f t="shared" si="110"/>
        <v>2.4860235167792798E-2</v>
      </c>
      <c r="W431">
        <f>(T431+5/3)/(1/12)</f>
        <v>63.966504088698315</v>
      </c>
      <c r="X431" s="2">
        <f t="shared" si="111"/>
        <v>1.6955549899814137E-2</v>
      </c>
    </row>
    <row r="432" spans="5:24" x14ac:dyDescent="0.25">
      <c r="E432">
        <v>430</v>
      </c>
      <c r="F432">
        <f t="shared" si="96"/>
        <v>63</v>
      </c>
      <c r="G432">
        <f t="shared" si="97"/>
        <v>336.15</v>
      </c>
      <c r="H432" s="4">
        <f t="shared" si="98"/>
        <v>3.5833330000000001</v>
      </c>
      <c r="I432" s="4">
        <f t="shared" si="99"/>
        <v>2236.8274510000001</v>
      </c>
      <c r="J432" s="4">
        <f t="shared" si="100"/>
        <v>2.2568274510000004</v>
      </c>
      <c r="K432" s="4">
        <f t="shared" si="101"/>
        <v>1229.3012369999999</v>
      </c>
      <c r="L432">
        <f t="shared" si="102"/>
        <v>1.2293012369999998</v>
      </c>
      <c r="M432">
        <f>$B$12*F432+$B$13</f>
        <v>1.2416360364729864</v>
      </c>
      <c r="N432">
        <f t="shared" si="103"/>
        <v>1.2334799472986546E-2</v>
      </c>
      <c r="O432" s="4">
        <f t="shared" ca="1" si="104"/>
        <v>4.4839452274052487</v>
      </c>
      <c r="P432" s="4">
        <f t="shared" si="105"/>
        <v>4.5793673173143477</v>
      </c>
      <c r="Q432" s="4">
        <f t="shared" ca="1" si="106"/>
        <v>9.542208990909895E-2</v>
      </c>
      <c r="R432" s="2">
        <f t="shared" ca="1" si="107"/>
        <v>2.0837395932034767E-2</v>
      </c>
      <c r="S432" s="4">
        <f t="shared" si="108"/>
        <v>3.5833330000000001</v>
      </c>
      <c r="T432">
        <v>3.6726856088528499</v>
      </c>
      <c r="U432">
        <f t="shared" si="109"/>
        <v>8.9352608852849791E-2</v>
      </c>
      <c r="V432" s="2">
        <f t="shared" si="110"/>
        <v>2.493561409248032E-2</v>
      </c>
      <c r="W432">
        <f>(T432+5/3)/(1/12)</f>
        <v>64.072227306234197</v>
      </c>
      <c r="X432" s="2">
        <f t="shared" si="111"/>
        <v>1.7019481051336459E-2</v>
      </c>
    </row>
    <row r="433" spans="5:24" x14ac:dyDescent="0.25">
      <c r="E433">
        <v>431</v>
      </c>
      <c r="F433">
        <f t="shared" si="96"/>
        <v>63.1</v>
      </c>
      <c r="G433">
        <f t="shared" si="97"/>
        <v>336.25</v>
      </c>
      <c r="H433" s="4">
        <f t="shared" si="98"/>
        <v>3.5916670000000002</v>
      </c>
      <c r="I433" s="4">
        <f t="shared" si="99"/>
        <v>2228.9123399999999</v>
      </c>
      <c r="J433" s="4">
        <f t="shared" si="100"/>
        <v>2.24891234</v>
      </c>
      <c r="K433" s="4">
        <f t="shared" si="101"/>
        <v>1226.949055</v>
      </c>
      <c r="L433">
        <f t="shared" si="102"/>
        <v>1.2269490550000002</v>
      </c>
      <c r="M433">
        <f>$B$12*F433+$B$13</f>
        <v>1.2392881976500918</v>
      </c>
      <c r="N433">
        <f t="shared" si="103"/>
        <v>1.2339142650091617E-2</v>
      </c>
      <c r="O433" s="4">
        <f t="shared" ca="1" si="104"/>
        <v>4.4753662274052486</v>
      </c>
      <c r="P433" s="4">
        <f t="shared" si="105"/>
        <v>4.5707080838062524</v>
      </c>
      <c r="Q433" s="4">
        <f t="shared" ca="1" si="106"/>
        <v>9.5341856401003788E-2</v>
      </c>
      <c r="R433" s="2">
        <f t="shared" ca="1" si="107"/>
        <v>2.0859318655416723E-2</v>
      </c>
      <c r="S433" s="4">
        <f t="shared" si="108"/>
        <v>3.5916670000000002</v>
      </c>
      <c r="T433">
        <v>3.6815085742834954</v>
      </c>
      <c r="U433">
        <f t="shared" si="109"/>
        <v>8.9841574283495262E-2</v>
      </c>
      <c r="V433" s="2">
        <f t="shared" si="110"/>
        <v>2.5013893070681456E-2</v>
      </c>
      <c r="W433">
        <f>(T433+5/3)/(1/12)</f>
        <v>64.178102891401949</v>
      </c>
      <c r="X433" s="2">
        <f t="shared" si="111"/>
        <v>1.7085624269444488E-2</v>
      </c>
    </row>
    <row r="434" spans="5:24" x14ac:dyDescent="0.25">
      <c r="E434">
        <v>432</v>
      </c>
      <c r="F434">
        <f t="shared" si="96"/>
        <v>63.2</v>
      </c>
      <c r="G434">
        <f t="shared" si="97"/>
        <v>336.34999999999997</v>
      </c>
      <c r="H434" s="4">
        <f t="shared" si="98"/>
        <v>3.6</v>
      </c>
      <c r="I434" s="4">
        <f t="shared" si="99"/>
        <v>2221.0294020000001</v>
      </c>
      <c r="J434" s="4">
        <f t="shared" si="100"/>
        <v>2.2410294020000001</v>
      </c>
      <c r="K434" s="4">
        <f t="shared" si="101"/>
        <v>1224.598943</v>
      </c>
      <c r="L434">
        <f t="shared" si="102"/>
        <v>1.2245989429999999</v>
      </c>
      <c r="M434">
        <f>$B$12*F434+$B$13</f>
        <v>1.2369403588271974</v>
      </c>
      <c r="N434">
        <f t="shared" si="103"/>
        <v>1.2341415827197499E-2</v>
      </c>
      <c r="O434" s="4">
        <f t="shared" ca="1" si="104"/>
        <v>4.466023498542274</v>
      </c>
      <c r="P434" s="4">
        <f t="shared" si="105"/>
        <v>4.562048850298158</v>
      </c>
      <c r="Q434" s="4">
        <f t="shared" ca="1" si="106"/>
        <v>9.6025351755884003E-2</v>
      </c>
      <c r="R434" s="2">
        <f t="shared" ca="1" si="107"/>
        <v>2.1048733783200973E-2</v>
      </c>
      <c r="S434" s="4">
        <f t="shared" si="108"/>
        <v>3.6</v>
      </c>
      <c r="T434">
        <v>3.6892819516350079</v>
      </c>
      <c r="U434">
        <f t="shared" si="109"/>
        <v>8.928195163500785E-2</v>
      </c>
      <c r="V434" s="2">
        <f t="shared" si="110"/>
        <v>2.4800542120835514E-2</v>
      </c>
      <c r="W434">
        <f>(T434+5/3)/(1/12)</f>
        <v>64.271383419620093</v>
      </c>
      <c r="X434" s="2">
        <f t="shared" si="111"/>
        <v>1.6952269297786243E-2</v>
      </c>
    </row>
    <row r="435" spans="5:24" x14ac:dyDescent="0.25">
      <c r="E435">
        <v>433</v>
      </c>
      <c r="F435">
        <f t="shared" si="96"/>
        <v>63.300000000000004</v>
      </c>
      <c r="G435">
        <f t="shared" si="97"/>
        <v>336.45</v>
      </c>
      <c r="H435" s="4">
        <f t="shared" si="98"/>
        <v>3.608333</v>
      </c>
      <c r="I435" s="4">
        <f t="shared" si="99"/>
        <v>2213.1784910000001</v>
      </c>
      <c r="J435" s="4">
        <f t="shared" si="100"/>
        <v>2.2331784910000003</v>
      </c>
      <c r="K435" s="4">
        <f t="shared" si="101"/>
        <v>1222.2509150000001</v>
      </c>
      <c r="L435">
        <f t="shared" si="102"/>
        <v>1.222250915</v>
      </c>
      <c r="M435">
        <f>$B$12*F435+$B$13</f>
        <v>1.2345925200043031</v>
      </c>
      <c r="N435">
        <f t="shared" si="103"/>
        <v>1.2341605004303036E-2</v>
      </c>
      <c r="O435" s="4">
        <f t="shared" ca="1" si="104"/>
        <v>4.4590215014577259</v>
      </c>
      <c r="P435" s="4">
        <f t="shared" si="105"/>
        <v>4.5533896167900636</v>
      </c>
      <c r="Q435" s="4">
        <f t="shared" ca="1" si="106"/>
        <v>9.4368115332337688E-2</v>
      </c>
      <c r="R435" s="2">
        <f t="shared" ca="1" si="107"/>
        <v>2.0724805754457488E-2</v>
      </c>
      <c r="S435" s="4">
        <f t="shared" si="108"/>
        <v>3.608333</v>
      </c>
      <c r="T435">
        <v>3.6981320343796904</v>
      </c>
      <c r="U435">
        <f t="shared" si="109"/>
        <v>8.979903437969039E-2</v>
      </c>
      <c r="V435" s="2">
        <f t="shared" si="110"/>
        <v>2.48865707183041E-2</v>
      </c>
      <c r="W435">
        <f>(T435+5/3)/(1/12)</f>
        <v>64.377584412556288</v>
      </c>
      <c r="X435" s="2">
        <f t="shared" si="111"/>
        <v>1.7023450435328342E-2</v>
      </c>
    </row>
    <row r="436" spans="5:24" x14ac:dyDescent="0.25">
      <c r="E436">
        <v>434</v>
      </c>
      <c r="F436">
        <f t="shared" si="96"/>
        <v>63.400000000000006</v>
      </c>
      <c r="G436">
        <f t="shared" si="97"/>
        <v>336.54999999999995</v>
      </c>
      <c r="H436" s="4">
        <f t="shared" si="98"/>
        <v>3.6166670000000001</v>
      </c>
      <c r="I436" s="4">
        <f t="shared" si="99"/>
        <v>2205.3594600000001</v>
      </c>
      <c r="J436" s="4">
        <f t="shared" si="100"/>
        <v>2.22535946</v>
      </c>
      <c r="K436" s="4">
        <f t="shared" si="101"/>
        <v>1219.904982</v>
      </c>
      <c r="L436">
        <f t="shared" si="102"/>
        <v>1.2199049820000001</v>
      </c>
      <c r="M436">
        <f>$B$12*F436+$B$13</f>
        <v>1.2322446811814087</v>
      </c>
      <c r="N436">
        <f t="shared" si="103"/>
        <v>1.2339699181408648E-2</v>
      </c>
      <c r="O436" s="4">
        <f t="shared" ca="1" si="104"/>
        <v>4.4496937725947516</v>
      </c>
      <c r="P436" s="4">
        <f t="shared" si="105"/>
        <v>4.5447303832819692</v>
      </c>
      <c r="Q436" s="4">
        <f t="shared" ca="1" si="106"/>
        <v>9.5036610687217582E-2</v>
      </c>
      <c r="R436" s="2">
        <f t="shared" ca="1" si="107"/>
        <v>2.0911385862803826E-2</v>
      </c>
      <c r="S436" s="4">
        <f t="shared" si="108"/>
        <v>3.6166670000000001</v>
      </c>
      <c r="T436">
        <v>3.7075234757776308</v>
      </c>
      <c r="U436">
        <f t="shared" si="109"/>
        <v>9.0856475777630674E-2</v>
      </c>
      <c r="V436" s="2">
        <f t="shared" si="110"/>
        <v>2.5121603890441303E-2</v>
      </c>
      <c r="W436">
        <f>(T436+5/3)/(1/12)</f>
        <v>64.490281709331583</v>
      </c>
      <c r="X436" s="2">
        <f t="shared" si="111"/>
        <v>1.7196872386933397E-2</v>
      </c>
    </row>
    <row r="437" spans="5:24" x14ac:dyDescent="0.25">
      <c r="E437">
        <v>435</v>
      </c>
      <c r="F437">
        <f t="shared" si="96"/>
        <v>63.5</v>
      </c>
      <c r="G437">
        <f t="shared" si="97"/>
        <v>336.65</v>
      </c>
      <c r="H437" s="4">
        <f t="shared" si="98"/>
        <v>3.625</v>
      </c>
      <c r="I437" s="4">
        <f t="shared" si="99"/>
        <v>2197.5721659999999</v>
      </c>
      <c r="J437" s="4">
        <f t="shared" si="100"/>
        <v>2.2175721660000001</v>
      </c>
      <c r="K437" s="4">
        <f t="shared" si="101"/>
        <v>1217.5611550000001</v>
      </c>
      <c r="L437">
        <f t="shared" si="102"/>
        <v>1.2175611550000001</v>
      </c>
      <c r="M437">
        <f>$B$12*F437+$B$13</f>
        <v>1.2298968423585146</v>
      </c>
      <c r="N437">
        <f t="shared" si="103"/>
        <v>1.2335687358514535E-2</v>
      </c>
      <c r="O437" s="4">
        <f t="shared" ca="1" si="104"/>
        <v>4.4411339999999999</v>
      </c>
      <c r="P437" s="4">
        <f t="shared" si="105"/>
        <v>4.5360711497738766</v>
      </c>
      <c r="Q437" s="4">
        <f t="shared" ca="1" si="106"/>
        <v>9.4937149773876683E-2</v>
      </c>
      <c r="R437" s="2">
        <f t="shared" ca="1" si="107"/>
        <v>2.092937845091105E-2</v>
      </c>
      <c r="S437" s="4">
        <f t="shared" si="108"/>
        <v>3.625</v>
      </c>
      <c r="T437">
        <v>3.7158691214430664</v>
      </c>
      <c r="U437">
        <f t="shared" si="109"/>
        <v>9.0869121443066359E-2</v>
      </c>
      <c r="V437" s="2">
        <f t="shared" si="110"/>
        <v>2.5067343846363135E-2</v>
      </c>
      <c r="W437">
        <f>(T437+5/3)/(1/12)</f>
        <v>64.590429457316802</v>
      </c>
      <c r="X437" s="2">
        <f t="shared" si="111"/>
        <v>1.7172117438059867E-2</v>
      </c>
    </row>
    <row r="438" spans="5:24" x14ac:dyDescent="0.25">
      <c r="E438">
        <v>436</v>
      </c>
      <c r="F438">
        <f t="shared" si="96"/>
        <v>63.6</v>
      </c>
      <c r="G438">
        <f t="shared" si="97"/>
        <v>336.75</v>
      </c>
      <c r="H438" s="4">
        <f t="shared" si="98"/>
        <v>3.6333329999999999</v>
      </c>
      <c r="I438" s="4">
        <f t="shared" si="99"/>
        <v>2189.8164630000001</v>
      </c>
      <c r="J438" s="4">
        <f t="shared" si="100"/>
        <v>2.2098164630000001</v>
      </c>
      <c r="K438" s="4">
        <f t="shared" si="101"/>
        <v>1215.2194480000001</v>
      </c>
      <c r="L438">
        <f t="shared" si="102"/>
        <v>1.215219448</v>
      </c>
      <c r="M438">
        <f>$B$12*F438+$B$13</f>
        <v>1.2275490035356202</v>
      </c>
      <c r="N438">
        <f t="shared" si="103"/>
        <v>1.2329555535620207E-2</v>
      </c>
      <c r="O438" s="4">
        <f t="shared" ca="1" si="104"/>
        <v>4.4322066355685124</v>
      </c>
      <c r="P438" s="4">
        <f t="shared" si="105"/>
        <v>4.5274119162657822</v>
      </c>
      <c r="Q438" s="4">
        <f t="shared" ca="1" si="106"/>
        <v>9.5205280697269856E-2</v>
      </c>
      <c r="R438" s="2">
        <f t="shared" ca="1" si="107"/>
        <v>2.1028632352895194E-2</v>
      </c>
      <c r="S438" s="4">
        <f t="shared" si="108"/>
        <v>3.6333329999999999</v>
      </c>
      <c r="T438">
        <v>3.7242289493039684</v>
      </c>
      <c r="U438">
        <f t="shared" si="109"/>
        <v>9.0895949303968493E-2</v>
      </c>
      <c r="V438" s="2">
        <f t="shared" si="110"/>
        <v>2.5017236048545093E-2</v>
      </c>
      <c r="W438">
        <f>(T438+5/3)/(1/12)</f>
        <v>64.690747391647619</v>
      </c>
      <c r="X438" s="2">
        <f t="shared" si="111"/>
        <v>1.7150116220874492E-2</v>
      </c>
    </row>
    <row r="439" spans="5:24" x14ac:dyDescent="0.25">
      <c r="E439">
        <v>437</v>
      </c>
      <c r="F439">
        <f t="shared" si="96"/>
        <v>63.7</v>
      </c>
      <c r="G439">
        <f t="shared" si="97"/>
        <v>336.84999999999997</v>
      </c>
      <c r="H439" s="4">
        <f t="shared" si="98"/>
        <v>3.641667</v>
      </c>
      <c r="I439" s="4">
        <f t="shared" si="99"/>
        <v>2182.092208</v>
      </c>
      <c r="J439" s="4">
        <f t="shared" si="100"/>
        <v>2.2020922080000003</v>
      </c>
      <c r="K439" s="4">
        <f t="shared" si="101"/>
        <v>1212.87987</v>
      </c>
      <c r="L439">
        <f t="shared" si="102"/>
        <v>1.2128798700000001</v>
      </c>
      <c r="M439">
        <f>$B$12*F439+$B$13</f>
        <v>1.2252011647127259</v>
      </c>
      <c r="N439">
        <f t="shared" si="103"/>
        <v>1.2321294712725805E-2</v>
      </c>
      <c r="O439" s="4">
        <f t="shared" ca="1" si="104"/>
        <v>4.4240579999999996</v>
      </c>
      <c r="P439" s="4">
        <f t="shared" si="105"/>
        <v>4.5187526827576878</v>
      </c>
      <c r="Q439" s="4">
        <f t="shared" ca="1" si="106"/>
        <v>9.469468275768822E-2</v>
      </c>
      <c r="R439" s="2">
        <f t="shared" ca="1" si="107"/>
        <v>2.0955933950317081E-2</v>
      </c>
      <c r="S439" s="4">
        <f t="shared" si="108"/>
        <v>3.641667</v>
      </c>
      <c r="T439">
        <v>3.7331287517823077</v>
      </c>
      <c r="U439">
        <f t="shared" si="109"/>
        <v>9.1461751782307754E-2</v>
      </c>
      <c r="V439" s="2">
        <f t="shared" si="110"/>
        <v>2.5115352881608273E-2</v>
      </c>
      <c r="W439">
        <f>(T439+5/3)/(1/12)</f>
        <v>64.797545021387691</v>
      </c>
      <c r="X439" s="2">
        <f t="shared" si="111"/>
        <v>1.7229906144233725E-2</v>
      </c>
    </row>
    <row r="440" spans="5:24" x14ac:dyDescent="0.25">
      <c r="E440">
        <v>438</v>
      </c>
      <c r="F440">
        <f t="shared" si="96"/>
        <v>63.800000000000004</v>
      </c>
      <c r="G440">
        <f t="shared" si="97"/>
        <v>336.95</v>
      </c>
      <c r="H440" s="4">
        <f t="shared" si="98"/>
        <v>3.65</v>
      </c>
      <c r="I440" s="4">
        <f t="shared" si="99"/>
        <v>2174.3992579999999</v>
      </c>
      <c r="J440" s="4">
        <f t="shared" si="100"/>
        <v>2.1943992579999998</v>
      </c>
      <c r="K440" s="4">
        <f t="shared" si="101"/>
        <v>1210.5424350000001</v>
      </c>
      <c r="L440">
        <f t="shared" si="102"/>
        <v>1.210542435</v>
      </c>
      <c r="M440">
        <f>$B$12*F440+$B$13</f>
        <v>1.2228533258898313</v>
      </c>
      <c r="N440">
        <f t="shared" si="103"/>
        <v>1.2310890889831283E-2</v>
      </c>
      <c r="O440" s="4">
        <f t="shared" ca="1" si="104"/>
        <v>4.4159291370262386</v>
      </c>
      <c r="P440" s="4">
        <f t="shared" si="105"/>
        <v>4.5100934492495925</v>
      </c>
      <c r="Q440" s="4">
        <f t="shared" ca="1" si="106"/>
        <v>9.4164312223353974E-2</v>
      </c>
      <c r="R440" s="2">
        <f t="shared" ca="1" si="107"/>
        <v>2.0878572314066222E-2</v>
      </c>
      <c r="S440" s="4">
        <f t="shared" si="108"/>
        <v>3.65</v>
      </c>
      <c r="T440">
        <v>3.7415155549136481</v>
      </c>
      <c r="U440">
        <f t="shared" si="109"/>
        <v>9.1515554913648156E-2</v>
      </c>
      <c r="V440" s="2">
        <f t="shared" si="110"/>
        <v>2.5072754770862508E-2</v>
      </c>
      <c r="W440">
        <f>(T440+5/3)/(1/12)</f>
        <v>64.89818665896378</v>
      </c>
      <c r="X440" s="2">
        <f t="shared" si="111"/>
        <v>1.7212957037049781E-2</v>
      </c>
    </row>
    <row r="441" spans="5:24" x14ac:dyDescent="0.25">
      <c r="E441">
        <v>439</v>
      </c>
      <c r="F441">
        <f t="shared" si="96"/>
        <v>63.900000000000006</v>
      </c>
      <c r="G441">
        <f t="shared" si="97"/>
        <v>337.04999999999995</v>
      </c>
      <c r="H441" s="4">
        <f t="shared" si="98"/>
        <v>3.6583329999999998</v>
      </c>
      <c r="I441" s="4">
        <f t="shared" si="99"/>
        <v>2166.7374709999999</v>
      </c>
      <c r="J441" s="4">
        <f t="shared" si="100"/>
        <v>2.1867374709999998</v>
      </c>
      <c r="K441" s="4">
        <f t="shared" si="101"/>
        <v>1208.2071539999999</v>
      </c>
      <c r="L441">
        <f t="shared" si="102"/>
        <v>1.2082071539999999</v>
      </c>
      <c r="M441">
        <f>$B$12*F441+$B$13</f>
        <v>1.220505487066937</v>
      </c>
      <c r="N441">
        <f t="shared" si="103"/>
        <v>1.2298333066937062E-2</v>
      </c>
      <c r="O441" s="4">
        <f t="shared" ca="1" si="104"/>
        <v>4.4074101370262388</v>
      </c>
      <c r="P441" s="4">
        <f t="shared" si="105"/>
        <v>4.5014342157414982</v>
      </c>
      <c r="Q441" s="4">
        <f t="shared" ca="1" si="106"/>
        <v>9.4024078715259307E-2</v>
      </c>
      <c r="R441" s="2">
        <f t="shared" ca="1" si="107"/>
        <v>2.0887582536796265E-2</v>
      </c>
      <c r="S441" s="4">
        <f t="shared" si="108"/>
        <v>3.6583329999999998</v>
      </c>
      <c r="T441">
        <v>3.7504400346869233</v>
      </c>
      <c r="U441">
        <f t="shared" si="109"/>
        <v>9.2107034686923495E-2</v>
      </c>
      <c r="V441" s="2">
        <f t="shared" si="110"/>
        <v>2.5177323848573515E-2</v>
      </c>
      <c r="W441">
        <f>(T441+5/3)/(1/12)</f>
        <v>65.005280416243082</v>
      </c>
      <c r="X441" s="2">
        <f t="shared" si="111"/>
        <v>1.7297033118045008E-2</v>
      </c>
    </row>
    <row r="442" spans="5:24" x14ac:dyDescent="0.25">
      <c r="E442">
        <v>440</v>
      </c>
      <c r="F442">
        <f t="shared" si="96"/>
        <v>64</v>
      </c>
      <c r="G442">
        <f t="shared" si="97"/>
        <v>337.15</v>
      </c>
      <c r="H442" s="4">
        <f t="shared" si="98"/>
        <v>3.6666669999999999</v>
      </c>
      <c r="I442" s="4">
        <f t="shared" si="99"/>
        <v>2159.1067050000001</v>
      </c>
      <c r="J442" s="4">
        <f t="shared" si="100"/>
        <v>2.1791067050000001</v>
      </c>
      <c r="K442" s="4">
        <f t="shared" si="101"/>
        <v>1205.8740379999999</v>
      </c>
      <c r="L442">
        <f t="shared" si="102"/>
        <v>1.2058740379999999</v>
      </c>
      <c r="M442">
        <f>$B$12*F442+$B$13</f>
        <v>1.2181576482440428</v>
      </c>
      <c r="N442">
        <f t="shared" si="103"/>
        <v>1.2283610244042897E-2</v>
      </c>
      <c r="O442" s="4">
        <f t="shared" ca="1" si="104"/>
        <v>4.3981078629737613</v>
      </c>
      <c r="P442" s="4">
        <f t="shared" si="105"/>
        <v>4.4927749822334047</v>
      </c>
      <c r="Q442" s="4">
        <f t="shared" ca="1" si="106"/>
        <v>9.4667119259643329E-2</v>
      </c>
      <c r="R442" s="2">
        <f t="shared" ca="1" si="107"/>
        <v>2.1070968306670754E-2</v>
      </c>
      <c r="S442" s="4">
        <f t="shared" si="108"/>
        <v>3.6666669999999999</v>
      </c>
      <c r="T442">
        <v>3.7588533434508244</v>
      </c>
      <c r="U442">
        <f t="shared" si="109"/>
        <v>9.2186343450824548E-2</v>
      </c>
      <c r="V442" s="2">
        <f t="shared" si="110"/>
        <v>2.5141727746431447E-2</v>
      </c>
      <c r="W442">
        <f>(T442+5/3)/(1/12)</f>
        <v>65.106240121409897</v>
      </c>
      <c r="X442" s="2">
        <f t="shared" si="111"/>
        <v>1.7285001897029639E-2</v>
      </c>
    </row>
    <row r="443" spans="5:24" x14ac:dyDescent="0.25">
      <c r="E443">
        <v>441</v>
      </c>
      <c r="F443">
        <f t="shared" si="96"/>
        <v>64.099999999999994</v>
      </c>
      <c r="G443">
        <f t="shared" si="97"/>
        <v>337.25</v>
      </c>
      <c r="H443" s="4">
        <f t="shared" si="98"/>
        <v>3.6749999999999998</v>
      </c>
      <c r="I443" s="4">
        <f t="shared" si="99"/>
        <v>2151.5068209999999</v>
      </c>
      <c r="J443" s="4">
        <f t="shared" si="100"/>
        <v>2.1715068209999999</v>
      </c>
      <c r="K443" s="4">
        <f t="shared" si="101"/>
        <v>1203.543099</v>
      </c>
      <c r="L443">
        <f t="shared" si="102"/>
        <v>1.203543099</v>
      </c>
      <c r="M443">
        <f>$B$12*F443+$B$13</f>
        <v>1.2158098094211487</v>
      </c>
      <c r="N443">
        <f t="shared" si="103"/>
        <v>1.2266710421148685E-2</v>
      </c>
      <c r="O443" s="4">
        <f t="shared" ca="1" si="104"/>
        <v>4.3903981370262386</v>
      </c>
      <c r="P443" s="4">
        <f t="shared" si="105"/>
        <v>4.484115748725312</v>
      </c>
      <c r="Q443" s="4">
        <f t="shared" ca="1" si="106"/>
        <v>9.3717611699073444E-2</v>
      </c>
      <c r="R443" s="2">
        <f t="shared" ca="1" si="107"/>
        <v>2.08999091349759E-2</v>
      </c>
      <c r="S443" s="4">
        <f t="shared" si="108"/>
        <v>3.6749999999999998</v>
      </c>
      <c r="T443">
        <v>3.7672802432056227</v>
      </c>
      <c r="U443">
        <f t="shared" si="109"/>
        <v>9.2280243205622892E-2</v>
      </c>
      <c r="V443" s="2">
        <f t="shared" si="110"/>
        <v>2.511027026003344E-2</v>
      </c>
      <c r="W443">
        <f>(T443+5/3)/(1/12)</f>
        <v>65.207362918467481</v>
      </c>
      <c r="X443" s="2">
        <f t="shared" si="111"/>
        <v>1.7275552550194809E-2</v>
      </c>
    </row>
    <row r="444" spans="5:24" x14ac:dyDescent="0.25">
      <c r="E444">
        <v>442</v>
      </c>
      <c r="F444">
        <f t="shared" si="96"/>
        <v>64.2</v>
      </c>
      <c r="G444">
        <f t="shared" si="97"/>
        <v>337.34999999999997</v>
      </c>
      <c r="H444" s="4">
        <f t="shared" si="98"/>
        <v>3.6833330000000002</v>
      </c>
      <c r="I444" s="4">
        <f t="shared" si="99"/>
        <v>2143.9376769999999</v>
      </c>
      <c r="J444" s="4">
        <f t="shared" si="100"/>
        <v>2.1639376769999998</v>
      </c>
      <c r="K444" s="4">
        <f t="shared" si="101"/>
        <v>1201.2143490000001</v>
      </c>
      <c r="L444">
        <f t="shared" si="102"/>
        <v>1.201214349</v>
      </c>
      <c r="M444">
        <f>$B$12*F444+$B$13</f>
        <v>1.2134619705982541</v>
      </c>
      <c r="N444">
        <f t="shared" si="103"/>
        <v>1.2247621598254099E-2</v>
      </c>
      <c r="O444" s="4">
        <f t="shared" ca="1" si="104"/>
        <v>4.3815080000000002</v>
      </c>
      <c r="P444" s="4">
        <f t="shared" si="105"/>
        <v>4.4754565152172168</v>
      </c>
      <c r="Q444" s="4">
        <f t="shared" ca="1" si="106"/>
        <v>9.3948515217216588E-2</v>
      </c>
      <c r="R444" s="2">
        <f t="shared" ca="1" si="107"/>
        <v>2.0991940128962862E-2</v>
      </c>
      <c r="S444" s="4">
        <f t="shared" si="108"/>
        <v>3.6833330000000002</v>
      </c>
      <c r="T444">
        <v>3.7762413806007396</v>
      </c>
      <c r="U444">
        <f t="shared" si="109"/>
        <v>9.290838060073936E-2</v>
      </c>
      <c r="V444" s="2">
        <f t="shared" si="110"/>
        <v>2.5223997015947065E-2</v>
      </c>
      <c r="W444">
        <f>(T444+5/3)/(1/12)</f>
        <v>65.314896567208876</v>
      </c>
      <c r="X444" s="2">
        <f t="shared" si="111"/>
        <v>1.7365990143440396E-2</v>
      </c>
    </row>
    <row r="445" spans="5:24" x14ac:dyDescent="0.25">
      <c r="E445">
        <v>443</v>
      </c>
      <c r="F445">
        <f t="shared" si="96"/>
        <v>64.300000000000011</v>
      </c>
      <c r="G445">
        <f t="shared" si="97"/>
        <v>337.45</v>
      </c>
      <c r="H445" s="4">
        <f t="shared" si="98"/>
        <v>3.6916669999999998</v>
      </c>
      <c r="I445" s="4">
        <f t="shared" si="99"/>
        <v>2136.3991339999998</v>
      </c>
      <c r="J445" s="4">
        <f t="shared" si="100"/>
        <v>2.1563991339999999</v>
      </c>
      <c r="K445" s="4">
        <f t="shared" si="101"/>
        <v>1198.887798</v>
      </c>
      <c r="L445">
        <f t="shared" si="102"/>
        <v>1.1988877979999999</v>
      </c>
      <c r="M445">
        <f>$B$12*F445+$B$13</f>
        <v>1.2111141317753595</v>
      </c>
      <c r="N445">
        <f t="shared" si="103"/>
        <v>1.2226333775359643E-2</v>
      </c>
      <c r="O445" s="4">
        <f t="shared" ca="1" si="104"/>
        <v>4.3734171370262382</v>
      </c>
      <c r="P445" s="4">
        <f t="shared" si="105"/>
        <v>4.4667972817091215</v>
      </c>
      <c r="Q445" s="4">
        <f t="shared" ca="1" si="106"/>
        <v>9.3380144682883248E-2</v>
      </c>
      <c r="R445" s="2">
        <f t="shared" ca="1" si="107"/>
        <v>2.0905391221862971E-2</v>
      </c>
      <c r="S445" s="4">
        <f t="shared" si="108"/>
        <v>3.6916669999999998</v>
      </c>
      <c r="T445">
        <v>3.7846940824041808</v>
      </c>
      <c r="U445">
        <f t="shared" si="109"/>
        <v>9.3027082404181005E-2</v>
      </c>
      <c r="V445" s="2">
        <f t="shared" si="110"/>
        <v>2.5199207405267324E-2</v>
      </c>
      <c r="W445">
        <f>(T445+5/3)/(1/12)</f>
        <v>65.416328988850168</v>
      </c>
      <c r="X445" s="2">
        <f t="shared" si="111"/>
        <v>1.7361259546658733E-2</v>
      </c>
    </row>
    <row r="446" spans="5:24" x14ac:dyDescent="0.25">
      <c r="E446">
        <v>444</v>
      </c>
      <c r="F446">
        <f t="shared" si="96"/>
        <v>64.400000000000006</v>
      </c>
      <c r="G446">
        <f t="shared" si="97"/>
        <v>337.54999999999995</v>
      </c>
      <c r="H446" s="4">
        <f t="shared" si="98"/>
        <v>3.7</v>
      </c>
      <c r="I446" s="4">
        <f t="shared" si="99"/>
        <v>2128.8910540000002</v>
      </c>
      <c r="J446" s="4">
        <f t="shared" si="100"/>
        <v>2.1488910540000004</v>
      </c>
      <c r="K446" s="4">
        <f t="shared" si="101"/>
        <v>1196.5634580000001</v>
      </c>
      <c r="L446">
        <f t="shared" si="102"/>
        <v>1.1965634580000002</v>
      </c>
      <c r="M446">
        <f>$B$12*F446+$B$13</f>
        <v>1.2087662929524654</v>
      </c>
      <c r="N446">
        <f t="shared" si="103"/>
        <v>1.2202834952465214E-2</v>
      </c>
      <c r="O446" s="4">
        <f t="shared" ca="1" si="104"/>
        <v>4.3641468629737616</v>
      </c>
      <c r="P446" s="4">
        <f t="shared" si="105"/>
        <v>4.458138048201028</v>
      </c>
      <c r="Q446" s="4">
        <f t="shared" ca="1" si="106"/>
        <v>9.399118522726635E-2</v>
      </c>
      <c r="R446" s="2">
        <f t="shared" ca="1" si="107"/>
        <v>2.1083058490123287E-2</v>
      </c>
      <c r="S446" s="4">
        <f t="shared" si="108"/>
        <v>3.7</v>
      </c>
      <c r="T446">
        <v>3.793678735983999</v>
      </c>
      <c r="U446">
        <f t="shared" si="109"/>
        <v>9.3678735983998784E-2</v>
      </c>
      <c r="V446" s="2">
        <f t="shared" si="110"/>
        <v>2.5318577292972645E-2</v>
      </c>
      <c r="W446">
        <f>(T446+5/3)/(1/12)</f>
        <v>65.524144831808002</v>
      </c>
      <c r="X446" s="2">
        <f t="shared" si="111"/>
        <v>1.7455665090186274E-2</v>
      </c>
    </row>
    <row r="447" spans="5:24" x14ac:dyDescent="0.25">
      <c r="E447">
        <v>445</v>
      </c>
      <c r="F447">
        <f t="shared" si="96"/>
        <v>64.5</v>
      </c>
      <c r="G447">
        <f t="shared" si="97"/>
        <v>337.65</v>
      </c>
      <c r="H447" s="4">
        <f t="shared" si="98"/>
        <v>3.7083330000000001</v>
      </c>
      <c r="I447" s="4">
        <f t="shared" si="99"/>
        <v>2121.4132989999998</v>
      </c>
      <c r="J447" s="4">
        <f t="shared" si="100"/>
        <v>2.1414132989999999</v>
      </c>
      <c r="K447" s="4">
        <f t="shared" si="101"/>
        <v>1194.24134</v>
      </c>
      <c r="L447">
        <f t="shared" si="102"/>
        <v>1.19424134</v>
      </c>
      <c r="M447">
        <f>$B$12*F447+$B$13</f>
        <v>1.206418454129571</v>
      </c>
      <c r="N447">
        <f t="shared" si="103"/>
        <v>1.2177114129571009E-2</v>
      </c>
      <c r="O447" s="4">
        <f t="shared" ca="1" si="104"/>
        <v>4.355687635568513</v>
      </c>
      <c r="P447" s="4">
        <f t="shared" si="105"/>
        <v>4.4494788146929336</v>
      </c>
      <c r="Q447" s="4">
        <f t="shared" ca="1" si="106"/>
        <v>9.3791179124420587E-2</v>
      </c>
      <c r="R447" s="2">
        <f t="shared" ca="1" si="107"/>
        <v>2.1079138261026486E-2</v>
      </c>
      <c r="S447" s="4">
        <f t="shared" si="108"/>
        <v>3.7083330000000001</v>
      </c>
      <c r="T447">
        <v>3.802156773129707</v>
      </c>
      <c r="U447">
        <f t="shared" si="109"/>
        <v>9.3823773129706911E-2</v>
      </c>
      <c r="V447" s="2">
        <f t="shared" si="110"/>
        <v>2.5300795028307035E-2</v>
      </c>
      <c r="W447">
        <f>(T447+5/3)/(1/12)</f>
        <v>65.625881277556488</v>
      </c>
      <c r="X447" s="2">
        <f t="shared" si="111"/>
        <v>1.7455523683046321E-2</v>
      </c>
    </row>
    <row r="448" spans="5:24" x14ac:dyDescent="0.25">
      <c r="E448">
        <v>446</v>
      </c>
      <c r="F448">
        <f t="shared" si="96"/>
        <v>64.599999999999994</v>
      </c>
      <c r="G448">
        <f t="shared" si="97"/>
        <v>337.75</v>
      </c>
      <c r="H448" s="4">
        <f t="shared" si="98"/>
        <v>3.7166670000000002</v>
      </c>
      <c r="I448" s="4">
        <f t="shared" si="99"/>
        <v>2113.9657320000001</v>
      </c>
      <c r="J448" s="4">
        <f t="shared" si="100"/>
        <v>2.1339657320000001</v>
      </c>
      <c r="K448" s="4">
        <f t="shared" si="101"/>
        <v>1191.9214569999999</v>
      </c>
      <c r="L448">
        <f t="shared" si="102"/>
        <v>1.1919214569999999</v>
      </c>
      <c r="M448">
        <f>$B$12*F448+$B$13</f>
        <v>1.2040706153066769</v>
      </c>
      <c r="N448">
        <f t="shared" si="103"/>
        <v>1.2149158306677066E-2</v>
      </c>
      <c r="O448" s="4">
        <f t="shared" ca="1" si="104"/>
        <v>4.347996364431487</v>
      </c>
      <c r="P448" s="4">
        <f t="shared" si="105"/>
        <v>4.4408195811848401</v>
      </c>
      <c r="Q448" s="4">
        <f t="shared" ca="1" si="106"/>
        <v>9.2823216753353144E-2</v>
      </c>
      <c r="R448" s="2">
        <f t="shared" ca="1" si="107"/>
        <v>2.0902271541639008E-2</v>
      </c>
      <c r="S448" s="4">
        <f t="shared" si="108"/>
        <v>3.7166670000000002</v>
      </c>
      <c r="T448">
        <v>3.8106478155683416</v>
      </c>
      <c r="U448">
        <f t="shared" si="109"/>
        <v>9.398081556834148E-2</v>
      </c>
      <c r="V448" s="2">
        <f t="shared" si="110"/>
        <v>2.5286315822305703E-2</v>
      </c>
      <c r="W448">
        <f>(T448+5/3)/(1/12)</f>
        <v>65.727773786820109</v>
      </c>
      <c r="X448" s="2">
        <f t="shared" si="111"/>
        <v>1.7457798557586911E-2</v>
      </c>
    </row>
    <row r="449" spans="5:24" x14ac:dyDescent="0.25">
      <c r="E449">
        <v>447</v>
      </c>
      <c r="F449">
        <f t="shared" si="96"/>
        <v>64.7</v>
      </c>
      <c r="G449">
        <f t="shared" si="97"/>
        <v>337.84999999999997</v>
      </c>
      <c r="H449" s="4">
        <f t="shared" si="98"/>
        <v>3.7250000000000001</v>
      </c>
      <c r="I449" s="4">
        <f t="shared" si="99"/>
        <v>2106.5482160000001</v>
      </c>
      <c r="J449" s="4">
        <f t="shared" si="100"/>
        <v>2.1265482160000002</v>
      </c>
      <c r="K449" s="4">
        <f t="shared" si="101"/>
        <v>1189.603818</v>
      </c>
      <c r="L449">
        <f t="shared" si="102"/>
        <v>1.1896038180000001</v>
      </c>
      <c r="M449">
        <f>$B$12*F449+$B$13</f>
        <v>1.2017227764837823</v>
      </c>
      <c r="N449">
        <f t="shared" si="103"/>
        <v>1.2118958483782194E-2</v>
      </c>
      <c r="O449" s="4">
        <f t="shared" ca="1" si="104"/>
        <v>4.3395541370262389</v>
      </c>
      <c r="P449" s="4">
        <f t="shared" si="105"/>
        <v>4.4321603476767457</v>
      </c>
      <c r="Q449" s="4">
        <f t="shared" ca="1" si="106"/>
        <v>9.2606210650506782E-2</v>
      </c>
      <c r="R449" s="2">
        <f t="shared" ca="1" si="107"/>
        <v>2.0894147184690463E-2</v>
      </c>
      <c r="S449" s="4">
        <f t="shared" si="108"/>
        <v>3.7250000000000001</v>
      </c>
      <c r="T449">
        <v>3.8186361036937413</v>
      </c>
      <c r="U449">
        <f t="shared" si="109"/>
        <v>9.3636103693741202E-2</v>
      </c>
      <c r="V449" s="2">
        <f t="shared" si="110"/>
        <v>2.513720904529965E-2</v>
      </c>
      <c r="W449">
        <f>(T449+5/3)/(1/12)</f>
        <v>65.82363324432491</v>
      </c>
      <c r="X449" s="2">
        <f t="shared" si="111"/>
        <v>1.7366819850462237E-2</v>
      </c>
    </row>
    <row r="450" spans="5:24" x14ac:dyDescent="0.25">
      <c r="E450">
        <v>448</v>
      </c>
      <c r="F450">
        <f t="shared" si="96"/>
        <v>64.800000000000011</v>
      </c>
      <c r="G450">
        <f t="shared" si="97"/>
        <v>337.95</v>
      </c>
      <c r="H450" s="4">
        <f t="shared" si="98"/>
        <v>3.733333</v>
      </c>
      <c r="I450" s="4">
        <f t="shared" si="99"/>
        <v>2099.1606139999999</v>
      </c>
      <c r="J450" s="4">
        <f t="shared" si="100"/>
        <v>2.1191606140000001</v>
      </c>
      <c r="K450" s="4">
        <f t="shared" si="101"/>
        <v>1187.2884340000001</v>
      </c>
      <c r="L450">
        <f t="shared" si="102"/>
        <v>1.1872884340000001</v>
      </c>
      <c r="M450">
        <f>$B$12*F450+$B$13</f>
        <v>1.1993749376608878</v>
      </c>
      <c r="N450">
        <f t="shared" si="103"/>
        <v>1.2086503660887704E-2</v>
      </c>
      <c r="O450" s="4">
        <f t="shared" ca="1" si="104"/>
        <v>4.3303158629737615</v>
      </c>
      <c r="P450" s="4">
        <f t="shared" si="105"/>
        <v>4.4235011141686504</v>
      </c>
      <c r="Q450" s="4">
        <f t="shared" ca="1" si="106"/>
        <v>9.3185251194888963E-2</v>
      </c>
      <c r="R450" s="2">
        <f t="shared" ca="1" si="107"/>
        <v>2.1065949525006986E-2</v>
      </c>
      <c r="S450" s="4">
        <f t="shared" si="108"/>
        <v>3.733333</v>
      </c>
      <c r="T450">
        <v>3.8271538263751843</v>
      </c>
      <c r="U450">
        <f t="shared" si="109"/>
        <v>9.3820826375184296E-2</v>
      </c>
      <c r="V450" s="2">
        <f t="shared" si="110"/>
        <v>2.5130580737154788E-2</v>
      </c>
      <c r="W450">
        <f>(T450+5/3)/(1/12)</f>
        <v>65.925845916502226</v>
      </c>
      <c r="X450" s="2">
        <f t="shared" si="111"/>
        <v>1.7374165378120591E-2</v>
      </c>
    </row>
    <row r="451" spans="5:24" x14ac:dyDescent="0.25">
      <c r="E451">
        <v>449</v>
      </c>
      <c r="F451">
        <f t="shared" ref="F451:F514" si="112">E451*0.1+20</f>
        <v>64.900000000000006</v>
      </c>
      <c r="G451">
        <f t="shared" ref="G451:G514" si="113">F451+273.15</f>
        <v>338.04999999999995</v>
      </c>
      <c r="H451" s="4">
        <f t="shared" ref="H451:H514" si="114">ROUND(1/12*F451-5/3,6)</f>
        <v>3.7416670000000001</v>
      </c>
      <c r="I451" s="4">
        <f t="shared" ref="I451:I514" si="115">ROUND(10000*EXP(($B$3)+($B$4/G451)+($B$5/(G451^2))+($B$6/(G451^3))),6)</f>
        <v>2091.8027929999998</v>
      </c>
      <c r="J451" s="4">
        <f t="shared" ref="J451:J514" si="116">$B$9*(2*$B$8+I451)</f>
        <v>2.1118027929999998</v>
      </c>
      <c r="K451" s="4">
        <f t="shared" ref="K451:K514" si="117">ROUND(1/(1/(I451+2*$B$8)+1/($B$7)),6)</f>
        <v>1184.9753169999999</v>
      </c>
      <c r="L451">
        <f t="shared" ref="L451:L514" si="118">$B$9*K451</f>
        <v>1.1849753169999999</v>
      </c>
      <c r="M451">
        <f>$B$12*F451+$B$13</f>
        <v>1.1970270988379936</v>
      </c>
      <c r="N451">
        <f t="shared" ref="N451:N514" si="119">ABS(L451-M451)</f>
        <v>1.2051781837993714E-2</v>
      </c>
      <c r="O451" s="4">
        <f t="shared" ref="O451:O514" ca="1" si="120">ROUND(L451*$B$28,6)+RANDBETWEEN(-1,1)*$B$23+RANDBETWEEN(-1,1)*$B$24</f>
        <v>4.3226603644314876</v>
      </c>
      <c r="P451" s="4">
        <f t="shared" ref="P451:P514" si="121">M451*$B$22</f>
        <v>4.4148418806605569</v>
      </c>
      <c r="Q451" s="4">
        <f t="shared" ref="Q451:Q514" ca="1" si="122">ABS(O451-P451)</f>
        <v>9.2181516229069338E-2</v>
      </c>
      <c r="R451" s="2">
        <f t="shared" ref="R451:R514" ca="1" si="123">ABS(P451-O451)/P451</f>
        <v>2.0879913419521372E-2</v>
      </c>
      <c r="S451" s="4">
        <f t="shared" ref="S451:S514" si="124">ROUND($B$18*M451+$B$19,6)</f>
        <v>3.7416670000000001</v>
      </c>
      <c r="T451">
        <v>3.8356842021175015</v>
      </c>
      <c r="U451">
        <f t="shared" ref="U451:U514" si="125">ABS(S451-T451)</f>
        <v>9.4017202117501419E-2</v>
      </c>
      <c r="V451" s="2">
        <f t="shared" ref="V451:V514" si="126">IF(S451=0, ABS(S451-T451),ABS(S451-T451)/S451)</f>
        <v>2.5127089641462326E-2</v>
      </c>
      <c r="W451">
        <f>(T451+5/3)/(1/12)</f>
        <v>66.028210425410023</v>
      </c>
      <c r="X451" s="2">
        <f t="shared" ref="X451:X514" si="127">ABS(F451-W451)/F451</f>
        <v>1.7383827818336171E-2</v>
      </c>
    </row>
    <row r="452" spans="5:24" x14ac:dyDescent="0.25">
      <c r="E452">
        <v>450</v>
      </c>
      <c r="F452">
        <f t="shared" si="112"/>
        <v>65</v>
      </c>
      <c r="G452">
        <f t="shared" si="113"/>
        <v>338.15</v>
      </c>
      <c r="H452" s="4">
        <f t="shared" si="114"/>
        <v>3.75</v>
      </c>
      <c r="I452" s="4">
        <f t="shared" si="115"/>
        <v>2084.474616</v>
      </c>
      <c r="J452" s="4">
        <f t="shared" si="116"/>
        <v>2.1044746160000001</v>
      </c>
      <c r="K452" s="4">
        <f t="shared" si="117"/>
        <v>1182.6644779999999</v>
      </c>
      <c r="L452">
        <f t="shared" si="118"/>
        <v>1.182664478</v>
      </c>
      <c r="M452">
        <f>$B$12*F452+$B$13</f>
        <v>1.1946792600150993</v>
      </c>
      <c r="N452">
        <f t="shared" si="119"/>
        <v>1.2014782015099312E-2</v>
      </c>
      <c r="O452" s="4">
        <f t="shared" ca="1" si="120"/>
        <v>4.3134498629737612</v>
      </c>
      <c r="P452" s="4">
        <f t="shared" si="121"/>
        <v>4.4061826471524626</v>
      </c>
      <c r="Q452" s="4">
        <f t="shared" ca="1" si="122"/>
        <v>9.2732784178701344E-2</v>
      </c>
      <c r="R452" s="2">
        <f t="shared" ca="1" si="123"/>
        <v>2.1046059958188704E-2</v>
      </c>
      <c r="S452" s="4">
        <f t="shared" si="124"/>
        <v>3.75</v>
      </c>
      <c r="T452">
        <v>3.8442271147878468</v>
      </c>
      <c r="U452">
        <f t="shared" si="125"/>
        <v>9.4227114787846844E-2</v>
      </c>
      <c r="V452" s="2">
        <f t="shared" si="126"/>
        <v>2.5127230610092491E-2</v>
      </c>
      <c r="W452">
        <f>(T452+5/3)/(1/12)</f>
        <v>66.130725377454169</v>
      </c>
      <c r="X452" s="2">
        <f t="shared" si="127"/>
        <v>1.7395775037756449E-2</v>
      </c>
    </row>
    <row r="453" spans="5:24" x14ac:dyDescent="0.25">
      <c r="E453">
        <v>451</v>
      </c>
      <c r="F453">
        <f t="shared" si="112"/>
        <v>65.099999999999994</v>
      </c>
      <c r="G453">
        <f t="shared" si="113"/>
        <v>338.25</v>
      </c>
      <c r="H453" s="4">
        <f t="shared" si="114"/>
        <v>3.7583329999999999</v>
      </c>
      <c r="I453" s="4">
        <f t="shared" si="115"/>
        <v>2077.1759510000002</v>
      </c>
      <c r="J453" s="4">
        <f t="shared" si="116"/>
        <v>2.0971759510000001</v>
      </c>
      <c r="K453" s="4">
        <f t="shared" si="117"/>
        <v>1180.3559270000001</v>
      </c>
      <c r="L453">
        <f t="shared" si="118"/>
        <v>1.1803559270000001</v>
      </c>
      <c r="M453">
        <f>$B$12*F453+$B$13</f>
        <v>1.1923314211922051</v>
      </c>
      <c r="N453">
        <f t="shared" si="119"/>
        <v>1.1975494192205005E-2</v>
      </c>
      <c r="O453" s="4">
        <f t="shared" ca="1" si="120"/>
        <v>4.305028862973761</v>
      </c>
      <c r="P453" s="4">
        <f t="shared" si="121"/>
        <v>4.3975234136443691</v>
      </c>
      <c r="Q453" s="4">
        <f t="shared" ca="1" si="122"/>
        <v>9.2494550670608078E-2</v>
      </c>
      <c r="R453" s="2">
        <f t="shared" ca="1" si="123"/>
        <v>2.1033327618818719E-2</v>
      </c>
      <c r="S453" s="4">
        <f t="shared" si="124"/>
        <v>3.7583329999999999</v>
      </c>
      <c r="T453">
        <v>3.8527824476787114</v>
      </c>
      <c r="U453">
        <f t="shared" si="125"/>
        <v>9.444944767871144E-2</v>
      </c>
      <c r="V453" s="2">
        <f t="shared" si="126"/>
        <v>2.5130675668896672E-2</v>
      </c>
      <c r="W453">
        <f>(T453+5/3)/(1/12)</f>
        <v>66.233389372144543</v>
      </c>
      <c r="X453" s="2">
        <f t="shared" si="127"/>
        <v>1.7409974994539928E-2</v>
      </c>
    </row>
    <row r="454" spans="5:24" x14ac:dyDescent="0.25">
      <c r="E454">
        <v>452</v>
      </c>
      <c r="F454">
        <f t="shared" si="112"/>
        <v>65.2</v>
      </c>
      <c r="G454">
        <f t="shared" si="113"/>
        <v>338.34999999999997</v>
      </c>
      <c r="H454" s="4">
        <f t="shared" si="114"/>
        <v>3.766667</v>
      </c>
      <c r="I454" s="4">
        <f t="shared" si="115"/>
        <v>2069.906665</v>
      </c>
      <c r="J454" s="4">
        <f t="shared" si="116"/>
        <v>2.089906665</v>
      </c>
      <c r="K454" s="4">
        <f t="shared" si="117"/>
        <v>1178.0496760000001</v>
      </c>
      <c r="L454">
        <f t="shared" si="118"/>
        <v>1.1780496760000001</v>
      </c>
      <c r="M454">
        <f>$B$12*F454+$B$13</f>
        <v>1.1899835823693106</v>
      </c>
      <c r="N454">
        <f t="shared" si="119"/>
        <v>1.1933906369310465E-2</v>
      </c>
      <c r="O454" s="4">
        <f t="shared" ca="1" si="120"/>
        <v>4.2970129999999997</v>
      </c>
      <c r="P454" s="4">
        <f t="shared" si="121"/>
        <v>4.3888641801362747</v>
      </c>
      <c r="Q454" s="4">
        <f t="shared" ca="1" si="122"/>
        <v>9.1851180136274913E-2</v>
      </c>
      <c r="R454" s="2">
        <f t="shared" ca="1" si="123"/>
        <v>2.0928234815738345E-2</v>
      </c>
      <c r="S454" s="4">
        <f t="shared" si="124"/>
        <v>3.766667</v>
      </c>
      <c r="T454">
        <v>3.8613500845408568</v>
      </c>
      <c r="U454">
        <f t="shared" si="125"/>
        <v>9.4683084540856832E-2</v>
      </c>
      <c r="V454" s="2">
        <f t="shared" si="126"/>
        <v>2.5137099865970854E-2</v>
      </c>
      <c r="W454">
        <f>(T454+5/3)/(1/12)</f>
        <v>66.336201014490285</v>
      </c>
      <c r="X454" s="2">
        <f t="shared" si="127"/>
        <v>1.742639592776507E-2</v>
      </c>
    </row>
    <row r="455" spans="5:24" x14ac:dyDescent="0.25">
      <c r="E455">
        <v>453</v>
      </c>
      <c r="F455">
        <f t="shared" si="112"/>
        <v>65.300000000000011</v>
      </c>
      <c r="G455">
        <f t="shared" si="113"/>
        <v>338.45</v>
      </c>
      <c r="H455" s="4">
        <f t="shared" si="114"/>
        <v>3.7749999999999999</v>
      </c>
      <c r="I455" s="4">
        <f t="shared" si="115"/>
        <v>2062.666624</v>
      </c>
      <c r="J455" s="4">
        <f t="shared" si="116"/>
        <v>2.0826666239999998</v>
      </c>
      <c r="K455" s="4">
        <f t="shared" si="117"/>
        <v>1175.745735</v>
      </c>
      <c r="L455">
        <f t="shared" si="118"/>
        <v>1.175745735</v>
      </c>
      <c r="M455">
        <f>$B$12*F455+$B$13</f>
        <v>1.187635743546416</v>
      </c>
      <c r="N455">
        <f t="shared" si="119"/>
        <v>1.1890008546415975E-2</v>
      </c>
      <c r="O455" s="4">
        <f t="shared" ca="1" si="120"/>
        <v>4.289390501457726</v>
      </c>
      <c r="P455" s="4">
        <f t="shared" si="121"/>
        <v>4.3802049466281794</v>
      </c>
      <c r="Q455" s="4">
        <f t="shared" ca="1" si="122"/>
        <v>9.081444517045334E-2</v>
      </c>
      <c r="R455" s="2">
        <f t="shared" ca="1" si="123"/>
        <v>2.0732921467604165E-2</v>
      </c>
      <c r="S455" s="4">
        <f t="shared" si="124"/>
        <v>3.7749999999999999</v>
      </c>
      <c r="T455">
        <v>3.8699299097942803</v>
      </c>
      <c r="U455">
        <f t="shared" si="125"/>
        <v>9.4929909794280398E-2</v>
      </c>
      <c r="V455" s="2">
        <f t="shared" si="126"/>
        <v>2.5146995971994809E-2</v>
      </c>
      <c r="W455">
        <f>(T455+5/3)/(1/12)</f>
        <v>66.439158917531373</v>
      </c>
      <c r="X455" s="2">
        <f t="shared" si="127"/>
        <v>1.7445006394048407E-2</v>
      </c>
    </row>
    <row r="456" spans="5:24" x14ac:dyDescent="0.25">
      <c r="E456">
        <v>454</v>
      </c>
      <c r="F456">
        <f t="shared" si="112"/>
        <v>65.400000000000006</v>
      </c>
      <c r="G456">
        <f t="shared" si="113"/>
        <v>338.54999999999995</v>
      </c>
      <c r="H456" s="4">
        <f t="shared" si="114"/>
        <v>3.7833329999999998</v>
      </c>
      <c r="I456" s="4">
        <f t="shared" si="115"/>
        <v>2055.4556969999999</v>
      </c>
      <c r="J456" s="4">
        <f t="shared" si="116"/>
        <v>2.0754556969999998</v>
      </c>
      <c r="K456" s="4">
        <f t="shared" si="117"/>
        <v>1173.444115</v>
      </c>
      <c r="L456">
        <f t="shared" si="118"/>
        <v>1.1734441150000001</v>
      </c>
      <c r="M456">
        <f>$B$12*F456+$B$13</f>
        <v>1.1852879047235219</v>
      </c>
      <c r="N456">
        <f t="shared" si="119"/>
        <v>1.1843789723521736E-2</v>
      </c>
      <c r="O456" s="4">
        <f t="shared" ca="1" si="120"/>
        <v>4.2798178629737613</v>
      </c>
      <c r="P456" s="4">
        <f t="shared" si="121"/>
        <v>4.3715457131200859</v>
      </c>
      <c r="Q456" s="4">
        <f t="shared" ca="1" si="122"/>
        <v>9.1727850146324563E-2</v>
      </c>
      <c r="R456" s="2">
        <f t="shared" ca="1" si="123"/>
        <v>2.0982932849364169E-2</v>
      </c>
      <c r="S456" s="4">
        <f t="shared" si="124"/>
        <v>3.7833329999999998</v>
      </c>
      <c r="T456">
        <v>3.8780132925564601</v>
      </c>
      <c r="U456">
        <f t="shared" si="125"/>
        <v>9.4680292556460266E-2</v>
      </c>
      <c r="V456" s="2">
        <f t="shared" si="126"/>
        <v>2.5025630193393041E-2</v>
      </c>
      <c r="W456">
        <f>(T456+5/3)/(1/12)</f>
        <v>66.536159510677535</v>
      </c>
      <c r="X456" s="2">
        <f t="shared" si="127"/>
        <v>1.7372469582225224E-2</v>
      </c>
    </row>
    <row r="457" spans="5:24" x14ac:dyDescent="0.25">
      <c r="E457">
        <v>455</v>
      </c>
      <c r="F457">
        <f t="shared" si="112"/>
        <v>65.5</v>
      </c>
      <c r="G457">
        <f t="shared" si="113"/>
        <v>338.65</v>
      </c>
      <c r="H457" s="4">
        <f t="shared" si="114"/>
        <v>3.7916669999999999</v>
      </c>
      <c r="I457" s="4">
        <f t="shared" si="115"/>
        <v>2048.2737520000001</v>
      </c>
      <c r="J457" s="4">
        <f t="shared" si="116"/>
        <v>2.0682737520000001</v>
      </c>
      <c r="K457" s="4">
        <f t="shared" si="117"/>
        <v>1171.1448250000001</v>
      </c>
      <c r="L457">
        <f t="shared" si="118"/>
        <v>1.1711448250000001</v>
      </c>
      <c r="M457">
        <f>$B$12*F457+$B$13</f>
        <v>1.1829400659006277</v>
      </c>
      <c r="N457">
        <f t="shared" si="119"/>
        <v>1.1795240900627668E-2</v>
      </c>
      <c r="O457" s="4">
        <f t="shared" ca="1" si="120"/>
        <v>4.2718162274052487</v>
      </c>
      <c r="P457" s="4">
        <f t="shared" si="121"/>
        <v>4.3628864796119924</v>
      </c>
      <c r="Q457" s="4">
        <f t="shared" ca="1" si="122"/>
        <v>9.1070252206743696E-2</v>
      </c>
      <c r="R457" s="2">
        <f t="shared" ca="1" si="123"/>
        <v>2.0873853269462769E-2</v>
      </c>
      <c r="S457" s="4">
        <f t="shared" si="124"/>
        <v>3.7916669999999999</v>
      </c>
      <c r="T457">
        <v>3.8866181606996051</v>
      </c>
      <c r="U457">
        <f t="shared" si="125"/>
        <v>9.4951160699605186E-2</v>
      </c>
      <c r="V457" s="2">
        <f t="shared" si="126"/>
        <v>2.5042062158835466E-2</v>
      </c>
      <c r="W457">
        <f>(T457+5/3)/(1/12)</f>
        <v>66.639417928395275</v>
      </c>
      <c r="X457" s="2">
        <f t="shared" si="127"/>
        <v>1.7395693563286643E-2</v>
      </c>
    </row>
    <row r="458" spans="5:24" x14ac:dyDescent="0.25">
      <c r="E458">
        <v>456</v>
      </c>
      <c r="F458">
        <f t="shared" si="112"/>
        <v>65.599999999999994</v>
      </c>
      <c r="G458">
        <f t="shared" si="113"/>
        <v>338.75</v>
      </c>
      <c r="H458" s="4">
        <f t="shared" si="114"/>
        <v>3.8</v>
      </c>
      <c r="I458" s="4">
        <f t="shared" si="115"/>
        <v>2041.12066</v>
      </c>
      <c r="J458" s="4">
        <f t="shared" si="116"/>
        <v>2.0611206600000003</v>
      </c>
      <c r="K458" s="4">
        <f t="shared" si="117"/>
        <v>1168.847878</v>
      </c>
      <c r="L458">
        <f t="shared" si="118"/>
        <v>1.168847878</v>
      </c>
      <c r="M458">
        <f>$B$12*F458+$B$13</f>
        <v>1.1805922270777334</v>
      </c>
      <c r="N458">
        <f t="shared" si="119"/>
        <v>1.1744349077733363E-2</v>
      </c>
      <c r="O458" s="4">
        <f t="shared" ca="1" si="120"/>
        <v>4.2642305014577255</v>
      </c>
      <c r="P458" s="4">
        <f t="shared" si="121"/>
        <v>4.354227246103898</v>
      </c>
      <c r="Q458" s="4">
        <f t="shared" ca="1" si="122"/>
        <v>8.9996744646172466E-2</v>
      </c>
      <c r="R458" s="2">
        <f t="shared" ca="1" si="123"/>
        <v>2.0668821253346459E-2</v>
      </c>
      <c r="S458" s="4">
        <f t="shared" si="124"/>
        <v>3.8</v>
      </c>
      <c r="T458">
        <v>3.8952348690828171</v>
      </c>
      <c r="U458">
        <f t="shared" si="125"/>
        <v>9.5234869082817308E-2</v>
      </c>
      <c r="V458" s="2">
        <f t="shared" si="126"/>
        <v>2.5061807653372976E-2</v>
      </c>
      <c r="W458">
        <f>(T458+5/3)/(1/12)</f>
        <v>66.742818428993814</v>
      </c>
      <c r="X458" s="2">
        <f t="shared" si="127"/>
        <v>1.7421012637100917E-2</v>
      </c>
    </row>
    <row r="459" spans="5:24" x14ac:dyDescent="0.25">
      <c r="E459">
        <v>457</v>
      </c>
      <c r="F459">
        <f t="shared" si="112"/>
        <v>65.7</v>
      </c>
      <c r="G459">
        <f t="shared" si="113"/>
        <v>338.84999999999997</v>
      </c>
      <c r="H459" s="4">
        <f t="shared" si="114"/>
        <v>3.8083330000000002</v>
      </c>
      <c r="I459" s="4">
        <f t="shared" si="115"/>
        <v>2033.99629</v>
      </c>
      <c r="J459" s="4">
        <f t="shared" si="116"/>
        <v>2.0539962900000002</v>
      </c>
      <c r="K459" s="4">
        <f t="shared" si="117"/>
        <v>1166.5532840000001</v>
      </c>
      <c r="L459">
        <f t="shared" si="118"/>
        <v>1.1665532840000001</v>
      </c>
      <c r="M459">
        <f>$B$12*F459+$B$13</f>
        <v>1.1782443882548388</v>
      </c>
      <c r="N459">
        <f t="shared" si="119"/>
        <v>1.1691104254838658E-2</v>
      </c>
      <c r="O459" s="4">
        <f t="shared" ca="1" si="120"/>
        <v>4.2554643644314876</v>
      </c>
      <c r="P459" s="4">
        <f t="shared" si="121"/>
        <v>4.3455680125958027</v>
      </c>
      <c r="Q459" s="4">
        <f t="shared" ca="1" si="122"/>
        <v>9.0103648164315153E-2</v>
      </c>
      <c r="R459" s="2">
        <f t="shared" ca="1" si="123"/>
        <v>2.0734607743601325E-2</v>
      </c>
      <c r="S459" s="4">
        <f t="shared" si="124"/>
        <v>3.8083330000000002</v>
      </c>
      <c r="T459">
        <v>3.9038633034790937</v>
      </c>
      <c r="U459">
        <f t="shared" si="125"/>
        <v>9.5530303479093526E-2</v>
      </c>
      <c r="V459" s="2">
        <f t="shared" si="126"/>
        <v>2.5084545778715654E-2</v>
      </c>
      <c r="W459">
        <f>(T459+5/3)/(1/12)</f>
        <v>66.846359641749132</v>
      </c>
      <c r="X459" s="2">
        <f t="shared" si="127"/>
        <v>1.7448396373654928E-2</v>
      </c>
    </row>
    <row r="460" spans="5:24" x14ac:dyDescent="0.25">
      <c r="E460">
        <v>458</v>
      </c>
      <c r="F460">
        <f t="shared" si="112"/>
        <v>65.800000000000011</v>
      </c>
      <c r="G460">
        <f t="shared" si="113"/>
        <v>338.95</v>
      </c>
      <c r="H460" s="4">
        <f t="shared" si="114"/>
        <v>3.8166669999999998</v>
      </c>
      <c r="I460" s="4">
        <f t="shared" si="115"/>
        <v>2026.9005119999999</v>
      </c>
      <c r="J460" s="4">
        <f t="shared" si="116"/>
        <v>2.0469005120000001</v>
      </c>
      <c r="K460" s="4">
        <f t="shared" si="117"/>
        <v>1164.2610520000001</v>
      </c>
      <c r="L460">
        <f t="shared" si="118"/>
        <v>1.1642610520000001</v>
      </c>
      <c r="M460">
        <f>$B$12*F460+$B$13</f>
        <v>1.1758965494319444</v>
      </c>
      <c r="N460">
        <f t="shared" si="119"/>
        <v>1.1635497431944364E-2</v>
      </c>
      <c r="O460" s="4">
        <f t="shared" ca="1" si="120"/>
        <v>4.2474995014577264</v>
      </c>
      <c r="P460" s="4">
        <f t="shared" si="121"/>
        <v>4.3369087790877092</v>
      </c>
      <c r="Q460" s="4">
        <f t="shared" ca="1" si="122"/>
        <v>8.9409277629982853E-2</v>
      </c>
      <c r="R460" s="2">
        <f t="shared" ca="1" si="123"/>
        <v>2.0615899984133525E-2</v>
      </c>
      <c r="S460" s="4">
        <f t="shared" si="124"/>
        <v>3.8166669999999998</v>
      </c>
      <c r="T460">
        <v>3.912503348104758</v>
      </c>
      <c r="U460">
        <f t="shared" si="125"/>
        <v>9.5836348104758162E-2</v>
      </c>
      <c r="V460" s="2">
        <f t="shared" si="126"/>
        <v>2.510995800911061E-2</v>
      </c>
      <c r="W460">
        <f>(T460+5/3)/(1/12)</f>
        <v>66.950040177257094</v>
      </c>
      <c r="X460" s="2">
        <f t="shared" si="127"/>
        <v>1.7477814244028608E-2</v>
      </c>
    </row>
    <row r="461" spans="5:24" x14ac:dyDescent="0.25">
      <c r="E461">
        <v>459</v>
      </c>
      <c r="F461">
        <f t="shared" si="112"/>
        <v>65.900000000000006</v>
      </c>
      <c r="G461">
        <f t="shared" si="113"/>
        <v>339.04999999999995</v>
      </c>
      <c r="H461" s="4">
        <f t="shared" si="114"/>
        <v>3.8250000000000002</v>
      </c>
      <c r="I461" s="4">
        <f t="shared" si="115"/>
        <v>2019.833198</v>
      </c>
      <c r="J461" s="4">
        <f t="shared" si="116"/>
        <v>2.0398331980000002</v>
      </c>
      <c r="K461" s="4">
        <f t="shared" si="117"/>
        <v>1161.9711930000001</v>
      </c>
      <c r="L461">
        <f t="shared" si="118"/>
        <v>1.1619711930000001</v>
      </c>
      <c r="M461">
        <f>$B$12*F461+$B$13</f>
        <v>1.1735487106090501</v>
      </c>
      <c r="N461">
        <f t="shared" si="119"/>
        <v>1.1577517609050014E-2</v>
      </c>
      <c r="O461" s="4">
        <f t="shared" ca="1" si="120"/>
        <v>4.2375844985422741</v>
      </c>
      <c r="P461" s="4">
        <f t="shared" si="121"/>
        <v>4.3282495455796148</v>
      </c>
      <c r="Q461" s="4">
        <f t="shared" ca="1" si="122"/>
        <v>9.0665047037340685E-2</v>
      </c>
      <c r="R461" s="2">
        <f t="shared" ca="1" si="123"/>
        <v>2.0947278127698466E-2</v>
      </c>
      <c r="S461" s="4">
        <f t="shared" si="124"/>
        <v>3.8250000000000002</v>
      </c>
      <c r="T461">
        <v>3.9206514305956071</v>
      </c>
      <c r="U461">
        <f t="shared" si="125"/>
        <v>9.5651430595606879E-2</v>
      </c>
      <c r="V461" s="2">
        <f t="shared" si="126"/>
        <v>2.5006909959635785E-2</v>
      </c>
      <c r="W461">
        <f>(T461+5/3)/(1/12)</f>
        <v>67.047817167147286</v>
      </c>
      <c r="X461" s="2">
        <f t="shared" si="127"/>
        <v>1.741755944077816E-2</v>
      </c>
    </row>
    <row r="462" spans="5:24" x14ac:dyDescent="0.25">
      <c r="E462">
        <v>460</v>
      </c>
      <c r="F462">
        <f t="shared" si="112"/>
        <v>66</v>
      </c>
      <c r="G462">
        <f t="shared" si="113"/>
        <v>339.15</v>
      </c>
      <c r="H462" s="4">
        <f t="shared" si="114"/>
        <v>3.8333330000000001</v>
      </c>
      <c r="I462" s="4">
        <f t="shared" si="115"/>
        <v>2012.7942210000001</v>
      </c>
      <c r="J462" s="4">
        <f t="shared" si="116"/>
        <v>2.0327942210000001</v>
      </c>
      <c r="K462" s="4">
        <f t="shared" si="117"/>
        <v>1159.683718</v>
      </c>
      <c r="L462">
        <f t="shared" si="118"/>
        <v>1.1596837179999999</v>
      </c>
      <c r="M462">
        <f>$B$12*F462+$B$13</f>
        <v>1.171200871786156</v>
      </c>
      <c r="N462">
        <f t="shared" si="119"/>
        <v>1.1517153786156031E-2</v>
      </c>
      <c r="O462" s="4">
        <f t="shared" ca="1" si="120"/>
        <v>4.2308035014577259</v>
      </c>
      <c r="P462" s="4">
        <f t="shared" si="121"/>
        <v>4.3195903120715213</v>
      </c>
      <c r="Q462" s="4">
        <f t="shared" ca="1" si="122"/>
        <v>8.8786810613795453E-2</v>
      </c>
      <c r="R462" s="2">
        <f t="shared" ca="1" si="123"/>
        <v>2.055445174179411E-2</v>
      </c>
      <c r="S462" s="4">
        <f t="shared" si="124"/>
        <v>3.8333330000000001</v>
      </c>
      <c r="T462">
        <v>3.9293153603469024</v>
      </c>
      <c r="U462">
        <f t="shared" si="125"/>
        <v>9.5982360346902329E-2</v>
      </c>
      <c r="V462" s="2">
        <f t="shared" si="126"/>
        <v>2.5038878789529196E-2</v>
      </c>
      <c r="W462">
        <f>(T462+5/3)/(1/12)</f>
        <v>67.151784324162833</v>
      </c>
      <c r="X462" s="2">
        <f t="shared" si="127"/>
        <v>1.7451277638830798E-2</v>
      </c>
    </row>
    <row r="463" spans="5:24" x14ac:dyDescent="0.25">
      <c r="E463">
        <v>461</v>
      </c>
      <c r="F463">
        <f t="shared" si="112"/>
        <v>66.099999999999994</v>
      </c>
      <c r="G463">
        <f t="shared" si="113"/>
        <v>339.25</v>
      </c>
      <c r="H463" s="4">
        <f t="shared" si="114"/>
        <v>3.8416670000000002</v>
      </c>
      <c r="I463" s="4">
        <f t="shared" si="115"/>
        <v>2005.7834519999999</v>
      </c>
      <c r="J463" s="4">
        <f t="shared" si="116"/>
        <v>2.0257834519999998</v>
      </c>
      <c r="K463" s="4">
        <f t="shared" si="117"/>
        <v>1157.3986359999999</v>
      </c>
      <c r="L463">
        <f t="shared" si="118"/>
        <v>1.1573986359999999</v>
      </c>
      <c r="M463">
        <f>$B$12*F463+$B$13</f>
        <v>1.1688530329632616</v>
      </c>
      <c r="N463">
        <f t="shared" si="119"/>
        <v>1.145439696326167E-2</v>
      </c>
      <c r="O463" s="4">
        <f t="shared" ca="1" si="120"/>
        <v>4.2220831370262388</v>
      </c>
      <c r="P463" s="4">
        <f t="shared" si="121"/>
        <v>4.3109310785634269</v>
      </c>
      <c r="Q463" s="4">
        <f t="shared" ca="1" si="122"/>
        <v>8.8847941537188113E-2</v>
      </c>
      <c r="R463" s="2">
        <f t="shared" ca="1" si="123"/>
        <v>2.060991927683422E-2</v>
      </c>
      <c r="S463" s="4">
        <f t="shared" si="124"/>
        <v>3.8416670000000002</v>
      </c>
      <c r="T463">
        <v>3.9374891134776955</v>
      </c>
      <c r="U463">
        <f t="shared" si="125"/>
        <v>9.5822113477695314E-2</v>
      </c>
      <c r="V463" s="2">
        <f t="shared" si="126"/>
        <v>2.4942847331040227E-2</v>
      </c>
      <c r="W463">
        <f>(T463+5/3)/(1/12)</f>
        <v>67.249869361732351</v>
      </c>
      <c r="X463" s="2">
        <f t="shared" si="127"/>
        <v>1.7395905623787546E-2</v>
      </c>
    </row>
    <row r="464" spans="5:24" x14ac:dyDescent="0.25">
      <c r="E464">
        <v>462</v>
      </c>
      <c r="F464">
        <f t="shared" si="112"/>
        <v>66.2</v>
      </c>
      <c r="G464">
        <f t="shared" si="113"/>
        <v>339.34999999999997</v>
      </c>
      <c r="H464" s="4">
        <f t="shared" si="114"/>
        <v>3.85</v>
      </c>
      <c r="I464" s="4">
        <f t="shared" si="115"/>
        <v>1998.8007660000001</v>
      </c>
      <c r="J464" s="4">
        <f t="shared" si="116"/>
        <v>2.018800766</v>
      </c>
      <c r="K464" s="4">
        <f t="shared" si="117"/>
        <v>1155.1159580000001</v>
      </c>
      <c r="L464">
        <f t="shared" si="118"/>
        <v>1.1551159580000001</v>
      </c>
      <c r="M464">
        <f>$B$12*F464+$B$13</f>
        <v>1.1665051941403672</v>
      </c>
      <c r="N464">
        <f t="shared" si="119"/>
        <v>1.1389236140367132E-2</v>
      </c>
      <c r="O464" s="4">
        <f t="shared" ca="1" si="120"/>
        <v>4.2133609999999999</v>
      </c>
      <c r="P464" s="4">
        <f t="shared" si="121"/>
        <v>4.3022718450553326</v>
      </c>
      <c r="Q464" s="4">
        <f t="shared" ca="1" si="122"/>
        <v>8.8910845055332643E-2</v>
      </c>
      <c r="R464" s="2">
        <f t="shared" ca="1" si="123"/>
        <v>2.0666022105860011E-2</v>
      </c>
      <c r="S464" s="4">
        <f t="shared" si="124"/>
        <v>3.85</v>
      </c>
      <c r="T464">
        <v>3.9451755966770987</v>
      </c>
      <c r="U464">
        <f t="shared" si="125"/>
        <v>9.5175596677098628E-2</v>
      </c>
      <c r="V464" s="2">
        <f t="shared" si="126"/>
        <v>2.4720934201843799E-2</v>
      </c>
      <c r="W464">
        <f>(T464+5/3)/(1/12)</f>
        <v>67.342107160125195</v>
      </c>
      <c r="X464" s="2">
        <f t="shared" si="127"/>
        <v>1.7252374020018012E-2</v>
      </c>
    </row>
    <row r="465" spans="5:24" x14ac:dyDescent="0.25">
      <c r="E465">
        <v>463</v>
      </c>
      <c r="F465">
        <f t="shared" si="112"/>
        <v>66.300000000000011</v>
      </c>
      <c r="G465">
        <f t="shared" si="113"/>
        <v>339.45</v>
      </c>
      <c r="H465" s="4">
        <f t="shared" si="114"/>
        <v>3.858333</v>
      </c>
      <c r="I465" s="4">
        <f t="shared" si="115"/>
        <v>1991.846035</v>
      </c>
      <c r="J465" s="4">
        <f t="shared" si="116"/>
        <v>2.011846035</v>
      </c>
      <c r="K465" s="4">
        <f t="shared" si="117"/>
        <v>1152.8356940000001</v>
      </c>
      <c r="L465">
        <f t="shared" si="118"/>
        <v>1.1528356940000002</v>
      </c>
      <c r="M465">
        <f>$B$12*F465+$B$13</f>
        <v>1.1641573553174727</v>
      </c>
      <c r="N465">
        <f t="shared" si="119"/>
        <v>1.1321661317472476E-2</v>
      </c>
      <c r="O465" s="4">
        <f t="shared" ca="1" si="120"/>
        <v>4.2058245014577258</v>
      </c>
      <c r="P465" s="4">
        <f t="shared" si="121"/>
        <v>4.2936126115472373</v>
      </c>
      <c r="Q465" s="4">
        <f t="shared" ca="1" si="122"/>
        <v>8.7788110089511484E-2</v>
      </c>
      <c r="R465" s="2">
        <f t="shared" ca="1" si="123"/>
        <v>2.0446211158737106E-2</v>
      </c>
      <c r="S465" s="4">
        <f t="shared" si="124"/>
        <v>3.858333</v>
      </c>
      <c r="T465">
        <v>3.9538759947824289</v>
      </c>
      <c r="U465">
        <f t="shared" si="125"/>
        <v>9.5542994782428892E-2</v>
      </c>
      <c r="V465" s="2">
        <f t="shared" si="126"/>
        <v>2.4762765365879225E-2</v>
      </c>
      <c r="W465">
        <f>(T465+5/3)/(1/12)</f>
        <v>67.446511937389161</v>
      </c>
      <c r="X465" s="2">
        <f t="shared" si="127"/>
        <v>1.7292789402551273E-2</v>
      </c>
    </row>
    <row r="466" spans="5:24" x14ac:dyDescent="0.25">
      <c r="E466">
        <v>464</v>
      </c>
      <c r="F466">
        <f t="shared" si="112"/>
        <v>66.400000000000006</v>
      </c>
      <c r="G466">
        <f t="shared" si="113"/>
        <v>339.54999999999995</v>
      </c>
      <c r="H466" s="4">
        <f t="shared" si="114"/>
        <v>3.8666670000000001</v>
      </c>
      <c r="I466" s="4">
        <f t="shared" si="115"/>
        <v>1984.9191350000001</v>
      </c>
      <c r="J466" s="4">
        <f t="shared" si="116"/>
        <v>2.0049191350000002</v>
      </c>
      <c r="K466" s="4">
        <f t="shared" si="117"/>
        <v>1150.5578539999999</v>
      </c>
      <c r="L466">
        <f t="shared" si="118"/>
        <v>1.1505578539999999</v>
      </c>
      <c r="M466">
        <f>$B$12*F466+$B$13</f>
        <v>1.1618095164945783</v>
      </c>
      <c r="N466">
        <f t="shared" si="119"/>
        <v>1.1251662494578429E-2</v>
      </c>
      <c r="O466" s="4">
        <f t="shared" ca="1" si="120"/>
        <v>4.196724227405249</v>
      </c>
      <c r="P466" s="4">
        <f t="shared" si="121"/>
        <v>4.2849533780391438</v>
      </c>
      <c r="Q466" s="4">
        <f t="shared" ca="1" si="122"/>
        <v>8.8229150633894804E-2</v>
      </c>
      <c r="R466" s="2">
        <f t="shared" ca="1" si="123"/>
        <v>2.0590457549918485E-2</v>
      </c>
      <c r="S466" s="4">
        <f t="shared" si="124"/>
        <v>3.8666670000000001</v>
      </c>
      <c r="T466">
        <v>3.962587314823617</v>
      </c>
      <c r="U466">
        <f t="shared" si="125"/>
        <v>9.5920314823616959E-2</v>
      </c>
      <c r="V466" s="2">
        <f t="shared" si="126"/>
        <v>2.4806975833092677E-2</v>
      </c>
      <c r="W466">
        <f>(T466+5/3)/(1/12)</f>
        <v>67.551047777883412</v>
      </c>
      <c r="X466" s="2">
        <f t="shared" si="127"/>
        <v>1.7335056895834425E-2</v>
      </c>
    </row>
    <row r="467" spans="5:24" x14ac:dyDescent="0.25">
      <c r="E467">
        <v>465</v>
      </c>
      <c r="F467">
        <f t="shared" si="112"/>
        <v>66.5</v>
      </c>
      <c r="G467">
        <f t="shared" si="113"/>
        <v>339.65</v>
      </c>
      <c r="H467" s="4">
        <f t="shared" si="114"/>
        <v>3.875</v>
      </c>
      <c r="I467" s="4">
        <f t="shared" si="115"/>
        <v>1978.0199399999999</v>
      </c>
      <c r="J467" s="4">
        <f t="shared" si="116"/>
        <v>1.99801994</v>
      </c>
      <c r="K467" s="4">
        <f t="shared" si="117"/>
        <v>1148.2824479999999</v>
      </c>
      <c r="L467">
        <f t="shared" si="118"/>
        <v>1.148282448</v>
      </c>
      <c r="M467">
        <f>$B$12*F467+$B$13</f>
        <v>1.1594616776716842</v>
      </c>
      <c r="N467">
        <f t="shared" si="119"/>
        <v>1.1179229671684165E-2</v>
      </c>
      <c r="O467" s="4">
        <f t="shared" ca="1" si="120"/>
        <v>4.1880388629737615</v>
      </c>
      <c r="P467" s="4">
        <f t="shared" si="121"/>
        <v>4.2762941445310503</v>
      </c>
      <c r="Q467" s="4">
        <f t="shared" ca="1" si="122"/>
        <v>8.8255281557288789E-2</v>
      </c>
      <c r="R467" s="2">
        <f t="shared" ca="1" si="123"/>
        <v>2.0638262611134554E-2</v>
      </c>
      <c r="S467" s="4">
        <f t="shared" si="124"/>
        <v>3.875</v>
      </c>
      <c r="T467">
        <v>3.9708120185071025</v>
      </c>
      <c r="U467">
        <f t="shared" si="125"/>
        <v>9.5812018507102525E-2</v>
      </c>
      <c r="V467" s="2">
        <f t="shared" si="126"/>
        <v>2.4725682195381297E-2</v>
      </c>
      <c r="W467">
        <f>(T467+5/3)/(1/12)</f>
        <v>67.649744222085232</v>
      </c>
      <c r="X467" s="2">
        <f t="shared" si="127"/>
        <v>1.7289386798274166E-2</v>
      </c>
    </row>
    <row r="468" spans="5:24" x14ac:dyDescent="0.25">
      <c r="E468">
        <v>466</v>
      </c>
      <c r="F468">
        <f t="shared" si="112"/>
        <v>66.599999999999994</v>
      </c>
      <c r="G468">
        <f t="shared" si="113"/>
        <v>339.75</v>
      </c>
      <c r="H468" s="4">
        <f t="shared" si="114"/>
        <v>3.8833329999999999</v>
      </c>
      <c r="I468" s="4">
        <f t="shared" si="115"/>
        <v>1971.1483270000001</v>
      </c>
      <c r="J468" s="4">
        <f t="shared" si="116"/>
        <v>1.9911483270000001</v>
      </c>
      <c r="K468" s="4">
        <f t="shared" si="117"/>
        <v>1146.0094859999999</v>
      </c>
      <c r="L468">
        <f t="shared" si="118"/>
        <v>1.1460094859999999</v>
      </c>
      <c r="M468">
        <f>$B$12*F468+$B$13</f>
        <v>1.15711383884879</v>
      </c>
      <c r="N468">
        <f t="shared" si="119"/>
        <v>1.1104352848790189E-2</v>
      </c>
      <c r="O468" s="4">
        <f t="shared" ca="1" si="120"/>
        <v>4.1793624985422744</v>
      </c>
      <c r="P468" s="4">
        <f t="shared" si="121"/>
        <v>4.2676349110229568</v>
      </c>
      <c r="Q468" s="4">
        <f t="shared" ca="1" si="122"/>
        <v>8.8272412480682405E-2</v>
      </c>
      <c r="R468" s="2">
        <f t="shared" ca="1" si="123"/>
        <v>2.0684152773397246E-2</v>
      </c>
      <c r="S468" s="4">
        <f t="shared" si="124"/>
        <v>3.8833329999999999</v>
      </c>
      <c r="T468">
        <v>3.9790494193622994</v>
      </c>
      <c r="U468">
        <f t="shared" si="125"/>
        <v>9.5716419362299465E-2</v>
      </c>
      <c r="V468" s="2">
        <f t="shared" si="126"/>
        <v>2.4648007101708627E-2</v>
      </c>
      <c r="W468">
        <f>(T468+5/3)/(1/12)</f>
        <v>67.7485930323476</v>
      </c>
      <c r="X468" s="2">
        <f t="shared" si="127"/>
        <v>1.7246141626840926E-2</v>
      </c>
    </row>
    <row r="469" spans="5:24" x14ac:dyDescent="0.25">
      <c r="E469">
        <v>467</v>
      </c>
      <c r="F469">
        <f t="shared" si="112"/>
        <v>66.7</v>
      </c>
      <c r="G469">
        <f t="shared" si="113"/>
        <v>339.84999999999997</v>
      </c>
      <c r="H469" s="4">
        <f t="shared" si="114"/>
        <v>3.891667</v>
      </c>
      <c r="I469" s="4">
        <f t="shared" si="115"/>
        <v>1964.304171</v>
      </c>
      <c r="J469" s="4">
        <f t="shared" si="116"/>
        <v>1.984304171</v>
      </c>
      <c r="K469" s="4">
        <f t="shared" si="117"/>
        <v>1143.738977</v>
      </c>
      <c r="L469">
        <f t="shared" si="118"/>
        <v>1.1437389769999999</v>
      </c>
      <c r="M469">
        <f>$B$12*F469+$B$13</f>
        <v>1.1547660000258955</v>
      </c>
      <c r="N469">
        <f t="shared" si="119"/>
        <v>1.1027023025895533E-2</v>
      </c>
      <c r="O469" s="4">
        <f t="shared" ca="1" si="120"/>
        <v>4.1710814985422742</v>
      </c>
      <c r="P469" s="4">
        <f t="shared" si="121"/>
        <v>4.2589756775148615</v>
      </c>
      <c r="Q469" s="4">
        <f t="shared" ca="1" si="122"/>
        <v>8.7894178972587333E-2</v>
      </c>
      <c r="R469" s="2">
        <f t="shared" ca="1" si="123"/>
        <v>2.0637398667623791E-2</v>
      </c>
      <c r="S469" s="4">
        <f t="shared" si="124"/>
        <v>3.891667</v>
      </c>
      <c r="T469">
        <v>3.9877948226005637</v>
      </c>
      <c r="U469">
        <f t="shared" si="125"/>
        <v>9.6127822600563739E-2</v>
      </c>
      <c r="V469" s="2">
        <f t="shared" si="126"/>
        <v>2.4700937310557079E-2</v>
      </c>
      <c r="W469">
        <f>(T469+5/3)/(1/12)</f>
        <v>67.853537871206768</v>
      </c>
      <c r="X469" s="2">
        <f t="shared" si="127"/>
        <v>1.7294420857672646E-2</v>
      </c>
    </row>
    <row r="470" spans="5:24" x14ac:dyDescent="0.25">
      <c r="E470">
        <v>468</v>
      </c>
      <c r="F470">
        <f t="shared" si="112"/>
        <v>66.800000000000011</v>
      </c>
      <c r="G470">
        <f t="shared" si="113"/>
        <v>339.95</v>
      </c>
      <c r="H470" s="4">
        <f t="shared" si="114"/>
        <v>3.9</v>
      </c>
      <c r="I470" s="4">
        <f t="shared" si="115"/>
        <v>1957.4873500000001</v>
      </c>
      <c r="J470" s="4">
        <f t="shared" si="116"/>
        <v>1.9774873500000001</v>
      </c>
      <c r="K470" s="4">
        <f t="shared" si="117"/>
        <v>1141.4709319999999</v>
      </c>
      <c r="L470">
        <f t="shared" si="118"/>
        <v>1.141470932</v>
      </c>
      <c r="M470">
        <f>$B$12*F470+$B$13</f>
        <v>1.1524181612030009</v>
      </c>
      <c r="N470">
        <f t="shared" si="119"/>
        <v>1.0947229203000841E-2</v>
      </c>
      <c r="O470" s="4">
        <f t="shared" ca="1" si="120"/>
        <v>4.1631938629737615</v>
      </c>
      <c r="P470" s="4">
        <f t="shared" si="121"/>
        <v>4.2503164440067662</v>
      </c>
      <c r="Q470" s="4">
        <f t="shared" ca="1" si="122"/>
        <v>8.7122581033004742E-2</v>
      </c>
      <c r="R470" s="2">
        <f t="shared" ca="1" si="123"/>
        <v>2.0497904610338714E-2</v>
      </c>
      <c r="S470" s="4">
        <f t="shared" si="124"/>
        <v>3.9</v>
      </c>
      <c r="T470">
        <v>3.9960562697270805</v>
      </c>
      <c r="U470">
        <f t="shared" si="125"/>
        <v>9.605626972708059E-2</v>
      </c>
      <c r="V470" s="2">
        <f t="shared" si="126"/>
        <v>2.4629812750533484E-2</v>
      </c>
      <c r="W470">
        <f>(T470+5/3)/(1/12)</f>
        <v>67.952675236724971</v>
      </c>
      <c r="X470" s="2">
        <f t="shared" si="127"/>
        <v>1.7255617316241912E-2</v>
      </c>
    </row>
    <row r="471" spans="5:24" x14ac:dyDescent="0.25">
      <c r="E471">
        <v>469</v>
      </c>
      <c r="F471">
        <f t="shared" si="112"/>
        <v>66.900000000000006</v>
      </c>
      <c r="G471">
        <f t="shared" si="113"/>
        <v>340.04999999999995</v>
      </c>
      <c r="H471" s="4">
        <f t="shared" si="114"/>
        <v>3.9083329999999998</v>
      </c>
      <c r="I471" s="4">
        <f t="shared" si="115"/>
        <v>1950.6977420000001</v>
      </c>
      <c r="J471" s="4">
        <f t="shared" si="116"/>
        <v>1.970697742</v>
      </c>
      <c r="K471" s="4">
        <f t="shared" si="117"/>
        <v>1139.2053599999999</v>
      </c>
      <c r="L471">
        <f t="shared" si="118"/>
        <v>1.1392053600000001</v>
      </c>
      <c r="M471">
        <f>$B$12*F471+$B$13</f>
        <v>1.1500703223801068</v>
      </c>
      <c r="N471">
        <f t="shared" si="119"/>
        <v>1.0864962380106702E-2</v>
      </c>
      <c r="O471" s="4">
        <f t="shared" ca="1" si="120"/>
        <v>4.155336772594751</v>
      </c>
      <c r="P471" s="4">
        <f t="shared" si="121"/>
        <v>4.2416572104986727</v>
      </c>
      <c r="Q471" s="4">
        <f t="shared" ca="1" si="122"/>
        <v>8.6320437903921743E-2</v>
      </c>
      <c r="R471" s="2">
        <f t="shared" ca="1" si="123"/>
        <v>2.0350639766520275E-2</v>
      </c>
      <c r="S471" s="4">
        <f t="shared" si="124"/>
        <v>3.9083329999999998</v>
      </c>
      <c r="T471">
        <v>4.0043300668197448</v>
      </c>
      <c r="U471">
        <f t="shared" si="125"/>
        <v>9.5997066819744958E-2</v>
      </c>
      <c r="V471" s="2">
        <f t="shared" si="126"/>
        <v>2.4562151387751495E-2</v>
      </c>
      <c r="W471">
        <f>(T471+5/3)/(1/12)</f>
        <v>68.051960801836941</v>
      </c>
      <c r="X471" s="2">
        <f t="shared" si="127"/>
        <v>1.7219145019984086E-2</v>
      </c>
    </row>
    <row r="472" spans="5:24" x14ac:dyDescent="0.25">
      <c r="E472">
        <v>470</v>
      </c>
      <c r="F472">
        <f t="shared" si="112"/>
        <v>67</v>
      </c>
      <c r="G472">
        <f t="shared" si="113"/>
        <v>340.15</v>
      </c>
      <c r="H472" s="4">
        <f t="shared" si="114"/>
        <v>3.9166669999999999</v>
      </c>
      <c r="I472" s="4">
        <f t="shared" si="115"/>
        <v>1943.935223</v>
      </c>
      <c r="J472" s="4">
        <f t="shared" si="116"/>
        <v>1.963935223</v>
      </c>
      <c r="K472" s="4">
        <f t="shared" si="117"/>
        <v>1136.9422709999999</v>
      </c>
      <c r="L472">
        <f t="shared" si="118"/>
        <v>1.1369422709999999</v>
      </c>
      <c r="M472">
        <f>$B$12*F472+$B$13</f>
        <v>1.1477224835572124</v>
      </c>
      <c r="N472">
        <f t="shared" si="119"/>
        <v>1.078021255721251E-2</v>
      </c>
      <c r="O472" s="4">
        <f t="shared" ca="1" si="120"/>
        <v>4.147467137026239</v>
      </c>
      <c r="P472" s="4">
        <f t="shared" si="121"/>
        <v>4.2329979769905792</v>
      </c>
      <c r="Q472" s="4">
        <f t="shared" ca="1" si="122"/>
        <v>8.5530839964340188E-2</v>
      </c>
      <c r="R472" s="2">
        <f t="shared" ca="1" si="123"/>
        <v>2.0205736083329703E-2</v>
      </c>
      <c r="S472" s="4">
        <f t="shared" si="124"/>
        <v>3.9166669999999999</v>
      </c>
      <c r="T472">
        <v>4.013108525917664</v>
      </c>
      <c r="U472">
        <f t="shared" si="125"/>
        <v>9.6441525917664084E-2</v>
      </c>
      <c r="V472" s="2">
        <f t="shared" si="126"/>
        <v>2.462336622379796E-2</v>
      </c>
      <c r="W472">
        <f>(T472+5/3)/(1/12)</f>
        <v>68.157302311011975</v>
      </c>
      <c r="X472" s="2">
        <f t="shared" si="127"/>
        <v>1.7273168821074252E-2</v>
      </c>
    </row>
    <row r="473" spans="5:24" x14ac:dyDescent="0.25">
      <c r="E473">
        <v>471</v>
      </c>
      <c r="F473">
        <f t="shared" si="112"/>
        <v>67.099999999999994</v>
      </c>
      <c r="G473">
        <f t="shared" si="113"/>
        <v>340.25</v>
      </c>
      <c r="H473" s="4">
        <f t="shared" si="114"/>
        <v>3.9249999999999998</v>
      </c>
      <c r="I473" s="4">
        <f t="shared" si="115"/>
        <v>1937.199674</v>
      </c>
      <c r="J473" s="4">
        <f t="shared" si="116"/>
        <v>1.9571996739999999</v>
      </c>
      <c r="K473" s="4">
        <f t="shared" si="117"/>
        <v>1134.681673</v>
      </c>
      <c r="L473">
        <f t="shared" si="118"/>
        <v>1.134681673</v>
      </c>
      <c r="M473">
        <f>$B$12*F473+$B$13</f>
        <v>1.1453746447343183</v>
      </c>
      <c r="N473">
        <f t="shared" si="119"/>
        <v>1.0692971734318268E-2</v>
      </c>
      <c r="O473" s="4">
        <f t="shared" ca="1" si="120"/>
        <v>4.1392211370262384</v>
      </c>
      <c r="P473" s="4">
        <f t="shared" si="121"/>
        <v>4.2243387434824857</v>
      </c>
      <c r="Q473" s="4">
        <f t="shared" ca="1" si="122"/>
        <v>8.511760645624733E-2</v>
      </c>
      <c r="R473" s="2">
        <f t="shared" ca="1" si="123"/>
        <v>2.0149332623377064E-2</v>
      </c>
      <c r="S473" s="4">
        <f t="shared" si="124"/>
        <v>3.9249999999999998</v>
      </c>
      <c r="T473">
        <v>4.0214056798206155</v>
      </c>
      <c r="U473">
        <f t="shared" si="125"/>
        <v>9.6405679820615653E-2</v>
      </c>
      <c r="V473" s="2">
        <f t="shared" si="126"/>
        <v>2.4561956642195071E-2</v>
      </c>
      <c r="W473">
        <f>(T473+5/3)/(1/12)</f>
        <v>68.256868157847393</v>
      </c>
      <c r="X473" s="2">
        <f t="shared" si="127"/>
        <v>1.7240956152718308E-2</v>
      </c>
    </row>
    <row r="474" spans="5:24" x14ac:dyDescent="0.25">
      <c r="E474">
        <v>472</v>
      </c>
      <c r="F474">
        <f t="shared" si="112"/>
        <v>67.2</v>
      </c>
      <c r="G474">
        <f t="shared" si="113"/>
        <v>340.34999999999997</v>
      </c>
      <c r="H474" s="4">
        <f t="shared" si="114"/>
        <v>3.9333330000000002</v>
      </c>
      <c r="I474" s="4">
        <f t="shared" si="115"/>
        <v>1930.4909740000001</v>
      </c>
      <c r="J474" s="4">
        <f t="shared" si="116"/>
        <v>1.950490974</v>
      </c>
      <c r="K474" s="4">
        <f t="shared" si="117"/>
        <v>1132.4235779999999</v>
      </c>
      <c r="L474">
        <f t="shared" si="118"/>
        <v>1.1324235779999998</v>
      </c>
      <c r="M474">
        <f>$B$12*F474+$B$13</f>
        <v>1.1430268059114237</v>
      </c>
      <c r="N474">
        <f t="shared" si="119"/>
        <v>1.0603227911423874E-2</v>
      </c>
      <c r="O474" s="4">
        <f t="shared" ca="1" si="120"/>
        <v>4.1309851370262383</v>
      </c>
      <c r="P474" s="4">
        <f t="shared" si="121"/>
        <v>4.2156795099743904</v>
      </c>
      <c r="Q474" s="4">
        <f t="shared" ca="1" si="122"/>
        <v>8.4694372948152186E-2</v>
      </c>
      <c r="R474" s="2">
        <f t="shared" ca="1" si="123"/>
        <v>2.0090325355085328E-2</v>
      </c>
      <c r="S474" s="4">
        <f t="shared" si="124"/>
        <v>3.9333330000000002</v>
      </c>
      <c r="T474">
        <v>4.0297148385936792</v>
      </c>
      <c r="U474">
        <f t="shared" si="125"/>
        <v>9.6381838593678992E-2</v>
      </c>
      <c r="V474" s="2">
        <f t="shared" si="126"/>
        <v>2.4503859346177652E-2</v>
      </c>
      <c r="W474">
        <f>(T474+5/3)/(1/12)</f>
        <v>68.356578063124161</v>
      </c>
      <c r="X474" s="2">
        <f t="shared" si="127"/>
        <v>1.7210983082204732E-2</v>
      </c>
    </row>
    <row r="475" spans="5:24" x14ac:dyDescent="0.25">
      <c r="E475">
        <v>473</v>
      </c>
      <c r="F475">
        <f t="shared" si="112"/>
        <v>67.300000000000011</v>
      </c>
      <c r="G475">
        <f t="shared" si="113"/>
        <v>340.45</v>
      </c>
      <c r="H475" s="4">
        <f t="shared" si="114"/>
        <v>3.9416669999999998</v>
      </c>
      <c r="I475" s="4">
        <f t="shared" si="115"/>
        <v>1923.809002</v>
      </c>
      <c r="J475" s="4">
        <f t="shared" si="116"/>
        <v>1.9438090020000001</v>
      </c>
      <c r="K475" s="4">
        <f t="shared" si="117"/>
        <v>1130.1679939999999</v>
      </c>
      <c r="L475">
        <f t="shared" si="118"/>
        <v>1.130167994</v>
      </c>
      <c r="M475">
        <f>$B$12*F475+$B$13</f>
        <v>1.1406789670885291</v>
      </c>
      <c r="N475">
        <f t="shared" si="119"/>
        <v>1.0510973088529107E-2</v>
      </c>
      <c r="O475" s="4">
        <f t="shared" ca="1" si="120"/>
        <v>4.1219658629737612</v>
      </c>
      <c r="P475" s="4">
        <f t="shared" si="121"/>
        <v>4.2070202764662952</v>
      </c>
      <c r="Q475" s="4">
        <f t="shared" ca="1" si="122"/>
        <v>8.5054413492533953E-2</v>
      </c>
      <c r="R475" s="2">
        <f t="shared" ca="1" si="123"/>
        <v>2.0217257798428243E-2</v>
      </c>
      <c r="S475" s="4">
        <f t="shared" si="124"/>
        <v>3.9416669999999998</v>
      </c>
      <c r="T475">
        <v>4.0380358866641162</v>
      </c>
      <c r="U475">
        <f t="shared" si="125"/>
        <v>9.636888666411636E-2</v>
      </c>
      <c r="V475" s="2">
        <f t="shared" si="126"/>
        <v>2.4448764105165749E-2</v>
      </c>
      <c r="W475">
        <f>(T475+5/3)/(1/12)</f>
        <v>68.456430639969398</v>
      </c>
      <c r="X475" s="2">
        <f t="shared" si="127"/>
        <v>1.7183219018861606E-2</v>
      </c>
    </row>
    <row r="476" spans="5:24" x14ac:dyDescent="0.25">
      <c r="E476">
        <v>474</v>
      </c>
      <c r="F476">
        <f t="shared" si="112"/>
        <v>67.400000000000006</v>
      </c>
      <c r="G476">
        <f t="shared" si="113"/>
        <v>340.54999999999995</v>
      </c>
      <c r="H476" s="4">
        <f t="shared" si="114"/>
        <v>3.95</v>
      </c>
      <c r="I476" s="4">
        <f t="shared" si="115"/>
        <v>1917.1536390000001</v>
      </c>
      <c r="J476" s="4">
        <f t="shared" si="116"/>
        <v>1.9371536390000001</v>
      </c>
      <c r="K476" s="4">
        <f t="shared" si="117"/>
        <v>1127.914931</v>
      </c>
      <c r="L476">
        <f t="shared" si="118"/>
        <v>1.1279149310000001</v>
      </c>
      <c r="M476">
        <f>$B$12*F476+$B$13</f>
        <v>1.138331128265635</v>
      </c>
      <c r="N476">
        <f t="shared" si="119"/>
        <v>1.0416197265634919E-2</v>
      </c>
      <c r="O476" s="4">
        <f t="shared" ca="1" si="120"/>
        <v>4.1149245014577263</v>
      </c>
      <c r="P476" s="4">
        <f t="shared" si="121"/>
        <v>4.1983610429582017</v>
      </c>
      <c r="Q476" s="4">
        <f t="shared" ca="1" si="122"/>
        <v>8.3436541500475414E-2</v>
      </c>
      <c r="R476" s="2">
        <f t="shared" ca="1" si="123"/>
        <v>1.987359844633212E-2</v>
      </c>
      <c r="S476" s="4">
        <f t="shared" si="124"/>
        <v>3.95</v>
      </c>
      <c r="T476">
        <v>4.0458802580317847</v>
      </c>
      <c r="U476">
        <f t="shared" si="125"/>
        <v>9.5880258031784571E-2</v>
      </c>
      <c r="V476" s="2">
        <f t="shared" si="126"/>
        <v>2.4273483046021411E-2</v>
      </c>
      <c r="W476">
        <f>(T476+5/3)/(1/12)</f>
        <v>68.550563096381424</v>
      </c>
      <c r="X476" s="2">
        <f t="shared" si="127"/>
        <v>1.7070669085777718E-2</v>
      </c>
    </row>
    <row r="477" spans="5:24" x14ac:dyDescent="0.25">
      <c r="E477">
        <v>475</v>
      </c>
      <c r="F477">
        <f t="shared" si="112"/>
        <v>67.5</v>
      </c>
      <c r="G477">
        <f t="shared" si="113"/>
        <v>340.65</v>
      </c>
      <c r="H477" s="4">
        <f t="shared" si="114"/>
        <v>3.9583330000000001</v>
      </c>
      <c r="I477" s="4">
        <f t="shared" si="115"/>
        <v>1910.5247670000001</v>
      </c>
      <c r="J477" s="4">
        <f t="shared" si="116"/>
        <v>1.9305247670000001</v>
      </c>
      <c r="K477" s="4">
        <f t="shared" si="117"/>
        <v>1125.664397</v>
      </c>
      <c r="L477">
        <f t="shared" si="118"/>
        <v>1.125664397</v>
      </c>
      <c r="M477">
        <f>$B$12*F477+$B$13</f>
        <v>1.1359832894427406</v>
      </c>
      <c r="N477">
        <f t="shared" si="119"/>
        <v>1.0318892442740646E-2</v>
      </c>
      <c r="O477" s="4">
        <f t="shared" ca="1" si="120"/>
        <v>4.1051524985422745</v>
      </c>
      <c r="P477" s="4">
        <f t="shared" si="121"/>
        <v>4.1897018094501073</v>
      </c>
      <c r="Q477" s="4">
        <f t="shared" ca="1" si="122"/>
        <v>8.4549310907832798E-2</v>
      </c>
      <c r="R477" s="2">
        <f t="shared" ca="1" si="123"/>
        <v>2.0180269325403323E-2</v>
      </c>
      <c r="S477" s="4">
        <f t="shared" si="124"/>
        <v>3.9583330000000001</v>
      </c>
      <c r="T477">
        <v>4.0542257320948458</v>
      </c>
      <c r="U477">
        <f t="shared" si="125"/>
        <v>9.5892732094845723E-2</v>
      </c>
      <c r="V477" s="2">
        <f t="shared" si="126"/>
        <v>2.4225534358742865E-2</v>
      </c>
      <c r="W477">
        <f>(T477+5/3)/(1/12)</f>
        <v>68.650708785138164</v>
      </c>
      <c r="X477" s="2">
        <f t="shared" si="127"/>
        <v>1.7047537557602431E-2</v>
      </c>
    </row>
    <row r="478" spans="5:24" x14ac:dyDescent="0.25">
      <c r="E478">
        <v>476</v>
      </c>
      <c r="F478">
        <f t="shared" si="112"/>
        <v>67.599999999999994</v>
      </c>
      <c r="G478">
        <f t="shared" si="113"/>
        <v>340.75</v>
      </c>
      <c r="H478" s="4">
        <f t="shared" si="114"/>
        <v>3.9666670000000002</v>
      </c>
      <c r="I478" s="4">
        <f t="shared" si="115"/>
        <v>1903.9222669999999</v>
      </c>
      <c r="J478" s="4">
        <f t="shared" si="116"/>
        <v>1.923922267</v>
      </c>
      <c r="K478" s="4">
        <f t="shared" si="117"/>
        <v>1123.4164029999999</v>
      </c>
      <c r="L478">
        <f t="shared" si="118"/>
        <v>1.123416403</v>
      </c>
      <c r="M478">
        <f>$B$12*F478+$B$13</f>
        <v>1.1336354506198465</v>
      </c>
      <c r="N478">
        <f t="shared" si="119"/>
        <v>1.0219047619846489E-2</v>
      </c>
      <c r="O478" s="4">
        <f t="shared" ca="1" si="120"/>
        <v>4.0973496355685128</v>
      </c>
      <c r="P478" s="4">
        <f t="shared" si="121"/>
        <v>4.1810425759420147</v>
      </c>
      <c r="Q478" s="4">
        <f t="shared" ca="1" si="122"/>
        <v>8.3692940373501834E-2</v>
      </c>
      <c r="R478" s="2">
        <f t="shared" ca="1" si="123"/>
        <v>2.0017241837018439E-2</v>
      </c>
      <c r="S478" s="4">
        <f t="shared" si="124"/>
        <v>3.9666670000000002</v>
      </c>
      <c r="T478">
        <v>4.0625827505156353</v>
      </c>
      <c r="U478">
        <f t="shared" si="125"/>
        <v>9.5915750515635168E-2</v>
      </c>
      <c r="V478" s="2">
        <f t="shared" si="126"/>
        <v>2.4180439274492958E-2</v>
      </c>
      <c r="W478">
        <f>(T478+5/3)/(1/12)</f>
        <v>68.750993006187628</v>
      </c>
      <c r="X478" s="2">
        <f t="shared" si="127"/>
        <v>1.702652376017209E-2</v>
      </c>
    </row>
    <row r="479" spans="5:24" x14ac:dyDescent="0.25">
      <c r="E479">
        <v>477</v>
      </c>
      <c r="F479">
        <f t="shared" si="112"/>
        <v>67.7</v>
      </c>
      <c r="G479">
        <f t="shared" si="113"/>
        <v>340.84999999999997</v>
      </c>
      <c r="H479" s="4">
        <f t="shared" si="114"/>
        <v>3.9750000000000001</v>
      </c>
      <c r="I479" s="4">
        <f t="shared" si="115"/>
        <v>1897.3460210000001</v>
      </c>
      <c r="J479" s="4">
        <f t="shared" si="116"/>
        <v>1.9173460210000002</v>
      </c>
      <c r="K479" s="4">
        <f t="shared" si="117"/>
        <v>1121.170957</v>
      </c>
      <c r="L479">
        <f t="shared" si="118"/>
        <v>1.1211709570000001</v>
      </c>
      <c r="M479">
        <f>$B$12*F479+$B$13</f>
        <v>1.1312876117969519</v>
      </c>
      <c r="N479">
        <f t="shared" si="119"/>
        <v>1.0116654796951785E-2</v>
      </c>
      <c r="O479" s="4">
        <f t="shared" ca="1" si="120"/>
        <v>4.090325501457726</v>
      </c>
      <c r="P479" s="4">
        <f t="shared" si="121"/>
        <v>4.1723833424339194</v>
      </c>
      <c r="Q479" s="4">
        <f t="shared" ca="1" si="122"/>
        <v>8.2057840976193397E-2</v>
      </c>
      <c r="R479" s="2">
        <f t="shared" ca="1" si="123"/>
        <v>1.9666898806169078E-2</v>
      </c>
      <c r="S479" s="4">
        <f t="shared" si="124"/>
        <v>3.9750000000000001</v>
      </c>
      <c r="T479">
        <v>4.0714366819239096</v>
      </c>
      <c r="U479">
        <f t="shared" si="125"/>
        <v>9.6436681923909529E-2</v>
      </c>
      <c r="V479" s="2">
        <f t="shared" si="126"/>
        <v>2.4260800484002396E-2</v>
      </c>
      <c r="W479">
        <f>(T479+5/3)/(1/12)</f>
        <v>68.85724018308693</v>
      </c>
      <c r="X479" s="2">
        <f t="shared" si="127"/>
        <v>1.7093651153425801E-2</v>
      </c>
    </row>
    <row r="480" spans="5:24" x14ac:dyDescent="0.25">
      <c r="E480">
        <v>478</v>
      </c>
      <c r="F480">
        <f t="shared" si="112"/>
        <v>67.800000000000011</v>
      </c>
      <c r="G480">
        <f t="shared" si="113"/>
        <v>340.95</v>
      </c>
      <c r="H480" s="4">
        <f t="shared" si="114"/>
        <v>3.983333</v>
      </c>
      <c r="I480" s="4">
        <f t="shared" si="115"/>
        <v>1890.7959129999999</v>
      </c>
      <c r="J480" s="4">
        <f t="shared" si="116"/>
        <v>1.9107959130000001</v>
      </c>
      <c r="K480" s="4">
        <f t="shared" si="117"/>
        <v>1118.9280679999999</v>
      </c>
      <c r="L480">
        <f t="shared" si="118"/>
        <v>1.118928068</v>
      </c>
      <c r="M480">
        <f>$B$12*F480+$B$13</f>
        <v>1.1289397729740573</v>
      </c>
      <c r="N480">
        <f t="shared" si="119"/>
        <v>1.0011704974057345E-2</v>
      </c>
      <c r="O480" s="4">
        <f t="shared" ca="1" si="120"/>
        <v>4.0817591370262383</v>
      </c>
      <c r="P480" s="4">
        <f t="shared" si="121"/>
        <v>4.1637241089258241</v>
      </c>
      <c r="Q480" s="4">
        <f t="shared" ca="1" si="122"/>
        <v>8.1964971899585848E-2</v>
      </c>
      <c r="R480" s="2">
        <f t="shared" ca="1" si="123"/>
        <v>1.9685495425567842E-2</v>
      </c>
      <c r="S480" s="4">
        <f t="shared" si="124"/>
        <v>3.983333</v>
      </c>
      <c r="T480">
        <v>4.0788464719702064</v>
      </c>
      <c r="U480">
        <f t="shared" si="125"/>
        <v>9.5513471970206432E-2</v>
      </c>
      <c r="V480" s="2">
        <f t="shared" si="126"/>
        <v>2.3978279488610778E-2</v>
      </c>
      <c r="W480">
        <f>(T480+5/3)/(1/12)</f>
        <v>68.946157663642481</v>
      </c>
      <c r="X480" s="2">
        <f t="shared" si="127"/>
        <v>1.6904980289711938E-2</v>
      </c>
    </row>
    <row r="481" spans="5:24" x14ac:dyDescent="0.25">
      <c r="E481">
        <v>479</v>
      </c>
      <c r="F481">
        <f t="shared" si="112"/>
        <v>67.900000000000006</v>
      </c>
      <c r="G481">
        <f t="shared" si="113"/>
        <v>341.04999999999995</v>
      </c>
      <c r="H481" s="4">
        <f t="shared" si="114"/>
        <v>3.9916670000000001</v>
      </c>
      <c r="I481" s="4">
        <f t="shared" si="115"/>
        <v>1884.271825</v>
      </c>
      <c r="J481" s="4">
        <f t="shared" si="116"/>
        <v>1.9042718250000001</v>
      </c>
      <c r="K481" s="4">
        <f t="shared" si="117"/>
        <v>1116.6877460000001</v>
      </c>
      <c r="L481">
        <f t="shared" si="118"/>
        <v>1.116687746</v>
      </c>
      <c r="M481">
        <f>$B$12*F481+$B$13</f>
        <v>1.1265919341511632</v>
      </c>
      <c r="N481">
        <f t="shared" si="119"/>
        <v>9.904188151163229E-3</v>
      </c>
      <c r="O481" s="4">
        <f t="shared" ca="1" si="120"/>
        <v>4.0728056355685123</v>
      </c>
      <c r="P481" s="4">
        <f t="shared" si="121"/>
        <v>4.1550648754177306</v>
      </c>
      <c r="Q481" s="4">
        <f t="shared" ca="1" si="122"/>
        <v>8.2259239849218346E-2</v>
      </c>
      <c r="R481" s="2">
        <f t="shared" ca="1" si="123"/>
        <v>1.9797341874463126E-2</v>
      </c>
      <c r="S481" s="4">
        <f t="shared" si="124"/>
        <v>3.9916670000000001</v>
      </c>
      <c r="T481">
        <v>4.0872384266898321</v>
      </c>
      <c r="U481">
        <f t="shared" si="125"/>
        <v>9.5571426689831984E-2</v>
      </c>
      <c r="V481" s="2">
        <f t="shared" si="126"/>
        <v>2.3942735375929902E-2</v>
      </c>
      <c r="W481">
        <f>(T481+5/3)/(1/12)</f>
        <v>69.046861120277995</v>
      </c>
      <c r="X481" s="2">
        <f t="shared" si="127"/>
        <v>1.6890443597613984E-2</v>
      </c>
    </row>
    <row r="482" spans="5:24" x14ac:dyDescent="0.25">
      <c r="E482">
        <v>480</v>
      </c>
      <c r="F482">
        <f t="shared" si="112"/>
        <v>68</v>
      </c>
      <c r="G482">
        <f t="shared" si="113"/>
        <v>341.15</v>
      </c>
      <c r="H482" s="4">
        <f t="shared" si="114"/>
        <v>4</v>
      </c>
      <c r="I482" s="4">
        <f t="shared" si="115"/>
        <v>1877.7736420000001</v>
      </c>
      <c r="J482" s="4">
        <f t="shared" si="116"/>
        <v>1.8977736420000002</v>
      </c>
      <c r="K482" s="4">
        <f t="shared" si="117"/>
        <v>1114.45</v>
      </c>
      <c r="L482">
        <f t="shared" si="118"/>
        <v>1.1144500000000002</v>
      </c>
      <c r="M482">
        <f>$B$12*F482+$B$13</f>
        <v>1.1242440953282691</v>
      </c>
      <c r="N482">
        <f t="shared" si="119"/>
        <v>9.7940953282689147E-3</v>
      </c>
      <c r="O482" s="4">
        <f t="shared" ca="1" si="120"/>
        <v>4.065029</v>
      </c>
      <c r="P482" s="4">
        <f t="shared" si="121"/>
        <v>4.1464056419096371</v>
      </c>
      <c r="Q482" s="4">
        <f t="shared" ca="1" si="122"/>
        <v>8.1376641909637115E-2</v>
      </c>
      <c r="R482" s="2">
        <f t="shared" ca="1" si="123"/>
        <v>1.962582750880083E-2</v>
      </c>
      <c r="S482" s="4">
        <f t="shared" si="124"/>
        <v>4</v>
      </c>
      <c r="T482">
        <v>4.0951589489212044</v>
      </c>
      <c r="U482">
        <f t="shared" si="125"/>
        <v>9.5158948921204356E-2</v>
      </c>
      <c r="V482" s="2">
        <f t="shared" si="126"/>
        <v>2.3789737230301089E-2</v>
      </c>
      <c r="W482">
        <f>(T482+5/3)/(1/12)</f>
        <v>69.141907387054459</v>
      </c>
      <c r="X482" s="2">
        <f t="shared" si="127"/>
        <v>1.6792755691977343E-2</v>
      </c>
    </row>
    <row r="483" spans="5:24" x14ac:dyDescent="0.25">
      <c r="E483">
        <v>481</v>
      </c>
      <c r="F483">
        <f t="shared" si="112"/>
        <v>68.099999999999994</v>
      </c>
      <c r="G483">
        <f t="shared" si="113"/>
        <v>341.25</v>
      </c>
      <c r="H483" s="4">
        <f t="shared" si="114"/>
        <v>4.0083330000000004</v>
      </c>
      <c r="I483" s="4">
        <f t="shared" si="115"/>
        <v>1871.3012490000001</v>
      </c>
      <c r="J483" s="4">
        <f t="shared" si="116"/>
        <v>1.8913012490000001</v>
      </c>
      <c r="K483" s="4">
        <f t="shared" si="117"/>
        <v>1112.214837</v>
      </c>
      <c r="L483">
        <f t="shared" si="118"/>
        <v>1.112214837</v>
      </c>
      <c r="M483">
        <f>$B$12*F483+$B$13</f>
        <v>1.1218962565053747</v>
      </c>
      <c r="N483">
        <f t="shared" si="119"/>
        <v>9.681419505374711E-3</v>
      </c>
      <c r="O483" s="4">
        <f t="shared" ca="1" si="120"/>
        <v>4.0572721370262386</v>
      </c>
      <c r="P483" s="4">
        <f t="shared" si="121"/>
        <v>4.1377464084015427</v>
      </c>
      <c r="Q483" s="4">
        <f t="shared" ca="1" si="122"/>
        <v>8.0474271375304163E-2</v>
      </c>
      <c r="R483" s="2">
        <f t="shared" ca="1" si="123"/>
        <v>1.9448816682410525E-2</v>
      </c>
      <c r="S483" s="4">
        <f t="shared" si="124"/>
        <v>4.0083330000000004</v>
      </c>
      <c r="T483">
        <v>4.103573950707764</v>
      </c>
      <c r="U483">
        <f t="shared" si="125"/>
        <v>9.5240950707763616E-2</v>
      </c>
      <c r="V483" s="2">
        <f t="shared" si="126"/>
        <v>2.3760738119253968E-2</v>
      </c>
      <c r="W483">
        <f>(T483+5/3)/(1/12)</f>
        <v>69.242887408493175</v>
      </c>
      <c r="X483" s="2">
        <f t="shared" si="127"/>
        <v>1.6782487643071671E-2</v>
      </c>
    </row>
    <row r="484" spans="5:24" x14ac:dyDescent="0.25">
      <c r="E484">
        <v>482</v>
      </c>
      <c r="F484">
        <f t="shared" si="112"/>
        <v>68.2</v>
      </c>
      <c r="G484">
        <f t="shared" si="113"/>
        <v>341.34999999999997</v>
      </c>
      <c r="H484" s="4">
        <f t="shared" si="114"/>
        <v>4.016667</v>
      </c>
      <c r="I484" s="4">
        <f t="shared" si="115"/>
        <v>1864.8545300000001</v>
      </c>
      <c r="J484" s="4">
        <f t="shared" si="116"/>
        <v>1.8848545300000001</v>
      </c>
      <c r="K484" s="4">
        <f t="shared" si="117"/>
        <v>1109.982268</v>
      </c>
      <c r="L484">
        <f t="shared" si="118"/>
        <v>1.109982268</v>
      </c>
      <c r="M484">
        <f>$B$12*F484+$B$13</f>
        <v>1.1195484176824801</v>
      </c>
      <c r="N484">
        <f t="shared" si="119"/>
        <v>9.5661496824801517E-3</v>
      </c>
      <c r="O484" s="4">
        <f t="shared" ca="1" si="120"/>
        <v>4.0487330000000004</v>
      </c>
      <c r="P484" s="4">
        <f t="shared" si="121"/>
        <v>4.1290871748934483</v>
      </c>
      <c r="Q484" s="4">
        <f t="shared" ca="1" si="122"/>
        <v>8.0354174893447983E-2</v>
      </c>
      <c r="R484" s="2">
        <f t="shared" ca="1" si="123"/>
        <v>1.946051790382012E-2</v>
      </c>
      <c r="S484" s="4">
        <f t="shared" si="124"/>
        <v>4.016667</v>
      </c>
      <c r="T484">
        <v>4.1115192600529031</v>
      </c>
      <c r="U484">
        <f t="shared" si="125"/>
        <v>9.4852260052903148E-2</v>
      </c>
      <c r="V484" s="2">
        <f t="shared" si="126"/>
        <v>2.3614668592866459E-2</v>
      </c>
      <c r="W484">
        <f>(T484+5/3)/(1/12)</f>
        <v>69.338231120634845</v>
      </c>
      <c r="X484" s="2">
        <f t="shared" si="127"/>
        <v>1.6689605874411172E-2</v>
      </c>
    </row>
    <row r="485" spans="5:24" x14ac:dyDescent="0.25">
      <c r="E485">
        <v>483</v>
      </c>
      <c r="F485">
        <f t="shared" si="112"/>
        <v>68.300000000000011</v>
      </c>
      <c r="G485">
        <f t="shared" si="113"/>
        <v>341.45</v>
      </c>
      <c r="H485" s="4">
        <f t="shared" si="114"/>
        <v>4.0250000000000004</v>
      </c>
      <c r="I485" s="4">
        <f t="shared" si="115"/>
        <v>1858.433372</v>
      </c>
      <c r="J485" s="4">
        <f t="shared" si="116"/>
        <v>1.8784333719999999</v>
      </c>
      <c r="K485" s="4">
        <f t="shared" si="117"/>
        <v>1107.752301</v>
      </c>
      <c r="L485">
        <f t="shared" si="118"/>
        <v>1.1077523010000001</v>
      </c>
      <c r="M485">
        <f>$B$12*F485+$B$13</f>
        <v>1.1172005788595858</v>
      </c>
      <c r="N485">
        <f t="shared" si="119"/>
        <v>9.4482778595856853E-3</v>
      </c>
      <c r="O485" s="4">
        <f t="shared" ca="1" si="120"/>
        <v>4.0409843644314876</v>
      </c>
      <c r="P485" s="4">
        <f t="shared" si="121"/>
        <v>4.120427941385354</v>
      </c>
      <c r="Q485" s="4">
        <f t="shared" ca="1" si="122"/>
        <v>7.9443576953866391E-2</v>
      </c>
      <c r="R485" s="2">
        <f t="shared" ca="1" si="123"/>
        <v>1.9280418947735849E-2</v>
      </c>
      <c r="S485" s="4">
        <f t="shared" si="124"/>
        <v>4.0250000000000004</v>
      </c>
      <c r="T485">
        <v>4.1204364250899737</v>
      </c>
      <c r="U485">
        <f t="shared" si="125"/>
        <v>9.5436425089973298E-2</v>
      </c>
      <c r="V485" s="2">
        <f t="shared" si="126"/>
        <v>2.3710913065831875E-2</v>
      </c>
      <c r="W485">
        <f>(T485+5/3)/(1/12)</f>
        <v>69.445237101079698</v>
      </c>
      <c r="X485" s="2">
        <f t="shared" si="127"/>
        <v>1.6767746721518102E-2</v>
      </c>
    </row>
    <row r="486" spans="5:24" x14ac:dyDescent="0.25">
      <c r="E486">
        <v>484</v>
      </c>
      <c r="F486">
        <f t="shared" si="112"/>
        <v>68.400000000000006</v>
      </c>
      <c r="G486">
        <f t="shared" si="113"/>
        <v>341.54999999999995</v>
      </c>
      <c r="H486" s="4">
        <f t="shared" si="114"/>
        <v>4.0333329999999998</v>
      </c>
      <c r="I486" s="4">
        <f t="shared" si="115"/>
        <v>1852.03766</v>
      </c>
      <c r="J486" s="4">
        <f t="shared" si="116"/>
        <v>1.8720376599999999</v>
      </c>
      <c r="K486" s="4">
        <f t="shared" si="117"/>
        <v>1105.5249449999999</v>
      </c>
      <c r="L486">
        <f t="shared" si="118"/>
        <v>1.105524945</v>
      </c>
      <c r="M486">
        <f>$B$12*F486+$B$13</f>
        <v>1.1148527400366914</v>
      </c>
      <c r="N486">
        <f t="shared" si="119"/>
        <v>9.3277950366914553E-3</v>
      </c>
      <c r="O486" s="4">
        <f t="shared" ca="1" si="120"/>
        <v>4.032484772594751</v>
      </c>
      <c r="P486" s="4">
        <f t="shared" si="121"/>
        <v>4.1117687078772596</v>
      </c>
      <c r="Q486" s="4">
        <f t="shared" ca="1" si="122"/>
        <v>7.9283935282508544E-2</v>
      </c>
      <c r="R486" s="2">
        <f t="shared" ca="1" si="123"/>
        <v>1.9282197252636725E-2</v>
      </c>
      <c r="S486" s="4">
        <f t="shared" si="124"/>
        <v>4.0333329999999998</v>
      </c>
      <c r="T486">
        <v>4.1284050795775551</v>
      </c>
      <c r="U486">
        <f t="shared" si="125"/>
        <v>9.5072079577555257E-2</v>
      </c>
      <c r="V486" s="2">
        <f t="shared" si="126"/>
        <v>2.3571591925971712E-2</v>
      </c>
      <c r="W486">
        <f>(T486+5/3)/(1/12)</f>
        <v>69.540860954930665</v>
      </c>
      <c r="X486" s="2">
        <f t="shared" si="127"/>
        <v>1.6679253727056417E-2</v>
      </c>
    </row>
    <row r="487" spans="5:24" x14ac:dyDescent="0.25">
      <c r="E487">
        <v>485</v>
      </c>
      <c r="F487">
        <f t="shared" si="112"/>
        <v>68.5</v>
      </c>
      <c r="G487">
        <f t="shared" si="113"/>
        <v>341.65</v>
      </c>
      <c r="H487" s="4">
        <f t="shared" si="114"/>
        <v>4.0416670000000003</v>
      </c>
      <c r="I487" s="4">
        <f t="shared" si="115"/>
        <v>1845.667283</v>
      </c>
      <c r="J487" s="4">
        <f t="shared" si="116"/>
        <v>1.8656672830000001</v>
      </c>
      <c r="K487" s="4">
        <f t="shared" si="117"/>
        <v>1103.3002080000001</v>
      </c>
      <c r="L487">
        <f t="shared" si="118"/>
        <v>1.1033002080000001</v>
      </c>
      <c r="M487">
        <f>$B$12*F487+$B$13</f>
        <v>1.1125049012137973</v>
      </c>
      <c r="N487">
        <f t="shared" si="119"/>
        <v>9.2046932137972437E-3</v>
      </c>
      <c r="O487" s="4">
        <f t="shared" ca="1" si="120"/>
        <v>4.0235784985422738</v>
      </c>
      <c r="P487" s="4">
        <f t="shared" si="121"/>
        <v>4.1031094743691661</v>
      </c>
      <c r="Q487" s="4">
        <f t="shared" ca="1" si="122"/>
        <v>7.9530975826892281E-2</v>
      </c>
      <c r="R487" s="2">
        <f t="shared" ca="1" si="123"/>
        <v>1.9383098677648564E-2</v>
      </c>
      <c r="S487" s="4">
        <f t="shared" si="124"/>
        <v>4.0416670000000003</v>
      </c>
      <c r="T487">
        <v>4.1368638297236204</v>
      </c>
      <c r="U487">
        <f t="shared" si="125"/>
        <v>9.5196829723620091E-2</v>
      </c>
      <c r="V487" s="2">
        <f t="shared" si="126"/>
        <v>2.3553852834392364E-2</v>
      </c>
      <c r="W487">
        <f>(T487+5/3)/(1/12)</f>
        <v>69.642365956683449</v>
      </c>
      <c r="X487" s="2">
        <f t="shared" si="127"/>
        <v>1.6676875280050348E-2</v>
      </c>
    </row>
    <row r="488" spans="5:24" x14ac:dyDescent="0.25">
      <c r="E488">
        <v>486</v>
      </c>
      <c r="F488">
        <f t="shared" si="112"/>
        <v>68.599999999999994</v>
      </c>
      <c r="G488">
        <f t="shared" si="113"/>
        <v>341.75</v>
      </c>
      <c r="H488" s="4">
        <f t="shared" si="114"/>
        <v>4.05</v>
      </c>
      <c r="I488" s="4">
        <f t="shared" si="115"/>
        <v>1839.322126</v>
      </c>
      <c r="J488" s="4">
        <f t="shared" si="116"/>
        <v>1.8593221260000001</v>
      </c>
      <c r="K488" s="4">
        <f t="shared" si="117"/>
        <v>1101.0780990000001</v>
      </c>
      <c r="L488">
        <f t="shared" si="118"/>
        <v>1.1010780990000002</v>
      </c>
      <c r="M488">
        <f>$B$12*F488+$B$13</f>
        <v>1.1101570623909032</v>
      </c>
      <c r="N488">
        <f t="shared" si="119"/>
        <v>9.0789633909029721E-3</v>
      </c>
      <c r="O488" s="4">
        <f t="shared" ca="1" si="120"/>
        <v>4.016254</v>
      </c>
      <c r="P488" s="4">
        <f t="shared" si="121"/>
        <v>4.0944502408610726</v>
      </c>
      <c r="Q488" s="4">
        <f t="shared" ca="1" si="122"/>
        <v>7.8196240861072575E-2</v>
      </c>
      <c r="R488" s="2">
        <f t="shared" ca="1" si="123"/>
        <v>1.9098105059551954E-2</v>
      </c>
      <c r="S488" s="4">
        <f t="shared" si="124"/>
        <v>4.05</v>
      </c>
      <c r="T488">
        <v>4.1448563549047961</v>
      </c>
      <c r="U488">
        <f t="shared" si="125"/>
        <v>9.485635490479627E-2</v>
      </c>
      <c r="V488" s="2">
        <f t="shared" si="126"/>
        <v>2.3421322198715129E-2</v>
      </c>
      <c r="W488">
        <f>(T488+5/3)/(1/12)</f>
        <v>69.738276258857567</v>
      </c>
      <c r="X488" s="2">
        <f t="shared" si="127"/>
        <v>1.6592948379848003E-2</v>
      </c>
    </row>
    <row r="489" spans="5:24" x14ac:dyDescent="0.25">
      <c r="E489">
        <v>487</v>
      </c>
      <c r="F489">
        <f t="shared" si="112"/>
        <v>68.7</v>
      </c>
      <c r="G489">
        <f t="shared" si="113"/>
        <v>341.84999999999997</v>
      </c>
      <c r="H489" s="4">
        <f t="shared" si="114"/>
        <v>4.0583330000000002</v>
      </c>
      <c r="I489" s="4">
        <f t="shared" si="115"/>
        <v>1833.002078</v>
      </c>
      <c r="J489" s="4">
        <f t="shared" si="116"/>
        <v>1.8530020780000001</v>
      </c>
      <c r="K489" s="4">
        <f t="shared" si="117"/>
        <v>1098.8586270000001</v>
      </c>
      <c r="L489">
        <f t="shared" si="118"/>
        <v>1.098858627</v>
      </c>
      <c r="M489">
        <f>$B$12*F489+$B$13</f>
        <v>1.1078092235680086</v>
      </c>
      <c r="N489">
        <f t="shared" si="119"/>
        <v>8.950596568008562E-3</v>
      </c>
      <c r="O489" s="4">
        <f t="shared" ca="1" si="120"/>
        <v>4.008940501457726</v>
      </c>
      <c r="P489" s="4">
        <f t="shared" si="121"/>
        <v>4.0857910073529782</v>
      </c>
      <c r="Q489" s="4">
        <f t="shared" ca="1" si="122"/>
        <v>7.6850505895252219E-2</v>
      </c>
      <c r="R489" s="2">
        <f t="shared" ca="1" si="123"/>
        <v>1.8809211180148104E-2</v>
      </c>
      <c r="S489" s="4">
        <f t="shared" si="124"/>
        <v>4.0583330000000002</v>
      </c>
      <c r="T489">
        <v>4.1528611327485789</v>
      </c>
      <c r="U489">
        <f t="shared" si="125"/>
        <v>9.4528132748578741E-2</v>
      </c>
      <c r="V489" s="2">
        <f t="shared" si="126"/>
        <v>2.3292354951793937E-2</v>
      </c>
      <c r="W489">
        <f>(T489+5/3)/(1/12)</f>
        <v>69.834333592982958</v>
      </c>
      <c r="X489" s="2">
        <f t="shared" si="127"/>
        <v>1.6511406011396723E-2</v>
      </c>
    </row>
    <row r="490" spans="5:24" x14ac:dyDescent="0.25">
      <c r="E490">
        <v>488</v>
      </c>
      <c r="F490">
        <f t="shared" si="112"/>
        <v>68.800000000000011</v>
      </c>
      <c r="G490">
        <f t="shared" si="113"/>
        <v>341.95</v>
      </c>
      <c r="H490" s="4">
        <f t="shared" si="114"/>
        <v>4.0666669999999998</v>
      </c>
      <c r="I490" s="4">
        <f t="shared" si="115"/>
        <v>1826.707028</v>
      </c>
      <c r="J490" s="4">
        <f t="shared" si="116"/>
        <v>1.846707028</v>
      </c>
      <c r="K490" s="4">
        <f t="shared" si="117"/>
        <v>1096.641799</v>
      </c>
      <c r="L490">
        <f t="shared" si="118"/>
        <v>1.0966417989999999</v>
      </c>
      <c r="M490">
        <f>$B$12*F490+$B$13</f>
        <v>1.105461384745114</v>
      </c>
      <c r="N490">
        <f t="shared" si="119"/>
        <v>8.8195857451141002E-3</v>
      </c>
      <c r="O490" s="4">
        <f t="shared" ca="1" si="120"/>
        <v>3.9992914985422745</v>
      </c>
      <c r="P490" s="4">
        <f t="shared" si="121"/>
        <v>4.0771317738448829</v>
      </c>
      <c r="Q490" s="4">
        <f t="shared" ca="1" si="122"/>
        <v>7.7840275302608397E-2</v>
      </c>
      <c r="R490" s="2">
        <f t="shared" ca="1" si="123"/>
        <v>1.9091920403936858E-2</v>
      </c>
      <c r="S490" s="4">
        <f t="shared" si="124"/>
        <v>4.0666669999999998</v>
      </c>
      <c r="T490">
        <v>4.1608780482932666</v>
      </c>
      <c r="U490">
        <f t="shared" si="125"/>
        <v>9.4211048293266764E-2</v>
      </c>
      <c r="V490" s="2">
        <f t="shared" si="126"/>
        <v>2.316664932075008E-2</v>
      </c>
      <c r="W490">
        <f>(T490+5/3)/(1/12)</f>
        <v>69.930536579519213</v>
      </c>
      <c r="X490" s="2">
        <f t="shared" si="127"/>
        <v>1.6432217725569791E-2</v>
      </c>
    </row>
    <row r="491" spans="5:24" x14ac:dyDescent="0.25">
      <c r="E491">
        <v>489</v>
      </c>
      <c r="F491">
        <f t="shared" si="112"/>
        <v>68.900000000000006</v>
      </c>
      <c r="G491">
        <f t="shared" si="113"/>
        <v>342.04999999999995</v>
      </c>
      <c r="H491" s="4">
        <f t="shared" si="114"/>
        <v>4.0750000000000002</v>
      </c>
      <c r="I491" s="4">
        <f t="shared" si="115"/>
        <v>1820.4368649999999</v>
      </c>
      <c r="J491" s="4">
        <f t="shared" si="116"/>
        <v>1.840436865</v>
      </c>
      <c r="K491" s="4">
        <f t="shared" si="117"/>
        <v>1094.427625</v>
      </c>
      <c r="L491">
        <f t="shared" si="118"/>
        <v>1.094427625</v>
      </c>
      <c r="M491">
        <f>$B$12*F491+$B$13</f>
        <v>1.1031135459222197</v>
      </c>
      <c r="N491">
        <f t="shared" si="119"/>
        <v>8.6859209222196476E-3</v>
      </c>
      <c r="O491" s="4">
        <f t="shared" ca="1" si="120"/>
        <v>3.9920067725947521</v>
      </c>
      <c r="P491" s="4">
        <f t="shared" si="121"/>
        <v>4.0684725403367885</v>
      </c>
      <c r="Q491" s="4">
        <f t="shared" ca="1" si="122"/>
        <v>7.6465767742036395E-2</v>
      </c>
      <c r="R491" s="2">
        <f t="shared" ca="1" si="123"/>
        <v>1.8794711524759745E-2</v>
      </c>
      <c r="S491" s="4">
        <f t="shared" si="124"/>
        <v>4.0750000000000002</v>
      </c>
      <c r="T491">
        <v>4.1693806934833866</v>
      </c>
      <c r="U491">
        <f t="shared" si="125"/>
        <v>9.4380693483386402E-2</v>
      </c>
      <c r="V491" s="2">
        <f t="shared" si="126"/>
        <v>2.3160906376291139E-2</v>
      </c>
      <c r="W491">
        <f>(T491+5/3)/(1/12)</f>
        <v>70.032568321800653</v>
      </c>
      <c r="X491" s="2">
        <f t="shared" si="127"/>
        <v>1.64378566299078E-2</v>
      </c>
    </row>
    <row r="492" spans="5:24" x14ac:dyDescent="0.25">
      <c r="E492">
        <v>490</v>
      </c>
      <c r="F492">
        <f t="shared" si="112"/>
        <v>69</v>
      </c>
      <c r="G492">
        <f t="shared" si="113"/>
        <v>342.15</v>
      </c>
      <c r="H492" s="4">
        <f t="shared" si="114"/>
        <v>4.0833329999999997</v>
      </c>
      <c r="I492" s="4">
        <f t="shared" si="115"/>
        <v>1814.191478</v>
      </c>
      <c r="J492" s="4">
        <f t="shared" si="116"/>
        <v>1.8341914779999999</v>
      </c>
      <c r="K492" s="4">
        <f t="shared" si="117"/>
        <v>1092.216113</v>
      </c>
      <c r="L492">
        <f t="shared" si="118"/>
        <v>1.0922161129999999</v>
      </c>
      <c r="M492">
        <f>$B$12*F492+$B$13</f>
        <v>1.1007657070993255</v>
      </c>
      <c r="N492">
        <f t="shared" si="119"/>
        <v>8.5495940993256525E-3</v>
      </c>
      <c r="O492" s="4">
        <f t="shared" ca="1" si="120"/>
        <v>3.9839407725947522</v>
      </c>
      <c r="P492" s="4">
        <f t="shared" si="121"/>
        <v>4.059813306828695</v>
      </c>
      <c r="Q492" s="4">
        <f t="shared" ca="1" si="122"/>
        <v>7.5872534233942801E-2</v>
      </c>
      <c r="R492" s="2">
        <f t="shared" ca="1" si="123"/>
        <v>1.8688675685239894E-2</v>
      </c>
      <c r="S492" s="4">
        <f t="shared" si="124"/>
        <v>4.0833329999999997</v>
      </c>
      <c r="T492">
        <v>4.1778933009403412</v>
      </c>
      <c r="U492">
        <f t="shared" si="125"/>
        <v>9.4560300940341513E-2</v>
      </c>
      <c r="V492" s="2">
        <f t="shared" si="126"/>
        <v>2.3157626610502136E-2</v>
      </c>
      <c r="W492">
        <f>(T492+5/3)/(1/12)</f>
        <v>70.134719611284098</v>
      </c>
      <c r="X492" s="2">
        <f t="shared" si="127"/>
        <v>1.6445211757740545E-2</v>
      </c>
    </row>
    <row r="493" spans="5:24" x14ac:dyDescent="0.25">
      <c r="E493">
        <v>491</v>
      </c>
      <c r="F493">
        <f t="shared" si="112"/>
        <v>69.099999999999994</v>
      </c>
      <c r="G493">
        <f t="shared" si="113"/>
        <v>342.25</v>
      </c>
      <c r="H493" s="4">
        <f t="shared" si="114"/>
        <v>4.0916670000000002</v>
      </c>
      <c r="I493" s="4">
        <f t="shared" si="115"/>
        <v>1807.970757</v>
      </c>
      <c r="J493" s="4">
        <f t="shared" si="116"/>
        <v>1.8279707570000001</v>
      </c>
      <c r="K493" s="4">
        <f t="shared" si="117"/>
        <v>1090.0072700000001</v>
      </c>
      <c r="L493">
        <f t="shared" si="118"/>
        <v>1.0900072700000001</v>
      </c>
      <c r="M493">
        <f>$B$12*F493+$B$13</f>
        <v>1.0984178682764314</v>
      </c>
      <c r="N493">
        <f t="shared" si="119"/>
        <v>8.4105982764313136E-3</v>
      </c>
      <c r="O493" s="4">
        <f t="shared" ca="1" si="120"/>
        <v>3.975873</v>
      </c>
      <c r="P493" s="4">
        <f t="shared" si="121"/>
        <v>4.0511540733206015</v>
      </c>
      <c r="Q493" s="4">
        <f t="shared" ca="1" si="122"/>
        <v>7.5281073320601521E-2</v>
      </c>
      <c r="R493" s="2">
        <f t="shared" ca="1" si="123"/>
        <v>1.8582624101209765E-2</v>
      </c>
      <c r="S493" s="4">
        <f t="shared" si="124"/>
        <v>4.0916670000000002</v>
      </c>
      <c r="T493">
        <v>4.1859439958163076</v>
      </c>
      <c r="U493">
        <f t="shared" si="125"/>
        <v>9.4276995816307441E-2</v>
      </c>
      <c r="V493" s="2">
        <f t="shared" si="126"/>
        <v>2.3041219096350568E-2</v>
      </c>
      <c r="W493">
        <f>(T493+5/3)/(1/12)</f>
        <v>70.231327949795698</v>
      </c>
      <c r="X493" s="2">
        <f t="shared" si="127"/>
        <v>1.6372329230039135E-2</v>
      </c>
    </row>
    <row r="494" spans="5:24" x14ac:dyDescent="0.25">
      <c r="E494">
        <v>492</v>
      </c>
      <c r="F494">
        <f t="shared" si="112"/>
        <v>69.2</v>
      </c>
      <c r="G494">
        <f t="shared" si="113"/>
        <v>342.34999999999997</v>
      </c>
      <c r="H494" s="4">
        <f t="shared" si="114"/>
        <v>4.0999999999999996</v>
      </c>
      <c r="I494" s="4">
        <f t="shared" si="115"/>
        <v>1801.774594</v>
      </c>
      <c r="J494" s="4">
        <f t="shared" si="116"/>
        <v>1.8217745940000001</v>
      </c>
      <c r="K494" s="4">
        <f t="shared" si="117"/>
        <v>1087.8011059999999</v>
      </c>
      <c r="L494">
        <f t="shared" si="118"/>
        <v>1.0878011059999999</v>
      </c>
      <c r="M494">
        <f>$B$12*F494+$B$13</f>
        <v>1.0960700294535368</v>
      </c>
      <c r="N494">
        <f t="shared" si="119"/>
        <v>8.2689234535369138E-3</v>
      </c>
      <c r="O494" s="4">
        <f t="shared" ca="1" si="120"/>
        <v>3.9678367725947523</v>
      </c>
      <c r="P494" s="4">
        <f t="shared" si="121"/>
        <v>4.0424948398125062</v>
      </c>
      <c r="Q494" s="4">
        <f t="shared" ca="1" si="122"/>
        <v>7.4658067217753921E-2</v>
      </c>
      <c r="R494" s="2">
        <f t="shared" ca="1" si="123"/>
        <v>1.8468314784841289E-2</v>
      </c>
      <c r="S494" s="4">
        <f t="shared" si="124"/>
        <v>4.0999999999999996</v>
      </c>
      <c r="T494">
        <v>4.1940063726999801</v>
      </c>
      <c r="U494">
        <f t="shared" si="125"/>
        <v>9.4006372699980467E-2</v>
      </c>
      <c r="V494" s="2">
        <f t="shared" si="126"/>
        <v>2.2928383585361093E-2</v>
      </c>
      <c r="W494">
        <f>(T494+5/3)/(1/12)</f>
        <v>70.328076472399772</v>
      </c>
      <c r="X494" s="2">
        <f t="shared" si="127"/>
        <v>1.6301683127164294E-2</v>
      </c>
    </row>
    <row r="495" spans="5:24" x14ac:dyDescent="0.25">
      <c r="E495">
        <v>493</v>
      </c>
      <c r="F495">
        <f t="shared" si="112"/>
        <v>69.300000000000011</v>
      </c>
      <c r="G495">
        <f t="shared" si="113"/>
        <v>342.45</v>
      </c>
      <c r="H495" s="4">
        <f t="shared" si="114"/>
        <v>4.108333</v>
      </c>
      <c r="I495" s="4">
        <f t="shared" si="115"/>
        <v>1795.6028779999999</v>
      </c>
      <c r="J495" s="4">
        <f t="shared" si="116"/>
        <v>1.815602878</v>
      </c>
      <c r="K495" s="4">
        <f t="shared" si="117"/>
        <v>1085.5976270000001</v>
      </c>
      <c r="L495">
        <f t="shared" si="118"/>
        <v>1.0855976270000001</v>
      </c>
      <c r="M495">
        <f>$B$12*F495+$B$13</f>
        <v>1.0937221906306422</v>
      </c>
      <c r="N495">
        <f t="shared" si="119"/>
        <v>8.1245636306421787E-3</v>
      </c>
      <c r="O495" s="4">
        <f t="shared" ca="1" si="120"/>
        <v>3.9601733644314869</v>
      </c>
      <c r="P495" s="4">
        <f t="shared" si="121"/>
        <v>4.0338356063044118</v>
      </c>
      <c r="Q495" s="4">
        <f t="shared" ca="1" si="122"/>
        <v>7.3662241872924916E-2</v>
      </c>
      <c r="R495" s="2">
        <f t="shared" ca="1" si="123"/>
        <v>1.8261091690945332E-2</v>
      </c>
      <c r="S495" s="4">
        <f t="shared" si="124"/>
        <v>4.108333</v>
      </c>
      <c r="T495">
        <v>4.2016104952927673</v>
      </c>
      <c r="U495">
        <f t="shared" si="125"/>
        <v>9.3277495292767298E-2</v>
      </c>
      <c r="V495" s="2">
        <f t="shared" si="126"/>
        <v>2.2704463171015422E-2</v>
      </c>
      <c r="W495">
        <f>(T495+5/3)/(1/12)</f>
        <v>70.419325943513215</v>
      </c>
      <c r="X495" s="2">
        <f t="shared" si="127"/>
        <v>1.6151889516785041E-2</v>
      </c>
    </row>
    <row r="496" spans="5:24" x14ac:dyDescent="0.25">
      <c r="E496">
        <v>494</v>
      </c>
      <c r="F496">
        <f t="shared" si="112"/>
        <v>69.400000000000006</v>
      </c>
      <c r="G496">
        <f t="shared" si="113"/>
        <v>342.54999999999995</v>
      </c>
      <c r="H496" s="4">
        <f t="shared" si="114"/>
        <v>4.1166669999999996</v>
      </c>
      <c r="I496" s="4">
        <f t="shared" si="115"/>
        <v>1789.4555029999999</v>
      </c>
      <c r="J496" s="4">
        <f t="shared" si="116"/>
        <v>1.8094555029999999</v>
      </c>
      <c r="K496" s="4">
        <f t="shared" si="117"/>
        <v>1083.3968440000001</v>
      </c>
      <c r="L496">
        <f t="shared" si="118"/>
        <v>1.0833968440000001</v>
      </c>
      <c r="M496">
        <f>$B$12*F496+$B$13</f>
        <v>1.0913743518077481</v>
      </c>
      <c r="N496">
        <f t="shared" si="119"/>
        <v>7.9775078077479744E-3</v>
      </c>
      <c r="O496" s="4">
        <f t="shared" ca="1" si="120"/>
        <v>3.9517609999999999</v>
      </c>
      <c r="P496" s="4">
        <f t="shared" si="121"/>
        <v>4.0251763727963183</v>
      </c>
      <c r="Q496" s="4">
        <f t="shared" ca="1" si="122"/>
        <v>7.341537279631849E-2</v>
      </c>
      <c r="R496" s="2">
        <f t="shared" ca="1" si="123"/>
        <v>1.823904495030023E-2</v>
      </c>
      <c r="S496" s="4">
        <f t="shared" si="124"/>
        <v>4.1166669999999996</v>
      </c>
      <c r="T496">
        <v>4.2096968627381814</v>
      </c>
      <c r="U496">
        <f t="shared" si="125"/>
        <v>9.3029862738181812E-2</v>
      </c>
      <c r="V496" s="2">
        <f t="shared" si="126"/>
        <v>2.2598345394024298E-2</v>
      </c>
      <c r="W496">
        <f>(T496+5/3)/(1/12)</f>
        <v>70.516362352858181</v>
      </c>
      <c r="X496" s="2">
        <f t="shared" si="127"/>
        <v>1.6085912865391572E-2</v>
      </c>
    </row>
    <row r="497" spans="5:24" x14ac:dyDescent="0.25">
      <c r="E497">
        <v>495</v>
      </c>
      <c r="F497">
        <f t="shared" si="112"/>
        <v>69.5</v>
      </c>
      <c r="G497">
        <f t="shared" si="113"/>
        <v>342.65</v>
      </c>
      <c r="H497" s="4">
        <f t="shared" si="114"/>
        <v>4.125</v>
      </c>
      <c r="I497" s="4">
        <f t="shared" si="115"/>
        <v>1783.332361</v>
      </c>
      <c r="J497" s="4">
        <f t="shared" si="116"/>
        <v>1.8033323610000001</v>
      </c>
      <c r="K497" s="4">
        <f t="shared" si="117"/>
        <v>1081.198762</v>
      </c>
      <c r="L497">
        <f t="shared" si="118"/>
        <v>1.0811987620000001</v>
      </c>
      <c r="M497">
        <f>$B$12*F497+$B$13</f>
        <v>1.0890265129848538</v>
      </c>
      <c r="N497">
        <f t="shared" si="119"/>
        <v>7.8277509848536653E-3</v>
      </c>
      <c r="O497" s="4">
        <f t="shared" ca="1" si="120"/>
        <v>3.9433576355685132</v>
      </c>
      <c r="P497" s="4">
        <f t="shared" si="121"/>
        <v>4.016517139288224</v>
      </c>
      <c r="Q497" s="4">
        <f t="shared" ca="1" si="122"/>
        <v>7.3159503719710806E-2</v>
      </c>
      <c r="R497" s="2">
        <f t="shared" ca="1" si="123"/>
        <v>1.8214662400936641E-2</v>
      </c>
      <c r="S497" s="4">
        <f t="shared" si="124"/>
        <v>4.125</v>
      </c>
      <c r="T497">
        <v>4.2177945701176851</v>
      </c>
      <c r="U497">
        <f t="shared" si="125"/>
        <v>9.2794570117685105E-2</v>
      </c>
      <c r="V497" s="2">
        <f t="shared" si="126"/>
        <v>2.2495653361863054E-2</v>
      </c>
      <c r="W497">
        <f>(T497+5/3)/(1/12)</f>
        <v>70.613534841412232</v>
      </c>
      <c r="X497" s="2">
        <f t="shared" si="127"/>
        <v>1.6022084049096861E-2</v>
      </c>
    </row>
    <row r="498" spans="5:24" x14ac:dyDescent="0.25">
      <c r="E498">
        <v>496</v>
      </c>
      <c r="F498">
        <f t="shared" si="112"/>
        <v>69.599999999999994</v>
      </c>
      <c r="G498">
        <f t="shared" si="113"/>
        <v>342.75</v>
      </c>
      <c r="H498" s="4">
        <f t="shared" si="114"/>
        <v>4.1333330000000004</v>
      </c>
      <c r="I498" s="4">
        <f t="shared" si="115"/>
        <v>1777.2333430000001</v>
      </c>
      <c r="J498" s="4">
        <f t="shared" si="116"/>
        <v>1.797233343</v>
      </c>
      <c r="K498" s="4">
        <f t="shared" si="117"/>
        <v>1079.003391</v>
      </c>
      <c r="L498">
        <f t="shared" si="118"/>
        <v>1.0790033910000001</v>
      </c>
      <c r="M498">
        <f>$B$12*F498+$B$13</f>
        <v>1.0866786741619596</v>
      </c>
      <c r="N498">
        <f t="shared" si="119"/>
        <v>7.6752831619595341E-3</v>
      </c>
      <c r="O498" s="4">
        <f t="shared" ca="1" si="120"/>
        <v>3.9349534985422743</v>
      </c>
      <c r="P498" s="4">
        <f t="shared" si="121"/>
        <v>4.0078579057801305</v>
      </c>
      <c r="Q498" s="4">
        <f t="shared" ca="1" si="122"/>
        <v>7.2904407237856184E-2</v>
      </c>
      <c r="R498" s="2">
        <f t="shared" ca="1" si="123"/>
        <v>1.8190367261452432E-2</v>
      </c>
      <c r="S498" s="4">
        <f t="shared" si="124"/>
        <v>4.1333330000000004</v>
      </c>
      <c r="T498">
        <v>4.2259035039753483</v>
      </c>
      <c r="U498">
        <f t="shared" si="125"/>
        <v>9.257050397534794E-2</v>
      </c>
      <c r="V498" s="2">
        <f t="shared" si="126"/>
        <v>2.2396091477591553E-2</v>
      </c>
      <c r="W498">
        <f>(T498+5/3)/(1/12)</f>
        <v>70.71084204770419</v>
      </c>
      <c r="X498" s="2">
        <f t="shared" si="127"/>
        <v>1.5960374248623507E-2</v>
      </c>
    </row>
    <row r="499" spans="5:24" x14ac:dyDescent="0.25">
      <c r="E499">
        <v>497</v>
      </c>
      <c r="F499">
        <f t="shared" si="112"/>
        <v>69.7</v>
      </c>
      <c r="G499">
        <f t="shared" si="113"/>
        <v>342.84999999999997</v>
      </c>
      <c r="H499" s="4">
        <f t="shared" si="114"/>
        <v>4.141667</v>
      </c>
      <c r="I499" s="4">
        <f t="shared" si="115"/>
        <v>1771.1583450000001</v>
      </c>
      <c r="J499" s="4">
        <f t="shared" si="116"/>
        <v>1.7911583450000002</v>
      </c>
      <c r="K499" s="4">
        <f t="shared" si="117"/>
        <v>1076.8107379999999</v>
      </c>
      <c r="L499">
        <f t="shared" si="118"/>
        <v>1.0768107379999998</v>
      </c>
      <c r="M499">
        <f>$B$12*F499+$B$13</f>
        <v>1.084330835339065</v>
      </c>
      <c r="N499">
        <f t="shared" si="119"/>
        <v>7.5200973390652237E-3</v>
      </c>
      <c r="O499" s="4">
        <f t="shared" ca="1" si="120"/>
        <v>3.928518501457726</v>
      </c>
      <c r="P499" s="4">
        <f t="shared" si="121"/>
        <v>3.9991986722720356</v>
      </c>
      <c r="Q499" s="4">
        <f t="shared" ca="1" si="122"/>
        <v>7.0680170814309662E-2</v>
      </c>
      <c r="R499" s="2">
        <f t="shared" ca="1" si="123"/>
        <v>1.7673583286662436E-2</v>
      </c>
      <c r="S499" s="4">
        <f t="shared" si="124"/>
        <v>4.141667</v>
      </c>
      <c r="T499">
        <v>4.234023551677228</v>
      </c>
      <c r="U499">
        <f t="shared" si="125"/>
        <v>9.2356551677228005E-2</v>
      </c>
      <c r="V499" s="2">
        <f t="shared" si="126"/>
        <v>2.2299366819502391E-2</v>
      </c>
      <c r="W499">
        <f>(T499+5/3)/(1/12)</f>
        <v>70.808282620126747</v>
      </c>
      <c r="X499" s="2">
        <f t="shared" si="127"/>
        <v>1.5900754951603209E-2</v>
      </c>
    </row>
    <row r="500" spans="5:24" x14ac:dyDescent="0.25">
      <c r="E500">
        <v>498</v>
      </c>
      <c r="F500">
        <f t="shared" si="112"/>
        <v>69.800000000000011</v>
      </c>
      <c r="G500">
        <f t="shared" si="113"/>
        <v>342.95</v>
      </c>
      <c r="H500" s="4">
        <f t="shared" si="114"/>
        <v>4.1500000000000004</v>
      </c>
      <c r="I500" s="4">
        <f t="shared" si="115"/>
        <v>1765.107258</v>
      </c>
      <c r="J500" s="4">
        <f t="shared" si="116"/>
        <v>1.785107258</v>
      </c>
      <c r="K500" s="4">
        <f t="shared" si="117"/>
        <v>1074.6208099999999</v>
      </c>
      <c r="L500">
        <f t="shared" si="118"/>
        <v>1.0746208099999999</v>
      </c>
      <c r="M500">
        <f>$B$12*F500+$B$13</f>
        <v>1.0819829965161705</v>
      </c>
      <c r="N500">
        <f t="shared" si="119"/>
        <v>7.362186516170599E-3</v>
      </c>
      <c r="O500" s="4">
        <f t="shared" ca="1" si="120"/>
        <v>3.9201353644314869</v>
      </c>
      <c r="P500" s="4">
        <f t="shared" si="121"/>
        <v>3.9905394387639403</v>
      </c>
      <c r="Q500" s="4">
        <f t="shared" ca="1" si="122"/>
        <v>7.0404074332453437E-2</v>
      </c>
      <c r="R500" s="2">
        <f t="shared" ca="1" si="123"/>
        <v>1.7642746153202014E-2</v>
      </c>
      <c r="S500" s="4">
        <f t="shared" si="124"/>
        <v>4.1500000000000004</v>
      </c>
      <c r="T500">
        <v>4.2421546003747839</v>
      </c>
      <c r="U500">
        <f t="shared" si="125"/>
        <v>9.2154600374783513E-2</v>
      </c>
      <c r="V500" s="2">
        <f t="shared" si="126"/>
        <v>2.2205927801152651E-2</v>
      </c>
      <c r="W500">
        <f>(T500+5/3)/(1/12)</f>
        <v>70.905855204497414</v>
      </c>
      <c r="X500" s="2">
        <f t="shared" si="127"/>
        <v>1.5843197772169082E-2</v>
      </c>
    </row>
    <row r="501" spans="5:24" x14ac:dyDescent="0.25">
      <c r="E501">
        <v>499</v>
      </c>
      <c r="F501">
        <f t="shared" si="112"/>
        <v>69.900000000000006</v>
      </c>
      <c r="G501">
        <f t="shared" si="113"/>
        <v>343.04999999999995</v>
      </c>
      <c r="H501" s="4">
        <f t="shared" si="114"/>
        <v>4.1583329999999998</v>
      </c>
      <c r="I501" s="4">
        <f t="shared" si="115"/>
        <v>1759.0799790000001</v>
      </c>
      <c r="J501" s="4">
        <f t="shared" si="116"/>
        <v>1.779079979</v>
      </c>
      <c r="K501" s="4">
        <f t="shared" si="117"/>
        <v>1072.4336169999999</v>
      </c>
      <c r="L501">
        <f t="shared" si="118"/>
        <v>1.072433617</v>
      </c>
      <c r="M501">
        <f>$B$12*F501+$B$13</f>
        <v>1.0796351576932763</v>
      </c>
      <c r="N501">
        <f t="shared" si="119"/>
        <v>7.201540693276387E-3</v>
      </c>
      <c r="O501" s="4">
        <f t="shared" ca="1" si="120"/>
        <v>3.9117827725947523</v>
      </c>
      <c r="P501" s="4">
        <f t="shared" si="121"/>
        <v>3.9818802052558468</v>
      </c>
      <c r="Q501" s="4">
        <f t="shared" ca="1" si="122"/>
        <v>7.0097432661094583E-2</v>
      </c>
      <c r="R501" s="2">
        <f t="shared" ca="1" si="123"/>
        <v>1.7604103852388656E-2</v>
      </c>
      <c r="S501" s="4">
        <f t="shared" si="124"/>
        <v>4.1583329999999998</v>
      </c>
      <c r="T501">
        <v>4.2498325085038147</v>
      </c>
      <c r="U501">
        <f t="shared" si="125"/>
        <v>9.149950850381483E-2</v>
      </c>
      <c r="V501" s="2">
        <f t="shared" si="126"/>
        <v>2.2003891584395679E-2</v>
      </c>
      <c r="W501">
        <f>(T501+5/3)/(1/12)</f>
        <v>70.99799010204579</v>
      </c>
      <c r="X501" s="2">
        <f t="shared" si="127"/>
        <v>1.5708012904803784E-2</v>
      </c>
    </row>
    <row r="502" spans="5:24" x14ac:dyDescent="0.25">
      <c r="E502">
        <v>500</v>
      </c>
      <c r="F502">
        <f t="shared" si="112"/>
        <v>70</v>
      </c>
      <c r="G502">
        <f t="shared" si="113"/>
        <v>343.15</v>
      </c>
      <c r="H502" s="4">
        <f t="shared" si="114"/>
        <v>4.1666670000000003</v>
      </c>
      <c r="I502" s="4">
        <f t="shared" si="115"/>
        <v>1753.076401</v>
      </c>
      <c r="J502" s="4">
        <f t="shared" si="116"/>
        <v>1.773076401</v>
      </c>
      <c r="K502" s="4">
        <f t="shared" si="117"/>
        <v>1070.2491649999999</v>
      </c>
      <c r="L502">
        <f t="shared" si="118"/>
        <v>1.0702491649999999</v>
      </c>
      <c r="M502">
        <f>$B$12*F502+$B$13</f>
        <v>1.0772873188703822</v>
      </c>
      <c r="N502">
        <f t="shared" si="119"/>
        <v>7.0381538703823132E-3</v>
      </c>
      <c r="O502" s="4">
        <f t="shared" ca="1" si="120"/>
        <v>3.903407862973761</v>
      </c>
      <c r="P502" s="4">
        <f t="shared" si="121"/>
        <v>3.9732209717477533</v>
      </c>
      <c r="Q502" s="4">
        <f t="shared" ca="1" si="122"/>
        <v>6.9813108773992383E-2</v>
      </c>
      <c r="R502" s="2">
        <f t="shared" ca="1" si="123"/>
        <v>1.7570910168452768E-2</v>
      </c>
      <c r="S502" s="4">
        <f t="shared" si="124"/>
        <v>4.1666670000000003</v>
      </c>
      <c r="T502">
        <v>4.2584492527489077</v>
      </c>
      <c r="U502">
        <f t="shared" si="125"/>
        <v>9.1782252748907389E-2</v>
      </c>
      <c r="V502" s="2">
        <f t="shared" si="126"/>
        <v>2.2027738897518658E-2</v>
      </c>
      <c r="W502">
        <f>(T502+5/3)/(1/12)</f>
        <v>71.101391032986896</v>
      </c>
      <c r="X502" s="2">
        <f t="shared" si="127"/>
        <v>1.5734157614098521E-2</v>
      </c>
    </row>
    <row r="503" spans="5:24" x14ac:dyDescent="0.25">
      <c r="E503">
        <v>501</v>
      </c>
      <c r="F503">
        <f t="shared" si="112"/>
        <v>70.099999999999994</v>
      </c>
      <c r="G503">
        <f t="shared" si="113"/>
        <v>343.25</v>
      </c>
      <c r="H503" s="4">
        <f t="shared" si="114"/>
        <v>4.1749999999999998</v>
      </c>
      <c r="I503" s="4">
        <f t="shared" si="115"/>
        <v>1747.0964200000001</v>
      </c>
      <c r="J503" s="4">
        <f t="shared" si="116"/>
        <v>1.7670964200000001</v>
      </c>
      <c r="K503" s="4">
        <f t="shared" si="117"/>
        <v>1068.067462</v>
      </c>
      <c r="L503">
        <f t="shared" si="118"/>
        <v>1.0680674619999999</v>
      </c>
      <c r="M503">
        <f>$B$12*F503+$B$13</f>
        <v>1.0749394800474878</v>
      </c>
      <c r="N503">
        <f t="shared" si="119"/>
        <v>6.8720180474879378E-3</v>
      </c>
      <c r="O503" s="4">
        <f t="shared" ca="1" si="120"/>
        <v>3.8958352274052479</v>
      </c>
      <c r="P503" s="4">
        <f t="shared" si="121"/>
        <v>3.9645617382396594</v>
      </c>
      <c r="Q503" s="4">
        <f t="shared" ca="1" si="122"/>
        <v>6.8726510834411503E-2</v>
      </c>
      <c r="R503" s="2">
        <f t="shared" ca="1" si="123"/>
        <v>1.7335210137231303E-2</v>
      </c>
      <c r="S503" s="4">
        <f t="shared" si="124"/>
        <v>4.1749999999999998</v>
      </c>
      <c r="T503">
        <v>4.2666126326087968</v>
      </c>
      <c r="U503">
        <f t="shared" si="125"/>
        <v>9.1612632608796929E-2</v>
      </c>
      <c r="V503" s="2">
        <f t="shared" si="126"/>
        <v>2.1943145535041182E-2</v>
      </c>
      <c r="W503">
        <f>(T503+5/3)/(1/12)</f>
        <v>71.199351591305572</v>
      </c>
      <c r="X503" s="2">
        <f t="shared" si="127"/>
        <v>1.5682618991520365E-2</v>
      </c>
    </row>
    <row r="504" spans="5:24" x14ac:dyDescent="0.25">
      <c r="E504">
        <v>502</v>
      </c>
      <c r="F504">
        <f t="shared" si="112"/>
        <v>70.2</v>
      </c>
      <c r="G504">
        <f t="shared" si="113"/>
        <v>343.34999999999997</v>
      </c>
      <c r="H504" s="4">
        <f t="shared" si="114"/>
        <v>4.1833330000000002</v>
      </c>
      <c r="I504" s="4">
        <f t="shared" si="115"/>
        <v>1741.1399329999999</v>
      </c>
      <c r="J504" s="4">
        <f t="shared" si="116"/>
        <v>1.7611399329999999</v>
      </c>
      <c r="K504" s="4">
        <f t="shared" si="117"/>
        <v>1065.8885150000001</v>
      </c>
      <c r="L504">
        <f t="shared" si="118"/>
        <v>1.0658885150000001</v>
      </c>
      <c r="M504">
        <f>$B$12*F504+$B$13</f>
        <v>1.0725916412245933</v>
      </c>
      <c r="N504">
        <f t="shared" si="119"/>
        <v>6.7031262245931256E-3</v>
      </c>
      <c r="O504" s="4">
        <f t="shared" ca="1" si="120"/>
        <v>3.8886795014577258</v>
      </c>
      <c r="P504" s="4">
        <f t="shared" si="121"/>
        <v>3.9559025047315641</v>
      </c>
      <c r="Q504" s="4">
        <f t="shared" ca="1" si="122"/>
        <v>6.7223003273838344E-2</v>
      </c>
      <c r="R504" s="2">
        <f t="shared" ca="1" si="123"/>
        <v>1.699308898372355E-2</v>
      </c>
      <c r="S504" s="4">
        <f t="shared" si="124"/>
        <v>4.1833330000000002</v>
      </c>
      <c r="T504">
        <v>4.2743254133836475</v>
      </c>
      <c r="U504">
        <f t="shared" si="125"/>
        <v>9.0992413383647275E-2</v>
      </c>
      <c r="V504" s="2">
        <f t="shared" si="126"/>
        <v>2.1751176247180721E-2</v>
      </c>
      <c r="W504">
        <f>(T504+5/3)/(1/12)</f>
        <v>71.291904960603773</v>
      </c>
      <c r="X504" s="2">
        <f t="shared" si="127"/>
        <v>1.5554201718002425E-2</v>
      </c>
    </row>
    <row r="505" spans="5:24" x14ac:dyDescent="0.25">
      <c r="E505">
        <v>503</v>
      </c>
      <c r="F505">
        <f t="shared" si="112"/>
        <v>70.300000000000011</v>
      </c>
      <c r="G505">
        <f t="shared" si="113"/>
        <v>343.45</v>
      </c>
      <c r="H505" s="4">
        <f t="shared" si="114"/>
        <v>4.1916669999999998</v>
      </c>
      <c r="I505" s="4">
        <f t="shared" si="115"/>
        <v>1735.2068340000001</v>
      </c>
      <c r="J505" s="4">
        <f t="shared" si="116"/>
        <v>1.7552068340000002</v>
      </c>
      <c r="K505" s="4">
        <f t="shared" si="117"/>
        <v>1063.7123320000001</v>
      </c>
      <c r="L505">
        <f t="shared" si="118"/>
        <v>1.0637123320000001</v>
      </c>
      <c r="M505">
        <f>$B$12*F505+$B$13</f>
        <v>1.0702438024016987</v>
      </c>
      <c r="N505">
        <f t="shared" si="119"/>
        <v>6.531470401698547E-3</v>
      </c>
      <c r="O505" s="4">
        <f t="shared" ca="1" si="120"/>
        <v>3.8799600000000001</v>
      </c>
      <c r="P505" s="4">
        <f t="shared" si="121"/>
        <v>3.9472432712234693</v>
      </c>
      <c r="Q505" s="4">
        <f t="shared" ca="1" si="122"/>
        <v>6.7283271223469221E-2</v>
      </c>
      <c r="R505" s="2">
        <f t="shared" ca="1" si="123"/>
        <v>1.7045635802075711E-2</v>
      </c>
      <c r="S505" s="4">
        <f t="shared" si="124"/>
        <v>4.1916669999999998</v>
      </c>
      <c r="T505">
        <v>4.28251074566474</v>
      </c>
      <c r="U505">
        <f t="shared" si="125"/>
        <v>9.0843745664740183E-2</v>
      </c>
      <c r="V505" s="2">
        <f t="shared" si="126"/>
        <v>2.1672462451034442E-2</v>
      </c>
      <c r="W505">
        <f>(T505+5/3)/(1/12)</f>
        <v>71.390128947976891</v>
      </c>
      <c r="X505" s="2">
        <f t="shared" si="127"/>
        <v>1.5506812915745079E-2</v>
      </c>
    </row>
    <row r="506" spans="5:24" x14ac:dyDescent="0.25">
      <c r="E506">
        <v>504</v>
      </c>
      <c r="F506">
        <f t="shared" si="112"/>
        <v>70.400000000000006</v>
      </c>
      <c r="G506">
        <f t="shared" si="113"/>
        <v>343.54999999999995</v>
      </c>
      <c r="H506" s="4">
        <f t="shared" si="114"/>
        <v>4.2</v>
      </c>
      <c r="I506" s="4">
        <f t="shared" si="115"/>
        <v>1729.2970230000001</v>
      </c>
      <c r="J506" s="4">
        <f t="shared" si="116"/>
        <v>1.749297023</v>
      </c>
      <c r="K506" s="4">
        <f t="shared" si="117"/>
        <v>1061.5389210000001</v>
      </c>
      <c r="L506">
        <f t="shared" si="118"/>
        <v>1.0615389210000001</v>
      </c>
      <c r="M506">
        <f>$B$12*F506+$B$13</f>
        <v>1.0678959635788046</v>
      </c>
      <c r="N506">
        <f t="shared" si="119"/>
        <v>6.3570425788044282E-3</v>
      </c>
      <c r="O506" s="4">
        <f t="shared" ca="1" si="120"/>
        <v>3.871250498542274</v>
      </c>
      <c r="P506" s="4">
        <f t="shared" si="121"/>
        <v>3.9385840377153758</v>
      </c>
      <c r="Q506" s="4">
        <f t="shared" ca="1" si="122"/>
        <v>6.7333539173101808E-2</v>
      </c>
      <c r="R506" s="2">
        <f t="shared" ca="1" si="123"/>
        <v>1.7095874692103677E-2</v>
      </c>
      <c r="S506" s="4">
        <f t="shared" si="124"/>
        <v>4.2</v>
      </c>
      <c r="T506">
        <v>4.2902471687482793</v>
      </c>
      <c r="U506">
        <f t="shared" si="125"/>
        <v>9.0247168748279094E-2</v>
      </c>
      <c r="V506" s="2">
        <f t="shared" si="126"/>
        <v>2.1487421130542639E-2</v>
      </c>
      <c r="W506">
        <f>(T506+5/3)/(1/12)</f>
        <v>71.482966024979362</v>
      </c>
      <c r="X506" s="2">
        <f t="shared" si="127"/>
        <v>1.5383040127547673E-2</v>
      </c>
    </row>
    <row r="507" spans="5:24" x14ac:dyDescent="0.25">
      <c r="E507">
        <v>505</v>
      </c>
      <c r="F507">
        <f t="shared" si="112"/>
        <v>70.5</v>
      </c>
      <c r="G507">
        <f t="shared" si="113"/>
        <v>343.65</v>
      </c>
      <c r="H507" s="4">
        <f t="shared" si="114"/>
        <v>4.2083329999999997</v>
      </c>
      <c r="I507" s="4">
        <f t="shared" si="115"/>
        <v>1723.4103950000001</v>
      </c>
      <c r="J507" s="4">
        <f t="shared" si="116"/>
        <v>1.7434103950000002</v>
      </c>
      <c r="K507" s="4">
        <f t="shared" si="117"/>
        <v>1059.368289</v>
      </c>
      <c r="L507">
        <f t="shared" si="118"/>
        <v>1.059368289</v>
      </c>
      <c r="M507">
        <f>$B$12*F507+$B$13</f>
        <v>1.0655481247559104</v>
      </c>
      <c r="N507">
        <f t="shared" si="119"/>
        <v>6.1798357559104122E-3</v>
      </c>
      <c r="O507" s="4">
        <f t="shared" ca="1" si="120"/>
        <v>3.8637296355685131</v>
      </c>
      <c r="P507" s="4">
        <f t="shared" si="121"/>
        <v>3.9299248042072823</v>
      </c>
      <c r="Q507" s="4">
        <f t="shared" ca="1" si="122"/>
        <v>6.6195168638769175E-2</v>
      </c>
      <c r="R507" s="2">
        <f t="shared" ca="1" si="123"/>
        <v>1.6843876648200046E-2</v>
      </c>
      <c r="S507" s="4">
        <f t="shared" si="124"/>
        <v>4.2083329999999997</v>
      </c>
      <c r="T507">
        <v>4.2984540044932977</v>
      </c>
      <c r="U507">
        <f t="shared" si="125"/>
        <v>9.0121004493298074E-2</v>
      </c>
      <c r="V507" s="2">
        <f t="shared" si="126"/>
        <v>2.1414893853052522E-2</v>
      </c>
      <c r="W507">
        <f>(T507+5/3)/(1/12)</f>
        <v>71.581448053919587</v>
      </c>
      <c r="X507" s="2">
        <f t="shared" si="127"/>
        <v>1.5339688708079249E-2</v>
      </c>
    </row>
    <row r="508" spans="5:24" x14ac:dyDescent="0.25">
      <c r="E508">
        <v>506</v>
      </c>
      <c r="F508">
        <f t="shared" si="112"/>
        <v>70.599999999999994</v>
      </c>
      <c r="G508">
        <f t="shared" si="113"/>
        <v>343.75</v>
      </c>
      <c r="H508" s="4">
        <f t="shared" si="114"/>
        <v>4.2166670000000002</v>
      </c>
      <c r="I508" s="4">
        <f t="shared" si="115"/>
        <v>1717.546848</v>
      </c>
      <c r="J508" s="4">
        <f t="shared" si="116"/>
        <v>1.737546848</v>
      </c>
      <c r="K508" s="4">
        <f t="shared" si="117"/>
        <v>1057.2004420000001</v>
      </c>
      <c r="L508">
        <f t="shared" si="118"/>
        <v>1.0572004420000001</v>
      </c>
      <c r="M508">
        <f>$B$12*F508+$B$13</f>
        <v>1.0632002859330161</v>
      </c>
      <c r="N508">
        <f t="shared" si="119"/>
        <v>5.9998439330160025E-3</v>
      </c>
      <c r="O508" s="4">
        <f t="shared" ca="1" si="120"/>
        <v>3.8562080000000001</v>
      </c>
      <c r="P508" s="4">
        <f t="shared" si="121"/>
        <v>3.9212655706991884</v>
      </c>
      <c r="Q508" s="4">
        <f t="shared" ca="1" si="122"/>
        <v>6.5057570699188272E-2</v>
      </c>
      <c r="R508" s="2">
        <f t="shared" ca="1" si="123"/>
        <v>1.6590962669123188E-2</v>
      </c>
      <c r="S508" s="4">
        <f t="shared" si="124"/>
        <v>4.2166670000000002</v>
      </c>
      <c r="T508">
        <v>4.3066709479203569</v>
      </c>
      <c r="U508">
        <f t="shared" si="125"/>
        <v>9.0003947920356708E-2</v>
      </c>
      <c r="V508" s="2">
        <f t="shared" si="126"/>
        <v>2.1344808096147194E-2</v>
      </c>
      <c r="W508">
        <f>(T508+5/3)/(1/12)</f>
        <v>71.680051375044286</v>
      </c>
      <c r="X508" s="2">
        <f t="shared" si="127"/>
        <v>1.5298178116774671E-2</v>
      </c>
    </row>
    <row r="509" spans="5:24" x14ac:dyDescent="0.25">
      <c r="E509">
        <v>507</v>
      </c>
      <c r="F509">
        <f t="shared" si="112"/>
        <v>70.7</v>
      </c>
      <c r="G509">
        <f t="shared" si="113"/>
        <v>343.84999999999997</v>
      </c>
      <c r="H509" s="4">
        <f t="shared" si="114"/>
        <v>4.2249999999999996</v>
      </c>
      <c r="I509" s="4">
        <f t="shared" si="115"/>
        <v>1711.7062820000001</v>
      </c>
      <c r="J509" s="4">
        <f t="shared" si="116"/>
        <v>1.7317062820000002</v>
      </c>
      <c r="K509" s="4">
        <f t="shared" si="117"/>
        <v>1055.0353889999999</v>
      </c>
      <c r="L509">
        <f t="shared" si="118"/>
        <v>1.0550353889999999</v>
      </c>
      <c r="M509">
        <f>$B$12*F509+$B$13</f>
        <v>1.0608524471101217</v>
      </c>
      <c r="N509">
        <f t="shared" si="119"/>
        <v>5.8170581101217866E-3</v>
      </c>
      <c r="O509" s="4">
        <f t="shared" ca="1" si="120"/>
        <v>3.8479246355685133</v>
      </c>
      <c r="P509" s="4">
        <f t="shared" si="121"/>
        <v>3.912606337191094</v>
      </c>
      <c r="Q509" s="4">
        <f t="shared" ca="1" si="122"/>
        <v>6.468170162258069E-2</v>
      </c>
      <c r="R509" s="2">
        <f t="shared" ca="1" si="123"/>
        <v>1.6531615002447816E-2</v>
      </c>
      <c r="S509" s="4">
        <f t="shared" si="124"/>
        <v>4.2249999999999996</v>
      </c>
      <c r="T509">
        <v>4.3144415088048582</v>
      </c>
      <c r="U509">
        <f t="shared" si="125"/>
        <v>8.9441508804858572E-2</v>
      </c>
      <c r="V509" s="2">
        <f t="shared" si="126"/>
        <v>2.1169587882806765E-2</v>
      </c>
      <c r="W509">
        <f>(T509+5/3)/(1/12)</f>
        <v>71.773298105658313</v>
      </c>
      <c r="X509" s="2">
        <f t="shared" si="127"/>
        <v>1.5181019882012869E-2</v>
      </c>
    </row>
    <row r="510" spans="5:24" x14ac:dyDescent="0.25">
      <c r="E510">
        <v>508</v>
      </c>
      <c r="F510">
        <f t="shared" si="112"/>
        <v>70.800000000000011</v>
      </c>
      <c r="G510">
        <f t="shared" si="113"/>
        <v>343.95</v>
      </c>
      <c r="H510" s="4">
        <f t="shared" si="114"/>
        <v>4.233333</v>
      </c>
      <c r="I510" s="4">
        <f t="shared" si="115"/>
        <v>1705.8885949999999</v>
      </c>
      <c r="J510" s="4">
        <f t="shared" si="116"/>
        <v>1.725888595</v>
      </c>
      <c r="K510" s="4">
        <f t="shared" si="117"/>
        <v>1052.8731359999999</v>
      </c>
      <c r="L510">
        <f t="shared" si="118"/>
        <v>1.0528731359999999</v>
      </c>
      <c r="M510">
        <f>$B$12*F510+$B$13</f>
        <v>1.0585046082872271</v>
      </c>
      <c r="N510">
        <f t="shared" si="119"/>
        <v>5.6314722872272682E-3</v>
      </c>
      <c r="O510" s="4">
        <f t="shared" ca="1" si="120"/>
        <v>3.8400376355685131</v>
      </c>
      <c r="P510" s="4">
        <f t="shared" si="121"/>
        <v>3.9039471036829987</v>
      </c>
      <c r="Q510" s="4">
        <f t="shared" ca="1" si="122"/>
        <v>6.3909468114485612E-2</v>
      </c>
      <c r="R510" s="2">
        <f t="shared" ca="1" si="123"/>
        <v>1.6370474910941589E-2</v>
      </c>
      <c r="S510" s="4">
        <f t="shared" si="124"/>
        <v>4.233333</v>
      </c>
      <c r="T510">
        <v>4.3217684309262321</v>
      </c>
      <c r="U510">
        <f t="shared" si="125"/>
        <v>8.8435430926232073E-2</v>
      </c>
      <c r="V510" s="2">
        <f t="shared" si="126"/>
        <v>2.0890260918815521E-2</v>
      </c>
      <c r="W510">
        <f>(T510+5/3)/(1/12)</f>
        <v>71.861221171114792</v>
      </c>
      <c r="X510" s="2">
        <f t="shared" si="127"/>
        <v>1.4988999592016675E-2</v>
      </c>
    </row>
    <row r="511" spans="5:24" x14ac:dyDescent="0.25">
      <c r="E511">
        <v>509</v>
      </c>
      <c r="F511">
        <f t="shared" si="112"/>
        <v>70.900000000000006</v>
      </c>
      <c r="G511">
        <f t="shared" si="113"/>
        <v>344.04999999999995</v>
      </c>
      <c r="H511" s="4">
        <f t="shared" si="114"/>
        <v>4.2416669999999996</v>
      </c>
      <c r="I511" s="4">
        <f t="shared" si="115"/>
        <v>1700.0936859999999</v>
      </c>
      <c r="J511" s="4">
        <f t="shared" si="116"/>
        <v>1.720093686</v>
      </c>
      <c r="K511" s="4">
        <f t="shared" si="117"/>
        <v>1050.7136909999999</v>
      </c>
      <c r="L511">
        <f t="shared" si="118"/>
        <v>1.0507136909999999</v>
      </c>
      <c r="M511">
        <f>$B$12*F511+$B$13</f>
        <v>1.0561567694643328</v>
      </c>
      <c r="N511">
        <f t="shared" si="119"/>
        <v>5.4430784643328955E-3</v>
      </c>
      <c r="O511" s="4">
        <f t="shared" ca="1" si="120"/>
        <v>3.8333285014577259</v>
      </c>
      <c r="P511" s="4">
        <f t="shared" si="121"/>
        <v>3.8952878701749047</v>
      </c>
      <c r="Q511" s="4">
        <f t="shared" ca="1" si="122"/>
        <v>6.1959368717178886E-2</v>
      </c>
      <c r="R511" s="2">
        <f t="shared" ca="1" si="123"/>
        <v>1.5906236145365248E-2</v>
      </c>
      <c r="S511" s="4">
        <f t="shared" si="124"/>
        <v>4.2416669999999996</v>
      </c>
      <c r="T511">
        <v>4.3300178838393677</v>
      </c>
      <c r="U511">
        <f t="shared" si="125"/>
        <v>8.8350883839368066E-2</v>
      </c>
      <c r="V511" s="2">
        <f t="shared" si="126"/>
        <v>2.0829283354720698E-2</v>
      </c>
      <c r="W511">
        <f>(T511+5/3)/(1/12)</f>
        <v>71.960214606072427</v>
      </c>
      <c r="X511" s="2">
        <f t="shared" si="127"/>
        <v>1.4953661580711155E-2</v>
      </c>
    </row>
    <row r="512" spans="5:24" x14ac:dyDescent="0.25">
      <c r="E512">
        <v>510</v>
      </c>
      <c r="F512">
        <f t="shared" si="112"/>
        <v>71</v>
      </c>
      <c r="G512">
        <f t="shared" si="113"/>
        <v>344.15</v>
      </c>
      <c r="H512" s="4">
        <f t="shared" si="114"/>
        <v>4.25</v>
      </c>
      <c r="I512" s="4">
        <f t="shared" si="115"/>
        <v>1694.3214559999999</v>
      </c>
      <c r="J512" s="4">
        <f t="shared" si="116"/>
        <v>1.714321456</v>
      </c>
      <c r="K512" s="4">
        <f t="shared" si="117"/>
        <v>1048.557061</v>
      </c>
      <c r="L512">
        <f t="shared" si="118"/>
        <v>1.0485570609999999</v>
      </c>
      <c r="M512">
        <f>$B$12*F512+$B$13</f>
        <v>1.0538089306414387</v>
      </c>
      <c r="N512">
        <f t="shared" si="119"/>
        <v>5.2518696414387556E-3</v>
      </c>
      <c r="O512" s="4">
        <f t="shared" ca="1" si="120"/>
        <v>3.8242838629737608</v>
      </c>
      <c r="P512" s="4">
        <f t="shared" si="121"/>
        <v>3.8866286366668112</v>
      </c>
      <c r="Q512" s="4">
        <f t="shared" ca="1" si="122"/>
        <v>6.234477369305047E-2</v>
      </c>
      <c r="R512" s="2">
        <f t="shared" ca="1" si="123"/>
        <v>1.6040836293152415E-2</v>
      </c>
      <c r="S512" s="4">
        <f t="shared" si="124"/>
        <v>4.25</v>
      </c>
      <c r="T512">
        <v>4.3382770016821643</v>
      </c>
      <c r="U512">
        <f t="shared" si="125"/>
        <v>8.8277001682164347E-2</v>
      </c>
      <c r="V512" s="2">
        <f t="shared" si="126"/>
        <v>2.0771059219332786E-2</v>
      </c>
      <c r="W512">
        <f>(T512+5/3)/(1/12)</f>
        <v>72.059324020185983</v>
      </c>
      <c r="X512" s="2">
        <f t="shared" si="127"/>
        <v>1.4920056622337786E-2</v>
      </c>
    </row>
    <row r="513" spans="5:24" x14ac:dyDescent="0.25">
      <c r="E513">
        <v>511</v>
      </c>
      <c r="F513">
        <f t="shared" si="112"/>
        <v>71.099999999999994</v>
      </c>
      <c r="G513">
        <f t="shared" si="113"/>
        <v>344.25</v>
      </c>
      <c r="H513" s="4">
        <f t="shared" si="114"/>
        <v>4.2583330000000004</v>
      </c>
      <c r="I513" s="4">
        <f t="shared" si="115"/>
        <v>1688.5718039999999</v>
      </c>
      <c r="J513" s="4">
        <f t="shared" si="116"/>
        <v>1.708571804</v>
      </c>
      <c r="K513" s="4">
        <f t="shared" si="117"/>
        <v>1046.4032520000001</v>
      </c>
      <c r="L513">
        <f t="shared" si="118"/>
        <v>1.0464032520000002</v>
      </c>
      <c r="M513">
        <f>$B$12*F513+$B$13</f>
        <v>1.0514610918185445</v>
      </c>
      <c r="N513">
        <f t="shared" si="119"/>
        <v>5.0578398185443518E-3</v>
      </c>
      <c r="O513" s="4">
        <f t="shared" ca="1" si="120"/>
        <v>3.8164386355685131</v>
      </c>
      <c r="P513" s="4">
        <f t="shared" si="121"/>
        <v>3.8779694031587177</v>
      </c>
      <c r="Q513" s="4">
        <f t="shared" ca="1" si="122"/>
        <v>6.1530767590204594E-2</v>
      </c>
      <c r="R513" s="2">
        <f t="shared" ca="1" si="123"/>
        <v>1.5866749113617559E-2</v>
      </c>
      <c r="S513" s="4">
        <f t="shared" si="124"/>
        <v>4.2583330000000004</v>
      </c>
      <c r="T513">
        <v>4.3460930907956961</v>
      </c>
      <c r="U513">
        <f t="shared" si="125"/>
        <v>8.7760090795695689E-2</v>
      </c>
      <c r="V513" s="2">
        <f t="shared" si="126"/>
        <v>2.0609024892063555E-2</v>
      </c>
      <c r="W513">
        <f>(T513+5/3)/(1/12)</f>
        <v>72.15311708954836</v>
      </c>
      <c r="X513" s="2">
        <f t="shared" si="127"/>
        <v>1.4811773411369416E-2</v>
      </c>
    </row>
    <row r="514" spans="5:24" x14ac:dyDescent="0.25">
      <c r="E514">
        <v>512</v>
      </c>
      <c r="F514">
        <f t="shared" si="112"/>
        <v>71.2</v>
      </c>
      <c r="G514">
        <f t="shared" si="113"/>
        <v>344.34999999999997</v>
      </c>
      <c r="H514" s="4">
        <f t="shared" si="114"/>
        <v>4.266667</v>
      </c>
      <c r="I514" s="4">
        <f t="shared" si="115"/>
        <v>1682.844632</v>
      </c>
      <c r="J514" s="4">
        <f t="shared" si="116"/>
        <v>1.7028446320000001</v>
      </c>
      <c r="K514" s="4">
        <f t="shared" si="117"/>
        <v>1044.2522710000001</v>
      </c>
      <c r="L514">
        <f t="shared" si="118"/>
        <v>1.0442522710000002</v>
      </c>
      <c r="M514">
        <f>$B$12*F514+$B$13</f>
        <v>1.0491132529956499</v>
      </c>
      <c r="N514">
        <f t="shared" si="119"/>
        <v>4.8609819956497713E-3</v>
      </c>
      <c r="O514" s="4">
        <f t="shared" ca="1" si="120"/>
        <v>3.8081964985422743</v>
      </c>
      <c r="P514" s="4">
        <f t="shared" si="121"/>
        <v>3.8693101696506229</v>
      </c>
      <c r="Q514" s="4">
        <f t="shared" ca="1" si="122"/>
        <v>6.1113671108348644E-2</v>
      </c>
      <c r="R514" s="2">
        <f t="shared" ca="1" si="123"/>
        <v>1.5794461655646196E-2</v>
      </c>
      <c r="S514" s="4">
        <f t="shared" si="124"/>
        <v>4.266667</v>
      </c>
      <c r="T514">
        <v>4.3539205175592155</v>
      </c>
      <c r="U514">
        <f t="shared" si="125"/>
        <v>8.725351755921551E-2</v>
      </c>
      <c r="V514" s="2">
        <f t="shared" si="126"/>
        <v>2.0450041580281637E-2</v>
      </c>
      <c r="W514">
        <f>(T514+5/3)/(1/12)</f>
        <v>72.247046210710593</v>
      </c>
      <c r="X514" s="2">
        <f t="shared" si="127"/>
        <v>1.4705705206609413E-2</v>
      </c>
    </row>
    <row r="515" spans="5:24" x14ac:dyDescent="0.25">
      <c r="E515">
        <v>513</v>
      </c>
      <c r="F515">
        <f t="shared" ref="F515:F578" si="128">E515*0.1+20</f>
        <v>71.300000000000011</v>
      </c>
      <c r="G515">
        <f t="shared" ref="G515:G578" si="129">F515+273.15</f>
        <v>344.45</v>
      </c>
      <c r="H515" s="4">
        <f t="shared" ref="H515:H578" si="130">ROUND(1/12*F515-5/3,6)</f>
        <v>4.2750000000000004</v>
      </c>
      <c r="I515" s="4">
        <f t="shared" ref="I515:I578" si="131">ROUND(10000*EXP(($B$3)+($B$4/G515)+($B$5/(G515^2))+($B$6/(G515^3))),6)</f>
        <v>1677.1398409999999</v>
      </c>
      <c r="J515" s="4">
        <f t="shared" ref="J515:J578" si="132">$B$9*(2*$B$8+I515)</f>
        <v>1.697139841</v>
      </c>
      <c r="K515" s="4">
        <f t="shared" ref="K515:K578" si="133">ROUND(1/(1/(I515+2*$B$8)+1/($B$7)),6)</f>
        <v>1042.104126</v>
      </c>
      <c r="L515">
        <f t="shared" ref="L515:L578" si="134">$B$9*K515</f>
        <v>1.0421041259999999</v>
      </c>
      <c r="M515">
        <f>$B$12*F515+$B$13</f>
        <v>1.0467654141727554</v>
      </c>
      <c r="N515">
        <f t="shared" ref="N515:N578" si="135">ABS(L515-M515)</f>
        <v>4.6612881727554623E-3</v>
      </c>
      <c r="O515" s="4">
        <f t="shared" ref="O515:O578" ca="1" si="136">ROUND(L515*$B$28,6)+RANDBETWEEN(-1,1)*$B$23+RANDBETWEEN(-1,1)*$B$24</f>
        <v>3.8015391370262392</v>
      </c>
      <c r="P515" s="4">
        <f t="shared" ref="P515:P578" si="137">M515*$B$22</f>
        <v>3.8606509361425276</v>
      </c>
      <c r="Q515" s="4">
        <f t="shared" ref="Q515:Q578" ca="1" si="138">ABS(O515-P515)</f>
        <v>5.9111799116288388E-2</v>
      </c>
      <c r="R515" s="2">
        <f t="shared" ref="R515:R578" ca="1" si="139">ABS(P515-O515)/P515</f>
        <v>1.5311355544449071E-2</v>
      </c>
      <c r="S515" s="4">
        <f t="shared" ref="S515:S578" si="140">ROUND($B$18*M515+$B$19,6)</f>
        <v>4.2750000000000004</v>
      </c>
      <c r="T515">
        <v>4.3617591697134053</v>
      </c>
      <c r="U515">
        <f t="shared" ref="U515:U578" si="141">ABS(S515-T515)</f>
        <v>8.6759169713404916E-2</v>
      </c>
      <c r="V515" s="2">
        <f t="shared" ref="V515:V578" si="142">IF(S515=0, ABS(S515-T515),ABS(S515-T515)/S515)</f>
        <v>2.0294542623018691E-2</v>
      </c>
      <c r="W515">
        <f>(T515+5/3)/(1/12)</f>
        <v>72.341110036560877</v>
      </c>
      <c r="X515" s="2">
        <f t="shared" ref="X515:X578" si="143">ABS(F515-W515)/F515</f>
        <v>1.4601823794682552E-2</v>
      </c>
    </row>
    <row r="516" spans="5:24" x14ac:dyDescent="0.25">
      <c r="E516">
        <v>514</v>
      </c>
      <c r="F516">
        <f t="shared" si="128"/>
        <v>71.400000000000006</v>
      </c>
      <c r="G516">
        <f t="shared" si="129"/>
        <v>344.54999999999995</v>
      </c>
      <c r="H516" s="4">
        <f t="shared" si="130"/>
        <v>4.2833329999999998</v>
      </c>
      <c r="I516" s="4">
        <f t="shared" si="131"/>
        <v>1671.4573330000001</v>
      </c>
      <c r="J516" s="4">
        <f t="shared" si="132"/>
        <v>1.691457333</v>
      </c>
      <c r="K516" s="4">
        <f t="shared" si="133"/>
        <v>1039.9588229999999</v>
      </c>
      <c r="L516">
        <f t="shared" si="134"/>
        <v>1.0399588229999999</v>
      </c>
      <c r="M516">
        <f>$B$12*F516+$B$13</f>
        <v>1.0444175753498612</v>
      </c>
      <c r="N516">
        <f t="shared" si="135"/>
        <v>4.4587523498613724E-3</v>
      </c>
      <c r="O516" s="4">
        <f t="shared" ca="1" si="136"/>
        <v>3.793307227405248</v>
      </c>
      <c r="P516" s="4">
        <f t="shared" si="137"/>
        <v>3.8519917026344341</v>
      </c>
      <c r="Q516" s="4">
        <f t="shared" ca="1" si="138"/>
        <v>5.8684475229186184E-2</v>
      </c>
      <c r="R516" s="2">
        <f t="shared" ca="1" si="139"/>
        <v>1.5234839469942524E-2</v>
      </c>
      <c r="S516" s="4">
        <f t="shared" si="140"/>
        <v>4.2833329999999998</v>
      </c>
      <c r="T516">
        <v>4.3696089348789062</v>
      </c>
      <c r="U516">
        <f t="shared" si="141"/>
        <v>8.6275934878906391E-2</v>
      </c>
      <c r="V516" s="2">
        <f t="shared" si="142"/>
        <v>2.0142243173460105E-2</v>
      </c>
      <c r="W516">
        <f>(T516+5/3)/(1/12)</f>
        <v>72.435307218546882</v>
      </c>
      <c r="X516" s="2">
        <f t="shared" si="143"/>
        <v>1.4500101100096302E-2</v>
      </c>
    </row>
    <row r="517" spans="5:24" x14ac:dyDescent="0.25">
      <c r="E517">
        <v>515</v>
      </c>
      <c r="F517">
        <f t="shared" si="128"/>
        <v>71.5</v>
      </c>
      <c r="G517">
        <f t="shared" si="129"/>
        <v>344.65</v>
      </c>
      <c r="H517" s="4">
        <f t="shared" si="130"/>
        <v>4.2916670000000003</v>
      </c>
      <c r="I517" s="4">
        <f t="shared" si="131"/>
        <v>1665.7970089999999</v>
      </c>
      <c r="J517" s="4">
        <f t="shared" si="132"/>
        <v>1.6857970089999998</v>
      </c>
      <c r="K517" s="4">
        <f t="shared" si="133"/>
        <v>1037.816368</v>
      </c>
      <c r="L517">
        <f t="shared" si="134"/>
        <v>1.0378163680000001</v>
      </c>
      <c r="M517">
        <f>$B$12*F517+$B$13</f>
        <v>1.0420697365269669</v>
      </c>
      <c r="N517">
        <f t="shared" si="135"/>
        <v>4.2533685269667831E-3</v>
      </c>
      <c r="O517" s="4">
        <f t="shared" ca="1" si="136"/>
        <v>3.7851068629737608</v>
      </c>
      <c r="P517" s="4">
        <f t="shared" si="137"/>
        <v>3.8433324691263402</v>
      </c>
      <c r="Q517" s="4">
        <f t="shared" ca="1" si="138"/>
        <v>5.8225606152579434E-2</v>
      </c>
      <c r="R517" s="2">
        <f t="shared" ca="1" si="139"/>
        <v>1.514977083567667E-2</v>
      </c>
      <c r="S517" s="4">
        <f t="shared" si="140"/>
        <v>4.2916670000000003</v>
      </c>
      <c r="T517">
        <v>4.3779185112428358</v>
      </c>
      <c r="U517">
        <f t="shared" si="141"/>
        <v>8.6251511242835477E-2</v>
      </c>
      <c r="V517" s="2">
        <f t="shared" si="142"/>
        <v>2.0097437951927647E-2</v>
      </c>
      <c r="W517">
        <f>(T517+5/3)/(1/12)</f>
        <v>72.535022134914044</v>
      </c>
      <c r="X517" s="2">
        <f t="shared" si="143"/>
        <v>1.4475834054741874E-2</v>
      </c>
    </row>
    <row r="518" spans="5:24" x14ac:dyDescent="0.25">
      <c r="E518">
        <v>516</v>
      </c>
      <c r="F518">
        <f t="shared" si="128"/>
        <v>71.599999999999994</v>
      </c>
      <c r="G518">
        <f t="shared" si="129"/>
        <v>344.75</v>
      </c>
      <c r="H518" s="4">
        <f t="shared" si="130"/>
        <v>4.3</v>
      </c>
      <c r="I518" s="4">
        <f t="shared" si="131"/>
        <v>1660.158774</v>
      </c>
      <c r="J518" s="4">
        <f t="shared" si="132"/>
        <v>1.6801587740000001</v>
      </c>
      <c r="K518" s="4">
        <f t="shared" si="133"/>
        <v>1035.67677</v>
      </c>
      <c r="L518">
        <f t="shared" si="134"/>
        <v>1.03567677</v>
      </c>
      <c r="M518">
        <f>$B$12*F518+$B$13</f>
        <v>1.0397218977040728</v>
      </c>
      <c r="N518">
        <f t="shared" si="135"/>
        <v>4.0451277040727263E-3</v>
      </c>
      <c r="O518" s="4">
        <f t="shared" ca="1" si="136"/>
        <v>3.7777097725947524</v>
      </c>
      <c r="P518" s="4">
        <f t="shared" si="137"/>
        <v>3.8346732356182467</v>
      </c>
      <c r="Q518" s="4">
        <f t="shared" ca="1" si="138"/>
        <v>5.696346302349431E-2</v>
      </c>
      <c r="R518" s="2">
        <f t="shared" ca="1" si="139"/>
        <v>1.4854841474989552E-2</v>
      </c>
      <c r="S518" s="4">
        <f t="shared" si="140"/>
        <v>4.3</v>
      </c>
      <c r="T518">
        <v>4.3857892268427765</v>
      </c>
      <c r="U518">
        <f t="shared" si="141"/>
        <v>8.5789226842776678E-2</v>
      </c>
      <c r="V518" s="2">
        <f t="shared" si="142"/>
        <v>1.9950982986692251E-2</v>
      </c>
      <c r="W518">
        <f>(T518+5/3)/(1/12)</f>
        <v>72.629470722113325</v>
      </c>
      <c r="X518" s="2">
        <f t="shared" si="143"/>
        <v>1.4378082711080041E-2</v>
      </c>
    </row>
    <row r="519" spans="5:24" x14ac:dyDescent="0.25">
      <c r="E519">
        <v>517</v>
      </c>
      <c r="F519">
        <f t="shared" si="128"/>
        <v>71.7</v>
      </c>
      <c r="G519">
        <f t="shared" si="129"/>
        <v>344.84999999999997</v>
      </c>
      <c r="H519" s="4">
        <f t="shared" si="130"/>
        <v>4.3083330000000002</v>
      </c>
      <c r="I519" s="4">
        <f t="shared" si="131"/>
        <v>1654.5425290000001</v>
      </c>
      <c r="J519" s="4">
        <f t="shared" si="132"/>
        <v>1.674542529</v>
      </c>
      <c r="K519" s="4">
        <f t="shared" si="133"/>
        <v>1033.540033</v>
      </c>
      <c r="L519">
        <f t="shared" si="134"/>
        <v>1.033540033</v>
      </c>
      <c r="M519">
        <f>$B$12*F519+$B$13</f>
        <v>1.0373740588811782</v>
      </c>
      <c r="N519">
        <f t="shared" si="135"/>
        <v>3.8340258811782046E-3</v>
      </c>
      <c r="O519" s="4">
        <f t="shared" ca="1" si="136"/>
        <v>3.770686501457726</v>
      </c>
      <c r="P519" s="4">
        <f t="shared" si="137"/>
        <v>3.8260140021101514</v>
      </c>
      <c r="Q519" s="4">
        <f t="shared" ca="1" si="138"/>
        <v>5.5327500652425421E-2</v>
      </c>
      <c r="R519" s="2">
        <f t="shared" ca="1" si="139"/>
        <v>1.4460872495999959E-2</v>
      </c>
      <c r="S519" s="4">
        <f t="shared" si="140"/>
        <v>4.3083330000000002</v>
      </c>
      <c r="T519">
        <v>4.3932237916366752</v>
      </c>
      <c r="U519">
        <f t="shared" si="141"/>
        <v>8.4890791636675011E-2</v>
      </c>
      <c r="V519" s="2">
        <f t="shared" si="142"/>
        <v>1.9703860318289003E-2</v>
      </c>
      <c r="W519">
        <f>(T519+5/3)/(1/12)</f>
        <v>72.718685499640117</v>
      </c>
      <c r="X519" s="2">
        <f t="shared" si="143"/>
        <v>1.4207608084241475E-2</v>
      </c>
    </row>
    <row r="520" spans="5:24" x14ac:dyDescent="0.25">
      <c r="E520">
        <v>518</v>
      </c>
      <c r="F520">
        <f t="shared" si="128"/>
        <v>71.800000000000011</v>
      </c>
      <c r="G520">
        <f t="shared" si="129"/>
        <v>344.95</v>
      </c>
      <c r="H520" s="4">
        <f t="shared" si="130"/>
        <v>4.3166669999999998</v>
      </c>
      <c r="I520" s="4">
        <f t="shared" si="131"/>
        <v>1648.9481800000001</v>
      </c>
      <c r="J520" s="4">
        <f t="shared" si="132"/>
        <v>1.6689481800000001</v>
      </c>
      <c r="K520" s="4">
        <f t="shared" si="133"/>
        <v>1031.4061650000001</v>
      </c>
      <c r="L520">
        <f t="shared" si="134"/>
        <v>1.0314061650000002</v>
      </c>
      <c r="M520">
        <f>$B$12*F520+$B$13</f>
        <v>1.0350262200582836</v>
      </c>
      <c r="N520">
        <f t="shared" si="135"/>
        <v>3.6200550582834445E-3</v>
      </c>
      <c r="O520" s="4">
        <f t="shared" ca="1" si="136"/>
        <v>3.7625063644314869</v>
      </c>
      <c r="P520" s="4">
        <f t="shared" si="137"/>
        <v>3.8173547686020566</v>
      </c>
      <c r="Q520" s="4">
        <f t="shared" ca="1" si="138"/>
        <v>5.4848404170569687E-2</v>
      </c>
      <c r="R520" s="2">
        <f t="shared" ca="1" si="139"/>
        <v>1.4368170499032653E-2</v>
      </c>
      <c r="S520" s="4">
        <f t="shared" si="140"/>
        <v>4.3166669999999998</v>
      </c>
      <c r="T520">
        <v>4.4011168931974085</v>
      </c>
      <c r="U520">
        <f t="shared" si="141"/>
        <v>8.4449893197408699E-2</v>
      </c>
      <c r="V520" s="2">
        <f t="shared" si="142"/>
        <v>1.9563680311084616E-2</v>
      </c>
      <c r="W520">
        <f>(T520+5/3)/(1/12)</f>
        <v>72.813402718368906</v>
      </c>
      <c r="X520" s="2">
        <f t="shared" si="143"/>
        <v>1.4114243988424709E-2</v>
      </c>
    </row>
    <row r="521" spans="5:24" x14ac:dyDescent="0.25">
      <c r="E521">
        <v>519</v>
      </c>
      <c r="F521">
        <f t="shared" si="128"/>
        <v>71.900000000000006</v>
      </c>
      <c r="G521">
        <f t="shared" si="129"/>
        <v>345.04999999999995</v>
      </c>
      <c r="H521" s="4">
        <f t="shared" si="130"/>
        <v>4.3250000000000002</v>
      </c>
      <c r="I521" s="4">
        <f t="shared" si="131"/>
        <v>1643.3756289999999</v>
      </c>
      <c r="J521" s="4">
        <f t="shared" si="132"/>
        <v>1.6633756289999999</v>
      </c>
      <c r="K521" s="4">
        <f t="shared" si="133"/>
        <v>1029.275171</v>
      </c>
      <c r="L521">
        <f t="shared" si="134"/>
        <v>1.0292751710000001</v>
      </c>
      <c r="M521">
        <f>$B$12*F521+$B$13</f>
        <v>1.0326783812353895</v>
      </c>
      <c r="N521">
        <f t="shared" si="135"/>
        <v>3.4032102353893645E-3</v>
      </c>
      <c r="O521" s="4">
        <f t="shared" ca="1" si="136"/>
        <v>3.7551295014577257</v>
      </c>
      <c r="P521" s="4">
        <f t="shared" si="137"/>
        <v>3.8086955350939631</v>
      </c>
      <c r="Q521" s="4">
        <f t="shared" ca="1" si="138"/>
        <v>5.3566033636237353E-2</v>
      </c>
      <c r="R521" s="2">
        <f t="shared" ca="1" si="139"/>
        <v>1.4064141683857605E-2</v>
      </c>
      <c r="S521" s="4">
        <f t="shared" si="140"/>
        <v>4.3250000000000002</v>
      </c>
      <c r="T521">
        <v>4.4090205515720555</v>
      </c>
      <c r="U521">
        <f t="shared" si="141"/>
        <v>8.4020551572055346E-2</v>
      </c>
      <c r="V521" s="2">
        <f t="shared" si="142"/>
        <v>1.9426717126486786E-2</v>
      </c>
      <c r="W521">
        <f>(T521+5/3)/(1/12)</f>
        <v>72.90824661886468</v>
      </c>
      <c r="X521" s="2">
        <f t="shared" si="143"/>
        <v>1.4022901514112306E-2</v>
      </c>
    </row>
    <row r="522" spans="5:24" x14ac:dyDescent="0.25">
      <c r="E522">
        <v>520</v>
      </c>
      <c r="F522">
        <f t="shared" si="128"/>
        <v>72</v>
      </c>
      <c r="G522">
        <f t="shared" si="129"/>
        <v>345.15</v>
      </c>
      <c r="H522" s="4">
        <f t="shared" si="130"/>
        <v>4.3333329999999997</v>
      </c>
      <c r="I522" s="4">
        <f t="shared" si="131"/>
        <v>1637.824781</v>
      </c>
      <c r="J522" s="4">
        <f t="shared" si="132"/>
        <v>1.657824781</v>
      </c>
      <c r="K522" s="4">
        <f t="shared" si="133"/>
        <v>1027.1470589999999</v>
      </c>
      <c r="L522">
        <f t="shared" si="134"/>
        <v>1.027147059</v>
      </c>
      <c r="M522">
        <f>$B$12*F522+$B$13</f>
        <v>1.0303305424124951</v>
      </c>
      <c r="N522">
        <f t="shared" si="135"/>
        <v>3.1834834124950806E-3</v>
      </c>
      <c r="O522" s="4">
        <f t="shared" ca="1" si="136"/>
        <v>3.7469821370262393</v>
      </c>
      <c r="P522" s="4">
        <f t="shared" si="137"/>
        <v>3.8000363015858687</v>
      </c>
      <c r="Q522" s="4">
        <f t="shared" ca="1" si="138"/>
        <v>5.3054164559629413E-2</v>
      </c>
      <c r="R522" s="2">
        <f t="shared" ca="1" si="139"/>
        <v>1.3961488877747912E-2</v>
      </c>
      <c r="S522" s="4">
        <f t="shared" si="140"/>
        <v>4.3333329999999997</v>
      </c>
      <c r="T522">
        <v>4.417378777763532</v>
      </c>
      <c r="U522">
        <f t="shared" si="141"/>
        <v>8.4045777763532392E-2</v>
      </c>
      <c r="V522" s="2">
        <f t="shared" si="142"/>
        <v>1.9395180975829089E-2</v>
      </c>
      <c r="W522">
        <f>(T522+5/3)/(1/12)</f>
        <v>73.008545333162388</v>
      </c>
      <c r="X522" s="2">
        <f t="shared" si="143"/>
        <v>1.4007574071699835E-2</v>
      </c>
    </row>
    <row r="523" spans="5:24" x14ac:dyDescent="0.25">
      <c r="E523">
        <v>521</v>
      </c>
      <c r="F523">
        <f t="shared" si="128"/>
        <v>72.099999999999994</v>
      </c>
      <c r="G523">
        <f t="shared" si="129"/>
        <v>345.25</v>
      </c>
      <c r="H523" s="4">
        <f t="shared" si="130"/>
        <v>4.3416670000000002</v>
      </c>
      <c r="I523" s="4">
        <f t="shared" si="131"/>
        <v>1632.295543</v>
      </c>
      <c r="J523" s="4">
        <f t="shared" si="132"/>
        <v>1.6522955429999999</v>
      </c>
      <c r="K523" s="4">
        <f t="shared" si="133"/>
        <v>1025.021835</v>
      </c>
      <c r="L523">
        <f t="shared" si="134"/>
        <v>1.025021835</v>
      </c>
      <c r="M523">
        <f>$B$12*F523+$B$13</f>
        <v>1.027982703589601</v>
      </c>
      <c r="N523">
        <f t="shared" si="135"/>
        <v>2.9608685896009845E-3</v>
      </c>
      <c r="O523" s="4">
        <f t="shared" ca="1" si="136"/>
        <v>3.7384486355685134</v>
      </c>
      <c r="P523" s="4">
        <f t="shared" si="137"/>
        <v>3.7913770680777756</v>
      </c>
      <c r="Q523" s="4">
        <f t="shared" ca="1" si="138"/>
        <v>5.2928432509262269E-2</v>
      </c>
      <c r="R523" s="2">
        <f t="shared" ca="1" si="139"/>
        <v>1.3960213283691387E-2</v>
      </c>
      <c r="S523" s="4">
        <f t="shared" si="140"/>
        <v>4.3416670000000002</v>
      </c>
      <c r="T523">
        <v>4.4248590963307617</v>
      </c>
      <c r="U523">
        <f t="shared" si="141"/>
        <v>8.3192096330761522E-2</v>
      </c>
      <c r="V523" s="2">
        <f t="shared" si="142"/>
        <v>1.9161325898730031E-2</v>
      </c>
      <c r="W523">
        <f>(T523+5/3)/(1/12)</f>
        <v>73.098309155969147</v>
      </c>
      <c r="X523" s="2">
        <f t="shared" si="143"/>
        <v>1.3846174146590196E-2</v>
      </c>
    </row>
    <row r="524" spans="5:24" x14ac:dyDescent="0.25">
      <c r="E524">
        <v>522</v>
      </c>
      <c r="F524">
        <f t="shared" si="128"/>
        <v>72.2</v>
      </c>
      <c r="G524">
        <f t="shared" si="129"/>
        <v>345.34999999999997</v>
      </c>
      <c r="H524" s="4">
        <f t="shared" si="130"/>
        <v>4.3499999999999996</v>
      </c>
      <c r="I524" s="4">
        <f t="shared" si="131"/>
        <v>1626.787818</v>
      </c>
      <c r="J524" s="4">
        <f t="shared" si="132"/>
        <v>1.646787818</v>
      </c>
      <c r="K524" s="4">
        <f t="shared" si="133"/>
        <v>1022.899505</v>
      </c>
      <c r="L524">
        <f t="shared" si="134"/>
        <v>1.022899505</v>
      </c>
      <c r="M524">
        <f>$B$12*F524+$B$13</f>
        <v>1.0256348647667064</v>
      </c>
      <c r="N524">
        <f t="shared" si="135"/>
        <v>2.7353597667063578E-3</v>
      </c>
      <c r="O524" s="4">
        <f t="shared" ca="1" si="136"/>
        <v>3.7307076355685131</v>
      </c>
      <c r="P524" s="4">
        <f t="shared" si="137"/>
        <v>3.7827178345696804</v>
      </c>
      <c r="Q524" s="4">
        <f t="shared" ca="1" si="138"/>
        <v>5.2010199001167212E-2</v>
      </c>
      <c r="R524" s="2">
        <f t="shared" ca="1" si="139"/>
        <v>1.3749426014770107E-2</v>
      </c>
      <c r="S524" s="4">
        <f t="shared" si="140"/>
        <v>4.3499999999999996</v>
      </c>
      <c r="T524">
        <v>4.4327937628516647</v>
      </c>
      <c r="U524">
        <f t="shared" si="141"/>
        <v>8.2793762851665065E-2</v>
      </c>
      <c r="V524" s="2">
        <f t="shared" si="142"/>
        <v>1.9033048931417256E-2</v>
      </c>
      <c r="W524">
        <f>(T524+5/3)/(1/12)</f>
        <v>73.193525154219984</v>
      </c>
      <c r="X524" s="2">
        <f t="shared" si="143"/>
        <v>1.3760736208032974E-2</v>
      </c>
    </row>
    <row r="525" spans="5:24" x14ac:dyDescent="0.25">
      <c r="E525">
        <v>523</v>
      </c>
      <c r="F525">
        <f t="shared" si="128"/>
        <v>72.300000000000011</v>
      </c>
      <c r="G525">
        <f t="shared" si="129"/>
        <v>345.45</v>
      </c>
      <c r="H525" s="4">
        <f t="shared" si="130"/>
        <v>4.358333</v>
      </c>
      <c r="I525" s="4">
        <f t="shared" si="131"/>
        <v>1621.301514</v>
      </c>
      <c r="J525" s="4">
        <f t="shared" si="132"/>
        <v>1.641301514</v>
      </c>
      <c r="K525" s="4">
        <f t="shared" si="133"/>
        <v>1020.780076</v>
      </c>
      <c r="L525">
        <f t="shared" si="134"/>
        <v>1.0207800760000001</v>
      </c>
      <c r="M525">
        <f>$B$12*F525+$B$13</f>
        <v>1.0232870259438118</v>
      </c>
      <c r="N525">
        <f t="shared" si="135"/>
        <v>2.5069499438117315E-3</v>
      </c>
      <c r="O525" s="4">
        <f t="shared" ca="1" si="136"/>
        <v>3.7233512274052476</v>
      </c>
      <c r="P525" s="4">
        <f t="shared" si="137"/>
        <v>3.7740586010615855</v>
      </c>
      <c r="Q525" s="4">
        <f t="shared" ca="1" si="138"/>
        <v>5.0707373656337928E-2</v>
      </c>
      <c r="R525" s="2">
        <f t="shared" ca="1" si="139"/>
        <v>1.3435767436699237E-2</v>
      </c>
      <c r="S525" s="4">
        <f t="shared" si="140"/>
        <v>4.358333</v>
      </c>
      <c r="T525">
        <v>4.4402972218613002</v>
      </c>
      <c r="U525">
        <f t="shared" si="141"/>
        <v>8.1964221861300146E-2</v>
      </c>
      <c r="V525" s="2">
        <f t="shared" si="142"/>
        <v>1.8806323853936848E-2</v>
      </c>
      <c r="W525">
        <f>(T525+5/3)/(1/12)</f>
        <v>73.283566662335616</v>
      </c>
      <c r="X525" s="2">
        <f t="shared" si="143"/>
        <v>1.3603964900907393E-2</v>
      </c>
    </row>
    <row r="526" spans="5:24" x14ac:dyDescent="0.25">
      <c r="E526">
        <v>524</v>
      </c>
      <c r="F526">
        <f t="shared" si="128"/>
        <v>72.400000000000006</v>
      </c>
      <c r="G526">
        <f t="shared" si="129"/>
        <v>345.54999999999995</v>
      </c>
      <c r="H526" s="4">
        <f t="shared" si="130"/>
        <v>4.3666669999999996</v>
      </c>
      <c r="I526" s="4">
        <f t="shared" si="131"/>
        <v>1615.836536</v>
      </c>
      <c r="J526" s="4">
        <f t="shared" si="132"/>
        <v>1.635836536</v>
      </c>
      <c r="K526" s="4">
        <f t="shared" si="133"/>
        <v>1018.663552</v>
      </c>
      <c r="L526">
        <f t="shared" si="134"/>
        <v>1.018663552</v>
      </c>
      <c r="M526">
        <f>$B$12*F526+$B$13</f>
        <v>1.0209391871209177</v>
      </c>
      <c r="N526">
        <f t="shared" si="135"/>
        <v>2.2756351209176628E-3</v>
      </c>
      <c r="O526" s="4">
        <f t="shared" ca="1" si="136"/>
        <v>3.716038137026239</v>
      </c>
      <c r="P526" s="4">
        <f t="shared" si="137"/>
        <v>3.765399367553492</v>
      </c>
      <c r="Q526" s="4">
        <f t="shared" ca="1" si="138"/>
        <v>4.9361230527253053E-2</v>
      </c>
      <c r="R526" s="2">
        <f t="shared" ca="1" si="139"/>
        <v>1.3109162059302284E-2</v>
      </c>
      <c r="S526" s="4">
        <f t="shared" si="140"/>
        <v>4.3666669999999996</v>
      </c>
      <c r="T526">
        <v>4.4482529418777315</v>
      </c>
      <c r="U526">
        <f t="shared" si="141"/>
        <v>8.1585941877731827E-2</v>
      </c>
      <c r="V526" s="2">
        <f t="shared" si="142"/>
        <v>1.8683802057205608E-2</v>
      </c>
      <c r="W526">
        <f>(T526+5/3)/(1/12)</f>
        <v>73.379035302532785</v>
      </c>
      <c r="X526" s="2">
        <f t="shared" si="143"/>
        <v>1.3522587051557719E-2</v>
      </c>
    </row>
    <row r="527" spans="5:24" x14ac:dyDescent="0.25">
      <c r="E527">
        <v>525</v>
      </c>
      <c r="F527">
        <f t="shared" si="128"/>
        <v>72.5</v>
      </c>
      <c r="G527">
        <f t="shared" si="129"/>
        <v>345.65</v>
      </c>
      <c r="H527" s="4">
        <f t="shared" si="130"/>
        <v>4.375</v>
      </c>
      <c r="I527" s="4">
        <f t="shared" si="131"/>
        <v>1610.3927920000001</v>
      </c>
      <c r="J527" s="4">
        <f t="shared" si="132"/>
        <v>1.6303927920000001</v>
      </c>
      <c r="K527" s="4">
        <f t="shared" si="133"/>
        <v>1016.549941</v>
      </c>
      <c r="L527">
        <f t="shared" si="134"/>
        <v>1.0165499410000001</v>
      </c>
      <c r="M527">
        <f>$B$12*F527+$B$13</f>
        <v>1.0185913482980236</v>
      </c>
      <c r="N527">
        <f t="shared" si="135"/>
        <v>2.0414072980234899E-3</v>
      </c>
      <c r="O527" s="4">
        <f t="shared" ca="1" si="136"/>
        <v>3.7079212274052478</v>
      </c>
      <c r="P527" s="4">
        <f t="shared" si="137"/>
        <v>3.7567401340453985</v>
      </c>
      <c r="Q527" s="4">
        <f t="shared" ca="1" si="138"/>
        <v>4.8818906640150761E-2</v>
      </c>
      <c r="R527" s="2">
        <f t="shared" ca="1" si="139"/>
        <v>1.2995018260041515E-2</v>
      </c>
      <c r="S527" s="4">
        <f t="shared" si="140"/>
        <v>4.375</v>
      </c>
      <c r="T527">
        <v>4.4557790931799062</v>
      </c>
      <c r="U527">
        <f t="shared" si="141"/>
        <v>8.077909317990617E-2</v>
      </c>
      <c r="V527" s="2">
        <f t="shared" si="142"/>
        <v>1.8463792726835696E-2</v>
      </c>
      <c r="W527">
        <f>(T527+5/3)/(1/12)</f>
        <v>73.469349118158888</v>
      </c>
      <c r="X527" s="2">
        <f t="shared" si="143"/>
        <v>1.3370332664260527E-2</v>
      </c>
    </row>
    <row r="528" spans="5:24" x14ac:dyDescent="0.25">
      <c r="E528">
        <v>526</v>
      </c>
      <c r="F528">
        <f t="shared" si="128"/>
        <v>72.599999999999994</v>
      </c>
      <c r="G528">
        <f t="shared" si="129"/>
        <v>345.75</v>
      </c>
      <c r="H528" s="4">
        <f t="shared" si="130"/>
        <v>4.3833330000000004</v>
      </c>
      <c r="I528" s="4">
        <f t="shared" si="131"/>
        <v>1604.9701889999999</v>
      </c>
      <c r="J528" s="4">
        <f t="shared" si="132"/>
        <v>1.6249701889999999</v>
      </c>
      <c r="K528" s="4">
        <f t="shared" si="133"/>
        <v>1014.439249</v>
      </c>
      <c r="L528">
        <f t="shared" si="134"/>
        <v>1.014439249</v>
      </c>
      <c r="M528">
        <f>$B$12*F528+$B$13</f>
        <v>1.0162435094751292</v>
      </c>
      <c r="N528">
        <f t="shared" si="135"/>
        <v>1.8042604751291602E-3</v>
      </c>
      <c r="O528" s="4">
        <f t="shared" ca="1" si="136"/>
        <v>3.7010145014577258</v>
      </c>
      <c r="P528" s="4">
        <f t="shared" si="137"/>
        <v>3.7480809005373041</v>
      </c>
      <c r="Q528" s="4">
        <f t="shared" ca="1" si="138"/>
        <v>4.7066399079578325E-2</v>
      </c>
      <c r="R528" s="2">
        <f t="shared" ca="1" si="139"/>
        <v>1.2557466161637852E-2</v>
      </c>
      <c r="S528" s="4">
        <f t="shared" si="140"/>
        <v>4.3833330000000004</v>
      </c>
      <c r="T528">
        <v>4.4637554252142779</v>
      </c>
      <c r="U528">
        <f t="shared" si="141"/>
        <v>8.042242521427756E-2</v>
      </c>
      <c r="V528" s="2">
        <f t="shared" si="142"/>
        <v>1.8347322736893948E-2</v>
      </c>
      <c r="W528">
        <f>(T528+5/3)/(1/12)</f>
        <v>73.565065102571339</v>
      </c>
      <c r="X528" s="2">
        <f t="shared" si="143"/>
        <v>1.329290774891659E-2</v>
      </c>
    </row>
    <row r="529" spans="5:24" x14ac:dyDescent="0.25">
      <c r="E529">
        <v>527</v>
      </c>
      <c r="F529">
        <f t="shared" si="128"/>
        <v>72.7</v>
      </c>
      <c r="G529">
        <f t="shared" si="129"/>
        <v>345.84999999999997</v>
      </c>
      <c r="H529" s="4">
        <f t="shared" si="130"/>
        <v>4.391667</v>
      </c>
      <c r="I529" s="4">
        <f t="shared" si="131"/>
        <v>1599.568634</v>
      </c>
      <c r="J529" s="4">
        <f t="shared" si="132"/>
        <v>1.619568634</v>
      </c>
      <c r="K529" s="4">
        <f t="shared" si="133"/>
        <v>1012.3314810000001</v>
      </c>
      <c r="L529">
        <f t="shared" si="134"/>
        <v>1.0123314810000001</v>
      </c>
      <c r="M529">
        <f>$B$12*F529+$B$13</f>
        <v>1.0138956706522346</v>
      </c>
      <c r="N529">
        <f t="shared" si="135"/>
        <v>1.5641896522344823E-3</v>
      </c>
      <c r="O529" s="4">
        <f t="shared" ca="1" si="136"/>
        <v>3.6929303644314868</v>
      </c>
      <c r="P529" s="4">
        <f t="shared" si="137"/>
        <v>3.7394216670292093</v>
      </c>
      <c r="Q529" s="4">
        <f t="shared" ca="1" si="138"/>
        <v>4.6491302597722495E-2</v>
      </c>
      <c r="R529" s="2">
        <f t="shared" ca="1" si="139"/>
        <v>1.2432752103791921E-2</v>
      </c>
      <c r="S529" s="4">
        <f t="shared" si="140"/>
        <v>4.391667</v>
      </c>
      <c r="T529">
        <v>4.4713038231887667</v>
      </c>
      <c r="U529">
        <f t="shared" si="141"/>
        <v>7.9636823188766748E-2</v>
      </c>
      <c r="V529" s="2">
        <f t="shared" si="142"/>
        <v>1.8133620602100921E-2</v>
      </c>
      <c r="W529">
        <f>(T529+5/3)/(1/12)</f>
        <v>73.655645878265204</v>
      </c>
      <c r="X529" s="2">
        <f t="shared" si="143"/>
        <v>1.314506022373042E-2</v>
      </c>
    </row>
    <row r="530" spans="5:24" x14ac:dyDescent="0.25">
      <c r="E530">
        <v>528</v>
      </c>
      <c r="F530">
        <f t="shared" si="128"/>
        <v>72.800000000000011</v>
      </c>
      <c r="G530">
        <f t="shared" si="129"/>
        <v>345.95</v>
      </c>
      <c r="H530" s="4">
        <f t="shared" si="130"/>
        <v>4.4000000000000004</v>
      </c>
      <c r="I530" s="4">
        <f t="shared" si="131"/>
        <v>1594.1880369999999</v>
      </c>
      <c r="J530" s="4">
        <f t="shared" si="132"/>
        <v>1.6141880369999999</v>
      </c>
      <c r="K530" s="4">
        <f t="shared" si="133"/>
        <v>1010.226643</v>
      </c>
      <c r="L530">
        <f t="shared" si="134"/>
        <v>1.010226643</v>
      </c>
      <c r="M530">
        <f>$B$12*F530+$B$13</f>
        <v>1.0115478318293403</v>
      </c>
      <c r="N530">
        <f t="shared" si="135"/>
        <v>1.3211888293402918E-3</v>
      </c>
      <c r="O530" s="4">
        <f t="shared" ca="1" si="136"/>
        <v>3.6852533644314867</v>
      </c>
      <c r="P530" s="4">
        <f t="shared" si="137"/>
        <v>3.7307624335211149</v>
      </c>
      <c r="Q530" s="4">
        <f t="shared" ca="1" si="138"/>
        <v>4.5509069089628262E-2</v>
      </c>
      <c r="R530" s="2">
        <f t="shared" ca="1" si="139"/>
        <v>1.2198329403321601E-2</v>
      </c>
      <c r="S530" s="4">
        <f t="shared" si="140"/>
        <v>4.4000000000000004</v>
      </c>
      <c r="T530">
        <v>4.4788636407681919</v>
      </c>
      <c r="U530">
        <f t="shared" si="141"/>
        <v>7.8863640768191523E-2</v>
      </c>
      <c r="V530" s="2">
        <f t="shared" si="142"/>
        <v>1.7923554720043526E-2</v>
      </c>
      <c r="W530">
        <f>(T530+5/3)/(1/12)</f>
        <v>73.746363689218313</v>
      </c>
      <c r="X530" s="2">
        <f t="shared" si="143"/>
        <v>1.2999501225526122E-2</v>
      </c>
    </row>
    <row r="531" spans="5:24" x14ac:dyDescent="0.25">
      <c r="E531">
        <v>529</v>
      </c>
      <c r="F531">
        <f t="shared" si="128"/>
        <v>72.900000000000006</v>
      </c>
      <c r="G531">
        <f t="shared" si="129"/>
        <v>346.04999999999995</v>
      </c>
      <c r="H531" s="4">
        <f t="shared" si="130"/>
        <v>4.4083329999999998</v>
      </c>
      <c r="I531" s="4">
        <f t="shared" si="131"/>
        <v>1588.828305</v>
      </c>
      <c r="J531" s="4">
        <f t="shared" si="132"/>
        <v>1.6088283050000001</v>
      </c>
      <c r="K531" s="4">
        <f t="shared" si="133"/>
        <v>1008.124742</v>
      </c>
      <c r="L531">
        <f t="shared" si="134"/>
        <v>1.0081247419999999</v>
      </c>
      <c r="M531">
        <f>$B$12*F531+$B$13</f>
        <v>1.0091999930064459</v>
      </c>
      <c r="N531">
        <f t="shared" si="135"/>
        <v>1.0752510064460097E-3</v>
      </c>
      <c r="O531" s="4">
        <f t="shared" ca="1" si="136"/>
        <v>3.6771902274052479</v>
      </c>
      <c r="P531" s="4">
        <f t="shared" si="137"/>
        <v>3.722103200013021</v>
      </c>
      <c r="Q531" s="4">
        <f t="shared" ca="1" si="138"/>
        <v>4.491297260777305E-2</v>
      </c>
      <c r="R531" s="2">
        <f t="shared" ca="1" si="139"/>
        <v>1.2066557587015839E-2</v>
      </c>
      <c r="S531" s="4">
        <f t="shared" si="140"/>
        <v>4.4083329999999998</v>
      </c>
      <c r="T531">
        <v>4.4868705295237499</v>
      </c>
      <c r="U531">
        <f t="shared" si="141"/>
        <v>7.8537529523750038E-2</v>
      </c>
      <c r="V531" s="2">
        <f t="shared" si="142"/>
        <v>1.7815698025478121E-2</v>
      </c>
      <c r="W531">
        <f>(T531+5/3)/(1/12)</f>
        <v>73.842446354285002</v>
      </c>
      <c r="X531" s="2">
        <f t="shared" si="143"/>
        <v>1.2927933529286643E-2</v>
      </c>
    </row>
    <row r="532" spans="5:24" x14ac:dyDescent="0.25">
      <c r="E532">
        <v>530</v>
      </c>
      <c r="F532">
        <f t="shared" si="128"/>
        <v>73</v>
      </c>
      <c r="G532">
        <f t="shared" si="129"/>
        <v>346.15</v>
      </c>
      <c r="H532" s="4">
        <f t="shared" si="130"/>
        <v>4.4166670000000003</v>
      </c>
      <c r="I532" s="4">
        <f t="shared" si="131"/>
        <v>1583.4893480000001</v>
      </c>
      <c r="J532" s="4">
        <f t="shared" si="132"/>
        <v>1.6034893480000001</v>
      </c>
      <c r="K532" s="4">
        <f t="shared" si="133"/>
        <v>1006.025783</v>
      </c>
      <c r="L532">
        <f t="shared" si="134"/>
        <v>1.0060257830000001</v>
      </c>
      <c r="M532">
        <f>$B$12*F532+$B$13</f>
        <v>1.0068521541835518</v>
      </c>
      <c r="N532">
        <f t="shared" si="135"/>
        <v>8.2637118355166628E-4</v>
      </c>
      <c r="O532" s="4">
        <f t="shared" ca="1" si="136"/>
        <v>3.6699303644314867</v>
      </c>
      <c r="P532" s="4">
        <f t="shared" si="137"/>
        <v>3.7134439665049275</v>
      </c>
      <c r="Q532" s="4">
        <f t="shared" ca="1" si="138"/>
        <v>4.3513602073440794E-2</v>
      </c>
      <c r="R532" s="2">
        <f t="shared" ca="1" si="139"/>
        <v>1.1717856110373882E-2</v>
      </c>
      <c r="S532" s="4">
        <f t="shared" si="140"/>
        <v>4.4166670000000003</v>
      </c>
      <c r="T532">
        <v>4.4948867709269136</v>
      </c>
      <c r="U532">
        <f t="shared" si="141"/>
        <v>7.8219770926913235E-2</v>
      </c>
      <c r="V532" s="2">
        <f t="shared" si="142"/>
        <v>1.7710135477026732E-2</v>
      </c>
      <c r="W532">
        <f>(T532+5/3)/(1/12)</f>
        <v>73.938641251122974</v>
      </c>
      <c r="X532" s="2">
        <f t="shared" si="143"/>
        <v>1.2858099330451693E-2</v>
      </c>
    </row>
    <row r="533" spans="5:24" x14ac:dyDescent="0.25">
      <c r="E533">
        <v>531</v>
      </c>
      <c r="F533">
        <f t="shared" si="128"/>
        <v>73.099999999999994</v>
      </c>
      <c r="G533">
        <f t="shared" si="129"/>
        <v>346.25</v>
      </c>
      <c r="H533" s="4">
        <f t="shared" si="130"/>
        <v>4.4249999999999998</v>
      </c>
      <c r="I533" s="4">
        <f t="shared" si="131"/>
        <v>1578.171075</v>
      </c>
      <c r="J533" s="4">
        <f t="shared" si="132"/>
        <v>1.598171075</v>
      </c>
      <c r="K533" s="4">
        <f t="shared" si="133"/>
        <v>1003.929771</v>
      </c>
      <c r="L533">
        <f t="shared" si="134"/>
        <v>1.0039297709999999</v>
      </c>
      <c r="M533">
        <f>$B$12*F533+$B$13</f>
        <v>1.0045043153606574</v>
      </c>
      <c r="N533">
        <f t="shared" si="135"/>
        <v>5.7454436065751402E-4</v>
      </c>
      <c r="O533" s="4">
        <f t="shared" ca="1" si="136"/>
        <v>3.6615028629737609</v>
      </c>
      <c r="P533" s="4">
        <f t="shared" si="137"/>
        <v>3.7047847329968331</v>
      </c>
      <c r="Q533" s="4">
        <f t="shared" ca="1" si="138"/>
        <v>4.3281870023072155E-2</v>
      </c>
      <c r="R533" s="2">
        <f t="shared" ca="1" si="139"/>
        <v>1.1682694985643895E-2</v>
      </c>
      <c r="S533" s="4">
        <f t="shared" si="140"/>
        <v>4.4249999999999998</v>
      </c>
      <c r="T533">
        <v>4.5024783346726478</v>
      </c>
      <c r="U533">
        <f t="shared" si="141"/>
        <v>7.7478334672647975E-2</v>
      </c>
      <c r="V533" s="2">
        <f t="shared" si="142"/>
        <v>1.7509228174609714E-2</v>
      </c>
      <c r="W533">
        <f>(T533+5/3)/(1/12)</f>
        <v>74.029740016071784</v>
      </c>
      <c r="X533" s="2">
        <f t="shared" si="143"/>
        <v>1.2718741669928727E-2</v>
      </c>
    </row>
    <row r="534" spans="5:24" x14ac:dyDescent="0.25">
      <c r="E534">
        <v>532</v>
      </c>
      <c r="F534">
        <f t="shared" si="128"/>
        <v>73.2</v>
      </c>
      <c r="G534">
        <f t="shared" si="129"/>
        <v>346.34999999999997</v>
      </c>
      <c r="H534" s="4">
        <f t="shared" si="130"/>
        <v>4.4333330000000002</v>
      </c>
      <c r="I534" s="4">
        <f t="shared" si="131"/>
        <v>1572.8733970000001</v>
      </c>
      <c r="J534" s="4">
        <f t="shared" si="132"/>
        <v>1.5928733970000002</v>
      </c>
      <c r="K534" s="4">
        <f t="shared" si="133"/>
        <v>1001.836713</v>
      </c>
      <c r="L534">
        <f t="shared" si="134"/>
        <v>1.0018367130000001</v>
      </c>
      <c r="M534">
        <f>$B$12*F534+$B$13</f>
        <v>1.0021564765377631</v>
      </c>
      <c r="N534">
        <f t="shared" si="135"/>
        <v>3.1976353776297373E-4</v>
      </c>
      <c r="O534" s="4">
        <f t="shared" ca="1" si="136"/>
        <v>3.6534834985422742</v>
      </c>
      <c r="P534" s="4">
        <f t="shared" si="137"/>
        <v>3.6961254994887387</v>
      </c>
      <c r="Q534" s="4">
        <f t="shared" ca="1" si="138"/>
        <v>4.2642000946464531E-2</v>
      </c>
      <c r="R534" s="2">
        <f t="shared" ca="1" si="139"/>
        <v>1.1536946175762409E-2</v>
      </c>
      <c r="S534" s="4">
        <f t="shared" si="140"/>
        <v>4.4333330000000002</v>
      </c>
      <c r="T534">
        <v>4.5100808746053458</v>
      </c>
      <c r="U534">
        <f t="shared" si="141"/>
        <v>7.6747874605345601E-2</v>
      </c>
      <c r="V534" s="2">
        <f t="shared" si="142"/>
        <v>1.7311551964480358E-2</v>
      </c>
      <c r="W534">
        <f>(T534+5/3)/(1/12)</f>
        <v>74.12097049526416</v>
      </c>
      <c r="X534" s="2">
        <f t="shared" si="143"/>
        <v>1.2581564142952969E-2</v>
      </c>
    </row>
    <row r="535" spans="5:24" x14ac:dyDescent="0.25">
      <c r="E535">
        <v>533</v>
      </c>
      <c r="F535">
        <f t="shared" si="128"/>
        <v>73.300000000000011</v>
      </c>
      <c r="G535">
        <f t="shared" si="129"/>
        <v>346.45</v>
      </c>
      <c r="H535" s="4">
        <f t="shared" si="130"/>
        <v>4.4416669999999998</v>
      </c>
      <c r="I535" s="4">
        <f t="shared" si="131"/>
        <v>1567.596223</v>
      </c>
      <c r="J535" s="4">
        <f t="shared" si="132"/>
        <v>1.587596223</v>
      </c>
      <c r="K535" s="4">
        <f t="shared" si="133"/>
        <v>999.74661300000002</v>
      </c>
      <c r="L535">
        <f t="shared" si="134"/>
        <v>0.99974661300000001</v>
      </c>
      <c r="M535">
        <f>$B$12*F535+$B$13</f>
        <v>0.9998086377148685</v>
      </c>
      <c r="N535">
        <f t="shared" si="135"/>
        <v>6.2024714868491593E-5</v>
      </c>
      <c r="O535" s="4">
        <f t="shared" ca="1" si="136"/>
        <v>3.646651772594752</v>
      </c>
      <c r="P535" s="4">
        <f t="shared" si="137"/>
        <v>3.6874662659806439</v>
      </c>
      <c r="Q535" s="4">
        <f t="shared" ca="1" si="138"/>
        <v>4.0814493385891826E-2</v>
      </c>
      <c r="R535" s="2">
        <f t="shared" ca="1" si="139"/>
        <v>1.1068438445778603E-2</v>
      </c>
      <c r="S535" s="4">
        <f t="shared" si="140"/>
        <v>4.4416669999999998</v>
      </c>
      <c r="T535">
        <v>4.518126365922396</v>
      </c>
      <c r="U535">
        <f t="shared" si="141"/>
        <v>7.6459365922396216E-2</v>
      </c>
      <c r="V535" s="2">
        <f t="shared" si="142"/>
        <v>1.721411486327008E-2</v>
      </c>
      <c r="W535">
        <f>(T535+5/3)/(1/12)</f>
        <v>74.217516391068756</v>
      </c>
      <c r="X535" s="2">
        <f t="shared" si="143"/>
        <v>1.2517276822220251E-2</v>
      </c>
    </row>
    <row r="536" spans="5:24" x14ac:dyDescent="0.25">
      <c r="E536">
        <v>534</v>
      </c>
      <c r="F536">
        <f t="shared" si="128"/>
        <v>73.400000000000006</v>
      </c>
      <c r="G536">
        <f t="shared" si="129"/>
        <v>346.54999999999995</v>
      </c>
      <c r="H536" s="4">
        <f t="shared" si="130"/>
        <v>4.45</v>
      </c>
      <c r="I536" s="4">
        <f t="shared" si="131"/>
        <v>1562.339465</v>
      </c>
      <c r="J536" s="4">
        <f t="shared" si="132"/>
        <v>1.582339465</v>
      </c>
      <c r="K536" s="4">
        <f t="shared" si="133"/>
        <v>997.65947800000004</v>
      </c>
      <c r="L536">
        <f t="shared" si="134"/>
        <v>0.9976594780000001</v>
      </c>
      <c r="M536">
        <f>$B$12*F536+$B$13</f>
        <v>0.99746079889197414</v>
      </c>
      <c r="N536">
        <f t="shared" si="135"/>
        <v>1.9867910802595645E-4</v>
      </c>
      <c r="O536" s="4">
        <f t="shared" ca="1" si="136"/>
        <v>3.6398095014577261</v>
      </c>
      <c r="P536" s="4">
        <f t="shared" si="137"/>
        <v>3.6788070324725495</v>
      </c>
      <c r="Q536" s="4">
        <f t="shared" ca="1" si="138"/>
        <v>3.8997531014823394E-2</v>
      </c>
      <c r="R536" s="2">
        <f t="shared" ca="1" si="139"/>
        <v>1.060059162402245E-2</v>
      </c>
      <c r="S536" s="4">
        <f t="shared" si="140"/>
        <v>4.45</v>
      </c>
      <c r="T536">
        <v>4.5257496099846071</v>
      </c>
      <c r="U536">
        <f t="shared" si="141"/>
        <v>7.5749609984606892E-2</v>
      </c>
      <c r="V536" s="2">
        <f t="shared" si="142"/>
        <v>1.7022384266203797E-2</v>
      </c>
      <c r="W536">
        <f>(T536+5/3)/(1/12)</f>
        <v>74.308995319815295</v>
      </c>
      <c r="X536" s="2">
        <f t="shared" si="143"/>
        <v>1.2384132422551632E-2</v>
      </c>
    </row>
    <row r="537" spans="5:24" x14ac:dyDescent="0.25">
      <c r="E537">
        <v>535</v>
      </c>
      <c r="F537">
        <f t="shared" si="128"/>
        <v>73.5</v>
      </c>
      <c r="G537">
        <f t="shared" si="129"/>
        <v>346.65</v>
      </c>
      <c r="H537" s="4">
        <f t="shared" si="130"/>
        <v>4.4583329999999997</v>
      </c>
      <c r="I537" s="4">
        <f t="shared" si="131"/>
        <v>1557.103034</v>
      </c>
      <c r="J537" s="4">
        <f t="shared" si="132"/>
        <v>1.5771030340000001</v>
      </c>
      <c r="K537" s="4">
        <f t="shared" si="133"/>
        <v>995.57531300000005</v>
      </c>
      <c r="L537">
        <f t="shared" si="134"/>
        <v>0.99557531300000002</v>
      </c>
      <c r="M537">
        <f>$B$12*F537+$B$13</f>
        <v>0.99511296006908001</v>
      </c>
      <c r="N537">
        <f t="shared" si="135"/>
        <v>4.6235293092000695E-4</v>
      </c>
      <c r="O537" s="4">
        <f t="shared" ca="1" si="136"/>
        <v>3.6318221370262389</v>
      </c>
      <c r="P537" s="4">
        <f t="shared" si="137"/>
        <v>3.6701477989644564</v>
      </c>
      <c r="Q537" s="4">
        <f t="shared" ca="1" si="138"/>
        <v>3.8325661938217515E-2</v>
      </c>
      <c r="R537" s="2">
        <f t="shared" ca="1" si="139"/>
        <v>1.044253911219358E-2</v>
      </c>
      <c r="S537" s="4">
        <f t="shared" si="140"/>
        <v>4.4583329999999997</v>
      </c>
      <c r="T537">
        <v>4.5333835006500003</v>
      </c>
      <c r="U537">
        <f t="shared" si="141"/>
        <v>7.5050500650000629E-2</v>
      </c>
      <c r="V537" s="2">
        <f t="shared" si="142"/>
        <v>1.6833758413739089E-2</v>
      </c>
      <c r="W537">
        <f>(T537+5/3)/(1/12)</f>
        <v>74.400602007800018</v>
      </c>
      <c r="X537" s="2">
        <f t="shared" si="143"/>
        <v>1.2253088541496839E-2</v>
      </c>
    </row>
    <row r="538" spans="5:24" x14ac:dyDescent="0.25">
      <c r="E538">
        <v>536</v>
      </c>
      <c r="F538">
        <f t="shared" si="128"/>
        <v>73.599999999999994</v>
      </c>
      <c r="G538">
        <f t="shared" si="129"/>
        <v>346.75</v>
      </c>
      <c r="H538" s="4">
        <f t="shared" si="130"/>
        <v>4.4666670000000002</v>
      </c>
      <c r="I538" s="4">
        <f t="shared" si="131"/>
        <v>1551.8868419999999</v>
      </c>
      <c r="J538" s="4">
        <f t="shared" si="132"/>
        <v>1.5718868419999998</v>
      </c>
      <c r="K538" s="4">
        <f t="shared" si="133"/>
        <v>993.49412299999995</v>
      </c>
      <c r="L538">
        <f t="shared" si="134"/>
        <v>0.99349412299999995</v>
      </c>
      <c r="M538">
        <f>$B$12*F538+$B$13</f>
        <v>0.99276512124618588</v>
      </c>
      <c r="N538">
        <f t="shared" si="135"/>
        <v>7.2900175381407362E-4</v>
      </c>
      <c r="O538" s="4">
        <f t="shared" ca="1" si="136"/>
        <v>3.6230534985422742</v>
      </c>
      <c r="P538" s="4">
        <f t="shared" si="137"/>
        <v>3.6614885654563629</v>
      </c>
      <c r="Q538" s="4">
        <f t="shared" ca="1" si="138"/>
        <v>3.8435066914088711E-2</v>
      </c>
      <c r="R538" s="2">
        <f t="shared" ca="1" si="139"/>
        <v>1.0497115101409096E-2</v>
      </c>
      <c r="S538" s="4">
        <f t="shared" si="140"/>
        <v>4.4666670000000002</v>
      </c>
      <c r="T538">
        <v>4.5410279276778551</v>
      </c>
      <c r="U538">
        <f t="shared" si="141"/>
        <v>7.436092767785496E-2</v>
      </c>
      <c r="V538" s="2">
        <f t="shared" si="142"/>
        <v>1.6647967640716212E-2</v>
      </c>
      <c r="W538">
        <f>(T538+5/3)/(1/12)</f>
        <v>74.492335132134272</v>
      </c>
      <c r="X538" s="2">
        <f t="shared" si="143"/>
        <v>1.2124118643128776E-2</v>
      </c>
    </row>
    <row r="539" spans="5:24" x14ac:dyDescent="0.25">
      <c r="E539">
        <v>537</v>
      </c>
      <c r="F539">
        <f t="shared" si="128"/>
        <v>73.7</v>
      </c>
      <c r="G539">
        <f t="shared" si="129"/>
        <v>346.84999999999997</v>
      </c>
      <c r="H539" s="4">
        <f t="shared" si="130"/>
        <v>4.4749999999999996</v>
      </c>
      <c r="I539" s="4">
        <f t="shared" si="131"/>
        <v>1546.6908000000001</v>
      </c>
      <c r="J539" s="4">
        <f t="shared" si="132"/>
        <v>1.5666908000000002</v>
      </c>
      <c r="K539" s="4">
        <f t="shared" si="133"/>
        <v>991.41591400000004</v>
      </c>
      <c r="L539">
        <f t="shared" si="134"/>
        <v>0.99141591400000006</v>
      </c>
      <c r="M539">
        <f>$B$12*F539+$B$13</f>
        <v>0.9904172824232913</v>
      </c>
      <c r="N539">
        <f t="shared" si="135"/>
        <v>9.986315767087639E-4</v>
      </c>
      <c r="O539" s="4">
        <f t="shared" ca="1" si="136"/>
        <v>3.6166501370262392</v>
      </c>
      <c r="P539" s="4">
        <f t="shared" si="137"/>
        <v>3.6528293319482676</v>
      </c>
      <c r="Q539" s="4">
        <f t="shared" ca="1" si="138"/>
        <v>3.6179194922028479E-2</v>
      </c>
      <c r="R539" s="2">
        <f t="shared" ca="1" si="139"/>
        <v>9.9044306848937828E-3</v>
      </c>
      <c r="S539" s="4">
        <f t="shared" si="140"/>
        <v>4.4749999999999996</v>
      </c>
      <c r="T539">
        <v>4.5482543544104681</v>
      </c>
      <c r="U539">
        <f t="shared" si="141"/>
        <v>7.3254354410468459E-2</v>
      </c>
      <c r="V539" s="2">
        <f t="shared" si="142"/>
        <v>1.6369688136417534E-2</v>
      </c>
      <c r="W539">
        <f>(T539+5/3)/(1/12)</f>
        <v>74.579052252925621</v>
      </c>
      <c r="X539" s="2">
        <f t="shared" si="143"/>
        <v>1.1927438981351669E-2</v>
      </c>
    </row>
    <row r="540" spans="5:24" x14ac:dyDescent="0.25">
      <c r="E540">
        <v>538</v>
      </c>
      <c r="F540">
        <f t="shared" si="128"/>
        <v>73.800000000000011</v>
      </c>
      <c r="G540">
        <f t="shared" si="129"/>
        <v>346.95</v>
      </c>
      <c r="H540" s="4">
        <f t="shared" si="130"/>
        <v>4.483333</v>
      </c>
      <c r="I540" s="4">
        <f t="shared" si="131"/>
        <v>1541.5148220000001</v>
      </c>
      <c r="J540" s="4">
        <f t="shared" si="132"/>
        <v>1.5615148220000001</v>
      </c>
      <c r="K540" s="4">
        <f t="shared" si="133"/>
        <v>989.34069099999999</v>
      </c>
      <c r="L540">
        <f t="shared" si="134"/>
        <v>0.98934069099999999</v>
      </c>
      <c r="M540">
        <f>$B$12*F540+$B$13</f>
        <v>0.98806944360039672</v>
      </c>
      <c r="N540">
        <f t="shared" si="135"/>
        <v>1.2712473996032703E-3</v>
      </c>
      <c r="O540" s="4">
        <f t="shared" ca="1" si="136"/>
        <v>3.6082888629737608</v>
      </c>
      <c r="P540" s="4">
        <f t="shared" si="137"/>
        <v>3.6441700984401728</v>
      </c>
      <c r="Q540" s="4">
        <f t="shared" ca="1" si="138"/>
        <v>3.5881235466411976E-2</v>
      </c>
      <c r="R540" s="2">
        <f t="shared" ca="1" si="139"/>
        <v>9.8462021522459538E-3</v>
      </c>
      <c r="S540" s="4">
        <f t="shared" si="140"/>
        <v>4.483333</v>
      </c>
      <c r="T540">
        <v>4.5563479539842797</v>
      </c>
      <c r="U540">
        <f t="shared" si="141"/>
        <v>7.3014953984279707E-2</v>
      </c>
      <c r="V540" s="2">
        <f t="shared" si="142"/>
        <v>1.6285864553063471E-2</v>
      </c>
      <c r="W540">
        <f>(T540+5/3)/(1/12)</f>
        <v>74.67617544781136</v>
      </c>
      <c r="X540" s="2">
        <f t="shared" si="143"/>
        <v>1.1872296040804182E-2</v>
      </c>
    </row>
    <row r="541" spans="5:24" x14ac:dyDescent="0.25">
      <c r="E541">
        <v>539</v>
      </c>
      <c r="F541">
        <f t="shared" si="128"/>
        <v>73.900000000000006</v>
      </c>
      <c r="G541">
        <f t="shared" si="129"/>
        <v>347.04999999999995</v>
      </c>
      <c r="H541" s="4">
        <f t="shared" si="130"/>
        <v>4.4916669999999996</v>
      </c>
      <c r="I541" s="4">
        <f t="shared" si="131"/>
        <v>1536.3588199999999</v>
      </c>
      <c r="J541" s="4">
        <f t="shared" si="132"/>
        <v>1.55635882</v>
      </c>
      <c r="K541" s="4">
        <f t="shared" si="133"/>
        <v>987.26845900000001</v>
      </c>
      <c r="L541">
        <f t="shared" si="134"/>
        <v>0.98726845900000004</v>
      </c>
      <c r="M541">
        <f>$B$12*F541+$B$13</f>
        <v>0.98572160477750259</v>
      </c>
      <c r="N541">
        <f t="shared" si="135"/>
        <v>1.5468542224974513E-3</v>
      </c>
      <c r="O541" s="4">
        <f t="shared" ca="1" si="136"/>
        <v>3.600740635568513</v>
      </c>
      <c r="P541" s="4">
        <f t="shared" si="137"/>
        <v>3.6355108649320793</v>
      </c>
      <c r="Q541" s="4">
        <f t="shared" ca="1" si="138"/>
        <v>3.477022936356633E-2</v>
      </c>
      <c r="R541" s="2">
        <f t="shared" ca="1" si="139"/>
        <v>9.5640559622467061E-3</v>
      </c>
      <c r="S541" s="4">
        <f t="shared" si="140"/>
        <v>4.4916669999999996</v>
      </c>
      <c r="T541">
        <v>4.5640233351164223</v>
      </c>
      <c r="U541">
        <f t="shared" si="141"/>
        <v>7.2356335116422699E-2</v>
      </c>
      <c r="V541" s="2">
        <f t="shared" si="142"/>
        <v>1.6109015899091073E-2</v>
      </c>
      <c r="W541">
        <f>(T541+5/3)/(1/12)</f>
        <v>74.768280021397075</v>
      </c>
      <c r="X541" s="2">
        <f t="shared" si="143"/>
        <v>1.1749391358553036E-2</v>
      </c>
    </row>
    <row r="542" spans="5:24" x14ac:dyDescent="0.25">
      <c r="E542">
        <v>540</v>
      </c>
      <c r="F542">
        <f t="shared" si="128"/>
        <v>74</v>
      </c>
      <c r="G542">
        <f t="shared" si="129"/>
        <v>347.15</v>
      </c>
      <c r="H542" s="4">
        <f t="shared" si="130"/>
        <v>4.5</v>
      </c>
      <c r="I542" s="4">
        <f t="shared" si="131"/>
        <v>1531.222708</v>
      </c>
      <c r="J542" s="4">
        <f t="shared" si="132"/>
        <v>1.5512227080000001</v>
      </c>
      <c r="K542" s="4">
        <f t="shared" si="133"/>
        <v>985.19922399999996</v>
      </c>
      <c r="L542">
        <f t="shared" si="134"/>
        <v>0.98519922399999993</v>
      </c>
      <c r="M542">
        <f>$B$12*F542+$B$13</f>
        <v>0.98337376595460824</v>
      </c>
      <c r="N542">
        <f t="shared" si="135"/>
        <v>1.8254580453916924E-3</v>
      </c>
      <c r="O542" s="4">
        <f t="shared" ca="1" si="136"/>
        <v>3.592796498542274</v>
      </c>
      <c r="P542" s="4">
        <f t="shared" si="137"/>
        <v>3.6268516314239849</v>
      </c>
      <c r="Q542" s="4">
        <f t="shared" ca="1" si="138"/>
        <v>3.4055132881710914E-2</v>
      </c>
      <c r="R542" s="2">
        <f t="shared" ca="1" si="139"/>
        <v>9.3897231931541932E-3</v>
      </c>
      <c r="S542" s="4">
        <f t="shared" si="140"/>
        <v>4.5</v>
      </c>
      <c r="T542">
        <v>4.5708574205386405</v>
      </c>
      <c r="U542">
        <f t="shared" si="141"/>
        <v>7.0857420538640525E-2</v>
      </c>
      <c r="V542" s="2">
        <f t="shared" si="142"/>
        <v>1.5746093453031226E-2</v>
      </c>
      <c r="W542">
        <f>(T542+5/3)/(1/12)</f>
        <v>74.850289046463701</v>
      </c>
      <c r="X542" s="2">
        <f t="shared" si="143"/>
        <v>1.1490392519779737E-2</v>
      </c>
    </row>
    <row r="543" spans="5:24" x14ac:dyDescent="0.25">
      <c r="E543">
        <v>541</v>
      </c>
      <c r="F543">
        <f t="shared" si="128"/>
        <v>74.099999999999994</v>
      </c>
      <c r="G543">
        <f t="shared" si="129"/>
        <v>347.25</v>
      </c>
      <c r="H543" s="4">
        <f t="shared" si="130"/>
        <v>4.5083330000000004</v>
      </c>
      <c r="I543" s="4">
        <f t="shared" si="131"/>
        <v>1526.106399</v>
      </c>
      <c r="J543" s="4">
        <f t="shared" si="132"/>
        <v>1.5461063990000001</v>
      </c>
      <c r="K543" s="4">
        <f t="shared" si="133"/>
        <v>983.13298899999995</v>
      </c>
      <c r="L543">
        <f t="shared" si="134"/>
        <v>0.98313298900000001</v>
      </c>
      <c r="M543">
        <f>$B$12*F543+$B$13</f>
        <v>0.9810259271317141</v>
      </c>
      <c r="N543">
        <f t="shared" si="135"/>
        <v>2.1070618682859088E-3</v>
      </c>
      <c r="O543" s="4">
        <f t="shared" ca="1" si="136"/>
        <v>3.5864273644314868</v>
      </c>
      <c r="P543" s="4">
        <f t="shared" si="137"/>
        <v>3.6181923979158914</v>
      </c>
      <c r="Q543" s="4">
        <f t="shared" ca="1" si="138"/>
        <v>3.1765033484404626E-2</v>
      </c>
      <c r="R543" s="2">
        <f t="shared" ca="1" si="139"/>
        <v>8.7792549403126127E-3</v>
      </c>
      <c r="S543" s="4">
        <f t="shared" si="140"/>
        <v>4.5083330000000004</v>
      </c>
      <c r="T543">
        <v>4.5785547074970081</v>
      </c>
      <c r="U543">
        <f t="shared" si="141"/>
        <v>7.0221707497007735E-2</v>
      </c>
      <c r="V543" s="2">
        <f t="shared" si="142"/>
        <v>1.5575980633419875E-2</v>
      </c>
      <c r="W543">
        <f>(T543+5/3)/(1/12)</f>
        <v>74.942656489964108</v>
      </c>
      <c r="X543" s="2">
        <f t="shared" si="143"/>
        <v>1.1371882455656054E-2</v>
      </c>
    </row>
    <row r="544" spans="5:24" x14ac:dyDescent="0.25">
      <c r="E544">
        <v>542</v>
      </c>
      <c r="F544">
        <f t="shared" si="128"/>
        <v>74.2</v>
      </c>
      <c r="G544">
        <f t="shared" si="129"/>
        <v>347.34999999999997</v>
      </c>
      <c r="H544" s="4">
        <f t="shared" si="130"/>
        <v>4.516667</v>
      </c>
      <c r="I544" s="4">
        <f t="shared" si="131"/>
        <v>1521.009808</v>
      </c>
      <c r="J544" s="4">
        <f t="shared" si="132"/>
        <v>1.5410098080000001</v>
      </c>
      <c r="K544" s="4">
        <f t="shared" si="133"/>
        <v>981.06976199999997</v>
      </c>
      <c r="L544">
        <f t="shared" si="134"/>
        <v>0.98106976199999996</v>
      </c>
      <c r="M544">
        <f>$B$12*F544+$B$13</f>
        <v>0.97867808830881953</v>
      </c>
      <c r="N544">
        <f t="shared" si="135"/>
        <v>2.3916736911804293E-3</v>
      </c>
      <c r="O544" s="4">
        <f t="shared" ca="1" si="136"/>
        <v>3.5789013644314869</v>
      </c>
      <c r="P544" s="4">
        <f t="shared" si="137"/>
        <v>3.6095331644077966</v>
      </c>
      <c r="Q544" s="4">
        <f t="shared" ca="1" si="138"/>
        <v>3.0631799976309715E-2</v>
      </c>
      <c r="R544" s="2">
        <f t="shared" ca="1" si="139"/>
        <v>8.4863605848972349E-3</v>
      </c>
      <c r="S544" s="4">
        <f t="shared" si="140"/>
        <v>4.516667</v>
      </c>
      <c r="T544">
        <v>4.5866857613701626</v>
      </c>
      <c r="U544">
        <f t="shared" si="141"/>
        <v>7.0018761370162608E-2</v>
      </c>
      <c r="V544" s="2">
        <f t="shared" si="142"/>
        <v>1.5502307646360161E-2</v>
      </c>
      <c r="W544">
        <f>(T544+5/3)/(1/12)</f>
        <v>75.040229136441965</v>
      </c>
      <c r="X544" s="2">
        <f t="shared" si="143"/>
        <v>1.1323842809190869E-2</v>
      </c>
    </row>
    <row r="545" spans="5:24" x14ac:dyDescent="0.25">
      <c r="E545">
        <v>543</v>
      </c>
      <c r="F545">
        <f t="shared" si="128"/>
        <v>74.300000000000011</v>
      </c>
      <c r="G545">
        <f t="shared" si="129"/>
        <v>347.45</v>
      </c>
      <c r="H545" s="4">
        <f t="shared" si="130"/>
        <v>4.5250000000000004</v>
      </c>
      <c r="I545" s="4">
        <f t="shared" si="131"/>
        <v>1515.9328499999999</v>
      </c>
      <c r="J545" s="4">
        <f t="shared" si="132"/>
        <v>1.53593285</v>
      </c>
      <c r="K545" s="4">
        <f t="shared" si="133"/>
        <v>979.009546</v>
      </c>
      <c r="L545">
        <f t="shared" si="134"/>
        <v>0.97900954600000001</v>
      </c>
      <c r="M545">
        <f>$B$12*F545+$B$13</f>
        <v>0.97633024948592495</v>
      </c>
      <c r="N545">
        <f t="shared" si="135"/>
        <v>2.679296514075058E-3</v>
      </c>
      <c r="O545" s="4">
        <f t="shared" ca="1" si="136"/>
        <v>3.5710009999999999</v>
      </c>
      <c r="P545" s="4">
        <f t="shared" si="137"/>
        <v>3.6008739308997013</v>
      </c>
      <c r="Q545" s="4">
        <f t="shared" ca="1" si="138"/>
        <v>2.9872930899701444E-2</v>
      </c>
      <c r="R545" s="2">
        <f t="shared" ca="1" si="139"/>
        <v>8.2960224303763683E-3</v>
      </c>
      <c r="S545" s="4">
        <f t="shared" si="140"/>
        <v>4.5250000000000004</v>
      </c>
      <c r="T545">
        <v>4.5939788179735421</v>
      </c>
      <c r="U545">
        <f t="shared" si="141"/>
        <v>6.8978817973541773E-2</v>
      </c>
      <c r="V545" s="2">
        <f t="shared" si="142"/>
        <v>1.5243937673710888E-2</v>
      </c>
      <c r="W545">
        <f>(T545+5/3)/(1/12)</f>
        <v>75.127745815682516</v>
      </c>
      <c r="X545" s="2">
        <f t="shared" si="143"/>
        <v>1.1140589713088893E-2</v>
      </c>
    </row>
    <row r="546" spans="5:24" x14ac:dyDescent="0.25">
      <c r="E546">
        <v>544</v>
      </c>
      <c r="F546">
        <f t="shared" si="128"/>
        <v>74.400000000000006</v>
      </c>
      <c r="G546">
        <f t="shared" si="129"/>
        <v>347.54999999999995</v>
      </c>
      <c r="H546" s="4">
        <f t="shared" si="130"/>
        <v>4.5333329999999998</v>
      </c>
      <c r="I546" s="4">
        <f t="shared" si="131"/>
        <v>1510.8754389999999</v>
      </c>
      <c r="J546" s="4">
        <f t="shared" si="132"/>
        <v>1.5308754389999999</v>
      </c>
      <c r="K546" s="4">
        <f t="shared" si="133"/>
        <v>976.95234600000003</v>
      </c>
      <c r="L546">
        <f t="shared" si="134"/>
        <v>0.97695234600000003</v>
      </c>
      <c r="M546">
        <f>$B$12*F546+$B$13</f>
        <v>0.97398241066303082</v>
      </c>
      <c r="N546">
        <f t="shared" si="135"/>
        <v>2.9699353369692094E-3</v>
      </c>
      <c r="O546" s="4">
        <f t="shared" ca="1" si="136"/>
        <v>3.5635077725947522</v>
      </c>
      <c r="P546" s="4">
        <f t="shared" si="137"/>
        <v>3.5922146973916083</v>
      </c>
      <c r="Q546" s="4">
        <f t="shared" ca="1" si="138"/>
        <v>2.8706924796856104E-2</v>
      </c>
      <c r="R546" s="2">
        <f t="shared" ca="1" si="139"/>
        <v>7.9914279115056459E-3</v>
      </c>
      <c r="S546" s="4">
        <f t="shared" si="140"/>
        <v>4.5333329999999998</v>
      </c>
      <c r="T546">
        <v>4.6017054263967943</v>
      </c>
      <c r="U546">
        <f t="shared" si="141"/>
        <v>6.8372426396794417E-2</v>
      </c>
      <c r="V546" s="2">
        <f t="shared" si="142"/>
        <v>1.5082153990627739E-2</v>
      </c>
      <c r="W546">
        <f>(T546+5/3)/(1/12)</f>
        <v>75.220465116761545</v>
      </c>
      <c r="X546" s="2">
        <f t="shared" si="143"/>
        <v>1.1027756945719617E-2</v>
      </c>
    </row>
    <row r="547" spans="5:24" x14ac:dyDescent="0.25">
      <c r="E547">
        <v>545</v>
      </c>
      <c r="F547">
        <f t="shared" si="128"/>
        <v>74.5</v>
      </c>
      <c r="G547">
        <f t="shared" si="129"/>
        <v>347.65</v>
      </c>
      <c r="H547" s="4">
        <f t="shared" si="130"/>
        <v>4.5416670000000003</v>
      </c>
      <c r="I547" s="4">
        <f t="shared" si="131"/>
        <v>1505.837491</v>
      </c>
      <c r="J547" s="4">
        <f t="shared" si="132"/>
        <v>1.5258374910000001</v>
      </c>
      <c r="K547" s="4">
        <f t="shared" si="133"/>
        <v>974.89816699999994</v>
      </c>
      <c r="L547">
        <f t="shared" si="134"/>
        <v>0.97489816699999998</v>
      </c>
      <c r="M547">
        <f>$B$12*F547+$B$13</f>
        <v>0.97163457184013646</v>
      </c>
      <c r="N547">
        <f t="shared" si="135"/>
        <v>3.2635951598635193E-3</v>
      </c>
      <c r="O547" s="4">
        <f t="shared" ca="1" si="136"/>
        <v>3.555619635568513</v>
      </c>
      <c r="P547" s="4">
        <f t="shared" si="137"/>
        <v>3.5835554638835139</v>
      </c>
      <c r="Q547" s="4">
        <f t="shared" ca="1" si="138"/>
        <v>2.7935828315000855E-2</v>
      </c>
      <c r="R547" s="2">
        <f t="shared" ca="1" si="139"/>
        <v>7.7955618648990243E-3</v>
      </c>
      <c r="S547" s="4">
        <f t="shared" si="140"/>
        <v>4.5416670000000003</v>
      </c>
      <c r="T547">
        <v>4.6090204172722142</v>
      </c>
      <c r="U547">
        <f t="shared" si="141"/>
        <v>6.7353417272213889E-2</v>
      </c>
      <c r="V547" s="2">
        <f t="shared" si="142"/>
        <v>1.4830109136626239E-2</v>
      </c>
      <c r="W547">
        <f>(T547+5/3)/(1/12)</f>
        <v>75.308245007266578</v>
      </c>
      <c r="X547" s="2">
        <f t="shared" si="143"/>
        <v>1.0848926272034603E-2</v>
      </c>
    </row>
    <row r="548" spans="5:24" x14ac:dyDescent="0.25">
      <c r="E548">
        <v>546</v>
      </c>
      <c r="F548">
        <f t="shared" si="128"/>
        <v>74.599999999999994</v>
      </c>
      <c r="G548">
        <f t="shared" si="129"/>
        <v>347.75</v>
      </c>
      <c r="H548" s="4">
        <f t="shared" si="130"/>
        <v>4.55</v>
      </c>
      <c r="I548" s="4">
        <f t="shared" si="131"/>
        <v>1500.818921</v>
      </c>
      <c r="J548" s="4">
        <f t="shared" si="132"/>
        <v>1.520818921</v>
      </c>
      <c r="K548" s="4">
        <f t="shared" si="133"/>
        <v>972.84701500000006</v>
      </c>
      <c r="L548">
        <f t="shared" si="134"/>
        <v>0.97284701500000004</v>
      </c>
      <c r="M548">
        <f>$B$12*F548+$B$13</f>
        <v>0.96928673301724233</v>
      </c>
      <c r="N548">
        <f t="shared" si="135"/>
        <v>3.560281982757707E-3</v>
      </c>
      <c r="O548" s="4">
        <f t="shared" ca="1" si="136"/>
        <v>3.5477414985422739</v>
      </c>
      <c r="P548" s="4">
        <f t="shared" si="137"/>
        <v>3.5748962303754204</v>
      </c>
      <c r="Q548" s="4">
        <f t="shared" ca="1" si="138"/>
        <v>2.7154731833146428E-2</v>
      </c>
      <c r="R548" s="2">
        <f t="shared" ca="1" si="139"/>
        <v>7.595949667690006E-3</v>
      </c>
      <c r="S548" s="4">
        <f t="shared" si="140"/>
        <v>4.55</v>
      </c>
      <c r="T548">
        <v>4.6167669372719544</v>
      </c>
      <c r="U548">
        <f t="shared" si="141"/>
        <v>6.6766937271954596E-2</v>
      </c>
      <c r="V548" s="2">
        <f t="shared" si="142"/>
        <v>1.467405214768233E-2</v>
      </c>
      <c r="W548">
        <f>(T548+5/3)/(1/12)</f>
        <v>75.401203247263467</v>
      </c>
      <c r="X548" s="2">
        <f t="shared" si="143"/>
        <v>1.0739989909698029E-2</v>
      </c>
    </row>
    <row r="549" spans="5:24" x14ac:dyDescent="0.25">
      <c r="E549">
        <v>547</v>
      </c>
      <c r="F549">
        <f t="shared" si="128"/>
        <v>74.7</v>
      </c>
      <c r="G549">
        <f t="shared" si="129"/>
        <v>347.84999999999997</v>
      </c>
      <c r="H549" s="4">
        <f t="shared" si="130"/>
        <v>4.5583330000000002</v>
      </c>
      <c r="I549" s="4">
        <f t="shared" si="131"/>
        <v>1495.819647</v>
      </c>
      <c r="J549" s="4">
        <f t="shared" si="132"/>
        <v>1.515819647</v>
      </c>
      <c r="K549" s="4">
        <f t="shared" si="133"/>
        <v>970.79889300000002</v>
      </c>
      <c r="L549">
        <f t="shared" si="134"/>
        <v>0.970798893</v>
      </c>
      <c r="M549">
        <f>$B$12*F549+$B$13</f>
        <v>0.96693889419434775</v>
      </c>
      <c r="N549">
        <f t="shared" si="135"/>
        <v>3.8599988056522427E-3</v>
      </c>
      <c r="O549" s="4">
        <f t="shared" ca="1" si="136"/>
        <v>3.5410520000000001</v>
      </c>
      <c r="P549" s="4">
        <f t="shared" si="137"/>
        <v>3.5662369968673255</v>
      </c>
      <c r="Q549" s="4">
        <f t="shared" ca="1" si="138"/>
        <v>2.5184996867325449E-2</v>
      </c>
      <c r="R549" s="2">
        <f t="shared" ca="1" si="139"/>
        <v>7.0620648289635825E-3</v>
      </c>
      <c r="S549" s="4">
        <f t="shared" si="140"/>
        <v>4.5583330000000002</v>
      </c>
      <c r="T549">
        <v>4.6245228020358695</v>
      </c>
      <c r="U549">
        <f t="shared" si="141"/>
        <v>6.6189802035869327E-2</v>
      </c>
      <c r="V549" s="2">
        <f t="shared" si="142"/>
        <v>1.4520615768060238E-2</v>
      </c>
      <c r="W549">
        <f>(T549+5/3)/(1/12)</f>
        <v>75.494273624430448</v>
      </c>
      <c r="X549" s="2">
        <f t="shared" si="143"/>
        <v>1.0632846377917612E-2</v>
      </c>
    </row>
    <row r="550" spans="5:24" x14ac:dyDescent="0.25">
      <c r="E550">
        <v>548</v>
      </c>
      <c r="F550">
        <f t="shared" si="128"/>
        <v>74.800000000000011</v>
      </c>
      <c r="G550">
        <f t="shared" si="129"/>
        <v>347.95</v>
      </c>
      <c r="H550" s="4">
        <f t="shared" si="130"/>
        <v>4.5666669999999998</v>
      </c>
      <c r="I550" s="4">
        <f t="shared" si="131"/>
        <v>1490.8395840000001</v>
      </c>
      <c r="J550" s="4">
        <f t="shared" si="132"/>
        <v>1.5108395840000002</v>
      </c>
      <c r="K550" s="4">
        <f t="shared" si="133"/>
        <v>968.75380700000005</v>
      </c>
      <c r="L550">
        <f t="shared" si="134"/>
        <v>0.96875380700000002</v>
      </c>
      <c r="M550">
        <f>$B$12*F550+$B$13</f>
        <v>0.96459105537145318</v>
      </c>
      <c r="N550">
        <f t="shared" si="135"/>
        <v>4.1627516285468458E-3</v>
      </c>
      <c r="O550" s="4">
        <f t="shared" ca="1" si="136"/>
        <v>3.5331968629737611</v>
      </c>
      <c r="P550" s="4">
        <f t="shared" si="137"/>
        <v>3.5575777633592303</v>
      </c>
      <c r="Q550" s="4">
        <f t="shared" ca="1" si="138"/>
        <v>2.438090038546914E-2</v>
      </c>
      <c r="R550" s="2">
        <f t="shared" ca="1" si="139"/>
        <v>6.8532304863654081E-3</v>
      </c>
      <c r="S550" s="4">
        <f t="shared" si="140"/>
        <v>4.5666669999999998</v>
      </c>
      <c r="T550">
        <v>4.6318694243886807</v>
      </c>
      <c r="U550">
        <f t="shared" si="141"/>
        <v>6.5202424388680846E-2</v>
      </c>
      <c r="V550" s="2">
        <f t="shared" si="142"/>
        <v>1.427790210862339E-2</v>
      </c>
      <c r="W550">
        <f>(T550+5/3)/(1/12)</f>
        <v>75.582433092664175</v>
      </c>
      <c r="X550" s="2">
        <f t="shared" si="143"/>
        <v>1.0460335463424645E-2</v>
      </c>
    </row>
    <row r="551" spans="5:24" x14ac:dyDescent="0.25">
      <c r="E551">
        <v>549</v>
      </c>
      <c r="F551">
        <f t="shared" si="128"/>
        <v>74.900000000000006</v>
      </c>
      <c r="G551">
        <f t="shared" si="129"/>
        <v>348.04999999999995</v>
      </c>
      <c r="H551" s="4">
        <f t="shared" si="130"/>
        <v>4.5750000000000002</v>
      </c>
      <c r="I551" s="4">
        <f t="shared" si="131"/>
        <v>1485.8786500000001</v>
      </c>
      <c r="J551" s="4">
        <f t="shared" si="132"/>
        <v>1.5058786500000001</v>
      </c>
      <c r="K551" s="4">
        <f t="shared" si="133"/>
        <v>966.71176100000002</v>
      </c>
      <c r="L551">
        <f t="shared" si="134"/>
        <v>0.966711761</v>
      </c>
      <c r="M551">
        <f>$B$12*F551+$B$13</f>
        <v>0.96224321654855904</v>
      </c>
      <c r="N551">
        <f t="shared" si="135"/>
        <v>4.4685444514409589E-3</v>
      </c>
      <c r="O551" s="4">
        <f t="shared" ca="1" si="136"/>
        <v>3.5257478629737609</v>
      </c>
      <c r="P551" s="4">
        <f t="shared" si="137"/>
        <v>3.5489185298511368</v>
      </c>
      <c r="Q551" s="4">
        <f t="shared" ca="1" si="138"/>
        <v>2.3170666877375901E-2</v>
      </c>
      <c r="R551" s="2">
        <f t="shared" ca="1" si="139"/>
        <v>6.5289373882436857E-3</v>
      </c>
      <c r="S551" s="4">
        <f t="shared" si="140"/>
        <v>4.5750000000000002</v>
      </c>
      <c r="T551">
        <v>4.6392269714706584</v>
      </c>
      <c r="U551">
        <f t="shared" si="141"/>
        <v>6.4226971470658256E-2</v>
      </c>
      <c r="V551" s="2">
        <f t="shared" si="142"/>
        <v>1.4038682288668471E-2</v>
      </c>
      <c r="W551">
        <f>(T551+5/3)/(1/12)</f>
        <v>75.670723657647912</v>
      </c>
      <c r="X551" s="2">
        <f t="shared" si="143"/>
        <v>1.0290035482615568E-2</v>
      </c>
    </row>
    <row r="552" spans="5:24" x14ac:dyDescent="0.25">
      <c r="E552">
        <v>550</v>
      </c>
      <c r="F552">
        <f t="shared" si="128"/>
        <v>75</v>
      </c>
      <c r="G552">
        <f t="shared" si="129"/>
        <v>348.15</v>
      </c>
      <c r="H552" s="4">
        <f t="shared" si="130"/>
        <v>4.5833329999999997</v>
      </c>
      <c r="I552" s="4">
        <f t="shared" si="131"/>
        <v>1480.936762</v>
      </c>
      <c r="J552" s="4">
        <f t="shared" si="132"/>
        <v>1.500936762</v>
      </c>
      <c r="K552" s="4">
        <f t="shared" si="133"/>
        <v>964.67275900000004</v>
      </c>
      <c r="L552">
        <f t="shared" si="134"/>
        <v>0.96467275900000005</v>
      </c>
      <c r="M552">
        <f>$B$12*F552+$B$13</f>
        <v>0.95989537772566491</v>
      </c>
      <c r="N552">
        <f t="shared" si="135"/>
        <v>4.7773812743351352E-3</v>
      </c>
      <c r="O552" s="4">
        <f t="shared" ca="1" si="136"/>
        <v>3.5186962274052478</v>
      </c>
      <c r="P552" s="4">
        <f t="shared" si="137"/>
        <v>3.5402592963430437</v>
      </c>
      <c r="Q552" s="4">
        <f t="shared" ca="1" si="138"/>
        <v>2.1563068937795915E-2</v>
      </c>
      <c r="R552" s="2">
        <f t="shared" ca="1" si="139"/>
        <v>6.0908162744095504E-3</v>
      </c>
      <c r="S552" s="4">
        <f t="shared" si="140"/>
        <v>4.5833329999999997</v>
      </c>
      <c r="T552">
        <v>4.6470120232337786</v>
      </c>
      <c r="U552">
        <f t="shared" si="141"/>
        <v>6.3679023233778942E-2</v>
      </c>
      <c r="V552" s="2">
        <f t="shared" si="142"/>
        <v>1.3893606079632212E-2</v>
      </c>
      <c r="W552">
        <f>(T552+5/3)/(1/12)</f>
        <v>75.764144278805347</v>
      </c>
      <c r="X552" s="2">
        <f t="shared" si="143"/>
        <v>1.018859038407129E-2</v>
      </c>
    </row>
    <row r="553" spans="5:24" x14ac:dyDescent="0.25">
      <c r="E553">
        <v>551</v>
      </c>
      <c r="F553">
        <f t="shared" si="128"/>
        <v>75.099999999999994</v>
      </c>
      <c r="G553">
        <f t="shared" si="129"/>
        <v>348.25</v>
      </c>
      <c r="H553" s="4">
        <f t="shared" si="130"/>
        <v>4.5916670000000002</v>
      </c>
      <c r="I553" s="4">
        <f t="shared" si="131"/>
        <v>1476.0138380000001</v>
      </c>
      <c r="J553" s="4">
        <f t="shared" si="132"/>
        <v>1.4960138380000001</v>
      </c>
      <c r="K553" s="4">
        <f t="shared" si="133"/>
        <v>962.63680699999998</v>
      </c>
      <c r="L553">
        <f t="shared" si="134"/>
        <v>0.96263680699999998</v>
      </c>
      <c r="M553">
        <f>$B$12*F553+$B$13</f>
        <v>0.95754753890277056</v>
      </c>
      <c r="N553">
        <f t="shared" si="135"/>
        <v>5.0892680972294269E-3</v>
      </c>
      <c r="O553" s="4">
        <f t="shared" ca="1" si="136"/>
        <v>3.511677137026239</v>
      </c>
      <c r="P553" s="4">
        <f t="shared" si="137"/>
        <v>3.5316000628349493</v>
      </c>
      <c r="Q553" s="4">
        <f t="shared" ca="1" si="138"/>
        <v>1.9922925808710357E-2</v>
      </c>
      <c r="R553" s="2">
        <f t="shared" ca="1" si="139"/>
        <v>5.6413312533235907E-3</v>
      </c>
      <c r="S553" s="4">
        <f t="shared" si="140"/>
        <v>4.5916670000000002</v>
      </c>
      <c r="T553">
        <v>4.6543901973967783</v>
      </c>
      <c r="U553">
        <f t="shared" si="141"/>
        <v>6.2723197396778119E-2</v>
      </c>
      <c r="V553" s="2">
        <f t="shared" si="142"/>
        <v>1.366022348675941E-2</v>
      </c>
      <c r="W553">
        <f>(T553+5/3)/(1/12)</f>
        <v>75.85268236876135</v>
      </c>
      <c r="X553" s="2">
        <f t="shared" si="143"/>
        <v>1.0022401714532034E-2</v>
      </c>
    </row>
    <row r="554" spans="5:24" x14ac:dyDescent="0.25">
      <c r="E554">
        <v>552</v>
      </c>
      <c r="F554">
        <f t="shared" si="128"/>
        <v>75.2</v>
      </c>
      <c r="G554">
        <f t="shared" si="129"/>
        <v>348.34999999999997</v>
      </c>
      <c r="H554" s="4">
        <f t="shared" si="130"/>
        <v>4.5999999999999996</v>
      </c>
      <c r="I554" s="4">
        <f t="shared" si="131"/>
        <v>1471.109796</v>
      </c>
      <c r="J554" s="4">
        <f t="shared" si="132"/>
        <v>1.4911097959999999</v>
      </c>
      <c r="K554" s="4">
        <f t="shared" si="133"/>
        <v>960.60390800000005</v>
      </c>
      <c r="L554">
        <f t="shared" si="134"/>
        <v>0.96060390800000006</v>
      </c>
      <c r="M554">
        <f>$B$12*F554+$B$13</f>
        <v>0.95519970007987598</v>
      </c>
      <c r="N554">
        <f t="shared" si="135"/>
        <v>5.4042079201240822E-3</v>
      </c>
      <c r="O554" s="4">
        <f t="shared" ca="1" si="136"/>
        <v>3.5038649999999998</v>
      </c>
      <c r="P554" s="4">
        <f t="shared" si="137"/>
        <v>3.522940829326854</v>
      </c>
      <c r="Q554" s="4">
        <f t="shared" ca="1" si="138"/>
        <v>1.9075829326854254E-2</v>
      </c>
      <c r="R554" s="2">
        <f t="shared" ca="1" si="139"/>
        <v>5.4147458759615805E-3</v>
      </c>
      <c r="S554" s="4">
        <f t="shared" si="140"/>
        <v>4.5999999999999996</v>
      </c>
      <c r="T554">
        <v>4.6617789695857583</v>
      </c>
      <c r="U554">
        <f t="shared" si="141"/>
        <v>6.1778969585758681E-2</v>
      </c>
      <c r="V554" s="2">
        <f t="shared" si="142"/>
        <v>1.3430210779512758E-2</v>
      </c>
      <c r="W554">
        <f>(T554+5/3)/(1/12)</f>
        <v>75.941347635029103</v>
      </c>
      <c r="X554" s="2">
        <f t="shared" si="143"/>
        <v>9.8583462104933593E-3</v>
      </c>
    </row>
    <row r="555" spans="5:24" x14ac:dyDescent="0.25">
      <c r="E555">
        <v>553</v>
      </c>
      <c r="F555">
        <f t="shared" si="128"/>
        <v>75.300000000000011</v>
      </c>
      <c r="G555">
        <f t="shared" si="129"/>
        <v>348.45</v>
      </c>
      <c r="H555" s="4">
        <f t="shared" si="130"/>
        <v>4.608333</v>
      </c>
      <c r="I555" s="4">
        <f t="shared" si="131"/>
        <v>1466.224555</v>
      </c>
      <c r="J555" s="4">
        <f t="shared" si="132"/>
        <v>1.4862245549999999</v>
      </c>
      <c r="K555" s="4">
        <f t="shared" si="133"/>
        <v>958.57406700000001</v>
      </c>
      <c r="L555">
        <f t="shared" si="134"/>
        <v>0.95857406700000003</v>
      </c>
      <c r="M555">
        <f>$B$12*F555+$B$13</f>
        <v>0.95285186125698162</v>
      </c>
      <c r="N555">
        <f t="shared" si="135"/>
        <v>5.7222057430184048E-3</v>
      </c>
      <c r="O555" s="4">
        <f t="shared" ca="1" si="136"/>
        <v>3.4968463644314869</v>
      </c>
      <c r="P555" s="4">
        <f t="shared" si="137"/>
        <v>3.5142815958187601</v>
      </c>
      <c r="Q555" s="4">
        <f t="shared" ca="1" si="138"/>
        <v>1.7435231387273209E-2</v>
      </c>
      <c r="R555" s="2">
        <f t="shared" ca="1" si="139"/>
        <v>4.9612505178917325E-3</v>
      </c>
      <c r="S555" s="4">
        <f t="shared" si="140"/>
        <v>4.608333</v>
      </c>
      <c r="T555">
        <v>4.6691782309002496</v>
      </c>
      <c r="U555">
        <f t="shared" si="141"/>
        <v>6.0845230900249625E-2</v>
      </c>
      <c r="V555" s="2">
        <f t="shared" si="142"/>
        <v>1.3203306032843032E-2</v>
      </c>
      <c r="W555">
        <f>(T555+5/3)/(1/12)</f>
        <v>76.030138770803006</v>
      </c>
      <c r="X555" s="2">
        <f t="shared" si="143"/>
        <v>9.69639801863207E-3</v>
      </c>
    </row>
    <row r="556" spans="5:24" x14ac:dyDescent="0.25">
      <c r="E556">
        <v>554</v>
      </c>
      <c r="F556">
        <f t="shared" si="128"/>
        <v>75.400000000000006</v>
      </c>
      <c r="G556">
        <f t="shared" si="129"/>
        <v>348.54999999999995</v>
      </c>
      <c r="H556" s="4">
        <f t="shared" si="130"/>
        <v>4.6166669999999996</v>
      </c>
      <c r="I556" s="4">
        <f t="shared" si="131"/>
        <v>1461.3580340000001</v>
      </c>
      <c r="J556" s="4">
        <f t="shared" si="132"/>
        <v>1.4813580340000001</v>
      </c>
      <c r="K556" s="4">
        <f t="shared" si="133"/>
        <v>956.54728899999998</v>
      </c>
      <c r="L556">
        <f t="shared" si="134"/>
        <v>0.95654728899999997</v>
      </c>
      <c r="M556">
        <f>$B$12*F556+$B$13</f>
        <v>0.95050402243408727</v>
      </c>
      <c r="N556">
        <f t="shared" si="135"/>
        <v>6.0432665659126972E-3</v>
      </c>
      <c r="O556" s="4">
        <f t="shared" ca="1" si="136"/>
        <v>3.489454364431487</v>
      </c>
      <c r="P556" s="4">
        <f t="shared" si="137"/>
        <v>3.5056223623106657</v>
      </c>
      <c r="Q556" s="4">
        <f t="shared" ca="1" si="138"/>
        <v>1.6167997879178664E-2</v>
      </c>
      <c r="R556" s="2">
        <f t="shared" ca="1" si="139"/>
        <v>4.6120192673924608E-3</v>
      </c>
      <c r="S556" s="4">
        <f t="shared" si="140"/>
        <v>4.6166669999999996</v>
      </c>
      <c r="T556">
        <v>4.6770009980452079</v>
      </c>
      <c r="U556">
        <f t="shared" si="141"/>
        <v>6.0333998045208226E-2</v>
      </c>
      <c r="V556" s="2">
        <f t="shared" si="142"/>
        <v>1.3068735095082282E-2</v>
      </c>
      <c r="W556">
        <f>(T556+5/3)/(1/12)</f>
        <v>76.124011976542505</v>
      </c>
      <c r="X556" s="2">
        <f t="shared" si="143"/>
        <v>9.6022808560013162E-3</v>
      </c>
    </row>
    <row r="557" spans="5:24" x14ac:dyDescent="0.25">
      <c r="E557">
        <v>555</v>
      </c>
      <c r="F557">
        <f t="shared" si="128"/>
        <v>75.5</v>
      </c>
      <c r="G557">
        <f t="shared" si="129"/>
        <v>348.65</v>
      </c>
      <c r="H557" s="4">
        <f t="shared" si="130"/>
        <v>4.625</v>
      </c>
      <c r="I557" s="4">
        <f t="shared" si="131"/>
        <v>1456.5101520000001</v>
      </c>
      <c r="J557" s="4">
        <f t="shared" si="132"/>
        <v>1.4765101520000001</v>
      </c>
      <c r="K557" s="4">
        <f t="shared" si="133"/>
        <v>954.52357700000005</v>
      </c>
      <c r="L557">
        <f t="shared" si="134"/>
        <v>0.95452357700000001</v>
      </c>
      <c r="M557">
        <f>$B$12*F557+$B$13</f>
        <v>0.94815618361119314</v>
      </c>
      <c r="N557">
        <f t="shared" si="135"/>
        <v>6.3673933888068746E-3</v>
      </c>
      <c r="O557" s="4">
        <f t="shared" ca="1" si="136"/>
        <v>3.481687</v>
      </c>
      <c r="P557" s="4">
        <f t="shared" si="137"/>
        <v>3.4969631288025722</v>
      </c>
      <c r="Q557" s="4">
        <f t="shared" ca="1" si="138"/>
        <v>1.5276128802572231E-2</v>
      </c>
      <c r="R557" s="2">
        <f t="shared" ca="1" si="139"/>
        <v>4.3683985904086646E-3</v>
      </c>
      <c r="S557" s="4">
        <f t="shared" si="140"/>
        <v>4.625</v>
      </c>
      <c r="T557">
        <v>4.6844200248908603</v>
      </c>
      <c r="U557">
        <f t="shared" si="141"/>
        <v>5.942002489086029E-2</v>
      </c>
      <c r="V557" s="2">
        <f t="shared" si="142"/>
        <v>1.2847572949375198E-2</v>
      </c>
      <c r="W557">
        <f>(T557+5/3)/(1/12)</f>
        <v>76.213040298690331</v>
      </c>
      <c r="X557" s="2">
        <f t="shared" si="143"/>
        <v>9.4442423667593454E-3</v>
      </c>
    </row>
    <row r="558" spans="5:24" x14ac:dyDescent="0.25">
      <c r="E558">
        <v>556</v>
      </c>
      <c r="F558">
        <f t="shared" si="128"/>
        <v>75.599999999999994</v>
      </c>
      <c r="G558">
        <f t="shared" si="129"/>
        <v>348.75</v>
      </c>
      <c r="H558" s="4">
        <f t="shared" si="130"/>
        <v>4.6333330000000004</v>
      </c>
      <c r="I558" s="4">
        <f t="shared" si="131"/>
        <v>1451.6808289999999</v>
      </c>
      <c r="J558" s="4">
        <f t="shared" si="132"/>
        <v>1.4716808289999999</v>
      </c>
      <c r="K558" s="4">
        <f t="shared" si="133"/>
        <v>952.50293599999998</v>
      </c>
      <c r="L558">
        <f t="shared" si="134"/>
        <v>0.95250293600000002</v>
      </c>
      <c r="M558">
        <f>$B$12*F558+$B$13</f>
        <v>0.94580834478829878</v>
      </c>
      <c r="N558">
        <f t="shared" si="135"/>
        <v>6.6945912117012396E-3</v>
      </c>
      <c r="O558" s="4">
        <f t="shared" ca="1" si="136"/>
        <v>3.4743062274052479</v>
      </c>
      <c r="P558" s="4">
        <f t="shared" si="137"/>
        <v>3.4883038952944783</v>
      </c>
      <c r="Q558" s="4">
        <f t="shared" ca="1" si="138"/>
        <v>1.3997667889230403E-2</v>
      </c>
      <c r="R558" s="2">
        <f t="shared" ca="1" si="139"/>
        <v>4.012743244105668E-3</v>
      </c>
      <c r="S558" s="4">
        <f t="shared" si="140"/>
        <v>4.6333330000000004</v>
      </c>
      <c r="T558">
        <v>4.6918492179696241</v>
      </c>
      <c r="U558">
        <f t="shared" si="141"/>
        <v>5.8516217969623696E-2</v>
      </c>
      <c r="V558" s="2">
        <f t="shared" si="142"/>
        <v>1.2629400470379248E-2</v>
      </c>
      <c r="W558">
        <f>(T558+5/3)/(1/12)</f>
        <v>76.302190615635496</v>
      </c>
      <c r="X558" s="2">
        <f t="shared" si="143"/>
        <v>9.2882356565542543E-3</v>
      </c>
    </row>
    <row r="559" spans="5:24" x14ac:dyDescent="0.25">
      <c r="E559">
        <v>557</v>
      </c>
      <c r="F559">
        <f t="shared" si="128"/>
        <v>75.7</v>
      </c>
      <c r="G559">
        <f t="shared" si="129"/>
        <v>348.84999999999997</v>
      </c>
      <c r="H559" s="4">
        <f t="shared" si="130"/>
        <v>4.641667</v>
      </c>
      <c r="I559" s="4">
        <f t="shared" si="131"/>
        <v>1446.869985</v>
      </c>
      <c r="J559" s="4">
        <f t="shared" si="132"/>
        <v>1.466869985</v>
      </c>
      <c r="K559" s="4">
        <f t="shared" si="133"/>
        <v>950.48536999999999</v>
      </c>
      <c r="L559">
        <f t="shared" si="134"/>
        <v>0.95048537</v>
      </c>
      <c r="M559">
        <f>$B$12*F559+$B$13</f>
        <v>0.94346050596540443</v>
      </c>
      <c r="N559">
        <f t="shared" si="135"/>
        <v>7.0248640345955682E-3</v>
      </c>
      <c r="O559" s="4">
        <f t="shared" ca="1" si="136"/>
        <v>3.4677385014577258</v>
      </c>
      <c r="P559" s="4">
        <f t="shared" si="137"/>
        <v>3.4796446617863839</v>
      </c>
      <c r="Q559" s="4">
        <f t="shared" ca="1" si="138"/>
        <v>1.19061603286581E-2</v>
      </c>
      <c r="R559" s="2">
        <f t="shared" ca="1" si="139"/>
        <v>3.4216598204443388E-3</v>
      </c>
      <c r="S559" s="4">
        <f t="shared" si="140"/>
        <v>4.641667</v>
      </c>
      <c r="T559">
        <v>4.6988780038281339</v>
      </c>
      <c r="U559">
        <f t="shared" si="141"/>
        <v>5.7211003828133933E-2</v>
      </c>
      <c r="V559" s="2">
        <f t="shared" si="142"/>
        <v>1.2325529562576104E-2</v>
      </c>
      <c r="W559">
        <f>(T559+5/3)/(1/12)</f>
        <v>76.386536045937618</v>
      </c>
      <c r="X559" s="2">
        <f t="shared" si="143"/>
        <v>9.0691683743410155E-3</v>
      </c>
    </row>
    <row r="560" spans="5:24" x14ac:dyDescent="0.25">
      <c r="E560">
        <v>558</v>
      </c>
      <c r="F560">
        <f t="shared" si="128"/>
        <v>75.800000000000011</v>
      </c>
      <c r="G560">
        <f t="shared" si="129"/>
        <v>348.95</v>
      </c>
      <c r="H560" s="4">
        <f t="shared" si="130"/>
        <v>4.6500000000000004</v>
      </c>
      <c r="I560" s="4">
        <f t="shared" si="131"/>
        <v>1442.07754</v>
      </c>
      <c r="J560" s="4">
        <f t="shared" si="132"/>
        <v>1.4620775400000001</v>
      </c>
      <c r="K560" s="4">
        <f t="shared" si="133"/>
        <v>948.47088299999996</v>
      </c>
      <c r="L560">
        <f t="shared" si="134"/>
        <v>0.94847088299999993</v>
      </c>
      <c r="M560">
        <f>$B$12*F560+$B$13</f>
        <v>0.94111266714250985</v>
      </c>
      <c r="N560">
        <f t="shared" si="135"/>
        <v>7.3582158574900802E-3</v>
      </c>
      <c r="O560" s="4">
        <f t="shared" ca="1" si="136"/>
        <v>3.4596089999999999</v>
      </c>
      <c r="P560" s="4">
        <f t="shared" si="137"/>
        <v>3.470985428278289</v>
      </c>
      <c r="Q560" s="4">
        <f t="shared" ca="1" si="138"/>
        <v>1.1376428278289108E-2</v>
      </c>
      <c r="R560" s="2">
        <f t="shared" ca="1" si="139"/>
        <v>3.2775788067575238E-3</v>
      </c>
      <c r="S560" s="4">
        <f t="shared" si="140"/>
        <v>4.6500000000000004</v>
      </c>
      <c r="T560">
        <v>4.7063280906270082</v>
      </c>
      <c r="U560">
        <f t="shared" si="141"/>
        <v>5.6328090627007832E-2</v>
      </c>
      <c r="V560" s="2">
        <f t="shared" si="142"/>
        <v>1.2113567876775876E-2</v>
      </c>
      <c r="W560">
        <f>(T560+5/3)/(1/12)</f>
        <v>76.475937087524102</v>
      </c>
      <c r="X560" s="2">
        <f t="shared" si="143"/>
        <v>8.9173758248560723E-3</v>
      </c>
    </row>
    <row r="561" spans="5:24" x14ac:dyDescent="0.25">
      <c r="E561">
        <v>559</v>
      </c>
      <c r="F561">
        <f t="shared" si="128"/>
        <v>75.900000000000006</v>
      </c>
      <c r="G561">
        <f t="shared" si="129"/>
        <v>349.04999999999995</v>
      </c>
      <c r="H561" s="4">
        <f t="shared" si="130"/>
        <v>4.6583329999999998</v>
      </c>
      <c r="I561" s="4">
        <f t="shared" si="131"/>
        <v>1437.3034170000001</v>
      </c>
      <c r="J561" s="4">
        <f t="shared" si="132"/>
        <v>1.4573034170000001</v>
      </c>
      <c r="K561" s="4">
        <f t="shared" si="133"/>
        <v>946.45947899999999</v>
      </c>
      <c r="L561">
        <f t="shared" si="134"/>
        <v>0.94645947900000005</v>
      </c>
      <c r="M561">
        <f>$B$12*F561+$B$13</f>
        <v>0.9387648283196155</v>
      </c>
      <c r="N561">
        <f t="shared" si="135"/>
        <v>7.6946506803845516E-3</v>
      </c>
      <c r="O561" s="4">
        <f t="shared" ca="1" si="136"/>
        <v>3.4518876355685131</v>
      </c>
      <c r="P561" s="4">
        <f t="shared" si="137"/>
        <v>3.4623261947701947</v>
      </c>
      <c r="Q561" s="4">
        <f t="shared" ca="1" si="138"/>
        <v>1.0438559201681574E-2</v>
      </c>
      <c r="R561" s="2">
        <f t="shared" ca="1" si="139"/>
        <v>3.0148976770152107E-3</v>
      </c>
      <c r="S561" s="4">
        <f t="shared" si="140"/>
        <v>4.6583329999999998</v>
      </c>
      <c r="T561">
        <v>4.7137880206501963</v>
      </c>
      <c r="U561">
        <f t="shared" si="141"/>
        <v>5.5455020650196474E-2</v>
      </c>
      <c r="V561" s="2">
        <f t="shared" si="142"/>
        <v>1.1904477556713202E-2</v>
      </c>
      <c r="W561">
        <f>(T561+5/3)/(1/12)</f>
        <v>76.565456247802359</v>
      </c>
      <c r="X561" s="2">
        <f t="shared" si="143"/>
        <v>8.7675394967372013E-3</v>
      </c>
    </row>
    <row r="562" spans="5:24" x14ac:dyDescent="0.25">
      <c r="E562">
        <v>560</v>
      </c>
      <c r="F562">
        <f t="shared" si="128"/>
        <v>76</v>
      </c>
      <c r="G562">
        <f t="shared" si="129"/>
        <v>349.15</v>
      </c>
      <c r="H562" s="4">
        <f t="shared" si="130"/>
        <v>4.6666670000000003</v>
      </c>
      <c r="I562" s="4">
        <f t="shared" si="131"/>
        <v>1432.5475349999999</v>
      </c>
      <c r="J562" s="4">
        <f t="shared" si="132"/>
        <v>1.4525475349999999</v>
      </c>
      <c r="K562" s="4">
        <f t="shared" si="133"/>
        <v>944.45116199999995</v>
      </c>
      <c r="L562">
        <f t="shared" si="134"/>
        <v>0.94445116200000001</v>
      </c>
      <c r="M562">
        <f>$B$12*F562+$B$13</f>
        <v>0.93641698949672136</v>
      </c>
      <c r="N562">
        <f t="shared" si="135"/>
        <v>8.0341725032786471E-3</v>
      </c>
      <c r="O562" s="4">
        <f t="shared" ca="1" si="136"/>
        <v>3.4453323644314868</v>
      </c>
      <c r="P562" s="4">
        <f t="shared" si="137"/>
        <v>3.4536669612621012</v>
      </c>
      <c r="Q562" s="4">
        <f t="shared" ca="1" si="138"/>
        <v>8.334596830614327E-3</v>
      </c>
      <c r="R562" s="2">
        <f t="shared" ca="1" si="139"/>
        <v>2.4132601446806988E-3</v>
      </c>
      <c r="S562" s="4">
        <f t="shared" si="140"/>
        <v>4.6666670000000003</v>
      </c>
      <c r="T562">
        <v>4.7208498690560932</v>
      </c>
      <c r="U562">
        <f t="shared" si="141"/>
        <v>5.4182869056092819E-2</v>
      </c>
      <c r="V562" s="2">
        <f t="shared" si="142"/>
        <v>1.1610613968404605E-2</v>
      </c>
      <c r="W562">
        <f>(T562+5/3)/(1/12)</f>
        <v>76.650198428673121</v>
      </c>
      <c r="X562" s="2">
        <f t="shared" si="143"/>
        <v>8.5552424825410724E-3</v>
      </c>
    </row>
    <row r="563" spans="5:24" x14ac:dyDescent="0.25">
      <c r="E563">
        <v>561</v>
      </c>
      <c r="F563">
        <f t="shared" si="128"/>
        <v>76.099999999999994</v>
      </c>
      <c r="G563">
        <f t="shared" si="129"/>
        <v>349.25</v>
      </c>
      <c r="H563" s="4">
        <f t="shared" si="130"/>
        <v>4.6749999999999998</v>
      </c>
      <c r="I563" s="4">
        <f t="shared" si="131"/>
        <v>1427.8098170000001</v>
      </c>
      <c r="J563" s="4">
        <f t="shared" si="132"/>
        <v>1.447809817</v>
      </c>
      <c r="K563" s="4">
        <f t="shared" si="133"/>
        <v>942.44593599999996</v>
      </c>
      <c r="L563">
        <f t="shared" si="134"/>
        <v>0.94244593599999993</v>
      </c>
      <c r="M563">
        <f>$B$12*F563+$B$13</f>
        <v>0.93406915067382723</v>
      </c>
      <c r="N563">
        <f t="shared" si="135"/>
        <v>8.3767853261726977E-3</v>
      </c>
      <c r="O563" s="4">
        <f t="shared" ca="1" si="136"/>
        <v>3.4372476355685131</v>
      </c>
      <c r="P563" s="4">
        <f t="shared" si="137"/>
        <v>3.4450077277540077</v>
      </c>
      <c r="Q563" s="4">
        <f t="shared" ca="1" si="138"/>
        <v>7.7600921854945604E-3</v>
      </c>
      <c r="R563" s="2">
        <f t="shared" ca="1" si="139"/>
        <v>2.2525616192314891E-3</v>
      </c>
      <c r="S563" s="4">
        <f t="shared" si="140"/>
        <v>4.6749999999999998</v>
      </c>
      <c r="T563">
        <v>4.7287369848233602</v>
      </c>
      <c r="U563">
        <f t="shared" si="141"/>
        <v>5.3736984823360423E-2</v>
      </c>
      <c r="V563" s="2">
        <f t="shared" si="142"/>
        <v>1.1494542208205439E-2</v>
      </c>
      <c r="W563">
        <f>(T563+5/3)/(1/12)</f>
        <v>76.744843817880337</v>
      </c>
      <c r="X563" s="2">
        <f t="shared" si="143"/>
        <v>8.473637554275203E-3</v>
      </c>
    </row>
    <row r="564" spans="5:24" x14ac:dyDescent="0.25">
      <c r="E564">
        <v>562</v>
      </c>
      <c r="F564">
        <f t="shared" si="128"/>
        <v>76.2</v>
      </c>
      <c r="G564">
        <f t="shared" si="129"/>
        <v>349.34999999999997</v>
      </c>
      <c r="H564" s="4">
        <f t="shared" si="130"/>
        <v>4.6833330000000002</v>
      </c>
      <c r="I564" s="4">
        <f t="shared" si="131"/>
        <v>1423.0901839999999</v>
      </c>
      <c r="J564" s="4">
        <f t="shared" si="132"/>
        <v>1.4430901839999999</v>
      </c>
      <c r="K564" s="4">
        <f t="shared" si="133"/>
        <v>940.443805</v>
      </c>
      <c r="L564">
        <f t="shared" si="134"/>
        <v>0.94044380500000002</v>
      </c>
      <c r="M564">
        <f>$B$12*F564+$B$13</f>
        <v>0.93172131185093265</v>
      </c>
      <c r="N564">
        <f t="shared" si="135"/>
        <v>8.7224931490673674E-3</v>
      </c>
      <c r="O564" s="4">
        <f t="shared" ca="1" si="136"/>
        <v>3.4307261370262392</v>
      </c>
      <c r="P564" s="4">
        <f t="shared" si="137"/>
        <v>3.4363484942459128</v>
      </c>
      <c r="Q564" s="4">
        <f t="shared" ca="1" si="138"/>
        <v>5.6223572196736349E-3</v>
      </c>
      <c r="R564" s="2">
        <f t="shared" ca="1" si="139"/>
        <v>1.6361429084064505E-3</v>
      </c>
      <c r="S564" s="4">
        <f t="shared" si="140"/>
        <v>4.6833330000000002</v>
      </c>
      <c r="T564">
        <v>4.7362258067890339</v>
      </c>
      <c r="U564">
        <f t="shared" si="141"/>
        <v>5.2892806789033742E-2</v>
      </c>
      <c r="V564" s="2">
        <f t="shared" si="142"/>
        <v>1.1293838552380055E-2</v>
      </c>
      <c r="W564">
        <f>(T564+5/3)/(1/12)</f>
        <v>76.834709681468411</v>
      </c>
      <c r="X564" s="2">
        <f t="shared" si="143"/>
        <v>8.3295233788504962E-3</v>
      </c>
    </row>
    <row r="565" spans="5:24" x14ac:dyDescent="0.25">
      <c r="E565">
        <v>563</v>
      </c>
      <c r="F565">
        <f t="shared" si="128"/>
        <v>76.300000000000011</v>
      </c>
      <c r="G565">
        <f t="shared" si="129"/>
        <v>349.45</v>
      </c>
      <c r="H565" s="4">
        <f t="shared" si="130"/>
        <v>4.6916669999999998</v>
      </c>
      <c r="I565" s="4">
        <f t="shared" si="131"/>
        <v>1418.3885600000001</v>
      </c>
      <c r="J565" s="4">
        <f t="shared" si="132"/>
        <v>1.4383885600000001</v>
      </c>
      <c r="K565" s="4">
        <f t="shared" si="133"/>
        <v>938.44477300000005</v>
      </c>
      <c r="L565">
        <f t="shared" si="134"/>
        <v>0.93844477300000007</v>
      </c>
      <c r="M565">
        <f>$B$12*F565+$B$13</f>
        <v>0.92937347302803808</v>
      </c>
      <c r="N565">
        <f t="shared" si="135"/>
        <v>9.071299971961988E-3</v>
      </c>
      <c r="O565" s="4">
        <f t="shared" ca="1" si="136"/>
        <v>3.4238205014577261</v>
      </c>
      <c r="P565" s="4">
        <f t="shared" si="137"/>
        <v>3.4276892607378175</v>
      </c>
      <c r="Q565" s="4">
        <f t="shared" ca="1" si="138"/>
        <v>3.8687592800914494E-3</v>
      </c>
      <c r="R565" s="2">
        <f t="shared" ca="1" si="139"/>
        <v>1.1286785311626208E-3</v>
      </c>
      <c r="S565" s="4">
        <f t="shared" si="140"/>
        <v>4.6916669999999998</v>
      </c>
      <c r="T565">
        <v>4.7433188623282527</v>
      </c>
      <c r="U565">
        <f t="shared" si="141"/>
        <v>5.1651862328252918E-2</v>
      </c>
      <c r="V565" s="2">
        <f t="shared" si="142"/>
        <v>1.1009277156339724E-2</v>
      </c>
      <c r="W565">
        <f>(T565+5/3)/(1/12)</f>
        <v>76.919826347939036</v>
      </c>
      <c r="X565" s="2">
        <f t="shared" si="143"/>
        <v>8.1235432233161837E-3</v>
      </c>
    </row>
    <row r="566" spans="5:24" x14ac:dyDescent="0.25">
      <c r="E566">
        <v>564</v>
      </c>
      <c r="F566">
        <f t="shared" si="128"/>
        <v>76.400000000000006</v>
      </c>
      <c r="G566">
        <f t="shared" si="129"/>
        <v>349.54999999999995</v>
      </c>
      <c r="H566" s="4">
        <f t="shared" si="130"/>
        <v>4.7</v>
      </c>
      <c r="I566" s="4">
        <f t="shared" si="131"/>
        <v>1413.704866</v>
      </c>
      <c r="J566" s="4">
        <f t="shared" si="132"/>
        <v>1.433704866</v>
      </c>
      <c r="K566" s="4">
        <f t="shared" si="133"/>
        <v>936.44884300000001</v>
      </c>
      <c r="L566">
        <f t="shared" si="134"/>
        <v>0.93644884299999998</v>
      </c>
      <c r="M566">
        <f>$B$12*F566+$B$13</f>
        <v>0.92702563420514394</v>
      </c>
      <c r="N566">
        <f t="shared" si="135"/>
        <v>9.4232087948560306E-3</v>
      </c>
      <c r="O566" s="4">
        <f t="shared" ca="1" si="136"/>
        <v>3.4161433644314867</v>
      </c>
      <c r="P566" s="4">
        <f t="shared" si="137"/>
        <v>3.4190300272297245</v>
      </c>
      <c r="Q566" s="4">
        <f t="shared" ca="1" si="138"/>
        <v>2.8866627982377935E-3</v>
      </c>
      <c r="R566" s="2">
        <f t="shared" ca="1" si="139"/>
        <v>8.4429290624765804E-4</v>
      </c>
      <c r="S566" s="4">
        <f t="shared" si="140"/>
        <v>4.7</v>
      </c>
      <c r="T566">
        <v>4.7504229825898188</v>
      </c>
      <c r="U566">
        <f t="shared" si="141"/>
        <v>5.0422982589818588E-2</v>
      </c>
      <c r="V566" s="2">
        <f t="shared" si="142"/>
        <v>1.0728294168046508E-2</v>
      </c>
      <c r="W566">
        <f>(T566+5/3)/(1/12)</f>
        <v>77.005075791077829</v>
      </c>
      <c r="X566" s="2">
        <f t="shared" si="143"/>
        <v>7.9198401973537037E-3</v>
      </c>
    </row>
    <row r="567" spans="5:24" x14ac:dyDescent="0.25">
      <c r="E567">
        <v>565</v>
      </c>
      <c r="F567">
        <f t="shared" si="128"/>
        <v>76.5</v>
      </c>
      <c r="G567">
        <f t="shared" si="129"/>
        <v>349.65</v>
      </c>
      <c r="H567" s="4">
        <f t="shared" si="130"/>
        <v>4.7083329999999997</v>
      </c>
      <c r="I567" s="4">
        <f t="shared" si="131"/>
        <v>1409.0390259999999</v>
      </c>
      <c r="J567" s="4">
        <f t="shared" si="132"/>
        <v>1.4290390259999999</v>
      </c>
      <c r="K567" s="4">
        <f t="shared" si="133"/>
        <v>934.45601899999997</v>
      </c>
      <c r="L567">
        <f t="shared" si="134"/>
        <v>0.93445601899999997</v>
      </c>
      <c r="M567">
        <f>$B$12*F567+$B$13</f>
        <v>0.92467779538224959</v>
      </c>
      <c r="N567">
        <f t="shared" si="135"/>
        <v>9.7782236177503812E-3</v>
      </c>
      <c r="O567" s="4">
        <f t="shared" ca="1" si="136"/>
        <v>3.4084889999999999</v>
      </c>
      <c r="P567" s="4">
        <f t="shared" si="137"/>
        <v>3.4103707937216301</v>
      </c>
      <c r="Q567" s="4">
        <f t="shared" ca="1" si="138"/>
        <v>1.8817937216302205E-3</v>
      </c>
      <c r="R567" s="2">
        <f t="shared" ca="1" si="139"/>
        <v>5.5178566655993393E-4</v>
      </c>
      <c r="S567" s="4">
        <f t="shared" si="140"/>
        <v>4.7083329999999997</v>
      </c>
      <c r="T567">
        <v>4.758344929670824</v>
      </c>
      <c r="U567">
        <f t="shared" si="141"/>
        <v>5.0011929670824351E-2</v>
      </c>
      <c r="V567" s="2">
        <f t="shared" si="142"/>
        <v>1.0622003513945244E-2</v>
      </c>
      <c r="W567">
        <f>(T567+5/3)/(1/12)</f>
        <v>77.100139156049892</v>
      </c>
      <c r="X567" s="2">
        <f t="shared" si="143"/>
        <v>7.8449562882338779E-3</v>
      </c>
    </row>
    <row r="568" spans="5:24" x14ac:dyDescent="0.25">
      <c r="E568">
        <v>566</v>
      </c>
      <c r="F568">
        <f t="shared" si="128"/>
        <v>76.599999999999994</v>
      </c>
      <c r="G568">
        <f t="shared" si="129"/>
        <v>349.75</v>
      </c>
      <c r="H568" s="4">
        <f t="shared" si="130"/>
        <v>4.7166670000000002</v>
      </c>
      <c r="I568" s="4">
        <f t="shared" si="131"/>
        <v>1404.3909630000001</v>
      </c>
      <c r="J568" s="4">
        <f t="shared" si="132"/>
        <v>1.424390963</v>
      </c>
      <c r="K568" s="4">
        <f t="shared" si="133"/>
        <v>932.46630500000003</v>
      </c>
      <c r="L568">
        <f t="shared" si="134"/>
        <v>0.93246630500000005</v>
      </c>
      <c r="M568">
        <f>$B$12*F568+$B$13</f>
        <v>0.92232995655935546</v>
      </c>
      <c r="N568">
        <f t="shared" si="135"/>
        <v>1.0136348440644594E-2</v>
      </c>
      <c r="O568" s="4">
        <f t="shared" ca="1" si="136"/>
        <v>3.4004504985422739</v>
      </c>
      <c r="P568" s="4">
        <f t="shared" si="137"/>
        <v>3.4017115602135366</v>
      </c>
      <c r="Q568" s="4">
        <f t="shared" ca="1" si="138"/>
        <v>1.2610616712627198E-3</v>
      </c>
      <c r="R568" s="2">
        <f t="shared" ca="1" si="139"/>
        <v>3.7071387416032383E-4</v>
      </c>
      <c r="S568" s="4">
        <f t="shared" si="140"/>
        <v>4.7166670000000002</v>
      </c>
      <c r="T568">
        <v>4.7654691055465204</v>
      </c>
      <c r="U568">
        <f t="shared" si="141"/>
        <v>4.8802105546520202E-2</v>
      </c>
      <c r="V568" s="2">
        <f t="shared" si="142"/>
        <v>1.0346735427054783E-2</v>
      </c>
      <c r="W568">
        <f>(T568+5/3)/(1/12)</f>
        <v>77.185629266558252</v>
      </c>
      <c r="X568" s="2">
        <f t="shared" si="143"/>
        <v>7.6452906861391289E-3</v>
      </c>
    </row>
    <row r="569" spans="5:24" x14ac:dyDescent="0.25">
      <c r="E569">
        <v>567</v>
      </c>
      <c r="F569">
        <f t="shared" si="128"/>
        <v>76.7</v>
      </c>
      <c r="G569">
        <f t="shared" si="129"/>
        <v>349.84999999999997</v>
      </c>
      <c r="H569" s="4">
        <f t="shared" si="130"/>
        <v>4.7249999999999996</v>
      </c>
      <c r="I569" s="4">
        <f t="shared" si="131"/>
        <v>1399.7606020000001</v>
      </c>
      <c r="J569" s="4">
        <f t="shared" si="132"/>
        <v>1.419760602</v>
      </c>
      <c r="K569" s="4">
        <f t="shared" si="133"/>
        <v>930.47970399999997</v>
      </c>
      <c r="L569">
        <f t="shared" si="134"/>
        <v>0.93047970400000002</v>
      </c>
      <c r="M569">
        <f>$B$12*F569+$B$13</f>
        <v>0.91998211773646088</v>
      </c>
      <c r="N569">
        <f t="shared" si="135"/>
        <v>1.0497586263539138E-2</v>
      </c>
      <c r="O569" s="4">
        <f t="shared" ca="1" si="136"/>
        <v>3.3943703644314867</v>
      </c>
      <c r="P569" s="4">
        <f t="shared" si="137"/>
        <v>3.3930523267054418</v>
      </c>
      <c r="Q569" s="4">
        <f t="shared" ca="1" si="138"/>
        <v>1.318037726044885E-3</v>
      </c>
      <c r="R569" s="2">
        <f t="shared" ca="1" si="139"/>
        <v>3.8845193033750311E-4</v>
      </c>
      <c r="S569" s="4">
        <f t="shared" si="140"/>
        <v>4.7249999999999996</v>
      </c>
      <c r="T569">
        <v>4.7726040222064894</v>
      </c>
      <c r="U569">
        <f t="shared" si="141"/>
        <v>4.7604022206489738E-2</v>
      </c>
      <c r="V569" s="2">
        <f t="shared" si="142"/>
        <v>1.0074925334706823E-2</v>
      </c>
      <c r="W569">
        <f>(T569+5/3)/(1/12)</f>
        <v>77.271248266477883</v>
      </c>
      <c r="X569" s="2">
        <f t="shared" si="143"/>
        <v>7.4478261600766675E-3</v>
      </c>
    </row>
    <row r="570" spans="5:24" x14ac:dyDescent="0.25">
      <c r="E570">
        <v>568</v>
      </c>
      <c r="F570">
        <f t="shared" si="128"/>
        <v>76.800000000000011</v>
      </c>
      <c r="G570">
        <f t="shared" si="129"/>
        <v>349.95</v>
      </c>
      <c r="H570" s="4">
        <f t="shared" si="130"/>
        <v>4.733333</v>
      </c>
      <c r="I570" s="4">
        <f t="shared" si="131"/>
        <v>1395.147866</v>
      </c>
      <c r="J570" s="4">
        <f t="shared" si="132"/>
        <v>1.4151478660000001</v>
      </c>
      <c r="K570" s="4">
        <f t="shared" si="133"/>
        <v>928.49621999999999</v>
      </c>
      <c r="L570">
        <f t="shared" si="134"/>
        <v>0.92849621999999998</v>
      </c>
      <c r="M570">
        <f>$B$12*F570+$B$13</f>
        <v>0.9176342789135663</v>
      </c>
      <c r="N570">
        <f t="shared" si="135"/>
        <v>1.086194108643368E-2</v>
      </c>
      <c r="O570" s="4">
        <f t="shared" ca="1" si="136"/>
        <v>3.3859694985422739</v>
      </c>
      <c r="P570" s="4">
        <f t="shared" si="137"/>
        <v>3.3843930931973465</v>
      </c>
      <c r="Q570" s="4">
        <f t="shared" ca="1" si="138"/>
        <v>1.5764053449274229E-3</v>
      </c>
      <c r="R570" s="2">
        <f t="shared" ca="1" si="139"/>
        <v>4.6578671611640163E-4</v>
      </c>
      <c r="S570" s="4">
        <f t="shared" si="140"/>
        <v>4.733333</v>
      </c>
      <c r="T570">
        <v>4.7801503943729688</v>
      </c>
      <c r="U570">
        <f t="shared" si="141"/>
        <v>4.6817394372968835E-2</v>
      </c>
      <c r="V570" s="2">
        <f t="shared" si="142"/>
        <v>9.8909995077398599E-3</v>
      </c>
      <c r="W570">
        <f>(T570+5/3)/(1/12)</f>
        <v>77.361804732475633</v>
      </c>
      <c r="X570" s="2">
        <f t="shared" si="143"/>
        <v>7.3151657874429921E-3</v>
      </c>
    </row>
    <row r="571" spans="5:24" x14ac:dyDescent="0.25">
      <c r="E571">
        <v>569</v>
      </c>
      <c r="F571">
        <f t="shared" si="128"/>
        <v>76.900000000000006</v>
      </c>
      <c r="G571">
        <f t="shared" si="129"/>
        <v>350.04999999999995</v>
      </c>
      <c r="H571" s="4">
        <f t="shared" si="130"/>
        <v>4.7416669999999996</v>
      </c>
      <c r="I571" s="4">
        <f t="shared" si="131"/>
        <v>1390.55268</v>
      </c>
      <c r="J571" s="4">
        <f t="shared" si="132"/>
        <v>1.4105526800000001</v>
      </c>
      <c r="K571" s="4">
        <f t="shared" si="133"/>
        <v>926.51585599999999</v>
      </c>
      <c r="L571">
        <f t="shared" si="134"/>
        <v>0.92651585599999997</v>
      </c>
      <c r="M571">
        <f>$B$12*F571+$B$13</f>
        <v>0.91528644009067217</v>
      </c>
      <c r="N571">
        <f t="shared" si="135"/>
        <v>1.12294159093278E-2</v>
      </c>
      <c r="O571" s="4">
        <f t="shared" ca="1" si="136"/>
        <v>3.379923137026239</v>
      </c>
      <c r="P571" s="4">
        <f t="shared" si="137"/>
        <v>3.375733859689253</v>
      </c>
      <c r="Q571" s="4">
        <f t="shared" ca="1" si="138"/>
        <v>4.1892773369860414E-3</v>
      </c>
      <c r="R571" s="2">
        <f t="shared" ca="1" si="139"/>
        <v>1.240997516721202E-3</v>
      </c>
      <c r="S571" s="4">
        <f t="shared" si="140"/>
        <v>4.7416669999999996</v>
      </c>
      <c r="T571">
        <v>4.7873055994001321</v>
      </c>
      <c r="U571">
        <f t="shared" si="141"/>
        <v>4.5638599400132485E-2</v>
      </c>
      <c r="V571" s="2">
        <f t="shared" si="142"/>
        <v>9.625011499148399E-3</v>
      </c>
      <c r="W571">
        <f>(T571+5/3)/(1/12)</f>
        <v>77.447667192801589</v>
      </c>
      <c r="X571" s="2">
        <f t="shared" si="143"/>
        <v>7.1218100494354125E-3</v>
      </c>
    </row>
    <row r="572" spans="5:24" x14ac:dyDescent="0.25">
      <c r="E572">
        <v>570</v>
      </c>
      <c r="F572">
        <f t="shared" si="128"/>
        <v>77</v>
      </c>
      <c r="G572">
        <f t="shared" si="129"/>
        <v>350.15</v>
      </c>
      <c r="H572" s="4">
        <f t="shared" si="130"/>
        <v>4.75</v>
      </c>
      <c r="I572" s="4">
        <f t="shared" si="131"/>
        <v>1385.97497</v>
      </c>
      <c r="J572" s="4">
        <f t="shared" si="132"/>
        <v>1.4059749699999999</v>
      </c>
      <c r="K572" s="4">
        <f t="shared" si="133"/>
        <v>924.53861700000004</v>
      </c>
      <c r="L572">
        <f t="shared" si="134"/>
        <v>0.92453861700000006</v>
      </c>
      <c r="M572">
        <f>$B$12*F572+$B$13</f>
        <v>0.91293860126777782</v>
      </c>
      <c r="N572">
        <f t="shared" si="135"/>
        <v>1.1600015732222246E-2</v>
      </c>
      <c r="O572" s="4">
        <f t="shared" ca="1" si="136"/>
        <v>3.3730965014577259</v>
      </c>
      <c r="P572" s="4">
        <f t="shared" si="137"/>
        <v>3.367074626181159</v>
      </c>
      <c r="Q572" s="4">
        <f t="shared" ca="1" si="138"/>
        <v>6.0218752765668349E-3</v>
      </c>
      <c r="R572" s="2">
        <f t="shared" ca="1" si="139"/>
        <v>1.7884591062350987E-3</v>
      </c>
      <c r="S572" s="4">
        <f t="shared" si="140"/>
        <v>4.75</v>
      </c>
      <c r="T572">
        <v>4.7944712228992694</v>
      </c>
      <c r="U572">
        <f t="shared" si="141"/>
        <v>4.4471222899269414E-2</v>
      </c>
      <c r="V572" s="2">
        <f t="shared" si="142"/>
        <v>9.3623627156356661E-3</v>
      </c>
      <c r="W572">
        <f>(T572+5/3)/(1/12)</f>
        <v>77.533654674791237</v>
      </c>
      <c r="X572" s="2">
        <f t="shared" si="143"/>
        <v>6.9305801920939809E-3</v>
      </c>
    </row>
    <row r="573" spans="5:24" x14ac:dyDescent="0.25">
      <c r="E573">
        <v>571</v>
      </c>
      <c r="F573">
        <f t="shared" si="128"/>
        <v>77.099999999999994</v>
      </c>
      <c r="G573">
        <f t="shared" si="129"/>
        <v>350.25</v>
      </c>
      <c r="H573" s="4">
        <f t="shared" si="130"/>
        <v>4.7583330000000004</v>
      </c>
      <c r="I573" s="4">
        <f t="shared" si="131"/>
        <v>1381.414659</v>
      </c>
      <c r="J573" s="4">
        <f t="shared" si="132"/>
        <v>1.4014146590000001</v>
      </c>
      <c r="K573" s="4">
        <f t="shared" si="133"/>
        <v>922.56450400000006</v>
      </c>
      <c r="L573">
        <f t="shared" si="134"/>
        <v>0.92256450400000012</v>
      </c>
      <c r="M573">
        <f>$B$12*F573+$B$13</f>
        <v>0.91059076244488368</v>
      </c>
      <c r="N573">
        <f t="shared" si="135"/>
        <v>1.1973741555116435E-2</v>
      </c>
      <c r="O573" s="4">
        <f t="shared" ca="1" si="136"/>
        <v>3.3655101370262392</v>
      </c>
      <c r="P573" s="4">
        <f t="shared" si="137"/>
        <v>3.3584153926730655</v>
      </c>
      <c r="Q573" s="4">
        <f t="shared" ca="1" si="138"/>
        <v>7.0947443531736987E-3</v>
      </c>
      <c r="R573" s="2">
        <f t="shared" ca="1" si="139"/>
        <v>2.1125273450842467E-3</v>
      </c>
      <c r="S573" s="4">
        <f t="shared" si="140"/>
        <v>4.7583330000000004</v>
      </c>
      <c r="T573">
        <v>4.8016471574234059</v>
      </c>
      <c r="U573">
        <f t="shared" si="141"/>
        <v>4.3314157423405497E-2</v>
      </c>
      <c r="V573" s="2">
        <f t="shared" si="142"/>
        <v>9.1028007967087418E-3</v>
      </c>
      <c r="W573">
        <f>(T573+5/3)/(1/12)</f>
        <v>77.619765889080881</v>
      </c>
      <c r="X573" s="2">
        <f t="shared" si="143"/>
        <v>6.7414512202449645E-3</v>
      </c>
    </row>
    <row r="574" spans="5:24" x14ac:dyDescent="0.25">
      <c r="E574">
        <v>572</v>
      </c>
      <c r="F574">
        <f t="shared" si="128"/>
        <v>77.2</v>
      </c>
      <c r="G574">
        <f t="shared" si="129"/>
        <v>350.34999999999997</v>
      </c>
      <c r="H574" s="4">
        <f t="shared" si="130"/>
        <v>4.766667</v>
      </c>
      <c r="I574" s="4">
        <f t="shared" si="131"/>
        <v>1376.8716750000001</v>
      </c>
      <c r="J574" s="4">
        <f t="shared" si="132"/>
        <v>1.3968716750000001</v>
      </c>
      <c r="K574" s="4">
        <f t="shared" si="133"/>
        <v>920.59352200000001</v>
      </c>
      <c r="L574">
        <f t="shared" si="134"/>
        <v>0.920593522</v>
      </c>
      <c r="M574">
        <f>$B$12*F574+$B$13</f>
        <v>0.90824292362198911</v>
      </c>
      <c r="N574">
        <f t="shared" si="135"/>
        <v>1.2350598378010891E-2</v>
      </c>
      <c r="O574" s="4">
        <f t="shared" ca="1" si="136"/>
        <v>3.3579142274052476</v>
      </c>
      <c r="P574" s="4">
        <f t="shared" si="137"/>
        <v>3.3497561591649703</v>
      </c>
      <c r="Q574" s="4">
        <f t="shared" ca="1" si="138"/>
        <v>8.1580682402773164E-3</v>
      </c>
      <c r="R574" s="2">
        <f t="shared" ca="1" si="139"/>
        <v>2.4354215210431814E-3</v>
      </c>
      <c r="S574" s="4">
        <f t="shared" si="140"/>
        <v>4.766667</v>
      </c>
      <c r="T574">
        <v>4.8092306547737316</v>
      </c>
      <c r="U574">
        <f t="shared" si="141"/>
        <v>4.2563654773731585E-2</v>
      </c>
      <c r="V574" s="2">
        <f t="shared" si="142"/>
        <v>8.9294374399830293E-3</v>
      </c>
      <c r="W574">
        <f>(T574+5/3)/(1/12)</f>
        <v>77.710767857284793</v>
      </c>
      <c r="X574" s="2">
        <f t="shared" si="143"/>
        <v>6.6161639544661949E-3</v>
      </c>
    </row>
    <row r="575" spans="5:24" x14ac:dyDescent="0.25">
      <c r="E575">
        <v>573</v>
      </c>
      <c r="F575">
        <f t="shared" si="128"/>
        <v>77.300000000000011</v>
      </c>
      <c r="G575">
        <f t="shared" si="129"/>
        <v>350.45</v>
      </c>
      <c r="H575" s="4">
        <f t="shared" si="130"/>
        <v>4.7750000000000004</v>
      </c>
      <c r="I575" s="4">
        <f t="shared" si="131"/>
        <v>1372.3459419999999</v>
      </c>
      <c r="J575" s="4">
        <f t="shared" si="132"/>
        <v>1.3923459419999999</v>
      </c>
      <c r="K575" s="4">
        <f t="shared" si="133"/>
        <v>918.62567300000001</v>
      </c>
      <c r="L575">
        <f t="shared" si="134"/>
        <v>0.91862567299999998</v>
      </c>
      <c r="M575">
        <f>$B$12*F575+$B$13</f>
        <v>0.90589508479909453</v>
      </c>
      <c r="N575">
        <f t="shared" si="135"/>
        <v>1.2730588200905446E-2</v>
      </c>
      <c r="O575" s="4">
        <f t="shared" ca="1" si="136"/>
        <v>3.3499654985422742</v>
      </c>
      <c r="P575" s="4">
        <f t="shared" si="137"/>
        <v>3.3410969256568754</v>
      </c>
      <c r="Q575" s="4">
        <f t="shared" ca="1" si="138"/>
        <v>8.8685728853987733E-3</v>
      </c>
      <c r="R575" s="2">
        <f t="shared" ca="1" si="139"/>
        <v>2.6543895860354815E-3</v>
      </c>
      <c r="S575" s="4">
        <f t="shared" si="140"/>
        <v>4.7750000000000004</v>
      </c>
      <c r="T575">
        <v>4.8164260282163109</v>
      </c>
      <c r="U575">
        <f t="shared" si="141"/>
        <v>4.1426028216310584E-2</v>
      </c>
      <c r="V575" s="2">
        <f t="shared" si="142"/>
        <v>8.675608003415828E-3</v>
      </c>
      <c r="W575">
        <f>(T575+5/3)/(1/12)</f>
        <v>77.797112338595738</v>
      </c>
      <c r="X575" s="2">
        <f t="shared" si="143"/>
        <v>6.4309487528554582E-3</v>
      </c>
    </row>
    <row r="576" spans="5:24" x14ac:dyDescent="0.25">
      <c r="E576">
        <v>574</v>
      </c>
      <c r="F576">
        <f t="shared" si="128"/>
        <v>77.400000000000006</v>
      </c>
      <c r="G576">
        <f t="shared" si="129"/>
        <v>350.54999999999995</v>
      </c>
      <c r="H576" s="4">
        <f t="shared" si="130"/>
        <v>4.7833329999999998</v>
      </c>
      <c r="I576" s="4">
        <f t="shared" si="131"/>
        <v>1367.837387</v>
      </c>
      <c r="J576" s="4">
        <f t="shared" si="132"/>
        <v>1.387837387</v>
      </c>
      <c r="K576" s="4">
        <f t="shared" si="133"/>
        <v>916.66096000000005</v>
      </c>
      <c r="L576">
        <f t="shared" si="134"/>
        <v>0.91666096000000008</v>
      </c>
      <c r="M576">
        <f>$B$12*F576+$B$13</f>
        <v>0.9035472459762004</v>
      </c>
      <c r="N576">
        <f t="shared" si="135"/>
        <v>1.3113714023799683E-2</v>
      </c>
      <c r="O576" s="4">
        <f t="shared" ca="1" si="136"/>
        <v>3.3443625014577258</v>
      </c>
      <c r="P576" s="4">
        <f t="shared" si="137"/>
        <v>3.3324376921487819</v>
      </c>
      <c r="Q576" s="4">
        <f t="shared" ca="1" si="138"/>
        <v>1.1924809308943907E-2</v>
      </c>
      <c r="R576" s="2">
        <f t="shared" ca="1" si="139"/>
        <v>3.5784042825583021E-3</v>
      </c>
      <c r="S576" s="4">
        <f t="shared" si="140"/>
        <v>4.7833329999999998</v>
      </c>
      <c r="T576">
        <v>4.8232357598133957</v>
      </c>
      <c r="U576">
        <f t="shared" si="141"/>
        <v>3.9902759813395861E-2</v>
      </c>
      <c r="V576" s="2">
        <f t="shared" si="142"/>
        <v>8.342040960434045E-3</v>
      </c>
      <c r="W576">
        <f>(T576+5/3)/(1/12)</f>
        <v>77.878829117760759</v>
      </c>
      <c r="X576" s="2">
        <f t="shared" si="143"/>
        <v>6.1864227100872516E-3</v>
      </c>
    </row>
    <row r="577" spans="5:24" x14ac:dyDescent="0.25">
      <c r="E577">
        <v>575</v>
      </c>
      <c r="F577">
        <f t="shared" si="128"/>
        <v>77.5</v>
      </c>
      <c r="G577">
        <f t="shared" si="129"/>
        <v>350.65</v>
      </c>
      <c r="H577" s="4">
        <f t="shared" si="130"/>
        <v>4.7916670000000003</v>
      </c>
      <c r="I577" s="4">
        <f t="shared" si="131"/>
        <v>1363.3459379999999</v>
      </c>
      <c r="J577" s="4">
        <f t="shared" si="132"/>
        <v>1.3833459379999999</v>
      </c>
      <c r="K577" s="4">
        <f t="shared" si="133"/>
        <v>914.699389</v>
      </c>
      <c r="L577">
        <f t="shared" si="134"/>
        <v>0.91469938900000003</v>
      </c>
      <c r="M577">
        <f>$B$12*F577+$B$13</f>
        <v>0.90119940715330626</v>
      </c>
      <c r="N577">
        <f t="shared" si="135"/>
        <v>1.3499981846693765E-2</v>
      </c>
      <c r="O577" s="4">
        <f t="shared" ca="1" si="136"/>
        <v>3.336822137026239</v>
      </c>
      <c r="P577" s="4">
        <f t="shared" si="137"/>
        <v>3.3237784586406884</v>
      </c>
      <c r="Q577" s="4">
        <f t="shared" ca="1" si="138"/>
        <v>1.3043678385550539E-2</v>
      </c>
      <c r="R577" s="2">
        <f t="shared" ca="1" si="139"/>
        <v>3.9243525246520057E-3</v>
      </c>
      <c r="S577" s="4">
        <f t="shared" si="140"/>
        <v>4.7916670000000003</v>
      </c>
      <c r="T577">
        <v>4.830846647530425</v>
      </c>
      <c r="U577">
        <f t="shared" si="141"/>
        <v>3.9179647530424688E-2</v>
      </c>
      <c r="V577" s="2">
        <f t="shared" si="142"/>
        <v>8.1766215244975671E-3</v>
      </c>
      <c r="W577">
        <f>(T577+5/3)/(1/12)</f>
        <v>77.970159770365115</v>
      </c>
      <c r="X577" s="2">
        <f t="shared" si="143"/>
        <v>6.066577682130511E-3</v>
      </c>
    </row>
    <row r="578" spans="5:24" x14ac:dyDescent="0.25">
      <c r="E578">
        <v>576</v>
      </c>
      <c r="F578">
        <f t="shared" si="128"/>
        <v>77.599999999999994</v>
      </c>
      <c r="G578">
        <f t="shared" si="129"/>
        <v>350.75</v>
      </c>
      <c r="H578" s="4">
        <f t="shared" si="130"/>
        <v>4.8</v>
      </c>
      <c r="I578" s="4">
        <f t="shared" si="131"/>
        <v>1358.871521</v>
      </c>
      <c r="J578" s="4">
        <f t="shared" si="132"/>
        <v>1.378871521</v>
      </c>
      <c r="K578" s="4">
        <f t="shared" si="133"/>
        <v>912.74095999999997</v>
      </c>
      <c r="L578">
        <f t="shared" si="134"/>
        <v>0.91274096000000005</v>
      </c>
      <c r="M578">
        <f>$B$12*F578+$B$13</f>
        <v>0.89885156833041191</v>
      </c>
      <c r="N578">
        <f t="shared" si="135"/>
        <v>1.3889391669588136E-2</v>
      </c>
      <c r="O578" s="4">
        <f t="shared" ca="1" si="136"/>
        <v>3.3296673644314869</v>
      </c>
      <c r="P578" s="4">
        <f t="shared" si="137"/>
        <v>3.3151192251325945</v>
      </c>
      <c r="Q578" s="4">
        <f t="shared" ca="1" si="138"/>
        <v>1.4548139298892426E-2</v>
      </c>
      <c r="R578" s="2">
        <f t="shared" ca="1" si="139"/>
        <v>4.3884211429260269E-3</v>
      </c>
      <c r="S578" s="4">
        <f t="shared" si="140"/>
        <v>4.8</v>
      </c>
      <c r="T578">
        <v>4.8380716817654843</v>
      </c>
      <c r="U578">
        <f t="shared" si="141"/>
        <v>3.8071681765484477E-2</v>
      </c>
      <c r="V578" s="2">
        <f t="shared" si="142"/>
        <v>7.9316003678092661E-3</v>
      </c>
      <c r="W578">
        <f>(T578+5/3)/(1/12)</f>
        <v>78.056860181185826</v>
      </c>
      <c r="X578" s="2">
        <f t="shared" si="143"/>
        <v>5.8873734688895812E-3</v>
      </c>
    </row>
    <row r="579" spans="5:24" x14ac:dyDescent="0.25">
      <c r="E579">
        <v>577</v>
      </c>
      <c r="F579">
        <f t="shared" ref="F579:F602" si="144">E579*0.1+20</f>
        <v>77.7</v>
      </c>
      <c r="G579">
        <f t="shared" ref="G579:G602" si="145">F579+273.15</f>
        <v>350.84999999999997</v>
      </c>
      <c r="H579" s="4">
        <f t="shared" ref="H579:H602" si="146">ROUND(1/12*F579-5/3,6)</f>
        <v>4.8083330000000002</v>
      </c>
      <c r="I579" s="4">
        <f t="shared" ref="I579:I602" si="147">ROUND(10000*EXP(($B$3)+($B$4/G579)+($B$5/(G579^2))+($B$6/(G579^3))),6)</f>
        <v>1354.4140629999999</v>
      </c>
      <c r="J579" s="4">
        <f t="shared" ref="J579:J602" si="148">$B$9*(2*$B$8+I579)</f>
        <v>1.3744140629999999</v>
      </c>
      <c r="K579" s="4">
        <f t="shared" ref="K579:K602" si="149">ROUND(1/(1/(I579+2*$B$8)+1/($B$7)),6)</f>
        <v>910.78567699999996</v>
      </c>
      <c r="L579">
        <f t="shared" ref="L579:L602" si="150">$B$9*K579</f>
        <v>0.91078567700000002</v>
      </c>
      <c r="M579">
        <f>$B$12*F579+$B$13</f>
        <v>0.89650372950751733</v>
      </c>
      <c r="N579">
        <f t="shared" ref="N579:N602" si="151">ABS(L579-M579)</f>
        <v>1.4281947492482683E-2</v>
      </c>
      <c r="O579" s="4">
        <f t="shared" ref="O579:O602" ca="1" si="152">ROUND(L579*$B$28,6)+RANDBETWEEN(-1,1)*$B$23+RANDBETWEEN(-1,1)*$B$24</f>
        <v>3.3221607725947524</v>
      </c>
      <c r="P579" s="4">
        <f t="shared" ref="P579:P602" si="153">M579*$B$22</f>
        <v>3.3064599916244992</v>
      </c>
      <c r="Q579" s="4">
        <f t="shared" ref="Q579:Q602" ca="1" si="154">ABS(O579-P579)</f>
        <v>1.5700780970253181E-2</v>
      </c>
      <c r="R579" s="2">
        <f t="shared" ref="R579:R602" ca="1" si="155">ABS(P579-O579)/P579</f>
        <v>4.7485168458183038E-3</v>
      </c>
      <c r="S579" s="4">
        <f t="shared" ref="S579:S602" si="156">ROUND($B$18*M579+$B$19,6)</f>
        <v>4.8083330000000002</v>
      </c>
      <c r="T579">
        <v>4.8449133320441602</v>
      </c>
      <c r="U579">
        <f t="shared" ref="U579:U602" si="157">ABS(S579-T579)</f>
        <v>3.6580332044160002E-2</v>
      </c>
      <c r="V579" s="2">
        <f t="shared" ref="V579:V602" si="158">IF(S579=0, ABS(S579-T579),ABS(S579-T579)/S579)</f>
        <v>7.6076952332877115E-3</v>
      </c>
      <c r="W579">
        <f>(T579+5/3)/(1/12)</f>
        <v>78.138959984529933</v>
      </c>
      <c r="X579" s="2">
        <f t="shared" ref="X579:X602" si="159">ABS(F579-W579)/F579</f>
        <v>5.6494206503208506E-3</v>
      </c>
    </row>
    <row r="580" spans="5:24" x14ac:dyDescent="0.25">
      <c r="E580">
        <v>578</v>
      </c>
      <c r="F580">
        <f t="shared" si="144"/>
        <v>77.800000000000011</v>
      </c>
      <c r="G580">
        <f t="shared" si="145"/>
        <v>350.95</v>
      </c>
      <c r="H580" s="4">
        <f t="shared" si="146"/>
        <v>4.8166669999999998</v>
      </c>
      <c r="I580" s="4">
        <f t="shared" si="147"/>
        <v>1349.9734920000001</v>
      </c>
      <c r="J580" s="4">
        <f t="shared" si="148"/>
        <v>1.3699734920000002</v>
      </c>
      <c r="K580" s="4">
        <f t="shared" si="149"/>
        <v>908.83354299999996</v>
      </c>
      <c r="L580">
        <f t="shared" si="150"/>
        <v>0.90883354299999997</v>
      </c>
      <c r="M580">
        <f>$B$12*F580+$B$13</f>
        <v>0.89415589068462298</v>
      </c>
      <c r="N580">
        <f t="shared" si="151"/>
        <v>1.4677652315376988E-2</v>
      </c>
      <c r="O580" s="4">
        <f t="shared" ca="1" si="152"/>
        <v>3.3146338629737611</v>
      </c>
      <c r="P580" s="4">
        <f t="shared" si="153"/>
        <v>3.2978007581164048</v>
      </c>
      <c r="Q580" s="4">
        <f t="shared" ca="1" si="154"/>
        <v>1.6833104857356229E-2</v>
      </c>
      <c r="R580" s="2">
        <f t="shared" ca="1" si="155"/>
        <v>5.1043425882923094E-3</v>
      </c>
      <c r="S580" s="4">
        <f t="shared" si="156"/>
        <v>4.8166669999999998</v>
      </c>
      <c r="T580">
        <v>4.8521584684919743</v>
      </c>
      <c r="U580">
        <f t="shared" si="157"/>
        <v>3.5491468491974487E-2</v>
      </c>
      <c r="V580" s="2">
        <f t="shared" si="158"/>
        <v>7.3684704572631841E-3</v>
      </c>
      <c r="W580">
        <f>(T580+5/3)/(1/12)</f>
        <v>78.225901621903702</v>
      </c>
      <c r="X580" s="2">
        <f t="shared" si="159"/>
        <v>5.4743139062171054E-3</v>
      </c>
    </row>
    <row r="581" spans="5:24" x14ac:dyDescent="0.25">
      <c r="E581">
        <v>579</v>
      </c>
      <c r="F581">
        <f t="shared" si="144"/>
        <v>77.900000000000006</v>
      </c>
      <c r="G581">
        <f t="shared" si="145"/>
        <v>351.04999999999995</v>
      </c>
      <c r="H581" s="4">
        <f t="shared" si="146"/>
        <v>4.8250000000000002</v>
      </c>
      <c r="I581" s="4">
        <f t="shared" si="147"/>
        <v>1345.5497359999999</v>
      </c>
      <c r="J581" s="4">
        <f t="shared" si="148"/>
        <v>1.365549736</v>
      </c>
      <c r="K581" s="4">
        <f t="shared" si="149"/>
        <v>906.88456099999996</v>
      </c>
      <c r="L581">
        <f t="shared" si="150"/>
        <v>0.90688456100000003</v>
      </c>
      <c r="M581">
        <f>$B$12*F581+$B$13</f>
        <v>0.89180805186172862</v>
      </c>
      <c r="N581">
        <f t="shared" si="151"/>
        <v>1.507650913827141E-2</v>
      </c>
      <c r="O581" s="4">
        <f t="shared" ca="1" si="152"/>
        <v>3.3083063644314867</v>
      </c>
      <c r="P581" s="4">
        <f t="shared" si="153"/>
        <v>3.2891415246083109</v>
      </c>
      <c r="Q581" s="4">
        <f t="shared" ca="1" si="154"/>
        <v>1.916483982317585E-2</v>
      </c>
      <c r="R581" s="2">
        <f t="shared" ca="1" si="155"/>
        <v>5.8266996660954274E-3</v>
      </c>
      <c r="S581" s="4">
        <f t="shared" si="156"/>
        <v>4.8250000000000002</v>
      </c>
      <c r="T581">
        <v>4.8594130698894524</v>
      </c>
      <c r="U581">
        <f t="shared" si="157"/>
        <v>3.4413069889452252E-2</v>
      </c>
      <c r="V581" s="2">
        <f t="shared" si="158"/>
        <v>7.1322424641351813E-3</v>
      </c>
      <c r="W581">
        <f>(T581+5/3)/(1/12)</f>
        <v>78.312956838673443</v>
      </c>
      <c r="X581" s="2">
        <f t="shared" si="159"/>
        <v>5.3011147454870046E-3</v>
      </c>
    </row>
    <row r="582" spans="5:24" x14ac:dyDescent="0.25">
      <c r="E582">
        <v>580</v>
      </c>
      <c r="F582">
        <f t="shared" si="144"/>
        <v>78</v>
      </c>
      <c r="G582">
        <f t="shared" si="145"/>
        <v>351.15</v>
      </c>
      <c r="H582" s="4">
        <f t="shared" si="146"/>
        <v>4.8333329999999997</v>
      </c>
      <c r="I582" s="4">
        <f t="shared" si="147"/>
        <v>1341.142724</v>
      </c>
      <c r="J582" s="4">
        <f t="shared" si="148"/>
        <v>1.361142724</v>
      </c>
      <c r="K582" s="4">
        <f t="shared" si="149"/>
        <v>904.93873399999995</v>
      </c>
      <c r="L582">
        <f t="shared" si="150"/>
        <v>0.90493873400000002</v>
      </c>
      <c r="M582">
        <f>$B$12*F582+$B$13</f>
        <v>0.88946021303883449</v>
      </c>
      <c r="N582">
        <f t="shared" si="151"/>
        <v>1.5478520961165532E-2</v>
      </c>
      <c r="O582" s="4">
        <f t="shared" ca="1" si="152"/>
        <v>3.3012083644314867</v>
      </c>
      <c r="P582" s="4">
        <f t="shared" si="153"/>
        <v>3.2804822911002174</v>
      </c>
      <c r="Q582" s="4">
        <f t="shared" ca="1" si="154"/>
        <v>2.0726073331269301E-2</v>
      </c>
      <c r="R582" s="2">
        <f t="shared" ca="1" si="155"/>
        <v>6.3179957982087238E-3</v>
      </c>
      <c r="S582" s="4">
        <f t="shared" si="156"/>
        <v>4.8333329999999997</v>
      </c>
      <c r="T582">
        <v>4.8666770319611752</v>
      </c>
      <c r="U582">
        <f t="shared" si="157"/>
        <v>3.3344031961175524E-2</v>
      </c>
      <c r="V582" s="2">
        <f t="shared" si="158"/>
        <v>6.8987657091236065E-3</v>
      </c>
      <c r="W582">
        <f>(T582+5/3)/(1/12)</f>
        <v>78.400124383534106</v>
      </c>
      <c r="X582" s="2">
        <f t="shared" si="159"/>
        <v>5.1297997888987918E-3</v>
      </c>
    </row>
    <row r="583" spans="5:24" x14ac:dyDescent="0.25">
      <c r="E583">
        <v>581</v>
      </c>
      <c r="F583">
        <f t="shared" si="144"/>
        <v>78.099999999999994</v>
      </c>
      <c r="G583">
        <f t="shared" si="145"/>
        <v>351.25</v>
      </c>
      <c r="H583" s="4">
        <f t="shared" si="146"/>
        <v>4.8416670000000002</v>
      </c>
      <c r="I583" s="4">
        <f t="shared" si="147"/>
        <v>1336.7523839999999</v>
      </c>
      <c r="J583" s="4">
        <f t="shared" si="148"/>
        <v>1.356752384</v>
      </c>
      <c r="K583" s="4">
        <f t="shared" si="149"/>
        <v>902.99606400000005</v>
      </c>
      <c r="L583">
        <f t="shared" si="150"/>
        <v>0.9029960640000001</v>
      </c>
      <c r="M583">
        <f>$B$12*F583+$B$13</f>
        <v>0.88711237421594036</v>
      </c>
      <c r="N583">
        <f t="shared" si="151"/>
        <v>1.588368978405974E-2</v>
      </c>
      <c r="O583" s="4">
        <f t="shared" ca="1" si="152"/>
        <v>3.2937477725947524</v>
      </c>
      <c r="P583" s="4">
        <f t="shared" si="153"/>
        <v>3.2718230575921239</v>
      </c>
      <c r="Q583" s="4">
        <f t="shared" ca="1" si="154"/>
        <v>2.1924715002628492E-2</v>
      </c>
      <c r="R583" s="2">
        <f t="shared" ca="1" si="155"/>
        <v>6.7010698979436375E-3</v>
      </c>
      <c r="S583" s="4">
        <f t="shared" si="156"/>
        <v>4.8416670000000002</v>
      </c>
      <c r="T583">
        <v>4.873560604442182</v>
      </c>
      <c r="U583">
        <f t="shared" si="157"/>
        <v>3.1893604442181811E-2</v>
      </c>
      <c r="V583" s="2">
        <f t="shared" si="158"/>
        <v>6.5873188804975247E-3</v>
      </c>
      <c r="W583">
        <f>(T583+5/3)/(1/12)</f>
        <v>78.482727253306194</v>
      </c>
      <c r="X583" s="2">
        <f t="shared" si="159"/>
        <v>4.9004769949577472E-3</v>
      </c>
    </row>
    <row r="584" spans="5:24" x14ac:dyDescent="0.25">
      <c r="E584">
        <v>582</v>
      </c>
      <c r="F584">
        <f t="shared" si="144"/>
        <v>78.2</v>
      </c>
      <c r="G584">
        <f t="shared" si="145"/>
        <v>351.34999999999997</v>
      </c>
      <c r="H584" s="4">
        <f t="shared" si="146"/>
        <v>4.8499999999999996</v>
      </c>
      <c r="I584" s="4">
        <f t="shared" si="147"/>
        <v>1332.378645</v>
      </c>
      <c r="J584" s="4">
        <f t="shared" si="148"/>
        <v>1.3523786449999999</v>
      </c>
      <c r="K584" s="4">
        <f t="shared" si="149"/>
        <v>901.056555</v>
      </c>
      <c r="L584">
        <f t="shared" si="150"/>
        <v>0.90105655500000004</v>
      </c>
      <c r="M584">
        <f>$B$12*F584+$B$13</f>
        <v>0.88476453539304578</v>
      </c>
      <c r="N584">
        <f t="shared" si="151"/>
        <v>1.6292019606954256E-2</v>
      </c>
      <c r="O584" s="4">
        <f t="shared" ca="1" si="152"/>
        <v>3.2866629999999999</v>
      </c>
      <c r="P584" s="4">
        <f t="shared" si="153"/>
        <v>3.2631638240840291</v>
      </c>
      <c r="Q584" s="4">
        <f t="shared" ca="1" si="154"/>
        <v>2.3499175915970838E-2</v>
      </c>
      <c r="R584" s="2">
        <f t="shared" ca="1" si="155"/>
        <v>7.201347276080159E-3</v>
      </c>
      <c r="S584" s="4">
        <f t="shared" si="156"/>
        <v>4.8499999999999996</v>
      </c>
      <c r="T584">
        <v>4.8812326229407175</v>
      </c>
      <c r="U584">
        <f t="shared" si="157"/>
        <v>3.1232622940717825E-2</v>
      </c>
      <c r="V584" s="2">
        <f t="shared" si="158"/>
        <v>6.4397160702510982E-3</v>
      </c>
      <c r="W584">
        <f>(T584+5/3)/(1/12)</f>
        <v>78.57479147528862</v>
      </c>
      <c r="X584" s="2">
        <f t="shared" si="159"/>
        <v>4.7927298630257983E-3</v>
      </c>
    </row>
    <row r="585" spans="5:24" x14ac:dyDescent="0.25">
      <c r="E585">
        <v>583</v>
      </c>
      <c r="F585">
        <f t="shared" si="144"/>
        <v>78.300000000000011</v>
      </c>
      <c r="G585">
        <f t="shared" si="145"/>
        <v>351.45</v>
      </c>
      <c r="H585" s="4">
        <f t="shared" si="146"/>
        <v>4.858333</v>
      </c>
      <c r="I585" s="4">
        <f t="shared" si="147"/>
        <v>1328.021438</v>
      </c>
      <c r="J585" s="4">
        <f t="shared" si="148"/>
        <v>1.348021438</v>
      </c>
      <c r="K585" s="4">
        <f t="shared" si="149"/>
        <v>899.12020900000005</v>
      </c>
      <c r="L585">
        <f t="shared" si="150"/>
        <v>0.89912020900000011</v>
      </c>
      <c r="M585">
        <f>$B$12*F585+$B$13</f>
        <v>0.8824166965701512</v>
      </c>
      <c r="N585">
        <f t="shared" si="151"/>
        <v>1.670351242984891E-2</v>
      </c>
      <c r="O585" s="4">
        <f t="shared" ca="1" si="152"/>
        <v>3.2799853644314867</v>
      </c>
      <c r="P585" s="4">
        <f t="shared" si="153"/>
        <v>3.2545045905759338</v>
      </c>
      <c r="Q585" s="4">
        <f t="shared" ca="1" si="154"/>
        <v>2.5480773855552918E-2</v>
      </c>
      <c r="R585" s="2">
        <f t="shared" ca="1" si="155"/>
        <v>7.8293863617023545E-3</v>
      </c>
      <c r="S585" s="4">
        <f t="shared" si="156"/>
        <v>4.858333</v>
      </c>
      <c r="T585">
        <v>4.8881360958303626</v>
      </c>
      <c r="U585">
        <f t="shared" si="157"/>
        <v>2.9803095830362558E-2</v>
      </c>
      <c r="V585" s="2">
        <f t="shared" si="158"/>
        <v>6.1344283791091633E-3</v>
      </c>
      <c r="W585">
        <f>(T585+5/3)/(1/12)</f>
        <v>78.657633149964354</v>
      </c>
      <c r="X585" s="2">
        <f t="shared" si="159"/>
        <v>4.5674731796212387E-3</v>
      </c>
    </row>
    <row r="586" spans="5:24" x14ac:dyDescent="0.25">
      <c r="E586">
        <v>584</v>
      </c>
      <c r="F586">
        <f t="shared" si="144"/>
        <v>78.400000000000006</v>
      </c>
      <c r="G586">
        <f t="shared" si="145"/>
        <v>351.54999999999995</v>
      </c>
      <c r="H586" s="4">
        <f t="shared" si="146"/>
        <v>4.8666669999999996</v>
      </c>
      <c r="I586" s="4">
        <f t="shared" si="147"/>
        <v>1323.6806899999999</v>
      </c>
      <c r="J586" s="4">
        <f t="shared" si="148"/>
        <v>1.34368069</v>
      </c>
      <c r="K586" s="4">
        <f t="shared" si="149"/>
        <v>897.18702900000005</v>
      </c>
      <c r="L586">
        <f t="shared" si="150"/>
        <v>0.89718702900000002</v>
      </c>
      <c r="M586">
        <f>$B$12*F586+$B$13</f>
        <v>0.88006885774725685</v>
      </c>
      <c r="N586">
        <f t="shared" si="151"/>
        <v>1.7118171252743175E-2</v>
      </c>
      <c r="O586" s="4">
        <f t="shared" ca="1" si="152"/>
        <v>3.2729333644314869</v>
      </c>
      <c r="P586" s="4">
        <f t="shared" si="153"/>
        <v>3.2458453570678398</v>
      </c>
      <c r="Q586" s="4">
        <f t="shared" ca="1" si="154"/>
        <v>2.7088007363647026E-2</v>
      </c>
      <c r="R586" s="2">
        <f t="shared" ca="1" si="155"/>
        <v>8.3454399035563405E-3</v>
      </c>
      <c r="S586" s="4">
        <f t="shared" si="156"/>
        <v>4.8666669999999996</v>
      </c>
      <c r="T586">
        <v>4.8950502098802611</v>
      </c>
      <c r="U586">
        <f t="shared" si="157"/>
        <v>2.838320988026144E-2</v>
      </c>
      <c r="V586" s="2">
        <f t="shared" si="158"/>
        <v>5.8321660142889257E-3</v>
      </c>
      <c r="W586">
        <f>(T586+5/3)/(1/12)</f>
        <v>78.740602518563136</v>
      </c>
      <c r="X586" s="2">
        <f t="shared" si="159"/>
        <v>4.3444198796317689E-3</v>
      </c>
    </row>
    <row r="587" spans="5:24" x14ac:dyDescent="0.25">
      <c r="E587">
        <v>585</v>
      </c>
      <c r="F587">
        <f t="shared" si="144"/>
        <v>78.5</v>
      </c>
      <c r="G587">
        <f t="shared" si="145"/>
        <v>351.65</v>
      </c>
      <c r="H587" s="4">
        <f t="shared" si="146"/>
        <v>4.875</v>
      </c>
      <c r="I587" s="4">
        <f t="shared" si="147"/>
        <v>1319.3563340000001</v>
      </c>
      <c r="J587" s="4">
        <f t="shared" si="148"/>
        <v>1.3393563340000001</v>
      </c>
      <c r="K587" s="4">
        <f t="shared" si="149"/>
        <v>895.25701700000002</v>
      </c>
      <c r="L587">
        <f t="shared" si="150"/>
        <v>0.89525701700000004</v>
      </c>
      <c r="M587">
        <f>$B$12*F587+$B$13</f>
        <v>0.87772101892436272</v>
      </c>
      <c r="N587">
        <f t="shared" si="151"/>
        <v>1.7535998075637327E-2</v>
      </c>
      <c r="O587" s="4">
        <f t="shared" ca="1" si="152"/>
        <v>3.2647264985422741</v>
      </c>
      <c r="P587" s="4">
        <f t="shared" si="153"/>
        <v>3.2371861235597463</v>
      </c>
      <c r="Q587" s="4">
        <f t="shared" ca="1" si="154"/>
        <v>2.7540374982527815E-2</v>
      </c>
      <c r="R587" s="2">
        <f t="shared" ca="1" si="155"/>
        <v>8.507504335970419E-3</v>
      </c>
      <c r="S587" s="4">
        <f t="shared" si="156"/>
        <v>4.875</v>
      </c>
      <c r="T587">
        <v>4.9023611135115335</v>
      </c>
      <c r="U587">
        <f t="shared" si="157"/>
        <v>2.7361113511533475E-2</v>
      </c>
      <c r="V587" s="2">
        <f t="shared" si="158"/>
        <v>5.6125361049299436E-3</v>
      </c>
      <c r="W587">
        <f>(T587+5/3)/(1/12)</f>
        <v>78.828333362138409</v>
      </c>
      <c r="X587" s="2">
        <f t="shared" si="159"/>
        <v>4.1825906004892841E-3</v>
      </c>
    </row>
    <row r="588" spans="5:24" x14ac:dyDescent="0.25">
      <c r="E588">
        <v>586</v>
      </c>
      <c r="F588">
        <f t="shared" si="144"/>
        <v>78.599999999999994</v>
      </c>
      <c r="G588">
        <f t="shared" si="145"/>
        <v>351.75</v>
      </c>
      <c r="H588" s="4">
        <f t="shared" si="146"/>
        <v>4.8833330000000004</v>
      </c>
      <c r="I588" s="4">
        <f t="shared" si="147"/>
        <v>1315.0482979999999</v>
      </c>
      <c r="J588" s="4">
        <f t="shared" si="148"/>
        <v>1.335048298</v>
      </c>
      <c r="K588" s="4">
        <f t="shared" si="149"/>
        <v>893.33017600000005</v>
      </c>
      <c r="L588">
        <f t="shared" si="150"/>
        <v>0.89333017600000009</v>
      </c>
      <c r="M588">
        <f>$B$12*F588+$B$13</f>
        <v>0.87537318010146858</v>
      </c>
      <c r="N588">
        <f t="shared" si="151"/>
        <v>1.7956995898531503E-2</v>
      </c>
      <c r="O588" s="4">
        <f t="shared" ca="1" si="152"/>
        <v>3.2588761370262391</v>
      </c>
      <c r="P588" s="4">
        <f t="shared" si="153"/>
        <v>3.2285268900516528</v>
      </c>
      <c r="Q588" s="4">
        <f t="shared" ca="1" si="154"/>
        <v>3.0349246974586297E-2</v>
      </c>
      <c r="R588" s="2">
        <f t="shared" ca="1" si="155"/>
        <v>9.4003389186889334E-3</v>
      </c>
      <c r="S588" s="4">
        <f t="shared" si="156"/>
        <v>4.8833330000000004</v>
      </c>
      <c r="T588">
        <v>4.9096807565813689</v>
      </c>
      <c r="U588">
        <f t="shared" si="157"/>
        <v>2.6347756581368564E-2</v>
      </c>
      <c r="V588" s="2">
        <f t="shared" si="158"/>
        <v>5.3954454020171388E-3</v>
      </c>
      <c r="W588">
        <f>(T588+5/3)/(1/12)</f>
        <v>78.916169078976438</v>
      </c>
      <c r="X588" s="2">
        <f t="shared" si="159"/>
        <v>4.0225073661125134E-3</v>
      </c>
    </row>
    <row r="589" spans="5:24" x14ac:dyDescent="0.25">
      <c r="E589">
        <v>587</v>
      </c>
      <c r="F589">
        <f t="shared" si="144"/>
        <v>78.7</v>
      </c>
      <c r="G589">
        <f t="shared" si="145"/>
        <v>351.84999999999997</v>
      </c>
      <c r="H589" s="4">
        <f t="shared" si="146"/>
        <v>4.891667</v>
      </c>
      <c r="I589" s="4">
        <f t="shared" si="147"/>
        <v>1310.756515</v>
      </c>
      <c r="J589" s="4">
        <f t="shared" si="148"/>
        <v>1.330756515</v>
      </c>
      <c r="K589" s="4">
        <f t="shared" si="149"/>
        <v>891.40650800000003</v>
      </c>
      <c r="L589">
        <f t="shared" si="150"/>
        <v>0.8914065080000001</v>
      </c>
      <c r="M589">
        <f>$B$12*F589+$B$13</f>
        <v>0.87302534127857401</v>
      </c>
      <c r="N589">
        <f t="shared" si="151"/>
        <v>1.838116672142609E-2</v>
      </c>
      <c r="O589" s="4">
        <f t="shared" ca="1" si="152"/>
        <v>3.2506814985422743</v>
      </c>
      <c r="P589" s="4">
        <f t="shared" si="153"/>
        <v>3.2198676565435576</v>
      </c>
      <c r="Q589" s="4">
        <f t="shared" ca="1" si="154"/>
        <v>3.0813841998716729E-2</v>
      </c>
      <c r="R589" s="2">
        <f t="shared" ca="1" si="155"/>
        <v>9.569909476277845E-3</v>
      </c>
      <c r="S589" s="4">
        <f t="shared" si="156"/>
        <v>4.891667</v>
      </c>
      <c r="T589">
        <v>4.9166244669968755</v>
      </c>
      <c r="U589">
        <f t="shared" si="157"/>
        <v>2.495746699687551E-2</v>
      </c>
      <c r="V589" s="2">
        <f t="shared" si="158"/>
        <v>5.1020371985410111E-3</v>
      </c>
      <c r="W589">
        <f>(T589+5/3)/(1/12)</f>
        <v>78.99949360396252</v>
      </c>
      <c r="X589" s="2">
        <f t="shared" si="159"/>
        <v>3.805509580209877E-3</v>
      </c>
    </row>
    <row r="590" spans="5:24" x14ac:dyDescent="0.25">
      <c r="E590">
        <v>588</v>
      </c>
      <c r="F590">
        <f t="shared" si="144"/>
        <v>78.800000000000011</v>
      </c>
      <c r="G590">
        <f t="shared" si="145"/>
        <v>351.95</v>
      </c>
      <c r="H590" s="4">
        <f t="shared" si="146"/>
        <v>4.9000000000000004</v>
      </c>
      <c r="I590" s="4">
        <f t="shared" si="147"/>
        <v>1306.480914</v>
      </c>
      <c r="J590" s="4">
        <f t="shared" si="148"/>
        <v>1.326480914</v>
      </c>
      <c r="K590" s="4">
        <f t="shared" si="149"/>
        <v>889.48601599999995</v>
      </c>
      <c r="L590">
        <f t="shared" si="150"/>
        <v>0.88948601599999999</v>
      </c>
      <c r="M590">
        <f>$B$12*F590+$B$13</f>
        <v>0.87067750245567943</v>
      </c>
      <c r="N590">
        <f t="shared" si="151"/>
        <v>1.880851354432056E-2</v>
      </c>
      <c r="O590" s="4">
        <f t="shared" ca="1" si="152"/>
        <v>3.2448541370262389</v>
      </c>
      <c r="P590" s="4">
        <f t="shared" si="153"/>
        <v>3.2112084230354627</v>
      </c>
      <c r="Q590" s="4">
        <f t="shared" ca="1" si="154"/>
        <v>3.3645713990776205E-2</v>
      </c>
      <c r="R590" s="2">
        <f t="shared" ca="1" si="155"/>
        <v>1.0477586490313164E-2</v>
      </c>
      <c r="S590" s="4">
        <f t="shared" si="156"/>
        <v>4.9000000000000004</v>
      </c>
      <c r="T590">
        <v>4.9239621241694103</v>
      </c>
      <c r="U590">
        <f t="shared" si="157"/>
        <v>2.3962124169409904E-2</v>
      </c>
      <c r="V590" s="2">
        <f t="shared" si="158"/>
        <v>4.8902294223285517E-3</v>
      </c>
      <c r="W590">
        <f>(T590+5/3)/(1/12)</f>
        <v>79.087545490032937</v>
      </c>
      <c r="X590" s="2">
        <f t="shared" si="159"/>
        <v>3.6490544420422072E-3</v>
      </c>
    </row>
    <row r="591" spans="5:24" x14ac:dyDescent="0.25">
      <c r="E591">
        <v>589</v>
      </c>
      <c r="F591">
        <f t="shared" si="144"/>
        <v>78.900000000000006</v>
      </c>
      <c r="G591">
        <f t="shared" si="145"/>
        <v>352.04999999999995</v>
      </c>
      <c r="H591" s="4">
        <f t="shared" si="146"/>
        <v>4.9083329999999998</v>
      </c>
      <c r="I591" s="4">
        <f t="shared" si="147"/>
        <v>1302.2214269999999</v>
      </c>
      <c r="J591" s="4">
        <f t="shared" si="148"/>
        <v>1.3222214269999999</v>
      </c>
      <c r="K591" s="4">
        <f t="shared" si="149"/>
        <v>887.56870200000003</v>
      </c>
      <c r="L591">
        <f t="shared" si="150"/>
        <v>0.88756870200000004</v>
      </c>
      <c r="M591">
        <f>$B$12*F591+$B$13</f>
        <v>0.8683296636327853</v>
      </c>
      <c r="N591">
        <f t="shared" si="151"/>
        <v>1.9239038367214745E-2</v>
      </c>
      <c r="O591" s="4">
        <f t="shared" ca="1" si="152"/>
        <v>3.2374757725947521</v>
      </c>
      <c r="P591" s="4">
        <f t="shared" si="153"/>
        <v>3.2025491895273692</v>
      </c>
      <c r="Q591" s="4">
        <f t="shared" ca="1" si="154"/>
        <v>3.4926583067382833E-2</v>
      </c>
      <c r="R591" s="2">
        <f t="shared" ca="1" si="155"/>
        <v>1.0905869356072961E-2</v>
      </c>
      <c r="S591" s="4">
        <f t="shared" si="156"/>
        <v>4.9083329999999998</v>
      </c>
      <c r="T591">
        <v>4.9309253252189968</v>
      </c>
      <c r="U591">
        <f t="shared" si="157"/>
        <v>2.2592325218997011E-2</v>
      </c>
      <c r="V591" s="2">
        <f t="shared" si="158"/>
        <v>4.6028509514323933E-3</v>
      </c>
      <c r="W591">
        <f>(T591+5/3)/(1/12)</f>
        <v>79.171103902627976</v>
      </c>
      <c r="X591" s="2">
        <f t="shared" si="159"/>
        <v>3.4360443932569158E-3</v>
      </c>
    </row>
    <row r="592" spans="5:24" x14ac:dyDescent="0.25">
      <c r="E592">
        <v>590</v>
      </c>
      <c r="F592">
        <f t="shared" si="144"/>
        <v>79</v>
      </c>
      <c r="G592">
        <f t="shared" si="145"/>
        <v>352.15</v>
      </c>
      <c r="H592" s="4">
        <f t="shared" si="146"/>
        <v>4.9166670000000003</v>
      </c>
      <c r="I592" s="4">
        <f t="shared" si="147"/>
        <v>1297.9779860000001</v>
      </c>
      <c r="J592" s="4">
        <f t="shared" si="148"/>
        <v>1.317977986</v>
      </c>
      <c r="K592" s="4">
        <f t="shared" si="149"/>
        <v>885.65456900000004</v>
      </c>
      <c r="L592">
        <f t="shared" si="150"/>
        <v>0.88565456900000006</v>
      </c>
      <c r="M592">
        <f>$B$12*F592+$B$13</f>
        <v>0.86598182480989094</v>
      </c>
      <c r="N592">
        <f t="shared" si="151"/>
        <v>1.9672744190109115E-2</v>
      </c>
      <c r="O592" s="4">
        <f t="shared" ca="1" si="152"/>
        <v>3.2300976355685131</v>
      </c>
      <c r="P592" s="4">
        <f t="shared" si="153"/>
        <v>3.1938899560192748</v>
      </c>
      <c r="Q592" s="4">
        <f t="shared" ca="1" si="154"/>
        <v>3.6207679549238314E-2</v>
      </c>
      <c r="R592" s="2">
        <f t="shared" ca="1" si="155"/>
        <v>1.133654573195314E-2</v>
      </c>
      <c r="S592" s="4">
        <f t="shared" si="156"/>
        <v>4.9166670000000003</v>
      </c>
      <c r="T592">
        <v>4.937898534937414</v>
      </c>
      <c r="U592">
        <f t="shared" si="157"/>
        <v>2.1231534937413699E-2</v>
      </c>
      <c r="V592" s="2">
        <f t="shared" si="158"/>
        <v>4.3182779995907181E-3</v>
      </c>
      <c r="W592">
        <f>(T592+5/3)/(1/12)</f>
        <v>79.254782419248983</v>
      </c>
      <c r="X592" s="2">
        <f t="shared" si="159"/>
        <v>3.2250939145440851E-3</v>
      </c>
    </row>
    <row r="593" spans="5:24" x14ac:dyDescent="0.25">
      <c r="E593">
        <v>591</v>
      </c>
      <c r="F593">
        <f t="shared" si="144"/>
        <v>79.099999999999994</v>
      </c>
      <c r="G593">
        <f t="shared" si="145"/>
        <v>352.25</v>
      </c>
      <c r="H593" s="4">
        <f t="shared" si="146"/>
        <v>4.9249999999999998</v>
      </c>
      <c r="I593" s="4">
        <f t="shared" si="147"/>
        <v>1293.750522</v>
      </c>
      <c r="J593" s="4">
        <f t="shared" si="148"/>
        <v>1.3137505220000001</v>
      </c>
      <c r="K593" s="4">
        <f t="shared" si="149"/>
        <v>883.74361799999997</v>
      </c>
      <c r="L593">
        <f t="shared" si="150"/>
        <v>0.88374361800000001</v>
      </c>
      <c r="M593">
        <f>$B$12*F593+$B$13</f>
        <v>0.86363398598699681</v>
      </c>
      <c r="N593">
        <f t="shared" si="151"/>
        <v>2.0109632013003198E-2</v>
      </c>
      <c r="O593" s="4">
        <f t="shared" ca="1" si="152"/>
        <v>3.2238983644314869</v>
      </c>
      <c r="P593" s="4">
        <f t="shared" si="153"/>
        <v>3.1852307225111818</v>
      </c>
      <c r="Q593" s="4">
        <f t="shared" ca="1" si="154"/>
        <v>3.866764192030514E-2</v>
      </c>
      <c r="R593" s="2">
        <f t="shared" ca="1" si="155"/>
        <v>1.2139667512003724E-2</v>
      </c>
      <c r="S593" s="4">
        <f t="shared" si="156"/>
        <v>4.9249999999999998</v>
      </c>
      <c r="T593">
        <v>4.9445004359531568</v>
      </c>
      <c r="U593">
        <f t="shared" si="157"/>
        <v>1.950043595315698E-2</v>
      </c>
      <c r="V593" s="2">
        <f t="shared" si="158"/>
        <v>3.9594793813516717E-3</v>
      </c>
      <c r="W593">
        <f>(T593+5/3)/(1/12)</f>
        <v>79.334005231437885</v>
      </c>
      <c r="X593" s="2">
        <f t="shared" si="159"/>
        <v>2.9583467944107569E-3</v>
      </c>
    </row>
    <row r="594" spans="5:24" x14ac:dyDescent="0.25">
      <c r="E594">
        <v>592</v>
      </c>
      <c r="F594">
        <f t="shared" si="144"/>
        <v>79.2</v>
      </c>
      <c r="G594">
        <f t="shared" si="145"/>
        <v>352.34999999999997</v>
      </c>
      <c r="H594" s="4">
        <f t="shared" si="146"/>
        <v>4.9333330000000002</v>
      </c>
      <c r="I594" s="4">
        <f t="shared" si="147"/>
        <v>1289.538969</v>
      </c>
      <c r="J594" s="4">
        <f t="shared" si="148"/>
        <v>1.3095389689999999</v>
      </c>
      <c r="K594" s="4">
        <f t="shared" si="149"/>
        <v>881.83585300000004</v>
      </c>
      <c r="L594">
        <f t="shared" si="150"/>
        <v>0.88183585300000011</v>
      </c>
      <c r="M594">
        <f>$B$12*F594+$B$13</f>
        <v>0.86128614716410223</v>
      </c>
      <c r="N594">
        <f t="shared" si="151"/>
        <v>2.054970583589788E-2</v>
      </c>
      <c r="O594" s="4">
        <f t="shared" ca="1" si="152"/>
        <v>3.2165647725947522</v>
      </c>
      <c r="P594" s="4">
        <f t="shared" si="153"/>
        <v>3.1765714890030865</v>
      </c>
      <c r="Q594" s="4">
        <f t="shared" ca="1" si="154"/>
        <v>3.9993283591665651E-2</v>
      </c>
      <c r="R594" s="2">
        <f t="shared" ca="1" si="155"/>
        <v>1.2590078243199517E-2</v>
      </c>
      <c r="S594" s="4">
        <f t="shared" si="156"/>
        <v>4.9333330000000002</v>
      </c>
      <c r="T594">
        <v>4.9514941843894169</v>
      </c>
      <c r="U594">
        <f t="shared" si="157"/>
        <v>1.8161184389416718E-2</v>
      </c>
      <c r="V594" s="2">
        <f t="shared" si="158"/>
        <v>3.6813214087548351E-3</v>
      </c>
      <c r="W594">
        <f>(T594+5/3)/(1/12)</f>
        <v>79.417930212673014</v>
      </c>
      <c r="X594" s="2">
        <f t="shared" si="159"/>
        <v>2.7516440994067009E-3</v>
      </c>
    </row>
    <row r="595" spans="5:24" x14ac:dyDescent="0.25">
      <c r="E595">
        <v>593</v>
      </c>
      <c r="F595">
        <f t="shared" si="144"/>
        <v>79.300000000000011</v>
      </c>
      <c r="G595">
        <f t="shared" si="145"/>
        <v>352.45</v>
      </c>
      <c r="H595" s="4">
        <f t="shared" si="146"/>
        <v>4.9416669999999998</v>
      </c>
      <c r="I595" s="4">
        <f t="shared" si="147"/>
        <v>1285.343259</v>
      </c>
      <c r="J595" s="4">
        <f t="shared" si="148"/>
        <v>1.305343259</v>
      </c>
      <c r="K595" s="4">
        <f t="shared" si="149"/>
        <v>879.93127500000003</v>
      </c>
      <c r="L595">
        <f t="shared" si="150"/>
        <v>0.87993127500000001</v>
      </c>
      <c r="M595">
        <f>$B$12*F595+$B$13</f>
        <v>0.85893830834120766</v>
      </c>
      <c r="N595">
        <f t="shared" si="151"/>
        <v>2.0992966658792356E-2</v>
      </c>
      <c r="O595" s="4">
        <f t="shared" ca="1" si="152"/>
        <v>3.2100031370262392</v>
      </c>
      <c r="P595" s="4">
        <f t="shared" si="153"/>
        <v>3.1679122554949917</v>
      </c>
      <c r="Q595" s="4">
        <f t="shared" ca="1" si="154"/>
        <v>4.2090881531247515E-2</v>
      </c>
      <c r="R595" s="2">
        <f t="shared" ca="1" si="155"/>
        <v>1.328663111114823E-2</v>
      </c>
      <c r="S595" s="4">
        <f t="shared" si="156"/>
        <v>4.9416669999999998</v>
      </c>
      <c r="T595">
        <v>4.9584976262807077</v>
      </c>
      <c r="U595">
        <f t="shared" si="157"/>
        <v>1.6830626280707861E-2</v>
      </c>
      <c r="V595" s="2">
        <f t="shared" si="158"/>
        <v>3.405860063154369E-3</v>
      </c>
      <c r="W595">
        <f>(T595+5/3)/(1/12)</f>
        <v>79.501971515368496</v>
      </c>
      <c r="X595" s="2">
        <f t="shared" si="159"/>
        <v>2.5469295758951348E-3</v>
      </c>
    </row>
    <row r="596" spans="5:24" x14ac:dyDescent="0.25">
      <c r="E596">
        <v>594</v>
      </c>
      <c r="F596">
        <f t="shared" si="144"/>
        <v>79.400000000000006</v>
      </c>
      <c r="G596">
        <f t="shared" si="145"/>
        <v>352.54999999999995</v>
      </c>
      <c r="H596" s="4">
        <f t="shared" si="146"/>
        <v>4.95</v>
      </c>
      <c r="I596" s="4">
        <f t="shared" si="147"/>
        <v>1281.163325</v>
      </c>
      <c r="J596" s="4">
        <f t="shared" si="148"/>
        <v>1.3011633250000001</v>
      </c>
      <c r="K596" s="4">
        <f t="shared" si="149"/>
        <v>878.02988600000003</v>
      </c>
      <c r="L596">
        <f t="shared" si="150"/>
        <v>0.87802988600000009</v>
      </c>
      <c r="M596">
        <f>$B$12*F596+$B$13</f>
        <v>0.85659046951831352</v>
      </c>
      <c r="N596">
        <f t="shared" si="151"/>
        <v>2.1439416481686568E-2</v>
      </c>
      <c r="O596" s="4">
        <f t="shared" ca="1" si="152"/>
        <v>3.203452501457726</v>
      </c>
      <c r="P596" s="4">
        <f t="shared" si="153"/>
        <v>3.1592530219868982</v>
      </c>
      <c r="Q596" s="4">
        <f t="shared" ca="1" si="154"/>
        <v>4.4199479470827807E-2</v>
      </c>
      <c r="R596" s="2">
        <f t="shared" ca="1" si="155"/>
        <v>1.399048419459298E-2</v>
      </c>
      <c r="S596" s="4">
        <f t="shared" si="156"/>
        <v>4.95</v>
      </c>
      <c r="T596">
        <v>4.9658893678497913</v>
      </c>
      <c r="U596">
        <f t="shared" si="157"/>
        <v>1.5889367849791114E-2</v>
      </c>
      <c r="V596" s="2">
        <f t="shared" si="158"/>
        <v>3.2099733029881039E-3</v>
      </c>
      <c r="W596">
        <f>(T596+5/3)/(1/12)</f>
        <v>79.590672414197499</v>
      </c>
      <c r="X596" s="2">
        <f t="shared" si="159"/>
        <v>2.4014157959382034E-3</v>
      </c>
    </row>
    <row r="597" spans="5:24" x14ac:dyDescent="0.25">
      <c r="E597">
        <v>595</v>
      </c>
      <c r="F597">
        <f t="shared" si="144"/>
        <v>79.5</v>
      </c>
      <c r="G597">
        <f t="shared" si="145"/>
        <v>352.65</v>
      </c>
      <c r="H597" s="4">
        <f t="shared" si="146"/>
        <v>4.9583329999999997</v>
      </c>
      <c r="I597" s="4">
        <f t="shared" si="147"/>
        <v>1276.9991</v>
      </c>
      <c r="J597" s="4">
        <f t="shared" si="148"/>
        <v>1.2969991000000001</v>
      </c>
      <c r="K597" s="4">
        <f t="shared" si="149"/>
        <v>876.13168800000005</v>
      </c>
      <c r="L597">
        <f t="shared" si="150"/>
        <v>0.87613168800000008</v>
      </c>
      <c r="M597">
        <f>$B$12*F597+$B$13</f>
        <v>0.85424263069541939</v>
      </c>
      <c r="N597">
        <f t="shared" si="151"/>
        <v>2.1889057304580684E-2</v>
      </c>
      <c r="O597" s="4">
        <f t="shared" ca="1" si="152"/>
        <v>3.1961333644314869</v>
      </c>
      <c r="P597" s="4">
        <f t="shared" si="153"/>
        <v>3.1505937884788047</v>
      </c>
      <c r="Q597" s="4">
        <f t="shared" ca="1" si="154"/>
        <v>4.553957595268221E-2</v>
      </c>
      <c r="R597" s="2">
        <f t="shared" ca="1" si="155"/>
        <v>1.4454283544648895E-2</v>
      </c>
      <c r="S597" s="4">
        <f t="shared" si="156"/>
        <v>4.9583329999999997</v>
      </c>
      <c r="T597">
        <v>4.9725331752448589</v>
      </c>
      <c r="U597">
        <f t="shared" si="157"/>
        <v>1.4200175244859281E-2</v>
      </c>
      <c r="V597" s="2">
        <f t="shared" si="158"/>
        <v>2.8639010822506844E-3</v>
      </c>
      <c r="W597">
        <f>(T597+5/3)/(1/12)</f>
        <v>79.670398102938321</v>
      </c>
      <c r="X597" s="2">
        <f t="shared" si="159"/>
        <v>2.1433723640040436E-3</v>
      </c>
    </row>
    <row r="598" spans="5:24" x14ac:dyDescent="0.25">
      <c r="E598">
        <v>596</v>
      </c>
      <c r="F598">
        <f t="shared" si="144"/>
        <v>79.599999999999994</v>
      </c>
      <c r="G598">
        <f t="shared" si="145"/>
        <v>352.75</v>
      </c>
      <c r="H598" s="4">
        <f t="shared" si="146"/>
        <v>4.9666670000000002</v>
      </c>
      <c r="I598" s="4">
        <f t="shared" si="147"/>
        <v>1272.8505170000001</v>
      </c>
      <c r="J598" s="4">
        <f t="shared" si="148"/>
        <v>1.2928505170000002</v>
      </c>
      <c r="K598" s="4">
        <f t="shared" si="149"/>
        <v>874.23668399999997</v>
      </c>
      <c r="L598">
        <f t="shared" si="150"/>
        <v>0.87423668399999999</v>
      </c>
      <c r="M598">
        <f>$B$12*F598+$B$13</f>
        <v>0.85189479187252504</v>
      </c>
      <c r="N598">
        <f t="shared" si="151"/>
        <v>2.2341892127474949E-2</v>
      </c>
      <c r="O598" s="4">
        <f t="shared" ca="1" si="152"/>
        <v>3.1884496355685132</v>
      </c>
      <c r="P598" s="4">
        <f t="shared" si="153"/>
        <v>3.1419345549707103</v>
      </c>
      <c r="Q598" s="4">
        <f t="shared" ca="1" si="154"/>
        <v>4.651508059780296E-2</v>
      </c>
      <c r="R598" s="2">
        <f t="shared" ca="1" si="155"/>
        <v>1.480459881769771E-2</v>
      </c>
      <c r="S598" s="4">
        <f t="shared" si="156"/>
        <v>4.9666670000000002</v>
      </c>
      <c r="T598">
        <v>4.9795650755986109</v>
      </c>
      <c r="U598">
        <f t="shared" si="157"/>
        <v>1.2898075598610781E-2</v>
      </c>
      <c r="V598" s="2">
        <f t="shared" si="158"/>
        <v>2.5969277985841976E-3</v>
      </c>
      <c r="W598">
        <f>(T598+5/3)/(1/12)</f>
        <v>79.754780907183346</v>
      </c>
      <c r="X598" s="2">
        <f t="shared" si="159"/>
        <v>1.9444837585848149E-3</v>
      </c>
    </row>
    <row r="599" spans="5:24" x14ac:dyDescent="0.25">
      <c r="E599">
        <v>597</v>
      </c>
      <c r="F599">
        <f t="shared" si="144"/>
        <v>79.7</v>
      </c>
      <c r="G599">
        <f t="shared" si="145"/>
        <v>352.84999999999997</v>
      </c>
      <c r="H599" s="4">
        <f t="shared" si="146"/>
        <v>4.9749999999999996</v>
      </c>
      <c r="I599" s="4">
        <f t="shared" si="147"/>
        <v>1268.7175110000001</v>
      </c>
      <c r="J599" s="4">
        <f t="shared" si="148"/>
        <v>1.288717511</v>
      </c>
      <c r="K599" s="4">
        <f t="shared" si="149"/>
        <v>872.344875</v>
      </c>
      <c r="L599">
        <f t="shared" si="150"/>
        <v>0.87234487500000002</v>
      </c>
      <c r="M599">
        <f>$B$12*F599+$B$13</f>
        <v>0.84954695304963046</v>
      </c>
      <c r="N599">
        <f t="shared" si="151"/>
        <v>2.279792195036956E-2</v>
      </c>
      <c r="O599" s="4">
        <f t="shared" ca="1" si="152"/>
        <v>3.1811534985422742</v>
      </c>
      <c r="P599" s="4">
        <f t="shared" si="153"/>
        <v>3.1332753214626154</v>
      </c>
      <c r="Q599" s="4">
        <f t="shared" ca="1" si="154"/>
        <v>4.7878177079658801E-2</v>
      </c>
      <c r="R599" s="2">
        <f t="shared" ca="1" si="155"/>
        <v>1.5280552191407561E-2</v>
      </c>
      <c r="S599" s="4">
        <f t="shared" si="156"/>
        <v>4.9749999999999996</v>
      </c>
      <c r="T599">
        <v>4.9866062559969251</v>
      </c>
      <c r="U599">
        <f t="shared" si="157"/>
        <v>1.1606255996925441E-2</v>
      </c>
      <c r="V599" s="2">
        <f t="shared" si="158"/>
        <v>2.3329157782764707E-3</v>
      </c>
      <c r="W599">
        <f>(T599+5/3)/(1/12)</f>
        <v>79.839275071963115</v>
      </c>
      <c r="X599" s="2">
        <f t="shared" si="159"/>
        <v>1.747491492636291E-3</v>
      </c>
    </row>
    <row r="600" spans="5:24" x14ac:dyDescent="0.25">
      <c r="E600">
        <v>598</v>
      </c>
      <c r="F600">
        <f t="shared" si="144"/>
        <v>79.800000000000011</v>
      </c>
      <c r="G600">
        <f t="shared" si="145"/>
        <v>352.95</v>
      </c>
      <c r="H600" s="4">
        <f t="shared" si="146"/>
        <v>4.983333</v>
      </c>
      <c r="I600" s="4">
        <f t="shared" si="147"/>
        <v>1264.6000160000001</v>
      </c>
      <c r="J600" s="4">
        <f t="shared" si="148"/>
        <v>1.2846000160000002</v>
      </c>
      <c r="K600" s="4">
        <f t="shared" si="149"/>
        <v>870.45626400000003</v>
      </c>
      <c r="L600">
        <f t="shared" si="150"/>
        <v>0.87045626400000009</v>
      </c>
      <c r="M600">
        <f>$B$12*F600+$B$13</f>
        <v>0.84719911422673588</v>
      </c>
      <c r="N600">
        <f t="shared" si="151"/>
        <v>2.3257149773264207E-2</v>
      </c>
      <c r="O600" s="4">
        <f t="shared" ca="1" si="152"/>
        <v>3.175827501457726</v>
      </c>
      <c r="P600" s="4">
        <f t="shared" si="153"/>
        <v>3.1246160879545202</v>
      </c>
      <c r="Q600" s="4">
        <f t="shared" ca="1" si="154"/>
        <v>5.1211413503205794E-2</v>
      </c>
      <c r="R600" s="2">
        <f t="shared" ca="1" si="155"/>
        <v>1.6389665821867582E-2</v>
      </c>
      <c r="S600" s="4">
        <f t="shared" si="156"/>
        <v>4.983333</v>
      </c>
      <c r="T600">
        <v>4.9936566138811109</v>
      </c>
      <c r="U600">
        <f t="shared" si="157"/>
        <v>1.0323613881110916E-2</v>
      </c>
      <c r="V600" s="2">
        <f t="shared" si="158"/>
        <v>2.0716283421378656E-3</v>
      </c>
      <c r="W600">
        <f>(T600+5/3)/(1/12)</f>
        <v>79.923879366573345</v>
      </c>
      <c r="X600" s="2">
        <f t="shared" si="159"/>
        <v>1.552373014703433E-3</v>
      </c>
    </row>
    <row r="601" spans="5:24" x14ac:dyDescent="0.25">
      <c r="E601">
        <v>599</v>
      </c>
      <c r="F601">
        <f t="shared" si="144"/>
        <v>79.900000000000006</v>
      </c>
      <c r="G601">
        <f t="shared" si="145"/>
        <v>353.04999999999995</v>
      </c>
      <c r="H601" s="4">
        <f t="shared" si="146"/>
        <v>4.9916669999999996</v>
      </c>
      <c r="I601" s="4">
        <f t="shared" si="147"/>
        <v>1260.4979659999999</v>
      </c>
      <c r="J601" s="4">
        <f t="shared" si="148"/>
        <v>1.280497966</v>
      </c>
      <c r="K601" s="4">
        <f t="shared" si="149"/>
        <v>868.57085199999995</v>
      </c>
      <c r="L601">
        <f t="shared" si="150"/>
        <v>0.86857085199999995</v>
      </c>
      <c r="M601">
        <f>$B$12*F601+$B$13</f>
        <v>0.84485127540384175</v>
      </c>
      <c r="N601">
        <f t="shared" si="151"/>
        <v>2.3719576596158198E-2</v>
      </c>
      <c r="O601" s="4">
        <f t="shared" ca="1" si="152"/>
        <v>3.1673874985422739</v>
      </c>
      <c r="P601" s="4">
        <f t="shared" si="153"/>
        <v>3.1159568544464271</v>
      </c>
      <c r="Q601" s="4">
        <f t="shared" ca="1" si="154"/>
        <v>5.1430644095846745E-2</v>
      </c>
      <c r="R601" s="2">
        <f t="shared" ca="1" si="155"/>
        <v>1.650557003780586E-2</v>
      </c>
      <c r="S601" s="4">
        <f t="shared" si="156"/>
        <v>4.9916669999999996</v>
      </c>
      <c r="T601">
        <v>5.0003414789903164</v>
      </c>
      <c r="U601">
        <f t="shared" si="157"/>
        <v>8.674478990316814E-3</v>
      </c>
      <c r="V601" s="2">
        <f t="shared" si="158"/>
        <v>1.7377920022142532E-3</v>
      </c>
      <c r="W601">
        <f>(T601+5/3)/(1/12)</f>
        <v>80.004097747883804</v>
      </c>
      <c r="X601" s="2">
        <f t="shared" si="159"/>
        <v>1.302850411561937E-3</v>
      </c>
    </row>
    <row r="602" spans="5:24" x14ac:dyDescent="0.25">
      <c r="E602">
        <v>600</v>
      </c>
      <c r="F602">
        <f t="shared" si="144"/>
        <v>80</v>
      </c>
      <c r="G602">
        <f t="shared" si="145"/>
        <v>353.15</v>
      </c>
      <c r="H602" s="4">
        <f t="shared" si="146"/>
        <v>5</v>
      </c>
      <c r="I602" s="4">
        <f t="shared" si="147"/>
        <v>1256.411296</v>
      </c>
      <c r="J602" s="4">
        <f t="shared" si="148"/>
        <v>1.276411296</v>
      </c>
      <c r="K602" s="4">
        <f t="shared" si="149"/>
        <v>866.68863999999996</v>
      </c>
      <c r="L602">
        <f t="shared" si="150"/>
        <v>0.86668864000000001</v>
      </c>
      <c r="M602">
        <f>$B$12*F602+$B$13</f>
        <v>0.84250343658094762</v>
      </c>
      <c r="N602">
        <f t="shared" si="151"/>
        <v>2.4185203419052392E-2</v>
      </c>
      <c r="O602" s="4">
        <f t="shared" ca="1" si="152"/>
        <v>3.1609068629737611</v>
      </c>
      <c r="P602" s="4">
        <f t="shared" si="153"/>
        <v>3.1072976209383336</v>
      </c>
      <c r="Q602" s="4">
        <f t="shared" ca="1" si="154"/>
        <v>5.3609242035427496E-2</v>
      </c>
      <c r="R602" s="2">
        <f t="shared" ca="1" si="155"/>
        <v>1.7252689820950823E-2</v>
      </c>
      <c r="S602" s="4">
        <f t="shared" si="156"/>
        <v>5</v>
      </c>
      <c r="T602">
        <v>5.0022676892994067</v>
      </c>
      <c r="U602">
        <f t="shared" si="157"/>
        <v>2.2676892994066833E-3</v>
      </c>
      <c r="V602" s="2">
        <f t="shared" si="158"/>
        <v>4.5353785988133666E-4</v>
      </c>
      <c r="W602">
        <f>(T602+5/3)/(1/12)</f>
        <v>80.027212271592887</v>
      </c>
      <c r="X602" s="2">
        <f t="shared" si="159"/>
        <v>3.4015339491109129E-4</v>
      </c>
    </row>
  </sheetData>
  <mergeCells count="3">
    <mergeCell ref="A1:C1"/>
    <mergeCell ref="C25:C27"/>
    <mergeCell ref="A20:C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1A383-ED84-4AD0-97EF-5ABAC74CC455}">
  <dimension ref="A1:K602"/>
  <sheetViews>
    <sheetView workbookViewId="0">
      <pane ySplit="1" topLeftCell="A2" activePane="bottomLeft" state="frozen"/>
      <selection pane="bottomLeft" activeCell="K17" sqref="K17"/>
    </sheetView>
  </sheetViews>
  <sheetFormatPr defaultRowHeight="15" x14ac:dyDescent="0.25"/>
  <cols>
    <col min="1" max="1" width="9.140625" style="5"/>
    <col min="2" max="2" width="14.28515625" style="5" customWidth="1"/>
    <col min="3" max="3" width="11.42578125" style="5" customWidth="1"/>
    <col min="4" max="4" width="11.42578125" customWidth="1"/>
    <col min="5" max="5" width="9.140625" style="19"/>
    <col min="6" max="6" width="18.42578125" style="19" customWidth="1"/>
    <col min="7" max="8" width="18.42578125" customWidth="1"/>
    <col min="9" max="9" width="14.85546875" style="19" customWidth="1"/>
    <col min="10" max="10" width="16.5703125" customWidth="1"/>
    <col min="11" max="11" width="13.5703125" customWidth="1"/>
  </cols>
  <sheetData>
    <row r="1" spans="1:11" x14ac:dyDescent="0.25">
      <c r="A1" s="5" t="s">
        <v>0</v>
      </c>
      <c r="B1" s="5" t="s">
        <v>71</v>
      </c>
      <c r="C1" s="5" t="s">
        <v>72</v>
      </c>
      <c r="E1" s="19" t="s">
        <v>73</v>
      </c>
      <c r="F1" s="19" t="s">
        <v>74</v>
      </c>
      <c r="I1" s="19" t="s">
        <v>75</v>
      </c>
    </row>
    <row r="2" spans="1:11" x14ac:dyDescent="0.25">
      <c r="A2" s="5" cm="1">
        <f t="array" ref="A2:A602">_xlfn.SEQUENCE(601,1,0,1)</f>
        <v>0</v>
      </c>
      <c r="B2" s="5">
        <f>0.1*A2+20</f>
        <v>20</v>
      </c>
      <c r="C2" s="21">
        <f>ROUND(1/12*B2-5/3,6)</f>
        <v>0</v>
      </c>
      <c r="D2" s="16"/>
      <c r="E2" s="19">
        <f>(ADC!I2+5/3)/(1/12)</f>
        <v>20.204000000000001</v>
      </c>
      <c r="F2" s="20">
        <f t="shared" ref="F2:F65" si="0">ABS(B2-E2)/B2</f>
        <v>1.0200000000000032E-2</v>
      </c>
      <c r="G2" s="17" t="s">
        <v>76</v>
      </c>
      <c r="H2" s="17">
        <f>MAX(F:F)</f>
        <v>3.767485794817315E-2</v>
      </c>
      <c r="I2" s="19">
        <f>ABS(C2-ADC!I2)</f>
        <v>1.7000000000000001E-2</v>
      </c>
      <c r="J2" s="18" t="s">
        <v>78</v>
      </c>
      <c r="K2" s="18">
        <f>MAX(I:I)</f>
        <v>9.9134977986247819E-2</v>
      </c>
    </row>
    <row r="3" spans="1:11" x14ac:dyDescent="0.25">
      <c r="A3" s="5">
        <v>1</v>
      </c>
      <c r="B3" s="5">
        <f t="shared" ref="B3:B66" si="1">0.1*A3+20</f>
        <v>20.100000000000001</v>
      </c>
      <c r="C3" s="21">
        <f t="shared" ref="C3:C66" si="2">ROUND(1/12*B3-5/3,6)</f>
        <v>8.3330000000000001E-3</v>
      </c>
      <c r="D3" s="16"/>
      <c r="E3" s="19">
        <f>(ADC!I3+5/3)/(1/12)</f>
        <v>20.239456183585826</v>
      </c>
      <c r="F3" s="20">
        <f t="shared" si="0"/>
        <v>6.938118586359442E-3</v>
      </c>
      <c r="G3" s="17" t="s">
        <v>77</v>
      </c>
      <c r="H3" s="17">
        <f>MIN(F:F)</f>
        <v>2.8376795132122363E-5</v>
      </c>
      <c r="I3" s="19">
        <f>ABS(C3-ADC!I3)</f>
        <v>1.162168196548553E-2</v>
      </c>
      <c r="J3" s="18" t="s">
        <v>79</v>
      </c>
      <c r="K3" s="18">
        <f>MIN(I:I)</f>
        <v>4.9283304936184602E-5</v>
      </c>
    </row>
    <row r="4" spans="1:11" x14ac:dyDescent="0.25">
      <c r="A4" s="5">
        <v>2</v>
      </c>
      <c r="B4" s="5">
        <f t="shared" si="1"/>
        <v>20.2</v>
      </c>
      <c r="C4" s="21">
        <f t="shared" si="2"/>
        <v>1.6667000000000001E-2</v>
      </c>
      <c r="D4" s="16"/>
      <c r="E4" s="19">
        <f>(ADC!I4+5/3)/(1/12)</f>
        <v>20.307708818373879</v>
      </c>
      <c r="F4" s="20">
        <f t="shared" si="0"/>
        <v>5.3321197214791817E-3</v>
      </c>
      <c r="G4" s="2"/>
      <c r="H4" s="2"/>
      <c r="I4" s="19">
        <f>ABS(C4-ADC!I4)</f>
        <v>8.9754015311565745E-3</v>
      </c>
    </row>
    <row r="5" spans="1:11" x14ac:dyDescent="0.25">
      <c r="A5" s="5">
        <v>3</v>
      </c>
      <c r="B5" s="5">
        <f t="shared" si="1"/>
        <v>20.3</v>
      </c>
      <c r="C5" s="21">
        <f t="shared" si="2"/>
        <v>2.5000000000000001E-2</v>
      </c>
      <c r="D5" s="16"/>
      <c r="E5" s="19">
        <f>(ADC!I5+5/3)/(1/12)</f>
        <v>20.387968909279618</v>
      </c>
      <c r="F5" s="20">
        <f t="shared" si="0"/>
        <v>4.3334438068776838E-3</v>
      </c>
      <c r="G5" s="2"/>
      <c r="H5" s="2"/>
      <c r="I5" s="19">
        <f>ABS(C5-ADC!I5)</f>
        <v>7.3307424399679383E-3</v>
      </c>
    </row>
    <row r="6" spans="1:11" x14ac:dyDescent="0.25">
      <c r="A6" s="5">
        <v>4</v>
      </c>
      <c r="B6" s="5">
        <f t="shared" si="1"/>
        <v>20.399999999999999</v>
      </c>
      <c r="C6" s="21">
        <f t="shared" si="2"/>
        <v>3.3333000000000002E-2</v>
      </c>
      <c r="D6" s="16"/>
      <c r="E6" s="19">
        <f>(ADC!I6+5/3)/(1/12)</f>
        <v>20.45689193399387</v>
      </c>
      <c r="F6" s="20">
        <f t="shared" si="0"/>
        <v>2.7888202938172028E-3</v>
      </c>
      <c r="G6" s="2"/>
      <c r="H6" s="2"/>
      <c r="I6" s="19">
        <f>ABS(C6-ADC!I6)</f>
        <v>4.7413278328223424E-3</v>
      </c>
    </row>
    <row r="7" spans="1:11" x14ac:dyDescent="0.25">
      <c r="A7" s="5">
        <v>5</v>
      </c>
      <c r="B7" s="5">
        <f t="shared" si="1"/>
        <v>20.5</v>
      </c>
      <c r="C7" s="21">
        <f t="shared" si="2"/>
        <v>4.1667000000000003E-2</v>
      </c>
      <c r="D7" s="16"/>
      <c r="E7" s="19">
        <f>(ADC!I7+5/3)/(1/12)</f>
        <v>20.537803144556765</v>
      </c>
      <c r="F7" s="20">
        <f t="shared" si="0"/>
        <v>1.8440558320373186E-3</v>
      </c>
      <c r="G7" s="2"/>
      <c r="H7" s="2"/>
      <c r="I7" s="19">
        <f>ABS(C7-ADC!I7)</f>
        <v>3.1499287130634934E-3</v>
      </c>
    </row>
    <row r="8" spans="1:11" x14ac:dyDescent="0.25">
      <c r="A8" s="5">
        <v>6</v>
      </c>
      <c r="B8" s="5">
        <f t="shared" si="1"/>
        <v>20.6</v>
      </c>
      <c r="C8" s="21">
        <f t="shared" si="2"/>
        <v>0.05</v>
      </c>
      <c r="D8" s="16"/>
      <c r="E8" s="19">
        <f>(ADC!I8+5/3)/(1/12)</f>
        <v>20.619034998917343</v>
      </c>
      <c r="F8" s="20">
        <f t="shared" si="0"/>
        <v>9.2402907365734383E-4</v>
      </c>
      <c r="G8" s="2"/>
      <c r="H8" s="2"/>
      <c r="I8" s="19">
        <f>ABS(C8-ADC!I8)</f>
        <v>1.5862499097782506E-3</v>
      </c>
    </row>
    <row r="9" spans="1:11" x14ac:dyDescent="0.25">
      <c r="A9" s="5">
        <v>7</v>
      </c>
      <c r="B9" s="5">
        <f t="shared" si="1"/>
        <v>20.7</v>
      </c>
      <c r="C9" s="21">
        <f t="shared" si="2"/>
        <v>5.8333000000000003E-2</v>
      </c>
      <c r="D9" s="16"/>
      <c r="E9" s="19">
        <f>(ADC!I9+5/3)/(1/12)</f>
        <v>20.700587399659234</v>
      </c>
      <c r="F9" s="20">
        <f t="shared" si="0"/>
        <v>2.8376795132122363E-5</v>
      </c>
      <c r="G9" s="2"/>
      <c r="H9" s="2"/>
      <c r="I9" s="19">
        <f>ABS(C9-ADC!I9)</f>
        <v>4.9283304936184602E-5</v>
      </c>
    </row>
    <row r="10" spans="1:11" x14ac:dyDescent="0.25">
      <c r="A10" s="5">
        <v>8</v>
      </c>
      <c r="B10" s="5">
        <f t="shared" si="1"/>
        <v>20.8</v>
      </c>
      <c r="C10" s="21">
        <f t="shared" si="2"/>
        <v>6.6667000000000004E-2</v>
      </c>
      <c r="D10" s="16"/>
      <c r="E10" s="19">
        <f>(ADC!I10+5/3)/(1/12)</f>
        <v>20.782460242033718</v>
      </c>
      <c r="F10" s="20">
        <f t="shared" si="0"/>
        <v>8.4325759453282784E-4</v>
      </c>
      <c r="G10" s="2"/>
      <c r="H10" s="2"/>
      <c r="I10" s="19">
        <f>ABS(C10-ADC!I10)</f>
        <v>1.4619798305237353E-3</v>
      </c>
    </row>
    <row r="11" spans="1:11" x14ac:dyDescent="0.25">
      <c r="A11" s="5">
        <v>9</v>
      </c>
      <c r="B11" s="5">
        <f t="shared" si="1"/>
        <v>20.9</v>
      </c>
      <c r="C11" s="21">
        <f t="shared" si="2"/>
        <v>7.4999999999999997E-2</v>
      </c>
      <c r="D11" s="16"/>
      <c r="E11" s="19">
        <f>(ADC!I11+5/3)/(1/12)</f>
        <v>20.864653420943018</v>
      </c>
      <c r="F11" s="20">
        <f t="shared" si="0"/>
        <v>1.6912238783244348E-3</v>
      </c>
      <c r="G11" s="2"/>
      <c r="H11" s="2"/>
      <c r="I11" s="19">
        <f>ABS(C11-ADC!I11)</f>
        <v>2.9455482547488393E-3</v>
      </c>
    </row>
    <row r="12" spans="1:11" x14ac:dyDescent="0.25">
      <c r="A12" s="5">
        <v>10</v>
      </c>
      <c r="B12" s="5">
        <f t="shared" si="1"/>
        <v>21</v>
      </c>
      <c r="C12" s="21">
        <f t="shared" si="2"/>
        <v>8.3333000000000004E-2</v>
      </c>
      <c r="D12" s="16"/>
      <c r="E12" s="19">
        <f>(ADC!I12+5/3)/(1/12)</f>
        <v>20.947166817671835</v>
      </c>
      <c r="F12" s="20">
        <f t="shared" si="0"/>
        <v>2.5158658251506999E-3</v>
      </c>
      <c r="G12" s="2"/>
      <c r="H12" s="2"/>
      <c r="I12" s="19">
        <f>ABS(C12-ADC!I12)</f>
        <v>4.4024318606803725E-3</v>
      </c>
    </row>
    <row r="13" spans="1:11" x14ac:dyDescent="0.25">
      <c r="A13" s="5">
        <v>11</v>
      </c>
      <c r="B13" s="5">
        <f t="shared" si="1"/>
        <v>21.1</v>
      </c>
      <c r="C13" s="21">
        <f t="shared" si="2"/>
        <v>9.1666999999999998E-2</v>
      </c>
      <c r="D13" s="16"/>
      <c r="E13" s="19">
        <f>(ADC!I13+5/3)/(1/12)</f>
        <v>21.018410147921216</v>
      </c>
      <c r="F13" s="20">
        <f t="shared" si="0"/>
        <v>3.8668176340656605E-3</v>
      </c>
      <c r="G13" s="2"/>
      <c r="H13" s="2"/>
      <c r="I13" s="19">
        <f>ABS(C13-ADC!I13)</f>
        <v>6.7994876732319909E-3</v>
      </c>
    </row>
    <row r="14" spans="1:11" x14ac:dyDescent="0.25">
      <c r="A14" s="5">
        <v>12</v>
      </c>
      <c r="B14" s="5">
        <f t="shared" si="1"/>
        <v>21.2</v>
      </c>
      <c r="C14" s="21">
        <f t="shared" si="2"/>
        <v>0.1</v>
      </c>
      <c r="D14" s="16"/>
      <c r="E14" s="19">
        <f>(ADC!I14+5/3)/(1/12)</f>
        <v>21.101573369613455</v>
      </c>
      <c r="F14" s="20">
        <f t="shared" si="0"/>
        <v>4.6427655842709737E-3</v>
      </c>
      <c r="G14" s="2"/>
      <c r="H14" s="2"/>
      <c r="I14" s="19">
        <f>ABS(C14-ADC!I14)</f>
        <v>8.2022191988789239E-3</v>
      </c>
    </row>
    <row r="15" spans="1:11" x14ac:dyDescent="0.25">
      <c r="A15" s="5">
        <v>13</v>
      </c>
      <c r="B15" s="5">
        <f t="shared" si="1"/>
        <v>21.3</v>
      </c>
      <c r="C15" s="21">
        <f t="shared" si="2"/>
        <v>0.108333</v>
      </c>
      <c r="D15" s="16"/>
      <c r="E15" s="19">
        <f>(ADC!I15+5/3)/(1/12)</f>
        <v>21.185056454376284</v>
      </c>
      <c r="F15" s="20">
        <f t="shared" si="0"/>
        <v>5.3964105926627755E-3</v>
      </c>
      <c r="G15" s="2"/>
      <c r="H15" s="2"/>
      <c r="I15" s="19">
        <f>ABS(C15-ADC!I15)</f>
        <v>9.5782954686431665E-3</v>
      </c>
    </row>
    <row r="16" spans="1:11" x14ac:dyDescent="0.25">
      <c r="A16" s="5">
        <v>14</v>
      </c>
      <c r="B16" s="5">
        <f t="shared" si="1"/>
        <v>21.4</v>
      </c>
      <c r="C16" s="21">
        <f t="shared" si="2"/>
        <v>0.11666700000000001</v>
      </c>
      <c r="D16" s="16"/>
      <c r="E16" s="19">
        <f>(ADC!I16+5/3)/(1/12)</f>
        <v>21.2688592621958</v>
      </c>
      <c r="F16" s="20">
        <f t="shared" si="0"/>
        <v>6.1280718600092736E-3</v>
      </c>
      <c r="G16" s="2"/>
      <c r="H16" s="2"/>
      <c r="I16" s="19">
        <f>ABS(C16-ADC!I16)</f>
        <v>1.0928728150350175E-2</v>
      </c>
    </row>
    <row r="17" spans="1:9" x14ac:dyDescent="0.25">
      <c r="A17" s="5">
        <v>15</v>
      </c>
      <c r="B17" s="5">
        <f t="shared" si="1"/>
        <v>21.5</v>
      </c>
      <c r="C17" s="21">
        <f t="shared" si="2"/>
        <v>0.125</v>
      </c>
      <c r="D17" s="16"/>
      <c r="E17" s="19">
        <f>(ADC!I17+5/3)/(1/12)</f>
        <v>21.352981651660887</v>
      </c>
      <c r="F17" s="20">
        <f t="shared" si="0"/>
        <v>6.8380627134471258E-3</v>
      </c>
      <c r="G17" s="2"/>
      <c r="H17" s="2"/>
      <c r="I17" s="19">
        <f>ABS(C17-ADC!I17)</f>
        <v>1.2251529028259669E-2</v>
      </c>
    </row>
    <row r="18" spans="1:9" x14ac:dyDescent="0.25">
      <c r="A18" s="5">
        <v>16</v>
      </c>
      <c r="B18" s="5">
        <f t="shared" si="1"/>
        <v>21.6</v>
      </c>
      <c r="C18" s="21">
        <f t="shared" si="2"/>
        <v>0.13333300000000001</v>
      </c>
      <c r="D18" s="16"/>
      <c r="E18" s="19">
        <f>(ADC!I18+5/3)/(1/12)</f>
        <v>21.425882325598536</v>
      </c>
      <c r="F18" s="20">
        <f t="shared" si="0"/>
        <v>8.0610034445122766E-3</v>
      </c>
      <c r="G18" s="2"/>
      <c r="H18" s="2"/>
      <c r="I18" s="19">
        <f>ABS(C18-ADC!I18)</f>
        <v>1.4509472866788761E-2</v>
      </c>
    </row>
    <row r="19" spans="1:9" x14ac:dyDescent="0.25">
      <c r="A19" s="5">
        <v>17</v>
      </c>
      <c r="B19" s="5">
        <f t="shared" si="1"/>
        <v>21.7</v>
      </c>
      <c r="C19" s="21">
        <f t="shared" si="2"/>
        <v>0.14166699999999999</v>
      </c>
      <c r="D19" s="16"/>
      <c r="E19" s="19">
        <f>(ADC!I19+5/3)/(1/12)</f>
        <v>21.510653285137725</v>
      </c>
      <c r="F19" s="20">
        <f t="shared" si="0"/>
        <v>8.7256550627776378E-3</v>
      </c>
      <c r="G19" s="2"/>
      <c r="H19" s="2"/>
      <c r="I19" s="19">
        <f>ABS(C19-ADC!I19)</f>
        <v>1.5779226238523236E-2</v>
      </c>
    </row>
    <row r="20" spans="1:9" x14ac:dyDescent="0.25">
      <c r="A20" s="5">
        <v>18</v>
      </c>
      <c r="B20" s="5">
        <f t="shared" si="1"/>
        <v>21.8</v>
      </c>
      <c r="C20" s="21">
        <f t="shared" si="2"/>
        <v>0.15</v>
      </c>
      <c r="D20" s="16"/>
      <c r="E20" s="19">
        <f>(ADC!I20+5/3)/(1/12)</f>
        <v>21.595743381140707</v>
      </c>
      <c r="F20" s="20">
        <f t="shared" si="0"/>
        <v>9.3695696724446602E-3</v>
      </c>
      <c r="G20" s="2"/>
      <c r="H20" s="2"/>
      <c r="I20" s="19">
        <f>ABS(C20-ADC!I20)</f>
        <v>1.70213849049414E-2</v>
      </c>
    </row>
    <row r="21" spans="1:9" x14ac:dyDescent="0.25">
      <c r="A21" s="5">
        <v>19</v>
      </c>
      <c r="B21" s="5">
        <f t="shared" si="1"/>
        <v>21.9</v>
      </c>
      <c r="C21" s="21">
        <f t="shared" si="2"/>
        <v>0.158333</v>
      </c>
      <c r="D21" s="16"/>
      <c r="E21" s="19">
        <f>(ADC!I21+5/3)/(1/12)</f>
        <v>21.681152450199619</v>
      </c>
      <c r="F21" s="20">
        <f t="shared" si="0"/>
        <v>9.9930388036703049E-3</v>
      </c>
      <c r="G21" s="2"/>
      <c r="H21" s="2"/>
      <c r="I21" s="19">
        <f>ABS(C21-ADC!I21)</f>
        <v>1.8236962483365232E-2</v>
      </c>
    </row>
    <row r="22" spans="1:9" x14ac:dyDescent="0.25">
      <c r="A22" s="5">
        <v>20</v>
      </c>
      <c r="B22" s="5">
        <f t="shared" si="1"/>
        <v>22</v>
      </c>
      <c r="C22" s="21">
        <f t="shared" si="2"/>
        <v>0.16666700000000001</v>
      </c>
      <c r="D22" s="16"/>
      <c r="E22" s="19">
        <f>(ADC!I22+5/3)/(1/12)</f>
        <v>21.75537878037246</v>
      </c>
      <c r="F22" s="20">
        <f t="shared" si="0"/>
        <v>1.1119146346706349E-2</v>
      </c>
      <c r="G22" s="2"/>
      <c r="H22" s="2"/>
      <c r="I22" s="19">
        <f>ABS(C22-ADC!I22)</f>
        <v>2.0385434968961835E-2</v>
      </c>
    </row>
    <row r="23" spans="1:9" x14ac:dyDescent="0.25">
      <c r="A23" s="5">
        <v>21</v>
      </c>
      <c r="B23" s="5">
        <f t="shared" si="1"/>
        <v>22.1</v>
      </c>
      <c r="C23" s="21">
        <f t="shared" si="2"/>
        <v>0.17499999999999999</v>
      </c>
      <c r="D23" s="16"/>
      <c r="E23" s="19">
        <f>(ADC!I23+5/3)/(1/12)</f>
        <v>21.841435216641074</v>
      </c>
      <c r="F23" s="20">
        <f t="shared" si="0"/>
        <v>1.1699763952892657E-2</v>
      </c>
      <c r="G23" s="2"/>
      <c r="H23" s="2"/>
      <c r="I23" s="19">
        <f>ABS(C23-ADC!I23)</f>
        <v>2.154706527991071E-2</v>
      </c>
    </row>
    <row r="24" spans="1:9" x14ac:dyDescent="0.25">
      <c r="A24" s="5">
        <v>22</v>
      </c>
      <c r="B24" s="5">
        <f t="shared" si="1"/>
        <v>22.2</v>
      </c>
      <c r="C24" s="21">
        <f t="shared" si="2"/>
        <v>0.183333</v>
      </c>
      <c r="D24" s="16"/>
      <c r="E24" s="19">
        <f>(ADC!I24+5/3)/(1/12)</f>
        <v>21.927810115141064</v>
      </c>
      <c r="F24" s="20">
        <f t="shared" si="0"/>
        <v>1.2260805624276373E-2</v>
      </c>
      <c r="G24" s="2"/>
      <c r="H24" s="2"/>
      <c r="I24" s="19">
        <f>ABS(C24-ADC!I24)</f>
        <v>2.2682157071578279E-2</v>
      </c>
    </row>
    <row r="25" spans="1:9" x14ac:dyDescent="0.25">
      <c r="A25" s="5">
        <v>23</v>
      </c>
      <c r="B25" s="5">
        <f t="shared" si="1"/>
        <v>22.3</v>
      </c>
      <c r="C25" s="21">
        <f t="shared" si="2"/>
        <v>0.191667</v>
      </c>
      <c r="D25" s="16"/>
      <c r="E25" s="19">
        <f>(ADC!I25+5/3)/(1/12)</f>
        <v>22.003031672826456</v>
      </c>
      <c r="F25" s="20">
        <f t="shared" si="0"/>
        <v>1.3316965344105149E-2</v>
      </c>
      <c r="G25" s="2"/>
      <c r="H25" s="2"/>
      <c r="I25" s="19">
        <f>ABS(C25-ADC!I25)</f>
        <v>2.4747693931128772E-2</v>
      </c>
    </row>
    <row r="26" spans="1:9" x14ac:dyDescent="0.25">
      <c r="A26" s="5">
        <v>24</v>
      </c>
      <c r="B26" s="5">
        <f t="shared" si="1"/>
        <v>22.4</v>
      </c>
      <c r="C26" s="21">
        <f t="shared" si="2"/>
        <v>0.2</v>
      </c>
      <c r="D26" s="16"/>
      <c r="E26" s="19">
        <f>(ADC!I26+5/3)/(1/12)</f>
        <v>22.090052927362102</v>
      </c>
      <c r="F26" s="20">
        <f t="shared" si="0"/>
        <v>1.3836922885620393E-2</v>
      </c>
      <c r="G26" s="2"/>
      <c r="H26" s="2"/>
      <c r="I26" s="19">
        <f>ABS(C26-ADC!I26)</f>
        <v>2.5828922719824982E-2</v>
      </c>
    </row>
    <row r="27" spans="1:9" x14ac:dyDescent="0.25">
      <c r="A27" s="5">
        <v>25</v>
      </c>
      <c r="B27" s="5">
        <f t="shared" si="1"/>
        <v>22.5</v>
      </c>
      <c r="C27" s="21">
        <f t="shared" si="2"/>
        <v>0.20833299999999999</v>
      </c>
      <c r="D27" s="16"/>
      <c r="E27" s="19">
        <f>(ADC!I27+5/3)/(1/12)</f>
        <v>22.177392070455344</v>
      </c>
      <c r="F27" s="20">
        <f t="shared" si="0"/>
        <v>1.4338130201984711E-2</v>
      </c>
      <c r="G27" s="2"/>
      <c r="H27" s="2"/>
      <c r="I27" s="19">
        <f>ABS(C27-ADC!I27)</f>
        <v>2.6883660795388037E-2</v>
      </c>
    </row>
    <row r="28" spans="1:9" x14ac:dyDescent="0.25">
      <c r="A28" s="5">
        <v>26</v>
      </c>
      <c r="B28" s="5">
        <f t="shared" si="1"/>
        <v>22.6</v>
      </c>
      <c r="C28" s="21">
        <f t="shared" si="2"/>
        <v>0.216667</v>
      </c>
      <c r="D28" s="16"/>
      <c r="E28" s="19">
        <f>(ADC!I28+5/3)/(1/12)</f>
        <v>22.253607424087804</v>
      </c>
      <c r="F28" s="20">
        <f t="shared" si="0"/>
        <v>1.5327105128858307E-2</v>
      </c>
      <c r="G28" s="2"/>
      <c r="H28" s="2"/>
      <c r="I28" s="19">
        <f>ABS(C28-ADC!I28)</f>
        <v>2.886638132601646E-2</v>
      </c>
    </row>
    <row r="29" spans="1:9" x14ac:dyDescent="0.25">
      <c r="A29" s="5">
        <v>27</v>
      </c>
      <c r="B29" s="5">
        <f t="shared" si="1"/>
        <v>22.7</v>
      </c>
      <c r="C29" s="21">
        <f t="shared" si="2"/>
        <v>0.22500000000000001</v>
      </c>
      <c r="D29" s="16"/>
      <c r="E29" s="19">
        <f>(ADC!I29+5/3)/(1/12)</f>
        <v>22.341591807293845</v>
      </c>
      <c r="F29" s="20">
        <f t="shared" si="0"/>
        <v>1.5788907167671982E-2</v>
      </c>
      <c r="G29" s="2"/>
      <c r="H29" s="2"/>
      <c r="I29" s="19">
        <f>ABS(C29-ADC!I29)</f>
        <v>2.9867349392179776E-2</v>
      </c>
    </row>
    <row r="30" spans="1:9" x14ac:dyDescent="0.25">
      <c r="A30" s="5">
        <v>28</v>
      </c>
      <c r="B30" s="5">
        <f t="shared" si="1"/>
        <v>22.8</v>
      </c>
      <c r="C30" s="21">
        <f t="shared" si="2"/>
        <v>0.23333300000000001</v>
      </c>
      <c r="D30" s="16"/>
      <c r="E30" s="19">
        <f>(ADC!I30+5/3)/(1/12)</f>
        <v>22.429893463833668</v>
      </c>
      <c r="F30" s="20">
        <f t="shared" si="0"/>
        <v>1.6232742814312827E-2</v>
      </c>
      <c r="G30" s="2"/>
      <c r="H30" s="2"/>
      <c r="I30" s="19">
        <f>ABS(C30-ADC!I30)</f>
        <v>3.0841878013861124E-2</v>
      </c>
    </row>
    <row r="31" spans="1:9" x14ac:dyDescent="0.25">
      <c r="A31" s="5">
        <v>29</v>
      </c>
      <c r="B31" s="5">
        <f t="shared" si="1"/>
        <v>22.9</v>
      </c>
      <c r="C31" s="21">
        <f t="shared" si="2"/>
        <v>0.24166699999999999</v>
      </c>
      <c r="D31" s="16"/>
      <c r="E31" s="19">
        <f>(ADC!I31+5/3)/(1/12)</f>
        <v>22.507101009361332</v>
      </c>
      <c r="F31" s="20">
        <f t="shared" si="0"/>
        <v>1.7157161163260562E-2</v>
      </c>
      <c r="G31" s="2"/>
      <c r="H31" s="2"/>
      <c r="I31" s="19">
        <f>ABS(C31-ADC!I31)</f>
        <v>3.2741915886555784E-2</v>
      </c>
    </row>
    <row r="32" spans="1:9" x14ac:dyDescent="0.25">
      <c r="A32" s="5">
        <v>30</v>
      </c>
      <c r="B32" s="5">
        <f t="shared" si="1"/>
        <v>23</v>
      </c>
      <c r="C32" s="21">
        <f t="shared" si="2"/>
        <v>0.25</v>
      </c>
      <c r="D32" s="16"/>
      <c r="E32" s="19">
        <f>(ADC!I32+5/3)/(1/12)</f>
        <v>22.59604667975573</v>
      </c>
      <c r="F32" s="20">
        <f t="shared" si="0"/>
        <v>1.7563187836707381E-2</v>
      </c>
      <c r="G32" s="2"/>
      <c r="H32" s="2"/>
      <c r="I32" s="19">
        <f>ABS(C32-ADC!I32)</f>
        <v>3.36627766870225E-2</v>
      </c>
    </row>
    <row r="33" spans="1:9" x14ac:dyDescent="0.25">
      <c r="A33" s="5">
        <v>31</v>
      </c>
      <c r="B33" s="5">
        <f t="shared" si="1"/>
        <v>23.1</v>
      </c>
      <c r="C33" s="21">
        <f t="shared" si="2"/>
        <v>0.25833299999999998</v>
      </c>
      <c r="D33" s="16"/>
      <c r="E33" s="19">
        <f>(ADC!I33+5/3)/(1/12)</f>
        <v>22.673918113458015</v>
      </c>
      <c r="F33" s="20">
        <f t="shared" si="0"/>
        <v>1.8445103313505906E-2</v>
      </c>
      <c r="G33" s="2"/>
      <c r="H33" s="2"/>
      <c r="I33" s="19">
        <f>ABS(C33-ADC!I33)</f>
        <v>3.5506490545165387E-2</v>
      </c>
    </row>
    <row r="34" spans="1:9" x14ac:dyDescent="0.25">
      <c r="A34" s="5">
        <v>32</v>
      </c>
      <c r="B34" s="5">
        <f t="shared" si="1"/>
        <v>23.2</v>
      </c>
      <c r="C34" s="21">
        <f t="shared" si="2"/>
        <v>0.26666699999999999</v>
      </c>
      <c r="D34" s="16"/>
      <c r="E34" s="19">
        <f>(ADC!I34+5/3)/(1/12)</f>
        <v>22.763506933181311</v>
      </c>
      <c r="F34" s="20">
        <f t="shared" si="0"/>
        <v>1.8814356328391721E-2</v>
      </c>
      <c r="G34" s="2"/>
      <c r="H34" s="2"/>
      <c r="I34" s="19">
        <f>ABS(C34-ADC!I34)</f>
        <v>3.6374755568224421E-2</v>
      </c>
    </row>
    <row r="35" spans="1:9" x14ac:dyDescent="0.25">
      <c r="A35" s="5">
        <v>33</v>
      </c>
      <c r="B35" s="5">
        <f t="shared" si="1"/>
        <v>23.3</v>
      </c>
      <c r="C35" s="21">
        <f t="shared" si="2"/>
        <v>0.27500000000000002</v>
      </c>
      <c r="D35" s="16"/>
      <c r="E35" s="19">
        <f>(ADC!I35+5/3)/(1/12)</f>
        <v>22.842041454079613</v>
      </c>
      <c r="F35" s="20">
        <f t="shared" si="0"/>
        <v>1.9654873215467279E-2</v>
      </c>
      <c r="G35" s="2"/>
      <c r="H35" s="2"/>
      <c r="I35" s="19">
        <f>ABS(C35-ADC!I35)</f>
        <v>3.8163212160032434E-2</v>
      </c>
    </row>
    <row r="36" spans="1:9" x14ac:dyDescent="0.25">
      <c r="A36" s="5">
        <v>34</v>
      </c>
      <c r="B36" s="5">
        <f t="shared" si="1"/>
        <v>23.4</v>
      </c>
      <c r="C36" s="21">
        <f t="shared" si="2"/>
        <v>0.283333</v>
      </c>
      <c r="D36" s="16"/>
      <c r="E36" s="19">
        <f>(ADC!I36+5/3)/(1/12)</f>
        <v>22.932272517055349</v>
      </c>
      <c r="F36" s="20">
        <f t="shared" si="0"/>
        <v>1.9988353971993573E-2</v>
      </c>
      <c r="G36" s="2"/>
      <c r="H36" s="2"/>
      <c r="I36" s="19">
        <f>ABS(C36-ADC!I36)</f>
        <v>3.8976956912054217E-2</v>
      </c>
    </row>
    <row r="37" spans="1:9" x14ac:dyDescent="0.25">
      <c r="A37" s="5">
        <v>35</v>
      </c>
      <c r="B37" s="5">
        <f t="shared" si="1"/>
        <v>23.5</v>
      </c>
      <c r="C37" s="21">
        <f t="shared" si="2"/>
        <v>0.29166700000000001</v>
      </c>
      <c r="D37" s="16"/>
      <c r="E37" s="19">
        <f>(ADC!I37+5/3)/(1/12)</f>
        <v>23.022819220332519</v>
      </c>
      <c r="F37" s="20">
        <f t="shared" si="0"/>
        <v>2.030556509223325E-2</v>
      </c>
      <c r="G37" s="2"/>
      <c r="H37" s="2"/>
      <c r="I37" s="19">
        <f>ABS(C37-ADC!I37)</f>
        <v>3.9765398305623534E-2</v>
      </c>
    </row>
    <row r="38" spans="1:9" x14ac:dyDescent="0.25">
      <c r="A38" s="5">
        <v>36</v>
      </c>
      <c r="B38" s="5">
        <f t="shared" si="1"/>
        <v>23.6</v>
      </c>
      <c r="C38" s="21">
        <f t="shared" si="2"/>
        <v>0.3</v>
      </c>
      <c r="D38" s="16"/>
      <c r="E38" s="19">
        <f>(ADC!I38+5/3)/(1/12)</f>
        <v>23.102341623066291</v>
      </c>
      <c r="F38" s="20">
        <f t="shared" si="0"/>
        <v>2.1087219361597898E-2</v>
      </c>
      <c r="G38" s="2"/>
      <c r="H38" s="2"/>
      <c r="I38" s="19">
        <f>ABS(C38-ADC!I38)</f>
        <v>4.1471531411142737E-2</v>
      </c>
    </row>
    <row r="39" spans="1:9" x14ac:dyDescent="0.25">
      <c r="A39" s="5">
        <v>37</v>
      </c>
      <c r="B39" s="5">
        <f t="shared" si="1"/>
        <v>23.7</v>
      </c>
      <c r="C39" s="21">
        <f t="shared" si="2"/>
        <v>0.30833300000000002</v>
      </c>
      <c r="D39" s="16"/>
      <c r="E39" s="19">
        <f>(ADC!I39+5/3)/(1/12)</f>
        <v>23.193529094734323</v>
      </c>
      <c r="F39" s="20">
        <f t="shared" si="0"/>
        <v>2.1370080390956791E-2</v>
      </c>
      <c r="G39" s="2"/>
      <c r="H39" s="2"/>
      <c r="I39" s="19">
        <f>ABS(C39-ADC!I39)</f>
        <v>4.2205575438806486E-2</v>
      </c>
    </row>
    <row r="40" spans="1:9" x14ac:dyDescent="0.25">
      <c r="A40" s="5">
        <v>38</v>
      </c>
      <c r="B40" s="5">
        <f t="shared" si="1"/>
        <v>23.8</v>
      </c>
      <c r="C40" s="21">
        <f t="shared" si="2"/>
        <v>0.31666699999999998</v>
      </c>
      <c r="D40" s="16"/>
      <c r="E40" s="19">
        <f>(ADC!I40+5/3)/(1/12)</f>
        <v>23.27371234758126</v>
      </c>
      <c r="F40" s="20">
        <f t="shared" si="0"/>
        <v>2.2112926572216016E-2</v>
      </c>
      <c r="G40" s="2"/>
      <c r="H40" s="2"/>
      <c r="I40" s="19">
        <f>ABS(C40-ADC!I40)</f>
        <v>4.3857637701561925E-2</v>
      </c>
    </row>
    <row r="41" spans="1:9" x14ac:dyDescent="0.25">
      <c r="A41" s="5">
        <v>39</v>
      </c>
      <c r="B41" s="5">
        <f t="shared" si="1"/>
        <v>23.9</v>
      </c>
      <c r="C41" s="21">
        <f t="shared" si="2"/>
        <v>0.32500000000000001</v>
      </c>
      <c r="D41" s="16"/>
      <c r="E41" s="19">
        <f>(ADC!I41+5/3)/(1/12)</f>
        <v>23.365539559706239</v>
      </c>
      <c r="F41" s="20">
        <f t="shared" si="0"/>
        <v>2.236236151856736E-2</v>
      </c>
      <c r="G41" s="2"/>
      <c r="H41" s="2"/>
      <c r="I41" s="19">
        <f>ABS(C41-ADC!I41)</f>
        <v>4.45383700244803E-2</v>
      </c>
    </row>
    <row r="42" spans="1:9" x14ac:dyDescent="0.25">
      <c r="A42" s="5">
        <v>40</v>
      </c>
      <c r="B42" s="5">
        <f t="shared" si="1"/>
        <v>24</v>
      </c>
      <c r="C42" s="21">
        <f t="shared" si="2"/>
        <v>0.33333299999999999</v>
      </c>
      <c r="D42" s="16"/>
      <c r="E42" s="19">
        <f>(ADC!I42+5/3)/(1/12)</f>
        <v>23.446382695835666</v>
      </c>
      <c r="F42" s="20">
        <f t="shared" si="0"/>
        <v>2.3067387673513906E-2</v>
      </c>
      <c r="G42" s="2"/>
      <c r="H42" s="2"/>
      <c r="I42" s="19">
        <f>ABS(C42-ADC!I42)</f>
        <v>4.6134442013694599E-2</v>
      </c>
    </row>
    <row r="43" spans="1:9" x14ac:dyDescent="0.25">
      <c r="A43" s="5">
        <v>41</v>
      </c>
      <c r="B43" s="5">
        <f t="shared" si="1"/>
        <v>24.1</v>
      </c>
      <c r="C43" s="21">
        <f t="shared" si="2"/>
        <v>0.341667</v>
      </c>
      <c r="D43" s="16"/>
      <c r="E43" s="19">
        <f>(ADC!I43+5/3)/(1/12)</f>
        <v>23.527560595887287</v>
      </c>
      <c r="F43" s="20">
        <f t="shared" si="0"/>
        <v>2.3752672369822161E-2</v>
      </c>
      <c r="G43" s="2"/>
      <c r="H43" s="2"/>
      <c r="I43" s="19">
        <f>ABS(C43-ADC!I43)</f>
        <v>4.7703617009393073E-2</v>
      </c>
    </row>
    <row r="44" spans="1:9" x14ac:dyDescent="0.25">
      <c r="A44" s="5">
        <v>42</v>
      </c>
      <c r="B44" s="5">
        <f t="shared" si="1"/>
        <v>24.2</v>
      </c>
      <c r="C44" s="21">
        <f t="shared" si="2"/>
        <v>0.35</v>
      </c>
      <c r="D44" s="16"/>
      <c r="E44" s="19">
        <f>(ADC!I44+5/3)/(1/12)</f>
        <v>23.609073013701639</v>
      </c>
      <c r="F44" s="20">
        <f t="shared" si="0"/>
        <v>2.4418470508196691E-2</v>
      </c>
      <c r="G44" s="2"/>
      <c r="H44" s="2"/>
      <c r="I44" s="19">
        <f>ABS(C44-ADC!I44)</f>
        <v>4.9243915524863457E-2</v>
      </c>
    </row>
    <row r="45" spans="1:9" x14ac:dyDescent="0.25">
      <c r="A45" s="5">
        <v>43</v>
      </c>
      <c r="B45" s="5">
        <f t="shared" si="1"/>
        <v>24.3</v>
      </c>
      <c r="C45" s="21">
        <f t="shared" si="2"/>
        <v>0.35833300000000001</v>
      </c>
      <c r="D45" s="16"/>
      <c r="E45" s="19">
        <f>(ADC!I45+5/3)/(1/12)</f>
        <v>23.690919708356859</v>
      </c>
      <c r="F45" s="20">
        <f t="shared" si="0"/>
        <v>2.5065032577907084E-2</v>
      </c>
      <c r="G45" s="2"/>
      <c r="H45" s="2"/>
      <c r="I45" s="19">
        <f>ABS(C45-ADC!I45)</f>
        <v>5.0756357636928817E-2</v>
      </c>
    </row>
    <row r="46" spans="1:9" x14ac:dyDescent="0.25">
      <c r="A46" s="5">
        <v>44</v>
      </c>
      <c r="B46" s="5">
        <f t="shared" si="1"/>
        <v>24.4</v>
      </c>
      <c r="C46" s="21">
        <f t="shared" si="2"/>
        <v>0.36666700000000002</v>
      </c>
      <c r="D46" s="16"/>
      <c r="E46" s="19">
        <f>(ADC!I46+5/3)/(1/12)</f>
        <v>23.784357094085212</v>
      </c>
      <c r="F46" s="20">
        <f t="shared" si="0"/>
        <v>2.5231266635851891E-2</v>
      </c>
      <c r="G46" s="2"/>
      <c r="H46" s="2"/>
      <c r="I46" s="19">
        <f>ABS(C46-ADC!I46)</f>
        <v>5.1303908826232536E-2</v>
      </c>
    </row>
    <row r="47" spans="1:9" x14ac:dyDescent="0.25">
      <c r="A47" s="5">
        <v>45</v>
      </c>
      <c r="B47" s="5">
        <f t="shared" si="1"/>
        <v>24.5</v>
      </c>
      <c r="C47" s="21">
        <f t="shared" si="2"/>
        <v>0.375</v>
      </c>
      <c r="D47" s="16"/>
      <c r="E47" s="19">
        <f>(ADC!I47+5/3)/(1/12)</f>
        <v>23.866861097998267</v>
      </c>
      <c r="F47" s="20">
        <f t="shared" si="0"/>
        <v>2.5842404163336025E-2</v>
      </c>
      <c r="G47" s="2"/>
      <c r="H47" s="2"/>
      <c r="I47" s="19">
        <f>ABS(C47-ADC!I47)</f>
        <v>5.2761575166811292E-2</v>
      </c>
    </row>
    <row r="48" spans="1:9" x14ac:dyDescent="0.25">
      <c r="A48" s="5">
        <v>46</v>
      </c>
      <c r="B48" s="5">
        <f t="shared" si="1"/>
        <v>24.6</v>
      </c>
      <c r="C48" s="21">
        <f t="shared" si="2"/>
        <v>0.38333299999999998</v>
      </c>
      <c r="D48" s="16"/>
      <c r="E48" s="19">
        <f>(ADC!I48+5/3)/(1/12)</f>
        <v>23.949698579519477</v>
      </c>
      <c r="F48" s="20">
        <f t="shared" si="0"/>
        <v>2.6435017092704224E-2</v>
      </c>
      <c r="G48" s="2"/>
      <c r="H48" s="2"/>
      <c r="I48" s="19">
        <f>ABS(C48-ADC!I48)</f>
        <v>5.4191451706710525E-2</v>
      </c>
    </row>
    <row r="49" spans="1:9" x14ac:dyDescent="0.25">
      <c r="A49" s="5">
        <v>47</v>
      </c>
      <c r="B49" s="5">
        <f t="shared" si="1"/>
        <v>24.7</v>
      </c>
      <c r="C49" s="21">
        <f t="shared" si="2"/>
        <v>0.39166699999999999</v>
      </c>
      <c r="D49" s="16"/>
      <c r="E49" s="19">
        <f>(ADC!I49+5/3)/(1/12)</f>
        <v>24.044094476944903</v>
      </c>
      <c r="F49" s="20">
        <f t="shared" si="0"/>
        <v>2.6554879475914849E-2</v>
      </c>
      <c r="G49" s="2"/>
      <c r="H49" s="2"/>
      <c r="I49" s="19">
        <f>ABS(C49-ADC!I49)</f>
        <v>5.4659126921258294E-2</v>
      </c>
    </row>
    <row r="50" spans="1:9" x14ac:dyDescent="0.25">
      <c r="A50" s="5">
        <v>48</v>
      </c>
      <c r="B50" s="5">
        <f t="shared" si="1"/>
        <v>24.8</v>
      </c>
      <c r="C50" s="21">
        <f t="shared" si="2"/>
        <v>0.4</v>
      </c>
      <c r="D50" s="16"/>
      <c r="E50" s="19">
        <f>(ADC!I50+5/3)/(1/12)</f>
        <v>24.127587564160958</v>
      </c>
      <c r="F50" s="20">
        <f t="shared" si="0"/>
        <v>2.7113404670929139E-2</v>
      </c>
      <c r="G50" s="2"/>
      <c r="H50" s="2"/>
      <c r="I50" s="19">
        <f>ABS(C50-ADC!I50)</f>
        <v>5.603436965325348E-2</v>
      </c>
    </row>
    <row r="51" spans="1:9" x14ac:dyDescent="0.25">
      <c r="A51" s="5">
        <v>49</v>
      </c>
      <c r="B51" s="5">
        <f t="shared" si="1"/>
        <v>24.9</v>
      </c>
      <c r="C51" s="21">
        <f t="shared" si="2"/>
        <v>0.408333</v>
      </c>
      <c r="D51" s="16"/>
      <c r="E51" s="19">
        <f>(ADC!I51+5/3)/(1/12)</f>
        <v>24.211413276330855</v>
      </c>
      <c r="F51" s="20">
        <f t="shared" si="0"/>
        <v>2.76540852879174E-2</v>
      </c>
      <c r="G51" s="2"/>
      <c r="H51" s="2"/>
      <c r="I51" s="19">
        <f>ABS(C51-ADC!I51)</f>
        <v>5.7381893639095349E-2</v>
      </c>
    </row>
    <row r="52" spans="1:9" x14ac:dyDescent="0.25">
      <c r="A52" s="5">
        <v>50</v>
      </c>
      <c r="B52" s="5">
        <f t="shared" si="1"/>
        <v>25</v>
      </c>
      <c r="C52" s="21">
        <f t="shared" si="2"/>
        <v>0.41666700000000001</v>
      </c>
      <c r="D52" s="16"/>
      <c r="E52" s="19">
        <f>(ADC!I52+5/3)/(1/12)</f>
        <v>24.306764898788721</v>
      </c>
      <c r="F52" s="20">
        <f t="shared" si="0"/>
        <v>2.7729404048451159E-2</v>
      </c>
      <c r="G52" s="2"/>
      <c r="H52" s="2"/>
      <c r="I52" s="19">
        <f>ABS(C52-ADC!I52)</f>
        <v>5.7769925100940089E-2</v>
      </c>
    </row>
    <row r="53" spans="1:9" x14ac:dyDescent="0.25">
      <c r="A53" s="5">
        <v>51</v>
      </c>
      <c r="B53" s="5">
        <f t="shared" si="1"/>
        <v>25.1</v>
      </c>
      <c r="C53" s="21">
        <f t="shared" si="2"/>
        <v>0.42499999999999999</v>
      </c>
      <c r="D53" s="16"/>
      <c r="E53" s="19">
        <f>(ADC!I53+5/3)/(1/12)</f>
        <v>24.391244399263481</v>
      </c>
      <c r="F53" s="20">
        <f t="shared" si="0"/>
        <v>2.8237274929741835E-2</v>
      </c>
      <c r="G53" s="2"/>
      <c r="H53" s="2"/>
      <c r="I53" s="19">
        <f>ABS(C53-ADC!I53)</f>
        <v>5.906296672804312E-2</v>
      </c>
    </row>
    <row r="54" spans="1:9" x14ac:dyDescent="0.25">
      <c r="A54" s="5">
        <v>52</v>
      </c>
      <c r="B54" s="5">
        <f t="shared" si="1"/>
        <v>25.2</v>
      </c>
      <c r="C54" s="21">
        <f t="shared" si="2"/>
        <v>0.43333300000000002</v>
      </c>
      <c r="D54" s="16"/>
      <c r="E54" s="19">
        <f>(ADC!I54+5/3)/(1/12)</f>
        <v>24.476055625948266</v>
      </c>
      <c r="F54" s="20">
        <f t="shared" si="0"/>
        <v>2.8727951351259249E-2</v>
      </c>
      <c r="G54" s="2"/>
      <c r="H54" s="2"/>
      <c r="I54" s="19">
        <f>ABS(C54-ADC!I54)</f>
        <v>6.032836450431156E-2</v>
      </c>
    </row>
    <row r="55" spans="1:9" x14ac:dyDescent="0.25">
      <c r="A55" s="5">
        <v>53</v>
      </c>
      <c r="B55" s="5">
        <f t="shared" si="1"/>
        <v>25.3</v>
      </c>
      <c r="C55" s="21">
        <f t="shared" si="2"/>
        <v>0.44166699999999998</v>
      </c>
      <c r="D55" s="16"/>
      <c r="E55" s="19">
        <f>(ADC!I55+5/3)/(1/12)</f>
        <v>24.572360008002839</v>
      </c>
      <c r="F55" s="20">
        <f t="shared" si="0"/>
        <v>2.8760473991982675E-2</v>
      </c>
      <c r="G55" s="2"/>
      <c r="H55" s="2"/>
      <c r="I55" s="19">
        <f>ABS(C55-ADC!I55)</f>
        <v>6.0636999333097019E-2</v>
      </c>
    </row>
    <row r="56" spans="1:9" x14ac:dyDescent="0.25">
      <c r="A56" s="5">
        <v>54</v>
      </c>
      <c r="B56" s="5">
        <f t="shared" si="1"/>
        <v>25.4</v>
      </c>
      <c r="C56" s="21">
        <f t="shared" si="2"/>
        <v>0.45</v>
      </c>
      <c r="D56" s="16"/>
      <c r="E56" s="19">
        <f>(ADC!I56+5/3)/(1/12)</f>
        <v>24.65782308968085</v>
      </c>
      <c r="F56" s="20">
        <f t="shared" si="0"/>
        <v>2.9219563398391681E-2</v>
      </c>
      <c r="G56" s="2"/>
      <c r="H56" s="2"/>
      <c r="I56" s="19">
        <f>ABS(C56-ADC!I56)</f>
        <v>6.1848075859929241E-2</v>
      </c>
    </row>
    <row r="57" spans="1:9" x14ac:dyDescent="0.25">
      <c r="A57" s="5">
        <v>55</v>
      </c>
      <c r="B57" s="5">
        <f t="shared" si="1"/>
        <v>25.5</v>
      </c>
      <c r="C57" s="21">
        <f t="shared" si="2"/>
        <v>0.45833299999999999</v>
      </c>
      <c r="D57" s="16"/>
      <c r="E57" s="19">
        <f>(ADC!I57+5/3)/(1/12)</f>
        <v>24.743616939816388</v>
      </c>
      <c r="F57" s="20">
        <f t="shared" si="0"/>
        <v>2.9662080791514209E-2</v>
      </c>
      <c r="G57" s="2"/>
      <c r="H57" s="2"/>
      <c r="I57" s="19">
        <f>ABS(C57-ADC!I57)</f>
        <v>6.3031588348634204E-2</v>
      </c>
    </row>
    <row r="58" spans="1:9" x14ac:dyDescent="0.25">
      <c r="A58" s="5">
        <v>56</v>
      </c>
      <c r="B58" s="5">
        <f t="shared" si="1"/>
        <v>25.6</v>
      </c>
      <c r="C58" s="21">
        <f t="shared" si="2"/>
        <v>0.466667</v>
      </c>
      <c r="D58" s="16"/>
      <c r="E58" s="19">
        <f>(ADC!I58+5/3)/(1/12)</f>
        <v>24.829741224610455</v>
      </c>
      <c r="F58" s="20">
        <f t="shared" si="0"/>
        <v>3.0088233413654158E-2</v>
      </c>
      <c r="G58" s="2"/>
      <c r="H58" s="2"/>
      <c r="I58" s="19">
        <f>ABS(C58-ADC!I58)</f>
        <v>6.4188564615795751E-2</v>
      </c>
    </row>
    <row r="59" spans="1:9" x14ac:dyDescent="0.25">
      <c r="A59" s="5">
        <v>57</v>
      </c>
      <c r="B59" s="5">
        <f t="shared" si="1"/>
        <v>25.7</v>
      </c>
      <c r="C59" s="21">
        <f t="shared" si="2"/>
        <v>0.47499999999999998</v>
      </c>
      <c r="D59" s="16"/>
      <c r="E59" s="19">
        <f>(ADC!I59+5/3)/(1/12)</f>
        <v>24.927314634357195</v>
      </c>
      <c r="F59" s="20">
        <f t="shared" si="0"/>
        <v>3.0065578429681095E-2</v>
      </c>
      <c r="G59" s="2"/>
      <c r="H59" s="2"/>
      <c r="I59" s="19">
        <f>ABS(C59-ADC!I59)</f>
        <v>6.4390447136900286E-2</v>
      </c>
    </row>
    <row r="60" spans="1:9" x14ac:dyDescent="0.25">
      <c r="A60" s="5">
        <v>58</v>
      </c>
      <c r="B60" s="5">
        <f t="shared" si="1"/>
        <v>25.8</v>
      </c>
      <c r="C60" s="21">
        <f t="shared" si="2"/>
        <v>0.48333300000000001</v>
      </c>
      <c r="D60" s="16"/>
      <c r="E60" s="19">
        <f>(ADC!I60+5/3)/(1/12)</f>
        <v>25.014088053122428</v>
      </c>
      <c r="F60" s="20">
        <f t="shared" si="0"/>
        <v>3.0461703367347766E-2</v>
      </c>
      <c r="G60" s="2"/>
      <c r="H60" s="2"/>
      <c r="I60" s="19">
        <f>ABS(C60-ADC!I60)</f>
        <v>6.5492328906464503E-2</v>
      </c>
    </row>
    <row r="61" spans="1:9" x14ac:dyDescent="0.25">
      <c r="A61" s="5">
        <v>59</v>
      </c>
      <c r="B61" s="5">
        <f t="shared" si="1"/>
        <v>25.9</v>
      </c>
      <c r="C61" s="21">
        <f t="shared" si="2"/>
        <v>0.49166700000000002</v>
      </c>
      <c r="D61" s="16"/>
      <c r="E61" s="19">
        <f>(ADC!I61+5/3)/(1/12)</f>
        <v>25.101190874073019</v>
      </c>
      <c r="F61" s="20">
        <f t="shared" si="0"/>
        <v>3.084205119409187E-2</v>
      </c>
      <c r="G61" s="2"/>
      <c r="H61" s="2"/>
      <c r="I61" s="19">
        <f>ABS(C61-ADC!I61)</f>
        <v>6.6567760493914996E-2</v>
      </c>
    </row>
    <row r="62" spans="1:9" x14ac:dyDescent="0.25">
      <c r="A62" s="5">
        <v>60</v>
      </c>
      <c r="B62" s="5">
        <f t="shared" si="1"/>
        <v>26</v>
      </c>
      <c r="C62" s="21">
        <f t="shared" si="2"/>
        <v>0.5</v>
      </c>
      <c r="D62" s="16"/>
      <c r="E62" s="19">
        <f>(ADC!I62+5/3)/(1/12)</f>
        <v>25.188622748745125</v>
      </c>
      <c r="F62" s="20">
        <f t="shared" si="0"/>
        <v>3.1206817355956727E-2</v>
      </c>
      <c r="G62" s="2"/>
      <c r="H62" s="2"/>
      <c r="I62" s="19">
        <f>ABS(C62-ADC!I62)</f>
        <v>6.7614770937906354E-2</v>
      </c>
    </row>
    <row r="63" spans="1:9" x14ac:dyDescent="0.25">
      <c r="A63" s="5">
        <v>61</v>
      </c>
      <c r="B63" s="5">
        <f t="shared" si="1"/>
        <v>26.1</v>
      </c>
      <c r="C63" s="21">
        <f t="shared" si="2"/>
        <v>0.50833300000000003</v>
      </c>
      <c r="D63" s="16"/>
      <c r="E63" s="19">
        <f>(ADC!I63+5/3)/(1/12)</f>
        <v>25.276383318549104</v>
      </c>
      <c r="F63" s="20">
        <f t="shared" si="0"/>
        <v>3.1556194691605248E-2</v>
      </c>
      <c r="G63" s="2"/>
      <c r="H63" s="2"/>
      <c r="I63" s="19">
        <f>ABS(C63-ADC!I63)</f>
        <v>6.8634390120908217E-2</v>
      </c>
    </row>
    <row r="64" spans="1:9" x14ac:dyDescent="0.25">
      <c r="A64" s="5">
        <v>62</v>
      </c>
      <c r="B64" s="5">
        <f t="shared" si="1"/>
        <v>26.2</v>
      </c>
      <c r="C64" s="21">
        <f t="shared" si="2"/>
        <v>0.51666699999999999</v>
      </c>
      <c r="D64" s="16"/>
      <c r="E64" s="19">
        <f>(ADC!I64+5/3)/(1/12)</f>
        <v>25.375537387556708</v>
      </c>
      <c r="F64" s="20">
        <f t="shared" si="0"/>
        <v>3.1468038642873709E-2</v>
      </c>
      <c r="G64" s="2"/>
      <c r="H64" s="2"/>
      <c r="I64" s="19">
        <f>ABS(C64-ADC!I64)</f>
        <v>6.8705551036941148E-2</v>
      </c>
    </row>
    <row r="65" spans="1:9" x14ac:dyDescent="0.25">
      <c r="A65" s="5">
        <v>63</v>
      </c>
      <c r="B65" s="5">
        <f t="shared" si="1"/>
        <v>26.3</v>
      </c>
      <c r="C65" s="21">
        <f t="shared" si="2"/>
        <v>0.52500000000000002</v>
      </c>
      <c r="D65" s="16"/>
      <c r="E65" s="19">
        <f>(ADC!I65+5/3)/(1/12)</f>
        <v>25.463943414303294</v>
      </c>
      <c r="F65" s="20">
        <f t="shared" si="0"/>
        <v>3.1789223790749291E-2</v>
      </c>
      <c r="G65" s="2"/>
      <c r="H65" s="2"/>
      <c r="I65" s="19">
        <f>ABS(C65-ADC!I65)</f>
        <v>6.9671382141392457E-2</v>
      </c>
    </row>
    <row r="66" spans="1:9" x14ac:dyDescent="0.25">
      <c r="A66" s="5">
        <v>64</v>
      </c>
      <c r="B66" s="5">
        <f t="shared" si="1"/>
        <v>26.4</v>
      </c>
      <c r="C66" s="21">
        <f t="shared" si="2"/>
        <v>0.53333299999999995</v>
      </c>
      <c r="D66" s="16"/>
      <c r="E66" s="19">
        <f>(ADC!I66+5/3)/(1/12)</f>
        <v>25.552677011180471</v>
      </c>
      <c r="F66" s="20">
        <f t="shared" ref="F66:F129" si="3">ABS(B66-E66)/B66</f>
        <v>3.2095567758315444E-2</v>
      </c>
      <c r="G66" s="2"/>
      <c r="H66" s="2"/>
      <c r="I66" s="19">
        <f>ABS(C66-ADC!I66)</f>
        <v>7.0609915734960893E-2</v>
      </c>
    </row>
    <row r="67" spans="1:9" x14ac:dyDescent="0.25">
      <c r="A67" s="5">
        <v>65</v>
      </c>
      <c r="B67" s="5">
        <f t="shared" ref="B67:B130" si="4">0.1*A67+20</f>
        <v>26.5</v>
      </c>
      <c r="C67" s="21">
        <f t="shared" ref="C67:C130" si="5">ROUND(1/12*B67-5/3,6)</f>
        <v>0.54166700000000001</v>
      </c>
      <c r="D67" s="16"/>
      <c r="E67" s="19">
        <f>(ADC!I67+5/3)/(1/12)</f>
        <v>25.641737794808243</v>
      </c>
      <c r="F67" s="20">
        <f t="shared" si="3"/>
        <v>3.2387253026104026E-2</v>
      </c>
      <c r="G67" s="2"/>
      <c r="H67" s="2"/>
      <c r="I67" s="19">
        <f>ABS(C67-ADC!I67)</f>
        <v>7.1522183765979852E-2</v>
      </c>
    </row>
    <row r="68" spans="1:9" x14ac:dyDescent="0.25">
      <c r="A68" s="5">
        <v>66</v>
      </c>
      <c r="B68" s="5">
        <f t="shared" si="4"/>
        <v>26.6</v>
      </c>
      <c r="C68" s="21">
        <f t="shared" si="5"/>
        <v>0.55000000000000004</v>
      </c>
      <c r="D68" s="16"/>
      <c r="E68" s="19">
        <f>(ADC!I68+5/3)/(1/12)</f>
        <v>25.731125377965583</v>
      </c>
      <c r="F68" s="20">
        <f t="shared" si="3"/>
        <v>3.266445947497814E-2</v>
      </c>
      <c r="G68" s="2"/>
      <c r="H68" s="2"/>
      <c r="I68" s="19">
        <f>ABS(C68-ADC!I68)</f>
        <v>7.2406218502868047E-2</v>
      </c>
    </row>
    <row r="69" spans="1:9" x14ac:dyDescent="0.25">
      <c r="A69" s="5">
        <v>67</v>
      </c>
      <c r="B69" s="5">
        <f t="shared" si="4"/>
        <v>26.7</v>
      </c>
      <c r="C69" s="21">
        <f t="shared" si="5"/>
        <v>0.55833299999999997</v>
      </c>
      <c r="D69" s="16"/>
      <c r="E69" s="19">
        <f>(ADC!I69+5/3)/(1/12)</f>
        <v>25.820839367495505</v>
      </c>
      <c r="F69" s="20">
        <f t="shared" si="3"/>
        <v>3.2927364513276922E-2</v>
      </c>
      <c r="G69" s="2"/>
      <c r="H69" s="2"/>
      <c r="I69" s="19">
        <f>ABS(C69-ADC!I69)</f>
        <v>7.326305270870781E-2</v>
      </c>
    </row>
    <row r="70" spans="1:9" x14ac:dyDescent="0.25">
      <c r="A70" s="5">
        <v>68</v>
      </c>
      <c r="B70" s="5">
        <f t="shared" si="4"/>
        <v>26.8</v>
      </c>
      <c r="C70" s="21">
        <f t="shared" si="5"/>
        <v>0.56666700000000003</v>
      </c>
      <c r="D70" s="16"/>
      <c r="E70" s="19">
        <f>(ADC!I70+5/3)/(1/12)</f>
        <v>25.910879359766497</v>
      </c>
      <c r="F70" s="20">
        <f t="shared" si="3"/>
        <v>3.3176143292294916E-2</v>
      </c>
      <c r="G70" s="2"/>
      <c r="H70" s="2"/>
      <c r="I70" s="19">
        <f>ABS(C70-ADC!I70)</f>
        <v>7.4093720019458853E-2</v>
      </c>
    </row>
    <row r="71" spans="1:9" x14ac:dyDescent="0.25">
      <c r="A71" s="5">
        <v>69</v>
      </c>
      <c r="B71" s="5">
        <f t="shared" si="4"/>
        <v>26.9</v>
      </c>
      <c r="C71" s="21">
        <f t="shared" si="5"/>
        <v>0.57499999999999996</v>
      </c>
      <c r="D71" s="16"/>
      <c r="E71" s="19">
        <f>(ADC!I71+5/3)/(1/12)</f>
        <v>26.001244954289316</v>
      </c>
      <c r="F71" s="20">
        <f t="shared" si="3"/>
        <v>3.3410968242032817E-2</v>
      </c>
      <c r="G71" s="2"/>
      <c r="H71" s="2"/>
      <c r="I71" s="19">
        <f>ABS(C71-ADC!I71)</f>
        <v>7.4896253809223823E-2</v>
      </c>
    </row>
    <row r="72" spans="1:9" x14ac:dyDescent="0.25">
      <c r="A72" s="5">
        <v>70</v>
      </c>
      <c r="B72" s="5">
        <f t="shared" si="4"/>
        <v>27</v>
      </c>
      <c r="C72" s="21">
        <f t="shared" si="5"/>
        <v>0.58333299999999999</v>
      </c>
      <c r="D72" s="16"/>
      <c r="E72" s="19">
        <f>(ADC!I72+5/3)/(1/12)</f>
        <v>26.091935733116792</v>
      </c>
      <c r="F72" s="20">
        <f t="shared" si="3"/>
        <v>3.3632009884563274E-2</v>
      </c>
      <c r="G72" s="2"/>
      <c r="H72" s="2"/>
      <c r="I72" s="19">
        <f>ABS(C72-ADC!I72)</f>
        <v>7.5671688906933876E-2</v>
      </c>
    </row>
    <row r="73" spans="1:9" x14ac:dyDescent="0.25">
      <c r="A73" s="5">
        <v>71</v>
      </c>
      <c r="B73" s="5">
        <f t="shared" si="4"/>
        <v>27.1</v>
      </c>
      <c r="C73" s="21">
        <f t="shared" si="5"/>
        <v>0.59166700000000005</v>
      </c>
      <c r="D73" s="16"/>
      <c r="E73" s="19">
        <f>(ADC!I73+5/3)/(1/12)</f>
        <v>26.18295128458621</v>
      </c>
      <c r="F73" s="20">
        <f t="shared" si="3"/>
        <v>3.3839435993128837E-2</v>
      </c>
      <c r="G73" s="2"/>
      <c r="H73" s="2"/>
      <c r="I73" s="19">
        <f>ABS(C73-ADC!I73)</f>
        <v>7.64210596178162E-2</v>
      </c>
    </row>
    <row r="74" spans="1:9" x14ac:dyDescent="0.25">
      <c r="A74" s="5">
        <v>72</v>
      </c>
      <c r="B74" s="5">
        <f t="shared" si="4"/>
        <v>27.2</v>
      </c>
      <c r="C74" s="21">
        <f t="shared" si="5"/>
        <v>0.6</v>
      </c>
      <c r="D74" s="16"/>
      <c r="E74" s="19">
        <f>(ADC!I74+5/3)/(1/12)</f>
        <v>26.274291176784224</v>
      </c>
      <c r="F74" s="20">
        <f t="shared" si="3"/>
        <v>3.4033412618227017E-2</v>
      </c>
      <c r="G74" s="2"/>
      <c r="H74" s="2"/>
      <c r="I74" s="19">
        <f>ABS(C74-ADC!I74)</f>
        <v>7.7142401934648053E-2</v>
      </c>
    </row>
    <row r="75" spans="1:9" x14ac:dyDescent="0.25">
      <c r="A75" s="5">
        <v>73</v>
      </c>
      <c r="B75" s="5">
        <f t="shared" si="4"/>
        <v>27.3</v>
      </c>
      <c r="C75" s="21">
        <f t="shared" si="5"/>
        <v>0.60833300000000001</v>
      </c>
      <c r="D75" s="16"/>
      <c r="E75" s="19">
        <f>(ADC!I75+5/3)/(1/12)</f>
        <v>26.365954981986686</v>
      </c>
      <c r="F75" s="20">
        <f t="shared" si="3"/>
        <v>3.4214103223930939E-2</v>
      </c>
      <c r="G75" s="2"/>
      <c r="H75" s="2"/>
      <c r="I75" s="19">
        <f>ABS(C75-ADC!I75)</f>
        <v>7.783675150110958E-2</v>
      </c>
    </row>
    <row r="76" spans="1:9" x14ac:dyDescent="0.25">
      <c r="A76" s="5">
        <v>74</v>
      </c>
      <c r="B76" s="5">
        <f t="shared" si="4"/>
        <v>27.4</v>
      </c>
      <c r="C76" s="21">
        <f t="shared" si="5"/>
        <v>0.61666699999999997</v>
      </c>
      <c r="D76" s="16"/>
      <c r="E76" s="19">
        <f>(ADC!I76+5/3)/(1/12)</f>
        <v>26.447008384019849</v>
      </c>
      <c r="F76" s="20">
        <f t="shared" si="3"/>
        <v>3.4780715911684287E-2</v>
      </c>
      <c r="G76" s="2"/>
      <c r="H76" s="2"/>
      <c r="I76" s="19">
        <f>ABS(C76-ADC!I76)</f>
        <v>7.941630133167954E-2</v>
      </c>
    </row>
    <row r="77" spans="1:9" x14ac:dyDescent="0.25">
      <c r="A77" s="5">
        <v>75</v>
      </c>
      <c r="B77" s="5">
        <f t="shared" si="4"/>
        <v>27.5</v>
      </c>
      <c r="C77" s="21">
        <f t="shared" si="5"/>
        <v>0.625</v>
      </c>
      <c r="D77" s="16"/>
      <c r="E77" s="19">
        <f>(ADC!I77+5/3)/(1/12)</f>
        <v>26.539329763145226</v>
      </c>
      <c r="F77" s="20">
        <f t="shared" si="3"/>
        <v>3.4933463158355431E-2</v>
      </c>
      <c r="G77" s="2"/>
      <c r="H77" s="2"/>
      <c r="I77" s="19">
        <f>ABS(C77-ADC!I77)</f>
        <v>8.0055853071231531E-2</v>
      </c>
    </row>
    <row r="78" spans="1:9" x14ac:dyDescent="0.25">
      <c r="A78" s="5">
        <v>76</v>
      </c>
      <c r="B78" s="5">
        <f t="shared" si="4"/>
        <v>27.6</v>
      </c>
      <c r="C78" s="21">
        <f t="shared" si="5"/>
        <v>0.63333300000000003</v>
      </c>
      <c r="D78" s="16"/>
      <c r="E78" s="19">
        <f>(ADC!I78+5/3)/(1/12)</f>
        <v>26.631973744170509</v>
      </c>
      <c r="F78" s="20">
        <f t="shared" si="3"/>
        <v>3.5073415066285966E-2</v>
      </c>
      <c r="G78" s="2"/>
      <c r="H78" s="2"/>
      <c r="I78" s="19">
        <f>ABS(C78-ADC!I78)</f>
        <v>8.0668521319124276E-2</v>
      </c>
    </row>
    <row r="79" spans="1:9" x14ac:dyDescent="0.25">
      <c r="A79" s="5">
        <v>77</v>
      </c>
      <c r="B79" s="5">
        <f t="shared" si="4"/>
        <v>27.7</v>
      </c>
      <c r="C79" s="21">
        <f t="shared" si="5"/>
        <v>0.64166699999999999</v>
      </c>
      <c r="D79" s="16"/>
      <c r="E79" s="19">
        <f>(ADC!I79+5/3)/(1/12)</f>
        <v>26.724939871788145</v>
      </c>
      <c r="F79" s="20">
        <f t="shared" si="3"/>
        <v>3.5200726650247455E-2</v>
      </c>
      <c r="G79" s="2"/>
      <c r="H79" s="2"/>
      <c r="I79" s="19">
        <f>ABS(C79-ADC!I79)</f>
        <v>8.1255344017654552E-2</v>
      </c>
    </row>
    <row r="80" spans="1:9" x14ac:dyDescent="0.25">
      <c r="A80" s="5">
        <v>78</v>
      </c>
      <c r="B80" s="5">
        <f t="shared" si="4"/>
        <v>27.8</v>
      </c>
      <c r="C80" s="21">
        <f t="shared" si="5"/>
        <v>0.65</v>
      </c>
      <c r="D80" s="16"/>
      <c r="E80" s="19">
        <f>(ADC!I80+5/3)/(1/12)</f>
        <v>26.818227681961254</v>
      </c>
      <c r="F80" s="20">
        <f t="shared" si="3"/>
        <v>3.5315551008588013E-2</v>
      </c>
      <c r="G80" s="2"/>
      <c r="H80" s="2"/>
      <c r="I80" s="19">
        <f>ABS(C80-ADC!I80)</f>
        <v>8.1814359836562156E-2</v>
      </c>
    </row>
    <row r="81" spans="1:9" x14ac:dyDescent="0.25">
      <c r="A81" s="5">
        <v>79</v>
      </c>
      <c r="B81" s="5">
        <f t="shared" si="4"/>
        <v>27.9</v>
      </c>
      <c r="C81" s="21">
        <f t="shared" si="5"/>
        <v>0.65833299999999995</v>
      </c>
      <c r="D81" s="16"/>
      <c r="E81" s="19">
        <f>(ADC!I81+5/3)/(1/12)</f>
        <v>26.911836708208998</v>
      </c>
      <c r="F81" s="20">
        <f t="shared" si="3"/>
        <v>3.5418039132293924E-2</v>
      </c>
      <c r="G81" s="2"/>
      <c r="H81" s="2"/>
      <c r="I81" s="19">
        <f>ABS(C81-ADC!I81)</f>
        <v>8.2346607649249948E-2</v>
      </c>
    </row>
    <row r="82" spans="1:9" x14ac:dyDescent="0.25">
      <c r="A82" s="5">
        <v>80</v>
      </c>
      <c r="B82" s="5">
        <f t="shared" si="4"/>
        <v>28</v>
      </c>
      <c r="C82" s="21">
        <f t="shared" si="5"/>
        <v>0.66666700000000001</v>
      </c>
      <c r="D82" s="16"/>
      <c r="E82" s="19">
        <f>(ADC!I82+5/3)/(1/12)</f>
        <v>27.005766476369132</v>
      </c>
      <c r="F82" s="20">
        <f t="shared" si="3"/>
        <v>3.5508340129673854E-2</v>
      </c>
      <c r="G82" s="2"/>
      <c r="H82" s="2"/>
      <c r="I82" s="19">
        <f>ABS(C82-ADC!I82)</f>
        <v>8.2853126969238966E-2</v>
      </c>
    </row>
    <row r="83" spans="1:9" x14ac:dyDescent="0.25">
      <c r="A83" s="5">
        <v>81</v>
      </c>
      <c r="B83" s="5">
        <f t="shared" si="4"/>
        <v>28.1</v>
      </c>
      <c r="C83" s="21">
        <f t="shared" si="5"/>
        <v>0.67500000000000004</v>
      </c>
      <c r="D83" s="16"/>
      <c r="E83" s="19">
        <f>(ADC!I83+5/3)/(1/12)</f>
        <v>27.10001650913658</v>
      </c>
      <c r="F83" s="20">
        <f t="shared" si="3"/>
        <v>3.5586601098342392E-2</v>
      </c>
      <c r="G83" s="2"/>
      <c r="H83" s="2"/>
      <c r="I83" s="19">
        <f>ABS(C83-ADC!I83)</f>
        <v>8.3331957571951776E-2</v>
      </c>
    </row>
    <row r="84" spans="1:9" x14ac:dyDescent="0.25">
      <c r="A84" s="5">
        <v>82</v>
      </c>
      <c r="B84" s="5">
        <f t="shared" si="4"/>
        <v>28.200000000000003</v>
      </c>
      <c r="C84" s="21">
        <f t="shared" si="5"/>
        <v>0.68333299999999997</v>
      </c>
      <c r="D84" s="16"/>
      <c r="E84" s="19">
        <f>(ADC!I84+5/3)/(1/12)</f>
        <v>27.183741506480047</v>
      </c>
      <c r="F84" s="20">
        <f t="shared" si="3"/>
        <v>3.6037535231204114E-2</v>
      </c>
      <c r="G84" s="2"/>
      <c r="H84" s="2"/>
      <c r="I84" s="19">
        <f>ABS(C84-ADC!I84)</f>
        <v>8.468787445999626E-2</v>
      </c>
    </row>
    <row r="85" spans="1:9" x14ac:dyDescent="0.25">
      <c r="A85" s="5">
        <v>83</v>
      </c>
      <c r="B85" s="5">
        <f t="shared" si="4"/>
        <v>28.3</v>
      </c>
      <c r="C85" s="21">
        <f t="shared" si="5"/>
        <v>0.69166700000000003</v>
      </c>
      <c r="D85" s="16"/>
      <c r="E85" s="19">
        <f>(ADC!I85+5/3)/(1/12)</f>
        <v>27.278641807297873</v>
      </c>
      <c r="F85" s="20">
        <f t="shared" si="3"/>
        <v>3.6090395501841954E-2</v>
      </c>
      <c r="G85" s="2"/>
      <c r="H85" s="2"/>
      <c r="I85" s="19">
        <f>ABS(C85-ADC!I85)</f>
        <v>8.5113516058510696E-2</v>
      </c>
    </row>
    <row r="86" spans="1:9" x14ac:dyDescent="0.25">
      <c r="A86" s="5">
        <v>84</v>
      </c>
      <c r="B86" s="5">
        <f t="shared" si="4"/>
        <v>28.4</v>
      </c>
      <c r="C86" s="21">
        <f t="shared" si="5"/>
        <v>0.7</v>
      </c>
      <c r="D86" s="16"/>
      <c r="E86" s="19">
        <f>(ADC!I86+5/3)/(1/12)</f>
        <v>27.373860912875237</v>
      </c>
      <c r="F86" s="20">
        <f t="shared" si="3"/>
        <v>3.6131657997350755E-2</v>
      </c>
      <c r="G86" s="2"/>
      <c r="H86" s="2"/>
      <c r="I86" s="19">
        <f>ABS(C86-ADC!I86)</f>
        <v>8.5511590593730369E-2</v>
      </c>
    </row>
    <row r="87" spans="1:9" x14ac:dyDescent="0.25">
      <c r="A87" s="5">
        <v>85</v>
      </c>
      <c r="B87" s="5">
        <f t="shared" si="4"/>
        <v>28.5</v>
      </c>
      <c r="C87" s="21">
        <f t="shared" si="5"/>
        <v>0.70833299999999999</v>
      </c>
      <c r="D87" s="16"/>
      <c r="E87" s="19">
        <f>(ADC!I87+5/3)/(1/12)</f>
        <v>27.469398313435267</v>
      </c>
      <c r="F87" s="20">
        <f t="shared" si="3"/>
        <v>3.6161462686481856E-2</v>
      </c>
      <c r="G87" s="2"/>
      <c r="H87" s="2"/>
      <c r="I87" s="19">
        <f>ABS(C87-ADC!I87)</f>
        <v>8.5883140547061032E-2</v>
      </c>
    </row>
    <row r="88" spans="1:9" x14ac:dyDescent="0.25">
      <c r="A88" s="5">
        <v>86</v>
      </c>
      <c r="B88" s="5">
        <f t="shared" si="4"/>
        <v>28.6</v>
      </c>
      <c r="C88" s="21">
        <f t="shared" si="5"/>
        <v>0.71666700000000005</v>
      </c>
      <c r="D88" s="16"/>
      <c r="E88" s="19">
        <f>(ADC!I88+5/3)/(1/12)</f>
        <v>27.565253503739875</v>
      </c>
      <c r="F88" s="20">
        <f t="shared" si="3"/>
        <v>3.6179947421682741E-2</v>
      </c>
      <c r="G88" s="2"/>
      <c r="H88" s="2"/>
      <c r="I88" s="19">
        <f>ABS(C88-ADC!I88)</f>
        <v>8.6229208021677106E-2</v>
      </c>
    </row>
    <row r="89" spans="1:9" x14ac:dyDescent="0.25">
      <c r="A89" s="5">
        <v>87</v>
      </c>
      <c r="B89" s="5">
        <f t="shared" si="4"/>
        <v>28.700000000000003</v>
      </c>
      <c r="C89" s="21">
        <f t="shared" si="5"/>
        <v>0.72499999999999998</v>
      </c>
      <c r="D89" s="16"/>
      <c r="E89" s="19">
        <f>(ADC!I89+5/3)/(1/12)</f>
        <v>27.650637428571969</v>
      </c>
      <c r="F89" s="20">
        <f t="shared" si="3"/>
        <v>3.65631557988862E-2</v>
      </c>
      <c r="G89" s="2"/>
      <c r="H89" s="2"/>
      <c r="I89" s="19">
        <f>ABS(C89-ADC!I89)</f>
        <v>8.744688095233577E-2</v>
      </c>
    </row>
    <row r="90" spans="1:9" x14ac:dyDescent="0.25">
      <c r="A90" s="5">
        <v>88</v>
      </c>
      <c r="B90" s="5">
        <f t="shared" si="4"/>
        <v>28.8</v>
      </c>
      <c r="C90" s="21">
        <f t="shared" si="5"/>
        <v>0.73333300000000001</v>
      </c>
      <c r="D90" s="16"/>
      <c r="E90" s="19">
        <f>(ADC!I90+5/3)/(1/12)</f>
        <v>27.747137937201824</v>
      </c>
      <c r="F90" s="20">
        <f t="shared" si="3"/>
        <v>3.655771051382558E-2</v>
      </c>
      <c r="G90" s="2"/>
      <c r="H90" s="2"/>
      <c r="I90" s="19">
        <f>ABS(C90-ADC!I90)</f>
        <v>8.7738171899848338E-2</v>
      </c>
    </row>
    <row r="91" spans="1:9" x14ac:dyDescent="0.25">
      <c r="A91" s="5">
        <v>89</v>
      </c>
      <c r="B91" s="5">
        <f t="shared" si="4"/>
        <v>28.9</v>
      </c>
      <c r="C91" s="21">
        <f t="shared" si="5"/>
        <v>0.74166699999999997</v>
      </c>
      <c r="D91" s="16"/>
      <c r="E91" s="19">
        <f>(ADC!I91+5/3)/(1/12)</f>
        <v>27.8439546755192</v>
      </c>
      <c r="F91" s="20">
        <f t="shared" si="3"/>
        <v>3.654136070867816E-2</v>
      </c>
      <c r="G91" s="2"/>
      <c r="H91" s="2"/>
      <c r="I91" s="19">
        <f>ABS(C91-ADC!I91)</f>
        <v>8.8004110373400279E-2</v>
      </c>
    </row>
    <row r="92" spans="1:9" x14ac:dyDescent="0.25">
      <c r="A92" s="5">
        <v>90</v>
      </c>
      <c r="B92" s="5">
        <f t="shared" si="4"/>
        <v>29</v>
      </c>
      <c r="C92" s="21">
        <f t="shared" si="5"/>
        <v>0.75</v>
      </c>
      <c r="D92" s="16"/>
      <c r="E92" s="19">
        <f>(ADC!I92+5/3)/(1/12)</f>
        <v>27.941087111749813</v>
      </c>
      <c r="F92" s="20">
        <f t="shared" si="3"/>
        <v>3.6514237525868534E-2</v>
      </c>
      <c r="G92" s="2"/>
      <c r="H92" s="2"/>
      <c r="I92" s="19">
        <f>ABS(C92-ADC!I92)</f>
        <v>8.8242740687515586E-2</v>
      </c>
    </row>
    <row r="93" spans="1:9" x14ac:dyDescent="0.25">
      <c r="A93" s="5">
        <v>91</v>
      </c>
      <c r="B93" s="5">
        <f t="shared" si="4"/>
        <v>29.1</v>
      </c>
      <c r="C93" s="21">
        <f t="shared" si="5"/>
        <v>0.75833300000000003</v>
      </c>
      <c r="D93" s="16"/>
      <c r="E93" s="19">
        <f>(ADC!I93+5/3)/(1/12)</f>
        <v>28.027791532197956</v>
      </c>
      <c r="F93" s="20">
        <f t="shared" si="3"/>
        <v>3.6845651814503291E-2</v>
      </c>
      <c r="G93" s="2"/>
      <c r="H93" s="2"/>
      <c r="I93" s="19">
        <f>ABS(C93-ADC!I93)</f>
        <v>8.9350372316837179E-2</v>
      </c>
    </row>
    <row r="94" spans="1:9" x14ac:dyDescent="0.25">
      <c r="A94" s="5">
        <v>92</v>
      </c>
      <c r="B94" s="5">
        <f t="shared" si="4"/>
        <v>29.200000000000003</v>
      </c>
      <c r="C94" s="21">
        <f t="shared" si="5"/>
        <v>0.76666699999999999</v>
      </c>
      <c r="D94" s="16"/>
      <c r="E94" s="19">
        <f>(ADC!I94+5/3)/(1/12)</f>
        <v>28.125565112867228</v>
      </c>
      <c r="F94" s="20">
        <f t="shared" si="3"/>
        <v>3.6795715312766243E-2</v>
      </c>
      <c r="G94" s="2"/>
      <c r="H94" s="2"/>
      <c r="I94" s="19">
        <f>ABS(C94-ADC!I94)</f>
        <v>8.9536573927731289E-2</v>
      </c>
    </row>
    <row r="95" spans="1:9" x14ac:dyDescent="0.25">
      <c r="A95" s="5">
        <v>93</v>
      </c>
      <c r="B95" s="5">
        <f t="shared" si="4"/>
        <v>29.3</v>
      </c>
      <c r="C95" s="21">
        <f t="shared" si="5"/>
        <v>0.77500000000000002</v>
      </c>
      <c r="D95" s="16"/>
      <c r="E95" s="19">
        <f>(ADC!I95+5/3)/(1/12)</f>
        <v>28.223652760512461</v>
      </c>
      <c r="F95" s="20">
        <f t="shared" si="3"/>
        <v>3.673540066510373E-2</v>
      </c>
      <c r="G95" s="2"/>
      <c r="H95" s="2"/>
      <c r="I95" s="19">
        <f>ABS(C95-ADC!I95)</f>
        <v>8.969560329062809E-2</v>
      </c>
    </row>
    <row r="96" spans="1:9" x14ac:dyDescent="0.25">
      <c r="A96" s="5">
        <v>94</v>
      </c>
      <c r="B96" s="5">
        <f t="shared" si="4"/>
        <v>29.4</v>
      </c>
      <c r="C96" s="21">
        <f t="shared" si="5"/>
        <v>0.78333299999999995</v>
      </c>
      <c r="D96" s="16"/>
      <c r="E96" s="19">
        <f>(ADC!I96+5/3)/(1/12)</f>
        <v>28.311344959443986</v>
      </c>
      <c r="F96" s="20">
        <f t="shared" si="3"/>
        <v>3.7029083012109283E-2</v>
      </c>
      <c r="G96" s="2"/>
      <c r="H96" s="2"/>
      <c r="I96" s="19">
        <f>ABS(C96-ADC!I96)</f>
        <v>9.0720920046334586E-2</v>
      </c>
    </row>
    <row r="97" spans="1:9" x14ac:dyDescent="0.25">
      <c r="A97" s="5">
        <v>95</v>
      </c>
      <c r="B97" s="5">
        <f t="shared" si="4"/>
        <v>29.5</v>
      </c>
      <c r="C97" s="21">
        <f t="shared" si="5"/>
        <v>0.79166700000000001</v>
      </c>
      <c r="D97" s="16"/>
      <c r="E97" s="19">
        <f>(ADC!I97+5/3)/(1/12)</f>
        <v>28.410070499080881</v>
      </c>
      <c r="F97" s="20">
        <f t="shared" si="3"/>
        <v>3.6946762743020993E-2</v>
      </c>
      <c r="G97" s="2"/>
      <c r="H97" s="2"/>
      <c r="I97" s="19">
        <f>ABS(C97-ADC!I97)</f>
        <v>9.0827791743260278E-2</v>
      </c>
    </row>
    <row r="98" spans="1:9" x14ac:dyDescent="0.25">
      <c r="A98" s="5">
        <v>96</v>
      </c>
      <c r="B98" s="5">
        <f t="shared" si="4"/>
        <v>29.6</v>
      </c>
      <c r="C98" s="21">
        <f t="shared" si="5"/>
        <v>0.8</v>
      </c>
      <c r="D98" s="16"/>
      <c r="E98" s="19">
        <f>(ADC!I98+5/3)/(1/12)</f>
        <v>28.509108423778741</v>
      </c>
      <c r="F98" s="20">
        <f t="shared" si="3"/>
        <v>3.6854445142610139E-2</v>
      </c>
      <c r="G98" s="2"/>
      <c r="H98" s="2"/>
      <c r="I98" s="19">
        <f>ABS(C98-ADC!I98)</f>
        <v>9.0907631351771712E-2</v>
      </c>
    </row>
    <row r="99" spans="1:9" x14ac:dyDescent="0.25">
      <c r="A99" s="5">
        <v>97</v>
      </c>
      <c r="B99" s="5">
        <f t="shared" si="4"/>
        <v>29.700000000000003</v>
      </c>
      <c r="C99" s="21">
        <f t="shared" si="5"/>
        <v>0.80833299999999997</v>
      </c>
      <c r="D99" s="16"/>
      <c r="E99" s="19">
        <f>(ADC!I99+5/3)/(1/12)</f>
        <v>28.597783571929646</v>
      </c>
      <c r="F99" s="20">
        <f t="shared" si="3"/>
        <v>3.711166424479314E-2</v>
      </c>
      <c r="G99" s="2"/>
      <c r="H99" s="2"/>
      <c r="I99" s="19">
        <f>ABS(C99-ADC!I99)</f>
        <v>9.1851035672529502E-2</v>
      </c>
    </row>
    <row r="100" spans="1:9" x14ac:dyDescent="0.25">
      <c r="A100" s="5">
        <v>98</v>
      </c>
      <c r="B100" s="5">
        <f t="shared" si="4"/>
        <v>29.8</v>
      </c>
      <c r="C100" s="21">
        <f t="shared" si="5"/>
        <v>0.81666700000000003</v>
      </c>
      <c r="D100" s="16"/>
      <c r="E100" s="19">
        <f>(ADC!I100+5/3)/(1/12)</f>
        <v>28.697456021995862</v>
      </c>
      <c r="F100" s="20">
        <f t="shared" si="3"/>
        <v>3.6998120067252983E-2</v>
      </c>
      <c r="G100" s="2"/>
      <c r="H100" s="2"/>
      <c r="I100" s="19">
        <f>ABS(C100-ADC!I100)</f>
        <v>9.1878998167011838E-2</v>
      </c>
    </row>
    <row r="101" spans="1:9" x14ac:dyDescent="0.25">
      <c r="A101" s="5">
        <v>99</v>
      </c>
      <c r="B101" s="5">
        <f t="shared" si="4"/>
        <v>29.9</v>
      </c>
      <c r="C101" s="21">
        <f t="shared" si="5"/>
        <v>0.82499999999999996</v>
      </c>
      <c r="D101" s="16"/>
      <c r="E101" s="19">
        <f>(ADC!I101+5/3)/(1/12)</f>
        <v>28.786787547141245</v>
      </c>
      <c r="F101" s="20">
        <f t="shared" si="3"/>
        <v>3.7231185714339594E-2</v>
      </c>
      <c r="G101" s="2"/>
      <c r="H101" s="2"/>
      <c r="I101" s="19">
        <f>ABS(C101-ADC!I101)</f>
        <v>9.2767704404896345E-2</v>
      </c>
    </row>
    <row r="102" spans="1:9" x14ac:dyDescent="0.25">
      <c r="A102" s="5">
        <v>100</v>
      </c>
      <c r="B102" s="5">
        <f t="shared" si="4"/>
        <v>30</v>
      </c>
      <c r="C102" s="21">
        <f t="shared" si="5"/>
        <v>0.83333299999999999</v>
      </c>
      <c r="D102" s="16"/>
      <c r="E102" s="19">
        <f>(ADC!I102+5/3)/(1/12)</f>
        <v>28.887092225087795</v>
      </c>
      <c r="F102" s="20">
        <f t="shared" si="3"/>
        <v>3.7096925830406843E-2</v>
      </c>
      <c r="G102" s="2"/>
      <c r="H102" s="2"/>
      <c r="I102" s="19">
        <f>ABS(C102-ADC!I102)</f>
        <v>9.2741981242683735E-2</v>
      </c>
    </row>
    <row r="103" spans="1:9" x14ac:dyDescent="0.25">
      <c r="A103" s="5">
        <v>101</v>
      </c>
      <c r="B103" s="5">
        <f t="shared" si="4"/>
        <v>30.1</v>
      </c>
      <c r="C103" s="21">
        <f t="shared" si="5"/>
        <v>0.84166700000000005</v>
      </c>
      <c r="D103" s="16"/>
      <c r="E103" s="19">
        <f>(ADC!I103+5/3)/(1/12)</f>
        <v>28.977077872686397</v>
      </c>
      <c r="F103" s="20">
        <f t="shared" si="3"/>
        <v>3.7306382967229372E-2</v>
      </c>
      <c r="G103" s="2"/>
      <c r="H103" s="2"/>
      <c r="I103" s="19">
        <f>ABS(C103-ADC!I103)</f>
        <v>9.3577177276133683E-2</v>
      </c>
    </row>
    <row r="104" spans="1:9" x14ac:dyDescent="0.25">
      <c r="A104" s="5">
        <v>102</v>
      </c>
      <c r="B104" s="5">
        <f t="shared" si="4"/>
        <v>30.200000000000003</v>
      </c>
      <c r="C104" s="21">
        <f t="shared" si="5"/>
        <v>0.85</v>
      </c>
      <c r="D104" s="16"/>
      <c r="E104" s="19">
        <f>(ADC!I104+5/3)/(1/12)</f>
        <v>29.067395517444957</v>
      </c>
      <c r="F104" s="20">
        <f t="shared" si="3"/>
        <v>3.7503459687253153E-2</v>
      </c>
      <c r="G104" s="2"/>
      <c r="H104" s="2"/>
      <c r="I104" s="19">
        <f>ABS(C104-ADC!I104)</f>
        <v>9.438370687958697E-2</v>
      </c>
    </row>
    <row r="105" spans="1:9" x14ac:dyDescent="0.25">
      <c r="A105" s="5">
        <v>103</v>
      </c>
      <c r="B105" s="5">
        <f t="shared" si="4"/>
        <v>30.3</v>
      </c>
      <c r="C105" s="21">
        <f t="shared" si="5"/>
        <v>0.85833300000000001</v>
      </c>
      <c r="D105" s="16"/>
      <c r="E105" s="19">
        <f>(ADC!I105+5/3)/(1/12)</f>
        <v>29.168649920418542</v>
      </c>
      <c r="F105" s="20">
        <f t="shared" si="3"/>
        <v>3.7338286454833634E-2</v>
      </c>
      <c r="G105" s="2"/>
      <c r="H105" s="2"/>
      <c r="I105" s="19">
        <f>ABS(C105-ADC!I105)</f>
        <v>9.4278839965121652E-2</v>
      </c>
    </row>
    <row r="106" spans="1:9" x14ac:dyDescent="0.25">
      <c r="A106" s="5">
        <v>104</v>
      </c>
      <c r="B106" s="5">
        <f t="shared" si="4"/>
        <v>30.4</v>
      </c>
      <c r="C106" s="21">
        <f t="shared" si="5"/>
        <v>0.86666699999999997</v>
      </c>
      <c r="D106" s="16"/>
      <c r="E106" s="19">
        <f>(ADC!I106+5/3)/(1/12)</f>
        <v>29.259618242445569</v>
      </c>
      <c r="F106" s="20">
        <f t="shared" si="3"/>
        <v>3.7512557814290443E-2</v>
      </c>
      <c r="G106" s="2"/>
      <c r="H106" s="2"/>
      <c r="I106" s="19">
        <f>ABS(C106-ADC!I106)</f>
        <v>9.5032146462869505E-2</v>
      </c>
    </row>
    <row r="107" spans="1:9" x14ac:dyDescent="0.25">
      <c r="A107" s="5">
        <v>105</v>
      </c>
      <c r="B107" s="5">
        <f t="shared" si="4"/>
        <v>30.5</v>
      </c>
      <c r="C107" s="21">
        <f t="shared" si="5"/>
        <v>0.875</v>
      </c>
      <c r="D107" s="16"/>
      <c r="E107" s="19">
        <f>(ADC!I107+5/3)/(1/12)</f>
        <v>29.350916832580719</v>
      </c>
      <c r="F107" s="20">
        <f t="shared" si="3"/>
        <v>3.767485794817315E-2</v>
      </c>
      <c r="G107" s="2"/>
      <c r="H107" s="2"/>
      <c r="I107" s="19">
        <f>ABS(C107-ADC!I107)</f>
        <v>9.5756930618273395E-2</v>
      </c>
    </row>
    <row r="108" spans="1:9" x14ac:dyDescent="0.25">
      <c r="A108" s="5">
        <v>106</v>
      </c>
      <c r="B108" s="5">
        <f t="shared" si="4"/>
        <v>30.6</v>
      </c>
      <c r="C108" s="21">
        <f t="shared" si="5"/>
        <v>0.88333300000000003</v>
      </c>
      <c r="D108" s="16"/>
      <c r="E108" s="19">
        <f>(ADC!I108+5/3)/(1/12)</f>
        <v>29.453115574403256</v>
      </c>
      <c r="F108" s="20">
        <f t="shared" si="3"/>
        <v>3.7479883189436125E-2</v>
      </c>
      <c r="G108" s="2"/>
      <c r="H108" s="2"/>
      <c r="I108" s="19">
        <f>ABS(C108-ADC!I108)</f>
        <v>9.5573368799728664E-2</v>
      </c>
    </row>
    <row r="109" spans="1:9" x14ac:dyDescent="0.25">
      <c r="A109" s="5">
        <v>107</v>
      </c>
      <c r="B109" s="5">
        <f t="shared" si="4"/>
        <v>30.700000000000003</v>
      </c>
      <c r="C109" s="21">
        <f t="shared" si="5"/>
        <v>0.89166699999999999</v>
      </c>
      <c r="D109" s="16"/>
      <c r="E109" s="19">
        <f>(ADC!I109+5/3)/(1/12)</f>
        <v>29.545061284890352</v>
      </c>
      <c r="F109" s="20">
        <f t="shared" si="3"/>
        <v>3.7620153586633578E-2</v>
      </c>
      <c r="G109" s="2"/>
      <c r="H109" s="2"/>
      <c r="I109" s="19">
        <f>ABS(C109-ADC!I109)</f>
        <v>9.6245226259137673E-2</v>
      </c>
    </row>
    <row r="110" spans="1:9" x14ac:dyDescent="0.25">
      <c r="A110" s="5">
        <v>108</v>
      </c>
      <c r="B110" s="5">
        <f t="shared" si="4"/>
        <v>30.8</v>
      </c>
      <c r="C110" s="21">
        <f t="shared" si="5"/>
        <v>0.9</v>
      </c>
      <c r="D110" s="16"/>
      <c r="E110" s="19">
        <f>(ADC!I110+5/3)/(1/12)</f>
        <v>29.647882628886055</v>
      </c>
      <c r="F110" s="20">
        <f t="shared" si="3"/>
        <v>3.7406408153050172E-2</v>
      </c>
      <c r="G110" s="2"/>
      <c r="H110" s="2"/>
      <c r="I110" s="19">
        <f>ABS(C110-ADC!I110)</f>
        <v>9.6009780926162192E-2</v>
      </c>
    </row>
    <row r="111" spans="1:9" x14ac:dyDescent="0.25">
      <c r="A111" s="5">
        <v>109</v>
      </c>
      <c r="B111" s="5">
        <f t="shared" si="4"/>
        <v>30.9</v>
      </c>
      <c r="C111" s="21">
        <f t="shared" si="5"/>
        <v>0.90833299999999995</v>
      </c>
      <c r="D111" s="16"/>
      <c r="E111" s="19">
        <f>(ADC!I111+5/3)/(1/12)</f>
        <v>29.740473014541255</v>
      </c>
      <c r="F111" s="20">
        <f t="shared" si="3"/>
        <v>3.7525145160477141E-2</v>
      </c>
      <c r="G111" s="2"/>
      <c r="H111" s="2"/>
      <c r="I111" s="19">
        <f>ABS(C111-ADC!I111)</f>
        <v>9.6626915454895657E-2</v>
      </c>
    </row>
    <row r="112" spans="1:9" x14ac:dyDescent="0.25">
      <c r="A112" s="5">
        <v>110</v>
      </c>
      <c r="B112" s="5">
        <f t="shared" si="4"/>
        <v>31</v>
      </c>
      <c r="C112" s="21">
        <f t="shared" si="5"/>
        <v>0.91666700000000001</v>
      </c>
      <c r="D112" s="16"/>
      <c r="E112" s="19">
        <f>(ADC!I112+5/3)/(1/12)</f>
        <v>29.843914422300031</v>
      </c>
      <c r="F112" s="20">
        <f t="shared" si="3"/>
        <v>3.7293083151611894E-2</v>
      </c>
      <c r="G112" s="2"/>
      <c r="H112" s="2"/>
      <c r="I112" s="19">
        <f>ABS(C112-ADC!I112)</f>
        <v>9.6340798141664186E-2</v>
      </c>
    </row>
    <row r="113" spans="1:9" x14ac:dyDescent="0.25">
      <c r="A113" s="5">
        <v>111</v>
      </c>
      <c r="B113" s="5">
        <f t="shared" si="4"/>
        <v>31.1</v>
      </c>
      <c r="C113" s="21">
        <f t="shared" si="5"/>
        <v>0.92500000000000004</v>
      </c>
      <c r="D113" s="16"/>
      <c r="E113" s="19">
        <f>(ADC!I113+5/3)/(1/12)</f>
        <v>29.937146990104363</v>
      </c>
      <c r="F113" s="20">
        <f t="shared" si="3"/>
        <v>3.7390772022367784E-2</v>
      </c>
      <c r="G113" s="2"/>
      <c r="H113" s="2"/>
      <c r="I113" s="19">
        <f>ABS(C113-ADC!I113)</f>
        <v>9.6904417491303407E-2</v>
      </c>
    </row>
    <row r="114" spans="1:9" x14ac:dyDescent="0.25">
      <c r="A114" s="5">
        <v>112</v>
      </c>
      <c r="B114" s="5">
        <f t="shared" si="4"/>
        <v>31.200000000000003</v>
      </c>
      <c r="C114" s="21">
        <f t="shared" si="5"/>
        <v>0.93333299999999997</v>
      </c>
      <c r="D114" s="16"/>
      <c r="E114" s="19">
        <f>(ADC!I114+5/3)/(1/12)</f>
        <v>30.030705568331442</v>
      </c>
      <c r="F114" s="20">
        <f t="shared" si="3"/>
        <v>3.74773856304026E-2</v>
      </c>
      <c r="G114" s="2"/>
      <c r="H114" s="2"/>
      <c r="I114" s="19">
        <f>ABS(C114-ADC!I114)</f>
        <v>9.7440869305713496E-2</v>
      </c>
    </row>
    <row r="115" spans="1:9" x14ac:dyDescent="0.25">
      <c r="A115" s="5">
        <v>113</v>
      </c>
      <c r="B115" s="5">
        <f t="shared" si="4"/>
        <v>31.3</v>
      </c>
      <c r="C115" s="21">
        <f t="shared" si="5"/>
        <v>0.94166700000000003</v>
      </c>
      <c r="D115" s="16"/>
      <c r="E115" s="19">
        <f>(ADC!I115+5/3)/(1/12)</f>
        <v>30.135078084130868</v>
      </c>
      <c r="F115" s="20">
        <f t="shared" si="3"/>
        <v>3.7217952583678375E-2</v>
      </c>
      <c r="G115" s="2"/>
      <c r="H115" s="2"/>
      <c r="I115" s="19">
        <f>ABS(C115-ADC!I115)</f>
        <v>9.7077159655761358E-2</v>
      </c>
    </row>
    <row r="116" spans="1:9" x14ac:dyDescent="0.25">
      <c r="A116" s="5">
        <v>114</v>
      </c>
      <c r="B116" s="5">
        <f t="shared" si="4"/>
        <v>31.4</v>
      </c>
      <c r="C116" s="21">
        <f t="shared" si="5"/>
        <v>0.95</v>
      </c>
      <c r="D116" s="16"/>
      <c r="E116" s="19">
        <f>(ADC!I116+5/3)/(1/12)</f>
        <v>30.229275026067789</v>
      </c>
      <c r="F116" s="20">
        <f t="shared" si="3"/>
        <v>3.72842348386054E-2</v>
      </c>
      <c r="G116" s="2"/>
      <c r="H116" s="2"/>
      <c r="I116" s="19">
        <f>ABS(C116-ADC!I116)</f>
        <v>9.7560414494351155E-2</v>
      </c>
    </row>
    <row r="117" spans="1:9" x14ac:dyDescent="0.25">
      <c r="A117" s="5">
        <v>115</v>
      </c>
      <c r="B117" s="5">
        <f t="shared" si="4"/>
        <v>31.5</v>
      </c>
      <c r="C117" s="21">
        <f t="shared" si="5"/>
        <v>0.95833299999999999</v>
      </c>
      <c r="D117" s="16"/>
      <c r="E117" s="19">
        <f>(ADC!I117+5/3)/(1/12)</f>
        <v>30.32379607025522</v>
      </c>
      <c r="F117" s="20">
        <f t="shared" si="3"/>
        <v>3.7339807293485079E-2</v>
      </c>
      <c r="G117" s="2"/>
      <c r="H117" s="2"/>
      <c r="I117" s="19">
        <f>ABS(C117-ADC!I117)</f>
        <v>9.8016660812064949E-2</v>
      </c>
    </row>
    <row r="118" spans="1:9" x14ac:dyDescent="0.25">
      <c r="A118" s="5">
        <v>116</v>
      </c>
      <c r="B118" s="5">
        <f t="shared" si="4"/>
        <v>31.6</v>
      </c>
      <c r="C118" s="21">
        <f t="shared" si="5"/>
        <v>0.96666700000000005</v>
      </c>
      <c r="D118" s="16"/>
      <c r="E118" s="19">
        <f>(ADC!I118+5/3)/(1/12)</f>
        <v>30.439546981194322</v>
      </c>
      <c r="F118" s="20">
        <f t="shared" si="3"/>
        <v>3.6723196797648072E-2</v>
      </c>
      <c r="G118" s="2"/>
      <c r="H118" s="2"/>
      <c r="I118" s="19">
        <f>ABS(C118-ADC!I118)</f>
        <v>9.670475156714009E-2</v>
      </c>
    </row>
    <row r="119" spans="1:9" x14ac:dyDescent="0.25">
      <c r="A119" s="5">
        <v>117</v>
      </c>
      <c r="B119" s="5">
        <f t="shared" si="4"/>
        <v>31.700000000000003</v>
      </c>
      <c r="C119" s="21">
        <f t="shared" si="5"/>
        <v>0.97499999999999998</v>
      </c>
      <c r="D119" s="16"/>
      <c r="E119" s="19">
        <f>(ADC!I119+5/3)/(1/12)</f>
        <v>30.534690634887298</v>
      </c>
      <c r="F119" s="20">
        <f t="shared" si="3"/>
        <v>3.6760547795353468E-2</v>
      </c>
      <c r="G119" s="2"/>
      <c r="H119" s="2"/>
      <c r="I119" s="19">
        <f>ABS(C119-ADC!I119)</f>
        <v>9.7109113759391907E-2</v>
      </c>
    </row>
    <row r="120" spans="1:9" x14ac:dyDescent="0.25">
      <c r="A120" s="5">
        <v>118</v>
      </c>
      <c r="B120" s="5">
        <f t="shared" si="4"/>
        <v>31.8</v>
      </c>
      <c r="C120" s="21">
        <f t="shared" si="5"/>
        <v>0.98333300000000001</v>
      </c>
      <c r="D120" s="16"/>
      <c r="E120" s="19">
        <f>(ADC!I120+5/3)/(1/12)</f>
        <v>30.630156409334528</v>
      </c>
      <c r="F120" s="20">
        <f t="shared" si="3"/>
        <v>3.6787534297656362E-2</v>
      </c>
      <c r="G120" s="2"/>
      <c r="H120" s="2"/>
      <c r="I120" s="19">
        <f>ABS(C120-ADC!I120)</f>
        <v>9.7486632555456088E-2</v>
      </c>
    </row>
    <row r="121" spans="1:9" x14ac:dyDescent="0.25">
      <c r="A121" s="5">
        <v>119</v>
      </c>
      <c r="B121" s="5">
        <f t="shared" si="4"/>
        <v>31.9</v>
      </c>
      <c r="C121" s="21">
        <f t="shared" si="5"/>
        <v>0.99166699999999997</v>
      </c>
      <c r="D121" s="16"/>
      <c r="E121" s="19">
        <f>(ADC!I121+5/3)/(1/12)</f>
        <v>30.725943640429392</v>
      </c>
      <c r="F121" s="20">
        <f t="shared" si="3"/>
        <v>3.6804274594689858E-2</v>
      </c>
      <c r="G121" s="2"/>
      <c r="H121" s="2"/>
      <c r="I121" s="19">
        <f>ABS(C121-ADC!I121)</f>
        <v>9.7838363297550468E-2</v>
      </c>
    </row>
    <row r="122" spans="1:9" x14ac:dyDescent="0.25">
      <c r="A122" s="5">
        <v>120</v>
      </c>
      <c r="B122" s="5">
        <f t="shared" si="4"/>
        <v>32</v>
      </c>
      <c r="C122" s="21">
        <f t="shared" si="5"/>
        <v>1</v>
      </c>
      <c r="D122" s="16"/>
      <c r="E122" s="19">
        <f>(ADC!I122+5/3)/(1/12)</f>
        <v>30.832457501754522</v>
      </c>
      <c r="F122" s="20">
        <f t="shared" si="3"/>
        <v>3.6485703070171183E-2</v>
      </c>
      <c r="G122" s="2"/>
      <c r="H122" s="2"/>
      <c r="I122" s="19">
        <f>ABS(C122-ADC!I122)</f>
        <v>9.729520818712345E-2</v>
      </c>
    </row>
    <row r="123" spans="1:9" x14ac:dyDescent="0.25">
      <c r="A123" s="5">
        <v>121</v>
      </c>
      <c r="B123" s="5">
        <f t="shared" si="4"/>
        <v>32.1</v>
      </c>
      <c r="C123" s="21">
        <f t="shared" si="5"/>
        <v>1.0083329999999999</v>
      </c>
      <c r="D123" s="16"/>
      <c r="E123" s="19">
        <f>(ADC!I123+5/3)/(1/12)</f>
        <v>30.928873748087039</v>
      </c>
      <c r="F123" s="20">
        <f t="shared" si="3"/>
        <v>3.6483683860216901E-2</v>
      </c>
      <c r="G123" s="2"/>
      <c r="H123" s="2"/>
      <c r="I123" s="19">
        <f>ABS(C123-ADC!I123)</f>
        <v>9.7593520992746985E-2</v>
      </c>
    </row>
    <row r="124" spans="1:9" x14ac:dyDescent="0.25">
      <c r="A124" s="5">
        <v>122</v>
      </c>
      <c r="B124" s="5">
        <f t="shared" si="4"/>
        <v>32.200000000000003</v>
      </c>
      <c r="C124" s="21">
        <f t="shared" si="5"/>
        <v>1.016667</v>
      </c>
      <c r="D124" s="16"/>
      <c r="E124" s="19">
        <f>(ADC!I124+5/3)/(1/12)</f>
        <v>31.025609416149006</v>
      </c>
      <c r="F124" s="20">
        <f t="shared" si="3"/>
        <v>3.647175726245331E-2</v>
      </c>
      <c r="G124" s="2"/>
      <c r="H124" s="2"/>
      <c r="I124" s="19">
        <f>ABS(C124-ADC!I124)</f>
        <v>9.7866215320916439E-2</v>
      </c>
    </row>
    <row r="125" spans="1:9" x14ac:dyDescent="0.25">
      <c r="A125" s="5">
        <v>123</v>
      </c>
      <c r="B125" s="5">
        <f t="shared" si="4"/>
        <v>32.299999999999997</v>
      </c>
      <c r="C125" s="21">
        <f t="shared" si="5"/>
        <v>1.0249999999999999</v>
      </c>
      <c r="D125" s="16"/>
      <c r="E125" s="19">
        <f>(ADC!I125+5/3)/(1/12)</f>
        <v>31.12266381913803</v>
      </c>
      <c r="F125" s="20">
        <f t="shared" si="3"/>
        <v>3.6450036559194043E-2</v>
      </c>
      <c r="G125" s="2"/>
      <c r="H125" s="2"/>
      <c r="I125" s="19">
        <f>ABS(C125-ADC!I125)</f>
        <v>9.8111348405164445E-2</v>
      </c>
    </row>
    <row r="126" spans="1:9" x14ac:dyDescent="0.25">
      <c r="A126" s="5">
        <v>124</v>
      </c>
      <c r="B126" s="5">
        <f t="shared" si="4"/>
        <v>32.4</v>
      </c>
      <c r="C126" s="21">
        <f t="shared" si="5"/>
        <v>1.0333330000000001</v>
      </c>
      <c r="D126" s="16"/>
      <c r="E126" s="19">
        <f>(ADC!I126+5/3)/(1/12)</f>
        <v>31.220036262221338</v>
      </c>
      <c r="F126" s="20">
        <f t="shared" si="3"/>
        <v>3.6418633882057419E-2</v>
      </c>
      <c r="G126" s="2"/>
      <c r="H126" s="2"/>
      <c r="I126" s="19">
        <f>ABS(C126-ADC!I126)</f>
        <v>9.8329978148222197E-2</v>
      </c>
    </row>
    <row r="127" spans="1:9" x14ac:dyDescent="0.25">
      <c r="A127" s="5">
        <v>125</v>
      </c>
      <c r="B127" s="5">
        <f t="shared" si="4"/>
        <v>32.5</v>
      </c>
      <c r="C127" s="21">
        <f t="shared" si="5"/>
        <v>1.0416669999999999</v>
      </c>
      <c r="D127" s="16"/>
      <c r="E127" s="19">
        <f>(ADC!I127+5/3)/(1/12)</f>
        <v>31.328072295673117</v>
      </c>
      <c r="F127" s="20">
        <f t="shared" si="3"/>
        <v>3.6059313979288715E-2</v>
      </c>
      <c r="G127" s="2"/>
      <c r="H127" s="2"/>
      <c r="I127" s="19">
        <f>ABS(C127-ADC!I127)</f>
        <v>9.7660975360573832E-2</v>
      </c>
    </row>
    <row r="128" spans="1:9" x14ac:dyDescent="0.25">
      <c r="A128" s="5">
        <v>126</v>
      </c>
      <c r="B128" s="5">
        <f t="shared" si="4"/>
        <v>32.6</v>
      </c>
      <c r="C128" s="21">
        <f t="shared" si="5"/>
        <v>1.05</v>
      </c>
      <c r="D128" s="16"/>
      <c r="E128" s="19">
        <f>(ADC!I128+5/3)/(1/12)</f>
        <v>31.426066753987634</v>
      </c>
      <c r="F128" s="20">
        <f t="shared" si="3"/>
        <v>3.6010222270318026E-2</v>
      </c>
      <c r="G128" s="2"/>
      <c r="H128" s="2"/>
      <c r="I128" s="19">
        <f>ABS(C128-ADC!I128)</f>
        <v>9.7827770501030864E-2</v>
      </c>
    </row>
    <row r="129" spans="1:9" x14ac:dyDescent="0.25">
      <c r="A129" s="5">
        <v>127</v>
      </c>
      <c r="B129" s="5">
        <f t="shared" si="4"/>
        <v>32.700000000000003</v>
      </c>
      <c r="C129" s="21">
        <f t="shared" si="5"/>
        <v>1.058333</v>
      </c>
      <c r="D129" s="16"/>
      <c r="E129" s="19">
        <f>(ADC!I129+5/3)/(1/12)</f>
        <v>31.514054827141326</v>
      </c>
      <c r="F129" s="20">
        <f t="shared" si="3"/>
        <v>3.626743647885862E-2</v>
      </c>
      <c r="G129" s="2"/>
      <c r="H129" s="2"/>
      <c r="I129" s="19">
        <f>ABS(C129-ADC!I129)</f>
        <v>9.8828431071556255E-2</v>
      </c>
    </row>
    <row r="130" spans="1:9" x14ac:dyDescent="0.25">
      <c r="A130" s="5">
        <v>128</v>
      </c>
      <c r="B130" s="5">
        <f t="shared" si="4"/>
        <v>32.799999999999997</v>
      </c>
      <c r="C130" s="21">
        <f t="shared" si="5"/>
        <v>1.066667</v>
      </c>
      <c r="D130" s="16"/>
      <c r="E130" s="19">
        <f>(ADC!I130+5/3)/(1/12)</f>
        <v>31.612692396725862</v>
      </c>
      <c r="F130" s="20">
        <f t="shared" ref="F130:F193" si="6">ABS(B130-E130)/B130</f>
        <v>3.6198402538845591E-2</v>
      </c>
      <c r="G130" s="2"/>
      <c r="H130" s="2"/>
      <c r="I130" s="19">
        <f>ABS(C130-ADC!I130)</f>
        <v>9.8942633606178165E-2</v>
      </c>
    </row>
    <row r="131" spans="1:9" x14ac:dyDescent="0.25">
      <c r="A131" s="5">
        <v>129</v>
      </c>
      <c r="B131" s="5">
        <f t="shared" ref="B131:B194" si="7">0.1*A131+20</f>
        <v>32.9</v>
      </c>
      <c r="C131" s="21">
        <f t="shared" ref="C131:C194" si="8">ROUND(1/12*B131-5/3,6)</f>
        <v>1.075</v>
      </c>
      <c r="D131" s="16"/>
      <c r="E131" s="19">
        <f>(ADC!I131+5/3)/(1/12)</f>
        <v>31.711644451932223</v>
      </c>
      <c r="F131" s="20">
        <f t="shared" si="6"/>
        <v>3.6120229424552452E-2</v>
      </c>
      <c r="G131" s="2"/>
      <c r="H131" s="2"/>
      <c r="I131" s="19">
        <f>ABS(C131-ADC!I131)</f>
        <v>9.9029629005648379E-2</v>
      </c>
    </row>
    <row r="132" spans="1:9" x14ac:dyDescent="0.25">
      <c r="A132" s="5">
        <v>130</v>
      </c>
      <c r="B132" s="5">
        <f t="shared" si="7"/>
        <v>33</v>
      </c>
      <c r="C132" s="21">
        <f t="shared" si="8"/>
        <v>1.0833330000000001</v>
      </c>
      <c r="D132" s="16"/>
      <c r="E132" s="19">
        <f>(ADC!I132+5/3)/(1/12)</f>
        <v>31.810910275929754</v>
      </c>
      <c r="F132" s="20">
        <f t="shared" si="6"/>
        <v>3.6033021941522622E-2</v>
      </c>
      <c r="G132" s="2"/>
      <c r="H132" s="2"/>
      <c r="I132" s="19">
        <f>ABS(C132-ADC!I132)</f>
        <v>9.9090477005854161E-2</v>
      </c>
    </row>
    <row r="133" spans="1:9" x14ac:dyDescent="0.25">
      <c r="A133" s="5">
        <v>131</v>
      </c>
      <c r="B133" s="5">
        <f t="shared" si="7"/>
        <v>33.1</v>
      </c>
      <c r="C133" s="21">
        <f t="shared" si="8"/>
        <v>1.0916669999999999</v>
      </c>
      <c r="D133" s="16"/>
      <c r="E133" s="19">
        <f>(ADC!I133+5/3)/(1/12)</f>
        <v>31.910489126050443</v>
      </c>
      <c r="F133" s="20">
        <f t="shared" si="6"/>
        <v>3.5936884409352214E-2</v>
      </c>
      <c r="G133" s="2"/>
      <c r="H133" s="2"/>
      <c r="I133" s="19">
        <f>ABS(C133-ADC!I133)</f>
        <v>9.9126239495796464E-2</v>
      </c>
    </row>
    <row r="134" spans="1:9" x14ac:dyDescent="0.25">
      <c r="A134" s="5">
        <v>132</v>
      </c>
      <c r="B134" s="5">
        <f t="shared" si="7"/>
        <v>33.200000000000003</v>
      </c>
      <c r="C134" s="21">
        <f t="shared" si="8"/>
        <v>1.1000000000000001</v>
      </c>
      <c r="D134" s="16"/>
      <c r="E134" s="19">
        <f>(ADC!I134+5/3)/(1/12)</f>
        <v>32.010380264165029</v>
      </c>
      <c r="F134" s="20">
        <f t="shared" si="6"/>
        <v>3.5831919754065474E-2</v>
      </c>
      <c r="G134" s="2"/>
      <c r="H134" s="2"/>
      <c r="I134" s="19">
        <f>ABS(C134-ADC!I134)</f>
        <v>9.9134977986247819E-2</v>
      </c>
    </row>
    <row r="135" spans="1:9" x14ac:dyDescent="0.25">
      <c r="A135" s="5">
        <v>133</v>
      </c>
      <c r="B135" s="5">
        <f t="shared" si="7"/>
        <v>33.299999999999997</v>
      </c>
      <c r="C135" s="21">
        <f t="shared" si="8"/>
        <v>1.108333</v>
      </c>
      <c r="D135" s="16"/>
      <c r="E135" s="19">
        <f>(ADC!I135+5/3)/(1/12)</f>
        <v>32.110582941669669</v>
      </c>
      <c r="F135" s="20">
        <f t="shared" si="6"/>
        <v>3.5718229979889729E-2</v>
      </c>
      <c r="G135" s="2"/>
      <c r="H135" s="2"/>
      <c r="I135" s="19">
        <f>ABS(C135-ADC!I135)</f>
        <v>9.9117754860861274E-2</v>
      </c>
    </row>
    <row r="136" spans="1:9" x14ac:dyDescent="0.25">
      <c r="A136" s="5">
        <v>134</v>
      </c>
      <c r="B136" s="5">
        <f t="shared" si="7"/>
        <v>33.4</v>
      </c>
      <c r="C136" s="21">
        <f t="shared" si="8"/>
        <v>1.1166670000000001</v>
      </c>
      <c r="D136" s="16"/>
      <c r="E136" s="19">
        <f>(ADC!I136+5/3)/(1/12)</f>
        <v>32.211096416594081</v>
      </c>
      <c r="F136" s="20">
        <f t="shared" si="6"/>
        <v>3.5595915670835844E-2</v>
      </c>
      <c r="G136" s="2"/>
      <c r="H136" s="2"/>
      <c r="I136" s="19">
        <f>ABS(C136-ADC!I136)</f>
        <v>9.9075631950493515E-2</v>
      </c>
    </row>
    <row r="137" spans="1:9" x14ac:dyDescent="0.25">
      <c r="A137" s="5">
        <v>135</v>
      </c>
      <c r="B137" s="5">
        <f t="shared" si="7"/>
        <v>33.5</v>
      </c>
      <c r="C137" s="21">
        <f t="shared" si="8"/>
        <v>1.125</v>
      </c>
      <c r="D137" s="16"/>
      <c r="E137" s="19">
        <f>(ADC!I137+5/3)/(1/12)</f>
        <v>32.311919922876299</v>
      </c>
      <c r="F137" s="20">
        <f t="shared" si="6"/>
        <v>3.5465076929065691E-2</v>
      </c>
      <c r="G137" s="2"/>
      <c r="H137" s="2"/>
      <c r="I137" s="19">
        <f>ABS(C137-ADC!I137)</f>
        <v>9.9006673093642084E-2</v>
      </c>
    </row>
    <row r="138" spans="1:9" x14ac:dyDescent="0.25">
      <c r="A138" s="5">
        <v>136</v>
      </c>
      <c r="B138" s="5">
        <f t="shared" si="7"/>
        <v>33.6</v>
      </c>
      <c r="C138" s="21">
        <f t="shared" si="8"/>
        <v>1.1333329999999999</v>
      </c>
      <c r="D138" s="16"/>
      <c r="E138" s="19">
        <f>(ADC!I138+5/3)/(1/12)</f>
        <v>32.413052700040808</v>
      </c>
      <c r="F138" s="20">
        <f t="shared" si="6"/>
        <v>3.5325812498785518E-2</v>
      </c>
      <c r="G138" s="2"/>
      <c r="H138" s="2"/>
      <c r="I138" s="19">
        <f>ABS(C138-ADC!I138)</f>
        <v>9.8911941663266223E-2</v>
      </c>
    </row>
    <row r="139" spans="1:9" x14ac:dyDescent="0.25">
      <c r="A139" s="5">
        <v>137</v>
      </c>
      <c r="B139" s="5">
        <f t="shared" si="7"/>
        <v>33.700000000000003</v>
      </c>
      <c r="C139" s="21">
        <f t="shared" si="8"/>
        <v>1.141667</v>
      </c>
      <c r="D139" s="16"/>
      <c r="E139" s="19">
        <f>(ADC!I139+5/3)/(1/12)</f>
        <v>32.514493980628693</v>
      </c>
      <c r="F139" s="20">
        <f t="shared" si="6"/>
        <v>3.5178220159386049E-2</v>
      </c>
      <c r="G139" s="2"/>
      <c r="H139" s="2"/>
      <c r="I139" s="19">
        <f>ABS(C139-ADC!I139)</f>
        <v>9.8792501614275663E-2</v>
      </c>
    </row>
    <row r="140" spans="1:9" x14ac:dyDescent="0.25">
      <c r="A140" s="5">
        <v>138</v>
      </c>
      <c r="B140" s="5">
        <f t="shared" si="7"/>
        <v>33.799999999999997</v>
      </c>
      <c r="C140" s="21">
        <f t="shared" si="8"/>
        <v>1.1499999999999999</v>
      </c>
      <c r="D140" s="16"/>
      <c r="E140" s="19">
        <f>(ADC!I140+5/3)/(1/12)</f>
        <v>32.616242987753843</v>
      </c>
      <c r="F140" s="20">
        <f t="shared" si="6"/>
        <v>3.5022396812016403E-2</v>
      </c>
      <c r="G140" s="2"/>
      <c r="H140" s="2"/>
      <c r="I140" s="19">
        <f>ABS(C140-ADC!I140)</f>
        <v>9.8646417687179966E-2</v>
      </c>
    </row>
    <row r="141" spans="1:9" x14ac:dyDescent="0.25">
      <c r="A141" s="5">
        <v>139</v>
      </c>
      <c r="B141" s="5">
        <f t="shared" si="7"/>
        <v>33.9</v>
      </c>
      <c r="C141" s="21">
        <f t="shared" si="8"/>
        <v>1.1583330000000001</v>
      </c>
      <c r="D141" s="16"/>
      <c r="E141" s="19">
        <f>(ADC!I141+5/3)/(1/12)</f>
        <v>32.718298936848448</v>
      </c>
      <c r="F141" s="20">
        <f t="shared" si="6"/>
        <v>3.4858438441048675E-2</v>
      </c>
      <c r="G141" s="2"/>
      <c r="H141" s="2"/>
      <c r="I141" s="19">
        <f>ABS(C141-ADC!I141)</f>
        <v>9.8474755262629943E-2</v>
      </c>
    </row>
    <row r="142" spans="1:9" x14ac:dyDescent="0.25">
      <c r="A142" s="5">
        <v>140</v>
      </c>
      <c r="B142" s="5">
        <f t="shared" si="7"/>
        <v>34</v>
      </c>
      <c r="C142" s="21">
        <f t="shared" si="8"/>
        <v>1.1666669999999999</v>
      </c>
      <c r="D142" s="16"/>
      <c r="E142" s="19">
        <f>(ADC!I142+5/3)/(1/12)</f>
        <v>32.810495941908059</v>
      </c>
      <c r="F142" s="20">
        <f t="shared" si="6"/>
        <v>3.4985413473292391E-2</v>
      </c>
      <c r="G142" s="2"/>
      <c r="H142" s="2"/>
      <c r="I142" s="19">
        <f>ABS(C142-ADC!I142)</f>
        <v>9.9125671507661828E-2</v>
      </c>
    </row>
    <row r="143" spans="1:9" x14ac:dyDescent="0.25">
      <c r="A143" s="5">
        <v>141</v>
      </c>
      <c r="B143" s="5">
        <f t="shared" si="7"/>
        <v>34.1</v>
      </c>
      <c r="C143" s="21">
        <f t="shared" si="8"/>
        <v>1.175</v>
      </c>
      <c r="D143" s="16"/>
      <c r="E143" s="19">
        <f>(ADC!I143+5/3)/(1/12)</f>
        <v>32.913175612939476</v>
      </c>
      <c r="F143" s="20">
        <f t="shared" si="6"/>
        <v>3.4804234224648838E-2</v>
      </c>
      <c r="G143" s="2"/>
      <c r="H143" s="2"/>
      <c r="I143" s="19">
        <f>ABS(C143-ADC!I143)</f>
        <v>9.8902032255044237E-2</v>
      </c>
    </row>
    <row r="144" spans="1:9" x14ac:dyDescent="0.25">
      <c r="A144" s="5">
        <v>142</v>
      </c>
      <c r="B144" s="5">
        <f t="shared" si="7"/>
        <v>34.200000000000003</v>
      </c>
      <c r="C144" s="21">
        <f t="shared" si="8"/>
        <v>1.183333</v>
      </c>
      <c r="D144" s="16"/>
      <c r="E144" s="19">
        <f>(ADC!I144+5/3)/(1/12)</f>
        <v>33.016159863508051</v>
      </c>
      <c r="F144" s="20">
        <f t="shared" si="6"/>
        <v>3.4615208669355316E-2</v>
      </c>
      <c r="G144" s="2"/>
      <c r="H144" s="2"/>
      <c r="I144" s="19">
        <f>ABS(C144-ADC!I144)</f>
        <v>9.8653011374328914E-2</v>
      </c>
    </row>
    <row r="145" spans="1:9" x14ac:dyDescent="0.25">
      <c r="A145" s="5">
        <v>143</v>
      </c>
      <c r="B145" s="5">
        <f t="shared" si="7"/>
        <v>34.299999999999997</v>
      </c>
      <c r="C145" s="21">
        <f t="shared" si="8"/>
        <v>1.191667</v>
      </c>
      <c r="D145" s="16"/>
      <c r="E145" s="19">
        <f>(ADC!I145+5/3)/(1/12)</f>
        <v>33.119447896476331</v>
      </c>
      <c r="F145" s="20">
        <f t="shared" si="6"/>
        <v>3.4418428674159375E-2</v>
      </c>
      <c r="G145" s="2"/>
      <c r="H145" s="2"/>
      <c r="I145" s="19">
        <f>ABS(C145-ADC!I145)</f>
        <v>9.8379675293639224E-2</v>
      </c>
    </row>
    <row r="146" spans="1:9" x14ac:dyDescent="0.25">
      <c r="A146" s="5">
        <v>144</v>
      </c>
      <c r="B146" s="5">
        <f t="shared" si="7"/>
        <v>34.4</v>
      </c>
      <c r="C146" s="21">
        <f t="shared" si="8"/>
        <v>1.2</v>
      </c>
      <c r="D146" s="16"/>
      <c r="E146" s="19">
        <f>(ADC!I146+5/3)/(1/12)</f>
        <v>33.223038900390797</v>
      </c>
      <c r="F146" s="20">
        <f t="shared" si="6"/>
        <v>3.4213985453755855E-2</v>
      </c>
      <c r="G146" s="2"/>
      <c r="H146" s="2"/>
      <c r="I146" s="19">
        <f>ABS(C146-ADC!I146)</f>
        <v>9.8080091634100031E-2</v>
      </c>
    </row>
    <row r="147" spans="1:9" x14ac:dyDescent="0.25">
      <c r="A147" s="5">
        <v>145</v>
      </c>
      <c r="B147" s="5">
        <f t="shared" si="7"/>
        <v>34.5</v>
      </c>
      <c r="C147" s="21">
        <f t="shared" si="8"/>
        <v>1.2083330000000001</v>
      </c>
      <c r="D147" s="16"/>
      <c r="E147" s="19">
        <f>(ADC!I147+5/3)/(1/12)</f>
        <v>33.326932059957585</v>
      </c>
      <c r="F147" s="20">
        <f t="shared" si="6"/>
        <v>3.4001969276591743E-2</v>
      </c>
      <c r="G147" s="2"/>
      <c r="H147" s="2"/>
      <c r="I147" s="19">
        <f>ABS(C147-ADC!I147)</f>
        <v>9.7755328336868175E-2</v>
      </c>
    </row>
    <row r="148" spans="1:9" x14ac:dyDescent="0.25">
      <c r="A148" s="5">
        <v>146</v>
      </c>
      <c r="B148" s="5">
        <f t="shared" si="7"/>
        <v>34.6</v>
      </c>
      <c r="C148" s="21">
        <f t="shared" si="8"/>
        <v>1.2166669999999999</v>
      </c>
      <c r="D148" s="16"/>
      <c r="E148" s="19">
        <f>(ADC!I148+5/3)/(1/12)</f>
        <v>33.421034833163461</v>
      </c>
      <c r="F148" s="20">
        <f t="shared" si="6"/>
        <v>3.4074137769842222E-2</v>
      </c>
      <c r="G148" s="2"/>
      <c r="H148" s="2"/>
      <c r="I148" s="19">
        <f>ABS(C148-ADC!I148)</f>
        <v>9.8247430569711414E-2</v>
      </c>
    </row>
    <row r="149" spans="1:9" x14ac:dyDescent="0.25">
      <c r="A149" s="5">
        <v>147</v>
      </c>
      <c r="B149" s="5">
        <f t="shared" si="7"/>
        <v>34.700000000000003</v>
      </c>
      <c r="C149" s="21">
        <f t="shared" si="8"/>
        <v>1.2250000000000001</v>
      </c>
      <c r="D149" s="16"/>
      <c r="E149" s="19">
        <f>(ADC!I149+5/3)/(1/12)</f>
        <v>33.525542108862297</v>
      </c>
      <c r="F149" s="20">
        <f t="shared" si="6"/>
        <v>3.3846048735956945E-2</v>
      </c>
      <c r="G149" s="2"/>
      <c r="H149" s="2"/>
      <c r="I149" s="19">
        <f>ABS(C149-ADC!I149)</f>
        <v>9.7871490928142624E-2</v>
      </c>
    </row>
    <row r="150" spans="1:9" x14ac:dyDescent="0.25">
      <c r="A150" s="5">
        <v>148</v>
      </c>
      <c r="B150" s="5">
        <f t="shared" si="7"/>
        <v>34.799999999999997</v>
      </c>
      <c r="C150" s="21">
        <f t="shared" si="8"/>
        <v>1.233333</v>
      </c>
      <c r="D150" s="16"/>
      <c r="E150" s="19">
        <f>(ADC!I150+5/3)/(1/12)</f>
        <v>33.630349075825549</v>
      </c>
      <c r="F150" s="20">
        <f t="shared" si="6"/>
        <v>3.3610658740645061E-2</v>
      </c>
      <c r="G150" s="2"/>
      <c r="H150" s="2"/>
      <c r="I150" s="19">
        <f>ABS(C150-ADC!I150)</f>
        <v>9.7470577014537652E-2</v>
      </c>
    </row>
    <row r="151" spans="1:9" x14ac:dyDescent="0.25">
      <c r="A151" s="5">
        <v>149</v>
      </c>
      <c r="B151" s="5">
        <f t="shared" si="7"/>
        <v>34.9</v>
      </c>
      <c r="C151" s="21">
        <f t="shared" si="8"/>
        <v>1.2416670000000001</v>
      </c>
      <c r="D151" s="16"/>
      <c r="E151" s="19">
        <f>(ADC!I151+5/3)/(1/12)</f>
        <v>33.725400066375556</v>
      </c>
      <c r="F151" s="20">
        <f t="shared" si="6"/>
        <v>3.3656158556574278E-2</v>
      </c>
      <c r="G151" s="2"/>
      <c r="H151" s="2"/>
      <c r="I151" s="19">
        <f>ABS(C151-ADC!I151)</f>
        <v>9.7883661135370614E-2</v>
      </c>
    </row>
    <row r="152" spans="1:9" x14ac:dyDescent="0.25">
      <c r="A152" s="5">
        <v>150</v>
      </c>
      <c r="B152" s="5">
        <f t="shared" si="7"/>
        <v>35</v>
      </c>
      <c r="C152" s="21">
        <f t="shared" si="8"/>
        <v>1.25</v>
      </c>
      <c r="D152" s="16"/>
      <c r="E152" s="19">
        <f>(ADC!I152+5/3)/(1/12)</f>
        <v>33.830816213013811</v>
      </c>
      <c r="F152" s="20">
        <f t="shared" si="6"/>
        <v>3.3405251056748242E-2</v>
      </c>
      <c r="G152" s="2"/>
      <c r="H152" s="2"/>
      <c r="I152" s="19">
        <f>ABS(C152-ADC!I152)</f>
        <v>9.7431982248849192E-2</v>
      </c>
    </row>
    <row r="153" spans="1:9" x14ac:dyDescent="0.25">
      <c r="A153" s="5">
        <v>151</v>
      </c>
      <c r="B153" s="5">
        <f t="shared" si="7"/>
        <v>35.1</v>
      </c>
      <c r="C153" s="21">
        <f t="shared" si="8"/>
        <v>1.2583329999999999</v>
      </c>
      <c r="D153" s="16"/>
      <c r="E153" s="19">
        <f>(ADC!I153+5/3)/(1/12)</f>
        <v>33.926499370340615</v>
      </c>
      <c r="F153" s="20">
        <f t="shared" si="6"/>
        <v>3.3433066372062295E-2</v>
      </c>
      <c r="G153" s="2"/>
      <c r="H153" s="2"/>
      <c r="I153" s="19">
        <f>ABS(C153-ADC!I153)</f>
        <v>9.7791385804948838E-2</v>
      </c>
    </row>
    <row r="154" spans="1:9" x14ac:dyDescent="0.25">
      <c r="A154" s="5">
        <v>152</v>
      </c>
      <c r="B154" s="5">
        <f t="shared" si="7"/>
        <v>35.200000000000003</v>
      </c>
      <c r="C154" s="21">
        <f t="shared" si="8"/>
        <v>1.266667</v>
      </c>
      <c r="D154" s="16"/>
      <c r="E154" s="19">
        <f>(ADC!I154+5/3)/(1/12)</f>
        <v>34.02250356217769</v>
      </c>
      <c r="F154" s="20">
        <f t="shared" si="6"/>
        <v>3.3451603347224801E-2</v>
      </c>
      <c r="G154" s="2"/>
      <c r="H154" s="2"/>
      <c r="I154" s="19">
        <f>ABS(C154-ADC!I154)</f>
        <v>9.8125036485192663E-2</v>
      </c>
    </row>
    <row r="155" spans="1:9" x14ac:dyDescent="0.25">
      <c r="A155" s="5">
        <v>153</v>
      </c>
      <c r="B155" s="5">
        <f t="shared" si="7"/>
        <v>35.299999999999997</v>
      </c>
      <c r="C155" s="21">
        <f t="shared" si="8"/>
        <v>1.2749999999999999</v>
      </c>
      <c r="D155" s="16"/>
      <c r="E155" s="19">
        <f>(ADC!I155+5/3)/(1/12)</f>
        <v>34.128833376896594</v>
      </c>
      <c r="F155" s="20">
        <f t="shared" si="6"/>
        <v>3.3177524733807452E-2</v>
      </c>
      <c r="G155" s="2"/>
      <c r="H155" s="2"/>
      <c r="I155" s="19">
        <f>ABS(C155-ADC!I155)</f>
        <v>9.7597218591950252E-2</v>
      </c>
    </row>
    <row r="156" spans="1:9" x14ac:dyDescent="0.25">
      <c r="A156" s="5">
        <v>154</v>
      </c>
      <c r="B156" s="5">
        <f t="shared" si="7"/>
        <v>35.4</v>
      </c>
      <c r="C156" s="21">
        <f t="shared" si="8"/>
        <v>1.2833330000000001</v>
      </c>
      <c r="D156" s="16"/>
      <c r="E156" s="19">
        <f>(ADC!I156+5/3)/(1/12)</f>
        <v>34.235457813741483</v>
      </c>
      <c r="F156" s="20">
        <f t="shared" si="6"/>
        <v>3.2896671928206646E-2</v>
      </c>
      <c r="G156" s="2"/>
      <c r="H156" s="2"/>
      <c r="I156" s="19">
        <f>ABS(C156-ADC!I156)</f>
        <v>9.704484885487652E-2</v>
      </c>
    </row>
    <row r="157" spans="1:9" x14ac:dyDescent="0.25">
      <c r="A157" s="5">
        <v>155</v>
      </c>
      <c r="B157" s="5">
        <f t="shared" si="7"/>
        <v>35.5</v>
      </c>
      <c r="C157" s="21">
        <f t="shared" si="8"/>
        <v>1.2916669999999999</v>
      </c>
      <c r="D157" s="16"/>
      <c r="E157" s="19">
        <f>(ADC!I157+5/3)/(1/12)</f>
        <v>34.332395337434235</v>
      </c>
      <c r="F157" s="20">
        <f t="shared" si="6"/>
        <v>3.2890272184951122E-2</v>
      </c>
      <c r="G157" s="2"/>
      <c r="H157" s="2"/>
      <c r="I157" s="19">
        <f>ABS(C157-ADC!I157)</f>
        <v>9.7300721880480889E-2</v>
      </c>
    </row>
    <row r="158" spans="1:9" x14ac:dyDescent="0.25">
      <c r="A158" s="5">
        <v>156</v>
      </c>
      <c r="B158" s="5">
        <f t="shared" si="7"/>
        <v>35.6</v>
      </c>
      <c r="C158" s="21">
        <f t="shared" si="8"/>
        <v>1.3</v>
      </c>
      <c r="D158" s="16"/>
      <c r="E158" s="19">
        <f>(ADC!I158+5/3)/(1/12)</f>
        <v>34.439618793330283</v>
      </c>
      <c r="F158" s="20">
        <f t="shared" si="6"/>
        <v>3.2594977715441537E-2</v>
      </c>
      <c r="G158" s="2"/>
      <c r="H158" s="2"/>
      <c r="I158" s="19">
        <f>ABS(C158-ADC!I158)</f>
        <v>9.6698433889143454E-2</v>
      </c>
    </row>
    <row r="159" spans="1:9" x14ac:dyDescent="0.25">
      <c r="A159" s="5">
        <v>157</v>
      </c>
      <c r="B159" s="5">
        <f t="shared" si="7"/>
        <v>35.700000000000003</v>
      </c>
      <c r="C159" s="21">
        <f t="shared" si="8"/>
        <v>1.308333</v>
      </c>
      <c r="D159" s="16"/>
      <c r="E159" s="19">
        <f>(ADC!I159+5/3)/(1/12)</f>
        <v>34.537178422338137</v>
      </c>
      <c r="F159" s="20">
        <f t="shared" si="6"/>
        <v>3.2572032987727338E-2</v>
      </c>
      <c r="G159" s="2"/>
      <c r="H159" s="2"/>
      <c r="I159" s="19">
        <f>ABS(C159-ADC!I159)</f>
        <v>9.6901464805155602E-2</v>
      </c>
    </row>
    <row r="160" spans="1:9" x14ac:dyDescent="0.25">
      <c r="A160" s="5">
        <v>158</v>
      </c>
      <c r="B160" s="5">
        <f t="shared" si="7"/>
        <v>35.799999999999997</v>
      </c>
      <c r="C160" s="21">
        <f t="shared" si="8"/>
        <v>1.316667</v>
      </c>
      <c r="D160" s="16"/>
      <c r="E160" s="19">
        <f>(ADC!I160+5/3)/(1/12)</f>
        <v>34.644997424866077</v>
      </c>
      <c r="F160" s="20">
        <f t="shared" si="6"/>
        <v>3.2262641763517334E-2</v>
      </c>
      <c r="G160" s="2"/>
      <c r="H160" s="2"/>
      <c r="I160" s="19">
        <f>ABS(C160-ADC!I160)</f>
        <v>9.6250547927827501E-2</v>
      </c>
    </row>
    <row r="161" spans="1:9" x14ac:dyDescent="0.25">
      <c r="A161" s="5">
        <v>159</v>
      </c>
      <c r="B161" s="5">
        <f t="shared" si="7"/>
        <v>35.9</v>
      </c>
      <c r="C161" s="21">
        <f t="shared" si="8"/>
        <v>1.325</v>
      </c>
      <c r="D161" s="16"/>
      <c r="E161" s="19">
        <f>(ADC!I161+5/3)/(1/12)</f>
        <v>34.743175711909473</v>
      </c>
      <c r="F161" s="20">
        <f t="shared" si="6"/>
        <v>3.222351777410936E-2</v>
      </c>
      <c r="G161" s="2"/>
      <c r="H161" s="2"/>
      <c r="I161" s="19">
        <f>ABS(C161-ADC!I161)</f>
        <v>9.6402024007544052E-2</v>
      </c>
    </row>
    <row r="162" spans="1:9" x14ac:dyDescent="0.25">
      <c r="A162" s="5">
        <v>160</v>
      </c>
      <c r="B162" s="5">
        <f t="shared" si="7"/>
        <v>36</v>
      </c>
      <c r="C162" s="21">
        <f t="shared" si="8"/>
        <v>1.3333330000000001</v>
      </c>
      <c r="D162" s="16"/>
      <c r="E162" s="19">
        <f>(ADC!I162+5/3)/(1/12)</f>
        <v>34.851586742909461</v>
      </c>
      <c r="F162" s="20">
        <f t="shared" si="6"/>
        <v>3.1900368252514966E-2</v>
      </c>
      <c r="G162" s="2"/>
      <c r="H162" s="2"/>
      <c r="I162" s="19">
        <f>ABS(C162-ADC!I162)</f>
        <v>9.5700771424211517E-2</v>
      </c>
    </row>
    <row r="163" spans="1:9" x14ac:dyDescent="0.25">
      <c r="A163" s="5">
        <v>161</v>
      </c>
      <c r="B163" s="5">
        <f t="shared" si="7"/>
        <v>36.1</v>
      </c>
      <c r="C163" s="21">
        <f t="shared" si="8"/>
        <v>1.3416669999999999</v>
      </c>
      <c r="D163" s="16"/>
      <c r="E163" s="19">
        <f>(ADC!I163+5/3)/(1/12)</f>
        <v>34.95038019811102</v>
      </c>
      <c r="F163" s="20">
        <f t="shared" si="6"/>
        <v>3.1845423875041037E-2</v>
      </c>
      <c r="G163" s="2"/>
      <c r="H163" s="2"/>
      <c r="I163" s="19">
        <f>ABS(C163-ADC!I163)</f>
        <v>9.5801983490748865E-2</v>
      </c>
    </row>
    <row r="164" spans="1:9" x14ac:dyDescent="0.25">
      <c r="A164" s="5">
        <v>162</v>
      </c>
      <c r="B164" s="5">
        <f t="shared" si="7"/>
        <v>36.200000000000003</v>
      </c>
      <c r="C164" s="21">
        <f t="shared" si="8"/>
        <v>1.35</v>
      </c>
      <c r="D164" s="16"/>
      <c r="E164" s="19">
        <f>(ADC!I164+5/3)/(1/12)</f>
        <v>35.059379700317258</v>
      </c>
      <c r="F164" s="20">
        <f t="shared" si="6"/>
        <v>3.1508848057534379E-2</v>
      </c>
      <c r="G164" s="2"/>
      <c r="H164" s="2"/>
      <c r="I164" s="19">
        <f>ABS(C164-ADC!I164)</f>
        <v>9.5051691640229086E-2</v>
      </c>
    </row>
    <row r="165" spans="1:9" x14ac:dyDescent="0.25">
      <c r="A165" s="5">
        <v>163</v>
      </c>
      <c r="B165" s="5">
        <f t="shared" si="7"/>
        <v>36.299999999999997</v>
      </c>
      <c r="C165" s="21">
        <f t="shared" si="8"/>
        <v>1.358333</v>
      </c>
      <c r="D165" s="16"/>
      <c r="E165" s="19">
        <f>(ADC!I165+5/3)/(1/12)</f>
        <v>35.15878479015403</v>
      </c>
      <c r="F165" s="20">
        <f t="shared" si="6"/>
        <v>3.1438435532946757E-2</v>
      </c>
      <c r="G165" s="2"/>
      <c r="H165" s="2"/>
      <c r="I165" s="19">
        <f>ABS(C165-ADC!I165)</f>
        <v>9.510093415383114E-2</v>
      </c>
    </row>
    <row r="166" spans="1:9" x14ac:dyDescent="0.25">
      <c r="A166" s="5">
        <v>164</v>
      </c>
      <c r="B166" s="5">
        <f t="shared" si="7"/>
        <v>36.400000000000006</v>
      </c>
      <c r="C166" s="21">
        <f t="shared" si="8"/>
        <v>1.3666670000000001</v>
      </c>
      <c r="D166" s="16"/>
      <c r="E166" s="19">
        <f>(ADC!I166+5/3)/(1/12)</f>
        <v>35.268369151133356</v>
      </c>
      <c r="F166" s="20">
        <f t="shared" si="6"/>
        <v>3.1088759584248601E-2</v>
      </c>
      <c r="G166" s="2"/>
      <c r="H166" s="2"/>
      <c r="I166" s="19">
        <f>ABS(C166-ADC!I166)</f>
        <v>9.4302904072220972E-2</v>
      </c>
    </row>
    <row r="167" spans="1:9" x14ac:dyDescent="0.25">
      <c r="A167" s="5">
        <v>165</v>
      </c>
      <c r="B167" s="5">
        <f t="shared" si="7"/>
        <v>36.5</v>
      </c>
      <c r="C167" s="21">
        <f t="shared" si="8"/>
        <v>1.375</v>
      </c>
      <c r="D167" s="16"/>
      <c r="E167" s="19">
        <f>(ADC!I167+5/3)/(1/12)</f>
        <v>35.368382300183058</v>
      </c>
      <c r="F167" s="20">
        <f t="shared" si="6"/>
        <v>3.1003224652518972E-2</v>
      </c>
      <c r="G167" s="2"/>
      <c r="H167" s="2"/>
      <c r="I167" s="19">
        <f>ABS(C167-ADC!I167)</f>
        <v>9.4301474984745726E-2</v>
      </c>
    </row>
    <row r="168" spans="1:9" x14ac:dyDescent="0.25">
      <c r="A168" s="5">
        <v>166</v>
      </c>
      <c r="B168" s="5">
        <f t="shared" si="7"/>
        <v>36.6</v>
      </c>
      <c r="C168" s="21">
        <f t="shared" si="8"/>
        <v>1.3833329999999999</v>
      </c>
      <c r="D168" s="16"/>
      <c r="E168" s="19">
        <f>(ADC!I168+5/3)/(1/12)</f>
        <v>35.468704392949931</v>
      </c>
      <c r="F168" s="20">
        <f t="shared" si="6"/>
        <v>3.0909716039619409E-2</v>
      </c>
      <c r="G168" s="2"/>
      <c r="H168" s="2"/>
      <c r="I168" s="19">
        <f>ABS(C168-ADC!I168)</f>
        <v>9.4274300587505744E-2</v>
      </c>
    </row>
    <row r="169" spans="1:9" x14ac:dyDescent="0.25">
      <c r="A169" s="5">
        <v>167</v>
      </c>
      <c r="B169" s="5">
        <f t="shared" si="7"/>
        <v>36.700000000000003</v>
      </c>
      <c r="C169" s="21">
        <f t="shared" si="8"/>
        <v>1.391667</v>
      </c>
      <c r="D169" s="16"/>
      <c r="E169" s="19">
        <f>(ADC!I169+5/3)/(1/12)</f>
        <v>35.579165465970618</v>
      </c>
      <c r="F169" s="20">
        <f t="shared" si="6"/>
        <v>3.0540450518511838E-2</v>
      </c>
      <c r="G169" s="2"/>
      <c r="H169" s="2"/>
      <c r="I169" s="19">
        <f>ABS(C169-ADC!I169)</f>
        <v>9.3403211169115652E-2</v>
      </c>
    </row>
    <row r="170" spans="1:9" x14ac:dyDescent="0.25">
      <c r="A170" s="5">
        <v>168</v>
      </c>
      <c r="B170" s="5">
        <f t="shared" si="7"/>
        <v>36.799999999999997</v>
      </c>
      <c r="C170" s="21">
        <f t="shared" si="8"/>
        <v>1.4</v>
      </c>
      <c r="D170" s="16"/>
      <c r="E170" s="19">
        <f>(ADC!I170+5/3)/(1/12)</f>
        <v>35.680090181493171</v>
      </c>
      <c r="F170" s="20">
        <f t="shared" si="6"/>
        <v>3.0432332024642027E-2</v>
      </c>
      <c r="G170" s="2"/>
      <c r="H170" s="2"/>
      <c r="I170" s="19">
        <f>ABS(C170-ADC!I170)</f>
        <v>9.3325818208902955E-2</v>
      </c>
    </row>
    <row r="171" spans="1:9" x14ac:dyDescent="0.25">
      <c r="A171" s="5">
        <v>169</v>
      </c>
      <c r="B171" s="5">
        <f t="shared" si="7"/>
        <v>36.900000000000006</v>
      </c>
      <c r="C171" s="21">
        <f t="shared" si="8"/>
        <v>1.4083330000000001</v>
      </c>
      <c r="D171" s="16"/>
      <c r="E171" s="19">
        <f>(ADC!I171+5/3)/(1/12)</f>
        <v>35.781321123376848</v>
      </c>
      <c r="F171" s="20">
        <f t="shared" si="6"/>
        <v>3.031650072149477E-2</v>
      </c>
      <c r="G171" s="2"/>
      <c r="H171" s="2"/>
      <c r="I171" s="19">
        <f>ABS(C171-ADC!I171)</f>
        <v>9.3222906385263204E-2</v>
      </c>
    </row>
    <row r="172" spans="1:9" x14ac:dyDescent="0.25">
      <c r="A172" s="5">
        <v>170</v>
      </c>
      <c r="B172" s="5">
        <f t="shared" si="7"/>
        <v>37</v>
      </c>
      <c r="C172" s="21">
        <f t="shared" si="8"/>
        <v>1.4166669999999999</v>
      </c>
      <c r="D172" s="16"/>
      <c r="E172" s="19">
        <f>(ADC!I172+5/3)/(1/12)</f>
        <v>35.89265058406005</v>
      </c>
      <c r="F172" s="20">
        <f t="shared" si="6"/>
        <v>2.9928362592971627E-2</v>
      </c>
      <c r="G172" s="2"/>
      <c r="H172" s="2"/>
      <c r="I172" s="19">
        <f>ABS(C172-ADC!I172)</f>
        <v>9.2279451328329598E-2</v>
      </c>
    </row>
    <row r="173" spans="1:9" x14ac:dyDescent="0.25">
      <c r="A173" s="5">
        <v>171</v>
      </c>
      <c r="B173" s="5">
        <f t="shared" si="7"/>
        <v>37.1</v>
      </c>
      <c r="C173" s="21">
        <f t="shared" si="8"/>
        <v>1.425</v>
      </c>
      <c r="D173" s="16"/>
      <c r="E173" s="19">
        <f>(ADC!I173+5/3)/(1/12)</f>
        <v>35.994478620586719</v>
      </c>
      <c r="F173" s="20">
        <f t="shared" si="6"/>
        <v>2.9798419930277157E-2</v>
      </c>
      <c r="G173" s="2"/>
      <c r="H173" s="2"/>
      <c r="I173" s="19">
        <f>ABS(C173-ADC!I173)</f>
        <v>9.2126781617773768E-2</v>
      </c>
    </row>
    <row r="174" spans="1:9" x14ac:dyDescent="0.25">
      <c r="A174" s="5">
        <v>172</v>
      </c>
      <c r="B174" s="5">
        <f t="shared" si="7"/>
        <v>37.200000000000003</v>
      </c>
      <c r="C174" s="21">
        <f t="shared" si="8"/>
        <v>1.433333</v>
      </c>
      <c r="D174" s="16"/>
      <c r="E174" s="19">
        <f>(ADC!I174+5/3)/(1/12)</f>
        <v>36.086842103975329</v>
      </c>
      <c r="F174" s="20">
        <f t="shared" si="6"/>
        <v>2.9923599355501991E-2</v>
      </c>
      <c r="G174" s="2"/>
      <c r="H174" s="2"/>
      <c r="I174" s="19">
        <f>ABS(C174-ADC!I174)</f>
        <v>9.2762824668722876E-2</v>
      </c>
    </row>
    <row r="175" spans="1:9" x14ac:dyDescent="0.25">
      <c r="A175" s="5">
        <v>173</v>
      </c>
      <c r="B175" s="5">
        <f t="shared" si="7"/>
        <v>37.299999999999997</v>
      </c>
      <c r="C175" s="21">
        <f t="shared" si="8"/>
        <v>1.441667</v>
      </c>
      <c r="D175" s="16"/>
      <c r="E175" s="19">
        <f>(ADC!I175+5/3)/(1/12)</f>
        <v>36.189288734815406</v>
      </c>
      <c r="F175" s="20">
        <f t="shared" si="6"/>
        <v>2.9777781908434078E-2</v>
      </c>
      <c r="G175" s="2"/>
      <c r="H175" s="2"/>
      <c r="I175" s="19">
        <f>ABS(C175-ADC!I175)</f>
        <v>9.2559605432050107E-2</v>
      </c>
    </row>
    <row r="176" spans="1:9" x14ac:dyDescent="0.25">
      <c r="A176" s="5">
        <v>174</v>
      </c>
      <c r="B176" s="5">
        <f t="shared" si="7"/>
        <v>37.400000000000006</v>
      </c>
      <c r="C176" s="21">
        <f t="shared" si="8"/>
        <v>1.45</v>
      </c>
      <c r="D176" s="16"/>
      <c r="E176" s="19">
        <f>(ADC!I176+5/3)/(1/12)</f>
        <v>36.301779694810591</v>
      </c>
      <c r="F176" s="20">
        <f t="shared" si="6"/>
        <v>2.9364179283139422E-2</v>
      </c>
      <c r="G176" s="2"/>
      <c r="H176" s="2"/>
      <c r="I176" s="19">
        <f>ABS(C176-ADC!I176)</f>
        <v>9.1518358765784402E-2</v>
      </c>
    </row>
    <row r="177" spans="1:9" x14ac:dyDescent="0.25">
      <c r="A177" s="5">
        <v>175</v>
      </c>
      <c r="B177" s="5">
        <f t="shared" si="7"/>
        <v>37.5</v>
      </c>
      <c r="C177" s="21">
        <f t="shared" si="8"/>
        <v>1.4583330000000001</v>
      </c>
      <c r="D177" s="16"/>
      <c r="E177" s="19">
        <f>(ADC!I177+5/3)/(1/12)</f>
        <v>36.404815924127753</v>
      </c>
      <c r="F177" s="20">
        <f t="shared" si="6"/>
        <v>2.9204908689926583E-2</v>
      </c>
      <c r="G177" s="2"/>
      <c r="H177" s="2"/>
      <c r="I177" s="19">
        <f>ABS(C177-ADC!I177)</f>
        <v>9.1265006322687858E-2</v>
      </c>
    </row>
    <row r="178" spans="1:9" x14ac:dyDescent="0.25">
      <c r="A178" s="5">
        <v>176</v>
      </c>
      <c r="B178" s="5">
        <f t="shared" si="7"/>
        <v>37.6</v>
      </c>
      <c r="C178" s="21">
        <f t="shared" si="8"/>
        <v>1.4666669999999999</v>
      </c>
      <c r="D178" s="16"/>
      <c r="E178" s="19">
        <f>(ADC!I178+5/3)/(1/12)</f>
        <v>36.508151853612929</v>
      </c>
      <c r="F178" s="20">
        <f t="shared" si="6"/>
        <v>2.9038514531571063E-2</v>
      </c>
      <c r="G178" s="2"/>
      <c r="H178" s="2"/>
      <c r="I178" s="19">
        <f>ABS(C178-ADC!I178)</f>
        <v>9.0987678865589006E-2</v>
      </c>
    </row>
    <row r="179" spans="1:9" x14ac:dyDescent="0.25">
      <c r="A179" s="5">
        <v>177</v>
      </c>
      <c r="B179" s="5">
        <f t="shared" si="7"/>
        <v>37.700000000000003</v>
      </c>
      <c r="C179" s="21">
        <f t="shared" si="8"/>
        <v>1.4750000000000001</v>
      </c>
      <c r="D179" s="16"/>
      <c r="E179" s="19">
        <f>(ADC!I179+5/3)/(1/12)</f>
        <v>36.611786524815848</v>
      </c>
      <c r="F179" s="20">
        <f t="shared" si="6"/>
        <v>2.8865078917351582E-2</v>
      </c>
      <c r="G179" s="2"/>
      <c r="H179" s="2"/>
      <c r="I179" s="19">
        <f>ABS(C179-ADC!I179)</f>
        <v>9.0684456265345936E-2</v>
      </c>
    </row>
    <row r="180" spans="1:9" x14ac:dyDescent="0.25">
      <c r="A180" s="5">
        <v>178</v>
      </c>
      <c r="B180" s="5">
        <f t="shared" si="7"/>
        <v>37.799999999999997</v>
      </c>
      <c r="C180" s="21">
        <f t="shared" si="8"/>
        <v>1.483333</v>
      </c>
      <c r="D180" s="16"/>
      <c r="E180" s="19">
        <f>(ADC!I180+5/3)/(1/12)</f>
        <v>36.725411087624252</v>
      </c>
      <c r="F180" s="20">
        <f t="shared" si="6"/>
        <v>2.8428278105178444E-2</v>
      </c>
      <c r="G180" s="2"/>
      <c r="H180" s="2"/>
      <c r="I180" s="19">
        <f>ABS(C180-ADC!I180)</f>
        <v>8.95487426979793E-2</v>
      </c>
    </row>
    <row r="181" spans="1:9" x14ac:dyDescent="0.25">
      <c r="A181" s="5">
        <v>179</v>
      </c>
      <c r="B181" s="5">
        <f t="shared" si="7"/>
        <v>37.900000000000006</v>
      </c>
      <c r="C181" s="21">
        <f t="shared" si="8"/>
        <v>1.4916670000000001</v>
      </c>
      <c r="D181" s="16"/>
      <c r="E181" s="19">
        <f>(ADC!I181+5/3)/(1/12)</f>
        <v>36.82962768009736</v>
      </c>
      <c r="F181" s="20">
        <f t="shared" si="6"/>
        <v>2.8242013717747899E-2</v>
      </c>
      <c r="G181" s="2"/>
      <c r="H181" s="2"/>
      <c r="I181" s="19">
        <f>ABS(C181-ADC!I181)</f>
        <v>8.9198026658553697E-2</v>
      </c>
    </row>
    <row r="182" spans="1:9" x14ac:dyDescent="0.25">
      <c r="A182" s="5">
        <v>180</v>
      </c>
      <c r="B182" s="5">
        <f t="shared" si="7"/>
        <v>38</v>
      </c>
      <c r="C182" s="21">
        <f t="shared" si="8"/>
        <v>1.5</v>
      </c>
      <c r="D182" s="16"/>
      <c r="E182" s="19">
        <f>(ADC!I182+5/3)/(1/12)</f>
        <v>36.93414012322399</v>
      </c>
      <c r="F182" s="20">
        <f t="shared" si="6"/>
        <v>2.8048944125684466E-2</v>
      </c>
      <c r="G182" s="2"/>
      <c r="H182" s="2"/>
      <c r="I182" s="19">
        <f>ABS(C182-ADC!I182)</f>
        <v>8.8821656398001103E-2</v>
      </c>
    </row>
    <row r="183" spans="1:9" x14ac:dyDescent="0.25">
      <c r="A183" s="5">
        <v>181</v>
      </c>
      <c r="B183" s="5">
        <f t="shared" si="7"/>
        <v>38.1</v>
      </c>
      <c r="C183" s="21">
        <f t="shared" si="8"/>
        <v>1.5083329999999999</v>
      </c>
      <c r="D183" s="16"/>
      <c r="E183" s="19">
        <f>(ADC!I183+5/3)/(1/12)</f>
        <v>37.038947437952999</v>
      </c>
      <c r="F183" s="20">
        <f t="shared" si="6"/>
        <v>2.7849148610157554E-2</v>
      </c>
      <c r="G183" s="2"/>
      <c r="H183" s="2"/>
      <c r="I183" s="19">
        <f>ABS(C183-ADC!I183)</f>
        <v>8.8420713503916559E-2</v>
      </c>
    </row>
    <row r="184" spans="1:9" x14ac:dyDescent="0.25">
      <c r="A184" s="5">
        <v>182</v>
      </c>
      <c r="B184" s="5">
        <f t="shared" si="7"/>
        <v>38.200000000000003</v>
      </c>
      <c r="C184" s="21">
        <f t="shared" si="8"/>
        <v>1.516667</v>
      </c>
      <c r="D184" s="16"/>
      <c r="E184" s="19">
        <f>(ADC!I184+5/3)/(1/12)</f>
        <v>37.15368995342061</v>
      </c>
      <c r="F184" s="20">
        <f t="shared" si="6"/>
        <v>2.7390315355481486E-2</v>
      </c>
      <c r="G184" s="2"/>
      <c r="H184" s="2"/>
      <c r="I184" s="19">
        <f>ABS(C184-ADC!I184)</f>
        <v>8.7192837214949748E-2</v>
      </c>
    </row>
    <row r="185" spans="1:9" x14ac:dyDescent="0.25">
      <c r="A185" s="5">
        <v>183</v>
      </c>
      <c r="B185" s="5">
        <f t="shared" si="7"/>
        <v>38.299999999999997</v>
      </c>
      <c r="C185" s="21">
        <f t="shared" si="8"/>
        <v>1.5249999999999999</v>
      </c>
      <c r="D185" s="16"/>
      <c r="E185" s="19">
        <f>(ADC!I185+5/3)/(1/12)</f>
        <v>37.259071352122149</v>
      </c>
      <c r="F185" s="20">
        <f t="shared" si="6"/>
        <v>2.7178293678272805E-2</v>
      </c>
      <c r="G185" s="2"/>
      <c r="H185" s="2"/>
      <c r="I185" s="19">
        <f>ABS(C185-ADC!I185)</f>
        <v>8.6744053989821435E-2</v>
      </c>
    </row>
    <row r="186" spans="1:9" x14ac:dyDescent="0.25">
      <c r="A186" s="5">
        <v>184</v>
      </c>
      <c r="B186" s="5">
        <f t="shared" si="7"/>
        <v>38.400000000000006</v>
      </c>
      <c r="C186" s="21">
        <f t="shared" si="8"/>
        <v>1.5333330000000001</v>
      </c>
      <c r="D186" s="16"/>
      <c r="E186" s="19">
        <f>(ADC!I186+5/3)/(1/12)</f>
        <v>37.364744664322892</v>
      </c>
      <c r="F186" s="20">
        <f t="shared" si="6"/>
        <v>2.6959774366591506E-2</v>
      </c>
      <c r="G186" s="2"/>
      <c r="H186" s="2"/>
      <c r="I186" s="19">
        <f>ABS(C186-ADC!I186)</f>
        <v>8.6270944639758929E-2</v>
      </c>
    </row>
    <row r="187" spans="1:9" x14ac:dyDescent="0.25">
      <c r="A187" s="5">
        <v>185</v>
      </c>
      <c r="B187" s="5">
        <f t="shared" si="7"/>
        <v>38.5</v>
      </c>
      <c r="C187" s="21">
        <f t="shared" si="8"/>
        <v>1.5416669999999999</v>
      </c>
      <c r="D187" s="16"/>
      <c r="E187" s="19">
        <f>(ADC!I187+5/3)/(1/12)</f>
        <v>37.470708907479825</v>
      </c>
      <c r="F187" s="20">
        <f t="shared" si="6"/>
        <v>2.6734833571952603E-2</v>
      </c>
      <c r="G187" s="2"/>
      <c r="H187" s="2"/>
      <c r="I187" s="19">
        <f>ABS(C187-ADC!I187)</f>
        <v>8.5774591043348059E-2</v>
      </c>
    </row>
    <row r="188" spans="1:9" x14ac:dyDescent="0.25">
      <c r="A188" s="5">
        <v>186</v>
      </c>
      <c r="B188" s="5">
        <f t="shared" si="7"/>
        <v>38.6</v>
      </c>
      <c r="C188" s="21">
        <f t="shared" si="8"/>
        <v>1.55</v>
      </c>
      <c r="D188" s="16"/>
      <c r="E188" s="19">
        <f>(ADC!I188+5/3)/(1/12)</f>
        <v>37.576963076005718</v>
      </c>
      <c r="F188" s="20">
        <f t="shared" si="6"/>
        <v>2.6503547253737905E-2</v>
      </c>
      <c r="G188" s="2"/>
      <c r="H188" s="2"/>
      <c r="I188" s="19">
        <f>ABS(C188-ADC!I188)</f>
        <v>8.5253076999523891E-2</v>
      </c>
    </row>
    <row r="189" spans="1:9" x14ac:dyDescent="0.25">
      <c r="A189" s="5">
        <v>187</v>
      </c>
      <c r="B189" s="5">
        <f t="shared" si="7"/>
        <v>38.700000000000003</v>
      </c>
      <c r="C189" s="21">
        <f t="shared" si="8"/>
        <v>1.558333</v>
      </c>
      <c r="D189" s="16"/>
      <c r="E189" s="19">
        <f>(ADC!I189+5/3)/(1/12)</f>
        <v>37.673928648257409</v>
      </c>
      <c r="F189" s="20">
        <f t="shared" si="6"/>
        <v>2.6513471621255658E-2</v>
      </c>
      <c r="G189" s="2"/>
      <c r="H189" s="2"/>
      <c r="I189" s="19">
        <f>ABS(C189-ADC!I189)</f>
        <v>8.5505612645216056E-2</v>
      </c>
    </row>
    <row r="190" spans="1:9" x14ac:dyDescent="0.25">
      <c r="A190" s="5">
        <v>188</v>
      </c>
      <c r="B190" s="5">
        <f t="shared" si="7"/>
        <v>38.799999999999997</v>
      </c>
      <c r="C190" s="21">
        <f t="shared" si="8"/>
        <v>1.566667</v>
      </c>
      <c r="D190" s="16"/>
      <c r="E190" s="19">
        <f>(ADC!I190+5/3)/(1/12)</f>
        <v>37.780772446161158</v>
      </c>
      <c r="F190" s="20">
        <f t="shared" si="6"/>
        <v>2.6268751387598935E-2</v>
      </c>
      <c r="G190" s="2"/>
      <c r="H190" s="2"/>
      <c r="I190" s="19">
        <f>ABS(C190-ADC!I190)</f>
        <v>8.4935962819903787E-2</v>
      </c>
    </row>
    <row r="191" spans="1:9" x14ac:dyDescent="0.25">
      <c r="A191" s="5">
        <v>189</v>
      </c>
      <c r="B191" s="5">
        <f t="shared" si="7"/>
        <v>38.900000000000006</v>
      </c>
      <c r="C191" s="21">
        <f t="shared" si="8"/>
        <v>1.575</v>
      </c>
      <c r="D191" s="16"/>
      <c r="E191" s="19">
        <f>(ADC!I191+5/3)/(1/12)</f>
        <v>37.887903165066248</v>
      </c>
      <c r="F191" s="20">
        <f t="shared" si="6"/>
        <v>2.6017913494441058E-2</v>
      </c>
      <c r="G191" s="2"/>
      <c r="H191" s="2"/>
      <c r="I191" s="19">
        <f>ABS(C191-ADC!I191)</f>
        <v>8.434140291114578E-2</v>
      </c>
    </row>
    <row r="192" spans="1:9" x14ac:dyDescent="0.25">
      <c r="A192" s="5">
        <v>190</v>
      </c>
      <c r="B192" s="5">
        <f t="shared" si="7"/>
        <v>39</v>
      </c>
      <c r="C192" s="21">
        <f t="shared" si="8"/>
        <v>1.5833330000000001</v>
      </c>
      <c r="D192" s="16"/>
      <c r="E192" s="19">
        <f>(ADC!I192+5/3)/(1/12)</f>
        <v>37.995319785418943</v>
      </c>
      <c r="F192" s="20">
        <f t="shared" si="6"/>
        <v>2.5761031143104036E-2</v>
      </c>
      <c r="G192" s="2"/>
      <c r="H192" s="2"/>
      <c r="I192" s="19">
        <f>ABS(C192-ADC!I192)</f>
        <v>8.3723017881755402E-2</v>
      </c>
    </row>
    <row r="193" spans="1:9" x14ac:dyDescent="0.25">
      <c r="A193" s="5">
        <v>191</v>
      </c>
      <c r="B193" s="5">
        <f t="shared" si="7"/>
        <v>39.1</v>
      </c>
      <c r="C193" s="21">
        <f t="shared" si="8"/>
        <v>1.5916669999999999</v>
      </c>
      <c r="D193" s="16"/>
      <c r="E193" s="19">
        <f>(ADC!I193+5/3)/(1/12)</f>
        <v>38.103021283475201</v>
      </c>
      <c r="F193" s="20">
        <f t="shared" si="6"/>
        <v>2.5498176893217411E-2</v>
      </c>
      <c r="G193" s="2"/>
      <c r="H193" s="2"/>
      <c r="I193" s="19">
        <f>ABS(C193-ADC!I193)</f>
        <v>8.308189304373359E-2</v>
      </c>
    </row>
    <row r="194" spans="1:9" x14ac:dyDescent="0.25">
      <c r="A194" s="5">
        <v>192</v>
      </c>
      <c r="B194" s="5">
        <f t="shared" si="7"/>
        <v>39.200000000000003</v>
      </c>
      <c r="C194" s="21">
        <f t="shared" si="8"/>
        <v>1.6</v>
      </c>
      <c r="D194" s="16"/>
      <c r="E194" s="19">
        <f>(ADC!I194+5/3)/(1/12)</f>
        <v>38.201493156330642</v>
      </c>
      <c r="F194" s="20">
        <f t="shared" ref="F194:F257" si="9">ABS(B194-E194)/B194</f>
        <v>2.5472113358912266E-2</v>
      </c>
      <c r="G194" s="2"/>
      <c r="H194" s="2"/>
      <c r="I194" s="19">
        <f>ABS(C194-ADC!I194)</f>
        <v>8.3208903639113485E-2</v>
      </c>
    </row>
    <row r="195" spans="1:9" x14ac:dyDescent="0.25">
      <c r="A195" s="5">
        <v>193</v>
      </c>
      <c r="B195" s="5">
        <f t="shared" ref="B195:B258" si="10">0.1*A195+20</f>
        <v>39.299999999999997</v>
      </c>
      <c r="C195" s="21">
        <f t="shared" ref="C195:C258" si="11">ROUND(1/12*B195-5/3,6)</f>
        <v>1.608333</v>
      </c>
      <c r="D195" s="16"/>
      <c r="E195" s="19">
        <f>(ADC!I195+5/3)/(1/12)</f>
        <v>38.309774162770864</v>
      </c>
      <c r="F195" s="20">
        <f t="shared" si="9"/>
        <v>2.519658618903646E-2</v>
      </c>
      <c r="G195" s="2"/>
      <c r="H195" s="2"/>
      <c r="I195" s="19">
        <f>ABS(C195-ADC!I195)</f>
        <v>8.251848643576154E-2</v>
      </c>
    </row>
    <row r="196" spans="1:9" x14ac:dyDescent="0.25">
      <c r="A196" s="5">
        <v>194</v>
      </c>
      <c r="B196" s="5">
        <f t="shared" si="10"/>
        <v>39.400000000000006</v>
      </c>
      <c r="C196" s="21">
        <f t="shared" si="11"/>
        <v>1.6166670000000001</v>
      </c>
      <c r="D196" s="16"/>
      <c r="E196" s="19">
        <f>(ADC!I196+5/3)/(1/12)</f>
        <v>38.408849183696724</v>
      </c>
      <c r="F196" s="20">
        <f t="shared" si="9"/>
        <v>2.5156112088915786E-2</v>
      </c>
      <c r="G196" s="2"/>
      <c r="H196" s="2"/>
      <c r="I196" s="19">
        <f>ABS(C196-ADC!I196)</f>
        <v>8.2596234691939996E-2</v>
      </c>
    </row>
    <row r="197" spans="1:9" x14ac:dyDescent="0.25">
      <c r="A197" s="5">
        <v>195</v>
      </c>
      <c r="B197" s="5">
        <f t="shared" si="10"/>
        <v>39.5</v>
      </c>
      <c r="C197" s="21">
        <f t="shared" si="11"/>
        <v>1.625</v>
      </c>
      <c r="D197" s="16"/>
      <c r="E197" s="19">
        <f>(ADC!I197+5/3)/(1/12)</f>
        <v>38.517705593943077</v>
      </c>
      <c r="F197" s="20">
        <f t="shared" si="9"/>
        <v>2.4868212811567664E-2</v>
      </c>
      <c r="G197" s="2"/>
      <c r="H197" s="2"/>
      <c r="I197" s="19">
        <f>ABS(C197-ADC!I197)</f>
        <v>8.1857867171410525E-2</v>
      </c>
    </row>
    <row r="198" spans="1:9" x14ac:dyDescent="0.25">
      <c r="A198" s="5">
        <v>196</v>
      </c>
      <c r="B198" s="5">
        <f t="shared" si="10"/>
        <v>39.6</v>
      </c>
      <c r="C198" s="21">
        <f t="shared" si="11"/>
        <v>1.6333329999999999</v>
      </c>
      <c r="D198" s="16"/>
      <c r="E198" s="19">
        <f>(ADC!I198+5/3)/(1/12)</f>
        <v>38.626841717782327</v>
      </c>
      <c r="F198" s="20">
        <f t="shared" si="9"/>
        <v>2.4574704096405928E-2</v>
      </c>
      <c r="G198" s="2"/>
      <c r="H198" s="2"/>
      <c r="I198" s="19">
        <f>ABS(C198-ADC!I198)</f>
        <v>8.1096190184806405E-2</v>
      </c>
    </row>
    <row r="199" spans="1:9" x14ac:dyDescent="0.25">
      <c r="A199" s="5">
        <v>197</v>
      </c>
      <c r="B199" s="5">
        <f t="shared" si="10"/>
        <v>39.700000000000003</v>
      </c>
      <c r="C199" s="21">
        <f t="shared" si="11"/>
        <v>1.641667</v>
      </c>
      <c r="D199" s="16"/>
      <c r="E199" s="19">
        <f>(ADC!I199+5/3)/(1/12)</f>
        <v>38.736256514710441</v>
      </c>
      <c r="F199" s="20">
        <f t="shared" si="9"/>
        <v>2.4275654541298798E-2</v>
      </c>
      <c r="G199" s="2"/>
      <c r="H199" s="2"/>
      <c r="I199" s="19">
        <f>ABS(C199-ADC!I199)</f>
        <v>8.0312290440797129E-2</v>
      </c>
    </row>
    <row r="200" spans="1:9" x14ac:dyDescent="0.25">
      <c r="A200" s="5">
        <v>198</v>
      </c>
      <c r="B200" s="5">
        <f t="shared" si="10"/>
        <v>39.799999999999997</v>
      </c>
      <c r="C200" s="21">
        <f t="shared" si="11"/>
        <v>1.65</v>
      </c>
      <c r="D200" s="16"/>
      <c r="E200" s="19">
        <f>(ADC!I200+5/3)/(1/12)</f>
        <v>38.836512634302714</v>
      </c>
      <c r="F200" s="20">
        <f t="shared" si="9"/>
        <v>2.4208225268775953E-2</v>
      </c>
      <c r="G200" s="2"/>
      <c r="H200" s="2"/>
      <c r="I200" s="19">
        <f>ABS(C200-ADC!I200)</f>
        <v>8.0290613808107203E-2</v>
      </c>
    </row>
    <row r="201" spans="1:9" x14ac:dyDescent="0.25">
      <c r="A201" s="5">
        <v>199</v>
      </c>
      <c r="B201" s="5">
        <f t="shared" si="10"/>
        <v>39.900000000000006</v>
      </c>
      <c r="C201" s="21">
        <f t="shared" si="11"/>
        <v>1.6583330000000001</v>
      </c>
      <c r="D201" s="16"/>
      <c r="E201" s="19">
        <f>(ADC!I201+5/3)/(1/12)</f>
        <v>38.946494484296174</v>
      </c>
      <c r="F201" s="20">
        <f t="shared" si="9"/>
        <v>2.3897381345960686E-2</v>
      </c>
      <c r="G201" s="2"/>
      <c r="H201" s="2"/>
      <c r="I201" s="19">
        <f>ABS(C201-ADC!I201)</f>
        <v>7.9458459641985391E-2</v>
      </c>
    </row>
    <row r="202" spans="1:9" x14ac:dyDescent="0.25">
      <c r="A202" s="5">
        <v>200</v>
      </c>
      <c r="B202" s="5">
        <f t="shared" si="10"/>
        <v>40</v>
      </c>
      <c r="C202" s="21">
        <f t="shared" si="11"/>
        <v>1.6666669999999999</v>
      </c>
      <c r="D202" s="16"/>
      <c r="E202" s="19">
        <f>(ADC!I202+5/3)/(1/12)</f>
        <v>39.056751839952597</v>
      </c>
      <c r="F202" s="20">
        <f t="shared" si="9"/>
        <v>2.3581204001185085E-2</v>
      </c>
      <c r="G202" s="2"/>
      <c r="H202" s="2"/>
      <c r="I202" s="19">
        <f>ABS(C202-ADC!I202)</f>
        <v>7.8604346670616998E-2</v>
      </c>
    </row>
    <row r="203" spans="1:9" x14ac:dyDescent="0.25">
      <c r="A203" s="5">
        <v>201</v>
      </c>
      <c r="B203" s="5">
        <f t="shared" si="10"/>
        <v>40.1</v>
      </c>
      <c r="C203" s="21">
        <f t="shared" si="11"/>
        <v>1.675</v>
      </c>
      <c r="D203" s="16"/>
      <c r="E203" s="19">
        <f>(ADC!I203+5/3)/(1/12)</f>
        <v>39.157886049380949</v>
      </c>
      <c r="F203" s="20">
        <f t="shared" si="9"/>
        <v>2.349411348177189E-2</v>
      </c>
      <c r="G203" s="2"/>
      <c r="H203" s="2"/>
      <c r="I203" s="19">
        <f>ABS(C203-ADC!I203)</f>
        <v>7.8509495884921066E-2</v>
      </c>
    </row>
    <row r="204" spans="1:9" x14ac:dyDescent="0.25">
      <c r="A204" s="5">
        <v>202</v>
      </c>
      <c r="B204" s="5">
        <f t="shared" si="10"/>
        <v>40.200000000000003</v>
      </c>
      <c r="C204" s="21">
        <f t="shared" si="11"/>
        <v>1.683333</v>
      </c>
      <c r="D204" s="16"/>
      <c r="E204" s="19">
        <f>(ADC!I204+5/3)/(1/12)</f>
        <v>39.2687041077129</v>
      </c>
      <c r="F204" s="20">
        <f t="shared" si="9"/>
        <v>2.3166564484753811E-2</v>
      </c>
      <c r="G204" s="2"/>
      <c r="H204" s="2"/>
      <c r="I204" s="19">
        <f>ABS(C204-ADC!I204)</f>
        <v>7.7607657690592191E-2</v>
      </c>
    </row>
    <row r="205" spans="1:9" x14ac:dyDescent="0.25">
      <c r="A205" s="5">
        <v>203</v>
      </c>
      <c r="B205" s="5">
        <f t="shared" si="10"/>
        <v>40.299999999999997</v>
      </c>
      <c r="C205" s="21">
        <f t="shared" si="11"/>
        <v>1.691667</v>
      </c>
      <c r="D205" s="16"/>
      <c r="E205" s="19">
        <f>(ADC!I205+5/3)/(1/12)</f>
        <v>39.379794458541348</v>
      </c>
      <c r="F205" s="20">
        <f t="shared" si="9"/>
        <v>2.283388440344044E-2</v>
      </c>
      <c r="G205" s="2"/>
      <c r="H205" s="2"/>
      <c r="I205" s="19">
        <f>ABS(C205-ADC!I205)</f>
        <v>7.6684128454888034E-2</v>
      </c>
    </row>
    <row r="206" spans="1:9" x14ac:dyDescent="0.25">
      <c r="A206" s="5">
        <v>204</v>
      </c>
      <c r="B206" s="5">
        <f t="shared" si="10"/>
        <v>40.400000000000006</v>
      </c>
      <c r="C206" s="21">
        <f t="shared" si="11"/>
        <v>1.7</v>
      </c>
      <c r="D206" s="16"/>
      <c r="E206" s="19">
        <f>(ADC!I206+5/3)/(1/12)</f>
        <v>39.481797233006574</v>
      </c>
      <c r="F206" s="20">
        <f t="shared" si="9"/>
        <v>2.2727791262213644E-2</v>
      </c>
      <c r="G206" s="2"/>
      <c r="H206" s="2"/>
      <c r="I206" s="19">
        <f>ABS(C206-ADC!I206)</f>
        <v>7.651689724945232E-2</v>
      </c>
    </row>
    <row r="207" spans="1:9" x14ac:dyDescent="0.25">
      <c r="A207" s="5">
        <v>205</v>
      </c>
      <c r="B207" s="5">
        <f t="shared" si="10"/>
        <v>40.5</v>
      </c>
      <c r="C207" s="21">
        <f t="shared" si="11"/>
        <v>1.7083330000000001</v>
      </c>
      <c r="D207" s="16"/>
      <c r="E207" s="19">
        <f>(ADC!I207+5/3)/(1/12)</f>
        <v>39.593441858432023</v>
      </c>
      <c r="F207" s="20">
        <f t="shared" si="9"/>
        <v>2.238415164365376E-2</v>
      </c>
      <c r="G207" s="2"/>
      <c r="H207" s="2"/>
      <c r="I207" s="19">
        <f>ABS(C207-ADC!I207)</f>
        <v>7.5546178463998359E-2</v>
      </c>
    </row>
    <row r="208" spans="1:9" x14ac:dyDescent="0.25">
      <c r="A208" s="5">
        <v>206</v>
      </c>
      <c r="B208" s="5">
        <f t="shared" si="10"/>
        <v>40.6</v>
      </c>
      <c r="C208" s="21">
        <f t="shared" si="11"/>
        <v>1.7166669999999999</v>
      </c>
      <c r="D208" s="16"/>
      <c r="E208" s="19">
        <f>(ADC!I208+5/3)/(1/12)</f>
        <v>39.696022652976808</v>
      </c>
      <c r="F208" s="20">
        <f t="shared" si="9"/>
        <v>2.2265451897122993E-2</v>
      </c>
      <c r="G208" s="2"/>
      <c r="H208" s="2"/>
      <c r="I208" s="19">
        <f>ABS(C208-ADC!I208)</f>
        <v>7.5331778918599879E-2</v>
      </c>
    </row>
    <row r="209" spans="1:9" x14ac:dyDescent="0.25">
      <c r="A209" s="5">
        <v>207</v>
      </c>
      <c r="B209" s="5">
        <f t="shared" si="10"/>
        <v>40.700000000000003</v>
      </c>
      <c r="C209" s="21">
        <f t="shared" si="11"/>
        <v>1.7250000000000001</v>
      </c>
      <c r="D209" s="16"/>
      <c r="E209" s="19">
        <f>(ADC!I209+5/3)/(1/12)</f>
        <v>39.808217221989715</v>
      </c>
      <c r="F209" s="20">
        <f t="shared" si="9"/>
        <v>2.1911124766837549E-2</v>
      </c>
      <c r="G209" s="2"/>
      <c r="H209" s="2"/>
      <c r="I209" s="19">
        <f>ABS(C209-ADC!I209)</f>
        <v>7.431523150085706E-2</v>
      </c>
    </row>
    <row r="210" spans="1:9" x14ac:dyDescent="0.25">
      <c r="A210" s="5">
        <v>208</v>
      </c>
      <c r="B210" s="5">
        <f t="shared" si="10"/>
        <v>40.799999999999997</v>
      </c>
      <c r="C210" s="21">
        <f t="shared" si="11"/>
        <v>1.733333</v>
      </c>
      <c r="D210" s="16"/>
      <c r="E210" s="19">
        <f>(ADC!I210+5/3)/(1/12)</f>
        <v>39.911371720967601</v>
      </c>
      <c r="F210" s="20">
        <f t="shared" si="9"/>
        <v>2.1780104878245003E-2</v>
      </c>
      <c r="G210" s="2"/>
      <c r="H210" s="2"/>
      <c r="I210" s="19">
        <f>ABS(C210-ADC!I210)</f>
        <v>7.4052023252699772E-2</v>
      </c>
    </row>
    <row r="211" spans="1:9" x14ac:dyDescent="0.25">
      <c r="A211" s="5">
        <v>209</v>
      </c>
      <c r="B211" s="5">
        <f t="shared" si="10"/>
        <v>40.900000000000006</v>
      </c>
      <c r="C211" s="21">
        <f t="shared" si="11"/>
        <v>1.7416670000000001</v>
      </c>
      <c r="D211" s="16"/>
      <c r="E211" s="19">
        <f>(ADC!I211+5/3)/(1/12)</f>
        <v>40.024111873577979</v>
      </c>
      <c r="F211" s="20">
        <f t="shared" si="9"/>
        <v>2.1415357614230471E-2</v>
      </c>
      <c r="G211" s="2"/>
      <c r="H211" s="2"/>
      <c r="I211" s="19">
        <f>ABS(C211-ADC!I211)</f>
        <v>7.2991010535168765E-2</v>
      </c>
    </row>
    <row r="212" spans="1:9" x14ac:dyDescent="0.25">
      <c r="A212" s="5">
        <v>210</v>
      </c>
      <c r="B212" s="5">
        <f t="shared" si="10"/>
        <v>41</v>
      </c>
      <c r="C212" s="21">
        <f t="shared" si="11"/>
        <v>1.75</v>
      </c>
      <c r="D212" s="16"/>
      <c r="E212" s="19">
        <f>(ADC!I212+5/3)/(1/12)</f>
        <v>40.127835726775466</v>
      </c>
      <c r="F212" s="20">
        <f t="shared" si="9"/>
        <v>2.127229934693986E-2</v>
      </c>
      <c r="G212" s="2"/>
      <c r="H212" s="2"/>
      <c r="I212" s="19">
        <f>ABS(C212-ADC!I212)</f>
        <v>7.2680356102044374E-2</v>
      </c>
    </row>
    <row r="213" spans="1:9" x14ac:dyDescent="0.25">
      <c r="A213" s="5">
        <v>211</v>
      </c>
      <c r="B213" s="5">
        <f t="shared" si="10"/>
        <v>41.1</v>
      </c>
      <c r="C213" s="21">
        <f t="shared" si="11"/>
        <v>1.7583329999999999</v>
      </c>
      <c r="D213" s="16"/>
      <c r="E213" s="19">
        <f>(ADC!I213+5/3)/(1/12)</f>
        <v>40.241117064760132</v>
      </c>
      <c r="F213" s="20">
        <f t="shared" si="9"/>
        <v>2.0897395018001679E-2</v>
      </c>
      <c r="G213" s="2"/>
      <c r="H213" s="2"/>
      <c r="I213" s="19">
        <f>ABS(C213-ADC!I213)</f>
        <v>7.1573244603322372E-2</v>
      </c>
    </row>
    <row r="214" spans="1:9" x14ac:dyDescent="0.25">
      <c r="A214" s="5">
        <v>212</v>
      </c>
      <c r="B214" s="5">
        <f t="shared" si="10"/>
        <v>41.2</v>
      </c>
      <c r="C214" s="21">
        <f t="shared" si="11"/>
        <v>1.766667</v>
      </c>
      <c r="D214" s="16"/>
      <c r="E214" s="19">
        <f>(ADC!I214+5/3)/(1/12)</f>
        <v>40.33615096800402</v>
      </c>
      <c r="F214" s="20">
        <f t="shared" si="9"/>
        <v>2.0967209514465603E-2</v>
      </c>
      <c r="G214" s="2"/>
      <c r="H214" s="2"/>
      <c r="I214" s="19">
        <f>ABS(C214-ADC!I214)</f>
        <v>7.1987752666331728E-2</v>
      </c>
    </row>
    <row r="215" spans="1:9" x14ac:dyDescent="0.25">
      <c r="A215" s="5">
        <v>213</v>
      </c>
      <c r="B215" s="5">
        <f t="shared" si="10"/>
        <v>41.3</v>
      </c>
      <c r="C215" s="21">
        <f t="shared" si="11"/>
        <v>1.7749999999999999</v>
      </c>
      <c r="D215" s="16"/>
      <c r="E215" s="19">
        <f>(ADC!I215+5/3)/(1/12)</f>
        <v>40.440740165041262</v>
      </c>
      <c r="F215" s="20">
        <f t="shared" si="9"/>
        <v>2.0805322880356778E-2</v>
      </c>
      <c r="G215" s="2"/>
      <c r="H215" s="2"/>
      <c r="I215" s="19">
        <f>ABS(C215-ADC!I215)</f>
        <v>7.1604986246561753E-2</v>
      </c>
    </row>
    <row r="216" spans="1:9" x14ac:dyDescent="0.25">
      <c r="A216" s="5">
        <v>214</v>
      </c>
      <c r="B216" s="5">
        <f t="shared" si="10"/>
        <v>41.400000000000006</v>
      </c>
      <c r="C216" s="21">
        <f t="shared" si="11"/>
        <v>1.7833330000000001</v>
      </c>
      <c r="D216" s="16"/>
      <c r="E216" s="19">
        <f>(ADC!I216+5/3)/(1/12)</f>
        <v>40.554844474271185</v>
      </c>
      <c r="F216" s="20">
        <f t="shared" si="9"/>
        <v>2.0414384679440109E-2</v>
      </c>
      <c r="G216" s="2"/>
      <c r="H216" s="2"/>
      <c r="I216" s="19">
        <f>ABS(C216-ADC!I216)</f>
        <v>7.0429293810734928E-2</v>
      </c>
    </row>
    <row r="217" spans="1:9" x14ac:dyDescent="0.25">
      <c r="A217" s="5">
        <v>215</v>
      </c>
      <c r="B217" s="5">
        <f t="shared" si="10"/>
        <v>41.5</v>
      </c>
      <c r="C217" s="21">
        <f t="shared" si="11"/>
        <v>1.7916669999999999</v>
      </c>
      <c r="D217" s="16"/>
      <c r="E217" s="19">
        <f>(ADC!I217+5/3)/(1/12)</f>
        <v>40.659992024819893</v>
      </c>
      <c r="F217" s="20">
        <f t="shared" si="9"/>
        <v>2.0241156028436319E-2</v>
      </c>
      <c r="G217" s="2"/>
      <c r="H217" s="2"/>
      <c r="I217" s="19">
        <f>ABS(C217-ADC!I217)</f>
        <v>7.0000997931675579E-2</v>
      </c>
    </row>
    <row r="218" spans="1:9" x14ac:dyDescent="0.25">
      <c r="A218" s="5">
        <v>216</v>
      </c>
      <c r="B218" s="5">
        <f t="shared" si="10"/>
        <v>41.6</v>
      </c>
      <c r="C218" s="21">
        <f t="shared" si="11"/>
        <v>1.8</v>
      </c>
      <c r="D218" s="16"/>
      <c r="E218" s="19">
        <f>(ADC!I218+5/3)/(1/12)</f>
        <v>40.765423603036446</v>
      </c>
      <c r="F218" s="20">
        <f t="shared" si="9"/>
        <v>2.0061932619316238E-2</v>
      </c>
      <c r="G218" s="2"/>
      <c r="H218" s="2"/>
      <c r="I218" s="19">
        <f>ABS(C218-ADC!I218)</f>
        <v>6.9548033080296445E-2</v>
      </c>
    </row>
    <row r="219" spans="1:9" x14ac:dyDescent="0.25">
      <c r="A219" s="5">
        <v>217</v>
      </c>
      <c r="B219" s="5">
        <f t="shared" si="10"/>
        <v>41.7</v>
      </c>
      <c r="C219" s="21">
        <f t="shared" si="11"/>
        <v>1.808333</v>
      </c>
      <c r="D219" s="16"/>
      <c r="E219" s="19">
        <f>(ADC!I219+5/3)/(1/12)</f>
        <v>40.880327833211467</v>
      </c>
      <c r="F219" s="20">
        <f t="shared" si="9"/>
        <v>1.9656406877422913E-2</v>
      </c>
      <c r="G219" s="2"/>
      <c r="H219" s="2"/>
      <c r="I219" s="19">
        <f>ABS(C219-ADC!I219)</f>
        <v>6.8305680565711624E-2</v>
      </c>
    </row>
    <row r="220" spans="1:9" x14ac:dyDescent="0.25">
      <c r="A220" s="5">
        <v>218</v>
      </c>
      <c r="B220" s="5">
        <f t="shared" si="10"/>
        <v>41.8</v>
      </c>
      <c r="C220" s="21">
        <f t="shared" si="11"/>
        <v>1.816667</v>
      </c>
      <c r="D220" s="16"/>
      <c r="E220" s="19">
        <f>(ADC!I220+5/3)/(1/12)</f>
        <v>40.986311056308878</v>
      </c>
      <c r="F220" s="20">
        <f t="shared" si="9"/>
        <v>1.9466242672036341E-2</v>
      </c>
      <c r="G220" s="2"/>
      <c r="H220" s="2"/>
      <c r="I220" s="19">
        <f>ABS(C220-ADC!I220)</f>
        <v>6.7807745307593592E-2</v>
      </c>
    </row>
    <row r="221" spans="1:9" x14ac:dyDescent="0.25">
      <c r="A221" s="5">
        <v>219</v>
      </c>
      <c r="B221" s="5">
        <f t="shared" si="10"/>
        <v>41.900000000000006</v>
      </c>
      <c r="C221" s="21">
        <f t="shared" si="11"/>
        <v>1.825</v>
      </c>
      <c r="D221" s="16"/>
      <c r="E221" s="19">
        <f>(ADC!I221+5/3)/(1/12)</f>
        <v>41.101738577114112</v>
      </c>
      <c r="F221" s="20">
        <f t="shared" si="9"/>
        <v>1.90515852717397E-2</v>
      </c>
      <c r="G221" s="2"/>
      <c r="H221" s="2"/>
      <c r="I221" s="19">
        <f>ABS(C221-ADC!I221)</f>
        <v>6.6521785240490461E-2</v>
      </c>
    </row>
    <row r="222" spans="1:9" x14ac:dyDescent="0.25">
      <c r="A222" s="5">
        <v>220</v>
      </c>
      <c r="B222" s="5">
        <f t="shared" si="10"/>
        <v>42</v>
      </c>
      <c r="C222" s="21">
        <f t="shared" si="11"/>
        <v>1.8333330000000001</v>
      </c>
      <c r="D222" s="16"/>
      <c r="E222" s="19">
        <f>(ADC!I222+5/3)/(1/12)</f>
        <v>41.208268923614845</v>
      </c>
      <c r="F222" s="20">
        <f t="shared" si="9"/>
        <v>1.8850739913932251E-2</v>
      </c>
      <c r="G222" s="2"/>
      <c r="H222" s="2"/>
      <c r="I222" s="19">
        <f>ABS(C222-ADC!I222)</f>
        <v>6.597725636543017E-2</v>
      </c>
    </row>
    <row r="223" spans="1:9" x14ac:dyDescent="0.25">
      <c r="A223" s="5">
        <v>221</v>
      </c>
      <c r="B223" s="5">
        <f t="shared" si="10"/>
        <v>42.1</v>
      </c>
      <c r="C223" s="21">
        <f t="shared" si="11"/>
        <v>1.8416669999999999</v>
      </c>
      <c r="D223" s="16"/>
      <c r="E223" s="19">
        <f>(ADC!I223+5/3)/(1/12)</f>
        <v>41.315077667715592</v>
      </c>
      <c r="F223" s="20">
        <f t="shared" si="9"/>
        <v>1.8644235921244885E-2</v>
      </c>
      <c r="G223" s="2"/>
      <c r="H223" s="2"/>
      <c r="I223" s="19">
        <f>ABS(C223-ADC!I223)</f>
        <v>6.5410527690367593E-2</v>
      </c>
    </row>
    <row r="224" spans="1:9" x14ac:dyDescent="0.25">
      <c r="A224" s="5">
        <v>222</v>
      </c>
      <c r="B224" s="5">
        <f t="shared" si="10"/>
        <v>42.2</v>
      </c>
      <c r="C224" s="21">
        <f t="shared" si="11"/>
        <v>1.85</v>
      </c>
      <c r="D224" s="16"/>
      <c r="E224" s="19">
        <f>(ADC!I224+5/3)/(1/12)</f>
        <v>41.431288089548076</v>
      </c>
      <c r="F224" s="20">
        <f t="shared" si="9"/>
        <v>1.8215922048623857E-2</v>
      </c>
      <c r="G224" s="2"/>
      <c r="H224" s="2"/>
      <c r="I224" s="19">
        <f>ABS(C224-ADC!I224)</f>
        <v>6.4059325870994055E-2</v>
      </c>
    </row>
    <row r="225" spans="1:9" x14ac:dyDescent="0.25">
      <c r="A225" s="5">
        <v>223</v>
      </c>
      <c r="B225" s="5">
        <f t="shared" si="10"/>
        <v>42.3</v>
      </c>
      <c r="C225" s="21">
        <f t="shared" si="11"/>
        <v>1.858333</v>
      </c>
      <c r="D225" s="16"/>
      <c r="E225" s="19">
        <f>(ADC!I225+5/3)/(1/12)</f>
        <v>41.538637123246943</v>
      </c>
      <c r="F225" s="20">
        <f t="shared" si="9"/>
        <v>1.7999122381868897E-2</v>
      </c>
      <c r="G225" s="2"/>
      <c r="H225" s="2"/>
      <c r="I225" s="19">
        <f>ABS(C225-ADC!I225)</f>
        <v>6.3446573062754918E-2</v>
      </c>
    </row>
    <row r="226" spans="1:9" x14ac:dyDescent="0.25">
      <c r="A226" s="5">
        <v>224</v>
      </c>
      <c r="B226" s="5">
        <f t="shared" si="10"/>
        <v>42.400000000000006</v>
      </c>
      <c r="C226" s="21">
        <f t="shared" si="11"/>
        <v>1.8666670000000001</v>
      </c>
      <c r="D226" s="16"/>
      <c r="E226" s="19">
        <f>(ADC!I226+5/3)/(1/12)</f>
        <v>41.646261133977198</v>
      </c>
      <c r="F226" s="20">
        <f t="shared" si="9"/>
        <v>1.7776860047707722E-2</v>
      </c>
      <c r="G226" s="2"/>
      <c r="H226" s="2"/>
      <c r="I226" s="19">
        <f>ABS(C226-ADC!I226)</f>
        <v>6.28119055019003E-2</v>
      </c>
    </row>
    <row r="227" spans="1:9" x14ac:dyDescent="0.25">
      <c r="A227" s="5">
        <v>225</v>
      </c>
      <c r="B227" s="5">
        <f t="shared" si="10"/>
        <v>42.5</v>
      </c>
      <c r="C227" s="21">
        <f t="shared" si="11"/>
        <v>1.875</v>
      </c>
      <c r="D227" s="16"/>
      <c r="E227" s="19">
        <f>(ADC!I227+5/3)/(1/12)</f>
        <v>41.754158974565584</v>
      </c>
      <c r="F227" s="20">
        <f t="shared" si="9"/>
        <v>1.7549200598456844E-2</v>
      </c>
      <c r="G227" s="2"/>
      <c r="H227" s="2"/>
      <c r="I227" s="19">
        <f>ABS(C227-ADC!I227)</f>
        <v>6.215341878620162E-2</v>
      </c>
    </row>
    <row r="228" spans="1:9" x14ac:dyDescent="0.25">
      <c r="A228" s="5">
        <v>226</v>
      </c>
      <c r="B228" s="5">
        <f t="shared" si="10"/>
        <v>42.6</v>
      </c>
      <c r="C228" s="21">
        <f t="shared" si="11"/>
        <v>1.8833329999999999</v>
      </c>
      <c r="D228" s="16"/>
      <c r="E228" s="19">
        <f>(ADC!I228+5/3)/(1/12)</f>
        <v>41.862329486840913</v>
      </c>
      <c r="F228" s="20">
        <f t="shared" si="9"/>
        <v>1.7316209229086575E-2</v>
      </c>
      <c r="G228" s="2"/>
      <c r="H228" s="2"/>
      <c r="I228" s="19">
        <f>ABS(C228-ADC!I228)</f>
        <v>6.1472209429924041E-2</v>
      </c>
    </row>
    <row r="229" spans="1:9" x14ac:dyDescent="0.25">
      <c r="A229" s="5">
        <v>227</v>
      </c>
      <c r="B229" s="5">
        <f t="shared" si="10"/>
        <v>42.7</v>
      </c>
      <c r="C229" s="21">
        <f t="shared" si="11"/>
        <v>1.891667</v>
      </c>
      <c r="D229" s="16"/>
      <c r="E229" s="19">
        <f>(ADC!I229+5/3)/(1/12)</f>
        <v>41.970771517345369</v>
      </c>
      <c r="F229" s="20">
        <f t="shared" si="9"/>
        <v>1.7077950413457461E-2</v>
      </c>
      <c r="G229" s="2"/>
      <c r="H229" s="2"/>
      <c r="I229" s="19">
        <f>ABS(C229-ADC!I229)</f>
        <v>6.0769373554553141E-2</v>
      </c>
    </row>
    <row r="230" spans="1:9" x14ac:dyDescent="0.25">
      <c r="A230" s="5">
        <v>228</v>
      </c>
      <c r="B230" s="5">
        <f t="shared" si="10"/>
        <v>42.8</v>
      </c>
      <c r="C230" s="21">
        <f t="shared" si="11"/>
        <v>1.9</v>
      </c>
      <c r="D230" s="16"/>
      <c r="E230" s="19">
        <f>(ADC!I230+5/3)/(1/12)</f>
        <v>42.079483911049984</v>
      </c>
      <c r="F230" s="20">
        <f t="shared" si="9"/>
        <v>1.6834488059579756E-2</v>
      </c>
      <c r="G230" s="2"/>
      <c r="H230" s="2"/>
      <c r="I230" s="19">
        <f>ABS(C230-ADC!I230)</f>
        <v>6.0043007412501792E-2</v>
      </c>
    </row>
    <row r="231" spans="1:9" x14ac:dyDescent="0.25">
      <c r="A231" s="5">
        <v>229</v>
      </c>
      <c r="B231" s="5">
        <f t="shared" si="10"/>
        <v>42.900000000000006</v>
      </c>
      <c r="C231" s="21">
        <f t="shared" si="11"/>
        <v>1.9083330000000001</v>
      </c>
      <c r="D231" s="16"/>
      <c r="E231" s="19">
        <f>(ADC!I231+5/3)/(1/12)</f>
        <v>42.188465501228912</v>
      </c>
      <c r="F231" s="20">
        <f t="shared" si="9"/>
        <v>1.6585885752239952E-2</v>
      </c>
      <c r="G231" s="2"/>
      <c r="H231" s="2"/>
      <c r="I231" s="19">
        <f>ABS(C231-ADC!I231)</f>
        <v>5.9294208230924239E-2</v>
      </c>
    </row>
    <row r="232" spans="1:9" x14ac:dyDescent="0.25">
      <c r="A232" s="5">
        <v>230</v>
      </c>
      <c r="B232" s="5">
        <f t="shared" si="10"/>
        <v>43</v>
      </c>
      <c r="C232" s="21">
        <f t="shared" si="11"/>
        <v>1.9166669999999999</v>
      </c>
      <c r="D232" s="16"/>
      <c r="E232" s="19">
        <f>(ADC!I232+5/3)/(1/12)</f>
        <v>42.28869565134918</v>
      </c>
      <c r="F232" s="20">
        <f t="shared" si="9"/>
        <v>1.6541961596530708E-2</v>
      </c>
      <c r="G232" s="2"/>
      <c r="H232" s="2"/>
      <c r="I232" s="19">
        <f>ABS(C232-ADC!I232)</f>
        <v>5.9275695720902188E-2</v>
      </c>
    </row>
    <row r="233" spans="1:9" x14ac:dyDescent="0.25">
      <c r="A233" s="5">
        <v>231</v>
      </c>
      <c r="B233" s="5">
        <f t="shared" si="10"/>
        <v>43.1</v>
      </c>
      <c r="C233" s="21">
        <f t="shared" si="11"/>
        <v>1.925</v>
      </c>
      <c r="D233" s="16"/>
      <c r="E233" s="19">
        <f>(ADC!I233+5/3)/(1/12)</f>
        <v>42.398225276245057</v>
      </c>
      <c r="F233" s="20">
        <f t="shared" si="9"/>
        <v>1.6282476189209843E-2</v>
      </c>
      <c r="G233" s="2"/>
      <c r="H233" s="2"/>
      <c r="I233" s="19">
        <f>ABS(C233-ADC!I233)</f>
        <v>5.8481226979579137E-2</v>
      </c>
    </row>
    <row r="234" spans="1:9" x14ac:dyDescent="0.25">
      <c r="A234" s="5">
        <v>232</v>
      </c>
      <c r="B234" s="5">
        <f t="shared" si="10"/>
        <v>43.2</v>
      </c>
      <c r="C234" s="21">
        <f t="shared" si="11"/>
        <v>1.933333</v>
      </c>
      <c r="D234" s="16"/>
      <c r="E234" s="19">
        <f>(ADC!I234+5/3)/(1/12)</f>
        <v>42.508020594644051</v>
      </c>
      <c r="F234" s="20">
        <f t="shared" si="9"/>
        <v>1.601804179064702E-2</v>
      </c>
      <c r="G234" s="2"/>
      <c r="H234" s="2"/>
      <c r="I234" s="19">
        <f>ABS(C234-ADC!I234)</f>
        <v>5.7664617112995753E-2</v>
      </c>
    </row>
    <row r="235" spans="1:9" x14ac:dyDescent="0.25">
      <c r="A235" s="5">
        <v>233</v>
      </c>
      <c r="B235" s="5">
        <f t="shared" si="10"/>
        <v>43.3</v>
      </c>
      <c r="C235" s="21">
        <f t="shared" si="11"/>
        <v>1.941667</v>
      </c>
      <c r="D235" s="16"/>
      <c r="E235" s="19">
        <f>(ADC!I235+5/3)/(1/12)</f>
        <v>42.618080422013065</v>
      </c>
      <c r="F235" s="20">
        <f t="shared" si="9"/>
        <v>1.5748720045887572E-2</v>
      </c>
      <c r="G235" s="2"/>
      <c r="H235" s="2"/>
      <c r="I235" s="19">
        <f>ABS(C235-ADC!I235)</f>
        <v>5.6826964832244808E-2</v>
      </c>
    </row>
    <row r="236" spans="1:9" x14ac:dyDescent="0.25">
      <c r="A236" s="5">
        <v>234</v>
      </c>
      <c r="B236" s="5">
        <f t="shared" si="10"/>
        <v>43.400000000000006</v>
      </c>
      <c r="C236" s="21">
        <f t="shared" si="11"/>
        <v>1.95</v>
      </c>
      <c r="D236" s="16"/>
      <c r="E236" s="19">
        <f>(ADC!I236+5/3)/(1/12)</f>
        <v>42.72840358359533</v>
      </c>
      <c r="F236" s="20">
        <f t="shared" si="9"/>
        <v>1.5474571806559336E-2</v>
      </c>
      <c r="G236" s="2"/>
      <c r="H236" s="2"/>
      <c r="I236" s="19">
        <f>ABS(C236-ADC!I236)</f>
        <v>5.5966368033722569E-2</v>
      </c>
    </row>
    <row r="237" spans="1:9" x14ac:dyDescent="0.25">
      <c r="A237" s="5">
        <v>235</v>
      </c>
      <c r="B237" s="5">
        <f t="shared" si="10"/>
        <v>43.5</v>
      </c>
      <c r="C237" s="21">
        <f t="shared" si="11"/>
        <v>1.9583330000000001</v>
      </c>
      <c r="D237" s="16"/>
      <c r="E237" s="19">
        <f>(ADC!I237+5/3)/(1/12)</f>
        <v>42.838988889794784</v>
      </c>
      <c r="F237" s="20">
        <f t="shared" si="9"/>
        <v>1.5195657705867031E-2</v>
      </c>
      <c r="G237" s="2"/>
      <c r="H237" s="2"/>
      <c r="I237" s="19">
        <f>ABS(C237-ADC!I237)</f>
        <v>5.5083925850434978E-2</v>
      </c>
    </row>
    <row r="238" spans="1:9" x14ac:dyDescent="0.25">
      <c r="A238" s="5">
        <v>236</v>
      </c>
      <c r="B238" s="5">
        <f t="shared" si="10"/>
        <v>43.6</v>
      </c>
      <c r="C238" s="21">
        <f t="shared" si="11"/>
        <v>1.9666669999999999</v>
      </c>
      <c r="D238" s="16"/>
      <c r="E238" s="19">
        <f>(ADC!I238+5/3)/(1/12)</f>
        <v>42.940894648459377</v>
      </c>
      <c r="F238" s="20">
        <f t="shared" si="9"/>
        <v>1.5117095218821661E-2</v>
      </c>
      <c r="G238" s="2"/>
      <c r="H238" s="2"/>
      <c r="I238" s="19">
        <f>ABS(C238-ADC!I238)</f>
        <v>5.4925779295051935E-2</v>
      </c>
    </row>
    <row r="239" spans="1:9" x14ac:dyDescent="0.25">
      <c r="A239" s="5">
        <v>237</v>
      </c>
      <c r="B239" s="5">
        <f t="shared" si="10"/>
        <v>43.7</v>
      </c>
      <c r="C239" s="21">
        <f t="shared" si="11"/>
        <v>1.9750000000000001</v>
      </c>
      <c r="D239" s="16"/>
      <c r="E239" s="19">
        <f>(ADC!I239+5/3)/(1/12)</f>
        <v>43.05201384865066</v>
      </c>
      <c r="F239" s="20">
        <f t="shared" si="9"/>
        <v>1.4828058383280164E-2</v>
      </c>
      <c r="G239" s="2"/>
      <c r="H239" s="2"/>
      <c r="I239" s="19">
        <f>ABS(C239-ADC!I239)</f>
        <v>5.3998845945778973E-2</v>
      </c>
    </row>
    <row r="240" spans="1:9" x14ac:dyDescent="0.25">
      <c r="A240" s="5">
        <v>238</v>
      </c>
      <c r="B240" s="5">
        <f t="shared" si="10"/>
        <v>43.8</v>
      </c>
      <c r="C240" s="21">
        <f t="shared" si="11"/>
        <v>1.983333</v>
      </c>
      <c r="D240" s="16"/>
      <c r="E240" s="19">
        <f>(ADC!I240+5/3)/(1/12)</f>
        <v>43.163391620132053</v>
      </c>
      <c r="F240" s="20">
        <f t="shared" si="9"/>
        <v>1.4534437896528404E-2</v>
      </c>
      <c r="G240" s="2"/>
      <c r="H240" s="2"/>
      <c r="I240" s="19">
        <f>ABS(C240-ADC!I240)</f>
        <v>5.3050364988996179E-2</v>
      </c>
    </row>
    <row r="241" spans="1:9" x14ac:dyDescent="0.25">
      <c r="A241" s="5">
        <v>239</v>
      </c>
      <c r="B241" s="5">
        <f t="shared" si="10"/>
        <v>43.900000000000006</v>
      </c>
      <c r="C241" s="21">
        <f t="shared" si="11"/>
        <v>1.9916670000000001</v>
      </c>
      <c r="D241" s="16"/>
      <c r="E241" s="19">
        <f>(ADC!I241+5/3)/(1/12)</f>
        <v>43.275026763705334</v>
      </c>
      <c r="F241" s="20">
        <f t="shared" si="9"/>
        <v>1.4236292398511879E-2</v>
      </c>
      <c r="G241" s="2"/>
      <c r="H241" s="2"/>
      <c r="I241" s="19">
        <f>ABS(C241-ADC!I241)</f>
        <v>5.2081436357888755E-2</v>
      </c>
    </row>
    <row r="242" spans="1:9" x14ac:dyDescent="0.25">
      <c r="A242" s="5">
        <v>240</v>
      </c>
      <c r="B242" s="5">
        <f t="shared" si="10"/>
        <v>44</v>
      </c>
      <c r="C242" s="21">
        <f t="shared" si="11"/>
        <v>2</v>
      </c>
      <c r="D242" s="16"/>
      <c r="E242" s="19">
        <f>(ADC!I242+5/3)/(1/12)</f>
        <v>43.378030327489867</v>
      </c>
      <c r="F242" s="20">
        <f t="shared" si="9"/>
        <v>1.4135674375230294E-2</v>
      </c>
      <c r="G242" s="2"/>
      <c r="H242" s="2"/>
      <c r="I242" s="19">
        <f>ABS(C242-ADC!I242)</f>
        <v>5.1830806042511668E-2</v>
      </c>
    </row>
    <row r="243" spans="1:9" x14ac:dyDescent="0.25">
      <c r="A243" s="5">
        <v>241</v>
      </c>
      <c r="B243" s="5">
        <f t="shared" si="10"/>
        <v>44.1</v>
      </c>
      <c r="C243" s="21">
        <f t="shared" si="11"/>
        <v>2.0083329999999999</v>
      </c>
      <c r="D243" s="16"/>
      <c r="E243" s="19">
        <f>(ADC!I243+5/3)/(1/12)</f>
        <v>43.490189797308844</v>
      </c>
      <c r="F243" s="20">
        <f t="shared" si="9"/>
        <v>1.3827895752633958E-2</v>
      </c>
      <c r="G243" s="2"/>
      <c r="H243" s="2"/>
      <c r="I243" s="19">
        <f>ABS(C243-ADC!I243)</f>
        <v>5.0817183557596124E-2</v>
      </c>
    </row>
    <row r="244" spans="1:9" x14ac:dyDescent="0.25">
      <c r="A244" s="5">
        <v>242</v>
      </c>
      <c r="B244" s="5">
        <f t="shared" si="10"/>
        <v>44.2</v>
      </c>
      <c r="C244" s="21">
        <f t="shared" si="11"/>
        <v>2.016667</v>
      </c>
      <c r="D244" s="16"/>
      <c r="E244" s="19">
        <f>(ADC!I244+5/3)/(1/12)</f>
        <v>43.602603020850573</v>
      </c>
      <c r="F244" s="20">
        <f t="shared" si="9"/>
        <v>1.3515768759036872E-2</v>
      </c>
      <c r="G244" s="2"/>
      <c r="H244" s="2"/>
      <c r="I244" s="19">
        <f>ABS(C244-ADC!I244)</f>
        <v>4.9783414929119196E-2</v>
      </c>
    </row>
    <row r="245" spans="1:9" x14ac:dyDescent="0.25">
      <c r="A245" s="5">
        <v>243</v>
      </c>
      <c r="B245" s="5">
        <f t="shared" si="10"/>
        <v>44.3</v>
      </c>
      <c r="C245" s="21">
        <f t="shared" si="11"/>
        <v>2.0249999999999999</v>
      </c>
      <c r="D245" s="16"/>
      <c r="E245" s="19">
        <f>(ADC!I245+5/3)/(1/12)</f>
        <v>43.706420662715878</v>
      </c>
      <c r="F245" s="20">
        <f t="shared" si="9"/>
        <v>1.339908210573632E-2</v>
      </c>
      <c r="G245" s="2"/>
      <c r="H245" s="2"/>
      <c r="I245" s="19">
        <f>ABS(C245-ADC!I245)</f>
        <v>4.9464944773677244E-2</v>
      </c>
    </row>
    <row r="246" spans="1:9" x14ac:dyDescent="0.25">
      <c r="A246" s="5">
        <v>244</v>
      </c>
      <c r="B246" s="5">
        <f t="shared" si="10"/>
        <v>44.400000000000006</v>
      </c>
      <c r="C246" s="21">
        <f t="shared" si="11"/>
        <v>2.0333329999999998</v>
      </c>
      <c r="D246" s="16"/>
      <c r="E246" s="19">
        <f>(ADC!I246+5/3)/(1/12)</f>
        <v>43.819350963893342</v>
      </c>
      <c r="F246" s="20">
        <f t="shared" si="9"/>
        <v>1.3077680993393324E-2</v>
      </c>
      <c r="G246" s="2"/>
      <c r="H246" s="2"/>
      <c r="I246" s="19">
        <f>ABS(C246-ADC!I246)</f>
        <v>4.8387086342221552E-2</v>
      </c>
    </row>
    <row r="247" spans="1:9" x14ac:dyDescent="0.25">
      <c r="A247" s="5">
        <v>245</v>
      </c>
      <c r="B247" s="5">
        <f t="shared" si="10"/>
        <v>44.5</v>
      </c>
      <c r="C247" s="21">
        <f t="shared" si="11"/>
        <v>2.0416669999999999</v>
      </c>
      <c r="D247" s="16"/>
      <c r="E247" s="19">
        <f>(ADC!I247+5/3)/(1/12)</f>
        <v>43.932531377903253</v>
      </c>
      <c r="F247" s="20">
        <f t="shared" si="9"/>
        <v>1.2752103867342636E-2</v>
      </c>
      <c r="G247" s="2"/>
      <c r="H247" s="2"/>
      <c r="I247" s="19">
        <f>ABS(C247-ADC!I247)</f>
        <v>4.7289385174729137E-2</v>
      </c>
    </row>
    <row r="248" spans="1:9" x14ac:dyDescent="0.25">
      <c r="A248" s="5">
        <v>246</v>
      </c>
      <c r="B248" s="5">
        <f t="shared" si="10"/>
        <v>44.6</v>
      </c>
      <c r="C248" s="21">
        <f t="shared" si="11"/>
        <v>2.0499999999999998</v>
      </c>
      <c r="D248" s="16"/>
      <c r="E248" s="19">
        <f>(ADC!I248+5/3)/(1/12)</f>
        <v>44.037152212015606</v>
      </c>
      <c r="F248" s="20">
        <f t="shared" si="9"/>
        <v>1.2619905560188242E-2</v>
      </c>
      <c r="G248" s="2"/>
      <c r="H248" s="2"/>
      <c r="I248" s="19">
        <f>ABS(C248-ADC!I248)</f>
        <v>4.6903982332032523E-2</v>
      </c>
    </row>
    <row r="249" spans="1:9" x14ac:dyDescent="0.25">
      <c r="A249" s="5">
        <v>247</v>
      </c>
      <c r="B249" s="5">
        <f t="shared" si="10"/>
        <v>44.7</v>
      </c>
      <c r="C249" s="21">
        <f t="shared" si="11"/>
        <v>2.0583330000000002</v>
      </c>
      <c r="D249" s="16"/>
      <c r="E249" s="19">
        <f>(ADC!I249+5/3)/(1/12)</f>
        <v>44.142047172075799</v>
      </c>
      <c r="F249" s="20">
        <f t="shared" si="9"/>
        <v>1.2482166172800985E-2</v>
      </c>
      <c r="G249" s="2"/>
      <c r="H249" s="2"/>
      <c r="I249" s="19">
        <f>ABS(C249-ADC!I249)</f>
        <v>4.6495735660350146E-2</v>
      </c>
    </row>
    <row r="250" spans="1:9" x14ac:dyDescent="0.25">
      <c r="A250" s="5">
        <v>248</v>
      </c>
      <c r="B250" s="5">
        <f t="shared" si="10"/>
        <v>44.8</v>
      </c>
      <c r="C250" s="21">
        <f t="shared" si="11"/>
        <v>2.0666669999999998</v>
      </c>
      <c r="D250" s="16"/>
      <c r="E250" s="19">
        <f>(ADC!I250+5/3)/(1/12)</f>
        <v>44.247215040205738</v>
      </c>
      <c r="F250" s="20">
        <f t="shared" si="9"/>
        <v>1.2338949995407571E-2</v>
      </c>
      <c r="G250" s="2"/>
      <c r="H250" s="2"/>
      <c r="I250" s="19">
        <f>ABS(C250-ADC!I250)</f>
        <v>4.6065746649522232E-2</v>
      </c>
    </row>
    <row r="251" spans="1:9" x14ac:dyDescent="0.25">
      <c r="A251" s="5">
        <v>249</v>
      </c>
      <c r="B251" s="5">
        <f t="shared" si="10"/>
        <v>44.900000000000006</v>
      </c>
      <c r="C251" s="21">
        <f t="shared" si="11"/>
        <v>2.0750000000000002</v>
      </c>
      <c r="D251" s="16"/>
      <c r="E251" s="19">
        <f>(ADC!I251+5/3)/(1/12)</f>
        <v>44.361423308678432</v>
      </c>
      <c r="F251" s="20">
        <f t="shared" si="9"/>
        <v>1.1995026532774459E-2</v>
      </c>
      <c r="G251" s="2"/>
      <c r="H251" s="2"/>
      <c r="I251" s="19">
        <f>ABS(C251-ADC!I251)</f>
        <v>4.4881390943464439E-2</v>
      </c>
    </row>
    <row r="252" spans="1:9" x14ac:dyDescent="0.25">
      <c r="A252" s="5">
        <v>250</v>
      </c>
      <c r="B252" s="5">
        <f t="shared" si="10"/>
        <v>45</v>
      </c>
      <c r="C252" s="21">
        <f t="shared" si="11"/>
        <v>2.0833330000000001</v>
      </c>
      <c r="D252" s="16"/>
      <c r="E252" s="19">
        <f>(ADC!I252+5/3)/(1/12)</f>
        <v>44.467120066431285</v>
      </c>
      <c r="F252" s="20">
        <f t="shared" si="9"/>
        <v>1.1841776301527003E-2</v>
      </c>
      <c r="G252" s="2"/>
      <c r="H252" s="2"/>
      <c r="I252" s="19">
        <f>ABS(C252-ADC!I252)</f>
        <v>4.4406327797393175E-2</v>
      </c>
    </row>
    <row r="253" spans="1:9" x14ac:dyDescent="0.25">
      <c r="A253" s="5">
        <v>251</v>
      </c>
      <c r="B253" s="5">
        <f t="shared" si="10"/>
        <v>45.1</v>
      </c>
      <c r="C253" s="21">
        <f t="shared" si="11"/>
        <v>2.0916670000000002</v>
      </c>
      <c r="D253" s="16"/>
      <c r="E253" s="19">
        <f>(ADC!I253+5/3)/(1/12)</f>
        <v>44.590570528726452</v>
      </c>
      <c r="F253" s="20">
        <f t="shared" si="9"/>
        <v>1.1295553686774921E-2</v>
      </c>
      <c r="G253" s="2"/>
      <c r="H253" s="2"/>
      <c r="I253" s="19">
        <f>ABS(C253-ADC!I253)</f>
        <v>4.2452789272796387E-2</v>
      </c>
    </row>
    <row r="254" spans="1:9" x14ac:dyDescent="0.25">
      <c r="A254" s="5">
        <v>252</v>
      </c>
      <c r="B254" s="5">
        <f t="shared" si="10"/>
        <v>45.2</v>
      </c>
      <c r="C254" s="21">
        <f t="shared" si="11"/>
        <v>2.1</v>
      </c>
      <c r="D254" s="16"/>
      <c r="E254" s="19">
        <f>(ADC!I254+5/3)/(1/12)</f>
        <v>44.696777987537821</v>
      </c>
      <c r="F254" s="20">
        <f t="shared" si="9"/>
        <v>1.1133230364207556E-2</v>
      </c>
      <c r="G254" s="2"/>
      <c r="H254" s="2"/>
      <c r="I254" s="19">
        <f>ABS(C254-ADC!I254)</f>
        <v>4.1935167705182241E-2</v>
      </c>
    </row>
    <row r="255" spans="1:9" x14ac:dyDescent="0.25">
      <c r="A255" s="5">
        <v>253</v>
      </c>
      <c r="B255" s="5">
        <f t="shared" si="10"/>
        <v>45.3</v>
      </c>
      <c r="C255" s="21">
        <f t="shared" si="11"/>
        <v>2.108333</v>
      </c>
      <c r="D255" s="16"/>
      <c r="E255" s="19">
        <f>(ADC!I255+5/3)/(1/12)</f>
        <v>44.811967948594507</v>
      </c>
      <c r="F255" s="20">
        <f t="shared" si="9"/>
        <v>1.0773334468112366E-2</v>
      </c>
      <c r="G255" s="2"/>
      <c r="H255" s="2"/>
      <c r="I255" s="19">
        <f>ABS(C255-ADC!I255)</f>
        <v>4.0669004283790944E-2</v>
      </c>
    </row>
    <row r="256" spans="1:9" x14ac:dyDescent="0.25">
      <c r="A256" s="5">
        <v>254</v>
      </c>
      <c r="B256" s="5">
        <f t="shared" si="10"/>
        <v>45.400000000000006</v>
      </c>
      <c r="C256" s="21">
        <f t="shared" si="11"/>
        <v>2.1166670000000001</v>
      </c>
      <c r="D256" s="16"/>
      <c r="E256" s="19">
        <f>(ADC!I256+5/3)/(1/12)</f>
        <v>44.918694406307495</v>
      </c>
      <c r="F256" s="20">
        <f t="shared" si="9"/>
        <v>1.0601444794989229E-2</v>
      </c>
      <c r="G256" s="2"/>
      <c r="H256" s="2"/>
      <c r="I256" s="19">
        <f>ABS(C256-ADC!I256)</f>
        <v>4.0109132807709447E-2</v>
      </c>
    </row>
    <row r="257" spans="1:9" x14ac:dyDescent="0.25">
      <c r="A257" s="5">
        <v>255</v>
      </c>
      <c r="B257" s="5">
        <f t="shared" si="10"/>
        <v>45.5</v>
      </c>
      <c r="C257" s="21">
        <f t="shared" si="11"/>
        <v>2.125</v>
      </c>
      <c r="D257" s="16"/>
      <c r="E257" s="19">
        <f>(ADC!I257+5/3)/(1/12)</f>
        <v>45.025685141495742</v>
      </c>
      <c r="F257" s="20">
        <f t="shared" si="9"/>
        <v>1.0424502384708958E-2</v>
      </c>
      <c r="G257" s="2"/>
      <c r="H257" s="2"/>
      <c r="I257" s="19">
        <f>ABS(C257-ADC!I257)</f>
        <v>3.9526238208688724E-2</v>
      </c>
    </row>
    <row r="258" spans="1:9" x14ac:dyDescent="0.25">
      <c r="A258" s="5">
        <v>256</v>
      </c>
      <c r="B258" s="5">
        <f t="shared" si="10"/>
        <v>45.6</v>
      </c>
      <c r="C258" s="21">
        <f t="shared" si="11"/>
        <v>2.1333329999999999</v>
      </c>
      <c r="D258" s="16"/>
      <c r="E258" s="19">
        <f>(ADC!I258+5/3)/(1/12)</f>
        <v>45.141614857066983</v>
      </c>
      <c r="F258" s="20">
        <f t="shared" ref="F258:F321" si="12">ABS(B258-E258)/B258</f>
        <v>1.0052305766074958E-2</v>
      </c>
      <c r="G258" s="2"/>
      <c r="H258" s="2"/>
      <c r="I258" s="19">
        <f>ABS(C258-ADC!I258)</f>
        <v>3.8198428577751908E-2</v>
      </c>
    </row>
    <row r="259" spans="1:9" x14ac:dyDescent="0.25">
      <c r="A259" s="5">
        <v>257</v>
      </c>
      <c r="B259" s="5">
        <f t="shared" ref="B259:B322" si="13">0.1*A259+20</f>
        <v>45.7</v>
      </c>
      <c r="C259" s="21">
        <f t="shared" ref="C259:C322" si="14">ROUND(1/12*B259-5/3,6)</f>
        <v>2.141667</v>
      </c>
      <c r="D259" s="16"/>
      <c r="E259" s="19">
        <f>(ADC!I259+5/3)/(1/12)</f>
        <v>45.24911712170158</v>
      </c>
      <c r="F259" s="20">
        <f t="shared" si="12"/>
        <v>9.866146133444692E-3</v>
      </c>
      <c r="G259" s="2"/>
      <c r="H259" s="2"/>
      <c r="I259" s="19">
        <f>ABS(C259-ADC!I259)</f>
        <v>3.7573906524868139E-2</v>
      </c>
    </row>
    <row r="260" spans="1:9" x14ac:dyDescent="0.25">
      <c r="A260" s="5">
        <v>258</v>
      </c>
      <c r="B260" s="5">
        <f t="shared" si="13"/>
        <v>45.8</v>
      </c>
      <c r="C260" s="21">
        <f t="shared" si="14"/>
        <v>2.15</v>
      </c>
      <c r="D260" s="16"/>
      <c r="E260" s="19">
        <f>(ADC!I260+5/3)/(1/12)</f>
        <v>45.356879916426834</v>
      </c>
      <c r="F260" s="20">
        <f t="shared" si="12"/>
        <v>9.6751109950472276E-3</v>
      </c>
      <c r="G260" s="2"/>
      <c r="H260" s="2"/>
      <c r="I260" s="19">
        <f>ABS(C260-ADC!I260)</f>
        <v>3.6926673631097362E-2</v>
      </c>
    </row>
    <row r="261" spans="1:9" x14ac:dyDescent="0.25">
      <c r="A261" s="5">
        <v>259</v>
      </c>
      <c r="B261" s="5">
        <f t="shared" si="13"/>
        <v>45.900000000000006</v>
      </c>
      <c r="C261" s="21">
        <f t="shared" si="14"/>
        <v>2.1583329999999998</v>
      </c>
      <c r="D261" s="16"/>
      <c r="E261" s="19">
        <f>(ADC!I261+5/3)/(1/12)</f>
        <v>45.473538112933873</v>
      </c>
      <c r="F261" s="20">
        <f t="shared" si="12"/>
        <v>9.2911086506782623E-3</v>
      </c>
      <c r="G261" s="2"/>
      <c r="H261" s="2"/>
      <c r="I261" s="19">
        <f>ABS(C261-ADC!I261)</f>
        <v>3.5538157255510239E-2</v>
      </c>
    </row>
    <row r="262" spans="1:9" x14ac:dyDescent="0.25">
      <c r="A262" s="5">
        <v>260</v>
      </c>
      <c r="B262" s="5">
        <f t="shared" si="13"/>
        <v>46</v>
      </c>
      <c r="C262" s="21">
        <f t="shared" si="14"/>
        <v>2.1666669999999999</v>
      </c>
      <c r="D262" s="16"/>
      <c r="E262" s="19">
        <f>(ADC!I262+5/3)/(1/12)</f>
        <v>45.581804911435185</v>
      </c>
      <c r="F262" s="20">
        <f t="shared" si="12"/>
        <v>9.0911975774959769E-3</v>
      </c>
      <c r="G262" s="2"/>
      <c r="H262" s="2"/>
      <c r="I262" s="19">
        <f>ABS(C262-ADC!I262)</f>
        <v>3.484992404706766E-2</v>
      </c>
    </row>
    <row r="263" spans="1:9" x14ac:dyDescent="0.25">
      <c r="A263" s="5">
        <v>261</v>
      </c>
      <c r="B263" s="5">
        <f t="shared" si="13"/>
        <v>46.1</v>
      </c>
      <c r="C263" s="21">
        <f t="shared" si="14"/>
        <v>2.1749999999999998</v>
      </c>
      <c r="D263" s="16"/>
      <c r="E263" s="19">
        <f>(ADC!I263+5/3)/(1/12)</f>
        <v>45.690328465931501</v>
      </c>
      <c r="F263" s="20">
        <f t="shared" si="12"/>
        <v>8.8865842531128166E-3</v>
      </c>
      <c r="G263" s="2"/>
      <c r="H263" s="2"/>
      <c r="I263" s="19">
        <f>ABS(C263-ADC!I263)</f>
        <v>3.4139294505707962E-2</v>
      </c>
    </row>
    <row r="264" spans="1:9" x14ac:dyDescent="0.25">
      <c r="A264" s="5">
        <v>262</v>
      </c>
      <c r="B264" s="5">
        <f t="shared" si="13"/>
        <v>46.2</v>
      </c>
      <c r="C264" s="21">
        <f t="shared" si="14"/>
        <v>2.1833330000000002</v>
      </c>
      <c r="D264" s="16"/>
      <c r="E264" s="19">
        <f>(ADC!I264+5/3)/(1/12)</f>
        <v>45.799107512629753</v>
      </c>
      <c r="F264" s="20">
        <f t="shared" si="12"/>
        <v>8.6773265664556211E-3</v>
      </c>
      <c r="G264" s="2"/>
      <c r="H264" s="2"/>
      <c r="I264" s="19">
        <f>ABS(C264-ADC!I264)</f>
        <v>3.3407373947521357E-2</v>
      </c>
    </row>
    <row r="265" spans="1:9" x14ac:dyDescent="0.25">
      <c r="A265" s="5">
        <v>263</v>
      </c>
      <c r="B265" s="5">
        <f t="shared" si="13"/>
        <v>46.3</v>
      </c>
      <c r="C265" s="21">
        <f t="shared" si="14"/>
        <v>2.1916669999999998</v>
      </c>
      <c r="D265" s="16"/>
      <c r="E265" s="19">
        <f>(ADC!I265+5/3)/(1/12)</f>
        <v>45.908140785816521</v>
      </c>
      <c r="F265" s="20">
        <f t="shared" si="12"/>
        <v>8.4634819478072668E-3</v>
      </c>
      <c r="G265" s="2"/>
      <c r="H265" s="2"/>
      <c r="I265" s="19">
        <f>ABS(C265-ADC!I265)</f>
        <v>3.2655267848623382E-2</v>
      </c>
    </row>
    <row r="266" spans="1:9" x14ac:dyDescent="0.25">
      <c r="A266" s="5">
        <v>264</v>
      </c>
      <c r="B266" s="5">
        <f t="shared" si="13"/>
        <v>46.400000000000006</v>
      </c>
      <c r="C266" s="21">
        <f t="shared" si="14"/>
        <v>2.2000000000000002</v>
      </c>
      <c r="D266" s="16"/>
      <c r="E266" s="19">
        <f>(ADC!I266+5/3)/(1/12)</f>
        <v>46.0088573508352</v>
      </c>
      <c r="F266" s="20">
        <f t="shared" si="12"/>
        <v>8.4297984733794334E-3</v>
      </c>
      <c r="G266" s="2"/>
      <c r="H266" s="2"/>
      <c r="I266" s="19">
        <f>ABS(C266-ADC!I266)</f>
        <v>3.2595220763733668E-2</v>
      </c>
    </row>
    <row r="267" spans="1:9" x14ac:dyDescent="0.25">
      <c r="A267" s="5">
        <v>265</v>
      </c>
      <c r="B267" s="5">
        <f t="shared" si="13"/>
        <v>46.5</v>
      </c>
      <c r="C267" s="21">
        <f t="shared" si="14"/>
        <v>2.2083330000000001</v>
      </c>
      <c r="D267" s="16"/>
      <c r="E267" s="19">
        <f>(ADC!I267+5/3)/(1/12)</f>
        <v>46.12696493972372</v>
      </c>
      <c r="F267" s="20">
        <f t="shared" si="12"/>
        <v>8.0222593607802099E-3</v>
      </c>
      <c r="G267" s="2"/>
      <c r="H267" s="2"/>
      <c r="I267" s="19">
        <f>ABS(C267-ADC!I267)</f>
        <v>3.1085921689690377E-2</v>
      </c>
    </row>
    <row r="268" spans="1:9" x14ac:dyDescent="0.25">
      <c r="A268" s="5">
        <v>266</v>
      </c>
      <c r="B268" s="5">
        <f t="shared" si="13"/>
        <v>46.6</v>
      </c>
      <c r="C268" s="21">
        <f t="shared" si="14"/>
        <v>2.2166670000000002</v>
      </c>
      <c r="D268" s="16"/>
      <c r="E268" s="19">
        <f>(ADC!I268+5/3)/(1/12)</f>
        <v>46.236753273654159</v>
      </c>
      <c r="F268" s="20">
        <f t="shared" si="12"/>
        <v>7.7949941275931829E-3</v>
      </c>
      <c r="G268" s="2"/>
      <c r="H268" s="2"/>
      <c r="I268" s="19">
        <f>ABS(C268-ADC!I268)</f>
        <v>3.0270893862153425E-2</v>
      </c>
    </row>
    <row r="269" spans="1:9" x14ac:dyDescent="0.25">
      <c r="A269" s="5">
        <v>267</v>
      </c>
      <c r="B269" s="5">
        <f t="shared" si="13"/>
        <v>46.7</v>
      </c>
      <c r="C269" s="21">
        <f t="shared" si="14"/>
        <v>2.2250000000000001</v>
      </c>
      <c r="D269" s="16"/>
      <c r="E269" s="19">
        <f>(ADC!I269+5/3)/(1/12)</f>
        <v>46.346790744682984</v>
      </c>
      <c r="F269" s="20">
        <f t="shared" si="12"/>
        <v>7.563367351542157E-3</v>
      </c>
      <c r="G269" s="2"/>
      <c r="H269" s="2"/>
      <c r="I269" s="19">
        <f>ABS(C269-ADC!I269)</f>
        <v>2.943410460975171E-2</v>
      </c>
    </row>
    <row r="270" spans="1:9" x14ac:dyDescent="0.25">
      <c r="A270" s="5">
        <v>268</v>
      </c>
      <c r="B270" s="5">
        <f t="shared" si="13"/>
        <v>46.8</v>
      </c>
      <c r="C270" s="21">
        <f t="shared" si="14"/>
        <v>2.233333</v>
      </c>
      <c r="D270" s="16"/>
      <c r="E270" s="19">
        <f>(ADC!I270+5/3)/(1/12)</f>
        <v>46.457076074701412</v>
      </c>
      <c r="F270" s="20">
        <f t="shared" si="12"/>
        <v>7.3274343012518202E-3</v>
      </c>
      <c r="G270" s="2"/>
      <c r="H270" s="2"/>
      <c r="I270" s="19">
        <f>ABS(C270-ADC!I270)</f>
        <v>2.8576660441549606E-2</v>
      </c>
    </row>
    <row r="271" spans="1:9" x14ac:dyDescent="0.25">
      <c r="A271" s="5">
        <v>269</v>
      </c>
      <c r="B271" s="5">
        <f t="shared" si="13"/>
        <v>46.900000000000006</v>
      </c>
      <c r="C271" s="21">
        <f t="shared" si="14"/>
        <v>2.2416670000000001</v>
      </c>
      <c r="D271" s="16"/>
      <c r="E271" s="19">
        <f>(ADC!I271+5/3)/(1/12)</f>
        <v>46.567607980887146</v>
      </c>
      <c r="F271" s="20">
        <f t="shared" si="12"/>
        <v>7.0872498744746111E-3</v>
      </c>
      <c r="G271" s="2"/>
      <c r="H271" s="2"/>
      <c r="I271" s="19">
        <f>ABS(C271-ADC!I271)</f>
        <v>2.7699668259404397E-2</v>
      </c>
    </row>
    <row r="272" spans="1:9" x14ac:dyDescent="0.25">
      <c r="A272" s="5">
        <v>270</v>
      </c>
      <c r="B272" s="5">
        <f t="shared" si="13"/>
        <v>47</v>
      </c>
      <c r="C272" s="21">
        <f t="shared" si="14"/>
        <v>2.25</v>
      </c>
      <c r="D272" s="16"/>
      <c r="E272" s="19">
        <f>(ADC!I272+5/3)/(1/12)</f>
        <v>46.678385176751718</v>
      </c>
      <c r="F272" s="20">
        <f t="shared" si="12"/>
        <v>6.8428685797506869E-3</v>
      </c>
      <c r="G272" s="2"/>
      <c r="H272" s="2"/>
      <c r="I272" s="19">
        <f>ABS(C272-ADC!I272)</f>
        <v>2.6801235270690338E-2</v>
      </c>
    </row>
    <row r="273" spans="1:9" x14ac:dyDescent="0.25">
      <c r="A273" s="5">
        <v>271</v>
      </c>
      <c r="B273" s="5">
        <f t="shared" si="13"/>
        <v>47.1</v>
      </c>
      <c r="C273" s="21">
        <f t="shared" si="14"/>
        <v>2.2583329999999999</v>
      </c>
      <c r="D273" s="16"/>
      <c r="E273" s="19">
        <f>(ADC!I273+5/3)/(1/12)</f>
        <v>46.789406375806308</v>
      </c>
      <c r="F273" s="20">
        <f t="shared" si="12"/>
        <v>6.5943444627111058E-3</v>
      </c>
      <c r="G273" s="2"/>
      <c r="H273" s="2"/>
      <c r="I273" s="19">
        <f>ABS(C273-ADC!I273)</f>
        <v>2.5882468682807858E-2</v>
      </c>
    </row>
    <row r="274" spans="1:9" x14ac:dyDescent="0.25">
      <c r="A274" s="5">
        <v>272</v>
      </c>
      <c r="B274" s="5">
        <f t="shared" si="13"/>
        <v>47.2</v>
      </c>
      <c r="C274" s="21">
        <f t="shared" si="14"/>
        <v>2.266667</v>
      </c>
      <c r="D274" s="16"/>
      <c r="E274" s="19">
        <f>(ADC!I274+5/3)/(1/12)</f>
        <v>46.900670289292911</v>
      </c>
      <c r="F274" s="20">
        <f t="shared" si="12"/>
        <v>6.3417311590485501E-3</v>
      </c>
      <c r="G274" s="2"/>
      <c r="H274" s="2"/>
      <c r="I274" s="19">
        <f>ABS(C274-ADC!I274)</f>
        <v>2.4944475892257234E-2</v>
      </c>
    </row>
    <row r="275" spans="1:9" x14ac:dyDescent="0.25">
      <c r="A275" s="5">
        <v>273</v>
      </c>
      <c r="B275" s="5">
        <f t="shared" si="13"/>
        <v>47.3</v>
      </c>
      <c r="C275" s="21">
        <f t="shared" si="14"/>
        <v>2.2749999999999999</v>
      </c>
      <c r="D275" s="16"/>
      <c r="E275" s="19">
        <f>(ADC!I275+5/3)/(1/12)</f>
        <v>47.003725712237809</v>
      </c>
      <c r="F275" s="20">
        <f t="shared" si="12"/>
        <v>6.2637270139997417E-3</v>
      </c>
      <c r="G275" s="2"/>
      <c r="H275" s="2"/>
      <c r="I275" s="19">
        <f>ABS(C275-ADC!I275)</f>
        <v>2.4689523980182315E-2</v>
      </c>
    </row>
    <row r="276" spans="1:9" x14ac:dyDescent="0.25">
      <c r="A276" s="5">
        <v>274</v>
      </c>
      <c r="B276" s="5">
        <f t="shared" si="13"/>
        <v>47.400000000000006</v>
      </c>
      <c r="C276" s="21">
        <f t="shared" si="14"/>
        <v>2.2833329999999998</v>
      </c>
      <c r="D276" s="16"/>
      <c r="E276" s="19">
        <f>(ADC!I276+5/3)/(1/12)</f>
        <v>47.115484486335603</v>
      </c>
      <c r="F276" s="20">
        <f t="shared" si="12"/>
        <v>6.0024369971392912E-3</v>
      </c>
      <c r="G276" s="2"/>
      <c r="H276" s="2"/>
      <c r="I276" s="19">
        <f>ABS(C276-ADC!I276)</f>
        <v>2.3709292805366822E-2</v>
      </c>
    </row>
    <row r="277" spans="1:9" x14ac:dyDescent="0.25">
      <c r="A277" s="5">
        <v>275</v>
      </c>
      <c r="B277" s="5">
        <f t="shared" si="13"/>
        <v>47.5</v>
      </c>
      <c r="C277" s="21">
        <f t="shared" si="14"/>
        <v>2.2916669999999999</v>
      </c>
      <c r="D277" s="16"/>
      <c r="E277" s="19">
        <f>(ADC!I277+5/3)/(1/12)</f>
        <v>47.227482092005829</v>
      </c>
      <c r="F277" s="20">
        <f t="shared" si="12"/>
        <v>5.73721911566676E-3</v>
      </c>
      <c r="G277" s="2"/>
      <c r="H277" s="2"/>
      <c r="I277" s="19">
        <f>ABS(C277-ADC!I277)</f>
        <v>2.2710158999514451E-2</v>
      </c>
    </row>
    <row r="278" spans="1:9" x14ac:dyDescent="0.25">
      <c r="A278" s="5">
        <v>276</v>
      </c>
      <c r="B278" s="5">
        <f t="shared" si="13"/>
        <v>47.6</v>
      </c>
      <c r="C278" s="21">
        <f t="shared" si="14"/>
        <v>2.2999999999999998</v>
      </c>
      <c r="D278" s="16"/>
      <c r="E278" s="19">
        <f>(ADC!I278+5/3)/(1/12)</f>
        <v>47.339717230888091</v>
      </c>
      <c r="F278" s="20">
        <f t="shared" si="12"/>
        <v>5.4681254015107204E-3</v>
      </c>
      <c r="G278" s="2"/>
      <c r="H278" s="2"/>
      <c r="I278" s="19">
        <f>ABS(C278-ADC!I278)</f>
        <v>2.1690230759325857E-2</v>
      </c>
    </row>
    <row r="279" spans="1:9" x14ac:dyDescent="0.25">
      <c r="A279" s="5">
        <v>277</v>
      </c>
      <c r="B279" s="5">
        <f t="shared" si="13"/>
        <v>47.7</v>
      </c>
      <c r="C279" s="21">
        <f t="shared" si="14"/>
        <v>2.3083330000000002</v>
      </c>
      <c r="D279" s="16"/>
      <c r="E279" s="19">
        <f>(ADC!I279+5/3)/(1/12)</f>
        <v>47.460585252633024</v>
      </c>
      <c r="F279" s="20">
        <f t="shared" si="12"/>
        <v>5.0191770936473578E-3</v>
      </c>
      <c r="G279" s="2"/>
      <c r="H279" s="2"/>
      <c r="I279" s="19">
        <f>ABS(C279-ADC!I279)</f>
        <v>1.9950895613914721E-2</v>
      </c>
    </row>
    <row r="280" spans="1:9" x14ac:dyDescent="0.25">
      <c r="A280" s="5">
        <v>278</v>
      </c>
      <c r="B280" s="5">
        <f t="shared" si="13"/>
        <v>47.8</v>
      </c>
      <c r="C280" s="21">
        <f t="shared" si="14"/>
        <v>2.3166669999999998</v>
      </c>
      <c r="D280" s="16"/>
      <c r="E280" s="19">
        <f>(ADC!I280+5/3)/(1/12)</f>
        <v>47.564894889534393</v>
      </c>
      <c r="F280" s="20">
        <f t="shared" si="12"/>
        <v>4.9185169553473572E-3</v>
      </c>
      <c r="G280" s="2"/>
      <c r="H280" s="2"/>
      <c r="I280" s="19">
        <f>ABS(C280-ADC!I280)</f>
        <v>1.9592425872133834E-2</v>
      </c>
    </row>
    <row r="281" spans="1:9" x14ac:dyDescent="0.25">
      <c r="A281" s="5">
        <v>279</v>
      </c>
      <c r="B281" s="5">
        <f t="shared" si="13"/>
        <v>47.900000000000006</v>
      </c>
      <c r="C281" s="21">
        <f t="shared" si="14"/>
        <v>2.3250000000000002</v>
      </c>
      <c r="D281" s="16"/>
      <c r="E281" s="19">
        <f>(ADC!I281+5/3)/(1/12)</f>
        <v>47.67783479529465</v>
      </c>
      <c r="F281" s="20">
        <f t="shared" si="12"/>
        <v>4.638104482366498E-3</v>
      </c>
      <c r="G281" s="2"/>
      <c r="H281" s="2"/>
      <c r="I281" s="19">
        <f>ABS(C281-ADC!I281)</f>
        <v>1.8513767058779163E-2</v>
      </c>
    </row>
    <row r="282" spans="1:9" x14ac:dyDescent="0.25">
      <c r="A282" s="5">
        <v>280</v>
      </c>
      <c r="B282" s="5">
        <f t="shared" si="13"/>
        <v>48</v>
      </c>
      <c r="C282" s="21">
        <f t="shared" si="14"/>
        <v>2.3333330000000001</v>
      </c>
      <c r="D282" s="16"/>
      <c r="E282" s="19">
        <f>(ADC!I282+5/3)/(1/12)</f>
        <v>47.791007014988487</v>
      </c>
      <c r="F282" s="20">
        <f t="shared" si="12"/>
        <v>4.3540205210731804E-3</v>
      </c>
      <c r="G282" s="2"/>
      <c r="H282" s="2"/>
      <c r="I282" s="19">
        <f>ABS(C282-ADC!I282)</f>
        <v>1.7415748750960081E-2</v>
      </c>
    </row>
    <row r="283" spans="1:9" x14ac:dyDescent="0.25">
      <c r="A283" s="5">
        <v>281</v>
      </c>
      <c r="B283" s="5">
        <f t="shared" si="13"/>
        <v>48.1</v>
      </c>
      <c r="C283" s="21">
        <f t="shared" si="14"/>
        <v>2.3416670000000002</v>
      </c>
      <c r="D283" s="16"/>
      <c r="E283" s="19">
        <f>(ADC!I283+5/3)/(1/12)</f>
        <v>47.896066876211485</v>
      </c>
      <c r="F283" s="20">
        <f t="shared" si="12"/>
        <v>4.2397738833371409E-3</v>
      </c>
      <c r="G283" s="2"/>
      <c r="H283" s="2"/>
      <c r="I283" s="19">
        <f>ABS(C283-ADC!I283)</f>
        <v>1.69947603157099E-2</v>
      </c>
    </row>
    <row r="284" spans="1:9" x14ac:dyDescent="0.25">
      <c r="A284" s="5">
        <v>282</v>
      </c>
      <c r="B284" s="5">
        <f t="shared" si="13"/>
        <v>48.2</v>
      </c>
      <c r="C284" s="21">
        <f t="shared" si="14"/>
        <v>2.35</v>
      </c>
      <c r="D284" s="16"/>
      <c r="E284" s="19">
        <f>(ADC!I284+5/3)/(1/12)</f>
        <v>48.001383082814563</v>
      </c>
      <c r="F284" s="20">
        <f t="shared" si="12"/>
        <v>4.120682929158505E-3</v>
      </c>
      <c r="G284" s="2"/>
      <c r="H284" s="2"/>
      <c r="I284" s="19">
        <f>ABS(C284-ADC!I284)</f>
        <v>1.6551409765453329E-2</v>
      </c>
    </row>
    <row r="285" spans="1:9" x14ac:dyDescent="0.25">
      <c r="A285" s="5">
        <v>283</v>
      </c>
      <c r="B285" s="5">
        <f t="shared" si="13"/>
        <v>48.3</v>
      </c>
      <c r="C285" s="21">
        <f t="shared" si="14"/>
        <v>2.358333</v>
      </c>
      <c r="D285" s="16"/>
      <c r="E285" s="19">
        <f>(ADC!I285+5/3)/(1/12)</f>
        <v>48.115270996945156</v>
      </c>
      <c r="F285" s="20">
        <f t="shared" si="12"/>
        <v>3.8246170404728935E-3</v>
      </c>
      <c r="G285" s="2"/>
      <c r="H285" s="2"/>
      <c r="I285" s="19">
        <f>ABS(C285-ADC!I285)</f>
        <v>1.539375025457046E-2</v>
      </c>
    </row>
    <row r="286" spans="1:9" x14ac:dyDescent="0.25">
      <c r="A286" s="5">
        <v>284</v>
      </c>
      <c r="B286" s="5">
        <f t="shared" si="13"/>
        <v>48.400000000000006</v>
      </c>
      <c r="C286" s="21">
        <f t="shared" si="14"/>
        <v>2.3666670000000001</v>
      </c>
      <c r="D286" s="16"/>
      <c r="E286" s="19">
        <f>(ADC!I286+5/3)/(1/12)</f>
        <v>48.221082614439389</v>
      </c>
      <c r="F286" s="20">
        <f t="shared" si="12"/>
        <v>3.6966401975333991E-3</v>
      </c>
      <c r="G286" s="2"/>
      <c r="H286" s="2"/>
      <c r="I286" s="19">
        <f>ABS(C286-ADC!I286)</f>
        <v>1.491011546338461E-2</v>
      </c>
    </row>
    <row r="287" spans="1:9" x14ac:dyDescent="0.25">
      <c r="A287" s="5">
        <v>285</v>
      </c>
      <c r="B287" s="5">
        <f t="shared" si="13"/>
        <v>48.5</v>
      </c>
      <c r="C287" s="21">
        <f t="shared" si="14"/>
        <v>2.375</v>
      </c>
      <c r="D287" s="16"/>
      <c r="E287" s="19">
        <f>(ADC!I287+5/3)/(1/12)</f>
        <v>48.335436636885632</v>
      </c>
      <c r="F287" s="20">
        <f t="shared" si="12"/>
        <v>3.3930590332859412E-3</v>
      </c>
      <c r="G287" s="2"/>
      <c r="H287" s="2"/>
      <c r="I287" s="19">
        <f>ABS(C287-ADC!I287)</f>
        <v>1.371361359286416E-2</v>
      </c>
    </row>
    <row r="288" spans="1:9" x14ac:dyDescent="0.25">
      <c r="A288" s="5">
        <v>286</v>
      </c>
      <c r="B288" s="5">
        <f t="shared" si="13"/>
        <v>48.6</v>
      </c>
      <c r="C288" s="21">
        <f t="shared" si="14"/>
        <v>2.3833329999999999</v>
      </c>
      <c r="D288" s="16"/>
      <c r="E288" s="19">
        <f>(ADC!I288+5/3)/(1/12)</f>
        <v>48.441738384190778</v>
      </c>
      <c r="F288" s="20">
        <f t="shared" si="12"/>
        <v>3.2564118479264112E-3</v>
      </c>
      <c r="G288" s="2"/>
      <c r="H288" s="2"/>
      <c r="I288" s="19">
        <f>ABS(C288-ADC!I288)</f>
        <v>1.3188134650768735E-2</v>
      </c>
    </row>
    <row r="289" spans="1:9" x14ac:dyDescent="0.25">
      <c r="A289" s="5">
        <v>287</v>
      </c>
      <c r="B289" s="5">
        <f t="shared" si="13"/>
        <v>48.7</v>
      </c>
      <c r="C289" s="21">
        <f t="shared" si="14"/>
        <v>2.391667</v>
      </c>
      <c r="D289" s="16"/>
      <c r="E289" s="19">
        <f>(ADC!I289+5/3)/(1/12)</f>
        <v>48.556553230206106</v>
      </c>
      <c r="F289" s="20">
        <f t="shared" si="12"/>
        <v>2.9455188869383373E-3</v>
      </c>
      <c r="G289" s="2"/>
      <c r="H289" s="2"/>
      <c r="I289" s="19">
        <f>ABS(C289-ADC!I289)</f>
        <v>1.1954230816157985E-2</v>
      </c>
    </row>
    <row r="290" spans="1:9" x14ac:dyDescent="0.25">
      <c r="A290" s="5">
        <v>288</v>
      </c>
      <c r="B290" s="5">
        <f t="shared" si="13"/>
        <v>48.8</v>
      </c>
      <c r="C290" s="21">
        <f t="shared" si="14"/>
        <v>2.4</v>
      </c>
      <c r="D290" s="16"/>
      <c r="E290" s="19">
        <f>(ADC!I290+5/3)/(1/12)</f>
        <v>48.663339817687557</v>
      </c>
      <c r="F290" s="20">
        <f t="shared" si="12"/>
        <v>2.8004135719762258E-3</v>
      </c>
      <c r="G290" s="2"/>
      <c r="H290" s="2"/>
      <c r="I290" s="19">
        <f>ABS(C290-ADC!I290)</f>
        <v>1.1388348526037095E-2</v>
      </c>
    </row>
    <row r="291" spans="1:9" x14ac:dyDescent="0.25">
      <c r="A291" s="5">
        <v>289</v>
      </c>
      <c r="B291" s="5">
        <f t="shared" si="13"/>
        <v>48.900000000000006</v>
      </c>
      <c r="C291" s="21">
        <f t="shared" si="14"/>
        <v>2.4083329999999998</v>
      </c>
      <c r="D291" s="16"/>
      <c r="E291" s="19">
        <f>(ADC!I291+5/3)/(1/12)</f>
        <v>48.778610185242009</v>
      </c>
      <c r="F291" s="20">
        <f t="shared" si="12"/>
        <v>2.482409299754536E-3</v>
      </c>
      <c r="G291" s="2"/>
      <c r="H291" s="2"/>
      <c r="I291" s="19">
        <f>ABS(C291-ADC!I291)</f>
        <v>1.0115484563166355E-2</v>
      </c>
    </row>
    <row r="292" spans="1:9" x14ac:dyDescent="0.25">
      <c r="A292" s="5">
        <v>290</v>
      </c>
      <c r="B292" s="5">
        <f t="shared" si="13"/>
        <v>49</v>
      </c>
      <c r="C292" s="21">
        <f t="shared" si="14"/>
        <v>2.4166669999999999</v>
      </c>
      <c r="D292" s="16"/>
      <c r="E292" s="19">
        <f>(ADC!I292+5/3)/(1/12)</f>
        <v>48.885876299521861</v>
      </c>
      <c r="F292" s="20">
        <f t="shared" si="12"/>
        <v>2.3290551117987508E-3</v>
      </c>
      <c r="G292" s="2"/>
      <c r="H292" s="2"/>
      <c r="I292" s="19">
        <f>ABS(C292-ADC!I292)</f>
        <v>9.5106417065116133E-3</v>
      </c>
    </row>
    <row r="293" spans="1:9" x14ac:dyDescent="0.25">
      <c r="A293" s="5">
        <v>291</v>
      </c>
      <c r="B293" s="5">
        <f t="shared" si="13"/>
        <v>49.1</v>
      </c>
      <c r="C293" s="21">
        <f t="shared" si="14"/>
        <v>2.4249999999999998</v>
      </c>
      <c r="D293" s="16"/>
      <c r="E293" s="19">
        <f>(ADC!I293+5/3)/(1/12)</f>
        <v>49.001596872095355</v>
      </c>
      <c r="F293" s="20">
        <f t="shared" si="12"/>
        <v>2.0041370245345463E-3</v>
      </c>
      <c r="G293" s="2"/>
      <c r="H293" s="2"/>
      <c r="I293" s="19">
        <f>ABS(C293-ADC!I293)</f>
        <v>8.2002606587203708E-3</v>
      </c>
    </row>
    <row r="294" spans="1:9" x14ac:dyDescent="0.25">
      <c r="A294" s="5">
        <v>292</v>
      </c>
      <c r="B294" s="5">
        <f t="shared" si="13"/>
        <v>49.2</v>
      </c>
      <c r="C294" s="21">
        <f t="shared" si="14"/>
        <v>2.4333330000000002</v>
      </c>
      <c r="D294" s="16"/>
      <c r="E294" s="19">
        <f>(ADC!I294+5/3)/(1/12)</f>
        <v>49.109337190019438</v>
      </c>
      <c r="F294" s="20">
        <f t="shared" si="12"/>
        <v>1.8427400402553742E-3</v>
      </c>
      <c r="G294" s="2"/>
      <c r="H294" s="2"/>
      <c r="I294" s="19">
        <f>ABS(C294-ADC!I294)</f>
        <v>7.554900831713951E-3</v>
      </c>
    </row>
    <row r="295" spans="1:9" x14ac:dyDescent="0.25">
      <c r="A295" s="5">
        <v>293</v>
      </c>
      <c r="B295" s="5">
        <f t="shared" si="13"/>
        <v>49.3</v>
      </c>
      <c r="C295" s="21">
        <f t="shared" si="14"/>
        <v>2.4416669999999998</v>
      </c>
      <c r="D295" s="16"/>
      <c r="E295" s="19">
        <f>(ADC!I295+5/3)/(1/12)</f>
        <v>49.217319277716669</v>
      </c>
      <c r="F295" s="20">
        <f t="shared" si="12"/>
        <v>1.6770937582825179E-3</v>
      </c>
      <c r="G295" s="2"/>
      <c r="H295" s="2"/>
      <c r="I295" s="19">
        <f>ABS(C295-ADC!I295)</f>
        <v>6.8903935236113156E-3</v>
      </c>
    </row>
    <row r="296" spans="1:9" x14ac:dyDescent="0.25">
      <c r="A296" s="5">
        <v>294</v>
      </c>
      <c r="B296" s="5">
        <f t="shared" si="13"/>
        <v>49.400000000000006</v>
      </c>
      <c r="C296" s="21">
        <f t="shared" si="14"/>
        <v>2.4500000000000002</v>
      </c>
      <c r="D296" s="16"/>
      <c r="E296" s="19">
        <f>(ADC!I296+5/3)/(1/12)</f>
        <v>49.333711812843539</v>
      </c>
      <c r="F296" s="20">
        <f t="shared" si="12"/>
        <v>1.3418661367705757E-3</v>
      </c>
      <c r="G296" s="2"/>
      <c r="H296" s="2"/>
      <c r="I296" s="19">
        <f>ABS(C296-ADC!I296)</f>
        <v>5.5240155963720561E-3</v>
      </c>
    </row>
    <row r="297" spans="1:9" x14ac:dyDescent="0.25">
      <c r="A297" s="5">
        <v>295</v>
      </c>
      <c r="B297" s="5">
        <f t="shared" si="13"/>
        <v>49.5</v>
      </c>
      <c r="C297" s="21">
        <f t="shared" si="14"/>
        <v>2.4583330000000001</v>
      </c>
      <c r="D297" s="16"/>
      <c r="E297" s="19">
        <f>(ADC!I297+5/3)/(1/12)</f>
        <v>49.44216008287885</v>
      </c>
      <c r="F297" s="20">
        <f t="shared" si="12"/>
        <v>1.1684831741646487E-3</v>
      </c>
      <c r="G297" s="2"/>
      <c r="H297" s="2"/>
      <c r="I297" s="19">
        <f>ABS(C297-ADC!I297)</f>
        <v>4.8196597600957958E-3</v>
      </c>
    </row>
    <row r="298" spans="1:9" x14ac:dyDescent="0.25">
      <c r="A298" s="5">
        <v>296</v>
      </c>
      <c r="B298" s="5">
        <f t="shared" si="13"/>
        <v>49.6</v>
      </c>
      <c r="C298" s="21">
        <f t="shared" si="14"/>
        <v>2.4666670000000002</v>
      </c>
      <c r="D298" s="16"/>
      <c r="E298" s="19">
        <f>(ADC!I298+5/3)/(1/12)</f>
        <v>49.550846104876456</v>
      </c>
      <c r="F298" s="20">
        <f t="shared" si="12"/>
        <v>9.9100595007148209E-4</v>
      </c>
      <c r="G298" s="2"/>
      <c r="H298" s="2"/>
      <c r="I298" s="19">
        <f>ABS(C298-ADC!I298)</f>
        <v>4.0964912602956538E-3</v>
      </c>
    </row>
    <row r="299" spans="1:9" x14ac:dyDescent="0.25">
      <c r="A299" s="5">
        <v>297</v>
      </c>
      <c r="B299" s="5">
        <f t="shared" si="13"/>
        <v>49.7</v>
      </c>
      <c r="C299" s="21">
        <f t="shared" si="14"/>
        <v>2.4750000000000001</v>
      </c>
      <c r="D299" s="16"/>
      <c r="E299" s="19">
        <f>(ADC!I299+5/3)/(1/12)</f>
        <v>49.651638528029807</v>
      </c>
      <c r="F299" s="20">
        <f t="shared" si="12"/>
        <v>9.7306784648281959E-4</v>
      </c>
      <c r="G299" s="2"/>
      <c r="H299" s="2"/>
      <c r="I299" s="19">
        <f>ABS(C299-ADC!I299)</f>
        <v>4.0301226641834553E-3</v>
      </c>
    </row>
    <row r="300" spans="1:9" x14ac:dyDescent="0.25">
      <c r="A300" s="5">
        <v>298</v>
      </c>
      <c r="B300" s="5">
        <f t="shared" si="13"/>
        <v>49.8</v>
      </c>
      <c r="C300" s="21">
        <f t="shared" si="14"/>
        <v>2.483333</v>
      </c>
      <c r="D300" s="16"/>
      <c r="E300" s="19">
        <f>(ADC!I300+5/3)/(1/12)</f>
        <v>49.768926016660373</v>
      </c>
      <c r="F300" s="20">
        <f t="shared" si="12"/>
        <v>6.2397556906875666E-4</v>
      </c>
      <c r="G300" s="2"/>
      <c r="H300" s="2"/>
      <c r="I300" s="19">
        <f>ABS(C300-ADC!I300)</f>
        <v>2.589165278302108E-3</v>
      </c>
    </row>
    <row r="301" spans="1:9" x14ac:dyDescent="0.25">
      <c r="A301" s="5">
        <v>299</v>
      </c>
      <c r="B301" s="5">
        <f t="shared" si="13"/>
        <v>49.900000000000006</v>
      </c>
      <c r="C301" s="21">
        <f t="shared" si="14"/>
        <v>2.4916670000000001</v>
      </c>
      <c r="D301" s="16"/>
      <c r="E301" s="19">
        <f>(ADC!I301+5/3)/(1/12)</f>
        <v>49.886420573391348</v>
      </c>
      <c r="F301" s="20">
        <f t="shared" si="12"/>
        <v>2.7213279776869216E-4</v>
      </c>
      <c r="G301" s="2"/>
      <c r="H301" s="2"/>
      <c r="I301" s="19">
        <f>ABS(C301-ADC!I301)</f>
        <v>1.1319522173875995E-3</v>
      </c>
    </row>
    <row r="302" spans="1:9" x14ac:dyDescent="0.25">
      <c r="A302" s="5">
        <v>300</v>
      </c>
      <c r="B302" s="5">
        <f t="shared" si="13"/>
        <v>50</v>
      </c>
      <c r="C302" s="21">
        <f t="shared" si="14"/>
        <v>2.5</v>
      </c>
      <c r="D302" s="16"/>
      <c r="E302" s="19">
        <f>(ADC!I302+5/3)/(1/12)</f>
        <v>49.99603080398218</v>
      </c>
      <c r="F302" s="20">
        <f t="shared" si="12"/>
        <v>7.9383920356406181E-5</v>
      </c>
      <c r="G302" s="2"/>
      <c r="H302" s="2"/>
      <c r="I302" s="19">
        <f>ABS(C302-ADC!I302)</f>
        <v>3.3076633481865514E-4</v>
      </c>
    </row>
    <row r="303" spans="1:9" x14ac:dyDescent="0.25">
      <c r="A303" s="5">
        <v>301</v>
      </c>
      <c r="B303" s="5">
        <f t="shared" si="13"/>
        <v>50.1</v>
      </c>
      <c r="C303" s="21">
        <f t="shared" si="14"/>
        <v>2.5083329999999999</v>
      </c>
      <c r="D303" s="16"/>
      <c r="E303" s="19">
        <f>(ADC!I303+5/3)/(1/12)</f>
        <v>50.105872051368571</v>
      </c>
      <c r="F303" s="20">
        <f t="shared" si="12"/>
        <v>1.172066141431126E-4</v>
      </c>
      <c r="G303" s="2"/>
      <c r="H303" s="2"/>
      <c r="I303" s="19">
        <f>ABS(C303-ADC!I303)</f>
        <v>4.8967094738072703E-4</v>
      </c>
    </row>
    <row r="304" spans="1:9" x14ac:dyDescent="0.25">
      <c r="A304" s="5">
        <v>302</v>
      </c>
      <c r="B304" s="5">
        <f t="shared" si="13"/>
        <v>50.2</v>
      </c>
      <c r="C304" s="21">
        <f t="shared" si="14"/>
        <v>2.516667</v>
      </c>
      <c r="D304" s="16"/>
      <c r="E304" s="19">
        <f>(ADC!I304+5/3)/(1/12)</f>
        <v>50.215942958182012</v>
      </c>
      <c r="F304" s="20">
        <f t="shared" si="12"/>
        <v>3.1758880840655762E-4</v>
      </c>
      <c r="G304" s="2"/>
      <c r="H304" s="2"/>
      <c r="I304" s="19">
        <f>ABS(C304-ADC!I304)</f>
        <v>1.3282465151673861E-3</v>
      </c>
    </row>
    <row r="305" spans="1:9" x14ac:dyDescent="0.25">
      <c r="A305" s="5">
        <v>303</v>
      </c>
      <c r="B305" s="5">
        <f t="shared" si="13"/>
        <v>50.3</v>
      </c>
      <c r="C305" s="21">
        <f t="shared" si="14"/>
        <v>2.5249999999999999</v>
      </c>
      <c r="D305" s="16"/>
      <c r="E305" s="19">
        <f>(ADC!I305+5/3)/(1/12)</f>
        <v>50.326242177179623</v>
      </c>
      <c r="F305" s="20">
        <f t="shared" si="12"/>
        <v>5.2171326400845955E-4</v>
      </c>
      <c r="G305" s="2"/>
      <c r="H305" s="2"/>
      <c r="I305" s="19">
        <f>ABS(C305-ADC!I305)</f>
        <v>2.1868480983018301E-3</v>
      </c>
    </row>
    <row r="306" spans="1:9" x14ac:dyDescent="0.25">
      <c r="A306" s="5">
        <v>304</v>
      </c>
      <c r="B306" s="5">
        <f t="shared" si="13"/>
        <v>50.400000000000006</v>
      </c>
      <c r="C306" s="21">
        <f t="shared" si="14"/>
        <v>2.5333329999999998</v>
      </c>
      <c r="D306" s="16"/>
      <c r="E306" s="19">
        <f>(ADC!I306+5/3)/(1/12)</f>
        <v>50.436768345580838</v>
      </c>
      <c r="F306" s="20">
        <f t="shared" si="12"/>
        <v>7.2953066628634645E-4</v>
      </c>
      <c r="G306" s="2"/>
      <c r="H306" s="2"/>
      <c r="I306" s="19">
        <f>ABS(C306-ADC!I306)</f>
        <v>3.0643621317367753E-3</v>
      </c>
    </row>
    <row r="307" spans="1:9" x14ac:dyDescent="0.25">
      <c r="A307" s="5">
        <v>305</v>
      </c>
      <c r="B307" s="5">
        <f t="shared" si="13"/>
        <v>50.5</v>
      </c>
      <c r="C307" s="21">
        <f t="shared" si="14"/>
        <v>2.5416669999999999</v>
      </c>
      <c r="D307" s="16"/>
      <c r="E307" s="19">
        <f>(ADC!I307+5/3)/(1/12)</f>
        <v>50.547520112825836</v>
      </c>
      <c r="F307" s="20">
        <f t="shared" si="12"/>
        <v>9.4099233318487594E-4</v>
      </c>
      <c r="G307" s="2"/>
      <c r="H307" s="2"/>
      <c r="I307" s="19">
        <f>ABS(C307-ADC!I307)</f>
        <v>3.9596760688196397E-3</v>
      </c>
    </row>
    <row r="308" spans="1:9" x14ac:dyDescent="0.25">
      <c r="A308" s="5">
        <v>306</v>
      </c>
      <c r="B308" s="5">
        <f t="shared" si="13"/>
        <v>50.6</v>
      </c>
      <c r="C308" s="21">
        <f t="shared" si="14"/>
        <v>2.5499999999999998</v>
      </c>
      <c r="D308" s="16"/>
      <c r="E308" s="19">
        <f>(ADC!I308+5/3)/(1/12)</f>
        <v>50.658496119974721</v>
      </c>
      <c r="F308" s="20">
        <f t="shared" si="12"/>
        <v>1.1560498018719331E-3</v>
      </c>
      <c r="G308" s="2"/>
      <c r="H308" s="2"/>
      <c r="I308" s="19">
        <f>ABS(C308-ADC!I308)</f>
        <v>4.8746766645604289E-3</v>
      </c>
    </row>
    <row r="309" spans="1:9" x14ac:dyDescent="0.25">
      <c r="A309" s="5">
        <v>307</v>
      </c>
      <c r="B309" s="5">
        <f t="shared" si="13"/>
        <v>50.7</v>
      </c>
      <c r="C309" s="21">
        <f t="shared" si="14"/>
        <v>2.5583330000000002</v>
      </c>
      <c r="D309" s="16"/>
      <c r="E309" s="19">
        <f>(ADC!I309+5/3)/(1/12)</f>
        <v>50.76969499900958</v>
      </c>
      <c r="F309" s="20">
        <f t="shared" si="12"/>
        <v>1.3746548128121779E-3</v>
      </c>
      <c r="G309" s="2"/>
      <c r="H309" s="2"/>
      <c r="I309" s="19">
        <f>ABS(C309-ADC!I309)</f>
        <v>5.8082499174649804E-3</v>
      </c>
    </row>
    <row r="310" spans="1:9" x14ac:dyDescent="0.25">
      <c r="A310" s="5">
        <v>308</v>
      </c>
      <c r="B310" s="5">
        <f t="shared" si="13"/>
        <v>50.8</v>
      </c>
      <c r="C310" s="21">
        <f t="shared" si="14"/>
        <v>2.5666669999999998</v>
      </c>
      <c r="D310" s="16"/>
      <c r="E310" s="19">
        <f>(ADC!I310+5/3)/(1/12)</f>
        <v>50.881115395180572</v>
      </c>
      <c r="F310" s="20">
        <f t="shared" si="12"/>
        <v>1.5967597476491137E-3</v>
      </c>
      <c r="G310" s="2"/>
      <c r="H310" s="2"/>
      <c r="I310" s="19">
        <f>ABS(C310-ADC!I310)</f>
        <v>6.7592829317142389E-3</v>
      </c>
    </row>
    <row r="311" spans="1:9" x14ac:dyDescent="0.25">
      <c r="A311" s="5">
        <v>309</v>
      </c>
      <c r="B311" s="5">
        <f t="shared" si="13"/>
        <v>50.900000000000006</v>
      </c>
      <c r="C311" s="21">
        <f t="shared" si="14"/>
        <v>2.5750000000000002</v>
      </c>
      <c r="D311" s="16"/>
      <c r="E311" s="19">
        <f>(ADC!I311+5/3)/(1/12)</f>
        <v>50.99275594448509</v>
      </c>
      <c r="F311" s="20">
        <f t="shared" si="12"/>
        <v>1.8223171804535221E-3</v>
      </c>
      <c r="G311" s="2"/>
      <c r="H311" s="2"/>
      <c r="I311" s="19">
        <f>ABS(C311-ADC!I311)</f>
        <v>7.7296620404241345E-3</v>
      </c>
    </row>
    <row r="312" spans="1:9" x14ac:dyDescent="0.25">
      <c r="A312" s="5">
        <v>310</v>
      </c>
      <c r="B312" s="5">
        <f t="shared" si="13"/>
        <v>51</v>
      </c>
      <c r="C312" s="21">
        <f t="shared" si="14"/>
        <v>2.5833330000000001</v>
      </c>
      <c r="D312" s="16"/>
      <c r="E312" s="19">
        <f>(ADC!I312+5/3)/(1/12)</f>
        <v>51.104615284316914</v>
      </c>
      <c r="F312" s="20">
        <f t="shared" si="12"/>
        <v>2.051280084645371E-3</v>
      </c>
      <c r="G312" s="2"/>
      <c r="H312" s="2"/>
      <c r="I312" s="19">
        <f>ABS(C312-ADC!I312)</f>
        <v>8.7182736930762061E-3</v>
      </c>
    </row>
    <row r="313" spans="1:9" x14ac:dyDescent="0.25">
      <c r="A313" s="5">
        <v>311</v>
      </c>
      <c r="B313" s="5">
        <f t="shared" si="13"/>
        <v>51.1</v>
      </c>
      <c r="C313" s="21">
        <f t="shared" si="14"/>
        <v>2.5916670000000002</v>
      </c>
      <c r="D313" s="16"/>
      <c r="E313" s="19">
        <f>(ADC!I313+5/3)/(1/12)</f>
        <v>51.216692046309198</v>
      </c>
      <c r="F313" s="20">
        <f t="shared" si="12"/>
        <v>2.2836016890253803E-3</v>
      </c>
      <c r="G313" s="2"/>
      <c r="H313" s="2"/>
      <c r="I313" s="19">
        <f>ABS(C313-ADC!I313)</f>
        <v>9.7240038590991063E-3</v>
      </c>
    </row>
    <row r="314" spans="1:9" x14ac:dyDescent="0.25">
      <c r="A314" s="5">
        <v>312</v>
      </c>
      <c r="B314" s="5">
        <f t="shared" si="13"/>
        <v>51.2</v>
      </c>
      <c r="C314" s="21">
        <f t="shared" si="14"/>
        <v>2.6</v>
      </c>
      <c r="D314" s="16"/>
      <c r="E314" s="19">
        <f>(ADC!I314+5/3)/(1/12)</f>
        <v>51.321054691289682</v>
      </c>
      <c r="F314" s="20">
        <f t="shared" si="12"/>
        <v>2.3643494392515396E-3</v>
      </c>
      <c r="G314" s="2"/>
      <c r="H314" s="2"/>
      <c r="I314" s="19">
        <f>ABS(C314-ADC!I314)</f>
        <v>1.0087890940806421E-2</v>
      </c>
    </row>
    <row r="315" spans="1:9" x14ac:dyDescent="0.25">
      <c r="A315" s="5">
        <v>313</v>
      </c>
      <c r="B315" s="5">
        <f t="shared" si="13"/>
        <v>51.3</v>
      </c>
      <c r="C315" s="21">
        <f t="shared" si="14"/>
        <v>2.608333</v>
      </c>
      <c r="D315" s="16"/>
      <c r="E315" s="19">
        <f>(ADC!I315+5/3)/(1/12)</f>
        <v>51.425658661385164</v>
      </c>
      <c r="F315" s="20">
        <f t="shared" si="12"/>
        <v>2.4494865767089023E-3</v>
      </c>
      <c r="G315" s="2"/>
      <c r="H315" s="2"/>
      <c r="I315" s="19">
        <f>ABS(C315-ADC!I315)</f>
        <v>1.0471888448763789E-2</v>
      </c>
    </row>
    <row r="316" spans="1:9" x14ac:dyDescent="0.25">
      <c r="A316" s="5">
        <v>314</v>
      </c>
      <c r="B316" s="5">
        <f t="shared" si="13"/>
        <v>51.400000000000006</v>
      </c>
      <c r="C316" s="21">
        <f t="shared" si="14"/>
        <v>2.6166670000000001</v>
      </c>
      <c r="D316" s="16"/>
      <c r="E316" s="19">
        <f>(ADC!I316+5/3)/(1/12)</f>
        <v>51.538406095601317</v>
      </c>
      <c r="F316" s="20">
        <f t="shared" si="12"/>
        <v>2.6927255953562556E-3</v>
      </c>
      <c r="G316" s="2"/>
      <c r="H316" s="2"/>
      <c r="I316" s="19">
        <f>ABS(C316-ADC!I316)</f>
        <v>1.1533507966775769E-2</v>
      </c>
    </row>
    <row r="317" spans="1:9" x14ac:dyDescent="0.25">
      <c r="A317" s="5">
        <v>315</v>
      </c>
      <c r="B317" s="5">
        <f t="shared" si="13"/>
        <v>51.5</v>
      </c>
      <c r="C317" s="21">
        <f t="shared" si="14"/>
        <v>2.625</v>
      </c>
      <c r="D317" s="16"/>
      <c r="E317" s="19">
        <f>(ADC!I317+5/3)/(1/12)</f>
        <v>51.643475256239164</v>
      </c>
      <c r="F317" s="20">
        <f t="shared" si="12"/>
        <v>2.7859273056148287E-3</v>
      </c>
      <c r="G317" s="2"/>
      <c r="H317" s="2"/>
      <c r="I317" s="19">
        <f>ABS(C317-ADC!I317)</f>
        <v>1.1956271353263048E-2</v>
      </c>
    </row>
    <row r="318" spans="1:9" x14ac:dyDescent="0.25">
      <c r="A318" s="5">
        <v>316</v>
      </c>
      <c r="B318" s="5">
        <f t="shared" si="13"/>
        <v>51.6</v>
      </c>
      <c r="C318" s="21">
        <f t="shared" si="14"/>
        <v>2.6333329999999999</v>
      </c>
      <c r="D318" s="16"/>
      <c r="E318" s="19">
        <f>(ADC!I318+5/3)/(1/12)</f>
        <v>51.756658507367703</v>
      </c>
      <c r="F318" s="20">
        <f t="shared" si="12"/>
        <v>3.036017584645384E-3</v>
      </c>
      <c r="G318" s="2"/>
      <c r="H318" s="2"/>
      <c r="I318" s="19">
        <f>ABS(C318-ADC!I318)</f>
        <v>1.3055208947308383E-2</v>
      </c>
    </row>
    <row r="319" spans="1:9" x14ac:dyDescent="0.25">
      <c r="A319" s="5">
        <v>317</v>
      </c>
      <c r="B319" s="5">
        <f t="shared" si="13"/>
        <v>51.7</v>
      </c>
      <c r="C319" s="21">
        <f t="shared" si="14"/>
        <v>2.641667</v>
      </c>
      <c r="D319" s="16"/>
      <c r="E319" s="19">
        <f>(ADC!I319+5/3)/(1/12)</f>
        <v>51.87005095264621</v>
      </c>
      <c r="F319" s="20">
        <f t="shared" si="12"/>
        <v>3.2891867049556489E-3</v>
      </c>
      <c r="G319" s="2"/>
      <c r="H319" s="2"/>
      <c r="I319" s="19">
        <f>ABS(C319-ADC!I319)</f>
        <v>1.4170579387184024E-2</v>
      </c>
    </row>
    <row r="320" spans="1:9" x14ac:dyDescent="0.25">
      <c r="A320" s="5">
        <v>318</v>
      </c>
      <c r="B320" s="5">
        <f t="shared" si="13"/>
        <v>51.8</v>
      </c>
      <c r="C320" s="21">
        <f t="shared" si="14"/>
        <v>2.65</v>
      </c>
      <c r="D320" s="16"/>
      <c r="E320" s="19">
        <f>(ADC!I320+5/3)/(1/12)</f>
        <v>51.98365122458047</v>
      </c>
      <c r="F320" s="20">
        <f t="shared" si="12"/>
        <v>3.5453904359164612E-3</v>
      </c>
      <c r="G320" s="2"/>
      <c r="H320" s="2"/>
      <c r="I320" s="19">
        <f>ABS(C320-ADC!I320)</f>
        <v>1.5304268715038649E-2</v>
      </c>
    </row>
    <row r="321" spans="1:9" x14ac:dyDescent="0.25">
      <c r="A321" s="5">
        <v>319</v>
      </c>
      <c r="B321" s="5">
        <f t="shared" si="13"/>
        <v>51.900000000000006</v>
      </c>
      <c r="C321" s="21">
        <f t="shared" si="14"/>
        <v>2.6583329999999998</v>
      </c>
      <c r="D321" s="16"/>
      <c r="E321" s="19">
        <f>(ADC!I321+5/3)/(1/12)</f>
        <v>52.09745794782021</v>
      </c>
      <c r="F321" s="20">
        <f t="shared" si="12"/>
        <v>3.8045847364201256E-3</v>
      </c>
      <c r="G321" s="2"/>
      <c r="H321" s="2"/>
      <c r="I321" s="19">
        <f>ABS(C321-ADC!I321)</f>
        <v>1.6455162318350425E-2</v>
      </c>
    </row>
    <row r="322" spans="1:9" x14ac:dyDescent="0.25">
      <c r="A322" s="5">
        <v>320</v>
      </c>
      <c r="B322" s="5">
        <f t="shared" si="13"/>
        <v>52</v>
      </c>
      <c r="C322" s="21">
        <f t="shared" si="14"/>
        <v>2.6666669999999999</v>
      </c>
      <c r="D322" s="16"/>
      <c r="E322" s="19">
        <f>(ADC!I322+5/3)/(1/12)</f>
        <v>52.211469742824796</v>
      </c>
      <c r="F322" s="20">
        <f t="shared" ref="F322:F385" si="15">ABS(B322-E322)/B322</f>
        <v>4.0667258235537783E-3</v>
      </c>
      <c r="G322" s="2"/>
      <c r="H322" s="2"/>
      <c r="I322" s="19">
        <f>ABS(C322-ADC!I322)</f>
        <v>1.7622145235399511E-2</v>
      </c>
    </row>
    <row r="323" spans="1:9" x14ac:dyDescent="0.25">
      <c r="A323" s="5">
        <v>321</v>
      </c>
      <c r="B323" s="5">
        <f t="shared" ref="B323:B386" si="16">0.1*A323+20</f>
        <v>52.1</v>
      </c>
      <c r="C323" s="21">
        <f t="shared" ref="C323:C386" si="17">ROUND(1/12*B323-5/3,6)</f>
        <v>2.6749999999999998</v>
      </c>
      <c r="D323" s="16"/>
      <c r="E323" s="19">
        <f>(ADC!I323+5/3)/(1/12)</f>
        <v>52.317874775838582</v>
      </c>
      <c r="F323" s="20">
        <f t="shared" si="15"/>
        <v>4.1818575017002124E-3</v>
      </c>
      <c r="G323" s="2"/>
      <c r="H323" s="2"/>
      <c r="I323" s="19">
        <f>ABS(C323-ADC!I323)</f>
        <v>1.8156231319881755E-2</v>
      </c>
    </row>
    <row r="324" spans="1:9" x14ac:dyDescent="0.25">
      <c r="A324" s="5">
        <v>322</v>
      </c>
      <c r="B324" s="5">
        <f t="shared" si="16"/>
        <v>52.2</v>
      </c>
      <c r="C324" s="21">
        <f t="shared" si="17"/>
        <v>2.6833330000000002</v>
      </c>
      <c r="D324" s="16"/>
      <c r="E324" s="19">
        <f>(ADC!I324+5/3)/(1/12)</f>
        <v>52.432305873773906</v>
      </c>
      <c r="F324" s="20">
        <f t="shared" si="15"/>
        <v>4.4503040952855021E-3</v>
      </c>
      <c r="G324" s="2"/>
      <c r="H324" s="2"/>
      <c r="I324" s="19">
        <f>ABS(C324-ADC!I324)</f>
        <v>1.9359156147825018E-2</v>
      </c>
    </row>
    <row r="325" spans="1:9" x14ac:dyDescent="0.25">
      <c r="A325" s="5">
        <v>323</v>
      </c>
      <c r="B325" s="5">
        <f t="shared" si="16"/>
        <v>52.300000000000004</v>
      </c>
      <c r="C325" s="21">
        <f t="shared" si="17"/>
        <v>2.6916669999999998</v>
      </c>
      <c r="D325" s="16"/>
      <c r="E325" s="19">
        <f>(ADC!I325+5/3)/(1/12)</f>
        <v>52.53915402293844</v>
      </c>
      <c r="F325" s="20">
        <f t="shared" si="15"/>
        <v>4.5727346642148396E-3</v>
      </c>
      <c r="G325" s="2"/>
      <c r="H325" s="2"/>
      <c r="I325" s="19">
        <f>ABS(C325-ADC!I325)</f>
        <v>1.9929168578203704E-2</v>
      </c>
    </row>
    <row r="326" spans="1:9" x14ac:dyDescent="0.25">
      <c r="A326" s="5">
        <v>324</v>
      </c>
      <c r="B326" s="5">
        <f t="shared" si="16"/>
        <v>52.4</v>
      </c>
      <c r="C326" s="21">
        <f t="shared" si="17"/>
        <v>2.7</v>
      </c>
      <c r="D326" s="16"/>
      <c r="E326" s="19">
        <f>(ADC!I326+5/3)/(1/12)</f>
        <v>52.646228292944407</v>
      </c>
      <c r="F326" s="20">
        <f t="shared" si="15"/>
        <v>4.6990132241299352E-3</v>
      </c>
      <c r="G326" s="2"/>
      <c r="H326" s="2"/>
      <c r="I326" s="19">
        <f>ABS(C326-ADC!I326)</f>
        <v>2.0519024412033904E-2</v>
      </c>
    </row>
    <row r="327" spans="1:9" x14ac:dyDescent="0.25">
      <c r="A327" s="5">
        <v>325</v>
      </c>
      <c r="B327" s="5">
        <f t="shared" si="16"/>
        <v>52.5</v>
      </c>
      <c r="C327" s="21">
        <f t="shared" si="17"/>
        <v>2.7083330000000001</v>
      </c>
      <c r="D327" s="16"/>
      <c r="E327" s="19">
        <f>(ADC!I327+5/3)/(1/12)</f>
        <v>52.76128460950094</v>
      </c>
      <c r="F327" s="20">
        <f t="shared" si="15"/>
        <v>4.9768497047798137E-3</v>
      </c>
      <c r="G327" s="2"/>
      <c r="H327" s="2"/>
      <c r="I327" s="19">
        <f>ABS(C327-ADC!I327)</f>
        <v>2.1774050791744326E-2</v>
      </c>
    </row>
    <row r="328" spans="1:9" x14ac:dyDescent="0.25">
      <c r="A328" s="5">
        <v>326</v>
      </c>
      <c r="B328" s="5">
        <f t="shared" si="16"/>
        <v>52.6</v>
      </c>
      <c r="C328" s="21">
        <f t="shared" si="17"/>
        <v>2.7166670000000002</v>
      </c>
      <c r="D328" s="16"/>
      <c r="E328" s="19">
        <f>(ADC!I328+5/3)/(1/12)</f>
        <v>52.868793676690601</v>
      </c>
      <c r="F328" s="20">
        <f t="shared" si="15"/>
        <v>5.1101459446881974E-3</v>
      </c>
      <c r="G328" s="2"/>
      <c r="H328" s="2"/>
      <c r="I328" s="19">
        <f>ABS(C328-ADC!I328)</f>
        <v>2.2399139724216255E-2</v>
      </c>
    </row>
    <row r="329" spans="1:9" x14ac:dyDescent="0.25">
      <c r="A329" s="5">
        <v>327</v>
      </c>
      <c r="B329" s="5">
        <f t="shared" si="16"/>
        <v>52.7</v>
      </c>
      <c r="C329" s="21">
        <f t="shared" si="17"/>
        <v>2.7250000000000001</v>
      </c>
      <c r="D329" s="16"/>
      <c r="E329" s="19">
        <f>(ADC!I329+5/3)/(1/12)</f>
        <v>52.976524696247203</v>
      </c>
      <c r="F329" s="20">
        <f t="shared" si="15"/>
        <v>5.2471479363795171E-3</v>
      </c>
      <c r="G329" s="2"/>
      <c r="H329" s="2"/>
      <c r="I329" s="19">
        <f>ABS(C329-ADC!I329)</f>
        <v>2.3043724687267009E-2</v>
      </c>
    </row>
    <row r="330" spans="1:9" x14ac:dyDescent="0.25">
      <c r="A330" s="5">
        <v>328</v>
      </c>
      <c r="B330" s="5">
        <f t="shared" si="16"/>
        <v>52.800000000000004</v>
      </c>
      <c r="C330" s="21">
        <f t="shared" si="17"/>
        <v>2.733333</v>
      </c>
      <c r="D330" s="16"/>
      <c r="E330" s="19">
        <f>(ADC!I330+5/3)/(1/12)</f>
        <v>53.084476273441894</v>
      </c>
      <c r="F330" s="20">
        <f t="shared" si="15"/>
        <v>5.3878082091266908E-3</v>
      </c>
      <c r="G330" s="2"/>
      <c r="H330" s="2"/>
      <c r="I330" s="19">
        <f>ABS(C330-ADC!I330)</f>
        <v>2.370668945349097E-2</v>
      </c>
    </row>
    <row r="331" spans="1:9" x14ac:dyDescent="0.25">
      <c r="A331" s="5">
        <v>329</v>
      </c>
      <c r="B331" s="5">
        <f t="shared" si="16"/>
        <v>52.9</v>
      </c>
      <c r="C331" s="21">
        <f t="shared" si="17"/>
        <v>2.7416670000000001</v>
      </c>
      <c r="D331" s="16"/>
      <c r="E331" s="19">
        <f>(ADC!I331+5/3)/(1/12)</f>
        <v>53.192647022449222</v>
      </c>
      <c r="F331" s="20">
        <f t="shared" si="15"/>
        <v>5.53207981945602E-3</v>
      </c>
      <c r="G331" s="2"/>
      <c r="H331" s="2"/>
      <c r="I331" s="19">
        <f>ABS(C331-ADC!I331)</f>
        <v>2.4386918537434799E-2</v>
      </c>
    </row>
    <row r="332" spans="1:9" x14ac:dyDescent="0.25">
      <c r="A332" s="5">
        <v>330</v>
      </c>
      <c r="B332" s="5">
        <f t="shared" si="16"/>
        <v>53</v>
      </c>
      <c r="C332" s="21">
        <f t="shared" si="17"/>
        <v>2.75</v>
      </c>
      <c r="D332" s="16"/>
      <c r="E332" s="19">
        <f>(ADC!I332+5/3)/(1/12)</f>
        <v>53.301035539636779</v>
      </c>
      <c r="F332" s="20">
        <f t="shared" si="15"/>
        <v>5.6799158422033685E-3</v>
      </c>
      <c r="G332" s="2"/>
      <c r="H332" s="2"/>
      <c r="I332" s="19">
        <f>ABS(C332-ADC!I332)</f>
        <v>2.5086294969731693E-2</v>
      </c>
    </row>
    <row r="333" spans="1:9" x14ac:dyDescent="0.25">
      <c r="A333" s="5">
        <v>331</v>
      </c>
      <c r="B333" s="5">
        <f t="shared" si="16"/>
        <v>53.1</v>
      </c>
      <c r="C333" s="21">
        <f t="shared" si="17"/>
        <v>2.7583329999999999</v>
      </c>
      <c r="D333" s="16"/>
      <c r="E333" s="19">
        <f>(ADC!I333+5/3)/(1/12)</f>
        <v>53.40964043254526</v>
      </c>
      <c r="F333" s="20">
        <f t="shared" si="15"/>
        <v>5.831269916106557E-3</v>
      </c>
      <c r="G333" s="2"/>
      <c r="H333" s="2"/>
      <c r="I333" s="19">
        <f>ABS(C333-ADC!I333)</f>
        <v>2.5803702712105192E-2</v>
      </c>
    </row>
    <row r="334" spans="1:9" x14ac:dyDescent="0.25">
      <c r="A334" s="5">
        <v>332</v>
      </c>
      <c r="B334" s="5">
        <f t="shared" si="16"/>
        <v>53.2</v>
      </c>
      <c r="C334" s="21">
        <f t="shared" si="17"/>
        <v>2.766667</v>
      </c>
      <c r="D334" s="16"/>
      <c r="E334" s="19">
        <f>(ADC!I334+5/3)/(1/12)</f>
        <v>53.526124730849197</v>
      </c>
      <c r="F334" s="20">
        <f t="shared" si="15"/>
        <v>6.1301641137066643E-3</v>
      </c>
      <c r="G334" s="2"/>
      <c r="H334" s="2"/>
      <c r="I334" s="19">
        <f>ABS(C334-ADC!I334)</f>
        <v>2.7176727570766168E-2</v>
      </c>
    </row>
    <row r="335" spans="1:9" x14ac:dyDescent="0.25">
      <c r="A335" s="5">
        <v>333</v>
      </c>
      <c r="B335" s="5">
        <f t="shared" si="16"/>
        <v>53.300000000000004</v>
      </c>
      <c r="C335" s="21">
        <f t="shared" si="17"/>
        <v>2.7749999999999999</v>
      </c>
      <c r="D335" s="16"/>
      <c r="E335" s="19">
        <f>(ADC!I335+5/3)/(1/12)</f>
        <v>53.635144931398393</v>
      </c>
      <c r="F335" s="20">
        <f t="shared" si="15"/>
        <v>6.287897399594543E-3</v>
      </c>
      <c r="G335" s="2"/>
      <c r="H335" s="2"/>
      <c r="I335" s="19">
        <f>ABS(C335-ADC!I335)</f>
        <v>2.7928744283199247E-2</v>
      </c>
    </row>
    <row r="336" spans="1:9" x14ac:dyDescent="0.25">
      <c r="A336" s="5">
        <v>334</v>
      </c>
      <c r="B336" s="5">
        <f t="shared" si="16"/>
        <v>53.4</v>
      </c>
      <c r="C336" s="21">
        <f t="shared" si="17"/>
        <v>2.7833329999999998</v>
      </c>
      <c r="D336" s="16"/>
      <c r="E336" s="19">
        <f>(ADC!I336+5/3)/(1/12)</f>
        <v>53.744377316847597</v>
      </c>
      <c r="F336" s="20">
        <f t="shared" si="15"/>
        <v>6.449013424112332E-3</v>
      </c>
      <c r="G336" s="2"/>
      <c r="H336" s="2"/>
      <c r="I336" s="19">
        <f>ABS(C336-ADC!I336)</f>
        <v>2.8698443070632962E-2</v>
      </c>
    </row>
    <row r="337" spans="1:9" x14ac:dyDescent="0.25">
      <c r="A337" s="5">
        <v>335</v>
      </c>
      <c r="B337" s="5">
        <f t="shared" si="16"/>
        <v>53.5</v>
      </c>
      <c r="C337" s="21">
        <f t="shared" si="17"/>
        <v>2.7916669999999999</v>
      </c>
      <c r="D337" s="16"/>
      <c r="E337" s="19">
        <f>(ADC!I337+5/3)/(1/12)</f>
        <v>53.86144519494281</v>
      </c>
      <c r="F337" s="20">
        <f t="shared" si="15"/>
        <v>6.755984952202059E-3</v>
      </c>
      <c r="G337" s="2"/>
      <c r="H337" s="2"/>
      <c r="I337" s="19">
        <f>ABS(C337-ADC!I337)</f>
        <v>3.0120099578567761E-2</v>
      </c>
    </row>
    <row r="338" spans="1:9" x14ac:dyDescent="0.25">
      <c r="A338" s="5">
        <v>336</v>
      </c>
      <c r="B338" s="5">
        <f t="shared" si="16"/>
        <v>53.6</v>
      </c>
      <c r="C338" s="21">
        <f t="shared" si="17"/>
        <v>2.8</v>
      </c>
      <c r="D338" s="16"/>
      <c r="E338" s="19">
        <f>(ADC!I338+5/3)/(1/12)</f>
        <v>53.971084521055879</v>
      </c>
      <c r="F338" s="20">
        <f t="shared" si="15"/>
        <v>6.9232186764156215E-3</v>
      </c>
      <c r="G338" s="2"/>
      <c r="H338" s="2"/>
      <c r="I338" s="19">
        <f>ABS(C338-ADC!I338)</f>
        <v>3.0923710087990219E-2</v>
      </c>
    </row>
    <row r="339" spans="1:9" x14ac:dyDescent="0.25">
      <c r="A339" s="5">
        <v>337</v>
      </c>
      <c r="B339" s="5">
        <f t="shared" si="16"/>
        <v>53.7</v>
      </c>
      <c r="C339" s="21">
        <f t="shared" si="17"/>
        <v>2.8083330000000002</v>
      </c>
      <c r="D339" s="16"/>
      <c r="E339" s="19">
        <f>(ADC!I339+5/3)/(1/12)</f>
        <v>54.080931843517646</v>
      </c>
      <c r="F339" s="20">
        <f t="shared" si="15"/>
        <v>7.0937028588015571E-3</v>
      </c>
      <c r="G339" s="2"/>
      <c r="H339" s="2"/>
      <c r="I339" s="19">
        <f>ABS(C339-ADC!I339)</f>
        <v>3.1744653626470054E-2</v>
      </c>
    </row>
    <row r="340" spans="1:9" x14ac:dyDescent="0.25">
      <c r="A340" s="5">
        <v>338</v>
      </c>
      <c r="B340" s="5">
        <f t="shared" si="16"/>
        <v>53.800000000000004</v>
      </c>
      <c r="C340" s="21">
        <f t="shared" si="17"/>
        <v>2.8166669999999998</v>
      </c>
      <c r="D340" s="16"/>
      <c r="E340" s="19">
        <f>(ADC!I340+5/3)/(1/12)</f>
        <v>54.190985759219245</v>
      </c>
      <c r="F340" s="20">
        <f t="shared" si="15"/>
        <v>7.2673932940379351E-3</v>
      </c>
      <c r="G340" s="2"/>
      <c r="H340" s="2"/>
      <c r="I340" s="19">
        <f>ABS(C340-ADC!I340)</f>
        <v>3.2581813268270032E-2</v>
      </c>
    </row>
    <row r="341" spans="1:9" x14ac:dyDescent="0.25">
      <c r="A341" s="5">
        <v>339</v>
      </c>
      <c r="B341" s="5">
        <f t="shared" si="16"/>
        <v>53.9</v>
      </c>
      <c r="C341" s="21">
        <f t="shared" si="17"/>
        <v>2.8250000000000002</v>
      </c>
      <c r="D341" s="16"/>
      <c r="E341" s="19">
        <f>(ADC!I341+5/3)/(1/12)</f>
        <v>54.301244872384231</v>
      </c>
      <c r="F341" s="20">
        <f t="shared" si="15"/>
        <v>7.4442462408948534E-3</v>
      </c>
      <c r="G341" s="2"/>
      <c r="H341" s="2"/>
      <c r="I341" s="19">
        <f>ABS(C341-ADC!I341)</f>
        <v>3.3437072698685455E-2</v>
      </c>
    </row>
    <row r="342" spans="1:9" x14ac:dyDescent="0.25">
      <c r="A342" s="5">
        <v>340</v>
      </c>
      <c r="B342" s="5">
        <f t="shared" si="16"/>
        <v>54</v>
      </c>
      <c r="C342" s="21">
        <f t="shared" si="17"/>
        <v>2.8333330000000001</v>
      </c>
      <c r="D342" s="16"/>
      <c r="E342" s="19">
        <f>(ADC!I342+5/3)/(1/12)</f>
        <v>54.411707777110493</v>
      </c>
      <c r="F342" s="20">
        <f t="shared" si="15"/>
        <v>7.6242180946387616E-3</v>
      </c>
      <c r="G342" s="2"/>
      <c r="H342" s="2"/>
      <c r="I342" s="19">
        <f>ABS(C342-ADC!I342)</f>
        <v>3.4309314759207066E-2</v>
      </c>
    </row>
    <row r="343" spans="1:9" x14ac:dyDescent="0.25">
      <c r="A343" s="5">
        <v>341</v>
      </c>
      <c r="B343" s="5">
        <f t="shared" si="16"/>
        <v>54.1</v>
      </c>
      <c r="C343" s="21">
        <f t="shared" si="17"/>
        <v>2.8416670000000002</v>
      </c>
      <c r="D343" s="16"/>
      <c r="E343" s="19">
        <f>(ADC!I343+5/3)/(1/12)</f>
        <v>54.522373077796345</v>
      </c>
      <c r="F343" s="20">
        <f t="shared" si="15"/>
        <v>7.8072657633335291E-3</v>
      </c>
      <c r="G343" s="2"/>
      <c r="H343" s="2"/>
      <c r="I343" s="19">
        <f>ABS(C343-ADC!I343)</f>
        <v>3.5197423149694984E-2</v>
      </c>
    </row>
    <row r="344" spans="1:9" x14ac:dyDescent="0.25">
      <c r="A344" s="5">
        <v>342</v>
      </c>
      <c r="B344" s="5">
        <f t="shared" si="16"/>
        <v>54.2</v>
      </c>
      <c r="C344" s="21">
        <f t="shared" si="17"/>
        <v>2.85</v>
      </c>
      <c r="D344" s="16"/>
      <c r="E344" s="19">
        <f>(ADC!I344+5/3)/(1/12)</f>
        <v>54.633239364524094</v>
      </c>
      <c r="F344" s="20">
        <f t="shared" si="15"/>
        <v>7.9933462089315736E-3</v>
      </c>
      <c r="G344" s="2"/>
      <c r="H344" s="2"/>
      <c r="I344" s="19">
        <f>ABS(C344-ADC!I344)</f>
        <v>3.6103280377007607E-2</v>
      </c>
    </row>
    <row r="345" spans="1:9" x14ac:dyDescent="0.25">
      <c r="A345" s="5">
        <v>343</v>
      </c>
      <c r="B345" s="5">
        <f t="shared" si="16"/>
        <v>54.300000000000004</v>
      </c>
      <c r="C345" s="21">
        <f t="shared" si="17"/>
        <v>2.858333</v>
      </c>
      <c r="D345" s="16"/>
      <c r="E345" s="19">
        <f>(ADC!I345+5/3)/(1/12)</f>
        <v>54.729267413226481</v>
      </c>
      <c r="F345" s="20">
        <f t="shared" si="15"/>
        <v>7.9054772233236904E-3</v>
      </c>
      <c r="G345" s="2"/>
      <c r="H345" s="2"/>
      <c r="I345" s="19">
        <f>ABS(C345-ADC!I345)</f>
        <v>3.5772617768873083E-2</v>
      </c>
    </row>
    <row r="346" spans="1:9" x14ac:dyDescent="0.25">
      <c r="A346" s="5">
        <v>344</v>
      </c>
      <c r="B346" s="5">
        <f t="shared" si="16"/>
        <v>54.4</v>
      </c>
      <c r="C346" s="21">
        <f t="shared" si="17"/>
        <v>2.8666670000000001</v>
      </c>
      <c r="D346" s="16"/>
      <c r="E346" s="19">
        <f>(ADC!I346+5/3)/(1/12)</f>
        <v>54.840557870906245</v>
      </c>
      <c r="F346" s="20">
        <f t="shared" si="15"/>
        <v>8.0984902740118894E-3</v>
      </c>
      <c r="G346" s="2"/>
      <c r="H346" s="2"/>
      <c r="I346" s="19">
        <f>ABS(C346-ADC!I346)</f>
        <v>3.6712822575519777E-2</v>
      </c>
    </row>
    <row r="347" spans="1:9" x14ac:dyDescent="0.25">
      <c r="A347" s="5">
        <v>345</v>
      </c>
      <c r="B347" s="5">
        <f t="shared" si="16"/>
        <v>54.5</v>
      </c>
      <c r="C347" s="21">
        <f t="shared" si="17"/>
        <v>2.875</v>
      </c>
      <c r="D347" s="16"/>
      <c r="E347" s="19">
        <f>(ADC!I347+5/3)/(1/12)</f>
        <v>54.952045102159005</v>
      </c>
      <c r="F347" s="20">
        <f t="shared" si="15"/>
        <v>8.2944055442019243E-3</v>
      </c>
      <c r="G347" s="2"/>
      <c r="H347" s="2"/>
      <c r="I347" s="19">
        <f>ABS(C347-ADC!I347)</f>
        <v>3.7670425179916922E-2</v>
      </c>
    </row>
    <row r="348" spans="1:9" x14ac:dyDescent="0.25">
      <c r="A348" s="5">
        <v>346</v>
      </c>
      <c r="B348" s="5">
        <f t="shared" si="16"/>
        <v>54.6</v>
      </c>
      <c r="C348" s="21">
        <f t="shared" si="17"/>
        <v>2.8833329999999999</v>
      </c>
      <c r="D348" s="16"/>
      <c r="E348" s="19">
        <f>(ADC!I348+5/3)/(1/12)</f>
        <v>55.063727702130258</v>
      </c>
      <c r="F348" s="20">
        <f t="shared" si="15"/>
        <v>8.4931813576970064E-3</v>
      </c>
      <c r="G348" s="2"/>
      <c r="H348" s="2"/>
      <c r="I348" s="19">
        <f>ABS(C348-ADC!I348)</f>
        <v>3.8644308510854763E-2</v>
      </c>
    </row>
    <row r="349" spans="1:9" x14ac:dyDescent="0.25">
      <c r="A349" s="5">
        <v>347</v>
      </c>
      <c r="B349" s="5">
        <f t="shared" si="16"/>
        <v>54.7</v>
      </c>
      <c r="C349" s="21">
        <f t="shared" si="17"/>
        <v>2.891667</v>
      </c>
      <c r="D349" s="16"/>
      <c r="E349" s="19">
        <f>(ADC!I349+5/3)/(1/12)</f>
        <v>55.168138146560644</v>
      </c>
      <c r="F349" s="20">
        <f t="shared" si="15"/>
        <v>8.5582842150025706E-3</v>
      </c>
      <c r="G349" s="2"/>
      <c r="H349" s="2"/>
      <c r="I349" s="19">
        <f>ABS(C349-ADC!I349)</f>
        <v>3.9011178880053787E-2</v>
      </c>
    </row>
    <row r="350" spans="1:9" x14ac:dyDescent="0.25">
      <c r="A350" s="5">
        <v>348</v>
      </c>
      <c r="B350" s="5">
        <f t="shared" si="16"/>
        <v>54.800000000000004</v>
      </c>
      <c r="C350" s="21">
        <f t="shared" si="17"/>
        <v>2.9</v>
      </c>
      <c r="D350" s="16"/>
      <c r="E350" s="19">
        <f>(ADC!I350+5/3)/(1/12)</f>
        <v>55.280220450282847</v>
      </c>
      <c r="F350" s="20">
        <f t="shared" si="15"/>
        <v>8.7631469029715893E-3</v>
      </c>
      <c r="G350" s="2"/>
      <c r="H350" s="2"/>
      <c r="I350" s="19">
        <f>ABS(C350-ADC!I350)</f>
        <v>4.0018370856904184E-2</v>
      </c>
    </row>
    <row r="351" spans="1:9" x14ac:dyDescent="0.25">
      <c r="A351" s="5">
        <v>349</v>
      </c>
      <c r="B351" s="5">
        <f t="shared" si="16"/>
        <v>54.9</v>
      </c>
      <c r="C351" s="21">
        <f t="shared" si="17"/>
        <v>2.9083329999999998</v>
      </c>
      <c r="D351" s="16"/>
      <c r="E351" s="19">
        <f>(ADC!I351+5/3)/(1/12)</f>
        <v>55.392493910603676</v>
      </c>
      <c r="F351" s="20">
        <f t="shared" si="15"/>
        <v>8.970745184037841E-3</v>
      </c>
      <c r="G351" s="2"/>
      <c r="H351" s="2"/>
      <c r="I351" s="19">
        <f>ABS(C351-ADC!I351)</f>
        <v>4.1041492550306202E-2</v>
      </c>
    </row>
    <row r="352" spans="1:9" x14ac:dyDescent="0.25">
      <c r="A352" s="5">
        <v>350</v>
      </c>
      <c r="B352" s="5">
        <f t="shared" si="16"/>
        <v>55</v>
      </c>
      <c r="C352" s="21">
        <f t="shared" si="17"/>
        <v>2.9166669999999999</v>
      </c>
      <c r="D352" s="16"/>
      <c r="E352" s="19">
        <f>(ADC!I352+5/3)/(1/12)</f>
        <v>55.504957122843145</v>
      </c>
      <c r="F352" s="20">
        <f t="shared" si="15"/>
        <v>9.1810385971480852E-3</v>
      </c>
      <c r="G352" s="2"/>
      <c r="H352" s="2"/>
      <c r="I352" s="19">
        <f>ABS(C352-ADC!I352)</f>
        <v>4.2079426903594896E-2</v>
      </c>
    </row>
    <row r="353" spans="1:9" x14ac:dyDescent="0.25">
      <c r="A353" s="5">
        <v>351</v>
      </c>
      <c r="B353" s="5">
        <f t="shared" si="16"/>
        <v>55.1</v>
      </c>
      <c r="C353" s="21">
        <f t="shared" si="17"/>
        <v>2.9249999999999998</v>
      </c>
      <c r="D353" s="16"/>
      <c r="E353" s="19">
        <f>(ADC!I353+5/3)/(1/12)</f>
        <v>55.617608682321205</v>
      </c>
      <c r="F353" s="20">
        <f t="shared" si="15"/>
        <v>9.3939869749764641E-3</v>
      </c>
      <c r="G353" s="2"/>
      <c r="H353" s="2"/>
      <c r="I353" s="19">
        <f>ABS(C353-ADC!I353)</f>
        <v>4.3134056860099967E-2</v>
      </c>
    </row>
    <row r="354" spans="1:9" x14ac:dyDescent="0.25">
      <c r="A354" s="5">
        <v>352</v>
      </c>
      <c r="B354" s="5">
        <f t="shared" si="16"/>
        <v>55.2</v>
      </c>
      <c r="C354" s="21">
        <f t="shared" si="17"/>
        <v>2.9333330000000002</v>
      </c>
      <c r="D354" s="16"/>
      <c r="E354" s="19">
        <f>(ADC!I354+5/3)/(1/12)</f>
        <v>55.723046892177848</v>
      </c>
      <c r="F354" s="20">
        <f t="shared" si="15"/>
        <v>9.4754871771348774E-3</v>
      </c>
      <c r="G354" s="2"/>
      <c r="H354" s="2"/>
      <c r="I354" s="19">
        <f>ABS(C354-ADC!I354)</f>
        <v>4.3587574348153524E-2</v>
      </c>
    </row>
    <row r="355" spans="1:9" x14ac:dyDescent="0.25">
      <c r="A355" s="5">
        <v>353</v>
      </c>
      <c r="B355" s="5">
        <f t="shared" si="16"/>
        <v>55.300000000000004</v>
      </c>
      <c r="C355" s="21">
        <f t="shared" si="17"/>
        <v>2.9416669999999998</v>
      </c>
      <c r="D355" s="16"/>
      <c r="E355" s="19">
        <f>(ADC!I355+5/3)/(1/12)</f>
        <v>55.836084084339497</v>
      </c>
      <c r="F355" s="20">
        <f t="shared" si="15"/>
        <v>9.6941064075857595E-3</v>
      </c>
      <c r="G355" s="2"/>
      <c r="H355" s="2"/>
      <c r="I355" s="19">
        <f>ABS(C355-ADC!I355)</f>
        <v>4.4673340361625069E-2</v>
      </c>
    </row>
    <row r="356" spans="1:9" x14ac:dyDescent="0.25">
      <c r="A356" s="5">
        <v>354</v>
      </c>
      <c r="B356" s="5">
        <f t="shared" si="16"/>
        <v>55.4</v>
      </c>
      <c r="C356" s="21">
        <f t="shared" si="17"/>
        <v>2.95</v>
      </c>
      <c r="D356" s="16"/>
      <c r="E356" s="19">
        <f>(ADC!I356+5/3)/(1/12)</f>
        <v>55.941931414156862</v>
      </c>
      <c r="F356" s="20">
        <f t="shared" si="15"/>
        <v>9.782155490196091E-3</v>
      </c>
      <c r="G356" s="2"/>
      <c r="H356" s="2"/>
      <c r="I356" s="19">
        <f>ABS(C356-ADC!I356)</f>
        <v>4.5160951179737729E-2</v>
      </c>
    </row>
    <row r="357" spans="1:9" x14ac:dyDescent="0.25">
      <c r="A357" s="5">
        <v>355</v>
      </c>
      <c r="B357" s="5">
        <f t="shared" si="16"/>
        <v>55.5</v>
      </c>
      <c r="C357" s="21">
        <f t="shared" si="17"/>
        <v>2.9583330000000001</v>
      </c>
      <c r="D357" s="16"/>
      <c r="E357" s="19">
        <f>(ADC!I357+5/3)/(1/12)</f>
        <v>56.055348600205065</v>
      </c>
      <c r="F357" s="20">
        <f t="shared" si="15"/>
        <v>1.000628108477594E-2</v>
      </c>
      <c r="G357" s="2"/>
      <c r="H357" s="2"/>
      <c r="I357" s="19">
        <f>ABS(C357-ADC!I357)</f>
        <v>4.627938335042181E-2</v>
      </c>
    </row>
    <row r="358" spans="1:9" x14ac:dyDescent="0.25">
      <c r="A358" s="5">
        <v>356</v>
      </c>
      <c r="B358" s="5">
        <f t="shared" si="16"/>
        <v>55.6</v>
      </c>
      <c r="C358" s="21">
        <f t="shared" si="17"/>
        <v>2.9666670000000002</v>
      </c>
      <c r="D358" s="16"/>
      <c r="E358" s="19">
        <f>(ADC!I358+5/3)/(1/12)</f>
        <v>56.16159938849033</v>
      </c>
      <c r="F358" s="20">
        <f t="shared" si="15"/>
        <v>1.0100708426085053E-2</v>
      </c>
      <c r="G358" s="2"/>
      <c r="H358" s="2"/>
      <c r="I358" s="19">
        <f>ABS(C358-ADC!I358)</f>
        <v>4.679961570752722E-2</v>
      </c>
    </row>
    <row r="359" spans="1:9" x14ac:dyDescent="0.25">
      <c r="A359" s="5">
        <v>357</v>
      </c>
      <c r="B359" s="5">
        <f t="shared" si="16"/>
        <v>55.7</v>
      </c>
      <c r="C359" s="21">
        <f t="shared" si="17"/>
        <v>2.9750000000000001</v>
      </c>
      <c r="D359" s="16"/>
      <c r="E359" s="19">
        <f>(ADC!I359+5/3)/(1/12)</f>
        <v>56.275390932421487</v>
      </c>
      <c r="F359" s="20">
        <f t="shared" si="15"/>
        <v>1.0330178319954839E-2</v>
      </c>
      <c r="G359" s="2"/>
      <c r="H359" s="2"/>
      <c r="I359" s="19">
        <f>ABS(C359-ADC!I359)</f>
        <v>4.7949244368457045E-2</v>
      </c>
    </row>
    <row r="360" spans="1:9" x14ac:dyDescent="0.25">
      <c r="A360" s="5">
        <v>358</v>
      </c>
      <c r="B360" s="5">
        <f t="shared" si="16"/>
        <v>55.800000000000004</v>
      </c>
      <c r="C360" s="21">
        <f t="shared" si="17"/>
        <v>2.983333</v>
      </c>
      <c r="D360" s="16"/>
      <c r="E360" s="19">
        <f>(ADC!I360+5/3)/(1/12)</f>
        <v>56.374718059198365</v>
      </c>
      <c r="F360" s="20">
        <f t="shared" si="15"/>
        <v>1.0299606795669547E-2</v>
      </c>
      <c r="G360" s="2"/>
      <c r="H360" s="2"/>
      <c r="I360" s="19">
        <f>ABS(C360-ADC!I360)</f>
        <v>4.7893504933197217E-2</v>
      </c>
    </row>
    <row r="361" spans="1:9" x14ac:dyDescent="0.25">
      <c r="A361" s="5">
        <v>359</v>
      </c>
      <c r="B361" s="5">
        <f t="shared" si="16"/>
        <v>55.9</v>
      </c>
      <c r="C361" s="21">
        <f t="shared" si="17"/>
        <v>2.9916670000000001</v>
      </c>
      <c r="D361" s="16"/>
      <c r="E361" s="19">
        <f>(ADC!I361+5/3)/(1/12)</f>
        <v>56.481583103804248</v>
      </c>
      <c r="F361" s="20">
        <f t="shared" si="15"/>
        <v>1.0403991123510715E-2</v>
      </c>
      <c r="G361" s="2"/>
      <c r="H361" s="2"/>
      <c r="I361" s="19">
        <f>ABS(C361-ADC!I361)</f>
        <v>4.8464925317020402E-2</v>
      </c>
    </row>
    <row r="362" spans="1:9" x14ac:dyDescent="0.25">
      <c r="A362" s="5">
        <v>360</v>
      </c>
      <c r="B362" s="5">
        <f t="shared" si="16"/>
        <v>56</v>
      </c>
      <c r="C362" s="21">
        <f t="shared" si="17"/>
        <v>3</v>
      </c>
      <c r="D362" s="16"/>
      <c r="E362" s="19">
        <f>(ADC!I362+5/3)/(1/12)</f>
        <v>56.588650051352417</v>
      </c>
      <c r="F362" s="20">
        <f t="shared" si="15"/>
        <v>1.0511608059864588E-2</v>
      </c>
      <c r="G362" s="2"/>
      <c r="H362" s="2"/>
      <c r="I362" s="19">
        <f>ABS(C362-ADC!I362)</f>
        <v>4.9054170946034148E-2</v>
      </c>
    </row>
    <row r="363" spans="1:9" x14ac:dyDescent="0.25">
      <c r="A363" s="5">
        <v>361</v>
      </c>
      <c r="B363" s="5">
        <f t="shared" si="16"/>
        <v>56.1</v>
      </c>
      <c r="C363" s="21">
        <f t="shared" si="17"/>
        <v>3.0083329999999999</v>
      </c>
      <c r="D363" s="16"/>
      <c r="E363" s="19">
        <f>(ADC!I363+5/3)/(1/12)</f>
        <v>56.703199582356639</v>
      </c>
      <c r="F363" s="20">
        <f t="shared" si="15"/>
        <v>1.0752220719369654E-2</v>
      </c>
      <c r="G363" s="2"/>
      <c r="H363" s="2"/>
      <c r="I363" s="19">
        <f>ABS(C363-ADC!I363)</f>
        <v>5.0266965196386515E-2</v>
      </c>
    </row>
    <row r="364" spans="1:9" x14ac:dyDescent="0.25">
      <c r="A364" s="5">
        <v>362</v>
      </c>
      <c r="B364" s="5">
        <f t="shared" si="16"/>
        <v>56.2</v>
      </c>
      <c r="C364" s="21">
        <f t="shared" si="17"/>
        <v>3.016667</v>
      </c>
      <c r="D364" s="16"/>
      <c r="E364" s="19">
        <f>(ADC!I364+5/3)/(1/12)</f>
        <v>56.810652974739988</v>
      </c>
      <c r="F364" s="20">
        <f t="shared" si="15"/>
        <v>1.0865711294305778E-2</v>
      </c>
      <c r="G364" s="2"/>
      <c r="H364" s="2"/>
      <c r="I364" s="19">
        <f>ABS(C364-ADC!I364)</f>
        <v>5.0887414561665345E-2</v>
      </c>
    </row>
    <row r="365" spans="1:9" x14ac:dyDescent="0.25">
      <c r="A365" s="5">
        <v>363</v>
      </c>
      <c r="B365" s="5">
        <f t="shared" si="16"/>
        <v>56.300000000000004</v>
      </c>
      <c r="C365" s="21">
        <f t="shared" si="17"/>
        <v>3.0249999999999999</v>
      </c>
      <c r="D365" s="16"/>
      <c r="E365" s="19">
        <f>(ADC!I365+5/3)/(1/12)</f>
        <v>56.925559935015222</v>
      </c>
      <c r="F365" s="20">
        <f t="shared" si="15"/>
        <v>1.1111188899026963E-2</v>
      </c>
      <c r="G365" s="2"/>
      <c r="H365" s="2"/>
      <c r="I365" s="19">
        <f>ABS(C365-ADC!I365)</f>
        <v>5.2129994584601658E-2</v>
      </c>
    </row>
    <row r="366" spans="1:9" x14ac:dyDescent="0.25">
      <c r="A366" s="5">
        <v>364</v>
      </c>
      <c r="B366" s="5">
        <f t="shared" si="16"/>
        <v>56.4</v>
      </c>
      <c r="C366" s="21">
        <f t="shared" si="17"/>
        <v>3.0333329999999998</v>
      </c>
      <c r="D366" s="16"/>
      <c r="E366" s="19">
        <f>(ADC!I366+5/3)/(1/12)</f>
        <v>57.033394113709079</v>
      </c>
      <c r="F366" s="20">
        <f t="shared" si="15"/>
        <v>1.1230392087040433E-2</v>
      </c>
      <c r="G366" s="2"/>
      <c r="H366" s="2"/>
      <c r="I366" s="19">
        <f>ABS(C366-ADC!I366)</f>
        <v>5.2783176142423116E-2</v>
      </c>
    </row>
    <row r="367" spans="1:9" x14ac:dyDescent="0.25">
      <c r="A367" s="5">
        <v>365</v>
      </c>
      <c r="B367" s="5">
        <f t="shared" si="16"/>
        <v>56.5</v>
      </c>
      <c r="C367" s="21">
        <f t="shared" si="17"/>
        <v>3.0416669999999999</v>
      </c>
      <c r="D367" s="16"/>
      <c r="E367" s="19">
        <f>(ADC!I367+5/3)/(1/12)</f>
        <v>57.141423099493799</v>
      </c>
      <c r="F367" s="20">
        <f t="shared" si="15"/>
        <v>1.1352621229978752E-2</v>
      </c>
      <c r="G367" s="2"/>
      <c r="H367" s="2"/>
      <c r="I367" s="19">
        <f>ABS(C367-ADC!I367)</f>
        <v>5.3451591624483097E-2</v>
      </c>
    </row>
    <row r="368" spans="1:9" x14ac:dyDescent="0.25">
      <c r="A368" s="5">
        <v>366</v>
      </c>
      <c r="B368" s="5">
        <f t="shared" si="16"/>
        <v>56.6</v>
      </c>
      <c r="C368" s="21">
        <f t="shared" si="17"/>
        <v>3.05</v>
      </c>
      <c r="D368" s="16"/>
      <c r="E368" s="19">
        <f>(ADC!I368+5/3)/(1/12)</f>
        <v>57.249645482277217</v>
      </c>
      <c r="F368" s="20">
        <f t="shared" si="15"/>
        <v>1.1477835375922528E-2</v>
      </c>
      <c r="G368" s="2"/>
      <c r="H368" s="2"/>
      <c r="I368" s="19">
        <f>ABS(C368-ADC!I368)</f>
        <v>5.4137123523100961E-2</v>
      </c>
    </row>
    <row r="369" spans="1:9" x14ac:dyDescent="0.25">
      <c r="A369" s="5">
        <v>367</v>
      </c>
      <c r="B369" s="5">
        <f t="shared" si="16"/>
        <v>56.7</v>
      </c>
      <c r="C369" s="21">
        <f t="shared" si="17"/>
        <v>3.0583330000000002</v>
      </c>
      <c r="D369" s="16"/>
      <c r="E369" s="19">
        <f>(ADC!I369+5/3)/(1/12)</f>
        <v>57.358059832763495</v>
      </c>
      <c r="F369" s="20">
        <f t="shared" si="15"/>
        <v>1.1605993523165638E-2</v>
      </c>
      <c r="G369" s="2"/>
      <c r="H369" s="2"/>
      <c r="I369" s="19">
        <f>ABS(C369-ADC!I369)</f>
        <v>5.4838652730290871E-2</v>
      </c>
    </row>
    <row r="370" spans="1:9" x14ac:dyDescent="0.25">
      <c r="A370" s="5">
        <v>368</v>
      </c>
      <c r="B370" s="5">
        <f t="shared" si="16"/>
        <v>56.800000000000004</v>
      </c>
      <c r="C370" s="21">
        <f t="shared" si="17"/>
        <v>3.0666669999999998</v>
      </c>
      <c r="D370" s="16"/>
      <c r="E370" s="19">
        <f>(ADC!I370+5/3)/(1/12)</f>
        <v>57.466664731083945</v>
      </c>
      <c r="F370" s="20">
        <f t="shared" si="15"/>
        <v>1.1737055124717267E-2</v>
      </c>
      <c r="G370" s="2"/>
      <c r="H370" s="2"/>
      <c r="I370" s="19">
        <f>ABS(C370-ADC!I370)</f>
        <v>5.5555060923661692E-2</v>
      </c>
    </row>
    <row r="371" spans="1:9" x14ac:dyDescent="0.25">
      <c r="A371" s="5">
        <v>369</v>
      </c>
      <c r="B371" s="5">
        <f t="shared" si="16"/>
        <v>56.9</v>
      </c>
      <c r="C371" s="21">
        <f t="shared" si="17"/>
        <v>3.0750000000000002</v>
      </c>
      <c r="D371" s="16"/>
      <c r="E371" s="19">
        <f>(ADC!I371+5/3)/(1/12)</f>
        <v>57.575458761908941</v>
      </c>
      <c r="F371" s="20">
        <f t="shared" si="15"/>
        <v>1.1870979998399684E-2</v>
      </c>
      <c r="G371" s="2"/>
      <c r="H371" s="2"/>
      <c r="I371" s="19">
        <f>ABS(C371-ADC!I371)</f>
        <v>5.6288230159078356E-2</v>
      </c>
    </row>
    <row r="372" spans="1:9" x14ac:dyDescent="0.25">
      <c r="A372" s="5">
        <v>370</v>
      </c>
      <c r="B372" s="5">
        <f t="shared" si="16"/>
        <v>57</v>
      </c>
      <c r="C372" s="21">
        <f t="shared" si="17"/>
        <v>3.0833330000000001</v>
      </c>
      <c r="D372" s="16"/>
      <c r="E372" s="19">
        <f>(ADC!I372+5/3)/(1/12)</f>
        <v>57.684440501441934</v>
      </c>
      <c r="F372" s="20">
        <f t="shared" si="15"/>
        <v>1.2007728095472521E-2</v>
      </c>
      <c r="G372" s="2"/>
      <c r="H372" s="2"/>
      <c r="I372" s="19">
        <f>ABS(C372-ADC!I372)</f>
        <v>5.7037041786827114E-2</v>
      </c>
    </row>
    <row r="373" spans="1:9" x14ac:dyDescent="0.25">
      <c r="A373" s="5">
        <v>371</v>
      </c>
      <c r="B373" s="5">
        <f t="shared" si="16"/>
        <v>57.1</v>
      </c>
      <c r="C373" s="21">
        <f t="shared" si="17"/>
        <v>3.0916670000000002</v>
      </c>
      <c r="D373" s="16"/>
      <c r="E373" s="19">
        <f>(ADC!I373+5/3)/(1/12)</f>
        <v>57.793608534178929</v>
      </c>
      <c r="F373" s="20">
        <f t="shared" si="15"/>
        <v>1.2147259792975972E-2</v>
      </c>
      <c r="G373" s="2"/>
      <c r="H373" s="2"/>
      <c r="I373" s="19">
        <f>ABS(C373-ADC!I373)</f>
        <v>5.7800377848243656E-2</v>
      </c>
    </row>
    <row r="374" spans="1:9" x14ac:dyDescent="0.25">
      <c r="A374" s="5">
        <v>372</v>
      </c>
      <c r="B374" s="5">
        <f t="shared" si="16"/>
        <v>57.2</v>
      </c>
      <c r="C374" s="21">
        <f t="shared" si="17"/>
        <v>3.1</v>
      </c>
      <c r="D374" s="16"/>
      <c r="E374" s="19">
        <f>(ADC!I374+5/3)/(1/12)</f>
        <v>57.902961439989248</v>
      </c>
      <c r="F374" s="20">
        <f t="shared" si="15"/>
        <v>1.2289535664147642E-2</v>
      </c>
      <c r="G374" s="2"/>
      <c r="H374" s="2"/>
      <c r="I374" s="19">
        <f>ABS(C374-ADC!I374)</f>
        <v>5.8580119999104063E-2</v>
      </c>
    </row>
    <row r="375" spans="1:9" x14ac:dyDescent="0.25">
      <c r="A375" s="5">
        <v>373</v>
      </c>
      <c r="B375" s="5">
        <f t="shared" si="16"/>
        <v>57.300000000000004</v>
      </c>
      <c r="C375" s="21">
        <f t="shared" si="17"/>
        <v>3.108333</v>
      </c>
      <c r="D375" s="16"/>
      <c r="E375" s="19">
        <f>(ADC!I375+5/3)/(1/12)</f>
        <v>58.005372416379991</v>
      </c>
      <c r="F375" s="20">
        <f t="shared" si="15"/>
        <v>1.2310164334729267E-2</v>
      </c>
      <c r="G375" s="2"/>
      <c r="H375" s="2"/>
      <c r="I375" s="19">
        <f>ABS(C375-ADC!I375)</f>
        <v>5.8781368031665338E-2</v>
      </c>
    </row>
    <row r="376" spans="1:9" x14ac:dyDescent="0.25">
      <c r="A376" s="5">
        <v>374</v>
      </c>
      <c r="B376" s="5">
        <f t="shared" si="16"/>
        <v>57.4</v>
      </c>
      <c r="C376" s="21">
        <f t="shared" si="17"/>
        <v>3.1166670000000001</v>
      </c>
      <c r="D376" s="16"/>
      <c r="E376" s="19">
        <f>(ADC!I376+5/3)/(1/12)</f>
        <v>58.1151038245427</v>
      </c>
      <c r="F376" s="20">
        <f t="shared" si="15"/>
        <v>1.2458254782973898E-2</v>
      </c>
      <c r="G376" s="2"/>
      <c r="H376" s="2"/>
      <c r="I376" s="19">
        <f>ABS(C376-ADC!I376)</f>
        <v>5.9591652045224652E-2</v>
      </c>
    </row>
    <row r="377" spans="1:9" x14ac:dyDescent="0.25">
      <c r="A377" s="5">
        <v>375</v>
      </c>
      <c r="B377" s="5">
        <f t="shared" si="16"/>
        <v>57.5</v>
      </c>
      <c r="C377" s="21">
        <f t="shared" si="17"/>
        <v>3.125</v>
      </c>
      <c r="D377" s="16"/>
      <c r="E377" s="19">
        <f>(ADC!I377+5/3)/(1/12)</f>
        <v>58.217916493774872</v>
      </c>
      <c r="F377" s="20">
        <f t="shared" si="15"/>
        <v>1.2485504239562998E-2</v>
      </c>
      <c r="G377" s="2"/>
      <c r="H377" s="2"/>
      <c r="I377" s="19">
        <f>ABS(C377-ADC!I377)</f>
        <v>5.9826374481239508E-2</v>
      </c>
    </row>
    <row r="378" spans="1:9" x14ac:dyDescent="0.25">
      <c r="A378" s="5">
        <v>376</v>
      </c>
      <c r="B378" s="5">
        <f t="shared" si="16"/>
        <v>57.6</v>
      </c>
      <c r="C378" s="21">
        <f t="shared" si="17"/>
        <v>3.1333329999999999</v>
      </c>
      <c r="D378" s="16"/>
      <c r="E378" s="19">
        <f>(ADC!I378+5/3)/(1/12)</f>
        <v>58.335107068821991</v>
      </c>
      <c r="F378" s="20">
        <f t="shared" si="15"/>
        <v>1.2762275500381757E-2</v>
      </c>
      <c r="G378" s="2"/>
      <c r="H378" s="2"/>
      <c r="I378" s="19">
        <f>ABS(C378-ADC!I378)</f>
        <v>6.1259255735165663E-2</v>
      </c>
    </row>
    <row r="379" spans="1:9" x14ac:dyDescent="0.25">
      <c r="A379" s="5">
        <v>377</v>
      </c>
      <c r="B379" s="5">
        <f t="shared" si="16"/>
        <v>57.7</v>
      </c>
      <c r="C379" s="21">
        <f t="shared" si="17"/>
        <v>3.141667</v>
      </c>
      <c r="D379" s="16"/>
      <c r="E379" s="19">
        <f>(ADC!I379+5/3)/(1/12)</f>
        <v>58.445376068780192</v>
      </c>
      <c r="F379" s="20">
        <f t="shared" si="15"/>
        <v>1.2918129441597728E-2</v>
      </c>
      <c r="G379" s="2"/>
      <c r="H379" s="2"/>
      <c r="I379" s="19">
        <f>ABS(C379-ADC!I379)</f>
        <v>6.2114339065015844E-2</v>
      </c>
    </row>
    <row r="380" spans="1:9" x14ac:dyDescent="0.25">
      <c r="A380" s="5">
        <v>378</v>
      </c>
      <c r="B380" s="5">
        <f t="shared" si="16"/>
        <v>57.800000000000004</v>
      </c>
      <c r="C380" s="21">
        <f t="shared" si="17"/>
        <v>3.15</v>
      </c>
      <c r="D380" s="16"/>
      <c r="E380" s="19">
        <f>(ADC!I380+5/3)/(1/12)</f>
        <v>58.548761037765495</v>
      </c>
      <c r="F380" s="20">
        <f t="shared" si="15"/>
        <v>1.2954343213935817E-2</v>
      </c>
      <c r="G380" s="2"/>
      <c r="H380" s="2"/>
      <c r="I380" s="19">
        <f>ABS(C380-ADC!I380)</f>
        <v>6.239675314712434E-2</v>
      </c>
    </row>
    <row r="381" spans="1:9" x14ac:dyDescent="0.25">
      <c r="A381" s="5">
        <v>379</v>
      </c>
      <c r="B381" s="5">
        <f t="shared" si="16"/>
        <v>57.9</v>
      </c>
      <c r="C381" s="21">
        <f t="shared" si="17"/>
        <v>3.1583329999999998</v>
      </c>
      <c r="D381" s="16"/>
      <c r="E381" s="19">
        <f>(ADC!I381+5/3)/(1/12)</f>
        <v>58.659394328471031</v>
      </c>
      <c r="F381" s="20">
        <f t="shared" si="15"/>
        <v>1.3115618799154268E-2</v>
      </c>
      <c r="G381" s="2"/>
      <c r="H381" s="2"/>
      <c r="I381" s="19">
        <f>ABS(C381-ADC!I381)</f>
        <v>6.3283194039252422E-2</v>
      </c>
    </row>
    <row r="382" spans="1:9" x14ac:dyDescent="0.25">
      <c r="A382" s="5">
        <v>380</v>
      </c>
      <c r="B382" s="5">
        <f t="shared" si="16"/>
        <v>58</v>
      </c>
      <c r="C382" s="21">
        <f t="shared" si="17"/>
        <v>3.1666669999999999</v>
      </c>
      <c r="D382" s="16"/>
      <c r="E382" s="19">
        <f>(ADC!I382+5/3)/(1/12)</f>
        <v>58.770201154163495</v>
      </c>
      <c r="F382" s="20">
        <f t="shared" si="15"/>
        <v>1.3279330244198181E-2</v>
      </c>
      <c r="G382" s="2"/>
      <c r="H382" s="2"/>
      <c r="I382" s="19">
        <f>ABS(C382-ADC!I382)</f>
        <v>6.4183096180290722E-2</v>
      </c>
    </row>
    <row r="383" spans="1:9" x14ac:dyDescent="0.25">
      <c r="A383" s="5">
        <v>381</v>
      </c>
      <c r="B383" s="5">
        <f t="shared" si="16"/>
        <v>58.1</v>
      </c>
      <c r="C383" s="21">
        <f t="shared" si="17"/>
        <v>3.1749999999999998</v>
      </c>
      <c r="D383" s="16"/>
      <c r="E383" s="19">
        <f>(ADC!I383+5/3)/(1/12)</f>
        <v>58.874158594602392</v>
      </c>
      <c r="F383" s="20">
        <f t="shared" si="15"/>
        <v>1.3324588547373327E-2</v>
      </c>
      <c r="G383" s="2"/>
      <c r="H383" s="2"/>
      <c r="I383" s="19">
        <f>ABS(C383-ADC!I383)</f>
        <v>6.4513216216866009E-2</v>
      </c>
    </row>
    <row r="384" spans="1:9" x14ac:dyDescent="0.25">
      <c r="A384" s="5">
        <v>382</v>
      </c>
      <c r="B384" s="5">
        <f t="shared" si="16"/>
        <v>58.2</v>
      </c>
      <c r="C384" s="21">
        <f t="shared" si="17"/>
        <v>3.1833330000000002</v>
      </c>
      <c r="D384" s="16"/>
      <c r="E384" s="19">
        <f>(ADC!I384+5/3)/(1/12)</f>
        <v>58.985321192703353</v>
      </c>
      <c r="F384" s="20">
        <f t="shared" si="15"/>
        <v>1.3493491283562711E-2</v>
      </c>
      <c r="G384" s="2"/>
      <c r="H384" s="2"/>
      <c r="I384" s="19">
        <f>ABS(C384-ADC!I384)</f>
        <v>6.5443766058612685E-2</v>
      </c>
    </row>
    <row r="385" spans="1:9" x14ac:dyDescent="0.25">
      <c r="A385" s="5">
        <v>383</v>
      </c>
      <c r="B385" s="5">
        <f t="shared" si="16"/>
        <v>58.300000000000004</v>
      </c>
      <c r="C385" s="21">
        <f t="shared" si="17"/>
        <v>3.1916669999999998</v>
      </c>
      <c r="D385" s="16"/>
      <c r="E385" s="19">
        <f>(ADC!I385+5/3)/(1/12)</f>
        <v>59.089657468420896</v>
      </c>
      <c r="F385" s="20">
        <f t="shared" si="15"/>
        <v>1.3544725015795737E-2</v>
      </c>
      <c r="G385" s="2"/>
      <c r="H385" s="2"/>
      <c r="I385" s="19">
        <f>ABS(C385-ADC!I385)</f>
        <v>6.5804455701741205E-2</v>
      </c>
    </row>
    <row r="386" spans="1:9" x14ac:dyDescent="0.25">
      <c r="A386" s="5">
        <v>384</v>
      </c>
      <c r="B386" s="5">
        <f t="shared" si="16"/>
        <v>58.400000000000006</v>
      </c>
      <c r="C386" s="21">
        <f t="shared" si="17"/>
        <v>3.2</v>
      </c>
      <c r="D386" s="16"/>
      <c r="E386" s="19">
        <f>(ADC!I386+5/3)/(1/12)</f>
        <v>59.194187492569192</v>
      </c>
      <c r="F386" s="20">
        <f t="shared" ref="F386:F449" si="18">ABS(B386-E386)/B386</f>
        <v>1.3599100900157299E-2</v>
      </c>
      <c r="G386" s="2"/>
      <c r="H386" s="2"/>
      <c r="I386" s="19">
        <f>ABS(C386-ADC!I386)</f>
        <v>6.6182291047431896E-2</v>
      </c>
    </row>
    <row r="387" spans="1:9" x14ac:dyDescent="0.25">
      <c r="A387" s="5">
        <v>385</v>
      </c>
      <c r="B387" s="5">
        <f t="shared" ref="B387:B450" si="19">0.1*A387+20</f>
        <v>58.5</v>
      </c>
      <c r="C387" s="21">
        <f t="shared" ref="C387:C450" si="20">ROUND(1/12*B387-5/3,6)</f>
        <v>3.2083330000000001</v>
      </c>
      <c r="D387" s="16"/>
      <c r="E387" s="19">
        <f>(ADC!I387+5/3)/(1/12)</f>
        <v>59.305879562521085</v>
      </c>
      <c r="F387" s="20">
        <f t="shared" si="18"/>
        <v>1.3775719017454441E-2</v>
      </c>
      <c r="G387" s="2"/>
      <c r="H387" s="2"/>
      <c r="I387" s="19">
        <f>ABS(C387-ADC!I387)</f>
        <v>6.7156963543423487E-2</v>
      </c>
    </row>
    <row r="388" spans="1:9" x14ac:dyDescent="0.25">
      <c r="A388" s="5">
        <v>386</v>
      </c>
      <c r="B388" s="5">
        <f t="shared" si="19"/>
        <v>58.6</v>
      </c>
      <c r="C388" s="21">
        <f t="shared" si="20"/>
        <v>3.2166670000000002</v>
      </c>
      <c r="D388" s="16"/>
      <c r="E388" s="19">
        <f>(ADC!I388+5/3)/(1/12)</f>
        <v>59.410779851758633</v>
      </c>
      <c r="F388" s="20">
        <f t="shared" si="18"/>
        <v>1.3835833647758221E-2</v>
      </c>
      <c r="G388" s="2"/>
      <c r="H388" s="2"/>
      <c r="I388" s="19">
        <f>ABS(C388-ADC!I388)</f>
        <v>6.7564654313219119E-2</v>
      </c>
    </row>
    <row r="389" spans="1:9" x14ac:dyDescent="0.25">
      <c r="A389" s="5">
        <v>387</v>
      </c>
      <c r="B389" s="5">
        <f t="shared" si="19"/>
        <v>58.7</v>
      </c>
      <c r="C389" s="21">
        <f t="shared" si="20"/>
        <v>3.2250000000000001</v>
      </c>
      <c r="D389" s="16"/>
      <c r="E389" s="19">
        <f>(ADC!I389+5/3)/(1/12)</f>
        <v>59.529757437686122</v>
      </c>
      <c r="F389" s="20">
        <f t="shared" si="18"/>
        <v>1.4135561119013955E-2</v>
      </c>
      <c r="G389" s="2"/>
      <c r="H389" s="2"/>
      <c r="I389" s="19">
        <f>ABS(C389-ADC!I389)</f>
        <v>6.9146453140509934E-2</v>
      </c>
    </row>
    <row r="390" spans="1:9" x14ac:dyDescent="0.25">
      <c r="A390" s="5">
        <v>388</v>
      </c>
      <c r="B390" s="5">
        <f t="shared" si="19"/>
        <v>58.800000000000004</v>
      </c>
      <c r="C390" s="21">
        <f t="shared" si="20"/>
        <v>3.233333</v>
      </c>
      <c r="D390" s="16"/>
      <c r="E390" s="19">
        <f>(ADC!I390+5/3)/(1/12)</f>
        <v>59.62807836347681</v>
      </c>
      <c r="F390" s="20">
        <f t="shared" si="18"/>
        <v>1.4082965365251795E-2</v>
      </c>
      <c r="G390" s="2"/>
      <c r="H390" s="2"/>
      <c r="I390" s="19">
        <f>ABS(C390-ADC!I390)</f>
        <v>6.9006863623067627E-2</v>
      </c>
    </row>
    <row r="391" spans="1:9" x14ac:dyDescent="0.25">
      <c r="A391" s="5">
        <v>389</v>
      </c>
      <c r="B391" s="5">
        <f t="shared" si="19"/>
        <v>58.900000000000006</v>
      </c>
      <c r="C391" s="21">
        <f t="shared" si="20"/>
        <v>3.2416670000000001</v>
      </c>
      <c r="D391" s="16"/>
      <c r="E391" s="19">
        <f>(ADC!I391+5/3)/(1/12)</f>
        <v>59.733529820377669</v>
      </c>
      <c r="F391" s="20">
        <f t="shared" si="18"/>
        <v>1.4151609853610577E-2</v>
      </c>
      <c r="G391" s="2"/>
      <c r="H391" s="2"/>
      <c r="I391" s="19">
        <f>ABS(C391-ADC!I391)</f>
        <v>6.946048503147173E-2</v>
      </c>
    </row>
    <row r="392" spans="1:9" x14ac:dyDescent="0.25">
      <c r="A392" s="5">
        <v>390</v>
      </c>
      <c r="B392" s="5">
        <f t="shared" si="19"/>
        <v>59</v>
      </c>
      <c r="C392" s="21">
        <f t="shared" si="20"/>
        <v>3.25</v>
      </c>
      <c r="D392" s="16"/>
      <c r="E392" s="19">
        <f>(ADC!I392+5/3)/(1/12)</f>
        <v>59.839166441727926</v>
      </c>
      <c r="F392" s="20">
        <f t="shared" si="18"/>
        <v>1.4223160029286879E-2</v>
      </c>
      <c r="G392" s="2"/>
      <c r="H392" s="2"/>
      <c r="I392" s="19">
        <f>ABS(C392-ADC!I392)</f>
        <v>6.9930536810660193E-2</v>
      </c>
    </row>
    <row r="393" spans="1:9" x14ac:dyDescent="0.25">
      <c r="A393" s="5">
        <v>391</v>
      </c>
      <c r="B393" s="5">
        <f t="shared" si="19"/>
        <v>59.1</v>
      </c>
      <c r="C393" s="21">
        <f t="shared" si="20"/>
        <v>3.2583329999999999</v>
      </c>
      <c r="D393" s="16"/>
      <c r="E393" s="19">
        <f>(ADC!I393+5/3)/(1/12)</f>
        <v>59.951879161090559</v>
      </c>
      <c r="F393" s="20">
        <f t="shared" si="18"/>
        <v>1.4414199003224333E-2</v>
      </c>
      <c r="G393" s="2"/>
      <c r="H393" s="2"/>
      <c r="I393" s="19">
        <f>ABS(C393-ADC!I393)</f>
        <v>7.0990263424212774E-2</v>
      </c>
    </row>
    <row r="394" spans="1:9" x14ac:dyDescent="0.25">
      <c r="A394" s="5">
        <v>392</v>
      </c>
      <c r="B394" s="5">
        <f t="shared" si="19"/>
        <v>59.2</v>
      </c>
      <c r="C394" s="21">
        <f t="shared" si="20"/>
        <v>3.266667</v>
      </c>
      <c r="D394" s="16"/>
      <c r="E394" s="19">
        <f>(ADC!I394+5/3)/(1/12)</f>
        <v>60.057868959089269</v>
      </c>
      <c r="F394" s="20">
        <f t="shared" si="18"/>
        <v>1.4491029714345717E-2</v>
      </c>
      <c r="G394" s="2"/>
      <c r="H394" s="2"/>
      <c r="I394" s="19">
        <f>ABS(C394-ADC!I394)</f>
        <v>7.1488746590771868E-2</v>
      </c>
    </row>
    <row r="395" spans="1:9" x14ac:dyDescent="0.25">
      <c r="A395" s="5">
        <v>393</v>
      </c>
      <c r="B395" s="5">
        <f t="shared" si="19"/>
        <v>59.300000000000004</v>
      </c>
      <c r="C395" s="21">
        <f t="shared" si="20"/>
        <v>3.2749999999999999</v>
      </c>
      <c r="D395" s="16"/>
      <c r="E395" s="19">
        <f>(ADC!I395+5/3)/(1/12)</f>
        <v>60.164039644211549</v>
      </c>
      <c r="F395" s="20">
        <f t="shared" si="18"/>
        <v>1.4570651673044594E-2</v>
      </c>
      <c r="G395" s="2"/>
      <c r="H395" s="2"/>
      <c r="I395" s="19">
        <f>ABS(C395-ADC!I395)</f>
        <v>7.2003303684295528E-2</v>
      </c>
    </row>
    <row r="396" spans="1:9" x14ac:dyDescent="0.25">
      <c r="A396" s="5">
        <v>394</v>
      </c>
      <c r="B396" s="5">
        <f t="shared" si="19"/>
        <v>59.400000000000006</v>
      </c>
      <c r="C396" s="21">
        <f t="shared" si="20"/>
        <v>3.2833329999999998</v>
      </c>
      <c r="D396" s="16"/>
      <c r="E396" s="19">
        <f>(ADC!I396+5/3)/(1/12)</f>
        <v>60.270389791700474</v>
      </c>
      <c r="F396" s="20">
        <f t="shared" si="18"/>
        <v>1.4653026796304177E-2</v>
      </c>
      <c r="G396" s="2"/>
      <c r="H396" s="2"/>
      <c r="I396" s="19">
        <f>ABS(C396-ADC!I396)</f>
        <v>7.2532815975039799E-2</v>
      </c>
    </row>
    <row r="397" spans="1:9" x14ac:dyDescent="0.25">
      <c r="A397" s="5">
        <v>395</v>
      </c>
      <c r="B397" s="5">
        <f t="shared" si="19"/>
        <v>59.5</v>
      </c>
      <c r="C397" s="21">
        <f t="shared" si="20"/>
        <v>3.2916669999999999</v>
      </c>
      <c r="D397" s="16"/>
      <c r="E397" s="19">
        <f>(ADC!I397+5/3)/(1/12)</f>
        <v>60.376917976886403</v>
      </c>
      <c r="F397" s="20">
        <f t="shared" si="18"/>
        <v>1.4738117258595017E-2</v>
      </c>
      <c r="G397" s="2"/>
      <c r="H397" s="2"/>
      <c r="I397" s="19">
        <f>ABS(C397-ADC!I397)</f>
        <v>7.3076164740533578E-2</v>
      </c>
    </row>
    <row r="398" spans="1:9" x14ac:dyDescent="0.25">
      <c r="A398" s="5">
        <v>396</v>
      </c>
      <c r="B398" s="5">
        <f t="shared" si="19"/>
        <v>59.6</v>
      </c>
      <c r="C398" s="21">
        <f t="shared" si="20"/>
        <v>3.3</v>
      </c>
      <c r="D398" s="16"/>
      <c r="E398" s="19">
        <f>(ADC!I398+5/3)/(1/12)</f>
        <v>60.48362277012432</v>
      </c>
      <c r="F398" s="20">
        <f t="shared" si="18"/>
        <v>1.482588540477045E-2</v>
      </c>
      <c r="G398" s="2"/>
      <c r="H398" s="2"/>
      <c r="I398" s="19">
        <f>ABS(C398-ADC!I398)</f>
        <v>7.3635230843693389E-2</v>
      </c>
    </row>
    <row r="399" spans="1:9" x14ac:dyDescent="0.25">
      <c r="A399" s="5">
        <v>397</v>
      </c>
      <c r="B399" s="5">
        <f t="shared" si="19"/>
        <v>59.7</v>
      </c>
      <c r="C399" s="21">
        <f t="shared" si="20"/>
        <v>3.3083330000000002</v>
      </c>
      <c r="D399" s="16"/>
      <c r="E399" s="19">
        <f>(ADC!I399+5/3)/(1/12)</f>
        <v>60.590502753116674</v>
      </c>
      <c r="F399" s="20">
        <f t="shared" si="18"/>
        <v>1.4916294022054789E-2</v>
      </c>
      <c r="G399" s="2"/>
      <c r="H399" s="2"/>
      <c r="I399" s="19">
        <f>ABS(C399-ADC!I399)</f>
        <v>7.4208896093055365E-2</v>
      </c>
    </row>
    <row r="400" spans="1:9" x14ac:dyDescent="0.25">
      <c r="A400" s="5">
        <v>398</v>
      </c>
      <c r="B400" s="5">
        <f t="shared" si="19"/>
        <v>59.800000000000004</v>
      </c>
      <c r="C400" s="21">
        <f t="shared" si="20"/>
        <v>3.3166669999999998</v>
      </c>
      <c r="D400" s="16"/>
      <c r="E400" s="19">
        <f>(ADC!I400+5/3)/(1/12)</f>
        <v>60.704359003548795</v>
      </c>
      <c r="F400" s="20">
        <f t="shared" si="18"/>
        <v>1.5123060260013225E-2</v>
      </c>
      <c r="G400" s="2"/>
      <c r="H400" s="2"/>
      <c r="I400" s="19">
        <f>ABS(C400-ADC!I400)</f>
        <v>7.536291696239994E-2</v>
      </c>
    </row>
    <row r="401" spans="1:9" x14ac:dyDescent="0.25">
      <c r="A401" s="5">
        <v>399</v>
      </c>
      <c r="B401" s="5">
        <f t="shared" si="19"/>
        <v>59.900000000000006</v>
      </c>
      <c r="C401" s="21">
        <f t="shared" si="20"/>
        <v>3.3250000000000002</v>
      </c>
      <c r="D401" s="16"/>
      <c r="E401" s="19">
        <f>(ADC!I401+5/3)/(1/12)</f>
        <v>60.81157229602784</v>
      </c>
      <c r="F401" s="20">
        <f t="shared" si="18"/>
        <v>1.5218235326007256E-2</v>
      </c>
      <c r="G401" s="2"/>
      <c r="H401" s="2"/>
      <c r="I401" s="19">
        <f>ABS(C401-ADC!I401)</f>
        <v>7.5964358002319265E-2</v>
      </c>
    </row>
    <row r="402" spans="1:9" x14ac:dyDescent="0.25">
      <c r="A402" s="5">
        <v>400</v>
      </c>
      <c r="B402" s="5">
        <f t="shared" si="19"/>
        <v>60</v>
      </c>
      <c r="C402" s="21">
        <f t="shared" si="20"/>
        <v>3.3333330000000001</v>
      </c>
      <c r="D402" s="16"/>
      <c r="E402" s="19">
        <f>(ADC!I402+5/3)/(1/12)</f>
        <v>60.912179604574675</v>
      </c>
      <c r="F402" s="20">
        <f t="shared" si="18"/>
        <v>1.5202993409577915E-2</v>
      </c>
      <c r="G402" s="2"/>
      <c r="H402" s="2"/>
      <c r="I402" s="19">
        <f>ABS(C402-ADC!I402)</f>
        <v>7.6015300381222506E-2</v>
      </c>
    </row>
    <row r="403" spans="1:9" x14ac:dyDescent="0.25">
      <c r="A403" s="5">
        <v>401</v>
      </c>
      <c r="B403" s="5">
        <f t="shared" si="19"/>
        <v>60.1</v>
      </c>
      <c r="C403" s="21">
        <f t="shared" si="20"/>
        <v>3.3416670000000002</v>
      </c>
      <c r="D403" s="16"/>
      <c r="E403" s="19">
        <f>(ADC!I403+5/3)/(1/12)</f>
        <v>61.019746120053476</v>
      </c>
      <c r="F403" s="20">
        <f t="shared" si="18"/>
        <v>1.5303596007545335E-2</v>
      </c>
      <c r="G403" s="2"/>
      <c r="H403" s="2"/>
      <c r="I403" s="19">
        <f>ABS(C403-ADC!I403)</f>
        <v>7.664517667112225E-2</v>
      </c>
    </row>
    <row r="404" spans="1:9" x14ac:dyDescent="0.25">
      <c r="A404" s="5">
        <v>402</v>
      </c>
      <c r="B404" s="5">
        <f t="shared" si="19"/>
        <v>60.2</v>
      </c>
      <c r="C404" s="21">
        <f t="shared" si="20"/>
        <v>3.35</v>
      </c>
      <c r="D404" s="16"/>
      <c r="E404" s="19">
        <f>(ADC!I404+5/3)/(1/12)</f>
        <v>61.127480727514865</v>
      </c>
      <c r="F404" s="20">
        <f t="shared" si="18"/>
        <v>1.5406656603236906E-2</v>
      </c>
      <c r="G404" s="2"/>
      <c r="H404" s="2"/>
      <c r="I404" s="19">
        <f>ABS(C404-ADC!I404)</f>
        <v>7.7290060626238333E-2</v>
      </c>
    </row>
    <row r="405" spans="1:9" x14ac:dyDescent="0.25">
      <c r="A405" s="5">
        <v>403</v>
      </c>
      <c r="B405" s="5">
        <f t="shared" si="19"/>
        <v>60.300000000000004</v>
      </c>
      <c r="C405" s="21">
        <f t="shared" si="20"/>
        <v>3.358333</v>
      </c>
      <c r="D405" s="16"/>
      <c r="E405" s="19">
        <f>(ADC!I405+5/3)/(1/12)</f>
        <v>61.228643416543129</v>
      </c>
      <c r="F405" s="20">
        <f t="shared" si="18"/>
        <v>1.5400388334048498E-2</v>
      </c>
      <c r="G405" s="2"/>
      <c r="H405" s="2"/>
      <c r="I405" s="19">
        <f>ABS(C405-ADC!I405)</f>
        <v>7.7387284711926796E-2</v>
      </c>
    </row>
    <row r="406" spans="1:9" x14ac:dyDescent="0.25">
      <c r="A406" s="5">
        <v>404</v>
      </c>
      <c r="B406" s="5">
        <f t="shared" si="19"/>
        <v>60.400000000000006</v>
      </c>
      <c r="C406" s="21">
        <f t="shared" si="20"/>
        <v>3.3666670000000001</v>
      </c>
      <c r="D406" s="16"/>
      <c r="E406" s="19">
        <f>(ADC!I406+5/3)/(1/12)</f>
        <v>61.329996874338029</v>
      </c>
      <c r="F406" s="20">
        <f t="shared" si="18"/>
        <v>1.5397299244007007E-2</v>
      </c>
      <c r="G406" s="2"/>
      <c r="H406" s="2"/>
      <c r="I406" s="19">
        <f>ABS(C406-ADC!I406)</f>
        <v>7.749940619483553E-2</v>
      </c>
    </row>
    <row r="407" spans="1:9" x14ac:dyDescent="0.25">
      <c r="A407" s="5">
        <v>405</v>
      </c>
      <c r="B407" s="5">
        <f t="shared" si="19"/>
        <v>60.5</v>
      </c>
      <c r="C407" s="21">
        <f t="shared" si="20"/>
        <v>3.375</v>
      </c>
      <c r="D407" s="16"/>
      <c r="E407" s="19">
        <f>(ADC!I407+5/3)/(1/12)</f>
        <v>61.438252724679998</v>
      </c>
      <c r="F407" s="20">
        <f t="shared" si="18"/>
        <v>1.5508309498842944E-2</v>
      </c>
      <c r="G407" s="2"/>
      <c r="H407" s="2"/>
      <c r="I407" s="19">
        <f>ABS(C407-ADC!I407)</f>
        <v>7.8187727056666656E-2</v>
      </c>
    </row>
    <row r="408" spans="1:9" x14ac:dyDescent="0.25">
      <c r="A408" s="5">
        <v>406</v>
      </c>
      <c r="B408" s="5">
        <f t="shared" si="19"/>
        <v>60.6</v>
      </c>
      <c r="C408" s="21">
        <f t="shared" si="20"/>
        <v>3.3833329999999999</v>
      </c>
      <c r="D408" s="16"/>
      <c r="E408" s="19">
        <f>(ADC!I408+5/3)/(1/12)</f>
        <v>61.546670988053847</v>
      </c>
      <c r="F408" s="20">
        <f t="shared" si="18"/>
        <v>1.5621633466235081E-2</v>
      </c>
      <c r="G408" s="2"/>
      <c r="H408" s="2"/>
      <c r="I408" s="19">
        <f>ABS(C408-ADC!I408)</f>
        <v>7.8889582337820396E-2</v>
      </c>
    </row>
    <row r="409" spans="1:9" x14ac:dyDescent="0.25">
      <c r="A409" s="5">
        <v>407</v>
      </c>
      <c r="B409" s="5">
        <f t="shared" si="19"/>
        <v>60.7</v>
      </c>
      <c r="C409" s="21">
        <f t="shared" si="20"/>
        <v>3.391667</v>
      </c>
      <c r="D409" s="16"/>
      <c r="E409" s="19">
        <f>(ADC!I409+5/3)/(1/12)</f>
        <v>61.648562627466731</v>
      </c>
      <c r="F409" s="20">
        <f t="shared" si="18"/>
        <v>1.5627061408018585E-2</v>
      </c>
      <c r="G409" s="2"/>
      <c r="H409" s="2"/>
      <c r="I409" s="19">
        <f>ABS(C409-ADC!I409)</f>
        <v>7.9046552288894123E-2</v>
      </c>
    </row>
    <row r="410" spans="1:9" x14ac:dyDescent="0.25">
      <c r="A410" s="5">
        <v>408</v>
      </c>
      <c r="B410" s="5">
        <f t="shared" si="19"/>
        <v>60.800000000000004</v>
      </c>
      <c r="C410" s="21">
        <f t="shared" si="20"/>
        <v>3.4</v>
      </c>
      <c r="D410" s="16"/>
      <c r="E410" s="19">
        <f>(ADC!I410+5/3)/(1/12)</f>
        <v>61.76398910960129</v>
      </c>
      <c r="F410" s="20">
        <f t="shared" si="18"/>
        <v>1.5855084039494836E-2</v>
      </c>
      <c r="G410" s="2"/>
      <c r="H410" s="2"/>
      <c r="I410" s="19">
        <f>ABS(C410-ADC!I410)</f>
        <v>8.0332425800107021E-2</v>
      </c>
    </row>
    <row r="411" spans="1:9" x14ac:dyDescent="0.25">
      <c r="A411" s="5">
        <v>409</v>
      </c>
      <c r="B411" s="5">
        <f t="shared" si="19"/>
        <v>60.900000000000006</v>
      </c>
      <c r="C411" s="21">
        <f t="shared" si="20"/>
        <v>3.4083329999999998</v>
      </c>
      <c r="D411" s="16"/>
      <c r="E411" s="19">
        <f>(ADC!I411+5/3)/(1/12)</f>
        <v>61.866223922249191</v>
      </c>
      <c r="F411" s="20">
        <f t="shared" si="18"/>
        <v>1.5865745849740306E-2</v>
      </c>
      <c r="G411" s="2"/>
      <c r="H411" s="2"/>
      <c r="I411" s="19">
        <f>ABS(C411-ADC!I411)</f>
        <v>8.0518993520766191E-2</v>
      </c>
    </row>
    <row r="412" spans="1:9" x14ac:dyDescent="0.25">
      <c r="A412" s="5">
        <v>410</v>
      </c>
      <c r="B412" s="5">
        <f t="shared" si="19"/>
        <v>61</v>
      </c>
      <c r="C412" s="21">
        <f t="shared" si="20"/>
        <v>3.4166669999999999</v>
      </c>
      <c r="D412" s="16"/>
      <c r="E412" s="19">
        <f>(ADC!I412+5/3)/(1/12)</f>
        <v>61.97529042469116</v>
      </c>
      <c r="F412" s="20">
        <f t="shared" si="18"/>
        <v>1.5988367617887866E-2</v>
      </c>
      <c r="G412" s="2"/>
      <c r="H412" s="2"/>
      <c r="I412" s="19">
        <f>ABS(C412-ADC!I412)</f>
        <v>8.1273868724263565E-2</v>
      </c>
    </row>
    <row r="413" spans="1:9" x14ac:dyDescent="0.25">
      <c r="A413" s="5">
        <v>411</v>
      </c>
      <c r="B413" s="5">
        <f t="shared" si="19"/>
        <v>61.1</v>
      </c>
      <c r="C413" s="21">
        <f t="shared" si="20"/>
        <v>3.4249999999999998</v>
      </c>
      <c r="D413" s="16"/>
      <c r="E413" s="19">
        <f>(ADC!I413+5/3)/(1/12)</f>
        <v>62.07787544052109</v>
      </c>
      <c r="F413" s="20">
        <f t="shared" si="18"/>
        <v>1.6004508028168395E-2</v>
      </c>
      <c r="G413" s="2"/>
      <c r="H413" s="2"/>
      <c r="I413" s="19">
        <f>ABS(C413-ADC!I413)</f>
        <v>8.1489620043424082E-2</v>
      </c>
    </row>
    <row r="414" spans="1:9" x14ac:dyDescent="0.25">
      <c r="A414" s="5">
        <v>412</v>
      </c>
      <c r="B414" s="5">
        <f t="shared" si="19"/>
        <v>61.2</v>
      </c>
      <c r="C414" s="21">
        <f t="shared" si="20"/>
        <v>3.4333330000000002</v>
      </c>
      <c r="D414" s="16"/>
      <c r="E414" s="19">
        <f>(ADC!I414+5/3)/(1/12)</f>
        <v>62.187263932432238</v>
      </c>
      <c r="F414" s="20">
        <f t="shared" si="18"/>
        <v>1.6131763601833903E-2</v>
      </c>
      <c r="G414" s="2"/>
      <c r="H414" s="2"/>
      <c r="I414" s="19">
        <f>ABS(C414-ADC!I414)</f>
        <v>8.2272327702685999E-2</v>
      </c>
    </row>
    <row r="415" spans="1:9" x14ac:dyDescent="0.25">
      <c r="A415" s="5">
        <v>413</v>
      </c>
      <c r="B415" s="5">
        <f t="shared" si="19"/>
        <v>61.300000000000004</v>
      </c>
      <c r="C415" s="21">
        <f t="shared" si="20"/>
        <v>3.4416669999999998</v>
      </c>
      <c r="D415" s="16"/>
      <c r="E415" s="19">
        <f>(ADC!I415+5/3)/(1/12)</f>
        <v>62.290193454511865</v>
      </c>
      <c r="F415" s="20">
        <f t="shared" si="18"/>
        <v>1.6153237430862326E-2</v>
      </c>
      <c r="G415" s="2"/>
      <c r="H415" s="2"/>
      <c r="I415" s="19">
        <f>ABS(C415-ADC!I415)</f>
        <v>8.2515787875988789E-2</v>
      </c>
    </row>
    <row r="416" spans="1:9" x14ac:dyDescent="0.25">
      <c r="A416" s="5">
        <v>414</v>
      </c>
      <c r="B416" s="5">
        <f t="shared" si="19"/>
        <v>61.400000000000006</v>
      </c>
      <c r="C416" s="21">
        <f t="shared" si="20"/>
        <v>3.45</v>
      </c>
      <c r="D416" s="16"/>
      <c r="E416" s="19">
        <f>(ADC!I416+5/3)/(1/12)</f>
        <v>62.393299421846322</v>
      </c>
      <c r="F416" s="20">
        <f t="shared" si="18"/>
        <v>1.6177515013783655E-2</v>
      </c>
      <c r="G416" s="2"/>
      <c r="H416" s="2"/>
      <c r="I416" s="19">
        <f>ABS(C416-ADC!I416)</f>
        <v>8.2774951820526521E-2</v>
      </c>
    </row>
    <row r="417" spans="1:9" x14ac:dyDescent="0.25">
      <c r="A417" s="5">
        <v>415</v>
      </c>
      <c r="B417" s="5">
        <f t="shared" si="19"/>
        <v>61.5</v>
      </c>
      <c r="C417" s="21">
        <f t="shared" si="20"/>
        <v>3.4583330000000001</v>
      </c>
      <c r="D417" s="16"/>
      <c r="E417" s="19">
        <f>(ADC!I417+5/3)/(1/12)</f>
        <v>62.503166628491655</v>
      </c>
      <c r="F417" s="20">
        <f t="shared" si="18"/>
        <v>1.6311652495799276E-2</v>
      </c>
      <c r="G417" s="2"/>
      <c r="H417" s="2"/>
      <c r="I417" s="19">
        <f>ABS(C417-ADC!I417)</f>
        <v>8.3597552374304662E-2</v>
      </c>
    </row>
    <row r="418" spans="1:9" x14ac:dyDescent="0.25">
      <c r="A418" s="5">
        <v>416</v>
      </c>
      <c r="B418" s="5">
        <f t="shared" si="19"/>
        <v>61.6</v>
      </c>
      <c r="C418" s="21">
        <f t="shared" si="20"/>
        <v>3.4666670000000002</v>
      </c>
      <c r="D418" s="16"/>
      <c r="E418" s="19">
        <f>(ADC!I418+5/3)/(1/12)</f>
        <v>62.606608568286461</v>
      </c>
      <c r="F418" s="20">
        <f t="shared" si="18"/>
        <v>1.6341048186468501E-2</v>
      </c>
      <c r="G418" s="2"/>
      <c r="H418" s="2"/>
      <c r="I418" s="19">
        <f>ABS(C418-ADC!I418)</f>
        <v>8.3883714023871292E-2</v>
      </c>
    </row>
    <row r="419" spans="1:9" x14ac:dyDescent="0.25">
      <c r="A419" s="5">
        <v>417</v>
      </c>
      <c r="B419" s="5">
        <f t="shared" si="19"/>
        <v>61.7</v>
      </c>
      <c r="C419" s="21">
        <f t="shared" si="20"/>
        <v>3.4750000000000001</v>
      </c>
      <c r="D419" s="16"/>
      <c r="E419" s="19">
        <f>(ADC!I419+5/3)/(1/12)</f>
        <v>62.716783660163372</v>
      </c>
      <c r="F419" s="20">
        <f t="shared" si="18"/>
        <v>1.6479475853539212E-2</v>
      </c>
      <c r="G419" s="2"/>
      <c r="H419" s="2"/>
      <c r="I419" s="19">
        <f>ABS(C419-ADC!I419)</f>
        <v>8.4731971680280349E-2</v>
      </c>
    </row>
    <row r="420" spans="1:9" x14ac:dyDescent="0.25">
      <c r="A420" s="5">
        <v>418</v>
      </c>
      <c r="B420" s="5">
        <f t="shared" si="19"/>
        <v>61.800000000000004</v>
      </c>
      <c r="C420" s="21">
        <f t="shared" si="20"/>
        <v>3.483333</v>
      </c>
      <c r="D420" s="16"/>
      <c r="E420" s="19">
        <f>(ADC!I420+5/3)/(1/12)</f>
        <v>62.814007535286592</v>
      </c>
      <c r="F420" s="20">
        <f t="shared" si="18"/>
        <v>1.6407888920494947E-2</v>
      </c>
      <c r="G420" s="2"/>
      <c r="H420" s="2"/>
      <c r="I420" s="19">
        <f>ABS(C420-ADC!I420)</f>
        <v>8.4500961273882069E-2</v>
      </c>
    </row>
    <row r="421" spans="1:9" x14ac:dyDescent="0.25">
      <c r="A421" s="5">
        <v>419</v>
      </c>
      <c r="B421" s="5">
        <f t="shared" si="19"/>
        <v>61.900000000000006</v>
      </c>
      <c r="C421" s="21">
        <f t="shared" si="20"/>
        <v>3.4916670000000001</v>
      </c>
      <c r="D421" s="16"/>
      <c r="E421" s="19">
        <f>(ADC!I421+5/3)/(1/12)</f>
        <v>62.917961716731611</v>
      </c>
      <c r="F421" s="20">
        <f t="shared" si="18"/>
        <v>1.6445261982739986E-2</v>
      </c>
      <c r="G421" s="2"/>
      <c r="H421" s="2"/>
      <c r="I421" s="19">
        <f>ABS(C421-ADC!I421)</f>
        <v>8.4829809727633876E-2</v>
      </c>
    </row>
    <row r="422" spans="1:9" x14ac:dyDescent="0.25">
      <c r="A422" s="5">
        <v>420</v>
      </c>
      <c r="B422" s="5">
        <f t="shared" si="19"/>
        <v>62</v>
      </c>
      <c r="C422" s="21">
        <f t="shared" si="20"/>
        <v>3.5</v>
      </c>
      <c r="D422" s="16"/>
      <c r="E422" s="19">
        <f>(ADC!I422+5/3)/(1/12)</f>
        <v>63.022083794279226</v>
      </c>
      <c r="F422" s="20">
        <f t="shared" si="18"/>
        <v>1.6485222488374609E-2</v>
      </c>
      <c r="G422" s="2"/>
      <c r="H422" s="2"/>
      <c r="I422" s="19">
        <f>ABS(C422-ADC!I422)</f>
        <v>8.5173649523268669E-2</v>
      </c>
    </row>
    <row r="423" spans="1:9" x14ac:dyDescent="0.25">
      <c r="A423" s="5">
        <v>421</v>
      </c>
      <c r="B423" s="5">
        <f t="shared" si="19"/>
        <v>62.1</v>
      </c>
      <c r="C423" s="21">
        <f t="shared" si="20"/>
        <v>3.5083329999999999</v>
      </c>
      <c r="D423" s="16"/>
      <c r="E423" s="19">
        <f>(ADC!I423+5/3)/(1/12)</f>
        <v>63.132882950097404</v>
      </c>
      <c r="F423" s="20">
        <f t="shared" si="18"/>
        <v>1.663257568594851E-2</v>
      </c>
      <c r="G423" s="2"/>
      <c r="H423" s="2"/>
      <c r="I423" s="19">
        <f>ABS(C423-ADC!I423)</f>
        <v>8.6073912508116912E-2</v>
      </c>
    </row>
    <row r="424" spans="1:9" x14ac:dyDescent="0.25">
      <c r="A424" s="5">
        <v>422</v>
      </c>
      <c r="B424" s="5">
        <f t="shared" si="19"/>
        <v>62.2</v>
      </c>
      <c r="C424" s="21">
        <f t="shared" si="20"/>
        <v>3.516667</v>
      </c>
      <c r="D424" s="16"/>
      <c r="E424" s="19">
        <f>(ADC!I424+5/3)/(1/12)</f>
        <v>63.23732400157386</v>
      </c>
      <c r="F424" s="20">
        <f t="shared" si="18"/>
        <v>1.6677234751991277E-2</v>
      </c>
      <c r="G424" s="2"/>
      <c r="H424" s="2"/>
      <c r="I424" s="19">
        <f>ABS(C424-ADC!I424)</f>
        <v>8.644333346448807E-2</v>
      </c>
    </row>
    <row r="425" spans="1:9" x14ac:dyDescent="0.25">
      <c r="A425" s="5">
        <v>423</v>
      </c>
      <c r="B425" s="5">
        <f t="shared" si="19"/>
        <v>62.300000000000004</v>
      </c>
      <c r="C425" s="21">
        <f t="shared" si="20"/>
        <v>3.5249999999999999</v>
      </c>
      <c r="D425" s="16"/>
      <c r="E425" s="19">
        <f>(ADC!I425+5/3)/(1/12)</f>
        <v>63.335443223793916</v>
      </c>
      <c r="F425" s="20">
        <f t="shared" si="18"/>
        <v>1.6620276465391846E-2</v>
      </c>
      <c r="G425" s="2"/>
      <c r="H425" s="2"/>
      <c r="I425" s="19">
        <f>ABS(C425-ADC!I425)</f>
        <v>8.6286935316159497E-2</v>
      </c>
    </row>
    <row r="426" spans="1:9" x14ac:dyDescent="0.25">
      <c r="A426" s="5">
        <v>424</v>
      </c>
      <c r="B426" s="5">
        <f t="shared" si="19"/>
        <v>62.400000000000006</v>
      </c>
      <c r="C426" s="21">
        <f t="shared" si="20"/>
        <v>3.5333329999999998</v>
      </c>
      <c r="D426" s="16"/>
      <c r="E426" s="19">
        <f>(ADC!I426+5/3)/(1/12)</f>
        <v>63.440222705047873</v>
      </c>
      <c r="F426" s="20">
        <f t="shared" si="18"/>
        <v>1.6670235657818382E-2</v>
      </c>
      <c r="G426" s="2"/>
      <c r="H426" s="2"/>
      <c r="I426" s="19">
        <f>ABS(C426-ADC!I426)</f>
        <v>8.6685558753988978E-2</v>
      </c>
    </row>
    <row r="427" spans="1:9" x14ac:dyDescent="0.25">
      <c r="A427" s="5">
        <v>425</v>
      </c>
      <c r="B427" s="5">
        <f t="shared" si="19"/>
        <v>62.5</v>
      </c>
      <c r="C427" s="21">
        <f t="shared" si="20"/>
        <v>3.5416669999999999</v>
      </c>
      <c r="D427" s="16"/>
      <c r="E427" s="19">
        <f>(ADC!I427+5/3)/(1/12)</f>
        <v>63.545162999821123</v>
      </c>
      <c r="F427" s="20">
        <f t="shared" si="18"/>
        <v>1.672260799713797E-2</v>
      </c>
      <c r="G427" s="2"/>
      <c r="H427" s="2"/>
      <c r="I427" s="19">
        <f>ABS(C427-ADC!I427)</f>
        <v>8.7096583318426735E-2</v>
      </c>
    </row>
    <row r="428" spans="1:9" x14ac:dyDescent="0.25">
      <c r="A428" s="5">
        <v>426</v>
      </c>
      <c r="B428" s="5">
        <f t="shared" si="19"/>
        <v>62.6</v>
      </c>
      <c r="C428" s="21">
        <f t="shared" si="20"/>
        <v>3.55</v>
      </c>
      <c r="D428" s="16"/>
      <c r="E428" s="19">
        <f>(ADC!I428+5/3)/(1/12)</f>
        <v>63.656710585179233</v>
      </c>
      <c r="F428" s="20">
        <f t="shared" si="18"/>
        <v>1.6880360785610733E-2</v>
      </c>
      <c r="G428" s="2"/>
      <c r="H428" s="2"/>
      <c r="I428" s="19">
        <f>ABS(C428-ADC!I428)</f>
        <v>8.8059215431603111E-2</v>
      </c>
    </row>
    <row r="429" spans="1:9" x14ac:dyDescent="0.25">
      <c r="A429" s="5">
        <v>427</v>
      </c>
      <c r="B429" s="5">
        <f t="shared" si="19"/>
        <v>62.7</v>
      </c>
      <c r="C429" s="21">
        <f t="shared" si="20"/>
        <v>3.5583330000000002</v>
      </c>
      <c r="D429" s="16"/>
      <c r="E429" s="19">
        <f>(ADC!I429+5/3)/(1/12)</f>
        <v>63.761955764483062</v>
      </c>
      <c r="F429" s="20">
        <f t="shared" si="18"/>
        <v>1.6937093532425188E-2</v>
      </c>
      <c r="G429" s="2"/>
      <c r="H429" s="2"/>
      <c r="I429" s="19">
        <f>ABS(C429-ADC!I429)</f>
        <v>8.8496647040254839E-2</v>
      </c>
    </row>
    <row r="430" spans="1:9" x14ac:dyDescent="0.25">
      <c r="A430" s="5">
        <v>428</v>
      </c>
      <c r="B430" s="5">
        <f t="shared" si="19"/>
        <v>62.800000000000004</v>
      </c>
      <c r="C430" s="21">
        <f t="shared" si="20"/>
        <v>3.5666669999999998</v>
      </c>
      <c r="D430" s="16"/>
      <c r="E430" s="19">
        <f>(ADC!I430+5/3)/(1/12)</f>
        <v>63.867357540559993</v>
      </c>
      <c r="F430" s="20">
        <f t="shared" si="18"/>
        <v>1.6996139180891545E-2</v>
      </c>
      <c r="G430" s="2"/>
      <c r="H430" s="2"/>
      <c r="I430" s="19">
        <f>ABS(C430-ADC!I430)</f>
        <v>8.8946128379999045E-2</v>
      </c>
    </row>
    <row r="431" spans="1:9" x14ac:dyDescent="0.25">
      <c r="A431" s="5">
        <v>429</v>
      </c>
      <c r="B431" s="5">
        <f t="shared" si="19"/>
        <v>62.900000000000006</v>
      </c>
      <c r="C431" s="21">
        <f t="shared" si="20"/>
        <v>3.5750000000000002</v>
      </c>
      <c r="D431" s="16"/>
      <c r="E431" s="19">
        <f>(ADC!I431+5/3)/(1/12)</f>
        <v>63.966504088698315</v>
      </c>
      <c r="F431" s="20">
        <f t="shared" si="18"/>
        <v>1.6955549899814137E-2</v>
      </c>
      <c r="G431" s="2"/>
      <c r="H431" s="2"/>
      <c r="I431" s="19">
        <f>ABS(C431-ADC!I431)</f>
        <v>8.8875340724859253E-2</v>
      </c>
    </row>
    <row r="432" spans="1:9" x14ac:dyDescent="0.25">
      <c r="A432" s="5">
        <v>430</v>
      </c>
      <c r="B432" s="5">
        <f t="shared" si="19"/>
        <v>63</v>
      </c>
      <c r="C432" s="21">
        <f t="shared" si="20"/>
        <v>3.5833330000000001</v>
      </c>
      <c r="D432" s="16"/>
      <c r="E432" s="19">
        <f>(ADC!I432+5/3)/(1/12)</f>
        <v>64.072227306234197</v>
      </c>
      <c r="F432" s="20">
        <f t="shared" si="18"/>
        <v>1.7019481051336459E-2</v>
      </c>
      <c r="G432" s="2"/>
      <c r="H432" s="2"/>
      <c r="I432" s="19">
        <f>ABS(C432-ADC!I432)</f>
        <v>8.9352608852849791E-2</v>
      </c>
    </row>
    <row r="433" spans="1:9" x14ac:dyDescent="0.25">
      <c r="A433" s="5">
        <v>431</v>
      </c>
      <c r="B433" s="5">
        <f t="shared" si="19"/>
        <v>63.1</v>
      </c>
      <c r="C433" s="21">
        <f t="shared" si="20"/>
        <v>3.5916670000000002</v>
      </c>
      <c r="D433" s="16"/>
      <c r="E433" s="19">
        <f>(ADC!I433+5/3)/(1/12)</f>
        <v>64.178102891401949</v>
      </c>
      <c r="F433" s="20">
        <f t="shared" si="18"/>
        <v>1.7085624269444488E-2</v>
      </c>
      <c r="G433" s="2"/>
      <c r="H433" s="2"/>
      <c r="I433" s="19">
        <f>ABS(C433-ADC!I433)</f>
        <v>8.9841574283495262E-2</v>
      </c>
    </row>
    <row r="434" spans="1:9" x14ac:dyDescent="0.25">
      <c r="A434" s="5">
        <v>432</v>
      </c>
      <c r="B434" s="5">
        <f t="shared" si="19"/>
        <v>63.2</v>
      </c>
      <c r="C434" s="21">
        <f t="shared" si="20"/>
        <v>3.6</v>
      </c>
      <c r="D434" s="16"/>
      <c r="E434" s="19">
        <f>(ADC!I434+5/3)/(1/12)</f>
        <v>64.271383419620093</v>
      </c>
      <c r="F434" s="20">
        <f t="shared" si="18"/>
        <v>1.6952269297786243E-2</v>
      </c>
      <c r="G434" s="2"/>
      <c r="H434" s="2"/>
      <c r="I434" s="19">
        <f>ABS(C434-ADC!I434)</f>
        <v>8.928195163500785E-2</v>
      </c>
    </row>
    <row r="435" spans="1:9" x14ac:dyDescent="0.25">
      <c r="A435" s="5">
        <v>433</v>
      </c>
      <c r="B435" s="5">
        <f t="shared" si="19"/>
        <v>63.300000000000004</v>
      </c>
      <c r="C435" s="21">
        <f t="shared" si="20"/>
        <v>3.608333</v>
      </c>
      <c r="D435" s="16"/>
      <c r="E435" s="19">
        <f>(ADC!I435+5/3)/(1/12)</f>
        <v>64.377584412556288</v>
      </c>
      <c r="F435" s="20">
        <f t="shared" si="18"/>
        <v>1.7023450435328342E-2</v>
      </c>
      <c r="G435" s="2"/>
      <c r="H435" s="2"/>
      <c r="I435" s="19">
        <f>ABS(C435-ADC!I435)</f>
        <v>8.979903437969039E-2</v>
      </c>
    </row>
    <row r="436" spans="1:9" x14ac:dyDescent="0.25">
      <c r="A436" s="5">
        <v>434</v>
      </c>
      <c r="B436" s="5">
        <f t="shared" si="19"/>
        <v>63.400000000000006</v>
      </c>
      <c r="C436" s="21">
        <f t="shared" si="20"/>
        <v>3.6166670000000001</v>
      </c>
      <c r="D436" s="16"/>
      <c r="E436" s="19">
        <f>(ADC!I436+5/3)/(1/12)</f>
        <v>64.490281709331583</v>
      </c>
      <c r="F436" s="20">
        <f t="shared" si="18"/>
        <v>1.7196872386933397E-2</v>
      </c>
      <c r="G436" s="2"/>
      <c r="H436" s="2"/>
      <c r="I436" s="19">
        <f>ABS(C436-ADC!I436)</f>
        <v>9.0856475777630674E-2</v>
      </c>
    </row>
    <row r="437" spans="1:9" x14ac:dyDescent="0.25">
      <c r="A437" s="5">
        <v>435</v>
      </c>
      <c r="B437" s="5">
        <f t="shared" si="19"/>
        <v>63.5</v>
      </c>
      <c r="C437" s="21">
        <f t="shared" si="20"/>
        <v>3.625</v>
      </c>
      <c r="D437" s="16"/>
      <c r="E437" s="19">
        <f>(ADC!I437+5/3)/(1/12)</f>
        <v>64.590429457316802</v>
      </c>
      <c r="F437" s="20">
        <f t="shared" si="18"/>
        <v>1.7172117438059867E-2</v>
      </c>
      <c r="G437" s="2"/>
      <c r="H437" s="2"/>
      <c r="I437" s="19">
        <f>ABS(C437-ADC!I437)</f>
        <v>9.0869121443066359E-2</v>
      </c>
    </row>
    <row r="438" spans="1:9" x14ac:dyDescent="0.25">
      <c r="A438" s="5">
        <v>436</v>
      </c>
      <c r="B438" s="5">
        <f t="shared" si="19"/>
        <v>63.6</v>
      </c>
      <c r="C438" s="21">
        <f t="shared" si="20"/>
        <v>3.6333329999999999</v>
      </c>
      <c r="D438" s="16"/>
      <c r="E438" s="19">
        <f>(ADC!I438+5/3)/(1/12)</f>
        <v>64.690747391647619</v>
      </c>
      <c r="F438" s="20">
        <f t="shared" si="18"/>
        <v>1.7150116220874492E-2</v>
      </c>
      <c r="G438" s="2"/>
      <c r="H438" s="2"/>
      <c r="I438" s="19">
        <f>ABS(C438-ADC!I438)</f>
        <v>9.0895949303968493E-2</v>
      </c>
    </row>
    <row r="439" spans="1:9" x14ac:dyDescent="0.25">
      <c r="A439" s="5">
        <v>437</v>
      </c>
      <c r="B439" s="5">
        <f t="shared" si="19"/>
        <v>63.7</v>
      </c>
      <c r="C439" s="21">
        <f t="shared" si="20"/>
        <v>3.641667</v>
      </c>
      <c r="D439" s="16"/>
      <c r="E439" s="19">
        <f>(ADC!I439+5/3)/(1/12)</f>
        <v>64.797545021387691</v>
      </c>
      <c r="F439" s="20">
        <f t="shared" si="18"/>
        <v>1.7229906144233725E-2</v>
      </c>
      <c r="G439" s="2"/>
      <c r="H439" s="2"/>
      <c r="I439" s="19">
        <f>ABS(C439-ADC!I439)</f>
        <v>9.1461751782307754E-2</v>
      </c>
    </row>
    <row r="440" spans="1:9" x14ac:dyDescent="0.25">
      <c r="A440" s="5">
        <v>438</v>
      </c>
      <c r="B440" s="5">
        <f t="shared" si="19"/>
        <v>63.800000000000004</v>
      </c>
      <c r="C440" s="21">
        <f t="shared" si="20"/>
        <v>3.65</v>
      </c>
      <c r="D440" s="16"/>
      <c r="E440" s="19">
        <f>(ADC!I440+5/3)/(1/12)</f>
        <v>64.89818665896378</v>
      </c>
      <c r="F440" s="20">
        <f t="shared" si="18"/>
        <v>1.7212957037049781E-2</v>
      </c>
      <c r="G440" s="2"/>
      <c r="H440" s="2"/>
      <c r="I440" s="19">
        <f>ABS(C440-ADC!I440)</f>
        <v>9.1515554913648156E-2</v>
      </c>
    </row>
    <row r="441" spans="1:9" x14ac:dyDescent="0.25">
      <c r="A441" s="5">
        <v>439</v>
      </c>
      <c r="B441" s="5">
        <f t="shared" si="19"/>
        <v>63.900000000000006</v>
      </c>
      <c r="C441" s="21">
        <f t="shared" si="20"/>
        <v>3.6583329999999998</v>
      </c>
      <c r="D441" s="16"/>
      <c r="E441" s="19">
        <f>(ADC!I441+5/3)/(1/12)</f>
        <v>65.005280416243082</v>
      </c>
      <c r="F441" s="20">
        <f t="shared" si="18"/>
        <v>1.7297033118045008E-2</v>
      </c>
      <c r="G441" s="2"/>
      <c r="H441" s="2"/>
      <c r="I441" s="19">
        <f>ABS(C441-ADC!I441)</f>
        <v>9.2107034686923495E-2</v>
      </c>
    </row>
    <row r="442" spans="1:9" x14ac:dyDescent="0.25">
      <c r="A442" s="5">
        <v>440</v>
      </c>
      <c r="B442" s="5">
        <f t="shared" si="19"/>
        <v>64</v>
      </c>
      <c r="C442" s="21">
        <f t="shared" si="20"/>
        <v>3.6666669999999999</v>
      </c>
      <c r="D442" s="16"/>
      <c r="E442" s="19">
        <f>(ADC!I442+5/3)/(1/12)</f>
        <v>65.106240121409897</v>
      </c>
      <c r="F442" s="20">
        <f t="shared" si="18"/>
        <v>1.7285001897029639E-2</v>
      </c>
      <c r="G442" s="2"/>
      <c r="H442" s="2"/>
      <c r="I442" s="19">
        <f>ABS(C442-ADC!I442)</f>
        <v>9.2186343450824548E-2</v>
      </c>
    </row>
    <row r="443" spans="1:9" x14ac:dyDescent="0.25">
      <c r="A443" s="5">
        <v>441</v>
      </c>
      <c r="B443" s="5">
        <f t="shared" si="19"/>
        <v>64.099999999999994</v>
      </c>
      <c r="C443" s="21">
        <f t="shared" si="20"/>
        <v>3.6749999999999998</v>
      </c>
      <c r="D443" s="16"/>
      <c r="E443" s="19">
        <f>(ADC!I443+5/3)/(1/12)</f>
        <v>65.207362918467481</v>
      </c>
      <c r="F443" s="20">
        <f t="shared" si="18"/>
        <v>1.7275552550194809E-2</v>
      </c>
      <c r="G443" s="2"/>
      <c r="H443" s="2"/>
      <c r="I443" s="19">
        <f>ABS(C443-ADC!I443)</f>
        <v>9.2280243205622892E-2</v>
      </c>
    </row>
    <row r="444" spans="1:9" x14ac:dyDescent="0.25">
      <c r="A444" s="5">
        <v>442</v>
      </c>
      <c r="B444" s="5">
        <f t="shared" si="19"/>
        <v>64.2</v>
      </c>
      <c r="C444" s="21">
        <f t="shared" si="20"/>
        <v>3.6833330000000002</v>
      </c>
      <c r="D444" s="16"/>
      <c r="E444" s="19">
        <f>(ADC!I444+5/3)/(1/12)</f>
        <v>65.314896567208876</v>
      </c>
      <c r="F444" s="20">
        <f t="shared" si="18"/>
        <v>1.7365990143440396E-2</v>
      </c>
      <c r="G444" s="2"/>
      <c r="H444" s="2"/>
      <c r="I444" s="19">
        <f>ABS(C444-ADC!I444)</f>
        <v>9.290838060073936E-2</v>
      </c>
    </row>
    <row r="445" spans="1:9" x14ac:dyDescent="0.25">
      <c r="A445" s="5">
        <v>443</v>
      </c>
      <c r="B445" s="5">
        <f t="shared" si="19"/>
        <v>64.300000000000011</v>
      </c>
      <c r="C445" s="21">
        <f t="shared" si="20"/>
        <v>3.6916669999999998</v>
      </c>
      <c r="D445" s="16"/>
      <c r="E445" s="19">
        <f>(ADC!I445+5/3)/(1/12)</f>
        <v>65.416328988850168</v>
      </c>
      <c r="F445" s="20">
        <f t="shared" si="18"/>
        <v>1.7361259546658733E-2</v>
      </c>
      <c r="G445" s="2"/>
      <c r="H445" s="2"/>
      <c r="I445" s="19">
        <f>ABS(C445-ADC!I445)</f>
        <v>9.3027082404181005E-2</v>
      </c>
    </row>
    <row r="446" spans="1:9" x14ac:dyDescent="0.25">
      <c r="A446" s="5">
        <v>444</v>
      </c>
      <c r="B446" s="5">
        <f t="shared" si="19"/>
        <v>64.400000000000006</v>
      </c>
      <c r="C446" s="21">
        <f t="shared" si="20"/>
        <v>3.7</v>
      </c>
      <c r="D446" s="16"/>
      <c r="E446" s="19">
        <f>(ADC!I446+5/3)/(1/12)</f>
        <v>65.524144831808002</v>
      </c>
      <c r="F446" s="20">
        <f t="shared" si="18"/>
        <v>1.7455665090186274E-2</v>
      </c>
      <c r="G446" s="2"/>
      <c r="H446" s="2"/>
      <c r="I446" s="19">
        <f>ABS(C446-ADC!I446)</f>
        <v>9.3678735983998784E-2</v>
      </c>
    </row>
    <row r="447" spans="1:9" x14ac:dyDescent="0.25">
      <c r="A447" s="5">
        <v>445</v>
      </c>
      <c r="B447" s="5">
        <f t="shared" si="19"/>
        <v>64.5</v>
      </c>
      <c r="C447" s="21">
        <f t="shared" si="20"/>
        <v>3.7083330000000001</v>
      </c>
      <c r="D447" s="16"/>
      <c r="E447" s="19">
        <f>(ADC!I447+5/3)/(1/12)</f>
        <v>65.625881277556488</v>
      </c>
      <c r="F447" s="20">
        <f t="shared" si="18"/>
        <v>1.7455523683046321E-2</v>
      </c>
      <c r="G447" s="2"/>
      <c r="H447" s="2"/>
      <c r="I447" s="19">
        <f>ABS(C447-ADC!I447)</f>
        <v>9.3823773129706911E-2</v>
      </c>
    </row>
    <row r="448" spans="1:9" x14ac:dyDescent="0.25">
      <c r="A448" s="5">
        <v>446</v>
      </c>
      <c r="B448" s="5">
        <f t="shared" si="19"/>
        <v>64.599999999999994</v>
      </c>
      <c r="C448" s="21">
        <f t="shared" si="20"/>
        <v>3.7166670000000002</v>
      </c>
      <c r="D448" s="16"/>
      <c r="E448" s="19">
        <f>(ADC!I448+5/3)/(1/12)</f>
        <v>65.727773786820109</v>
      </c>
      <c r="F448" s="20">
        <f t="shared" si="18"/>
        <v>1.7457798557586911E-2</v>
      </c>
      <c r="G448" s="2"/>
      <c r="H448" s="2"/>
      <c r="I448" s="19">
        <f>ABS(C448-ADC!I448)</f>
        <v>9.398081556834148E-2</v>
      </c>
    </row>
    <row r="449" spans="1:9" x14ac:dyDescent="0.25">
      <c r="A449" s="5">
        <v>447</v>
      </c>
      <c r="B449" s="5">
        <f t="shared" si="19"/>
        <v>64.7</v>
      </c>
      <c r="C449" s="21">
        <f t="shared" si="20"/>
        <v>3.7250000000000001</v>
      </c>
      <c r="D449" s="16"/>
      <c r="E449" s="19">
        <f>(ADC!I449+5/3)/(1/12)</f>
        <v>65.82363324432491</v>
      </c>
      <c r="F449" s="20">
        <f t="shared" si="18"/>
        <v>1.7366819850462237E-2</v>
      </c>
      <c r="G449" s="2"/>
      <c r="H449" s="2"/>
      <c r="I449" s="19">
        <f>ABS(C449-ADC!I449)</f>
        <v>9.3636103693741202E-2</v>
      </c>
    </row>
    <row r="450" spans="1:9" x14ac:dyDescent="0.25">
      <c r="A450" s="5">
        <v>448</v>
      </c>
      <c r="B450" s="5">
        <f t="shared" si="19"/>
        <v>64.800000000000011</v>
      </c>
      <c r="C450" s="21">
        <f t="shared" si="20"/>
        <v>3.733333</v>
      </c>
      <c r="D450" s="16"/>
      <c r="E450" s="19">
        <f>(ADC!I450+5/3)/(1/12)</f>
        <v>65.925845916502226</v>
      </c>
      <c r="F450" s="20">
        <f t="shared" ref="F450:F513" si="21">ABS(B450-E450)/B450</f>
        <v>1.7374165378120591E-2</v>
      </c>
      <c r="G450" s="2"/>
      <c r="H450" s="2"/>
      <c r="I450" s="19">
        <f>ABS(C450-ADC!I450)</f>
        <v>9.3820826375184296E-2</v>
      </c>
    </row>
    <row r="451" spans="1:9" x14ac:dyDescent="0.25">
      <c r="A451" s="5">
        <v>449</v>
      </c>
      <c r="B451" s="5">
        <f t="shared" ref="B451:B514" si="22">0.1*A451+20</f>
        <v>64.900000000000006</v>
      </c>
      <c r="C451" s="21">
        <f t="shared" ref="C451:C514" si="23">ROUND(1/12*B451-5/3,6)</f>
        <v>3.7416670000000001</v>
      </c>
      <c r="D451" s="16"/>
      <c r="E451" s="19">
        <f>(ADC!I451+5/3)/(1/12)</f>
        <v>66.028210425410023</v>
      </c>
      <c r="F451" s="20">
        <f t="shared" si="21"/>
        <v>1.7383827818336171E-2</v>
      </c>
      <c r="G451" s="2"/>
      <c r="H451" s="2"/>
      <c r="I451" s="19">
        <f>ABS(C451-ADC!I451)</f>
        <v>9.4017202117501419E-2</v>
      </c>
    </row>
    <row r="452" spans="1:9" x14ac:dyDescent="0.25">
      <c r="A452" s="5">
        <v>450</v>
      </c>
      <c r="B452" s="5">
        <f t="shared" si="22"/>
        <v>65</v>
      </c>
      <c r="C452" s="21">
        <f t="shared" si="23"/>
        <v>3.75</v>
      </c>
      <c r="D452" s="16"/>
      <c r="E452" s="19">
        <f>(ADC!I452+5/3)/(1/12)</f>
        <v>66.130725377454169</v>
      </c>
      <c r="F452" s="20">
        <f t="shared" si="21"/>
        <v>1.7395775037756449E-2</v>
      </c>
      <c r="G452" s="2"/>
      <c r="H452" s="2"/>
      <c r="I452" s="19">
        <f>ABS(C452-ADC!I452)</f>
        <v>9.4227114787846844E-2</v>
      </c>
    </row>
    <row r="453" spans="1:9" x14ac:dyDescent="0.25">
      <c r="A453" s="5">
        <v>451</v>
      </c>
      <c r="B453" s="5">
        <f t="shared" si="22"/>
        <v>65.099999999999994</v>
      </c>
      <c r="C453" s="21">
        <f t="shared" si="23"/>
        <v>3.7583329999999999</v>
      </c>
      <c r="D453" s="16"/>
      <c r="E453" s="19">
        <f>(ADC!I453+5/3)/(1/12)</f>
        <v>66.233389372144543</v>
      </c>
      <c r="F453" s="20">
        <f t="shared" si="21"/>
        <v>1.7409974994539928E-2</v>
      </c>
      <c r="G453" s="2"/>
      <c r="H453" s="2"/>
      <c r="I453" s="19">
        <f>ABS(C453-ADC!I453)</f>
        <v>9.444944767871144E-2</v>
      </c>
    </row>
    <row r="454" spans="1:9" x14ac:dyDescent="0.25">
      <c r="A454" s="5">
        <v>452</v>
      </c>
      <c r="B454" s="5">
        <f t="shared" si="22"/>
        <v>65.2</v>
      </c>
      <c r="C454" s="21">
        <f t="shared" si="23"/>
        <v>3.766667</v>
      </c>
      <c r="D454" s="16"/>
      <c r="E454" s="19">
        <f>(ADC!I454+5/3)/(1/12)</f>
        <v>66.336201014490285</v>
      </c>
      <c r="F454" s="20">
        <f t="shared" si="21"/>
        <v>1.742639592776507E-2</v>
      </c>
      <c r="G454" s="2"/>
      <c r="H454" s="2"/>
      <c r="I454" s="19">
        <f>ABS(C454-ADC!I454)</f>
        <v>9.4683084540856832E-2</v>
      </c>
    </row>
    <row r="455" spans="1:9" x14ac:dyDescent="0.25">
      <c r="A455" s="5">
        <v>453</v>
      </c>
      <c r="B455" s="5">
        <f t="shared" si="22"/>
        <v>65.300000000000011</v>
      </c>
      <c r="C455" s="21">
        <f t="shared" si="23"/>
        <v>3.7749999999999999</v>
      </c>
      <c r="D455" s="16"/>
      <c r="E455" s="19">
        <f>(ADC!I455+5/3)/(1/12)</f>
        <v>66.439158917531373</v>
      </c>
      <c r="F455" s="20">
        <f t="shared" si="21"/>
        <v>1.7445006394048407E-2</v>
      </c>
      <c r="G455" s="2"/>
      <c r="H455" s="2"/>
      <c r="I455" s="19">
        <f>ABS(C455-ADC!I455)</f>
        <v>9.4929909794280398E-2</v>
      </c>
    </row>
    <row r="456" spans="1:9" x14ac:dyDescent="0.25">
      <c r="A456" s="5">
        <v>454</v>
      </c>
      <c r="B456" s="5">
        <f t="shared" si="22"/>
        <v>65.400000000000006</v>
      </c>
      <c r="C456" s="21">
        <f t="shared" si="23"/>
        <v>3.7833329999999998</v>
      </c>
      <c r="D456" s="16"/>
      <c r="E456" s="19">
        <f>(ADC!I456+5/3)/(1/12)</f>
        <v>66.536159510677535</v>
      </c>
      <c r="F456" s="20">
        <f t="shared" si="21"/>
        <v>1.7372469582225224E-2</v>
      </c>
      <c r="G456" s="2"/>
      <c r="H456" s="2"/>
      <c r="I456" s="19">
        <f>ABS(C456-ADC!I456)</f>
        <v>9.4680292556460266E-2</v>
      </c>
    </row>
    <row r="457" spans="1:9" x14ac:dyDescent="0.25">
      <c r="A457" s="5">
        <v>455</v>
      </c>
      <c r="B457" s="5">
        <f t="shared" si="22"/>
        <v>65.5</v>
      </c>
      <c r="C457" s="21">
        <f t="shared" si="23"/>
        <v>3.7916669999999999</v>
      </c>
      <c r="D457" s="16"/>
      <c r="E457" s="19">
        <f>(ADC!I457+5/3)/(1/12)</f>
        <v>66.639417928395275</v>
      </c>
      <c r="F457" s="20">
        <f t="shared" si="21"/>
        <v>1.7395693563286643E-2</v>
      </c>
      <c r="G457" s="2"/>
      <c r="H457" s="2"/>
      <c r="I457" s="19">
        <f>ABS(C457-ADC!I457)</f>
        <v>9.4951160699605186E-2</v>
      </c>
    </row>
    <row r="458" spans="1:9" x14ac:dyDescent="0.25">
      <c r="A458" s="5">
        <v>456</v>
      </c>
      <c r="B458" s="5">
        <f t="shared" si="22"/>
        <v>65.599999999999994</v>
      </c>
      <c r="C458" s="21">
        <f t="shared" si="23"/>
        <v>3.8</v>
      </c>
      <c r="D458" s="16"/>
      <c r="E458" s="19">
        <f>(ADC!I458+5/3)/(1/12)</f>
        <v>66.742818428993814</v>
      </c>
      <c r="F458" s="20">
        <f t="shared" si="21"/>
        <v>1.7421012637100917E-2</v>
      </c>
      <c r="G458" s="2"/>
      <c r="H458" s="2"/>
      <c r="I458" s="19">
        <f>ABS(C458-ADC!I458)</f>
        <v>9.5234869082817308E-2</v>
      </c>
    </row>
    <row r="459" spans="1:9" x14ac:dyDescent="0.25">
      <c r="A459" s="5">
        <v>457</v>
      </c>
      <c r="B459" s="5">
        <f t="shared" si="22"/>
        <v>65.7</v>
      </c>
      <c r="C459" s="21">
        <f t="shared" si="23"/>
        <v>3.8083330000000002</v>
      </c>
      <c r="D459" s="16"/>
      <c r="E459" s="19">
        <f>(ADC!I459+5/3)/(1/12)</f>
        <v>66.846359641749132</v>
      </c>
      <c r="F459" s="20">
        <f t="shared" si="21"/>
        <v>1.7448396373654928E-2</v>
      </c>
      <c r="G459" s="2"/>
      <c r="H459" s="2"/>
      <c r="I459" s="19">
        <f>ABS(C459-ADC!I459)</f>
        <v>9.5530303479093526E-2</v>
      </c>
    </row>
    <row r="460" spans="1:9" x14ac:dyDescent="0.25">
      <c r="A460" s="5">
        <v>458</v>
      </c>
      <c r="B460" s="5">
        <f t="shared" si="22"/>
        <v>65.800000000000011</v>
      </c>
      <c r="C460" s="21">
        <f t="shared" si="23"/>
        <v>3.8166669999999998</v>
      </c>
      <c r="D460" s="16"/>
      <c r="E460" s="19">
        <f>(ADC!I460+5/3)/(1/12)</f>
        <v>66.950040177257094</v>
      </c>
      <c r="F460" s="20">
        <f t="shared" si="21"/>
        <v>1.7477814244028608E-2</v>
      </c>
      <c r="G460" s="2"/>
      <c r="H460" s="2"/>
      <c r="I460" s="19">
        <f>ABS(C460-ADC!I460)</f>
        <v>9.5836348104758162E-2</v>
      </c>
    </row>
    <row r="461" spans="1:9" x14ac:dyDescent="0.25">
      <c r="A461" s="5">
        <v>459</v>
      </c>
      <c r="B461" s="5">
        <f t="shared" si="22"/>
        <v>65.900000000000006</v>
      </c>
      <c r="C461" s="21">
        <f t="shared" si="23"/>
        <v>3.8250000000000002</v>
      </c>
      <c r="D461" s="16"/>
      <c r="E461" s="19">
        <f>(ADC!I461+5/3)/(1/12)</f>
        <v>67.047817167147286</v>
      </c>
      <c r="F461" s="20">
        <f t="shared" si="21"/>
        <v>1.741755944077816E-2</v>
      </c>
      <c r="G461" s="2"/>
      <c r="H461" s="2"/>
      <c r="I461" s="19">
        <f>ABS(C461-ADC!I461)</f>
        <v>9.5651430595606879E-2</v>
      </c>
    </row>
    <row r="462" spans="1:9" x14ac:dyDescent="0.25">
      <c r="A462" s="5">
        <v>460</v>
      </c>
      <c r="B462" s="5">
        <f t="shared" si="22"/>
        <v>66</v>
      </c>
      <c r="C462" s="21">
        <f t="shared" si="23"/>
        <v>3.8333330000000001</v>
      </c>
      <c r="D462" s="16"/>
      <c r="E462" s="19">
        <f>(ADC!I462+5/3)/(1/12)</f>
        <v>67.151784324162833</v>
      </c>
      <c r="F462" s="20">
        <f t="shared" si="21"/>
        <v>1.7451277638830798E-2</v>
      </c>
      <c r="G462" s="2"/>
      <c r="H462" s="2"/>
      <c r="I462" s="19">
        <f>ABS(C462-ADC!I462)</f>
        <v>9.5982360346902329E-2</v>
      </c>
    </row>
    <row r="463" spans="1:9" x14ac:dyDescent="0.25">
      <c r="A463" s="5">
        <v>461</v>
      </c>
      <c r="B463" s="5">
        <f t="shared" si="22"/>
        <v>66.099999999999994</v>
      </c>
      <c r="C463" s="21">
        <f t="shared" si="23"/>
        <v>3.8416670000000002</v>
      </c>
      <c r="D463" s="16"/>
      <c r="E463" s="19">
        <f>(ADC!I463+5/3)/(1/12)</f>
        <v>67.249869361732351</v>
      </c>
      <c r="F463" s="20">
        <f t="shared" si="21"/>
        <v>1.7395905623787546E-2</v>
      </c>
      <c r="G463" s="2"/>
      <c r="H463" s="2"/>
      <c r="I463" s="19">
        <f>ABS(C463-ADC!I463)</f>
        <v>9.5822113477695314E-2</v>
      </c>
    </row>
    <row r="464" spans="1:9" x14ac:dyDescent="0.25">
      <c r="A464" s="5">
        <v>462</v>
      </c>
      <c r="B464" s="5">
        <f t="shared" si="22"/>
        <v>66.2</v>
      </c>
      <c r="C464" s="21">
        <f t="shared" si="23"/>
        <v>3.85</v>
      </c>
      <c r="D464" s="16"/>
      <c r="E464" s="19">
        <f>(ADC!I464+5/3)/(1/12)</f>
        <v>67.342107160125195</v>
      </c>
      <c r="F464" s="20">
        <f t="shared" si="21"/>
        <v>1.7252374020018012E-2</v>
      </c>
      <c r="G464" s="2"/>
      <c r="H464" s="2"/>
      <c r="I464" s="19">
        <f>ABS(C464-ADC!I464)</f>
        <v>9.5175596677098628E-2</v>
      </c>
    </row>
    <row r="465" spans="1:9" x14ac:dyDescent="0.25">
      <c r="A465" s="5">
        <v>463</v>
      </c>
      <c r="B465" s="5">
        <f t="shared" si="22"/>
        <v>66.300000000000011</v>
      </c>
      <c r="C465" s="21">
        <f t="shared" si="23"/>
        <v>3.858333</v>
      </c>
      <c r="D465" s="16"/>
      <c r="E465" s="19">
        <f>(ADC!I465+5/3)/(1/12)</f>
        <v>67.446511937389161</v>
      </c>
      <c r="F465" s="20">
        <f t="shared" si="21"/>
        <v>1.7292789402551273E-2</v>
      </c>
      <c r="G465" s="2"/>
      <c r="H465" s="2"/>
      <c r="I465" s="19">
        <f>ABS(C465-ADC!I465)</f>
        <v>9.5542994782428892E-2</v>
      </c>
    </row>
    <row r="466" spans="1:9" x14ac:dyDescent="0.25">
      <c r="A466" s="5">
        <v>464</v>
      </c>
      <c r="B466" s="5">
        <f t="shared" si="22"/>
        <v>66.400000000000006</v>
      </c>
      <c r="C466" s="21">
        <f t="shared" si="23"/>
        <v>3.8666670000000001</v>
      </c>
      <c r="D466" s="16"/>
      <c r="E466" s="19">
        <f>(ADC!I466+5/3)/(1/12)</f>
        <v>67.551047777883412</v>
      </c>
      <c r="F466" s="20">
        <f t="shared" si="21"/>
        <v>1.7335056895834425E-2</v>
      </c>
      <c r="G466" s="2"/>
      <c r="H466" s="2"/>
      <c r="I466" s="19">
        <f>ABS(C466-ADC!I466)</f>
        <v>9.5920314823616959E-2</v>
      </c>
    </row>
    <row r="467" spans="1:9" x14ac:dyDescent="0.25">
      <c r="A467" s="5">
        <v>465</v>
      </c>
      <c r="B467" s="5">
        <f t="shared" si="22"/>
        <v>66.5</v>
      </c>
      <c r="C467" s="21">
        <f t="shared" si="23"/>
        <v>3.875</v>
      </c>
      <c r="D467" s="16"/>
      <c r="E467" s="19">
        <f>(ADC!I467+5/3)/(1/12)</f>
        <v>67.649744222085232</v>
      </c>
      <c r="F467" s="20">
        <f t="shared" si="21"/>
        <v>1.7289386798274166E-2</v>
      </c>
      <c r="G467" s="2"/>
      <c r="H467" s="2"/>
      <c r="I467" s="19">
        <f>ABS(C467-ADC!I467)</f>
        <v>9.5812018507102525E-2</v>
      </c>
    </row>
    <row r="468" spans="1:9" x14ac:dyDescent="0.25">
      <c r="A468" s="5">
        <v>466</v>
      </c>
      <c r="B468" s="5">
        <f t="shared" si="22"/>
        <v>66.599999999999994</v>
      </c>
      <c r="C468" s="21">
        <f t="shared" si="23"/>
        <v>3.8833329999999999</v>
      </c>
      <c r="D468" s="16"/>
      <c r="E468" s="19">
        <f>(ADC!I468+5/3)/(1/12)</f>
        <v>67.7485930323476</v>
      </c>
      <c r="F468" s="20">
        <f t="shared" si="21"/>
        <v>1.7246141626840926E-2</v>
      </c>
      <c r="G468" s="2"/>
      <c r="H468" s="2"/>
      <c r="I468" s="19">
        <f>ABS(C468-ADC!I468)</f>
        <v>9.5716419362299465E-2</v>
      </c>
    </row>
    <row r="469" spans="1:9" x14ac:dyDescent="0.25">
      <c r="A469" s="5">
        <v>467</v>
      </c>
      <c r="B469" s="5">
        <f t="shared" si="22"/>
        <v>66.7</v>
      </c>
      <c r="C469" s="21">
        <f t="shared" si="23"/>
        <v>3.891667</v>
      </c>
      <c r="D469" s="16"/>
      <c r="E469" s="19">
        <f>(ADC!I469+5/3)/(1/12)</f>
        <v>67.853537871206768</v>
      </c>
      <c r="F469" s="20">
        <f t="shared" si="21"/>
        <v>1.7294420857672646E-2</v>
      </c>
      <c r="G469" s="2"/>
      <c r="H469" s="2"/>
      <c r="I469" s="19">
        <f>ABS(C469-ADC!I469)</f>
        <v>9.6127822600563739E-2</v>
      </c>
    </row>
    <row r="470" spans="1:9" x14ac:dyDescent="0.25">
      <c r="A470" s="5">
        <v>468</v>
      </c>
      <c r="B470" s="5">
        <f t="shared" si="22"/>
        <v>66.800000000000011</v>
      </c>
      <c r="C470" s="21">
        <f t="shared" si="23"/>
        <v>3.9</v>
      </c>
      <c r="D470" s="16"/>
      <c r="E470" s="19">
        <f>(ADC!I470+5/3)/(1/12)</f>
        <v>67.952675236724971</v>
      </c>
      <c r="F470" s="20">
        <f t="shared" si="21"/>
        <v>1.7255617316241912E-2</v>
      </c>
      <c r="G470" s="2"/>
      <c r="H470" s="2"/>
      <c r="I470" s="19">
        <f>ABS(C470-ADC!I470)</f>
        <v>9.605626972708059E-2</v>
      </c>
    </row>
    <row r="471" spans="1:9" x14ac:dyDescent="0.25">
      <c r="A471" s="5">
        <v>469</v>
      </c>
      <c r="B471" s="5">
        <f t="shared" si="22"/>
        <v>66.900000000000006</v>
      </c>
      <c r="C471" s="21">
        <f t="shared" si="23"/>
        <v>3.9083329999999998</v>
      </c>
      <c r="D471" s="16"/>
      <c r="E471" s="19">
        <f>(ADC!I471+5/3)/(1/12)</f>
        <v>68.051960801836941</v>
      </c>
      <c r="F471" s="20">
        <f t="shared" si="21"/>
        <v>1.7219145019984086E-2</v>
      </c>
      <c r="G471" s="2"/>
      <c r="H471" s="2"/>
      <c r="I471" s="19">
        <f>ABS(C471-ADC!I471)</f>
        <v>9.5997066819744958E-2</v>
      </c>
    </row>
    <row r="472" spans="1:9" x14ac:dyDescent="0.25">
      <c r="A472" s="5">
        <v>470</v>
      </c>
      <c r="B472" s="5">
        <f t="shared" si="22"/>
        <v>67</v>
      </c>
      <c r="C472" s="21">
        <f t="shared" si="23"/>
        <v>3.9166669999999999</v>
      </c>
      <c r="D472" s="16"/>
      <c r="E472" s="19">
        <f>(ADC!I472+5/3)/(1/12)</f>
        <v>68.157302311011975</v>
      </c>
      <c r="F472" s="20">
        <f t="shared" si="21"/>
        <v>1.7273168821074252E-2</v>
      </c>
      <c r="G472" s="2"/>
      <c r="H472" s="2"/>
      <c r="I472" s="19">
        <f>ABS(C472-ADC!I472)</f>
        <v>9.6441525917664084E-2</v>
      </c>
    </row>
    <row r="473" spans="1:9" x14ac:dyDescent="0.25">
      <c r="A473" s="5">
        <v>471</v>
      </c>
      <c r="B473" s="5">
        <f t="shared" si="22"/>
        <v>67.099999999999994</v>
      </c>
      <c r="C473" s="21">
        <f t="shared" si="23"/>
        <v>3.9249999999999998</v>
      </c>
      <c r="D473" s="16"/>
      <c r="E473" s="19">
        <f>(ADC!I473+5/3)/(1/12)</f>
        <v>68.256868157847393</v>
      </c>
      <c r="F473" s="20">
        <f t="shared" si="21"/>
        <v>1.7240956152718308E-2</v>
      </c>
      <c r="G473" s="2"/>
      <c r="H473" s="2"/>
      <c r="I473" s="19">
        <f>ABS(C473-ADC!I473)</f>
        <v>9.6405679820615653E-2</v>
      </c>
    </row>
    <row r="474" spans="1:9" x14ac:dyDescent="0.25">
      <c r="A474" s="5">
        <v>472</v>
      </c>
      <c r="B474" s="5">
        <f t="shared" si="22"/>
        <v>67.2</v>
      </c>
      <c r="C474" s="21">
        <f t="shared" si="23"/>
        <v>3.9333330000000002</v>
      </c>
      <c r="D474" s="16"/>
      <c r="E474" s="19">
        <f>(ADC!I474+5/3)/(1/12)</f>
        <v>68.356578063124161</v>
      </c>
      <c r="F474" s="20">
        <f t="shared" si="21"/>
        <v>1.7210983082204732E-2</v>
      </c>
      <c r="G474" s="2"/>
      <c r="H474" s="2"/>
      <c r="I474" s="19">
        <f>ABS(C474-ADC!I474)</f>
        <v>9.6381838593678992E-2</v>
      </c>
    </row>
    <row r="475" spans="1:9" x14ac:dyDescent="0.25">
      <c r="A475" s="5">
        <v>473</v>
      </c>
      <c r="B475" s="5">
        <f t="shared" si="22"/>
        <v>67.300000000000011</v>
      </c>
      <c r="C475" s="21">
        <f t="shared" si="23"/>
        <v>3.9416669999999998</v>
      </c>
      <c r="D475" s="16"/>
      <c r="E475" s="19">
        <f>(ADC!I475+5/3)/(1/12)</f>
        <v>68.456430639969398</v>
      </c>
      <c r="F475" s="20">
        <f t="shared" si="21"/>
        <v>1.7183219018861606E-2</v>
      </c>
      <c r="G475" s="2"/>
      <c r="H475" s="2"/>
      <c r="I475" s="19">
        <f>ABS(C475-ADC!I475)</f>
        <v>9.636888666411636E-2</v>
      </c>
    </row>
    <row r="476" spans="1:9" x14ac:dyDescent="0.25">
      <c r="A476" s="5">
        <v>474</v>
      </c>
      <c r="B476" s="5">
        <f t="shared" si="22"/>
        <v>67.400000000000006</v>
      </c>
      <c r="C476" s="21">
        <f t="shared" si="23"/>
        <v>3.95</v>
      </c>
      <c r="D476" s="16"/>
      <c r="E476" s="19">
        <f>(ADC!I476+5/3)/(1/12)</f>
        <v>68.550563096381424</v>
      </c>
      <c r="F476" s="20">
        <f t="shared" si="21"/>
        <v>1.7070669085777718E-2</v>
      </c>
      <c r="G476" s="2"/>
      <c r="H476" s="2"/>
      <c r="I476" s="19">
        <f>ABS(C476-ADC!I476)</f>
        <v>9.5880258031784571E-2</v>
      </c>
    </row>
    <row r="477" spans="1:9" x14ac:dyDescent="0.25">
      <c r="A477" s="5">
        <v>475</v>
      </c>
      <c r="B477" s="5">
        <f t="shared" si="22"/>
        <v>67.5</v>
      </c>
      <c r="C477" s="21">
        <f t="shared" si="23"/>
        <v>3.9583330000000001</v>
      </c>
      <c r="D477" s="16"/>
      <c r="E477" s="19">
        <f>(ADC!I477+5/3)/(1/12)</f>
        <v>68.650708785138164</v>
      </c>
      <c r="F477" s="20">
        <f t="shared" si="21"/>
        <v>1.7047537557602431E-2</v>
      </c>
      <c r="G477" s="2"/>
      <c r="H477" s="2"/>
      <c r="I477" s="19">
        <f>ABS(C477-ADC!I477)</f>
        <v>9.5892732094845723E-2</v>
      </c>
    </row>
    <row r="478" spans="1:9" x14ac:dyDescent="0.25">
      <c r="A478" s="5">
        <v>476</v>
      </c>
      <c r="B478" s="5">
        <f t="shared" si="22"/>
        <v>67.599999999999994</v>
      </c>
      <c r="C478" s="21">
        <f t="shared" si="23"/>
        <v>3.9666670000000002</v>
      </c>
      <c r="D478" s="16"/>
      <c r="E478" s="19">
        <f>(ADC!I478+5/3)/(1/12)</f>
        <v>68.750993006187628</v>
      </c>
      <c r="F478" s="20">
        <f t="shared" si="21"/>
        <v>1.702652376017209E-2</v>
      </c>
      <c r="G478" s="2"/>
      <c r="H478" s="2"/>
      <c r="I478" s="19">
        <f>ABS(C478-ADC!I478)</f>
        <v>9.5915750515635168E-2</v>
      </c>
    </row>
    <row r="479" spans="1:9" x14ac:dyDescent="0.25">
      <c r="A479" s="5">
        <v>477</v>
      </c>
      <c r="B479" s="5">
        <f t="shared" si="22"/>
        <v>67.7</v>
      </c>
      <c r="C479" s="21">
        <f t="shared" si="23"/>
        <v>3.9750000000000001</v>
      </c>
      <c r="D479" s="16"/>
      <c r="E479" s="19">
        <f>(ADC!I479+5/3)/(1/12)</f>
        <v>68.85724018308693</v>
      </c>
      <c r="F479" s="20">
        <f t="shared" si="21"/>
        <v>1.7093651153425801E-2</v>
      </c>
      <c r="G479" s="2"/>
      <c r="H479" s="2"/>
      <c r="I479" s="19">
        <f>ABS(C479-ADC!I479)</f>
        <v>9.6436681923909529E-2</v>
      </c>
    </row>
    <row r="480" spans="1:9" x14ac:dyDescent="0.25">
      <c r="A480" s="5">
        <v>478</v>
      </c>
      <c r="B480" s="5">
        <f t="shared" si="22"/>
        <v>67.800000000000011</v>
      </c>
      <c r="C480" s="21">
        <f t="shared" si="23"/>
        <v>3.983333</v>
      </c>
      <c r="D480" s="16"/>
      <c r="E480" s="19">
        <f>(ADC!I480+5/3)/(1/12)</f>
        <v>68.946157663642481</v>
      </c>
      <c r="F480" s="20">
        <f t="shared" si="21"/>
        <v>1.6904980289711938E-2</v>
      </c>
      <c r="G480" s="2"/>
      <c r="H480" s="2"/>
      <c r="I480" s="19">
        <f>ABS(C480-ADC!I480)</f>
        <v>9.5513471970206432E-2</v>
      </c>
    </row>
    <row r="481" spans="1:9" x14ac:dyDescent="0.25">
      <c r="A481" s="5">
        <v>479</v>
      </c>
      <c r="B481" s="5">
        <f t="shared" si="22"/>
        <v>67.900000000000006</v>
      </c>
      <c r="C481" s="21">
        <f t="shared" si="23"/>
        <v>3.9916670000000001</v>
      </c>
      <c r="D481" s="16"/>
      <c r="E481" s="19">
        <f>(ADC!I481+5/3)/(1/12)</f>
        <v>69.046861120277995</v>
      </c>
      <c r="F481" s="20">
        <f t="shared" si="21"/>
        <v>1.6890443597613984E-2</v>
      </c>
      <c r="G481" s="2"/>
      <c r="H481" s="2"/>
      <c r="I481" s="19">
        <f>ABS(C481-ADC!I481)</f>
        <v>9.5571426689831984E-2</v>
      </c>
    </row>
    <row r="482" spans="1:9" x14ac:dyDescent="0.25">
      <c r="A482" s="5">
        <v>480</v>
      </c>
      <c r="B482" s="5">
        <f t="shared" si="22"/>
        <v>68</v>
      </c>
      <c r="C482" s="21">
        <f t="shared" si="23"/>
        <v>4</v>
      </c>
      <c r="D482" s="16"/>
      <c r="E482" s="19">
        <f>(ADC!I482+5/3)/(1/12)</f>
        <v>69.141907387054459</v>
      </c>
      <c r="F482" s="20">
        <f t="shared" si="21"/>
        <v>1.6792755691977343E-2</v>
      </c>
      <c r="G482" s="2"/>
      <c r="H482" s="2"/>
      <c r="I482" s="19">
        <f>ABS(C482-ADC!I482)</f>
        <v>9.5158948921204356E-2</v>
      </c>
    </row>
    <row r="483" spans="1:9" x14ac:dyDescent="0.25">
      <c r="A483" s="5">
        <v>481</v>
      </c>
      <c r="B483" s="5">
        <f t="shared" si="22"/>
        <v>68.099999999999994</v>
      </c>
      <c r="C483" s="21">
        <f t="shared" si="23"/>
        <v>4.0083330000000004</v>
      </c>
      <c r="D483" s="16"/>
      <c r="E483" s="19">
        <f>(ADC!I483+5/3)/(1/12)</f>
        <v>69.242887408493175</v>
      </c>
      <c r="F483" s="20">
        <f t="shared" si="21"/>
        <v>1.6782487643071671E-2</v>
      </c>
      <c r="G483" s="2"/>
      <c r="H483" s="2"/>
      <c r="I483" s="19">
        <f>ABS(C483-ADC!I483)</f>
        <v>9.5240950707763616E-2</v>
      </c>
    </row>
    <row r="484" spans="1:9" x14ac:dyDescent="0.25">
      <c r="A484" s="5">
        <v>482</v>
      </c>
      <c r="B484" s="5">
        <f t="shared" si="22"/>
        <v>68.2</v>
      </c>
      <c r="C484" s="21">
        <f t="shared" si="23"/>
        <v>4.016667</v>
      </c>
      <c r="D484" s="16"/>
      <c r="E484" s="19">
        <f>(ADC!I484+5/3)/(1/12)</f>
        <v>69.338231120634845</v>
      </c>
      <c r="F484" s="20">
        <f t="shared" si="21"/>
        <v>1.6689605874411172E-2</v>
      </c>
      <c r="G484" s="2"/>
      <c r="H484" s="2"/>
      <c r="I484" s="19">
        <f>ABS(C484-ADC!I484)</f>
        <v>9.4852260052903148E-2</v>
      </c>
    </row>
    <row r="485" spans="1:9" x14ac:dyDescent="0.25">
      <c r="A485" s="5">
        <v>483</v>
      </c>
      <c r="B485" s="5">
        <f t="shared" si="22"/>
        <v>68.300000000000011</v>
      </c>
      <c r="C485" s="21">
        <f t="shared" si="23"/>
        <v>4.0250000000000004</v>
      </c>
      <c r="D485" s="16"/>
      <c r="E485" s="19">
        <f>(ADC!I485+5/3)/(1/12)</f>
        <v>69.445237101079698</v>
      </c>
      <c r="F485" s="20">
        <f t="shared" si="21"/>
        <v>1.6767746721518102E-2</v>
      </c>
      <c r="G485" s="2"/>
      <c r="H485" s="2"/>
      <c r="I485" s="19">
        <f>ABS(C485-ADC!I485)</f>
        <v>9.5436425089973298E-2</v>
      </c>
    </row>
    <row r="486" spans="1:9" x14ac:dyDescent="0.25">
      <c r="A486" s="5">
        <v>484</v>
      </c>
      <c r="B486" s="5">
        <f t="shared" si="22"/>
        <v>68.400000000000006</v>
      </c>
      <c r="C486" s="21">
        <f t="shared" si="23"/>
        <v>4.0333329999999998</v>
      </c>
      <c r="D486" s="16"/>
      <c r="E486" s="19">
        <f>(ADC!I486+5/3)/(1/12)</f>
        <v>69.540860954930665</v>
      </c>
      <c r="F486" s="20">
        <f t="shared" si="21"/>
        <v>1.6679253727056417E-2</v>
      </c>
      <c r="G486" s="2"/>
      <c r="H486" s="2"/>
      <c r="I486" s="19">
        <f>ABS(C486-ADC!I486)</f>
        <v>9.5072079577555257E-2</v>
      </c>
    </row>
    <row r="487" spans="1:9" x14ac:dyDescent="0.25">
      <c r="A487" s="5">
        <v>485</v>
      </c>
      <c r="B487" s="5">
        <f t="shared" si="22"/>
        <v>68.5</v>
      </c>
      <c r="C487" s="21">
        <f t="shared" si="23"/>
        <v>4.0416670000000003</v>
      </c>
      <c r="D487" s="16"/>
      <c r="E487" s="19">
        <f>(ADC!I487+5/3)/(1/12)</f>
        <v>69.642365956683449</v>
      </c>
      <c r="F487" s="20">
        <f t="shared" si="21"/>
        <v>1.6676875280050348E-2</v>
      </c>
      <c r="G487" s="2"/>
      <c r="H487" s="2"/>
      <c r="I487" s="19">
        <f>ABS(C487-ADC!I487)</f>
        <v>9.5196829723620091E-2</v>
      </c>
    </row>
    <row r="488" spans="1:9" x14ac:dyDescent="0.25">
      <c r="A488" s="5">
        <v>486</v>
      </c>
      <c r="B488" s="5">
        <f t="shared" si="22"/>
        <v>68.599999999999994</v>
      </c>
      <c r="C488" s="21">
        <f t="shared" si="23"/>
        <v>4.05</v>
      </c>
      <c r="D488" s="16"/>
      <c r="E488" s="19">
        <f>(ADC!I488+5/3)/(1/12)</f>
        <v>69.738276258857567</v>
      </c>
      <c r="F488" s="20">
        <f t="shared" si="21"/>
        <v>1.6592948379848003E-2</v>
      </c>
      <c r="G488" s="2"/>
      <c r="H488" s="2"/>
      <c r="I488" s="19">
        <f>ABS(C488-ADC!I488)</f>
        <v>9.485635490479627E-2</v>
      </c>
    </row>
    <row r="489" spans="1:9" x14ac:dyDescent="0.25">
      <c r="A489" s="5">
        <v>487</v>
      </c>
      <c r="B489" s="5">
        <f t="shared" si="22"/>
        <v>68.7</v>
      </c>
      <c r="C489" s="21">
        <f t="shared" si="23"/>
        <v>4.0583330000000002</v>
      </c>
      <c r="D489" s="16"/>
      <c r="E489" s="19">
        <f>(ADC!I489+5/3)/(1/12)</f>
        <v>69.834333592982958</v>
      </c>
      <c r="F489" s="20">
        <f t="shared" si="21"/>
        <v>1.6511406011396723E-2</v>
      </c>
      <c r="G489" s="2"/>
      <c r="H489" s="2"/>
      <c r="I489" s="19">
        <f>ABS(C489-ADC!I489)</f>
        <v>9.4528132748578741E-2</v>
      </c>
    </row>
    <row r="490" spans="1:9" x14ac:dyDescent="0.25">
      <c r="A490" s="5">
        <v>488</v>
      </c>
      <c r="B490" s="5">
        <f t="shared" si="22"/>
        <v>68.800000000000011</v>
      </c>
      <c r="C490" s="21">
        <f t="shared" si="23"/>
        <v>4.0666669999999998</v>
      </c>
      <c r="D490" s="16"/>
      <c r="E490" s="19">
        <f>(ADC!I490+5/3)/(1/12)</f>
        <v>69.930536579519213</v>
      </c>
      <c r="F490" s="20">
        <f t="shared" si="21"/>
        <v>1.6432217725569791E-2</v>
      </c>
      <c r="G490" s="2"/>
      <c r="H490" s="2"/>
      <c r="I490" s="19">
        <f>ABS(C490-ADC!I490)</f>
        <v>9.4211048293266764E-2</v>
      </c>
    </row>
    <row r="491" spans="1:9" x14ac:dyDescent="0.25">
      <c r="A491" s="5">
        <v>489</v>
      </c>
      <c r="B491" s="5">
        <f t="shared" si="22"/>
        <v>68.900000000000006</v>
      </c>
      <c r="C491" s="21">
        <f t="shared" si="23"/>
        <v>4.0750000000000002</v>
      </c>
      <c r="D491" s="16"/>
      <c r="E491" s="19">
        <f>(ADC!I491+5/3)/(1/12)</f>
        <v>70.032568321800653</v>
      </c>
      <c r="F491" s="20">
        <f t="shared" si="21"/>
        <v>1.64378566299078E-2</v>
      </c>
      <c r="G491" s="2"/>
      <c r="H491" s="2"/>
      <c r="I491" s="19">
        <f>ABS(C491-ADC!I491)</f>
        <v>9.4380693483386402E-2</v>
      </c>
    </row>
    <row r="492" spans="1:9" x14ac:dyDescent="0.25">
      <c r="A492" s="5">
        <v>490</v>
      </c>
      <c r="B492" s="5">
        <f t="shared" si="22"/>
        <v>69</v>
      </c>
      <c r="C492" s="21">
        <f t="shared" si="23"/>
        <v>4.0833329999999997</v>
      </c>
      <c r="D492" s="16"/>
      <c r="E492" s="19">
        <f>(ADC!I492+5/3)/(1/12)</f>
        <v>70.134719611284098</v>
      </c>
      <c r="F492" s="20">
        <f t="shared" si="21"/>
        <v>1.6445211757740545E-2</v>
      </c>
      <c r="G492" s="2"/>
      <c r="H492" s="2"/>
      <c r="I492" s="19">
        <f>ABS(C492-ADC!I492)</f>
        <v>9.4560300940341513E-2</v>
      </c>
    </row>
    <row r="493" spans="1:9" x14ac:dyDescent="0.25">
      <c r="A493" s="5">
        <v>491</v>
      </c>
      <c r="B493" s="5">
        <f t="shared" si="22"/>
        <v>69.099999999999994</v>
      </c>
      <c r="C493" s="21">
        <f t="shared" si="23"/>
        <v>4.0916670000000002</v>
      </c>
      <c r="D493" s="16"/>
      <c r="E493" s="19">
        <f>(ADC!I493+5/3)/(1/12)</f>
        <v>70.231327949795698</v>
      </c>
      <c r="F493" s="20">
        <f t="shared" si="21"/>
        <v>1.6372329230039135E-2</v>
      </c>
      <c r="G493" s="2"/>
      <c r="H493" s="2"/>
      <c r="I493" s="19">
        <f>ABS(C493-ADC!I493)</f>
        <v>9.4276995816307441E-2</v>
      </c>
    </row>
    <row r="494" spans="1:9" x14ac:dyDescent="0.25">
      <c r="A494" s="5">
        <v>492</v>
      </c>
      <c r="B494" s="5">
        <f t="shared" si="22"/>
        <v>69.2</v>
      </c>
      <c r="C494" s="21">
        <f t="shared" si="23"/>
        <v>4.0999999999999996</v>
      </c>
      <c r="D494" s="16"/>
      <c r="E494" s="19">
        <f>(ADC!I494+5/3)/(1/12)</f>
        <v>70.328076472399772</v>
      </c>
      <c r="F494" s="20">
        <f t="shared" si="21"/>
        <v>1.6301683127164294E-2</v>
      </c>
      <c r="G494" s="2"/>
      <c r="H494" s="2"/>
      <c r="I494" s="19">
        <f>ABS(C494-ADC!I494)</f>
        <v>9.4006372699980467E-2</v>
      </c>
    </row>
    <row r="495" spans="1:9" x14ac:dyDescent="0.25">
      <c r="A495" s="5">
        <v>493</v>
      </c>
      <c r="B495" s="5">
        <f t="shared" si="22"/>
        <v>69.300000000000011</v>
      </c>
      <c r="C495" s="21">
        <f t="shared" si="23"/>
        <v>4.108333</v>
      </c>
      <c r="D495" s="16"/>
      <c r="E495" s="19">
        <f>(ADC!I495+5/3)/(1/12)</f>
        <v>70.419325943513215</v>
      </c>
      <c r="F495" s="20">
        <f t="shared" si="21"/>
        <v>1.6151889516785041E-2</v>
      </c>
      <c r="G495" s="2"/>
      <c r="H495" s="2"/>
      <c r="I495" s="19">
        <f>ABS(C495-ADC!I495)</f>
        <v>9.3277495292767298E-2</v>
      </c>
    </row>
    <row r="496" spans="1:9" x14ac:dyDescent="0.25">
      <c r="A496" s="5">
        <v>494</v>
      </c>
      <c r="B496" s="5">
        <f t="shared" si="22"/>
        <v>69.400000000000006</v>
      </c>
      <c r="C496" s="21">
        <f t="shared" si="23"/>
        <v>4.1166669999999996</v>
      </c>
      <c r="D496" s="16"/>
      <c r="E496" s="19">
        <f>(ADC!I496+5/3)/(1/12)</f>
        <v>70.516362352858181</v>
      </c>
      <c r="F496" s="20">
        <f t="shared" si="21"/>
        <v>1.6085912865391572E-2</v>
      </c>
      <c r="G496" s="2"/>
      <c r="H496" s="2"/>
      <c r="I496" s="19">
        <f>ABS(C496-ADC!I496)</f>
        <v>9.3029862738181812E-2</v>
      </c>
    </row>
    <row r="497" spans="1:9" x14ac:dyDescent="0.25">
      <c r="A497" s="5">
        <v>495</v>
      </c>
      <c r="B497" s="5">
        <f t="shared" si="22"/>
        <v>69.5</v>
      </c>
      <c r="C497" s="21">
        <f t="shared" si="23"/>
        <v>4.125</v>
      </c>
      <c r="D497" s="16"/>
      <c r="E497" s="19">
        <f>(ADC!I497+5/3)/(1/12)</f>
        <v>70.613534841412232</v>
      </c>
      <c r="F497" s="20">
        <f t="shared" si="21"/>
        <v>1.6022084049096861E-2</v>
      </c>
      <c r="G497" s="2"/>
      <c r="H497" s="2"/>
      <c r="I497" s="19">
        <f>ABS(C497-ADC!I497)</f>
        <v>9.2794570117685105E-2</v>
      </c>
    </row>
    <row r="498" spans="1:9" x14ac:dyDescent="0.25">
      <c r="A498" s="5">
        <v>496</v>
      </c>
      <c r="B498" s="5">
        <f t="shared" si="22"/>
        <v>69.599999999999994</v>
      </c>
      <c r="C498" s="21">
        <f t="shared" si="23"/>
        <v>4.1333330000000004</v>
      </c>
      <c r="D498" s="16"/>
      <c r="E498" s="19">
        <f>(ADC!I498+5/3)/(1/12)</f>
        <v>70.71084204770419</v>
      </c>
      <c r="F498" s="20">
        <f t="shared" si="21"/>
        <v>1.5960374248623507E-2</v>
      </c>
      <c r="G498" s="2"/>
      <c r="H498" s="2"/>
      <c r="I498" s="19">
        <f>ABS(C498-ADC!I498)</f>
        <v>9.257050397534794E-2</v>
      </c>
    </row>
    <row r="499" spans="1:9" x14ac:dyDescent="0.25">
      <c r="A499" s="5">
        <v>497</v>
      </c>
      <c r="B499" s="5">
        <f t="shared" si="22"/>
        <v>69.7</v>
      </c>
      <c r="C499" s="21">
        <f t="shared" si="23"/>
        <v>4.141667</v>
      </c>
      <c r="D499" s="16"/>
      <c r="E499" s="19">
        <f>(ADC!I499+5/3)/(1/12)</f>
        <v>70.808282620126747</v>
      </c>
      <c r="F499" s="20">
        <f t="shared" si="21"/>
        <v>1.5900754951603209E-2</v>
      </c>
      <c r="G499" s="2"/>
      <c r="H499" s="2"/>
      <c r="I499" s="19">
        <f>ABS(C499-ADC!I499)</f>
        <v>9.2356551677228005E-2</v>
      </c>
    </row>
    <row r="500" spans="1:9" x14ac:dyDescent="0.25">
      <c r="A500" s="5">
        <v>498</v>
      </c>
      <c r="B500" s="5">
        <f t="shared" si="22"/>
        <v>69.800000000000011</v>
      </c>
      <c r="C500" s="21">
        <f t="shared" si="23"/>
        <v>4.1500000000000004</v>
      </c>
      <c r="D500" s="16"/>
      <c r="E500" s="19">
        <f>(ADC!I500+5/3)/(1/12)</f>
        <v>70.905855204497414</v>
      </c>
      <c r="F500" s="20">
        <f t="shared" si="21"/>
        <v>1.5843197772169082E-2</v>
      </c>
      <c r="G500" s="2"/>
      <c r="H500" s="2"/>
      <c r="I500" s="19">
        <f>ABS(C500-ADC!I500)</f>
        <v>9.2154600374783513E-2</v>
      </c>
    </row>
    <row r="501" spans="1:9" x14ac:dyDescent="0.25">
      <c r="A501" s="5">
        <v>499</v>
      </c>
      <c r="B501" s="5">
        <f t="shared" si="22"/>
        <v>69.900000000000006</v>
      </c>
      <c r="C501" s="21">
        <f t="shared" si="23"/>
        <v>4.1583329999999998</v>
      </c>
      <c r="D501" s="16"/>
      <c r="E501" s="19">
        <f>(ADC!I501+5/3)/(1/12)</f>
        <v>70.99799010204579</v>
      </c>
      <c r="F501" s="20">
        <f t="shared" si="21"/>
        <v>1.5708012904803784E-2</v>
      </c>
      <c r="G501" s="2"/>
      <c r="H501" s="2"/>
      <c r="I501" s="19">
        <f>ABS(C501-ADC!I501)</f>
        <v>9.149950850381483E-2</v>
      </c>
    </row>
    <row r="502" spans="1:9" x14ac:dyDescent="0.25">
      <c r="A502" s="5">
        <v>500</v>
      </c>
      <c r="B502" s="5">
        <f t="shared" si="22"/>
        <v>70</v>
      </c>
      <c r="C502" s="21">
        <f t="shared" si="23"/>
        <v>4.1666670000000003</v>
      </c>
      <c r="D502" s="16"/>
      <c r="E502" s="19">
        <f>(ADC!I502+5/3)/(1/12)</f>
        <v>71.101391032986896</v>
      </c>
      <c r="F502" s="20">
        <f t="shared" si="21"/>
        <v>1.5734157614098521E-2</v>
      </c>
      <c r="G502" s="2"/>
      <c r="H502" s="2"/>
      <c r="I502" s="19">
        <f>ABS(C502-ADC!I502)</f>
        <v>9.1782252748907389E-2</v>
      </c>
    </row>
    <row r="503" spans="1:9" x14ac:dyDescent="0.25">
      <c r="A503" s="5">
        <v>501</v>
      </c>
      <c r="B503" s="5">
        <f t="shared" si="22"/>
        <v>70.099999999999994</v>
      </c>
      <c r="C503" s="21">
        <f t="shared" si="23"/>
        <v>4.1749999999999998</v>
      </c>
      <c r="D503" s="16"/>
      <c r="E503" s="19">
        <f>(ADC!I503+5/3)/(1/12)</f>
        <v>71.199351591305572</v>
      </c>
      <c r="F503" s="20">
        <f t="shared" si="21"/>
        <v>1.5682618991520365E-2</v>
      </c>
      <c r="G503" s="2"/>
      <c r="H503" s="2"/>
      <c r="I503" s="19">
        <f>ABS(C503-ADC!I503)</f>
        <v>9.1612632608796929E-2</v>
      </c>
    </row>
    <row r="504" spans="1:9" x14ac:dyDescent="0.25">
      <c r="A504" s="5">
        <v>502</v>
      </c>
      <c r="B504" s="5">
        <f t="shared" si="22"/>
        <v>70.2</v>
      </c>
      <c r="C504" s="21">
        <f t="shared" si="23"/>
        <v>4.1833330000000002</v>
      </c>
      <c r="D504" s="16"/>
      <c r="E504" s="19">
        <f>(ADC!I504+5/3)/(1/12)</f>
        <v>71.291904960603773</v>
      </c>
      <c r="F504" s="20">
        <f t="shared" si="21"/>
        <v>1.5554201718002425E-2</v>
      </c>
      <c r="G504" s="2"/>
      <c r="H504" s="2"/>
      <c r="I504" s="19">
        <f>ABS(C504-ADC!I504)</f>
        <v>9.0992413383647275E-2</v>
      </c>
    </row>
    <row r="505" spans="1:9" x14ac:dyDescent="0.25">
      <c r="A505" s="5">
        <v>503</v>
      </c>
      <c r="B505" s="5">
        <f t="shared" si="22"/>
        <v>70.300000000000011</v>
      </c>
      <c r="C505" s="21">
        <f t="shared" si="23"/>
        <v>4.1916669999999998</v>
      </c>
      <c r="D505" s="16"/>
      <c r="E505" s="19">
        <f>(ADC!I505+5/3)/(1/12)</f>
        <v>71.390128947976891</v>
      </c>
      <c r="F505" s="20">
        <f t="shared" si="21"/>
        <v>1.5506812915745079E-2</v>
      </c>
      <c r="G505" s="2"/>
      <c r="H505" s="2"/>
      <c r="I505" s="19">
        <f>ABS(C505-ADC!I505)</f>
        <v>9.0843745664740183E-2</v>
      </c>
    </row>
    <row r="506" spans="1:9" x14ac:dyDescent="0.25">
      <c r="A506" s="5">
        <v>504</v>
      </c>
      <c r="B506" s="5">
        <f t="shared" si="22"/>
        <v>70.400000000000006</v>
      </c>
      <c r="C506" s="21">
        <f t="shared" si="23"/>
        <v>4.2</v>
      </c>
      <c r="D506" s="16"/>
      <c r="E506" s="19">
        <f>(ADC!I506+5/3)/(1/12)</f>
        <v>71.482966024979362</v>
      </c>
      <c r="F506" s="20">
        <f t="shared" si="21"/>
        <v>1.5383040127547673E-2</v>
      </c>
      <c r="G506" s="2"/>
      <c r="H506" s="2"/>
      <c r="I506" s="19">
        <f>ABS(C506-ADC!I506)</f>
        <v>9.0247168748279094E-2</v>
      </c>
    </row>
    <row r="507" spans="1:9" x14ac:dyDescent="0.25">
      <c r="A507" s="5">
        <v>505</v>
      </c>
      <c r="B507" s="5">
        <f t="shared" si="22"/>
        <v>70.5</v>
      </c>
      <c r="C507" s="21">
        <f t="shared" si="23"/>
        <v>4.2083329999999997</v>
      </c>
      <c r="D507" s="16"/>
      <c r="E507" s="19">
        <f>(ADC!I507+5/3)/(1/12)</f>
        <v>71.581448053919587</v>
      </c>
      <c r="F507" s="20">
        <f t="shared" si="21"/>
        <v>1.5339688708079249E-2</v>
      </c>
      <c r="G507" s="2"/>
      <c r="H507" s="2"/>
      <c r="I507" s="19">
        <f>ABS(C507-ADC!I507)</f>
        <v>9.0121004493298074E-2</v>
      </c>
    </row>
    <row r="508" spans="1:9" x14ac:dyDescent="0.25">
      <c r="A508" s="5">
        <v>506</v>
      </c>
      <c r="B508" s="5">
        <f t="shared" si="22"/>
        <v>70.599999999999994</v>
      </c>
      <c r="C508" s="21">
        <f t="shared" si="23"/>
        <v>4.2166670000000002</v>
      </c>
      <c r="D508" s="16"/>
      <c r="E508" s="19">
        <f>(ADC!I508+5/3)/(1/12)</f>
        <v>71.680051375044286</v>
      </c>
      <c r="F508" s="20">
        <f t="shared" si="21"/>
        <v>1.5298178116774671E-2</v>
      </c>
      <c r="G508" s="2"/>
      <c r="H508" s="2"/>
      <c r="I508" s="19">
        <f>ABS(C508-ADC!I508)</f>
        <v>9.0003947920356708E-2</v>
      </c>
    </row>
    <row r="509" spans="1:9" x14ac:dyDescent="0.25">
      <c r="A509" s="5">
        <v>507</v>
      </c>
      <c r="B509" s="5">
        <f t="shared" si="22"/>
        <v>70.7</v>
      </c>
      <c r="C509" s="21">
        <f t="shared" si="23"/>
        <v>4.2249999999999996</v>
      </c>
      <c r="D509" s="16"/>
      <c r="E509" s="19">
        <f>(ADC!I509+5/3)/(1/12)</f>
        <v>71.773298105658313</v>
      </c>
      <c r="F509" s="20">
        <f t="shared" si="21"/>
        <v>1.5181019882012869E-2</v>
      </c>
      <c r="G509" s="2"/>
      <c r="H509" s="2"/>
      <c r="I509" s="19">
        <f>ABS(C509-ADC!I509)</f>
        <v>8.9441508804858572E-2</v>
      </c>
    </row>
    <row r="510" spans="1:9" x14ac:dyDescent="0.25">
      <c r="A510" s="5">
        <v>508</v>
      </c>
      <c r="B510" s="5">
        <f t="shared" si="22"/>
        <v>70.800000000000011</v>
      </c>
      <c r="C510" s="21">
        <f t="shared" si="23"/>
        <v>4.233333</v>
      </c>
      <c r="D510" s="16"/>
      <c r="E510" s="19">
        <f>(ADC!I510+5/3)/(1/12)</f>
        <v>71.861221171114792</v>
      </c>
      <c r="F510" s="20">
        <f t="shared" si="21"/>
        <v>1.4988999592016675E-2</v>
      </c>
      <c r="G510" s="2"/>
      <c r="H510" s="2"/>
      <c r="I510" s="19">
        <f>ABS(C510-ADC!I510)</f>
        <v>8.8435430926232073E-2</v>
      </c>
    </row>
    <row r="511" spans="1:9" x14ac:dyDescent="0.25">
      <c r="A511" s="5">
        <v>509</v>
      </c>
      <c r="B511" s="5">
        <f t="shared" si="22"/>
        <v>70.900000000000006</v>
      </c>
      <c r="C511" s="21">
        <f t="shared" si="23"/>
        <v>4.2416669999999996</v>
      </c>
      <c r="D511" s="16"/>
      <c r="E511" s="19">
        <f>(ADC!I511+5/3)/(1/12)</f>
        <v>71.960214606072427</v>
      </c>
      <c r="F511" s="20">
        <f t="shared" si="21"/>
        <v>1.4953661580711155E-2</v>
      </c>
      <c r="G511" s="2"/>
      <c r="H511" s="2"/>
      <c r="I511" s="19">
        <f>ABS(C511-ADC!I511)</f>
        <v>8.8350883839368066E-2</v>
      </c>
    </row>
    <row r="512" spans="1:9" x14ac:dyDescent="0.25">
      <c r="A512" s="5">
        <v>510</v>
      </c>
      <c r="B512" s="5">
        <f t="shared" si="22"/>
        <v>71</v>
      </c>
      <c r="C512" s="21">
        <f t="shared" si="23"/>
        <v>4.25</v>
      </c>
      <c r="D512" s="16"/>
      <c r="E512" s="19">
        <f>(ADC!I512+5/3)/(1/12)</f>
        <v>72.059324020185983</v>
      </c>
      <c r="F512" s="20">
        <f t="shared" si="21"/>
        <v>1.4920056622337786E-2</v>
      </c>
      <c r="G512" s="2"/>
      <c r="H512" s="2"/>
      <c r="I512" s="19">
        <f>ABS(C512-ADC!I512)</f>
        <v>8.8277001682164347E-2</v>
      </c>
    </row>
    <row r="513" spans="1:9" x14ac:dyDescent="0.25">
      <c r="A513" s="5">
        <v>511</v>
      </c>
      <c r="B513" s="5">
        <f t="shared" si="22"/>
        <v>71.099999999999994</v>
      </c>
      <c r="C513" s="21">
        <f t="shared" si="23"/>
        <v>4.2583330000000004</v>
      </c>
      <c r="D513" s="16"/>
      <c r="E513" s="19">
        <f>(ADC!I513+5/3)/(1/12)</f>
        <v>72.15311708954836</v>
      </c>
      <c r="F513" s="20">
        <f t="shared" si="21"/>
        <v>1.4811773411369416E-2</v>
      </c>
      <c r="G513" s="2"/>
      <c r="H513" s="2"/>
      <c r="I513" s="19">
        <f>ABS(C513-ADC!I513)</f>
        <v>8.7760090795695689E-2</v>
      </c>
    </row>
    <row r="514" spans="1:9" x14ac:dyDescent="0.25">
      <c r="A514" s="5">
        <v>512</v>
      </c>
      <c r="B514" s="5">
        <f t="shared" si="22"/>
        <v>71.2</v>
      </c>
      <c r="C514" s="21">
        <f t="shared" si="23"/>
        <v>4.266667</v>
      </c>
      <c r="D514" s="16"/>
      <c r="E514" s="19">
        <f>(ADC!I514+5/3)/(1/12)</f>
        <v>72.247046210710593</v>
      </c>
      <c r="F514" s="20">
        <f t="shared" ref="F514:F577" si="24">ABS(B514-E514)/B514</f>
        <v>1.4705705206609413E-2</v>
      </c>
      <c r="G514" s="2"/>
      <c r="H514" s="2"/>
      <c r="I514" s="19">
        <f>ABS(C514-ADC!I514)</f>
        <v>8.725351755921551E-2</v>
      </c>
    </row>
    <row r="515" spans="1:9" x14ac:dyDescent="0.25">
      <c r="A515" s="5">
        <v>513</v>
      </c>
      <c r="B515" s="5">
        <f t="shared" ref="B515:B578" si="25">0.1*A515+20</f>
        <v>71.300000000000011</v>
      </c>
      <c r="C515" s="21">
        <f t="shared" ref="C515:C578" si="26">ROUND(1/12*B515-5/3,6)</f>
        <v>4.2750000000000004</v>
      </c>
      <c r="D515" s="16"/>
      <c r="E515" s="19">
        <f>(ADC!I515+5/3)/(1/12)</f>
        <v>72.341110036560877</v>
      </c>
      <c r="F515" s="20">
        <f t="shared" si="24"/>
        <v>1.4601823794682552E-2</v>
      </c>
      <c r="G515" s="2"/>
      <c r="H515" s="2"/>
      <c r="I515" s="19">
        <f>ABS(C515-ADC!I515)</f>
        <v>8.6759169713404916E-2</v>
      </c>
    </row>
    <row r="516" spans="1:9" x14ac:dyDescent="0.25">
      <c r="A516" s="5">
        <v>514</v>
      </c>
      <c r="B516" s="5">
        <f t="shared" si="25"/>
        <v>71.400000000000006</v>
      </c>
      <c r="C516" s="21">
        <f t="shared" si="26"/>
        <v>4.2833329999999998</v>
      </c>
      <c r="D516" s="16"/>
      <c r="E516" s="19">
        <f>(ADC!I516+5/3)/(1/12)</f>
        <v>72.435307218546882</v>
      </c>
      <c r="F516" s="20">
        <f t="shared" si="24"/>
        <v>1.4500101100096302E-2</v>
      </c>
      <c r="G516" s="2"/>
      <c r="H516" s="2"/>
      <c r="I516" s="19">
        <f>ABS(C516-ADC!I516)</f>
        <v>8.6275934878906391E-2</v>
      </c>
    </row>
    <row r="517" spans="1:9" x14ac:dyDescent="0.25">
      <c r="A517" s="5">
        <v>515</v>
      </c>
      <c r="B517" s="5">
        <f t="shared" si="25"/>
        <v>71.5</v>
      </c>
      <c r="C517" s="21">
        <f t="shared" si="26"/>
        <v>4.2916670000000003</v>
      </c>
      <c r="D517" s="16"/>
      <c r="E517" s="19">
        <f>(ADC!I517+5/3)/(1/12)</f>
        <v>72.535022134914044</v>
      </c>
      <c r="F517" s="20">
        <f t="shared" si="24"/>
        <v>1.4475834054741874E-2</v>
      </c>
      <c r="G517" s="2"/>
      <c r="H517" s="2"/>
      <c r="I517" s="19">
        <f>ABS(C517-ADC!I517)</f>
        <v>8.6251511242835477E-2</v>
      </c>
    </row>
    <row r="518" spans="1:9" x14ac:dyDescent="0.25">
      <c r="A518" s="5">
        <v>516</v>
      </c>
      <c r="B518" s="5">
        <f t="shared" si="25"/>
        <v>71.599999999999994</v>
      </c>
      <c r="C518" s="21">
        <f t="shared" si="26"/>
        <v>4.3</v>
      </c>
      <c r="D518" s="16"/>
      <c r="E518" s="19">
        <f>(ADC!I518+5/3)/(1/12)</f>
        <v>72.629470722113325</v>
      </c>
      <c r="F518" s="20">
        <f t="shared" si="24"/>
        <v>1.4378082711080041E-2</v>
      </c>
      <c r="G518" s="2"/>
      <c r="H518" s="2"/>
      <c r="I518" s="19">
        <f>ABS(C518-ADC!I518)</f>
        <v>8.5789226842776678E-2</v>
      </c>
    </row>
    <row r="519" spans="1:9" x14ac:dyDescent="0.25">
      <c r="A519" s="5">
        <v>517</v>
      </c>
      <c r="B519" s="5">
        <f t="shared" si="25"/>
        <v>71.7</v>
      </c>
      <c r="C519" s="21">
        <f t="shared" si="26"/>
        <v>4.3083330000000002</v>
      </c>
      <c r="D519" s="16"/>
      <c r="E519" s="19">
        <f>(ADC!I519+5/3)/(1/12)</f>
        <v>72.718685499640117</v>
      </c>
      <c r="F519" s="20">
        <f t="shared" si="24"/>
        <v>1.4207608084241475E-2</v>
      </c>
      <c r="G519" s="2"/>
      <c r="H519" s="2"/>
      <c r="I519" s="19">
        <f>ABS(C519-ADC!I519)</f>
        <v>8.4890791636675011E-2</v>
      </c>
    </row>
    <row r="520" spans="1:9" x14ac:dyDescent="0.25">
      <c r="A520" s="5">
        <v>518</v>
      </c>
      <c r="B520" s="5">
        <f t="shared" si="25"/>
        <v>71.800000000000011</v>
      </c>
      <c r="C520" s="21">
        <f t="shared" si="26"/>
        <v>4.3166669999999998</v>
      </c>
      <c r="D520" s="16"/>
      <c r="E520" s="19">
        <f>(ADC!I520+5/3)/(1/12)</f>
        <v>72.813402718368906</v>
      </c>
      <c r="F520" s="20">
        <f t="shared" si="24"/>
        <v>1.4114243988424709E-2</v>
      </c>
      <c r="G520" s="2"/>
      <c r="H520" s="2"/>
      <c r="I520" s="19">
        <f>ABS(C520-ADC!I520)</f>
        <v>8.4449893197408699E-2</v>
      </c>
    </row>
    <row r="521" spans="1:9" x14ac:dyDescent="0.25">
      <c r="A521" s="5">
        <v>519</v>
      </c>
      <c r="B521" s="5">
        <f t="shared" si="25"/>
        <v>71.900000000000006</v>
      </c>
      <c r="C521" s="21">
        <f t="shared" si="26"/>
        <v>4.3250000000000002</v>
      </c>
      <c r="D521" s="16"/>
      <c r="E521" s="19">
        <f>(ADC!I521+5/3)/(1/12)</f>
        <v>72.90824661886468</v>
      </c>
      <c r="F521" s="20">
        <f t="shared" si="24"/>
        <v>1.4022901514112306E-2</v>
      </c>
      <c r="G521" s="2"/>
      <c r="H521" s="2"/>
      <c r="I521" s="19">
        <f>ABS(C521-ADC!I521)</f>
        <v>8.4020551572055346E-2</v>
      </c>
    </row>
    <row r="522" spans="1:9" x14ac:dyDescent="0.25">
      <c r="A522" s="5">
        <v>520</v>
      </c>
      <c r="B522" s="5">
        <f t="shared" si="25"/>
        <v>72</v>
      </c>
      <c r="C522" s="21">
        <f t="shared" si="26"/>
        <v>4.3333329999999997</v>
      </c>
      <c r="D522" s="16"/>
      <c r="E522" s="19">
        <f>(ADC!I522+5/3)/(1/12)</f>
        <v>73.008545333162388</v>
      </c>
      <c r="F522" s="20">
        <f t="shared" si="24"/>
        <v>1.4007574071699835E-2</v>
      </c>
      <c r="G522" s="2"/>
      <c r="H522" s="2"/>
      <c r="I522" s="19">
        <f>ABS(C522-ADC!I522)</f>
        <v>8.4045777763532392E-2</v>
      </c>
    </row>
    <row r="523" spans="1:9" x14ac:dyDescent="0.25">
      <c r="A523" s="5">
        <v>521</v>
      </c>
      <c r="B523" s="5">
        <f t="shared" si="25"/>
        <v>72.099999999999994</v>
      </c>
      <c r="C523" s="21">
        <f t="shared" si="26"/>
        <v>4.3416670000000002</v>
      </c>
      <c r="D523" s="16"/>
      <c r="E523" s="19">
        <f>(ADC!I523+5/3)/(1/12)</f>
        <v>73.098309155969147</v>
      </c>
      <c r="F523" s="20">
        <f t="shared" si="24"/>
        <v>1.3846174146590196E-2</v>
      </c>
      <c r="G523" s="2"/>
      <c r="H523" s="2"/>
      <c r="I523" s="19">
        <f>ABS(C523-ADC!I523)</f>
        <v>8.3192096330761522E-2</v>
      </c>
    </row>
    <row r="524" spans="1:9" x14ac:dyDescent="0.25">
      <c r="A524" s="5">
        <v>522</v>
      </c>
      <c r="B524" s="5">
        <f t="shared" si="25"/>
        <v>72.2</v>
      </c>
      <c r="C524" s="21">
        <f t="shared" si="26"/>
        <v>4.3499999999999996</v>
      </c>
      <c r="D524" s="16"/>
      <c r="E524" s="19">
        <f>(ADC!I524+5/3)/(1/12)</f>
        <v>73.193525154219984</v>
      </c>
      <c r="F524" s="20">
        <f t="shared" si="24"/>
        <v>1.3760736208032974E-2</v>
      </c>
      <c r="G524" s="2"/>
      <c r="H524" s="2"/>
      <c r="I524" s="19">
        <f>ABS(C524-ADC!I524)</f>
        <v>8.2793762851665065E-2</v>
      </c>
    </row>
    <row r="525" spans="1:9" x14ac:dyDescent="0.25">
      <c r="A525" s="5">
        <v>523</v>
      </c>
      <c r="B525" s="5">
        <f t="shared" si="25"/>
        <v>72.300000000000011</v>
      </c>
      <c r="C525" s="21">
        <f t="shared" si="26"/>
        <v>4.358333</v>
      </c>
      <c r="D525" s="16"/>
      <c r="E525" s="19">
        <f>(ADC!I525+5/3)/(1/12)</f>
        <v>73.283566662335616</v>
      </c>
      <c r="F525" s="20">
        <f t="shared" si="24"/>
        <v>1.3603964900907393E-2</v>
      </c>
      <c r="G525" s="2"/>
      <c r="H525" s="2"/>
      <c r="I525" s="19">
        <f>ABS(C525-ADC!I525)</f>
        <v>8.1964221861300146E-2</v>
      </c>
    </row>
    <row r="526" spans="1:9" x14ac:dyDescent="0.25">
      <c r="A526" s="5">
        <v>524</v>
      </c>
      <c r="B526" s="5">
        <f t="shared" si="25"/>
        <v>72.400000000000006</v>
      </c>
      <c r="C526" s="21">
        <f t="shared" si="26"/>
        <v>4.3666669999999996</v>
      </c>
      <c r="D526" s="16"/>
      <c r="E526" s="19">
        <f>(ADC!I526+5/3)/(1/12)</f>
        <v>73.379035302532785</v>
      </c>
      <c r="F526" s="20">
        <f t="shared" si="24"/>
        <v>1.3522587051557719E-2</v>
      </c>
      <c r="G526" s="2"/>
      <c r="H526" s="2"/>
      <c r="I526" s="19">
        <f>ABS(C526-ADC!I526)</f>
        <v>8.1585941877731827E-2</v>
      </c>
    </row>
    <row r="527" spans="1:9" x14ac:dyDescent="0.25">
      <c r="A527" s="5">
        <v>525</v>
      </c>
      <c r="B527" s="5">
        <f t="shared" si="25"/>
        <v>72.5</v>
      </c>
      <c r="C527" s="21">
        <f t="shared" si="26"/>
        <v>4.375</v>
      </c>
      <c r="D527" s="16"/>
      <c r="E527" s="19">
        <f>(ADC!I527+5/3)/(1/12)</f>
        <v>73.469349118158888</v>
      </c>
      <c r="F527" s="20">
        <f t="shared" si="24"/>
        <v>1.3370332664260527E-2</v>
      </c>
      <c r="G527" s="2"/>
      <c r="H527" s="2"/>
      <c r="I527" s="19">
        <f>ABS(C527-ADC!I527)</f>
        <v>8.077909317990617E-2</v>
      </c>
    </row>
    <row r="528" spans="1:9" x14ac:dyDescent="0.25">
      <c r="A528" s="5">
        <v>526</v>
      </c>
      <c r="B528" s="5">
        <f t="shared" si="25"/>
        <v>72.599999999999994</v>
      </c>
      <c r="C528" s="21">
        <f t="shared" si="26"/>
        <v>4.3833330000000004</v>
      </c>
      <c r="D528" s="16"/>
      <c r="E528" s="19">
        <f>(ADC!I528+5/3)/(1/12)</f>
        <v>73.565065102571339</v>
      </c>
      <c r="F528" s="20">
        <f t="shared" si="24"/>
        <v>1.329290774891659E-2</v>
      </c>
      <c r="G528" s="2"/>
      <c r="H528" s="2"/>
      <c r="I528" s="19">
        <f>ABS(C528-ADC!I528)</f>
        <v>8.042242521427756E-2</v>
      </c>
    </row>
    <row r="529" spans="1:9" x14ac:dyDescent="0.25">
      <c r="A529" s="5">
        <v>527</v>
      </c>
      <c r="B529" s="5">
        <f t="shared" si="25"/>
        <v>72.7</v>
      </c>
      <c r="C529" s="21">
        <f t="shared" si="26"/>
        <v>4.391667</v>
      </c>
      <c r="D529" s="16"/>
      <c r="E529" s="19">
        <f>(ADC!I529+5/3)/(1/12)</f>
        <v>73.655645878265204</v>
      </c>
      <c r="F529" s="20">
        <f t="shared" si="24"/>
        <v>1.314506022373042E-2</v>
      </c>
      <c r="G529" s="2"/>
      <c r="H529" s="2"/>
      <c r="I529" s="19">
        <f>ABS(C529-ADC!I529)</f>
        <v>7.9636823188766748E-2</v>
      </c>
    </row>
    <row r="530" spans="1:9" x14ac:dyDescent="0.25">
      <c r="A530" s="5">
        <v>528</v>
      </c>
      <c r="B530" s="5">
        <f t="shared" si="25"/>
        <v>72.800000000000011</v>
      </c>
      <c r="C530" s="21">
        <f t="shared" si="26"/>
        <v>4.4000000000000004</v>
      </c>
      <c r="D530" s="16"/>
      <c r="E530" s="19">
        <f>(ADC!I530+5/3)/(1/12)</f>
        <v>73.746363689218313</v>
      </c>
      <c r="F530" s="20">
        <f t="shared" si="24"/>
        <v>1.2999501225526122E-2</v>
      </c>
      <c r="G530" s="2"/>
      <c r="H530" s="2"/>
      <c r="I530" s="19">
        <f>ABS(C530-ADC!I530)</f>
        <v>7.8863640768191523E-2</v>
      </c>
    </row>
    <row r="531" spans="1:9" x14ac:dyDescent="0.25">
      <c r="A531" s="5">
        <v>529</v>
      </c>
      <c r="B531" s="5">
        <f t="shared" si="25"/>
        <v>72.900000000000006</v>
      </c>
      <c r="C531" s="21">
        <f t="shared" si="26"/>
        <v>4.4083329999999998</v>
      </c>
      <c r="D531" s="16"/>
      <c r="E531" s="19">
        <f>(ADC!I531+5/3)/(1/12)</f>
        <v>73.842446354285002</v>
      </c>
      <c r="F531" s="20">
        <f t="shared" si="24"/>
        <v>1.2927933529286643E-2</v>
      </c>
      <c r="G531" s="2"/>
      <c r="H531" s="2"/>
      <c r="I531" s="19">
        <f>ABS(C531-ADC!I531)</f>
        <v>7.8537529523750038E-2</v>
      </c>
    </row>
    <row r="532" spans="1:9" x14ac:dyDescent="0.25">
      <c r="A532" s="5">
        <v>530</v>
      </c>
      <c r="B532" s="5">
        <f t="shared" si="25"/>
        <v>73</v>
      </c>
      <c r="C532" s="21">
        <f t="shared" si="26"/>
        <v>4.4166670000000003</v>
      </c>
      <c r="D532" s="16"/>
      <c r="E532" s="19">
        <f>(ADC!I532+5/3)/(1/12)</f>
        <v>73.938641251122974</v>
      </c>
      <c r="F532" s="20">
        <f t="shared" si="24"/>
        <v>1.2858099330451693E-2</v>
      </c>
      <c r="G532" s="2"/>
      <c r="H532" s="2"/>
      <c r="I532" s="19">
        <f>ABS(C532-ADC!I532)</f>
        <v>7.8219770926913235E-2</v>
      </c>
    </row>
    <row r="533" spans="1:9" x14ac:dyDescent="0.25">
      <c r="A533" s="5">
        <v>531</v>
      </c>
      <c r="B533" s="5">
        <f t="shared" si="25"/>
        <v>73.099999999999994</v>
      </c>
      <c r="C533" s="21">
        <f t="shared" si="26"/>
        <v>4.4249999999999998</v>
      </c>
      <c r="D533" s="16"/>
      <c r="E533" s="19">
        <f>(ADC!I533+5/3)/(1/12)</f>
        <v>74.029740016071784</v>
      </c>
      <c r="F533" s="20">
        <f t="shared" si="24"/>
        <v>1.2718741669928727E-2</v>
      </c>
      <c r="G533" s="2"/>
      <c r="H533" s="2"/>
      <c r="I533" s="19">
        <f>ABS(C533-ADC!I533)</f>
        <v>7.7478334672647975E-2</v>
      </c>
    </row>
    <row r="534" spans="1:9" x14ac:dyDescent="0.25">
      <c r="A534" s="5">
        <v>532</v>
      </c>
      <c r="B534" s="5">
        <f t="shared" si="25"/>
        <v>73.2</v>
      </c>
      <c r="C534" s="21">
        <f t="shared" si="26"/>
        <v>4.4333330000000002</v>
      </c>
      <c r="D534" s="16"/>
      <c r="E534" s="19">
        <f>(ADC!I534+5/3)/(1/12)</f>
        <v>74.12097049526416</v>
      </c>
      <c r="F534" s="20">
        <f t="shared" si="24"/>
        <v>1.2581564142952969E-2</v>
      </c>
      <c r="G534" s="2"/>
      <c r="H534" s="2"/>
      <c r="I534" s="19">
        <f>ABS(C534-ADC!I534)</f>
        <v>7.6747874605345601E-2</v>
      </c>
    </row>
    <row r="535" spans="1:9" x14ac:dyDescent="0.25">
      <c r="A535" s="5">
        <v>533</v>
      </c>
      <c r="B535" s="5">
        <f t="shared" si="25"/>
        <v>73.300000000000011</v>
      </c>
      <c r="C535" s="21">
        <f t="shared" si="26"/>
        <v>4.4416669999999998</v>
      </c>
      <c r="D535" s="16"/>
      <c r="E535" s="19">
        <f>(ADC!I535+5/3)/(1/12)</f>
        <v>74.217516391068756</v>
      </c>
      <c r="F535" s="20">
        <f t="shared" si="24"/>
        <v>1.2517276822220251E-2</v>
      </c>
      <c r="G535" s="2"/>
      <c r="H535" s="2"/>
      <c r="I535" s="19">
        <f>ABS(C535-ADC!I535)</f>
        <v>7.6459365922396216E-2</v>
      </c>
    </row>
    <row r="536" spans="1:9" x14ac:dyDescent="0.25">
      <c r="A536" s="5">
        <v>534</v>
      </c>
      <c r="B536" s="5">
        <f t="shared" si="25"/>
        <v>73.400000000000006</v>
      </c>
      <c r="C536" s="21">
        <f t="shared" si="26"/>
        <v>4.45</v>
      </c>
      <c r="D536" s="16"/>
      <c r="E536" s="19">
        <f>(ADC!I536+5/3)/(1/12)</f>
        <v>74.308995319815295</v>
      </c>
      <c r="F536" s="20">
        <f t="shared" si="24"/>
        <v>1.2384132422551632E-2</v>
      </c>
      <c r="G536" s="2"/>
      <c r="H536" s="2"/>
      <c r="I536" s="19">
        <f>ABS(C536-ADC!I536)</f>
        <v>7.5749609984606892E-2</v>
      </c>
    </row>
    <row r="537" spans="1:9" x14ac:dyDescent="0.25">
      <c r="A537" s="5">
        <v>535</v>
      </c>
      <c r="B537" s="5">
        <f t="shared" si="25"/>
        <v>73.5</v>
      </c>
      <c r="C537" s="21">
        <f t="shared" si="26"/>
        <v>4.4583329999999997</v>
      </c>
      <c r="D537" s="16"/>
      <c r="E537" s="19">
        <f>(ADC!I537+5/3)/(1/12)</f>
        <v>74.400602007800018</v>
      </c>
      <c r="F537" s="20">
        <f t="shared" si="24"/>
        <v>1.2253088541496839E-2</v>
      </c>
      <c r="G537" s="2"/>
      <c r="H537" s="2"/>
      <c r="I537" s="19">
        <f>ABS(C537-ADC!I537)</f>
        <v>7.5050500650000629E-2</v>
      </c>
    </row>
    <row r="538" spans="1:9" x14ac:dyDescent="0.25">
      <c r="A538" s="5">
        <v>536</v>
      </c>
      <c r="B538" s="5">
        <f t="shared" si="25"/>
        <v>73.599999999999994</v>
      </c>
      <c r="C538" s="21">
        <f t="shared" si="26"/>
        <v>4.4666670000000002</v>
      </c>
      <c r="D538" s="16"/>
      <c r="E538" s="19">
        <f>(ADC!I538+5/3)/(1/12)</f>
        <v>74.492335132134272</v>
      </c>
      <c r="F538" s="20">
        <f t="shared" si="24"/>
        <v>1.2124118643128776E-2</v>
      </c>
      <c r="G538" s="2"/>
      <c r="H538" s="2"/>
      <c r="I538" s="19">
        <f>ABS(C538-ADC!I538)</f>
        <v>7.436092767785496E-2</v>
      </c>
    </row>
    <row r="539" spans="1:9" x14ac:dyDescent="0.25">
      <c r="A539" s="5">
        <v>537</v>
      </c>
      <c r="B539" s="5">
        <f t="shared" si="25"/>
        <v>73.7</v>
      </c>
      <c r="C539" s="21">
        <f t="shared" si="26"/>
        <v>4.4749999999999996</v>
      </c>
      <c r="D539" s="16"/>
      <c r="E539" s="19">
        <f>(ADC!I539+5/3)/(1/12)</f>
        <v>74.579052252925621</v>
      </c>
      <c r="F539" s="20">
        <f t="shared" si="24"/>
        <v>1.1927438981351669E-2</v>
      </c>
      <c r="G539" s="2"/>
      <c r="H539" s="2"/>
      <c r="I539" s="19">
        <f>ABS(C539-ADC!I539)</f>
        <v>7.3254354410468459E-2</v>
      </c>
    </row>
    <row r="540" spans="1:9" x14ac:dyDescent="0.25">
      <c r="A540" s="5">
        <v>538</v>
      </c>
      <c r="B540" s="5">
        <f t="shared" si="25"/>
        <v>73.800000000000011</v>
      </c>
      <c r="C540" s="21">
        <f t="shared" si="26"/>
        <v>4.483333</v>
      </c>
      <c r="D540" s="16"/>
      <c r="E540" s="19">
        <f>(ADC!I540+5/3)/(1/12)</f>
        <v>74.67617544781136</v>
      </c>
      <c r="F540" s="20">
        <f t="shared" si="24"/>
        <v>1.1872296040804182E-2</v>
      </c>
      <c r="G540" s="2"/>
      <c r="H540" s="2"/>
      <c r="I540" s="19">
        <f>ABS(C540-ADC!I540)</f>
        <v>7.3014953984279707E-2</v>
      </c>
    </row>
    <row r="541" spans="1:9" x14ac:dyDescent="0.25">
      <c r="A541" s="5">
        <v>539</v>
      </c>
      <c r="B541" s="5">
        <f t="shared" si="25"/>
        <v>73.900000000000006</v>
      </c>
      <c r="C541" s="21">
        <f t="shared" si="26"/>
        <v>4.4916669999999996</v>
      </c>
      <c r="D541" s="16"/>
      <c r="E541" s="19">
        <f>(ADC!I541+5/3)/(1/12)</f>
        <v>74.768280021397075</v>
      </c>
      <c r="F541" s="20">
        <f t="shared" si="24"/>
        <v>1.1749391358553036E-2</v>
      </c>
      <c r="G541" s="2"/>
      <c r="H541" s="2"/>
      <c r="I541" s="19">
        <f>ABS(C541-ADC!I541)</f>
        <v>7.2356335116422699E-2</v>
      </c>
    </row>
    <row r="542" spans="1:9" x14ac:dyDescent="0.25">
      <c r="A542" s="5">
        <v>540</v>
      </c>
      <c r="B542" s="5">
        <f t="shared" si="25"/>
        <v>74</v>
      </c>
      <c r="C542" s="21">
        <f t="shared" si="26"/>
        <v>4.5</v>
      </c>
      <c r="D542" s="16"/>
      <c r="E542" s="19">
        <f>(ADC!I542+5/3)/(1/12)</f>
        <v>74.850289046463701</v>
      </c>
      <c r="F542" s="20">
        <f t="shared" si="24"/>
        <v>1.1490392519779737E-2</v>
      </c>
      <c r="G542" s="2"/>
      <c r="H542" s="2"/>
      <c r="I542" s="19">
        <f>ABS(C542-ADC!I542)</f>
        <v>7.0857420538640525E-2</v>
      </c>
    </row>
    <row r="543" spans="1:9" x14ac:dyDescent="0.25">
      <c r="A543" s="5">
        <v>541</v>
      </c>
      <c r="B543" s="5">
        <f t="shared" si="25"/>
        <v>74.099999999999994</v>
      </c>
      <c r="C543" s="21">
        <f t="shared" si="26"/>
        <v>4.5083330000000004</v>
      </c>
      <c r="D543" s="16"/>
      <c r="E543" s="19">
        <f>(ADC!I543+5/3)/(1/12)</f>
        <v>74.942656489964108</v>
      </c>
      <c r="F543" s="20">
        <f t="shared" si="24"/>
        <v>1.1371882455656054E-2</v>
      </c>
      <c r="G543" s="2"/>
      <c r="H543" s="2"/>
      <c r="I543" s="19">
        <f>ABS(C543-ADC!I543)</f>
        <v>7.0221707497007735E-2</v>
      </c>
    </row>
    <row r="544" spans="1:9" x14ac:dyDescent="0.25">
      <c r="A544" s="5">
        <v>542</v>
      </c>
      <c r="B544" s="5">
        <f t="shared" si="25"/>
        <v>74.2</v>
      </c>
      <c r="C544" s="21">
        <f t="shared" si="26"/>
        <v>4.516667</v>
      </c>
      <c r="D544" s="16"/>
      <c r="E544" s="19">
        <f>(ADC!I544+5/3)/(1/12)</f>
        <v>75.040229136441965</v>
      </c>
      <c r="F544" s="20">
        <f t="shared" si="24"/>
        <v>1.1323842809190869E-2</v>
      </c>
      <c r="G544" s="2"/>
      <c r="H544" s="2"/>
      <c r="I544" s="19">
        <f>ABS(C544-ADC!I544)</f>
        <v>7.0018761370162608E-2</v>
      </c>
    </row>
    <row r="545" spans="1:9" x14ac:dyDescent="0.25">
      <c r="A545" s="5">
        <v>543</v>
      </c>
      <c r="B545" s="5">
        <f t="shared" si="25"/>
        <v>74.300000000000011</v>
      </c>
      <c r="C545" s="21">
        <f t="shared" si="26"/>
        <v>4.5250000000000004</v>
      </c>
      <c r="D545" s="16"/>
      <c r="E545" s="19">
        <f>(ADC!I545+5/3)/(1/12)</f>
        <v>75.127745815682516</v>
      </c>
      <c r="F545" s="20">
        <f t="shared" si="24"/>
        <v>1.1140589713088893E-2</v>
      </c>
      <c r="G545" s="2"/>
      <c r="H545" s="2"/>
      <c r="I545" s="19">
        <f>ABS(C545-ADC!I545)</f>
        <v>6.8978817973541773E-2</v>
      </c>
    </row>
    <row r="546" spans="1:9" x14ac:dyDescent="0.25">
      <c r="A546" s="5">
        <v>544</v>
      </c>
      <c r="B546" s="5">
        <f t="shared" si="25"/>
        <v>74.400000000000006</v>
      </c>
      <c r="C546" s="21">
        <f t="shared" si="26"/>
        <v>4.5333329999999998</v>
      </c>
      <c r="D546" s="16"/>
      <c r="E546" s="19">
        <f>(ADC!I546+5/3)/(1/12)</f>
        <v>75.220465116761545</v>
      </c>
      <c r="F546" s="20">
        <f t="shared" si="24"/>
        <v>1.1027756945719617E-2</v>
      </c>
      <c r="G546" s="2"/>
      <c r="H546" s="2"/>
      <c r="I546" s="19">
        <f>ABS(C546-ADC!I546)</f>
        <v>6.8372426396794417E-2</v>
      </c>
    </row>
    <row r="547" spans="1:9" x14ac:dyDescent="0.25">
      <c r="A547" s="5">
        <v>545</v>
      </c>
      <c r="B547" s="5">
        <f t="shared" si="25"/>
        <v>74.5</v>
      </c>
      <c r="C547" s="21">
        <f t="shared" si="26"/>
        <v>4.5416670000000003</v>
      </c>
      <c r="D547" s="16"/>
      <c r="E547" s="19">
        <f>(ADC!I547+5/3)/(1/12)</f>
        <v>75.308245007266578</v>
      </c>
      <c r="F547" s="20">
        <f t="shared" si="24"/>
        <v>1.0848926272034603E-2</v>
      </c>
      <c r="G547" s="2"/>
      <c r="H547" s="2"/>
      <c r="I547" s="19">
        <f>ABS(C547-ADC!I547)</f>
        <v>6.7353417272213889E-2</v>
      </c>
    </row>
    <row r="548" spans="1:9" x14ac:dyDescent="0.25">
      <c r="A548" s="5">
        <v>546</v>
      </c>
      <c r="B548" s="5">
        <f t="shared" si="25"/>
        <v>74.599999999999994</v>
      </c>
      <c r="C548" s="21">
        <f t="shared" si="26"/>
        <v>4.55</v>
      </c>
      <c r="D548" s="16"/>
      <c r="E548" s="19">
        <f>(ADC!I548+5/3)/(1/12)</f>
        <v>75.401203247263467</v>
      </c>
      <c r="F548" s="20">
        <f t="shared" si="24"/>
        <v>1.0739989909698029E-2</v>
      </c>
      <c r="G548" s="2"/>
      <c r="H548" s="2"/>
      <c r="I548" s="19">
        <f>ABS(C548-ADC!I548)</f>
        <v>6.6766937271954596E-2</v>
      </c>
    </row>
    <row r="549" spans="1:9" x14ac:dyDescent="0.25">
      <c r="A549" s="5">
        <v>547</v>
      </c>
      <c r="B549" s="5">
        <f t="shared" si="25"/>
        <v>74.7</v>
      </c>
      <c r="C549" s="21">
        <f t="shared" si="26"/>
        <v>4.5583330000000002</v>
      </c>
      <c r="D549" s="16"/>
      <c r="E549" s="19">
        <f>(ADC!I549+5/3)/(1/12)</f>
        <v>75.494273624430448</v>
      </c>
      <c r="F549" s="20">
        <f t="shared" si="24"/>
        <v>1.0632846377917612E-2</v>
      </c>
      <c r="G549" s="2"/>
      <c r="H549" s="2"/>
      <c r="I549" s="19">
        <f>ABS(C549-ADC!I549)</f>
        <v>6.6189802035869327E-2</v>
      </c>
    </row>
    <row r="550" spans="1:9" x14ac:dyDescent="0.25">
      <c r="A550" s="5">
        <v>548</v>
      </c>
      <c r="B550" s="5">
        <f t="shared" si="25"/>
        <v>74.800000000000011</v>
      </c>
      <c r="C550" s="21">
        <f t="shared" si="26"/>
        <v>4.5666669999999998</v>
      </c>
      <c r="D550" s="16"/>
      <c r="E550" s="19">
        <f>(ADC!I550+5/3)/(1/12)</f>
        <v>75.582433092664175</v>
      </c>
      <c r="F550" s="20">
        <f t="shared" si="24"/>
        <v>1.0460335463424645E-2</v>
      </c>
      <c r="G550" s="2"/>
      <c r="H550" s="2"/>
      <c r="I550" s="19">
        <f>ABS(C550-ADC!I550)</f>
        <v>6.5202424388680846E-2</v>
      </c>
    </row>
    <row r="551" spans="1:9" x14ac:dyDescent="0.25">
      <c r="A551" s="5">
        <v>549</v>
      </c>
      <c r="B551" s="5">
        <f t="shared" si="25"/>
        <v>74.900000000000006</v>
      </c>
      <c r="C551" s="21">
        <f t="shared" si="26"/>
        <v>4.5750000000000002</v>
      </c>
      <c r="D551" s="16"/>
      <c r="E551" s="19">
        <f>(ADC!I551+5/3)/(1/12)</f>
        <v>75.670723657647912</v>
      </c>
      <c r="F551" s="20">
        <f t="shared" si="24"/>
        <v>1.0290035482615568E-2</v>
      </c>
      <c r="G551" s="2"/>
      <c r="H551" s="2"/>
      <c r="I551" s="19">
        <f>ABS(C551-ADC!I551)</f>
        <v>6.4226971470658256E-2</v>
      </c>
    </row>
    <row r="552" spans="1:9" x14ac:dyDescent="0.25">
      <c r="A552" s="5">
        <v>550</v>
      </c>
      <c r="B552" s="5">
        <f t="shared" si="25"/>
        <v>75</v>
      </c>
      <c r="C552" s="21">
        <f t="shared" si="26"/>
        <v>4.5833329999999997</v>
      </c>
      <c r="D552" s="16"/>
      <c r="E552" s="19">
        <f>(ADC!I552+5/3)/(1/12)</f>
        <v>75.764144278805347</v>
      </c>
      <c r="F552" s="20">
        <f t="shared" si="24"/>
        <v>1.018859038407129E-2</v>
      </c>
      <c r="G552" s="2"/>
      <c r="H552" s="2"/>
      <c r="I552" s="19">
        <f>ABS(C552-ADC!I552)</f>
        <v>6.3679023233778942E-2</v>
      </c>
    </row>
    <row r="553" spans="1:9" x14ac:dyDescent="0.25">
      <c r="A553" s="5">
        <v>551</v>
      </c>
      <c r="B553" s="5">
        <f t="shared" si="25"/>
        <v>75.099999999999994</v>
      </c>
      <c r="C553" s="21">
        <f t="shared" si="26"/>
        <v>4.5916670000000002</v>
      </c>
      <c r="D553" s="16"/>
      <c r="E553" s="19">
        <f>(ADC!I553+5/3)/(1/12)</f>
        <v>75.85268236876135</v>
      </c>
      <c r="F553" s="20">
        <f t="shared" si="24"/>
        <v>1.0022401714532034E-2</v>
      </c>
      <c r="G553" s="2"/>
      <c r="H553" s="2"/>
      <c r="I553" s="19">
        <f>ABS(C553-ADC!I553)</f>
        <v>6.2723197396778119E-2</v>
      </c>
    </row>
    <row r="554" spans="1:9" x14ac:dyDescent="0.25">
      <c r="A554" s="5">
        <v>552</v>
      </c>
      <c r="B554" s="5">
        <f t="shared" si="25"/>
        <v>75.2</v>
      </c>
      <c r="C554" s="21">
        <f t="shared" si="26"/>
        <v>4.5999999999999996</v>
      </c>
      <c r="D554" s="16"/>
      <c r="E554" s="19">
        <f>(ADC!I554+5/3)/(1/12)</f>
        <v>75.941347635029103</v>
      </c>
      <c r="F554" s="20">
        <f t="shared" si="24"/>
        <v>9.8583462104933593E-3</v>
      </c>
      <c r="G554" s="2"/>
      <c r="H554" s="2"/>
      <c r="I554" s="19">
        <f>ABS(C554-ADC!I554)</f>
        <v>6.1778969585758681E-2</v>
      </c>
    </row>
    <row r="555" spans="1:9" x14ac:dyDescent="0.25">
      <c r="A555" s="5">
        <v>553</v>
      </c>
      <c r="B555" s="5">
        <f t="shared" si="25"/>
        <v>75.300000000000011</v>
      </c>
      <c r="C555" s="21">
        <f t="shared" si="26"/>
        <v>4.608333</v>
      </c>
      <c r="D555" s="16"/>
      <c r="E555" s="19">
        <f>(ADC!I555+5/3)/(1/12)</f>
        <v>76.030138770803006</v>
      </c>
      <c r="F555" s="20">
        <f t="shared" si="24"/>
        <v>9.69639801863207E-3</v>
      </c>
      <c r="G555" s="2"/>
      <c r="H555" s="2"/>
      <c r="I555" s="19">
        <f>ABS(C555-ADC!I555)</f>
        <v>6.0845230900249625E-2</v>
      </c>
    </row>
    <row r="556" spans="1:9" x14ac:dyDescent="0.25">
      <c r="A556" s="5">
        <v>554</v>
      </c>
      <c r="B556" s="5">
        <f t="shared" si="25"/>
        <v>75.400000000000006</v>
      </c>
      <c r="C556" s="21">
        <f t="shared" si="26"/>
        <v>4.6166669999999996</v>
      </c>
      <c r="D556" s="16"/>
      <c r="E556" s="19">
        <f>(ADC!I556+5/3)/(1/12)</f>
        <v>76.124011976542505</v>
      </c>
      <c r="F556" s="20">
        <f t="shared" si="24"/>
        <v>9.6022808560013162E-3</v>
      </c>
      <c r="G556" s="2"/>
      <c r="H556" s="2"/>
      <c r="I556" s="19">
        <f>ABS(C556-ADC!I556)</f>
        <v>6.0333998045208226E-2</v>
      </c>
    </row>
    <row r="557" spans="1:9" x14ac:dyDescent="0.25">
      <c r="A557" s="5">
        <v>555</v>
      </c>
      <c r="B557" s="5">
        <f t="shared" si="25"/>
        <v>75.5</v>
      </c>
      <c r="C557" s="21">
        <f t="shared" si="26"/>
        <v>4.625</v>
      </c>
      <c r="D557" s="16"/>
      <c r="E557" s="19">
        <f>(ADC!I557+5/3)/(1/12)</f>
        <v>76.213040298690331</v>
      </c>
      <c r="F557" s="20">
        <f t="shared" si="24"/>
        <v>9.4442423667593454E-3</v>
      </c>
      <c r="G557" s="2"/>
      <c r="H557" s="2"/>
      <c r="I557" s="19">
        <f>ABS(C557-ADC!I557)</f>
        <v>5.942002489086029E-2</v>
      </c>
    </row>
    <row r="558" spans="1:9" x14ac:dyDescent="0.25">
      <c r="A558" s="5">
        <v>556</v>
      </c>
      <c r="B558" s="5">
        <f t="shared" si="25"/>
        <v>75.599999999999994</v>
      </c>
      <c r="C558" s="21">
        <f t="shared" si="26"/>
        <v>4.6333330000000004</v>
      </c>
      <c r="D558" s="16"/>
      <c r="E558" s="19">
        <f>(ADC!I558+5/3)/(1/12)</f>
        <v>76.302190615635496</v>
      </c>
      <c r="F558" s="20">
        <f t="shared" si="24"/>
        <v>9.2882356565542543E-3</v>
      </c>
      <c r="G558" s="2"/>
      <c r="H558" s="2"/>
      <c r="I558" s="19">
        <f>ABS(C558-ADC!I558)</f>
        <v>5.8516217969623696E-2</v>
      </c>
    </row>
    <row r="559" spans="1:9" x14ac:dyDescent="0.25">
      <c r="A559" s="5">
        <v>557</v>
      </c>
      <c r="B559" s="5">
        <f t="shared" si="25"/>
        <v>75.7</v>
      </c>
      <c r="C559" s="21">
        <f t="shared" si="26"/>
        <v>4.641667</v>
      </c>
      <c r="D559" s="16"/>
      <c r="E559" s="19">
        <f>(ADC!I559+5/3)/(1/12)</f>
        <v>76.386536045937618</v>
      </c>
      <c r="F559" s="20">
        <f t="shared" si="24"/>
        <v>9.0691683743410155E-3</v>
      </c>
      <c r="G559" s="2"/>
      <c r="H559" s="2"/>
      <c r="I559" s="19">
        <f>ABS(C559-ADC!I559)</f>
        <v>5.7211003828133933E-2</v>
      </c>
    </row>
    <row r="560" spans="1:9" x14ac:dyDescent="0.25">
      <c r="A560" s="5">
        <v>558</v>
      </c>
      <c r="B560" s="5">
        <f t="shared" si="25"/>
        <v>75.800000000000011</v>
      </c>
      <c r="C560" s="21">
        <f t="shared" si="26"/>
        <v>4.6500000000000004</v>
      </c>
      <c r="D560" s="16"/>
      <c r="E560" s="19">
        <f>(ADC!I560+5/3)/(1/12)</f>
        <v>76.475937087524102</v>
      </c>
      <c r="F560" s="20">
        <f t="shared" si="24"/>
        <v>8.9173758248560723E-3</v>
      </c>
      <c r="G560" s="2"/>
      <c r="H560" s="2"/>
      <c r="I560" s="19">
        <f>ABS(C560-ADC!I560)</f>
        <v>5.6328090627007832E-2</v>
      </c>
    </row>
    <row r="561" spans="1:9" x14ac:dyDescent="0.25">
      <c r="A561" s="5">
        <v>559</v>
      </c>
      <c r="B561" s="5">
        <f t="shared" si="25"/>
        <v>75.900000000000006</v>
      </c>
      <c r="C561" s="21">
        <f t="shared" si="26"/>
        <v>4.6583329999999998</v>
      </c>
      <c r="D561" s="16"/>
      <c r="E561" s="19">
        <f>(ADC!I561+5/3)/(1/12)</f>
        <v>76.565456247802359</v>
      </c>
      <c r="F561" s="20">
        <f t="shared" si="24"/>
        <v>8.7675394967372013E-3</v>
      </c>
      <c r="G561" s="2"/>
      <c r="H561" s="2"/>
      <c r="I561" s="19">
        <f>ABS(C561-ADC!I561)</f>
        <v>5.5455020650196474E-2</v>
      </c>
    </row>
    <row r="562" spans="1:9" x14ac:dyDescent="0.25">
      <c r="A562" s="5">
        <v>560</v>
      </c>
      <c r="B562" s="5">
        <f t="shared" si="25"/>
        <v>76</v>
      </c>
      <c r="C562" s="21">
        <f t="shared" si="26"/>
        <v>4.6666670000000003</v>
      </c>
      <c r="D562" s="16"/>
      <c r="E562" s="19">
        <f>(ADC!I562+5/3)/(1/12)</f>
        <v>76.650198428673121</v>
      </c>
      <c r="F562" s="20">
        <f t="shared" si="24"/>
        <v>8.5552424825410724E-3</v>
      </c>
      <c r="G562" s="2"/>
      <c r="H562" s="2"/>
      <c r="I562" s="19">
        <f>ABS(C562-ADC!I562)</f>
        <v>5.4182869056092819E-2</v>
      </c>
    </row>
    <row r="563" spans="1:9" x14ac:dyDescent="0.25">
      <c r="A563" s="5">
        <v>561</v>
      </c>
      <c r="B563" s="5">
        <f t="shared" si="25"/>
        <v>76.099999999999994</v>
      </c>
      <c r="C563" s="21">
        <f t="shared" si="26"/>
        <v>4.6749999999999998</v>
      </c>
      <c r="D563" s="16"/>
      <c r="E563" s="19">
        <f>(ADC!I563+5/3)/(1/12)</f>
        <v>76.744843817880337</v>
      </c>
      <c r="F563" s="20">
        <f t="shared" si="24"/>
        <v>8.473637554275203E-3</v>
      </c>
      <c r="G563" s="2"/>
      <c r="H563" s="2"/>
      <c r="I563" s="19">
        <f>ABS(C563-ADC!I563)</f>
        <v>5.3736984823360423E-2</v>
      </c>
    </row>
    <row r="564" spans="1:9" x14ac:dyDescent="0.25">
      <c r="A564" s="5">
        <v>562</v>
      </c>
      <c r="B564" s="5">
        <f t="shared" si="25"/>
        <v>76.2</v>
      </c>
      <c r="C564" s="21">
        <f t="shared" si="26"/>
        <v>4.6833330000000002</v>
      </c>
      <c r="D564" s="16"/>
      <c r="E564" s="19">
        <f>(ADC!I564+5/3)/(1/12)</f>
        <v>76.834709681468411</v>
      </c>
      <c r="F564" s="20">
        <f t="shared" si="24"/>
        <v>8.3295233788504962E-3</v>
      </c>
      <c r="G564" s="2"/>
      <c r="H564" s="2"/>
      <c r="I564" s="19">
        <f>ABS(C564-ADC!I564)</f>
        <v>5.2892806789033742E-2</v>
      </c>
    </row>
    <row r="565" spans="1:9" x14ac:dyDescent="0.25">
      <c r="A565" s="5">
        <v>563</v>
      </c>
      <c r="B565" s="5">
        <f t="shared" si="25"/>
        <v>76.300000000000011</v>
      </c>
      <c r="C565" s="21">
        <f t="shared" si="26"/>
        <v>4.6916669999999998</v>
      </c>
      <c r="D565" s="16"/>
      <c r="E565" s="19">
        <f>(ADC!I565+5/3)/(1/12)</f>
        <v>76.919826347939036</v>
      </c>
      <c r="F565" s="20">
        <f t="shared" si="24"/>
        <v>8.1235432233161837E-3</v>
      </c>
      <c r="G565" s="2"/>
      <c r="H565" s="2"/>
      <c r="I565" s="19">
        <f>ABS(C565-ADC!I565)</f>
        <v>5.1651862328252918E-2</v>
      </c>
    </row>
    <row r="566" spans="1:9" x14ac:dyDescent="0.25">
      <c r="A566" s="5">
        <v>564</v>
      </c>
      <c r="B566" s="5">
        <f t="shared" si="25"/>
        <v>76.400000000000006</v>
      </c>
      <c r="C566" s="21">
        <f t="shared" si="26"/>
        <v>4.7</v>
      </c>
      <c r="D566" s="16"/>
      <c r="E566" s="19">
        <f>(ADC!I566+5/3)/(1/12)</f>
        <v>77.005075791077829</v>
      </c>
      <c r="F566" s="20">
        <f t="shared" si="24"/>
        <v>7.9198401973537037E-3</v>
      </c>
      <c r="G566" s="2"/>
      <c r="H566" s="2"/>
      <c r="I566" s="19">
        <f>ABS(C566-ADC!I566)</f>
        <v>5.0422982589818588E-2</v>
      </c>
    </row>
    <row r="567" spans="1:9" x14ac:dyDescent="0.25">
      <c r="A567" s="5">
        <v>565</v>
      </c>
      <c r="B567" s="5">
        <f t="shared" si="25"/>
        <v>76.5</v>
      </c>
      <c r="C567" s="21">
        <f t="shared" si="26"/>
        <v>4.7083329999999997</v>
      </c>
      <c r="D567" s="16"/>
      <c r="E567" s="19">
        <f>(ADC!I567+5/3)/(1/12)</f>
        <v>77.100139156049892</v>
      </c>
      <c r="F567" s="20">
        <f t="shared" si="24"/>
        <v>7.8449562882338779E-3</v>
      </c>
      <c r="G567" s="2"/>
      <c r="H567" s="2"/>
      <c r="I567" s="19">
        <f>ABS(C567-ADC!I567)</f>
        <v>5.0011929670824351E-2</v>
      </c>
    </row>
    <row r="568" spans="1:9" x14ac:dyDescent="0.25">
      <c r="A568" s="5">
        <v>566</v>
      </c>
      <c r="B568" s="5">
        <f t="shared" si="25"/>
        <v>76.599999999999994</v>
      </c>
      <c r="C568" s="21">
        <f t="shared" si="26"/>
        <v>4.7166670000000002</v>
      </c>
      <c r="D568" s="16"/>
      <c r="E568" s="19">
        <f>(ADC!I568+5/3)/(1/12)</f>
        <v>77.185629266558252</v>
      </c>
      <c r="F568" s="20">
        <f t="shared" si="24"/>
        <v>7.6452906861391289E-3</v>
      </c>
      <c r="G568" s="2"/>
      <c r="H568" s="2"/>
      <c r="I568" s="19">
        <f>ABS(C568-ADC!I568)</f>
        <v>4.8802105546520202E-2</v>
      </c>
    </row>
    <row r="569" spans="1:9" x14ac:dyDescent="0.25">
      <c r="A569" s="5">
        <v>567</v>
      </c>
      <c r="B569" s="5">
        <f t="shared" si="25"/>
        <v>76.7</v>
      </c>
      <c r="C569" s="21">
        <f t="shared" si="26"/>
        <v>4.7249999999999996</v>
      </c>
      <c r="D569" s="16"/>
      <c r="E569" s="19">
        <f>(ADC!I569+5/3)/(1/12)</f>
        <v>77.271248266477883</v>
      </c>
      <c r="F569" s="20">
        <f t="shared" si="24"/>
        <v>7.4478261600766675E-3</v>
      </c>
      <c r="G569" s="2"/>
      <c r="H569" s="2"/>
      <c r="I569" s="19">
        <f>ABS(C569-ADC!I569)</f>
        <v>4.7604022206489738E-2</v>
      </c>
    </row>
    <row r="570" spans="1:9" x14ac:dyDescent="0.25">
      <c r="A570" s="5">
        <v>568</v>
      </c>
      <c r="B570" s="5">
        <f t="shared" si="25"/>
        <v>76.800000000000011</v>
      </c>
      <c r="C570" s="21">
        <f t="shared" si="26"/>
        <v>4.733333</v>
      </c>
      <c r="D570" s="16"/>
      <c r="E570" s="19">
        <f>(ADC!I570+5/3)/(1/12)</f>
        <v>77.361804732475633</v>
      </c>
      <c r="F570" s="20">
        <f t="shared" si="24"/>
        <v>7.3151657874429921E-3</v>
      </c>
      <c r="G570" s="2"/>
      <c r="H570" s="2"/>
      <c r="I570" s="19">
        <f>ABS(C570-ADC!I570)</f>
        <v>4.6817394372968835E-2</v>
      </c>
    </row>
    <row r="571" spans="1:9" x14ac:dyDescent="0.25">
      <c r="A571" s="5">
        <v>569</v>
      </c>
      <c r="B571" s="5">
        <f t="shared" si="25"/>
        <v>76.900000000000006</v>
      </c>
      <c r="C571" s="21">
        <f t="shared" si="26"/>
        <v>4.7416669999999996</v>
      </c>
      <c r="D571" s="16"/>
      <c r="E571" s="19">
        <f>(ADC!I571+5/3)/(1/12)</f>
        <v>77.447667192801589</v>
      </c>
      <c r="F571" s="20">
        <f t="shared" si="24"/>
        <v>7.1218100494354125E-3</v>
      </c>
      <c r="G571" s="2"/>
      <c r="H571" s="2"/>
      <c r="I571" s="19">
        <f>ABS(C571-ADC!I571)</f>
        <v>4.5638599400132485E-2</v>
      </c>
    </row>
    <row r="572" spans="1:9" x14ac:dyDescent="0.25">
      <c r="A572" s="5">
        <v>570</v>
      </c>
      <c r="B572" s="5">
        <f t="shared" si="25"/>
        <v>77</v>
      </c>
      <c r="C572" s="21">
        <f t="shared" si="26"/>
        <v>4.75</v>
      </c>
      <c r="D572" s="16"/>
      <c r="E572" s="19">
        <f>(ADC!I572+5/3)/(1/12)</f>
        <v>77.533654674791237</v>
      </c>
      <c r="F572" s="20">
        <f t="shared" si="24"/>
        <v>6.9305801920939809E-3</v>
      </c>
      <c r="G572" s="2"/>
      <c r="H572" s="2"/>
      <c r="I572" s="19">
        <f>ABS(C572-ADC!I572)</f>
        <v>4.4471222899269414E-2</v>
      </c>
    </row>
    <row r="573" spans="1:9" x14ac:dyDescent="0.25">
      <c r="A573" s="5">
        <v>571</v>
      </c>
      <c r="B573" s="5">
        <f t="shared" si="25"/>
        <v>77.099999999999994</v>
      </c>
      <c r="C573" s="21">
        <f t="shared" si="26"/>
        <v>4.7583330000000004</v>
      </c>
      <c r="D573" s="16"/>
      <c r="E573" s="19">
        <f>(ADC!I573+5/3)/(1/12)</f>
        <v>77.619765889080881</v>
      </c>
      <c r="F573" s="20">
        <f t="shared" si="24"/>
        <v>6.7414512202449645E-3</v>
      </c>
      <c r="G573" s="2"/>
      <c r="H573" s="2"/>
      <c r="I573" s="19">
        <f>ABS(C573-ADC!I573)</f>
        <v>4.3314157423405497E-2</v>
      </c>
    </row>
    <row r="574" spans="1:9" x14ac:dyDescent="0.25">
      <c r="A574" s="5">
        <v>572</v>
      </c>
      <c r="B574" s="5">
        <f t="shared" si="25"/>
        <v>77.2</v>
      </c>
      <c r="C574" s="21">
        <f t="shared" si="26"/>
        <v>4.766667</v>
      </c>
      <c r="D574" s="16"/>
      <c r="E574" s="19">
        <f>(ADC!I574+5/3)/(1/12)</f>
        <v>77.710767857284793</v>
      </c>
      <c r="F574" s="20">
        <f t="shared" si="24"/>
        <v>6.6161639544661949E-3</v>
      </c>
      <c r="G574" s="2"/>
      <c r="H574" s="2"/>
      <c r="I574" s="19">
        <f>ABS(C574-ADC!I574)</f>
        <v>4.2563654773731585E-2</v>
      </c>
    </row>
    <row r="575" spans="1:9" x14ac:dyDescent="0.25">
      <c r="A575" s="5">
        <v>573</v>
      </c>
      <c r="B575" s="5">
        <f t="shared" si="25"/>
        <v>77.300000000000011</v>
      </c>
      <c r="C575" s="21">
        <f t="shared" si="26"/>
        <v>4.7750000000000004</v>
      </c>
      <c r="D575" s="16"/>
      <c r="E575" s="19">
        <f>(ADC!I575+5/3)/(1/12)</f>
        <v>77.797112338595738</v>
      </c>
      <c r="F575" s="20">
        <f t="shared" si="24"/>
        <v>6.4309487528554582E-3</v>
      </c>
      <c r="G575" s="2"/>
      <c r="H575" s="2"/>
      <c r="I575" s="19">
        <f>ABS(C575-ADC!I575)</f>
        <v>4.1426028216310584E-2</v>
      </c>
    </row>
    <row r="576" spans="1:9" x14ac:dyDescent="0.25">
      <c r="A576" s="5">
        <v>574</v>
      </c>
      <c r="B576" s="5">
        <f t="shared" si="25"/>
        <v>77.400000000000006</v>
      </c>
      <c r="C576" s="21">
        <f t="shared" si="26"/>
        <v>4.7833329999999998</v>
      </c>
      <c r="D576" s="16"/>
      <c r="E576" s="19">
        <f>(ADC!I576+5/3)/(1/12)</f>
        <v>77.878829117760759</v>
      </c>
      <c r="F576" s="20">
        <f t="shared" si="24"/>
        <v>6.1864227100872516E-3</v>
      </c>
      <c r="G576" s="2"/>
      <c r="H576" s="2"/>
      <c r="I576" s="19">
        <f>ABS(C576-ADC!I576)</f>
        <v>3.9902759813395861E-2</v>
      </c>
    </row>
    <row r="577" spans="1:9" x14ac:dyDescent="0.25">
      <c r="A577" s="5">
        <v>575</v>
      </c>
      <c r="B577" s="5">
        <f t="shared" si="25"/>
        <v>77.5</v>
      </c>
      <c r="C577" s="21">
        <f t="shared" si="26"/>
        <v>4.7916670000000003</v>
      </c>
      <c r="D577" s="16"/>
      <c r="E577" s="19">
        <f>(ADC!I577+5/3)/(1/12)</f>
        <v>77.970159770365115</v>
      </c>
      <c r="F577" s="20">
        <f t="shared" si="24"/>
        <v>6.066577682130511E-3</v>
      </c>
      <c r="G577" s="2"/>
      <c r="H577" s="2"/>
      <c r="I577" s="19">
        <f>ABS(C577-ADC!I577)</f>
        <v>3.9179647530424688E-2</v>
      </c>
    </row>
    <row r="578" spans="1:9" x14ac:dyDescent="0.25">
      <c r="A578" s="5">
        <v>576</v>
      </c>
      <c r="B578" s="5">
        <f t="shared" si="25"/>
        <v>77.599999999999994</v>
      </c>
      <c r="C578" s="21">
        <f t="shared" si="26"/>
        <v>4.8</v>
      </c>
      <c r="D578" s="16"/>
      <c r="E578" s="19">
        <f>(ADC!I578+5/3)/(1/12)</f>
        <v>78.056860181185826</v>
      </c>
      <c r="F578" s="20">
        <f t="shared" ref="F578:F641" si="27">ABS(B578-E578)/B578</f>
        <v>5.8873734688895812E-3</v>
      </c>
      <c r="G578" s="2"/>
      <c r="H578" s="2"/>
      <c r="I578" s="19">
        <f>ABS(C578-ADC!I578)</f>
        <v>3.8071681765484477E-2</v>
      </c>
    </row>
    <row r="579" spans="1:9" x14ac:dyDescent="0.25">
      <c r="A579" s="5">
        <v>577</v>
      </c>
      <c r="B579" s="5">
        <f t="shared" ref="B579:B602" si="28">0.1*A579+20</f>
        <v>77.7</v>
      </c>
      <c r="C579" s="21">
        <f t="shared" ref="C579:C602" si="29">ROUND(1/12*B579-5/3,6)</f>
        <v>4.8083330000000002</v>
      </c>
      <c r="D579" s="16"/>
      <c r="E579" s="19">
        <f>(ADC!I579+5/3)/(1/12)</f>
        <v>78.138959984529933</v>
      </c>
      <c r="F579" s="20">
        <f t="shared" si="27"/>
        <v>5.6494206503208506E-3</v>
      </c>
      <c r="G579" s="2"/>
      <c r="H579" s="2"/>
      <c r="I579" s="19">
        <f>ABS(C579-ADC!I579)</f>
        <v>3.6580332044160002E-2</v>
      </c>
    </row>
    <row r="580" spans="1:9" x14ac:dyDescent="0.25">
      <c r="A580" s="5">
        <v>578</v>
      </c>
      <c r="B580" s="5">
        <f t="shared" si="28"/>
        <v>77.800000000000011</v>
      </c>
      <c r="C580" s="21">
        <f t="shared" si="29"/>
        <v>4.8166669999999998</v>
      </c>
      <c r="D580" s="16"/>
      <c r="E580" s="19">
        <f>(ADC!I580+5/3)/(1/12)</f>
        <v>78.225901621903702</v>
      </c>
      <c r="F580" s="20">
        <f t="shared" si="27"/>
        <v>5.4743139062171054E-3</v>
      </c>
      <c r="G580" s="2"/>
      <c r="H580" s="2"/>
      <c r="I580" s="19">
        <f>ABS(C580-ADC!I580)</f>
        <v>3.5491468491974487E-2</v>
      </c>
    </row>
    <row r="581" spans="1:9" x14ac:dyDescent="0.25">
      <c r="A581" s="5">
        <v>579</v>
      </c>
      <c r="B581" s="5">
        <f t="shared" si="28"/>
        <v>77.900000000000006</v>
      </c>
      <c r="C581" s="21">
        <f t="shared" si="29"/>
        <v>4.8250000000000002</v>
      </c>
      <c r="D581" s="16"/>
      <c r="E581" s="19">
        <f>(ADC!I581+5/3)/(1/12)</f>
        <v>78.312956838673443</v>
      </c>
      <c r="F581" s="20">
        <f t="shared" si="27"/>
        <v>5.3011147454870046E-3</v>
      </c>
      <c r="G581" s="2"/>
      <c r="H581" s="2"/>
      <c r="I581" s="19">
        <f>ABS(C581-ADC!I581)</f>
        <v>3.4413069889452252E-2</v>
      </c>
    </row>
    <row r="582" spans="1:9" x14ac:dyDescent="0.25">
      <c r="A582" s="5">
        <v>580</v>
      </c>
      <c r="B582" s="5">
        <f t="shared" si="28"/>
        <v>78</v>
      </c>
      <c r="C582" s="21">
        <f t="shared" si="29"/>
        <v>4.8333329999999997</v>
      </c>
      <c r="D582" s="16"/>
      <c r="E582" s="19">
        <f>(ADC!I582+5/3)/(1/12)</f>
        <v>78.400124383534106</v>
      </c>
      <c r="F582" s="20">
        <f t="shared" si="27"/>
        <v>5.1297997888987918E-3</v>
      </c>
      <c r="G582" s="2"/>
      <c r="H582" s="2"/>
      <c r="I582" s="19">
        <f>ABS(C582-ADC!I582)</f>
        <v>3.3344031961175524E-2</v>
      </c>
    </row>
    <row r="583" spans="1:9" x14ac:dyDescent="0.25">
      <c r="A583" s="5">
        <v>581</v>
      </c>
      <c r="B583" s="5">
        <f t="shared" si="28"/>
        <v>78.099999999999994</v>
      </c>
      <c r="C583" s="21">
        <f t="shared" si="29"/>
        <v>4.8416670000000002</v>
      </c>
      <c r="D583" s="16"/>
      <c r="E583" s="19">
        <f>(ADC!I583+5/3)/(1/12)</f>
        <v>78.482727253306194</v>
      </c>
      <c r="F583" s="20">
        <f t="shared" si="27"/>
        <v>4.9004769949577472E-3</v>
      </c>
      <c r="G583" s="2"/>
      <c r="H583" s="2"/>
      <c r="I583" s="19">
        <f>ABS(C583-ADC!I583)</f>
        <v>3.1893604442181811E-2</v>
      </c>
    </row>
    <row r="584" spans="1:9" x14ac:dyDescent="0.25">
      <c r="A584" s="5">
        <v>582</v>
      </c>
      <c r="B584" s="5">
        <f t="shared" si="28"/>
        <v>78.2</v>
      </c>
      <c r="C584" s="21">
        <f t="shared" si="29"/>
        <v>4.8499999999999996</v>
      </c>
      <c r="D584" s="16"/>
      <c r="E584" s="19">
        <f>(ADC!I584+5/3)/(1/12)</f>
        <v>78.57479147528862</v>
      </c>
      <c r="F584" s="20">
        <f t="shared" si="27"/>
        <v>4.7927298630257983E-3</v>
      </c>
      <c r="G584" s="2"/>
      <c r="H584" s="2"/>
      <c r="I584" s="19">
        <f>ABS(C584-ADC!I584)</f>
        <v>3.1232622940717825E-2</v>
      </c>
    </row>
    <row r="585" spans="1:9" x14ac:dyDescent="0.25">
      <c r="A585" s="5">
        <v>583</v>
      </c>
      <c r="B585" s="5">
        <f t="shared" si="28"/>
        <v>78.300000000000011</v>
      </c>
      <c r="C585" s="21">
        <f t="shared" si="29"/>
        <v>4.858333</v>
      </c>
      <c r="D585" s="16"/>
      <c r="E585" s="19">
        <f>(ADC!I585+5/3)/(1/12)</f>
        <v>78.657633149964354</v>
      </c>
      <c r="F585" s="20">
        <f t="shared" si="27"/>
        <v>4.5674731796212387E-3</v>
      </c>
      <c r="G585" s="2"/>
      <c r="H585" s="2"/>
      <c r="I585" s="19">
        <f>ABS(C585-ADC!I585)</f>
        <v>2.9803095830362558E-2</v>
      </c>
    </row>
    <row r="586" spans="1:9" x14ac:dyDescent="0.25">
      <c r="A586" s="5">
        <v>584</v>
      </c>
      <c r="B586" s="5">
        <f t="shared" si="28"/>
        <v>78.400000000000006</v>
      </c>
      <c r="C586" s="21">
        <f t="shared" si="29"/>
        <v>4.8666669999999996</v>
      </c>
      <c r="D586" s="16"/>
      <c r="E586" s="19">
        <f>(ADC!I586+5/3)/(1/12)</f>
        <v>78.740602518563136</v>
      </c>
      <c r="F586" s="20">
        <f t="shared" si="27"/>
        <v>4.3444198796317689E-3</v>
      </c>
      <c r="G586" s="2"/>
      <c r="H586" s="2"/>
      <c r="I586" s="19">
        <f>ABS(C586-ADC!I586)</f>
        <v>2.838320988026144E-2</v>
      </c>
    </row>
    <row r="587" spans="1:9" x14ac:dyDescent="0.25">
      <c r="A587" s="5">
        <v>585</v>
      </c>
      <c r="B587" s="5">
        <f t="shared" si="28"/>
        <v>78.5</v>
      </c>
      <c r="C587" s="21">
        <f t="shared" si="29"/>
        <v>4.875</v>
      </c>
      <c r="D587" s="16"/>
      <c r="E587" s="19">
        <f>(ADC!I587+5/3)/(1/12)</f>
        <v>78.828333362138409</v>
      </c>
      <c r="F587" s="20">
        <f t="shared" si="27"/>
        <v>4.1825906004892841E-3</v>
      </c>
      <c r="G587" s="2"/>
      <c r="H587" s="2"/>
      <c r="I587" s="19">
        <f>ABS(C587-ADC!I587)</f>
        <v>2.7361113511533475E-2</v>
      </c>
    </row>
    <row r="588" spans="1:9" x14ac:dyDescent="0.25">
      <c r="A588" s="5">
        <v>586</v>
      </c>
      <c r="B588" s="5">
        <f t="shared" si="28"/>
        <v>78.599999999999994</v>
      </c>
      <c r="C588" s="21">
        <f t="shared" si="29"/>
        <v>4.8833330000000004</v>
      </c>
      <c r="D588" s="16"/>
      <c r="E588" s="19">
        <f>(ADC!I588+5/3)/(1/12)</f>
        <v>78.916169078976438</v>
      </c>
      <c r="F588" s="20">
        <f t="shared" si="27"/>
        <v>4.0225073661125134E-3</v>
      </c>
      <c r="G588" s="2"/>
      <c r="H588" s="2"/>
      <c r="I588" s="19">
        <f>ABS(C588-ADC!I588)</f>
        <v>2.6347756581368564E-2</v>
      </c>
    </row>
    <row r="589" spans="1:9" x14ac:dyDescent="0.25">
      <c r="A589" s="5">
        <v>587</v>
      </c>
      <c r="B589" s="5">
        <f t="shared" si="28"/>
        <v>78.7</v>
      </c>
      <c r="C589" s="21">
        <f t="shared" si="29"/>
        <v>4.891667</v>
      </c>
      <c r="D589" s="16"/>
      <c r="E589" s="19">
        <f>(ADC!I589+5/3)/(1/12)</f>
        <v>78.99949360396252</v>
      </c>
      <c r="F589" s="20">
        <f t="shared" si="27"/>
        <v>3.805509580209877E-3</v>
      </c>
      <c r="G589" s="2"/>
      <c r="H589" s="2"/>
      <c r="I589" s="19">
        <f>ABS(C589-ADC!I589)</f>
        <v>2.495746699687551E-2</v>
      </c>
    </row>
    <row r="590" spans="1:9" x14ac:dyDescent="0.25">
      <c r="A590" s="5">
        <v>588</v>
      </c>
      <c r="B590" s="5">
        <f t="shared" si="28"/>
        <v>78.800000000000011</v>
      </c>
      <c r="C590" s="21">
        <f t="shared" si="29"/>
        <v>4.9000000000000004</v>
      </c>
      <c r="D590" s="16"/>
      <c r="E590" s="19">
        <f>(ADC!I590+5/3)/(1/12)</f>
        <v>79.087545490032937</v>
      </c>
      <c r="F590" s="20">
        <f t="shared" si="27"/>
        <v>3.6490544420422072E-3</v>
      </c>
      <c r="G590" s="2"/>
      <c r="H590" s="2"/>
      <c r="I590" s="19">
        <f>ABS(C590-ADC!I590)</f>
        <v>2.3962124169409904E-2</v>
      </c>
    </row>
    <row r="591" spans="1:9" x14ac:dyDescent="0.25">
      <c r="A591" s="5">
        <v>589</v>
      </c>
      <c r="B591" s="5">
        <f t="shared" si="28"/>
        <v>78.900000000000006</v>
      </c>
      <c r="C591" s="21">
        <f t="shared" si="29"/>
        <v>4.9083329999999998</v>
      </c>
      <c r="D591" s="16"/>
      <c r="E591" s="19">
        <f>(ADC!I591+5/3)/(1/12)</f>
        <v>79.171103902627976</v>
      </c>
      <c r="F591" s="20">
        <f t="shared" si="27"/>
        <v>3.4360443932569158E-3</v>
      </c>
      <c r="G591" s="2"/>
      <c r="H591" s="2"/>
      <c r="I591" s="19">
        <f>ABS(C591-ADC!I591)</f>
        <v>2.2592325218997011E-2</v>
      </c>
    </row>
    <row r="592" spans="1:9" x14ac:dyDescent="0.25">
      <c r="A592" s="5">
        <v>590</v>
      </c>
      <c r="B592" s="5">
        <f t="shared" si="28"/>
        <v>79</v>
      </c>
      <c r="C592" s="21">
        <f t="shared" si="29"/>
        <v>4.9166670000000003</v>
      </c>
      <c r="D592" s="16"/>
      <c r="E592" s="19">
        <f>(ADC!I592+5/3)/(1/12)</f>
        <v>79.254782419248983</v>
      </c>
      <c r="F592" s="20">
        <f t="shared" si="27"/>
        <v>3.2250939145440851E-3</v>
      </c>
      <c r="G592" s="2"/>
      <c r="H592" s="2"/>
      <c r="I592" s="19">
        <f>ABS(C592-ADC!I592)</f>
        <v>2.1231534937413699E-2</v>
      </c>
    </row>
    <row r="593" spans="1:9" x14ac:dyDescent="0.25">
      <c r="A593" s="5">
        <v>591</v>
      </c>
      <c r="B593" s="5">
        <f t="shared" si="28"/>
        <v>79.099999999999994</v>
      </c>
      <c r="C593" s="21">
        <f t="shared" si="29"/>
        <v>4.9249999999999998</v>
      </c>
      <c r="D593" s="16"/>
      <c r="E593" s="19">
        <f>(ADC!I593+5/3)/(1/12)</f>
        <v>79.334005231437885</v>
      </c>
      <c r="F593" s="20">
        <f t="shared" si="27"/>
        <v>2.9583467944107569E-3</v>
      </c>
      <c r="G593" s="2"/>
      <c r="H593" s="2"/>
      <c r="I593" s="19">
        <f>ABS(C593-ADC!I593)</f>
        <v>1.950043595315698E-2</v>
      </c>
    </row>
    <row r="594" spans="1:9" x14ac:dyDescent="0.25">
      <c r="A594" s="5">
        <v>592</v>
      </c>
      <c r="B594" s="5">
        <f t="shared" si="28"/>
        <v>79.2</v>
      </c>
      <c r="C594" s="21">
        <f t="shared" si="29"/>
        <v>4.9333330000000002</v>
      </c>
      <c r="D594" s="16"/>
      <c r="E594" s="19">
        <f>(ADC!I594+5/3)/(1/12)</f>
        <v>79.417930212673014</v>
      </c>
      <c r="F594" s="20">
        <f t="shared" si="27"/>
        <v>2.7516440994067009E-3</v>
      </c>
      <c r="G594" s="2"/>
      <c r="H594" s="2"/>
      <c r="I594" s="19">
        <f>ABS(C594-ADC!I594)</f>
        <v>1.8161184389416718E-2</v>
      </c>
    </row>
    <row r="595" spans="1:9" x14ac:dyDescent="0.25">
      <c r="A595" s="5">
        <v>593</v>
      </c>
      <c r="B595" s="5">
        <f t="shared" si="28"/>
        <v>79.300000000000011</v>
      </c>
      <c r="C595" s="21">
        <f t="shared" si="29"/>
        <v>4.9416669999999998</v>
      </c>
      <c r="D595" s="16"/>
      <c r="E595" s="19">
        <f>(ADC!I595+5/3)/(1/12)</f>
        <v>79.501971515368496</v>
      </c>
      <c r="F595" s="20">
        <f t="shared" si="27"/>
        <v>2.5469295758951348E-3</v>
      </c>
      <c r="G595" s="2"/>
      <c r="H595" s="2"/>
      <c r="I595" s="19">
        <f>ABS(C595-ADC!I595)</f>
        <v>1.6830626280707861E-2</v>
      </c>
    </row>
    <row r="596" spans="1:9" x14ac:dyDescent="0.25">
      <c r="A596" s="5">
        <v>594</v>
      </c>
      <c r="B596" s="5">
        <f t="shared" si="28"/>
        <v>79.400000000000006</v>
      </c>
      <c r="C596" s="21">
        <f t="shared" si="29"/>
        <v>4.95</v>
      </c>
      <c r="D596" s="16"/>
      <c r="E596" s="19">
        <f>(ADC!I596+5/3)/(1/12)</f>
        <v>79.590672414197499</v>
      </c>
      <c r="F596" s="20">
        <f t="shared" si="27"/>
        <v>2.4014157959382034E-3</v>
      </c>
      <c r="G596" s="2"/>
      <c r="H596" s="2"/>
      <c r="I596" s="19">
        <f>ABS(C596-ADC!I596)</f>
        <v>1.5889367849791114E-2</v>
      </c>
    </row>
    <row r="597" spans="1:9" x14ac:dyDescent="0.25">
      <c r="A597" s="5">
        <v>595</v>
      </c>
      <c r="B597" s="5">
        <f t="shared" si="28"/>
        <v>79.5</v>
      </c>
      <c r="C597" s="21">
        <f t="shared" si="29"/>
        <v>4.9583329999999997</v>
      </c>
      <c r="D597" s="16"/>
      <c r="E597" s="19">
        <f>(ADC!I597+5/3)/(1/12)</f>
        <v>79.670398102938321</v>
      </c>
      <c r="F597" s="20">
        <f t="shared" si="27"/>
        <v>2.1433723640040436E-3</v>
      </c>
      <c r="G597" s="2"/>
      <c r="H597" s="2"/>
      <c r="I597" s="19">
        <f>ABS(C597-ADC!I597)</f>
        <v>1.4200175244859281E-2</v>
      </c>
    </row>
    <row r="598" spans="1:9" x14ac:dyDescent="0.25">
      <c r="A598" s="5">
        <v>596</v>
      </c>
      <c r="B598" s="5">
        <f t="shared" si="28"/>
        <v>79.599999999999994</v>
      </c>
      <c r="C598" s="21">
        <f t="shared" si="29"/>
        <v>4.9666670000000002</v>
      </c>
      <c r="D598" s="16"/>
      <c r="E598" s="19">
        <f>(ADC!I598+5/3)/(1/12)</f>
        <v>79.754780907183346</v>
      </c>
      <c r="F598" s="20">
        <f t="shared" si="27"/>
        <v>1.9444837585848149E-3</v>
      </c>
      <c r="G598" s="2"/>
      <c r="H598" s="2"/>
      <c r="I598" s="19">
        <f>ABS(C598-ADC!I598)</f>
        <v>1.2898075598610781E-2</v>
      </c>
    </row>
    <row r="599" spans="1:9" x14ac:dyDescent="0.25">
      <c r="A599" s="5">
        <v>597</v>
      </c>
      <c r="B599" s="5">
        <f t="shared" si="28"/>
        <v>79.7</v>
      </c>
      <c r="C599" s="21">
        <f t="shared" si="29"/>
        <v>4.9749999999999996</v>
      </c>
      <c r="D599" s="16"/>
      <c r="E599" s="19">
        <f>(ADC!I599+5/3)/(1/12)</f>
        <v>79.839275071963115</v>
      </c>
      <c r="F599" s="20">
        <f t="shared" si="27"/>
        <v>1.747491492636291E-3</v>
      </c>
      <c r="G599" s="2"/>
      <c r="H599" s="2"/>
      <c r="I599" s="19">
        <f>ABS(C599-ADC!I599)</f>
        <v>1.1606255996925441E-2</v>
      </c>
    </row>
    <row r="600" spans="1:9" x14ac:dyDescent="0.25">
      <c r="A600" s="5">
        <v>598</v>
      </c>
      <c r="B600" s="5">
        <f t="shared" si="28"/>
        <v>79.800000000000011</v>
      </c>
      <c r="C600" s="21">
        <f t="shared" si="29"/>
        <v>4.983333</v>
      </c>
      <c r="D600" s="16"/>
      <c r="E600" s="19">
        <f>(ADC!I600+5/3)/(1/12)</f>
        <v>79.923879366573345</v>
      </c>
      <c r="F600" s="20">
        <f t="shared" si="27"/>
        <v>1.552373014703433E-3</v>
      </c>
      <c r="G600" s="2"/>
      <c r="H600" s="2"/>
      <c r="I600" s="19">
        <f>ABS(C600-ADC!I600)</f>
        <v>1.0323613881110916E-2</v>
      </c>
    </row>
    <row r="601" spans="1:9" x14ac:dyDescent="0.25">
      <c r="A601" s="5">
        <v>599</v>
      </c>
      <c r="B601" s="5">
        <f t="shared" si="28"/>
        <v>79.900000000000006</v>
      </c>
      <c r="C601" s="21">
        <f t="shared" si="29"/>
        <v>4.9916669999999996</v>
      </c>
      <c r="D601" s="16"/>
      <c r="E601" s="19">
        <f>(ADC!I601+5/3)/(1/12)</f>
        <v>80.004097747883804</v>
      </c>
      <c r="F601" s="20">
        <f t="shared" si="27"/>
        <v>1.302850411561937E-3</v>
      </c>
      <c r="G601" s="2"/>
      <c r="H601" s="2"/>
      <c r="I601" s="19">
        <f>ABS(C601-ADC!I601)</f>
        <v>8.674478990316814E-3</v>
      </c>
    </row>
    <row r="602" spans="1:9" x14ac:dyDescent="0.25">
      <c r="A602" s="5">
        <v>600</v>
      </c>
      <c r="B602" s="5">
        <f t="shared" si="28"/>
        <v>80</v>
      </c>
      <c r="C602" s="21">
        <f t="shared" si="29"/>
        <v>5</v>
      </c>
      <c r="D602" s="16"/>
      <c r="E602" s="19">
        <f>(ADC!I602+5/3)/(1/12)</f>
        <v>80.027212271592887</v>
      </c>
      <c r="F602" s="20">
        <f t="shared" si="27"/>
        <v>3.4015339491109129E-4</v>
      </c>
      <c r="G602" s="2"/>
      <c r="H602" s="2"/>
      <c r="I602" s="19">
        <f>ABS(C602-ADC!I602)</f>
        <v>2.2676892994066833E-3</v>
      </c>
    </row>
  </sheetData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8DF46-3D37-4C8C-845B-A0FBD87A3379}">
  <dimension ref="A1:Z602"/>
  <sheetViews>
    <sheetView zoomScale="85" zoomScaleNormal="85" workbookViewId="0">
      <pane ySplit="1" topLeftCell="A2" activePane="bottomLeft" state="frozen"/>
      <selection pane="bottomLeft" activeCell="K10" sqref="K10"/>
    </sheetView>
  </sheetViews>
  <sheetFormatPr defaultRowHeight="15" x14ac:dyDescent="0.25"/>
  <cols>
    <col min="1" max="1" width="34" bestFit="1" customWidth="1"/>
    <col min="2" max="3" width="21.7109375" bestFit="1" customWidth="1"/>
    <col min="4" max="4" width="14.85546875" bestFit="1" customWidth="1"/>
    <col min="5" max="5" width="10.5703125" style="12" bestFit="1" customWidth="1"/>
    <col min="6" max="6" width="14.7109375" customWidth="1"/>
    <col min="7" max="7" width="9.140625" style="6"/>
    <col min="8" max="8" width="6.28515625" bestFit="1" customWidth="1"/>
    <col min="9" max="9" width="14.85546875" style="5" bestFit="1" customWidth="1"/>
    <col min="10" max="10" width="11.7109375" bestFit="1" customWidth="1"/>
    <col min="11" max="11" width="12.42578125" bestFit="1" customWidth="1"/>
    <col min="12" max="12" width="11.140625" bestFit="1" customWidth="1"/>
    <col min="13" max="13" width="14.85546875" style="5" bestFit="1" customWidth="1"/>
    <col min="14" max="14" width="16.7109375" bestFit="1" customWidth="1"/>
    <col min="15" max="15" width="13.5703125" bestFit="1" customWidth="1"/>
    <col min="16" max="16" width="13.140625" bestFit="1" customWidth="1"/>
    <col min="17" max="17" width="21.42578125" bestFit="1" customWidth="1"/>
    <col min="18" max="18" width="12.42578125" bestFit="1" customWidth="1"/>
    <col min="19" max="19" width="11.140625" bestFit="1" customWidth="1"/>
    <col min="20" max="20" width="9.42578125" customWidth="1"/>
    <col min="24" max="24" width="10" bestFit="1" customWidth="1"/>
    <col min="26" max="26" width="7.140625" customWidth="1"/>
  </cols>
  <sheetData>
    <row r="1" spans="1:26" ht="16.5" thickTop="1" thickBot="1" x14ac:dyDescent="0.3">
      <c r="H1" s="15" t="s">
        <v>20</v>
      </c>
      <c r="I1" s="15" t="s">
        <v>21</v>
      </c>
      <c r="J1" s="15" t="s">
        <v>51</v>
      </c>
      <c r="K1" s="15" t="s">
        <v>52</v>
      </c>
      <c r="L1" s="15" t="s">
        <v>57</v>
      </c>
      <c r="M1" s="15" t="s">
        <v>56</v>
      </c>
      <c r="N1" s="15" t="s">
        <v>58</v>
      </c>
      <c r="O1" s="15" t="s">
        <v>2</v>
      </c>
      <c r="P1" s="15" t="s">
        <v>67</v>
      </c>
      <c r="Q1" s="15" t="s">
        <v>68</v>
      </c>
      <c r="R1" s="15" t="s">
        <v>69</v>
      </c>
      <c r="S1" s="15" t="s">
        <v>70</v>
      </c>
      <c r="T1" s="15" t="s">
        <v>81</v>
      </c>
      <c r="U1" s="15"/>
      <c r="V1" s="15" t="s">
        <v>82</v>
      </c>
      <c r="W1" s="15"/>
    </row>
    <row r="2" spans="1:26" ht="15.75" thickTop="1" x14ac:dyDescent="0.25">
      <c r="A2" s="23" t="s">
        <v>24</v>
      </c>
      <c r="B2" s="23"/>
      <c r="C2" s="23"/>
      <c r="D2" s="23"/>
      <c r="E2" s="23"/>
      <c r="H2">
        <v>20</v>
      </c>
      <c r="I2">
        <f>0.017</f>
        <v>1.7000000000000001E-2</v>
      </c>
      <c r="J2" s="4">
        <f>ROUND(H2*0.00000575 -0.00034,6)</f>
        <v>-2.2499999999999999E-4</v>
      </c>
      <c r="K2" s="9">
        <f>ROUND(H2*0.000005-0.0001,6)</f>
        <v>0</v>
      </c>
      <c r="L2" s="4">
        <f>ROUND(K2+($C$24*(H2-25)),6)</f>
        <v>-1.5E-3</v>
      </c>
      <c r="M2" s="5">
        <f>(I2-J2)/(1-L2)+$C$26+$D$27</f>
        <v>1.7257201198202694E-2</v>
      </c>
      <c r="N2" s="2">
        <f>ABS(I2-M2)/I2</f>
        <v>1.5129482247217199E-2</v>
      </c>
      <c r="O2">
        <f>ROUND((M2*(2^($C$12-1)))/$C$44,4)</f>
        <v>92.068799999999996</v>
      </c>
      <c r="P2">
        <f ca="1">ROUND(O2+$C$47+$C$49+RANDBETWEEN($B$45,$D$45),0)</f>
        <v>94</v>
      </c>
      <c r="Q2" t="str">
        <f ca="1">_xlfn.BASE(P2,2,16)</f>
        <v>0000000001011110</v>
      </c>
      <c r="R2">
        <f ca="1">($C$16/2^($C$12-1)) * P2</f>
        <v>1.7624462127685547E-2</v>
      </c>
      <c r="S2">
        <f ca="1">(R2+5/3)/(1/12)</f>
        <v>20.211493545532228</v>
      </c>
      <c r="T2" s="1">
        <f ca="1">ABS(H2-S2)/H2</f>
        <v>1.057467727661141E-2</v>
      </c>
      <c r="U2" s="2">
        <f ca="1">MAX(T:T)</f>
        <v>3.6943805131755762E-2</v>
      </c>
      <c r="V2" s="4">
        <f ca="1">ROUND(ABS(H2-S2),6)</f>
        <v>0.21149399999999999</v>
      </c>
      <c r="W2">
        <f ca="1">MAX(V:V)</f>
        <v>1.8439479999999999</v>
      </c>
      <c r="X2" s="2"/>
      <c r="Z2" s="1"/>
    </row>
    <row r="3" spans="1:26" x14ac:dyDescent="0.25">
      <c r="A3" t="s">
        <v>25</v>
      </c>
      <c r="B3" s="3">
        <v>0.05</v>
      </c>
      <c r="H3">
        <v>20.100000000000001</v>
      </c>
      <c r="I3">
        <v>1.995468196548553E-2</v>
      </c>
      <c r="J3" s="4">
        <f t="shared" ref="J3:J66" si="0">ROUND(H3*0.00000575 -0.00034,6)</f>
        <v>-2.24E-4</v>
      </c>
      <c r="K3" s="9">
        <f>ROUND(H3*0.000005-0.0001,6)</f>
        <v>9.9999999999999995E-7</v>
      </c>
      <c r="L3" s="4">
        <f t="shared" ref="L3:L66" si="1">ROUND(K3+($C$24*(H3-25)),6)</f>
        <v>-1.469E-3</v>
      </c>
      <c r="M3" s="5">
        <f t="shared" ref="M3:M66" si="2">(I3-J3)/(1-L3)+$C$26+$D$27</f>
        <v>2.0207082962613448E-2</v>
      </c>
      <c r="N3" s="2">
        <f t="shared" ref="N3:N66" si="3">ABS(I3-M3)/I3</f>
        <v>1.2648710591553492E-2</v>
      </c>
      <c r="O3">
        <f t="shared" ref="O3:O66" si="4">ROUND((M3*(2^($C$12-1)))/$C$44,4)</f>
        <v>107.80670000000001</v>
      </c>
      <c r="P3">
        <f t="shared" ref="P3:P13" ca="1" si="5">ROUND(O3+$C$47+$C$49+RANDBETWEEN($B$45,$D$45),0)</f>
        <v>108</v>
      </c>
      <c r="Q3" t="str">
        <f t="shared" ref="Q3:Q66" ca="1" si="6">_xlfn.BASE(P3,2,16)</f>
        <v>0000000001101100</v>
      </c>
      <c r="R3">
        <f t="shared" ref="R3:R66" ca="1" si="7">($C$16/2^($C$12-1)) * P3</f>
        <v>2.0249382019042968E-2</v>
      </c>
      <c r="S3">
        <f t="shared" ref="S3:S66" ca="1" si="8">(R3+5/3)/(1/12)</f>
        <v>20.242992584228517</v>
      </c>
      <c r="T3" s="1">
        <f ca="1">ABS(H3-S3)/H3</f>
        <v>7.1140589168415813E-3</v>
      </c>
      <c r="U3" s="2">
        <f ca="1">MIN(T:T)</f>
        <v>1.3108921511494596E-5</v>
      </c>
      <c r="V3" s="4">
        <f t="shared" ref="V3:V66" ca="1" si="9">ROUND(ABS(H3-S3),6)</f>
        <v>0.14299300000000001</v>
      </c>
      <c r="W3">
        <f ca="1">MIN(V:V)</f>
        <v>2.7099999999999997E-4</v>
      </c>
      <c r="X3" s="2"/>
      <c r="Z3" s="1"/>
    </row>
    <row r="4" spans="1:26" x14ac:dyDescent="0.25">
      <c r="H4">
        <v>20.2</v>
      </c>
      <c r="I4">
        <v>2.5642401531156576E-2</v>
      </c>
      <c r="J4" s="4">
        <f>ROUND(H4*0.00000575 -0.00034,6)</f>
        <v>-2.24E-4</v>
      </c>
      <c r="K4" s="9">
        <f t="shared" ref="K4:K66" si="10">ROUND(H4*0.000005-0.0001,6)</f>
        <v>9.9999999999999995E-7</v>
      </c>
      <c r="L4" s="4">
        <f t="shared" si="1"/>
        <v>-1.439E-3</v>
      </c>
      <c r="M4" s="5">
        <f t="shared" si="2"/>
        <v>2.5887233264488975E-2</v>
      </c>
      <c r="N4" s="2">
        <f t="shared" si="3"/>
        <v>9.5479252610142038E-3</v>
      </c>
      <c r="O4">
        <f t="shared" si="4"/>
        <v>138.11089999999999</v>
      </c>
      <c r="P4">
        <f t="shared" ca="1" si="5"/>
        <v>139</v>
      </c>
      <c r="Q4" t="str">
        <f t="shared" ca="1" si="6"/>
        <v>0000000010001011</v>
      </c>
      <c r="R4">
        <f t="shared" ca="1" si="7"/>
        <v>2.6061704635620117E-2</v>
      </c>
      <c r="S4">
        <f t="shared" ca="1" si="8"/>
        <v>20.312740455627445</v>
      </c>
      <c r="T4" s="1">
        <f t="shared" ref="T4:T67" ca="1" si="11">ABS(H4-S4)/H4</f>
        <v>5.5812106746260205E-3</v>
      </c>
      <c r="V4" s="4">
        <f t="shared" ca="1" si="9"/>
        <v>0.11274000000000001</v>
      </c>
      <c r="X4" s="2"/>
    </row>
    <row r="5" spans="1:26" x14ac:dyDescent="0.25">
      <c r="H5">
        <v>20.3</v>
      </c>
      <c r="I5">
        <v>3.233074243996794E-2</v>
      </c>
      <c r="J5" s="4">
        <f t="shared" si="0"/>
        <v>-2.23E-4</v>
      </c>
      <c r="K5" s="9">
        <f t="shared" si="10"/>
        <v>1.9999999999999999E-6</v>
      </c>
      <c r="L5" s="4">
        <f>ROUND(K5+($C$24*(H5-25)),6)</f>
        <v>-1.408E-3</v>
      </c>
      <c r="M5" s="5">
        <f t="shared" si="2"/>
        <v>3.2565971216495113E-2</v>
      </c>
      <c r="N5" s="2">
        <f>ABS(I5-M5)/I5</f>
        <v>7.2756998068927185E-3</v>
      </c>
      <c r="O5">
        <f>ROUND((M5*(2^($C$12-1)))/$C$44,4)</f>
        <v>173.74260000000001</v>
      </c>
      <c r="P5">
        <f ca="1">ROUND(O5+$C$47+$C$49+RANDBETWEEN($B$45,$D$45),0)</f>
        <v>177</v>
      </c>
      <c r="Q5" t="str">
        <f t="shared" ca="1" si="6"/>
        <v>0000000010110001</v>
      </c>
      <c r="R5">
        <f t="shared" ca="1" si="7"/>
        <v>3.318648719787598E-2</v>
      </c>
      <c r="S5">
        <f t="shared" ca="1" si="8"/>
        <v>20.398237846374514</v>
      </c>
      <c r="T5" s="1">
        <f t="shared" ca="1" si="11"/>
        <v>4.8393027770695972E-3</v>
      </c>
      <c r="V5" s="4">
        <f t="shared" ca="1" si="9"/>
        <v>9.8238000000000006E-2</v>
      </c>
      <c r="X5" s="2"/>
    </row>
    <row r="6" spans="1:26" x14ac:dyDescent="0.25">
      <c r="H6">
        <v>20.399999999999999</v>
      </c>
      <c r="I6">
        <v>3.8074327832822344E-2</v>
      </c>
      <c r="J6" s="4">
        <f t="shared" si="0"/>
        <v>-2.23E-4</v>
      </c>
      <c r="K6" s="9">
        <f t="shared" si="10"/>
        <v>1.9999999999999999E-6</v>
      </c>
      <c r="L6" s="4">
        <f t="shared" si="1"/>
        <v>-1.3780000000000001E-3</v>
      </c>
      <c r="M6" s="5">
        <f t="shared" si="2"/>
        <v>3.8302626737178512E-2</v>
      </c>
      <c r="N6" s="2">
        <f t="shared" si="3"/>
        <v>5.9961374855673965E-3</v>
      </c>
      <c r="O6">
        <f t="shared" si="4"/>
        <v>204.34819999999999</v>
      </c>
      <c r="P6">
        <f t="shared" ca="1" si="5"/>
        <v>207</v>
      </c>
      <c r="Q6" t="str">
        <f t="shared" ca="1" si="6"/>
        <v>0000000011001111</v>
      </c>
      <c r="R6">
        <f t="shared" ca="1" si="7"/>
        <v>3.8811315536499025E-2</v>
      </c>
      <c r="S6">
        <f t="shared" ca="1" si="8"/>
        <v>20.465735786437993</v>
      </c>
      <c r="T6" s="1">
        <f t="shared" ca="1" si="11"/>
        <v>3.2223424724506836E-3</v>
      </c>
      <c r="V6" s="4">
        <f t="shared" ca="1" si="9"/>
        <v>6.5736000000000003E-2</v>
      </c>
      <c r="X6" s="2"/>
    </row>
    <row r="7" spans="1:26" x14ac:dyDescent="0.25">
      <c r="H7">
        <v>20.5</v>
      </c>
      <c r="I7">
        <v>4.4816928713063496E-2</v>
      </c>
      <c r="J7" s="4">
        <f t="shared" si="0"/>
        <v>-2.22E-4</v>
      </c>
      <c r="K7" s="9">
        <f t="shared" si="10"/>
        <v>3.0000000000000001E-6</v>
      </c>
      <c r="L7" s="4">
        <f t="shared" si="1"/>
        <v>-1.3470000000000001E-3</v>
      </c>
      <c r="M7" s="5">
        <f t="shared" si="2"/>
        <v>4.5036342885197138E-2</v>
      </c>
      <c r="N7" s="2">
        <f t="shared" si="3"/>
        <v>4.8957877845316449E-3</v>
      </c>
      <c r="O7">
        <f t="shared" si="4"/>
        <v>240.2732</v>
      </c>
      <c r="P7">
        <f t="shared" ca="1" si="5"/>
        <v>239</v>
      </c>
      <c r="Q7" t="str">
        <f t="shared" ca="1" si="6"/>
        <v>0000000011101111</v>
      </c>
      <c r="R7">
        <f t="shared" ca="1" si="7"/>
        <v>4.4811132431030277E-2</v>
      </c>
      <c r="S7">
        <f t="shared" ca="1" si="8"/>
        <v>20.537733589172365</v>
      </c>
      <c r="T7" s="1">
        <f t="shared" ca="1" si="11"/>
        <v>1.8406628864568466E-3</v>
      </c>
      <c r="V7" s="4">
        <f t="shared" ca="1" si="9"/>
        <v>3.7733999999999997E-2</v>
      </c>
      <c r="X7" s="2"/>
    </row>
    <row r="8" spans="1:26" x14ac:dyDescent="0.25">
      <c r="A8" s="24" t="s">
        <v>26</v>
      </c>
      <c r="B8" s="23"/>
      <c r="C8" s="23"/>
      <c r="D8" s="23"/>
      <c r="E8" s="23"/>
      <c r="H8">
        <v>20.6</v>
      </c>
      <c r="I8">
        <v>5.1586249909778253E-2</v>
      </c>
      <c r="J8" s="4">
        <f t="shared" si="0"/>
        <v>-2.22E-4</v>
      </c>
      <c r="K8" s="9">
        <f t="shared" si="10"/>
        <v>3.0000000000000001E-6</v>
      </c>
      <c r="L8" s="4">
        <f t="shared" si="1"/>
        <v>-1.317E-3</v>
      </c>
      <c r="M8" s="5">
        <f t="shared" si="2"/>
        <v>5.1798108187295584E-2</v>
      </c>
      <c r="N8" s="2">
        <f t="shared" si="3"/>
        <v>4.1068749499694251E-3</v>
      </c>
      <c r="O8">
        <f t="shared" si="4"/>
        <v>276.34789999999998</v>
      </c>
      <c r="P8">
        <f t="shared" ca="1" si="5"/>
        <v>277</v>
      </c>
      <c r="Q8" t="str">
        <f t="shared" ca="1" si="6"/>
        <v>0000000100010101</v>
      </c>
      <c r="R8">
        <f t="shared" ca="1" si="7"/>
        <v>5.1935914993286134E-2</v>
      </c>
      <c r="S8">
        <f t="shared" ca="1" si="8"/>
        <v>20.623230979919434</v>
      </c>
      <c r="T8" s="1">
        <f t="shared" ca="1" si="11"/>
        <v>1.127717471817115E-3</v>
      </c>
      <c r="V8" s="4">
        <f t="shared" ca="1" si="9"/>
        <v>2.3231000000000002E-2</v>
      </c>
      <c r="X8" s="2"/>
    </row>
    <row r="9" spans="1:26" x14ac:dyDescent="0.25">
      <c r="B9" t="s">
        <v>27</v>
      </c>
      <c r="C9" t="s">
        <v>28</v>
      </c>
      <c r="D9" t="s">
        <v>29</v>
      </c>
      <c r="E9" s="12" t="s">
        <v>35</v>
      </c>
      <c r="H9">
        <v>20.7</v>
      </c>
      <c r="I9">
        <v>5.8382283304936188E-2</v>
      </c>
      <c r="J9" s="4">
        <f t="shared" si="0"/>
        <v>-2.2100000000000001E-4</v>
      </c>
      <c r="K9" s="9">
        <f t="shared" si="10"/>
        <v>3.9999999999999998E-6</v>
      </c>
      <c r="L9" s="4">
        <f t="shared" si="1"/>
        <v>-1.286E-3</v>
      </c>
      <c r="M9" s="5">
        <f t="shared" si="2"/>
        <v>5.8586016276005251E-2</v>
      </c>
      <c r="N9" s="2">
        <f t="shared" si="3"/>
        <v>3.4896369161333926E-3</v>
      </c>
      <c r="O9">
        <f t="shared" si="4"/>
        <v>312.56200000000001</v>
      </c>
      <c r="P9">
        <f t="shared" ca="1" si="5"/>
        <v>311</v>
      </c>
      <c r="Q9" t="str">
        <f t="shared" ca="1" si="6"/>
        <v>0000000100110111</v>
      </c>
      <c r="R9">
        <f t="shared" ca="1" si="7"/>
        <v>5.8310720443725587E-2</v>
      </c>
      <c r="S9">
        <f t="shared" ca="1" si="8"/>
        <v>20.699728645324711</v>
      </c>
      <c r="T9" s="1">
        <f t="shared" ca="1" si="11"/>
        <v>1.3108921511494596E-5</v>
      </c>
      <c r="V9" s="4">
        <f t="shared" ca="1" si="9"/>
        <v>2.7099999999999997E-4</v>
      </c>
      <c r="X9" s="2"/>
    </row>
    <row r="10" spans="1:26" x14ac:dyDescent="0.25">
      <c r="A10" t="s">
        <v>3</v>
      </c>
      <c r="B10">
        <v>5.2</v>
      </c>
      <c r="C10">
        <v>5.5</v>
      </c>
      <c r="D10">
        <v>5.5</v>
      </c>
      <c r="E10" s="12" t="s">
        <v>22</v>
      </c>
      <c r="H10">
        <v>20.8</v>
      </c>
      <c r="I10">
        <v>6.5205020169476269E-2</v>
      </c>
      <c r="J10" s="4">
        <f t="shared" si="0"/>
        <v>-2.2000000000000001E-4</v>
      </c>
      <c r="K10" s="9">
        <f t="shared" si="10"/>
        <v>3.9999999999999998E-6</v>
      </c>
      <c r="L10" s="4">
        <f t="shared" si="1"/>
        <v>-1.256E-3</v>
      </c>
      <c r="M10" s="5">
        <f t="shared" si="2"/>
        <v>6.5400949424998481E-2</v>
      </c>
      <c r="N10" s="2">
        <f t="shared" si="3"/>
        <v>3.0048185709162659E-3</v>
      </c>
      <c r="O10">
        <f t="shared" si="4"/>
        <v>348.92039999999997</v>
      </c>
      <c r="P10">
        <f t="shared" ca="1" si="5"/>
        <v>349</v>
      </c>
      <c r="Q10" t="str">
        <f t="shared" ca="1" si="6"/>
        <v>0000000101011101</v>
      </c>
      <c r="R10">
        <f t="shared" ca="1" si="7"/>
        <v>6.5435503005981444E-2</v>
      </c>
      <c r="S10">
        <f t="shared" ca="1" si="8"/>
        <v>20.78522603607178</v>
      </c>
      <c r="T10" s="1">
        <f t="shared" ca="1" si="11"/>
        <v>7.1028672731830397E-4</v>
      </c>
      <c r="V10" s="4">
        <f t="shared" ca="1" si="9"/>
        <v>1.4774000000000001E-2</v>
      </c>
      <c r="X10" s="2"/>
    </row>
    <row r="11" spans="1:26" x14ac:dyDescent="0.25">
      <c r="A11" t="s">
        <v>4</v>
      </c>
      <c r="B11">
        <v>-0.3</v>
      </c>
      <c r="C11">
        <v>0</v>
      </c>
      <c r="D11">
        <v>0.3</v>
      </c>
      <c r="E11" s="12" t="s">
        <v>22</v>
      </c>
      <c r="H11">
        <v>20.9</v>
      </c>
      <c r="I11">
        <v>7.2054451745251158E-2</v>
      </c>
      <c r="J11" s="4">
        <f t="shared" si="0"/>
        <v>-2.2000000000000001E-4</v>
      </c>
      <c r="K11" s="9">
        <f t="shared" si="10"/>
        <v>5.0000000000000004E-6</v>
      </c>
      <c r="L11" s="4">
        <f t="shared" si="1"/>
        <v>-1.225E-3</v>
      </c>
      <c r="M11" s="5">
        <f t="shared" si="2"/>
        <v>7.2244023866015292E-2</v>
      </c>
      <c r="N11" s="2">
        <f t="shared" si="3"/>
        <v>2.630956397175387E-3</v>
      </c>
      <c r="O11">
        <f t="shared" si="4"/>
        <v>385.42880000000002</v>
      </c>
      <c r="P11">
        <f t="shared" ca="1" si="5"/>
        <v>384</v>
      </c>
      <c r="Q11" t="str">
        <f t="shared" ca="1" si="6"/>
        <v>0000000110000000</v>
      </c>
      <c r="R11">
        <f t="shared" ca="1" si="7"/>
        <v>7.1997802734375005E-2</v>
      </c>
      <c r="S11">
        <f t="shared" ca="1" si="8"/>
        <v>20.863973632812503</v>
      </c>
      <c r="T11" s="1">
        <f t="shared" ca="1" si="11"/>
        <v>1.7237496261959847E-3</v>
      </c>
      <c r="V11" s="4">
        <f t="shared" ca="1" si="9"/>
        <v>3.6026000000000002E-2</v>
      </c>
      <c r="X11" s="2"/>
    </row>
    <row r="12" spans="1:26" x14ac:dyDescent="0.25">
      <c r="A12" t="s">
        <v>9</v>
      </c>
      <c r="C12">
        <v>16</v>
      </c>
      <c r="E12" s="12" t="s">
        <v>1</v>
      </c>
      <c r="H12">
        <v>21</v>
      </c>
      <c r="I12">
        <v>7.8930568139319632E-2</v>
      </c>
      <c r="J12" s="4">
        <f t="shared" si="0"/>
        <v>-2.1900000000000001E-4</v>
      </c>
      <c r="K12" s="9">
        <f t="shared" si="10"/>
        <v>5.0000000000000004E-6</v>
      </c>
      <c r="L12" s="4">
        <f t="shared" si="1"/>
        <v>-1.1950000000000001E-3</v>
      </c>
      <c r="M12" s="5">
        <f t="shared" si="2"/>
        <v>7.9113097298048454E-2</v>
      </c>
      <c r="N12" s="2">
        <f t="shared" si="3"/>
        <v>2.3125281248025722E-3</v>
      </c>
      <c r="O12">
        <f t="shared" si="4"/>
        <v>422.07600000000002</v>
      </c>
      <c r="P12">
        <f t="shared" ca="1" si="5"/>
        <v>422</v>
      </c>
      <c r="Q12" t="str">
        <f t="shared" ca="1" si="6"/>
        <v>0000000110100110</v>
      </c>
      <c r="R12">
        <f t="shared" ca="1" si="7"/>
        <v>7.9122585296630854E-2</v>
      </c>
      <c r="S12">
        <f t="shared" ca="1" si="8"/>
        <v>20.949471023559571</v>
      </c>
      <c r="T12" s="1">
        <f t="shared" ca="1" si="11"/>
        <v>2.4061417352585174E-3</v>
      </c>
      <c r="V12" s="4">
        <f t="shared" ca="1" si="9"/>
        <v>5.0528999999999998E-2</v>
      </c>
      <c r="X12" s="2"/>
    </row>
    <row r="13" spans="1:26" x14ac:dyDescent="0.25">
      <c r="A13" t="s">
        <v>30</v>
      </c>
      <c r="E13" s="12" t="s">
        <v>22</v>
      </c>
      <c r="H13">
        <v>21.1</v>
      </c>
      <c r="I13">
        <v>8.4867512326768008E-2</v>
      </c>
      <c r="J13" s="4">
        <f t="shared" si="0"/>
        <v>-2.1900000000000001E-4</v>
      </c>
      <c r="K13" s="9">
        <f t="shared" si="10"/>
        <v>6.0000000000000002E-6</v>
      </c>
      <c r="L13" s="4">
        <f t="shared" si="1"/>
        <v>-1.1640000000000001E-3</v>
      </c>
      <c r="M13" s="5">
        <f t="shared" si="2"/>
        <v>8.5045586775761031E-2</v>
      </c>
      <c r="N13" s="2">
        <f t="shared" si="3"/>
        <v>2.0982640366242625E-3</v>
      </c>
      <c r="O13">
        <f t="shared" si="4"/>
        <v>453.72640000000001</v>
      </c>
      <c r="P13">
        <f t="shared" ca="1" si="5"/>
        <v>451</v>
      </c>
      <c r="Q13" t="str">
        <f t="shared" ca="1" si="6"/>
        <v>0000000111000011</v>
      </c>
      <c r="R13">
        <f t="shared" ca="1" si="7"/>
        <v>8.4559919357299812E-2</v>
      </c>
      <c r="S13">
        <f t="shared" ca="1" si="8"/>
        <v>21.014719032287601</v>
      </c>
      <c r="T13" s="1">
        <f t="shared" ca="1" si="11"/>
        <v>4.0417520242843601E-3</v>
      </c>
      <c r="V13" s="4">
        <f t="shared" ca="1" si="9"/>
        <v>8.5280999999999996E-2</v>
      </c>
      <c r="X13" s="2"/>
    </row>
    <row r="14" spans="1:26" x14ac:dyDescent="0.25">
      <c r="A14" t="s">
        <v>31</v>
      </c>
      <c r="B14">
        <v>-60</v>
      </c>
      <c r="D14">
        <v>150</v>
      </c>
      <c r="E14" s="12" t="s">
        <v>32</v>
      </c>
      <c r="H14">
        <v>21.2</v>
      </c>
      <c r="I14">
        <v>9.1797780801121082E-2</v>
      </c>
      <c r="J14" s="4">
        <f t="shared" si="0"/>
        <v>-2.1800000000000001E-4</v>
      </c>
      <c r="K14" s="9">
        <f t="shared" si="10"/>
        <v>6.0000000000000002E-6</v>
      </c>
      <c r="L14" s="4">
        <f t="shared" si="1"/>
        <v>-1.134E-3</v>
      </c>
      <c r="M14" s="5">
        <f t="shared" si="2"/>
        <v>9.1969553099905788E-2</v>
      </c>
      <c r="N14" s="2">
        <f t="shared" si="3"/>
        <v>1.8712031738201684E-3</v>
      </c>
      <c r="O14">
        <f t="shared" si="4"/>
        <v>490.66640000000001</v>
      </c>
      <c r="P14">
        <f ca="1">ROUND(O14+$C$47+$C$49+RANDBETWEEN($B$45,$D$45) + 1,0)</f>
        <v>494</v>
      </c>
      <c r="Q14" t="str">
        <f t="shared" ca="1" si="6"/>
        <v>0000000111101110</v>
      </c>
      <c r="R14">
        <f t="shared" ca="1" si="7"/>
        <v>9.2622173309326178E-2</v>
      </c>
      <c r="S14">
        <f t="shared" ca="1" si="8"/>
        <v>21.111466079711917</v>
      </c>
      <c r="T14" s="1">
        <f t="shared" ca="1" si="11"/>
        <v>4.1761283154755739E-3</v>
      </c>
      <c r="V14" s="4">
        <f t="shared" ca="1" si="9"/>
        <v>8.8534000000000002E-2</v>
      </c>
      <c r="X14" s="2"/>
    </row>
    <row r="15" spans="1:26" x14ac:dyDescent="0.25">
      <c r="A15" t="s">
        <v>33</v>
      </c>
      <c r="B15">
        <f>2/3</f>
        <v>0.66666666666666663</v>
      </c>
      <c r="C15">
        <f>2/3*$C$24+$B$15</f>
        <v>0.66686666666666661</v>
      </c>
      <c r="H15">
        <v>21.3</v>
      </c>
      <c r="I15">
        <v>9.8754704531356832E-2</v>
      </c>
      <c r="J15" s="4">
        <f t="shared" si="0"/>
        <v>-2.1800000000000001E-4</v>
      </c>
      <c r="K15" s="9">
        <f t="shared" si="10"/>
        <v>6.9999999999999999E-6</v>
      </c>
      <c r="L15" s="4">
        <f t="shared" si="1"/>
        <v>-1.103E-3</v>
      </c>
      <c r="M15" s="5">
        <f t="shared" si="2"/>
        <v>9.8921657916674732E-2</v>
      </c>
      <c r="N15" s="2">
        <f t="shared" si="3"/>
        <v>1.6905866521517324E-3</v>
      </c>
      <c r="O15">
        <f t="shared" si="4"/>
        <v>527.75660000000005</v>
      </c>
      <c r="P15">
        <f t="shared" ref="P15:P78" ca="1" si="12">ROUND(O15+$C$47+$C$49+RANDBETWEEN($B$45,$D$45) + 1,0)</f>
        <v>526</v>
      </c>
      <c r="Q15" t="str">
        <f t="shared" ca="1" si="6"/>
        <v>0000001000001110</v>
      </c>
      <c r="R15">
        <f t="shared" ca="1" si="7"/>
        <v>9.8621990203857424E-2</v>
      </c>
      <c r="S15">
        <f t="shared" ca="1" si="8"/>
        <v>21.18346388244629</v>
      </c>
      <c r="T15" s="1">
        <f t="shared" ca="1" si="11"/>
        <v>5.4711792278737438E-3</v>
      </c>
      <c r="V15" s="4">
        <f t="shared" ca="1" si="9"/>
        <v>0.116536</v>
      </c>
      <c r="X15" s="2"/>
    </row>
    <row r="16" spans="1:26" x14ac:dyDescent="0.25">
      <c r="A16" t="s">
        <v>34</v>
      </c>
      <c r="B16">
        <f>-4.096/$C$15</f>
        <v>-6.1421573527941629</v>
      </c>
      <c r="C16">
        <f>4.096/$B$15 * ((2^15 - 1)/(2^15))</f>
        <v>6.1438125000000001</v>
      </c>
      <c r="D16">
        <f>4.096/$C$15</f>
        <v>6.1421573527941629</v>
      </c>
      <c r="E16" s="12" t="s">
        <v>22</v>
      </c>
      <c r="H16">
        <v>21.4</v>
      </c>
      <c r="I16">
        <v>0.10573827184964983</v>
      </c>
      <c r="J16" s="4">
        <f t="shared" si="0"/>
        <v>-2.1699999999999999E-4</v>
      </c>
      <c r="K16" s="9">
        <f t="shared" si="10"/>
        <v>6.9999999999999999E-6</v>
      </c>
      <c r="L16" s="4">
        <f t="shared" si="1"/>
        <v>-1.073E-3</v>
      </c>
      <c r="M16" s="5">
        <f t="shared" si="2"/>
        <v>0.10589970370157803</v>
      </c>
      <c r="N16" s="2">
        <f t="shared" si="3"/>
        <v>1.5267116542034994E-3</v>
      </c>
      <c r="O16">
        <f t="shared" si="4"/>
        <v>564.98509999999999</v>
      </c>
      <c r="P16">
        <f t="shared" ca="1" si="12"/>
        <v>568</v>
      </c>
      <c r="Q16" t="str">
        <f t="shared" ca="1" si="6"/>
        <v>0000001000111000</v>
      </c>
      <c r="R16">
        <f t="shared" ca="1" si="7"/>
        <v>0.10649674987792969</v>
      </c>
      <c r="S16">
        <f t="shared" ca="1" si="8"/>
        <v>21.277960998535157</v>
      </c>
      <c r="T16" s="1">
        <f t="shared" ca="1" si="11"/>
        <v>5.7027570777963364E-3</v>
      </c>
      <c r="V16" s="4">
        <f t="shared" ca="1" si="9"/>
        <v>0.12203899999999999</v>
      </c>
      <c r="X16" s="2"/>
    </row>
    <row r="17" spans="1:24" x14ac:dyDescent="0.25">
      <c r="A17" t="s">
        <v>36</v>
      </c>
      <c r="C17">
        <f>6000000</f>
        <v>6000000</v>
      </c>
      <c r="E17" s="12" t="s">
        <v>37</v>
      </c>
      <c r="H17">
        <v>21.5</v>
      </c>
      <c r="I17">
        <v>0.11274847097174033</v>
      </c>
      <c r="J17" s="4">
        <f t="shared" si="0"/>
        <v>-2.1599999999999999E-4</v>
      </c>
      <c r="K17" s="9">
        <f t="shared" si="10"/>
        <v>7.9999999999999996E-6</v>
      </c>
      <c r="L17" s="4">
        <f t="shared" si="1"/>
        <v>-1.042E-3</v>
      </c>
      <c r="M17" s="5">
        <f t="shared" si="2"/>
        <v>0.1129048845180725</v>
      </c>
      <c r="N17" s="2">
        <f t="shared" si="3"/>
        <v>1.3872786476312581E-3</v>
      </c>
      <c r="O17">
        <f t="shared" si="4"/>
        <v>602.35839999999996</v>
      </c>
      <c r="P17">
        <f t="shared" ca="1" si="12"/>
        <v>605</v>
      </c>
      <c r="Q17" t="str">
        <f t="shared" ca="1" si="6"/>
        <v>0000001001011101</v>
      </c>
      <c r="R17">
        <f t="shared" ca="1" si="7"/>
        <v>0.11343403816223145</v>
      </c>
      <c r="S17">
        <f t="shared" ca="1" si="8"/>
        <v>21.36120845794678</v>
      </c>
      <c r="T17" s="1">
        <f t="shared" ca="1" si="11"/>
        <v>6.4554205606148617E-3</v>
      </c>
      <c r="V17" s="4">
        <f t="shared" ca="1" si="9"/>
        <v>0.138792</v>
      </c>
      <c r="X17" s="2"/>
    </row>
    <row r="18" spans="1:24" x14ac:dyDescent="0.25">
      <c r="A18" t="s">
        <v>38</v>
      </c>
      <c r="C18">
        <v>128</v>
      </c>
      <c r="E18" s="12" t="s">
        <v>8</v>
      </c>
      <c r="H18">
        <v>21.6</v>
      </c>
      <c r="I18">
        <v>0.11882352713321125</v>
      </c>
      <c r="J18" s="4">
        <f t="shared" si="0"/>
        <v>-2.1599999999999999E-4</v>
      </c>
      <c r="K18" s="9">
        <f t="shared" si="10"/>
        <v>7.9999999999999996E-6</v>
      </c>
      <c r="L18" s="4">
        <f>ROUND(K18+($C$24*(H18-25)),6)</f>
        <v>-1.0120000000000001E-3</v>
      </c>
      <c r="M18" s="5">
        <f t="shared" si="2"/>
        <v>0.11897718092211805</v>
      </c>
      <c r="N18" s="2">
        <f t="shared" si="3"/>
        <v>1.2931259710422976E-3</v>
      </c>
      <c r="O18">
        <f t="shared" si="4"/>
        <v>634.75469999999996</v>
      </c>
      <c r="P18">
        <f t="shared" ca="1" si="12"/>
        <v>635</v>
      </c>
      <c r="Q18" t="str">
        <f t="shared" ca="1" si="6"/>
        <v>0000001001111011</v>
      </c>
      <c r="R18">
        <f t="shared" ca="1" si="7"/>
        <v>0.1190588665008545</v>
      </c>
      <c r="S18">
        <f t="shared" ca="1" si="8"/>
        <v>21.428706398010256</v>
      </c>
      <c r="T18" s="1">
        <f t="shared" ca="1" si="11"/>
        <v>7.9302593513771065E-3</v>
      </c>
      <c r="V18" s="4">
        <f t="shared" ca="1" si="9"/>
        <v>0.171294</v>
      </c>
      <c r="X18" s="2"/>
    </row>
    <row r="19" spans="1:24" x14ac:dyDescent="0.25">
      <c r="A19" s="10" t="s">
        <v>39</v>
      </c>
      <c r="B19" s="10">
        <v>20</v>
      </c>
      <c r="C19" s="10"/>
      <c r="D19" s="10">
        <v>80</v>
      </c>
      <c r="E19" s="13" t="s">
        <v>32</v>
      </c>
      <c r="H19">
        <v>21.7</v>
      </c>
      <c r="I19">
        <v>0.12588777376147675</v>
      </c>
      <c r="J19" s="4">
        <f t="shared" si="0"/>
        <v>-2.1499999999999999E-4</v>
      </c>
      <c r="K19" s="9">
        <f t="shared" si="10"/>
        <v>9.0000000000000002E-6</v>
      </c>
      <c r="L19" s="4">
        <f t="shared" si="1"/>
        <v>-9.810000000000001E-4</v>
      </c>
      <c r="M19" s="5">
        <f t="shared" si="2"/>
        <v>0.12603718817787427</v>
      </c>
      <c r="N19" s="2">
        <f t="shared" si="3"/>
        <v>1.1868858423107398E-3</v>
      </c>
      <c r="O19">
        <f t="shared" si="4"/>
        <v>672.42049999999995</v>
      </c>
      <c r="P19">
        <f t="shared" ca="1" si="12"/>
        <v>673</v>
      </c>
      <c r="Q19" t="str">
        <f t="shared" ca="1" si="6"/>
        <v>0000001010100001</v>
      </c>
      <c r="R19">
        <f t="shared" ca="1" si="7"/>
        <v>0.12618364906311036</v>
      </c>
      <c r="S19">
        <f t="shared" ca="1" si="8"/>
        <v>21.514203788757325</v>
      </c>
      <c r="T19" s="1">
        <f t="shared" ca="1" si="11"/>
        <v>8.5620373844550578E-3</v>
      </c>
      <c r="V19" s="4">
        <f t="shared" ca="1" si="9"/>
        <v>0.18579599999999999</v>
      </c>
      <c r="X19" s="2"/>
    </row>
    <row r="20" spans="1:24" x14ac:dyDescent="0.25">
      <c r="A20" t="s">
        <v>47</v>
      </c>
      <c r="B20">
        <f>-0.000225</f>
        <v>-2.2499999999999999E-4</v>
      </c>
      <c r="D20">
        <f>-0.00012</f>
        <v>-1.2E-4</v>
      </c>
      <c r="E20" s="12" t="s">
        <v>22</v>
      </c>
      <c r="H20">
        <v>21.8</v>
      </c>
      <c r="I20">
        <v>0.13297861509505859</v>
      </c>
      <c r="J20" s="4">
        <f t="shared" si="0"/>
        <v>-2.1499999999999999E-4</v>
      </c>
      <c r="K20" s="9">
        <f t="shared" si="10"/>
        <v>9.0000000000000002E-6</v>
      </c>
      <c r="L20" s="4">
        <f t="shared" si="1"/>
        <v>-9.5100000000000002E-4</v>
      </c>
      <c r="M20" s="5">
        <f t="shared" si="2"/>
        <v>0.13312506831309284</v>
      </c>
      <c r="N20" s="2">
        <f t="shared" si="3"/>
        <v>1.101329096633751E-3</v>
      </c>
      <c r="O20">
        <f t="shared" si="4"/>
        <v>710.23500000000001</v>
      </c>
      <c r="P20">
        <f t="shared" ca="1" si="12"/>
        <v>713</v>
      </c>
      <c r="Q20" t="str">
        <f t="shared" ca="1" si="6"/>
        <v>0000001011001001</v>
      </c>
      <c r="R20">
        <f t="shared" ca="1" si="7"/>
        <v>0.13368342018127441</v>
      </c>
      <c r="S20">
        <f t="shared" ca="1" si="8"/>
        <v>21.604201042175294</v>
      </c>
      <c r="T20" s="1">
        <f t="shared" ca="1" si="11"/>
        <v>8.9816035699406688E-3</v>
      </c>
      <c r="V20" s="4">
        <f t="shared" ca="1" si="9"/>
        <v>0.195799</v>
      </c>
      <c r="X20" s="2"/>
    </row>
    <row r="21" spans="1:24" x14ac:dyDescent="0.25">
      <c r="H21">
        <v>21.9</v>
      </c>
      <c r="I21">
        <v>0.14009603751663477</v>
      </c>
      <c r="J21" s="4">
        <f t="shared" si="0"/>
        <v>-2.14E-4</v>
      </c>
      <c r="K21" s="9">
        <f t="shared" si="10"/>
        <v>1.0000000000000001E-5</v>
      </c>
      <c r="L21" s="4">
        <f t="shared" si="1"/>
        <v>-9.2000000000000003E-4</v>
      </c>
      <c r="M21" s="5">
        <f t="shared" si="2"/>
        <v>0.14023907093137788</v>
      </c>
      <c r="N21" s="2">
        <f t="shared" si="3"/>
        <v>1.0209668829936182E-3</v>
      </c>
      <c r="O21">
        <f t="shared" si="4"/>
        <v>748.18889999999999</v>
      </c>
      <c r="P21">
        <f t="shared" ca="1" si="12"/>
        <v>753</v>
      </c>
      <c r="Q21" t="str">
        <f t="shared" ca="1" si="6"/>
        <v>0000001011110001</v>
      </c>
      <c r="R21">
        <f t="shared" ca="1" si="7"/>
        <v>0.14118319129943849</v>
      </c>
      <c r="S21">
        <f t="shared" ca="1" si="8"/>
        <v>21.694198295593264</v>
      </c>
      <c r="T21" s="1">
        <f t="shared" ca="1" si="11"/>
        <v>9.3973381007641486E-3</v>
      </c>
      <c r="V21" s="4">
        <f t="shared" ca="1" si="9"/>
        <v>0.20580200000000001</v>
      </c>
      <c r="X21" s="2"/>
    </row>
    <row r="22" spans="1:24" x14ac:dyDescent="0.25">
      <c r="A22" t="s">
        <v>48</v>
      </c>
      <c r="B22" s="3">
        <v>0</v>
      </c>
      <c r="D22" s="7">
        <v>2.9999999999999997E-4</v>
      </c>
      <c r="E22" s="12" t="s">
        <v>23</v>
      </c>
      <c r="H22">
        <v>22</v>
      </c>
      <c r="I22">
        <v>0.14628156503103817</v>
      </c>
      <c r="J22" s="4">
        <f t="shared" si="0"/>
        <v>-2.14E-4</v>
      </c>
      <c r="K22" s="9">
        <f t="shared" si="10"/>
        <v>1.0000000000000001E-5</v>
      </c>
      <c r="L22" s="4">
        <f t="shared" si="1"/>
        <v>-8.8999999999999995E-4</v>
      </c>
      <c r="M22" s="5">
        <f t="shared" si="2"/>
        <v>0.1464232999141146</v>
      </c>
      <c r="N22" s="2">
        <f t="shared" si="3"/>
        <v>9.6891828472267549E-4</v>
      </c>
      <c r="O22">
        <f t="shared" si="4"/>
        <v>781.18240000000003</v>
      </c>
      <c r="P22">
        <f t="shared" ca="1" si="12"/>
        <v>786</v>
      </c>
      <c r="Q22" t="str">
        <f t="shared" ca="1" si="6"/>
        <v>0000001100010010</v>
      </c>
      <c r="R22">
        <f t="shared" ca="1" si="7"/>
        <v>0.14737050247192382</v>
      </c>
      <c r="S22">
        <f t="shared" ca="1" si="8"/>
        <v>21.768446029663089</v>
      </c>
      <c r="T22" s="1">
        <f t="shared" ca="1" si="11"/>
        <v>1.0525180469859598E-2</v>
      </c>
      <c r="V22" s="4">
        <f t="shared" ca="1" si="9"/>
        <v>0.23155400000000001</v>
      </c>
      <c r="X22" s="2"/>
    </row>
    <row r="23" spans="1:24" x14ac:dyDescent="0.25">
      <c r="A23" t="s">
        <v>40</v>
      </c>
      <c r="C23" s="8">
        <v>5.0000000000000004E-6</v>
      </c>
      <c r="E23" s="25" t="s">
        <v>41</v>
      </c>
      <c r="H23">
        <v>22.1</v>
      </c>
      <c r="I23">
        <v>0.15345293472008928</v>
      </c>
      <c r="J23" s="4">
        <f t="shared" si="0"/>
        <v>-2.13E-4</v>
      </c>
      <c r="K23" s="9">
        <f t="shared" si="10"/>
        <v>1.1E-5</v>
      </c>
      <c r="L23" s="4">
        <f t="shared" si="1"/>
        <v>-8.5899999999999995E-4</v>
      </c>
      <c r="M23" s="5">
        <f t="shared" si="2"/>
        <v>0.1535920489720223</v>
      </c>
      <c r="N23" s="2">
        <f t="shared" si="3"/>
        <v>9.0655973563999622E-4</v>
      </c>
      <c r="O23">
        <f t="shared" si="4"/>
        <v>819.42830000000004</v>
      </c>
      <c r="P23">
        <f t="shared" ca="1" si="12"/>
        <v>820</v>
      </c>
      <c r="Q23" t="str">
        <f t="shared" ca="1" si="6"/>
        <v>0000001100110100</v>
      </c>
      <c r="R23">
        <f t="shared" ca="1" si="7"/>
        <v>0.15374530792236329</v>
      </c>
      <c r="S23">
        <f t="shared" ca="1" si="8"/>
        <v>21.844943695068359</v>
      </c>
      <c r="T23" s="1">
        <f t="shared" ca="1" si="11"/>
        <v>1.1541009272924991E-2</v>
      </c>
      <c r="V23" s="4">
        <f t="shared" ca="1" si="9"/>
        <v>0.255056</v>
      </c>
      <c r="X23" s="2"/>
    </row>
    <row r="24" spans="1:24" x14ac:dyDescent="0.25">
      <c r="B24" t="s">
        <v>43</v>
      </c>
      <c r="C24" s="9">
        <f>($D$19-$B$19)*C23</f>
        <v>3.0000000000000003E-4</v>
      </c>
      <c r="E24" s="25"/>
      <c r="H24">
        <v>22.2</v>
      </c>
      <c r="I24">
        <v>0.16065084292842172</v>
      </c>
      <c r="J24" s="4">
        <f t="shared" si="0"/>
        <v>-2.12E-4</v>
      </c>
      <c r="K24" s="9">
        <f t="shared" si="10"/>
        <v>1.1E-5</v>
      </c>
      <c r="L24" s="4">
        <f t="shared" si="1"/>
        <v>-8.2899999999999998E-4</v>
      </c>
      <c r="M24" s="5">
        <f t="shared" si="2"/>
        <v>0.16078759809160378</v>
      </c>
      <c r="N24" s="2">
        <f t="shared" si="3"/>
        <v>8.5125705342858915E-4</v>
      </c>
      <c r="O24">
        <f t="shared" si="4"/>
        <v>857.81730000000005</v>
      </c>
      <c r="P24">
        <f t="shared" ca="1" si="12"/>
        <v>862</v>
      </c>
      <c r="Q24" t="str">
        <f t="shared" ca="1" si="6"/>
        <v>0000001101011110</v>
      </c>
      <c r="R24">
        <f t="shared" ca="1" si="7"/>
        <v>0.16162006759643555</v>
      </c>
      <c r="S24">
        <f t="shared" ca="1" si="8"/>
        <v>21.939440811157226</v>
      </c>
      <c r="T24" s="1">
        <f t="shared" ca="1" si="11"/>
        <v>1.1736900398323117E-2</v>
      </c>
      <c r="V24" s="4">
        <f t="shared" ca="1" si="9"/>
        <v>0.26055899999999999</v>
      </c>
      <c r="X24" s="2"/>
    </row>
    <row r="25" spans="1:24" x14ac:dyDescent="0.25">
      <c r="A25" t="s">
        <v>42</v>
      </c>
      <c r="B25" t="s">
        <v>43</v>
      </c>
      <c r="C25">
        <v>90</v>
      </c>
      <c r="E25" s="12" t="s">
        <v>10</v>
      </c>
      <c r="H25">
        <v>22.3</v>
      </c>
      <c r="I25">
        <v>0.16691930606887123</v>
      </c>
      <c r="J25" s="4">
        <f t="shared" si="0"/>
        <v>-2.12E-4</v>
      </c>
      <c r="K25" s="9">
        <f t="shared" si="10"/>
        <v>1.2E-5</v>
      </c>
      <c r="L25" s="4">
        <f t="shared" si="1"/>
        <v>-7.9799999999999999E-4</v>
      </c>
      <c r="M25" s="5">
        <f t="shared" si="2"/>
        <v>0.16705604163164917</v>
      </c>
      <c r="N25" s="2">
        <f t="shared" si="3"/>
        <v>8.1917164645722255E-4</v>
      </c>
      <c r="O25">
        <f t="shared" si="4"/>
        <v>891.26</v>
      </c>
      <c r="P25">
        <f t="shared" ca="1" si="12"/>
        <v>891</v>
      </c>
      <c r="Q25" t="str">
        <f t="shared" ca="1" si="6"/>
        <v>0000001101111011</v>
      </c>
      <c r="R25">
        <f t="shared" ca="1" si="7"/>
        <v>0.1670574016571045</v>
      </c>
      <c r="S25">
        <f t="shared" ca="1" si="8"/>
        <v>22.004688819885256</v>
      </c>
      <c r="T25" s="1">
        <f t="shared" ca="1" si="11"/>
        <v>1.3242653816804678E-2</v>
      </c>
      <c r="V25" s="4">
        <f t="shared" ca="1" si="9"/>
        <v>0.29531099999999999</v>
      </c>
      <c r="X25" s="2"/>
    </row>
    <row r="26" spans="1:24" x14ac:dyDescent="0.25">
      <c r="A26" t="s">
        <v>49</v>
      </c>
      <c r="C26" s="4">
        <f>0.00002</f>
        <v>2.0000000000000002E-5</v>
      </c>
      <c r="E26" s="12" t="s">
        <v>22</v>
      </c>
      <c r="H26">
        <v>22.4</v>
      </c>
      <c r="I26">
        <v>0.17417107728017503</v>
      </c>
      <c r="J26" s="4">
        <f t="shared" si="0"/>
        <v>-2.1100000000000001E-4</v>
      </c>
      <c r="K26" s="9">
        <f t="shared" si="10"/>
        <v>1.2E-5</v>
      </c>
      <c r="L26" s="4">
        <f t="shared" si="1"/>
        <v>-7.6800000000000002E-4</v>
      </c>
      <c r="M26" s="5">
        <f t="shared" si="2"/>
        <v>0.17430625462062635</v>
      </c>
      <c r="N26" s="2">
        <f t="shared" si="3"/>
        <v>7.7611818541990871E-4</v>
      </c>
      <c r="O26">
        <f t="shared" si="4"/>
        <v>929.94060000000002</v>
      </c>
      <c r="P26">
        <f t="shared" ca="1" si="12"/>
        <v>931</v>
      </c>
      <c r="Q26" t="str">
        <f t="shared" ca="1" si="6"/>
        <v>0000001110100011</v>
      </c>
      <c r="R26">
        <f t="shared" ca="1" si="7"/>
        <v>0.17455717277526855</v>
      </c>
      <c r="S26">
        <f t="shared" ca="1" si="8"/>
        <v>22.094686073303226</v>
      </c>
      <c r="T26" s="1">
        <f t="shared" ca="1" si="11"/>
        <v>1.3630086013248777E-2</v>
      </c>
      <c r="V26" s="4">
        <f t="shared" ca="1" si="9"/>
        <v>0.30531399999999997</v>
      </c>
      <c r="X26" s="2"/>
    </row>
    <row r="27" spans="1:24" x14ac:dyDescent="0.25">
      <c r="A27" t="s">
        <v>50</v>
      </c>
      <c r="B27">
        <f>0.000022</f>
        <v>2.1999999999999999E-5</v>
      </c>
      <c r="D27">
        <f>0.000038</f>
        <v>3.8000000000000002E-5</v>
      </c>
      <c r="E27" s="12" t="s">
        <v>22</v>
      </c>
      <c r="H27">
        <v>22.5</v>
      </c>
      <c r="I27">
        <v>0.18144933920461195</v>
      </c>
      <c r="J27" s="4">
        <f t="shared" si="0"/>
        <v>-2.1100000000000001E-4</v>
      </c>
      <c r="K27" s="9">
        <f t="shared" si="10"/>
        <v>1.2999999999999999E-5</v>
      </c>
      <c r="L27" s="4">
        <f t="shared" si="1"/>
        <v>-7.3700000000000002E-4</v>
      </c>
      <c r="M27" s="5">
        <f t="shared" si="2"/>
        <v>0.18158455413421504</v>
      </c>
      <c r="N27" s="2">
        <f t="shared" si="3"/>
        <v>7.4519383865381838E-4</v>
      </c>
      <c r="O27">
        <f t="shared" si="4"/>
        <v>968.77110000000005</v>
      </c>
      <c r="P27">
        <f t="shared" ca="1" si="12"/>
        <v>967</v>
      </c>
      <c r="Q27" t="str">
        <f t="shared" ca="1" si="6"/>
        <v>0000001111000111</v>
      </c>
      <c r="R27">
        <f t="shared" ca="1" si="7"/>
        <v>0.1813069667816162</v>
      </c>
      <c r="S27">
        <f t="shared" ca="1" si="8"/>
        <v>22.175683601379397</v>
      </c>
      <c r="T27" s="1">
        <f t="shared" ca="1" si="11"/>
        <v>1.441406216091568E-2</v>
      </c>
      <c r="V27" s="4">
        <f t="shared" ca="1" si="9"/>
        <v>0.32431599999999999</v>
      </c>
      <c r="X27" s="2"/>
    </row>
    <row r="28" spans="1:24" x14ac:dyDescent="0.25">
      <c r="A28" s="11" t="s">
        <v>44</v>
      </c>
      <c r="B28" s="11"/>
      <c r="C28" s="11"/>
      <c r="D28" s="11"/>
      <c r="E28" s="14"/>
      <c r="H28">
        <v>22.6</v>
      </c>
      <c r="I28">
        <v>0.18780061867398354</v>
      </c>
      <c r="J28" s="4">
        <f t="shared" si="0"/>
        <v>-2.1000000000000001E-4</v>
      </c>
      <c r="K28" s="9">
        <f t="shared" si="10"/>
        <v>1.2999999999999999E-5</v>
      </c>
      <c r="L28" s="4">
        <f t="shared" si="1"/>
        <v>-7.0699999999999995E-4</v>
      </c>
      <c r="M28" s="5">
        <f t="shared" si="2"/>
        <v>0.18793578907710601</v>
      </c>
      <c r="N28" s="2">
        <f t="shared" si="3"/>
        <v>7.1975483401959283E-4</v>
      </c>
      <c r="O28">
        <f t="shared" si="4"/>
        <v>1002.6555</v>
      </c>
      <c r="P28">
        <f t="shared" ca="1" si="12"/>
        <v>1001</v>
      </c>
      <c r="Q28" t="str">
        <f t="shared" ca="1" si="6"/>
        <v>0000001111101001</v>
      </c>
      <c r="R28">
        <f t="shared" ca="1" si="7"/>
        <v>0.18768177223205568</v>
      </c>
      <c r="S28">
        <f t="shared" ca="1" si="8"/>
        <v>22.252181266784671</v>
      </c>
      <c r="T28" s="1">
        <f t="shared" ca="1" si="11"/>
        <v>1.5390209434306655E-2</v>
      </c>
      <c r="V28" s="4">
        <f t="shared" ca="1" si="9"/>
        <v>0.34781899999999999</v>
      </c>
      <c r="X28" s="2"/>
    </row>
    <row r="29" spans="1:24" x14ac:dyDescent="0.25">
      <c r="A29" t="s">
        <v>45</v>
      </c>
      <c r="B29">
        <f>0.7*$C$10</f>
        <v>3.8499999999999996</v>
      </c>
      <c r="D29">
        <f>$D$10</f>
        <v>5.5</v>
      </c>
      <c r="H29">
        <v>22.7</v>
      </c>
      <c r="I29">
        <v>0.19513265060782023</v>
      </c>
      <c r="J29" s="4">
        <f t="shared" si="0"/>
        <v>-2.0900000000000001E-4</v>
      </c>
      <c r="K29" s="9">
        <f t="shared" si="10"/>
        <v>1.4E-5</v>
      </c>
      <c r="L29" s="4">
        <f t="shared" si="1"/>
        <v>-6.7599999999999995E-4</v>
      </c>
      <c r="M29" s="5">
        <f t="shared" si="2"/>
        <v>0.19526768885815213</v>
      </c>
      <c r="N29" s="2">
        <f t="shared" si="3"/>
        <v>6.9203308575610685E-4</v>
      </c>
      <c r="O29">
        <f t="shared" si="4"/>
        <v>1041.7719</v>
      </c>
      <c r="P29">
        <f t="shared" ca="1" si="12"/>
        <v>1040</v>
      </c>
      <c r="Q29" t="str">
        <f t="shared" ca="1" si="6"/>
        <v>0000010000010000</v>
      </c>
      <c r="R29">
        <f t="shared" ca="1" si="7"/>
        <v>0.19499404907226564</v>
      </c>
      <c r="S29">
        <f t="shared" ca="1" si="8"/>
        <v>22.339928588867192</v>
      </c>
      <c r="T29" s="1">
        <f t="shared" ca="1" si="11"/>
        <v>1.5862176701885788E-2</v>
      </c>
      <c r="V29" s="4">
        <f t="shared" ca="1" si="9"/>
        <v>0.36007099999999997</v>
      </c>
      <c r="X29" s="2"/>
    </row>
    <row r="30" spans="1:24" x14ac:dyDescent="0.25">
      <c r="A30" t="s">
        <v>46</v>
      </c>
      <c r="B30">
        <f>$C$11-0.5</f>
        <v>-0.5</v>
      </c>
      <c r="D30">
        <f>0.3*$C$10</f>
        <v>1.65</v>
      </c>
      <c r="H30">
        <v>22.8</v>
      </c>
      <c r="I30">
        <v>0.20249112198613889</v>
      </c>
      <c r="J30" s="4">
        <f t="shared" si="0"/>
        <v>-2.0900000000000001E-4</v>
      </c>
      <c r="K30" s="9">
        <f t="shared" si="10"/>
        <v>1.4E-5</v>
      </c>
      <c r="L30" s="4">
        <f t="shared" si="1"/>
        <v>-6.4599999999999998E-4</v>
      </c>
      <c r="M30" s="5">
        <f t="shared" si="2"/>
        <v>0.20262726224273009</v>
      </c>
      <c r="N30" s="2">
        <f t="shared" si="3"/>
        <v>6.723270396048215E-4</v>
      </c>
      <c r="O30">
        <f t="shared" si="4"/>
        <v>1081.0359000000001</v>
      </c>
      <c r="P30">
        <f t="shared" ca="1" si="12"/>
        <v>1080</v>
      </c>
      <c r="Q30" t="str">
        <f t="shared" ca="1" si="6"/>
        <v>0000010000111000</v>
      </c>
      <c r="R30">
        <f t="shared" ca="1" si="7"/>
        <v>0.20249382019042969</v>
      </c>
      <c r="S30">
        <f t="shared" ca="1" si="8"/>
        <v>22.429925842285158</v>
      </c>
      <c r="T30" s="1">
        <f t="shared" ca="1" si="11"/>
        <v>1.6231322706791347E-2</v>
      </c>
      <c r="V30" s="4">
        <f t="shared" ca="1" si="9"/>
        <v>0.37007400000000001</v>
      </c>
      <c r="X30" s="2"/>
    </row>
    <row r="31" spans="1:24" x14ac:dyDescent="0.25">
      <c r="H31">
        <v>22.9</v>
      </c>
      <c r="I31">
        <v>0.20892508411344421</v>
      </c>
      <c r="J31" s="4">
        <f t="shared" si="0"/>
        <v>-2.0799999999999999E-4</v>
      </c>
      <c r="K31" s="9">
        <f t="shared" si="10"/>
        <v>1.5E-5</v>
      </c>
      <c r="L31" s="4">
        <f t="shared" si="1"/>
        <v>-6.1499999999999999E-4</v>
      </c>
      <c r="M31" s="5">
        <f t="shared" si="2"/>
        <v>0.20906254631745899</v>
      </c>
      <c r="N31" s="2">
        <f t="shared" si="3"/>
        <v>6.5794973637603785E-4</v>
      </c>
      <c r="O31">
        <f t="shared" si="4"/>
        <v>1115.3688</v>
      </c>
      <c r="P31">
        <f t="shared" ca="1" si="12"/>
        <v>1116</v>
      </c>
      <c r="Q31" t="str">
        <f t="shared" ca="1" si="6"/>
        <v>0000010001011100</v>
      </c>
      <c r="R31">
        <f t="shared" ca="1" si="7"/>
        <v>0.20924361419677734</v>
      </c>
      <c r="S31">
        <f t="shared" ca="1" si="8"/>
        <v>22.510923370361329</v>
      </c>
      <c r="T31" s="1">
        <f t="shared" ca="1" si="11"/>
        <v>1.6990245835749755E-2</v>
      </c>
      <c r="V31" s="4">
        <f t="shared" ca="1" si="9"/>
        <v>0.38907700000000001</v>
      </c>
      <c r="X31" s="2"/>
    </row>
    <row r="32" spans="1:24" x14ac:dyDescent="0.25">
      <c r="A32" s="22" t="s">
        <v>53</v>
      </c>
      <c r="B32" s="22"/>
      <c r="C32" s="22"/>
      <c r="D32" s="22"/>
      <c r="E32" s="22"/>
      <c r="H32">
        <v>23</v>
      </c>
      <c r="I32">
        <v>0.2163372233129775</v>
      </c>
      <c r="J32" s="4">
        <f t="shared" si="0"/>
        <v>-2.0799999999999999E-4</v>
      </c>
      <c r="K32" s="9">
        <f t="shared" si="10"/>
        <v>1.5E-5</v>
      </c>
      <c r="L32" s="4">
        <f t="shared" si="1"/>
        <v>-5.8500000000000002E-4</v>
      </c>
      <c r="M32" s="5">
        <f t="shared" si="2"/>
        <v>0.21647661842120111</v>
      </c>
      <c r="N32" s="2">
        <f t="shared" si="3"/>
        <v>6.4434176462525199E-4</v>
      </c>
      <c r="O32">
        <f t="shared" si="4"/>
        <v>1154.9236000000001</v>
      </c>
      <c r="P32">
        <f t="shared" ca="1" si="12"/>
        <v>1157</v>
      </c>
      <c r="Q32" t="str">
        <f t="shared" ca="1" si="6"/>
        <v>0000010010000101</v>
      </c>
      <c r="R32">
        <f t="shared" ca="1" si="7"/>
        <v>0.2169308795928955</v>
      </c>
      <c r="S32">
        <f t="shared" ca="1" si="8"/>
        <v>22.603170555114747</v>
      </c>
      <c r="T32" s="1">
        <f t="shared" ca="1" si="11"/>
        <v>1.7253454125445763E-2</v>
      </c>
      <c r="V32" s="4">
        <f t="shared" ca="1" si="9"/>
        <v>0.39682899999999999</v>
      </c>
      <c r="X32" s="2"/>
    </row>
    <row r="33" spans="1:24" x14ac:dyDescent="0.25">
      <c r="B33" t="s">
        <v>54</v>
      </c>
      <c r="C33" t="s">
        <v>55</v>
      </c>
      <c r="D33" t="s">
        <v>19</v>
      </c>
      <c r="H33">
        <v>23.1</v>
      </c>
      <c r="I33">
        <v>0.22282650945483459</v>
      </c>
      <c r="J33" s="4">
        <f t="shared" si="0"/>
        <v>-2.0699999999999999E-4</v>
      </c>
      <c r="K33" s="9">
        <f t="shared" si="10"/>
        <v>1.5999999999999999E-5</v>
      </c>
      <c r="L33" s="4">
        <f t="shared" si="1"/>
        <v>-5.5400000000000002E-4</v>
      </c>
      <c r="M33" s="5">
        <f t="shared" si="2"/>
        <v>0.22296801730524751</v>
      </c>
      <c r="N33" s="2">
        <f t="shared" si="3"/>
        <v>6.3505841723739056E-4</v>
      </c>
      <c r="O33">
        <f t="shared" si="4"/>
        <v>1189.5558000000001</v>
      </c>
      <c r="P33">
        <f t="shared" ca="1" si="12"/>
        <v>1191</v>
      </c>
      <c r="Q33" t="str">
        <f t="shared" ca="1" si="6"/>
        <v>0000010010100111</v>
      </c>
      <c r="R33">
        <f t="shared" ca="1" si="7"/>
        <v>0.22330568504333498</v>
      </c>
      <c r="S33">
        <f t="shared" ca="1" si="8"/>
        <v>22.679668220520021</v>
      </c>
      <c r="T33" s="1">
        <f t="shared" ca="1" si="11"/>
        <v>1.8196180929869268E-2</v>
      </c>
      <c r="V33" s="4">
        <f t="shared" ca="1" si="9"/>
        <v>0.42033199999999998</v>
      </c>
      <c r="X33" s="2"/>
    </row>
    <row r="34" spans="1:24" x14ac:dyDescent="0.25">
      <c r="A34" t="s">
        <v>11</v>
      </c>
      <c r="B34">
        <v>0</v>
      </c>
      <c r="C34">
        <v>0</v>
      </c>
      <c r="D34">
        <f>B34-C34</f>
        <v>0</v>
      </c>
      <c r="H34">
        <v>23.2</v>
      </c>
      <c r="I34">
        <v>0.23029224443177557</v>
      </c>
      <c r="J34" s="4">
        <f t="shared" si="0"/>
        <v>-2.0699999999999999E-4</v>
      </c>
      <c r="K34" s="9">
        <f t="shared" si="10"/>
        <v>1.5999999999999999E-5</v>
      </c>
      <c r="L34" s="4">
        <f t="shared" si="1"/>
        <v>-5.2400000000000005E-4</v>
      </c>
      <c r="M34" s="5">
        <f t="shared" si="2"/>
        <v>0.23043652608410753</v>
      </c>
      <c r="N34" s="2">
        <f t="shared" si="3"/>
        <v>6.265154638097506E-4</v>
      </c>
      <c r="O34">
        <f t="shared" si="4"/>
        <v>1229.4010000000001</v>
      </c>
      <c r="P34">
        <f t="shared" ca="1" si="12"/>
        <v>1234</v>
      </c>
      <c r="Q34" t="str">
        <f t="shared" ca="1" si="6"/>
        <v>0000010011010010</v>
      </c>
      <c r="R34">
        <f t="shared" ca="1" si="7"/>
        <v>0.23136793899536134</v>
      </c>
      <c r="S34">
        <f t="shared" ca="1" si="8"/>
        <v>22.776415267944337</v>
      </c>
      <c r="T34" s="1">
        <f t="shared" ca="1" si="11"/>
        <v>1.8257962588606132E-2</v>
      </c>
      <c r="V34" s="4">
        <f t="shared" ca="1" si="9"/>
        <v>0.42358499999999999</v>
      </c>
      <c r="X34" s="2"/>
    </row>
    <row r="35" spans="1:24" x14ac:dyDescent="0.25">
      <c r="A35" t="s">
        <v>12</v>
      </c>
      <c r="B35">
        <v>5</v>
      </c>
      <c r="C35">
        <v>5</v>
      </c>
      <c r="D35">
        <f t="shared" ref="D35:D41" si="13">B35-C35</f>
        <v>0</v>
      </c>
      <c r="H35">
        <v>23.3</v>
      </c>
      <c r="I35">
        <v>0.23683678783996759</v>
      </c>
      <c r="J35" s="4">
        <f t="shared" si="0"/>
        <v>-2.0599999999999999E-4</v>
      </c>
      <c r="K35" s="9">
        <f t="shared" si="10"/>
        <v>1.7E-5</v>
      </c>
      <c r="L35" s="4">
        <f t="shared" si="1"/>
        <v>-4.9299999999999995E-4</v>
      </c>
      <c r="M35" s="5">
        <f t="shared" si="2"/>
        <v>0.2369839833301858</v>
      </c>
      <c r="N35" s="2">
        <f t="shared" si="3"/>
        <v>6.2150602345475612E-4</v>
      </c>
      <c r="O35">
        <f t="shared" si="4"/>
        <v>1264.3323</v>
      </c>
      <c r="P35">
        <f t="shared" ca="1" si="12"/>
        <v>1269</v>
      </c>
      <c r="Q35" t="str">
        <f t="shared" ca="1" si="6"/>
        <v>0000010011110101</v>
      </c>
      <c r="R35">
        <f t="shared" ca="1" si="7"/>
        <v>0.23793023872375488</v>
      </c>
      <c r="S35">
        <f t="shared" ca="1" si="8"/>
        <v>22.855162864685063</v>
      </c>
      <c r="T35" s="1">
        <f t="shared" ca="1" si="11"/>
        <v>1.9091722545705476E-2</v>
      </c>
      <c r="V35" s="4">
        <f t="shared" ca="1" si="9"/>
        <v>0.44483699999999998</v>
      </c>
      <c r="X35" s="2"/>
    </row>
    <row r="36" spans="1:24" x14ac:dyDescent="0.25">
      <c r="A36" t="s">
        <v>13</v>
      </c>
      <c r="B36">
        <v>0</v>
      </c>
      <c r="C36">
        <v>0</v>
      </c>
      <c r="D36">
        <f t="shared" si="13"/>
        <v>0</v>
      </c>
      <c r="H36">
        <v>23.4</v>
      </c>
      <c r="I36">
        <v>0.24435604308794578</v>
      </c>
      <c r="J36" s="4">
        <f t="shared" si="0"/>
        <v>-2.05E-4</v>
      </c>
      <c r="K36" s="9">
        <f t="shared" si="10"/>
        <v>1.7E-5</v>
      </c>
      <c r="L36" s="4">
        <f t="shared" si="1"/>
        <v>-4.6299999999999998E-4</v>
      </c>
      <c r="M36" s="5">
        <f t="shared" si="2"/>
        <v>0.24450586372704014</v>
      </c>
      <c r="N36" s="2">
        <f t="shared" si="3"/>
        <v>6.1312434593825053E-4</v>
      </c>
      <c r="O36">
        <f t="shared" si="4"/>
        <v>1304.4622999999999</v>
      </c>
      <c r="P36">
        <f t="shared" ca="1" si="12"/>
        <v>1303</v>
      </c>
      <c r="Q36" t="str">
        <f t="shared" ca="1" si="6"/>
        <v>0000010100010111</v>
      </c>
      <c r="R36">
        <f t="shared" ca="1" si="7"/>
        <v>0.24430504417419435</v>
      </c>
      <c r="S36">
        <f t="shared" ca="1" si="8"/>
        <v>22.931660530090333</v>
      </c>
      <c r="T36" s="1">
        <f t="shared" ca="1" si="11"/>
        <v>2.0014507261096805E-2</v>
      </c>
      <c r="V36" s="4">
        <f t="shared" ca="1" si="9"/>
        <v>0.46833900000000001</v>
      </c>
      <c r="X36" s="2"/>
    </row>
    <row r="37" spans="1:24" x14ac:dyDescent="0.25">
      <c r="A37" t="s">
        <v>14</v>
      </c>
      <c r="B37">
        <v>5</v>
      </c>
      <c r="C37">
        <v>5</v>
      </c>
      <c r="D37">
        <f t="shared" si="13"/>
        <v>0</v>
      </c>
      <c r="H37">
        <v>23.5</v>
      </c>
      <c r="I37">
        <v>0.25190160169437648</v>
      </c>
      <c r="J37" s="4">
        <f t="shared" si="0"/>
        <v>-2.05E-4</v>
      </c>
      <c r="K37" s="9">
        <f t="shared" si="10"/>
        <v>1.8E-5</v>
      </c>
      <c r="L37" s="4">
        <f t="shared" si="1"/>
        <v>-4.3199999999999998E-4</v>
      </c>
      <c r="M37" s="5">
        <f t="shared" si="2"/>
        <v>0.25205573867127051</v>
      </c>
      <c r="N37" s="2">
        <f t="shared" si="3"/>
        <v>6.1189359598056911E-4</v>
      </c>
      <c r="O37">
        <f t="shared" si="4"/>
        <v>1344.7416000000001</v>
      </c>
      <c r="P37">
        <f t="shared" ca="1" si="12"/>
        <v>1344</v>
      </c>
      <c r="Q37" t="str">
        <f t="shared" ca="1" si="6"/>
        <v>0000010101000000</v>
      </c>
      <c r="R37">
        <f t="shared" ca="1" si="7"/>
        <v>0.25199230957031249</v>
      </c>
      <c r="S37">
        <f t="shared" ca="1" si="8"/>
        <v>23.023907714843752</v>
      </c>
      <c r="T37" s="1">
        <f t="shared" ca="1" si="11"/>
        <v>2.0259246176861631E-2</v>
      </c>
      <c r="V37" s="4">
        <f t="shared" ca="1" si="9"/>
        <v>0.47609200000000002</v>
      </c>
      <c r="X37" s="2"/>
    </row>
    <row r="38" spans="1:24" x14ac:dyDescent="0.25">
      <c r="A38" t="s">
        <v>15</v>
      </c>
      <c r="B38">
        <v>0</v>
      </c>
      <c r="C38">
        <v>0</v>
      </c>
      <c r="D38">
        <f t="shared" si="13"/>
        <v>0</v>
      </c>
      <c r="H38">
        <v>23.6</v>
      </c>
      <c r="I38">
        <v>0.25852846858885725</v>
      </c>
      <c r="J38" s="4">
        <f t="shared" si="0"/>
        <v>-2.04E-4</v>
      </c>
      <c r="K38" s="9">
        <f t="shared" si="10"/>
        <v>1.8E-5</v>
      </c>
      <c r="L38" s="4">
        <f t="shared" si="1"/>
        <v>-4.0200000000000001E-4</v>
      </c>
      <c r="M38" s="5">
        <f t="shared" si="2"/>
        <v>0.25868649993188464</v>
      </c>
      <c r="N38" s="2">
        <f t="shared" si="3"/>
        <v>6.1127249888563511E-4</v>
      </c>
      <c r="O38">
        <f t="shared" si="4"/>
        <v>1380.1172999999999</v>
      </c>
      <c r="P38">
        <f t="shared" ca="1" si="12"/>
        <v>1380</v>
      </c>
      <c r="Q38" t="str">
        <f t="shared" ca="1" si="6"/>
        <v>0000010101100100</v>
      </c>
      <c r="R38">
        <f t="shared" ca="1" si="7"/>
        <v>0.25874210357666017</v>
      </c>
      <c r="S38">
        <f t="shared" ca="1" si="8"/>
        <v>23.104905242919923</v>
      </c>
      <c r="T38" s="1">
        <f t="shared" ca="1" si="11"/>
        <v>2.0978591401698242E-2</v>
      </c>
      <c r="V38" s="4">
        <f t="shared" ca="1" si="9"/>
        <v>0.49509500000000001</v>
      </c>
      <c r="X38" s="2"/>
    </row>
    <row r="39" spans="1:24" x14ac:dyDescent="0.25">
      <c r="A39" t="s">
        <v>16</v>
      </c>
      <c r="B39">
        <v>5</v>
      </c>
      <c r="C39">
        <v>5</v>
      </c>
      <c r="D39">
        <f t="shared" si="13"/>
        <v>0</v>
      </c>
      <c r="H39">
        <v>23.7</v>
      </c>
      <c r="I39">
        <v>0.26612742456119354</v>
      </c>
      <c r="J39" s="4">
        <f t="shared" si="0"/>
        <v>-2.04E-4</v>
      </c>
      <c r="K39" s="9">
        <f t="shared" si="10"/>
        <v>1.9000000000000001E-5</v>
      </c>
      <c r="L39" s="4">
        <f t="shared" si="1"/>
        <v>-3.7100000000000002E-4</v>
      </c>
      <c r="M39" s="5">
        <f t="shared" si="2"/>
        <v>0.26629065224720982</v>
      </c>
      <c r="N39" s="2">
        <f t="shared" si="3"/>
        <v>6.1334410117794779E-4</v>
      </c>
      <c r="O39">
        <f t="shared" si="4"/>
        <v>1420.6862000000001</v>
      </c>
      <c r="P39">
        <f t="shared" ca="1" si="12"/>
        <v>1420</v>
      </c>
      <c r="Q39" t="str">
        <f t="shared" ca="1" si="6"/>
        <v>0000010110001100</v>
      </c>
      <c r="R39">
        <f t="shared" ca="1" si="7"/>
        <v>0.26624187469482424</v>
      </c>
      <c r="S39">
        <f t="shared" ca="1" si="8"/>
        <v>23.194902496337892</v>
      </c>
      <c r="T39" s="1">
        <f t="shared" ca="1" si="11"/>
        <v>2.1312130956207039E-2</v>
      </c>
      <c r="V39" s="4">
        <f t="shared" ca="1" si="9"/>
        <v>0.50509800000000005</v>
      </c>
      <c r="X39" s="2"/>
    </row>
    <row r="40" spans="1:24" x14ac:dyDescent="0.25">
      <c r="A40" t="s">
        <v>17</v>
      </c>
      <c r="B40">
        <v>0</v>
      </c>
      <c r="C40">
        <v>0</v>
      </c>
      <c r="D40">
        <f t="shared" si="13"/>
        <v>0</v>
      </c>
      <c r="H40">
        <v>23.8</v>
      </c>
      <c r="I40">
        <v>0.27280936229843805</v>
      </c>
      <c r="J40" s="4">
        <f t="shared" si="0"/>
        <v>-2.03E-4</v>
      </c>
      <c r="K40" s="9">
        <f t="shared" si="10"/>
        <v>1.9000000000000001E-5</v>
      </c>
      <c r="L40" s="4">
        <f t="shared" si="1"/>
        <v>-3.4099999999999999E-4</v>
      </c>
      <c r="M40" s="5">
        <f t="shared" si="2"/>
        <v>0.27297729681822308</v>
      </c>
      <c r="N40" s="2">
        <f t="shared" si="3"/>
        <v>6.155746209373788E-4</v>
      </c>
      <c r="O40">
        <f t="shared" si="4"/>
        <v>1456.3601000000001</v>
      </c>
      <c r="P40">
        <f t="shared" ca="1" si="12"/>
        <v>1455</v>
      </c>
      <c r="Q40" t="str">
        <f t="shared" ca="1" si="6"/>
        <v>0000010110101111</v>
      </c>
      <c r="R40">
        <f t="shared" ca="1" si="7"/>
        <v>0.2728041744232178</v>
      </c>
      <c r="S40">
        <f t="shared" ca="1" si="8"/>
        <v>23.273650093078615</v>
      </c>
      <c r="T40" s="1">
        <f t="shared" ca="1" si="11"/>
        <v>2.211554230762125E-2</v>
      </c>
      <c r="V40" s="4">
        <f t="shared" ca="1" si="9"/>
        <v>0.52634999999999998</v>
      </c>
      <c r="X40" s="2"/>
    </row>
    <row r="41" spans="1:24" x14ac:dyDescent="0.25">
      <c r="A41" t="s">
        <v>18</v>
      </c>
      <c r="B41">
        <v>5</v>
      </c>
      <c r="C41">
        <v>5</v>
      </c>
      <c r="D41">
        <f t="shared" si="13"/>
        <v>0</v>
      </c>
      <c r="H41">
        <v>23.9</v>
      </c>
      <c r="I41">
        <v>0.28046162997551971</v>
      </c>
      <c r="J41" s="4">
        <f t="shared" si="0"/>
        <v>-2.03E-4</v>
      </c>
      <c r="K41" s="9">
        <f t="shared" si="10"/>
        <v>2.0000000000000002E-5</v>
      </c>
      <c r="L41" s="4">
        <f t="shared" si="1"/>
        <v>-3.1E-4</v>
      </c>
      <c r="M41" s="5">
        <f t="shared" si="2"/>
        <v>0.28063565090373954</v>
      </c>
      <c r="N41" s="2">
        <f t="shared" si="3"/>
        <v>6.2048034248043417E-4</v>
      </c>
      <c r="O41">
        <f t="shared" si="4"/>
        <v>1497.2182</v>
      </c>
      <c r="P41">
        <f t="shared" ca="1" si="12"/>
        <v>1498</v>
      </c>
      <c r="Q41" t="str">
        <f t="shared" ca="1" si="6"/>
        <v>0000010111011010</v>
      </c>
      <c r="R41">
        <f t="shared" ca="1" si="7"/>
        <v>0.28086642837524417</v>
      </c>
      <c r="S41">
        <f t="shared" ca="1" si="8"/>
        <v>23.370397140502934</v>
      </c>
      <c r="T41" s="1">
        <f t="shared" ca="1" si="11"/>
        <v>2.2159115460128217E-2</v>
      </c>
      <c r="V41" s="4">
        <f t="shared" ca="1" si="9"/>
        <v>0.52960300000000005</v>
      </c>
      <c r="X41" s="2"/>
    </row>
    <row r="42" spans="1:24" x14ac:dyDescent="0.25">
      <c r="H42">
        <v>24</v>
      </c>
      <c r="I42">
        <v>0.28719855798630539</v>
      </c>
      <c r="J42" s="4">
        <f t="shared" si="0"/>
        <v>-2.02E-4</v>
      </c>
      <c r="K42" s="9">
        <f t="shared" si="10"/>
        <v>2.0000000000000002E-5</v>
      </c>
      <c r="L42" s="4">
        <f t="shared" si="1"/>
        <v>-2.7999999999999998E-4</v>
      </c>
      <c r="M42" s="5">
        <f t="shared" si="2"/>
        <v>0.28737810835596567</v>
      </c>
      <c r="N42" s="2">
        <f t="shared" si="3"/>
        <v>6.2517852080871776E-4</v>
      </c>
      <c r="O42">
        <f t="shared" si="4"/>
        <v>1533.1898000000001</v>
      </c>
      <c r="P42">
        <f t="shared" ca="1" si="12"/>
        <v>1538</v>
      </c>
      <c r="Q42" t="str">
        <f t="shared" ca="1" si="6"/>
        <v>0000011000000010</v>
      </c>
      <c r="R42">
        <f t="shared" ca="1" si="7"/>
        <v>0.28836619949340819</v>
      </c>
      <c r="S42">
        <f t="shared" ca="1" si="8"/>
        <v>23.4603943939209</v>
      </c>
      <c r="T42" s="1">
        <f t="shared" ca="1" si="11"/>
        <v>2.2483566919962488E-2</v>
      </c>
      <c r="V42" s="4">
        <f t="shared" ca="1" si="9"/>
        <v>0.53960600000000003</v>
      </c>
      <c r="X42" s="2"/>
    </row>
    <row r="43" spans="1:24" x14ac:dyDescent="0.25">
      <c r="A43" s="22" t="s">
        <v>59</v>
      </c>
      <c r="B43" s="22"/>
      <c r="C43" s="22"/>
      <c r="D43" s="22"/>
      <c r="E43" s="22"/>
      <c r="H43">
        <v>24.1</v>
      </c>
      <c r="I43">
        <v>0.29396338299060693</v>
      </c>
      <c r="J43" s="4">
        <f t="shared" si="0"/>
        <v>-2.0100000000000001E-4</v>
      </c>
      <c r="K43" s="9">
        <f t="shared" si="10"/>
        <v>2.0999999999999999E-5</v>
      </c>
      <c r="L43" s="4">
        <f t="shared" si="1"/>
        <v>-2.4899999999999998E-4</v>
      </c>
      <c r="M43" s="5">
        <f t="shared" si="2"/>
        <v>0.29414915429318794</v>
      </c>
      <c r="N43" s="2">
        <f t="shared" si="3"/>
        <v>6.3195388721918818E-4</v>
      </c>
      <c r="O43">
        <f t="shared" si="4"/>
        <v>1569.3140000000001</v>
      </c>
      <c r="P43">
        <f t="shared" ca="1" si="12"/>
        <v>1572</v>
      </c>
      <c r="Q43" t="str">
        <f t="shared" ca="1" si="6"/>
        <v>0000011000100100</v>
      </c>
      <c r="R43">
        <f t="shared" ca="1" si="7"/>
        <v>0.29474100494384764</v>
      </c>
      <c r="S43">
        <f t="shared" ca="1" si="8"/>
        <v>23.536892059326174</v>
      </c>
      <c r="T43" s="1">
        <f t="shared" ca="1" si="11"/>
        <v>2.3365474716756318E-2</v>
      </c>
      <c r="V43" s="4">
        <f t="shared" ca="1" si="9"/>
        <v>0.56310800000000005</v>
      </c>
      <c r="X43" s="2"/>
    </row>
    <row r="44" spans="1:24" x14ac:dyDescent="0.25">
      <c r="A44" t="s">
        <v>60</v>
      </c>
      <c r="B44" t="s">
        <v>61</v>
      </c>
      <c r="C44">
        <f>$D$16*(2^($C$12-1) - 1)/(2^($C$12-1))</f>
        <v>6.141969909027293</v>
      </c>
      <c r="D44" t="s">
        <v>22</v>
      </c>
      <c r="H44">
        <v>24.2</v>
      </c>
      <c r="I44">
        <v>0.30075608447513652</v>
      </c>
      <c r="J44" s="4">
        <f t="shared" si="0"/>
        <v>-2.0100000000000001E-4</v>
      </c>
      <c r="K44" s="9">
        <f t="shared" si="10"/>
        <v>2.0999999999999999E-5</v>
      </c>
      <c r="L44" s="4">
        <f t="shared" si="1"/>
        <v>-2.1900000000000001E-4</v>
      </c>
      <c r="M44" s="5">
        <f t="shared" si="2"/>
        <v>0.30094918930467879</v>
      </c>
      <c r="N44" s="2">
        <f t="shared" si="3"/>
        <v>6.4206458160028239E-4</v>
      </c>
      <c r="O44">
        <f t="shared" si="4"/>
        <v>1605.5929000000001</v>
      </c>
      <c r="P44">
        <f t="shared" ca="1" si="12"/>
        <v>1610</v>
      </c>
      <c r="Q44" t="str">
        <f t="shared" ca="1" si="6"/>
        <v>0000011001001010</v>
      </c>
      <c r="R44">
        <f t="shared" ca="1" si="7"/>
        <v>0.30186578750610354</v>
      </c>
      <c r="S44">
        <f t="shared" ca="1" si="8"/>
        <v>23.622389450073243</v>
      </c>
      <c r="T44" s="1">
        <f t="shared" ca="1" si="11"/>
        <v>2.3868204542427957E-2</v>
      </c>
      <c r="V44" s="4">
        <f t="shared" ca="1" si="9"/>
        <v>0.57761099999999999</v>
      </c>
      <c r="X44" s="2"/>
    </row>
    <row r="45" spans="1:24" x14ac:dyDescent="0.25">
      <c r="A45" t="s">
        <v>5</v>
      </c>
      <c r="B45">
        <v>-3</v>
      </c>
      <c r="D45">
        <v>3</v>
      </c>
      <c r="E45" s="12" t="s">
        <v>6</v>
      </c>
      <c r="H45">
        <v>24.3</v>
      </c>
      <c r="I45">
        <v>0.3075766423630712</v>
      </c>
      <c r="J45" s="4">
        <f t="shared" si="0"/>
        <v>-2.0000000000000001E-4</v>
      </c>
      <c r="K45" s="9">
        <f t="shared" si="10"/>
        <v>2.1999999999999999E-5</v>
      </c>
      <c r="L45" s="4">
        <f t="shared" si="1"/>
        <v>-1.8799999999999999E-4</v>
      </c>
      <c r="M45" s="5">
        <f t="shared" si="2"/>
        <v>0.30777679123031987</v>
      </c>
      <c r="N45" s="2">
        <f t="shared" si="3"/>
        <v>6.5072843539403793E-4</v>
      </c>
      <c r="O45">
        <f t="shared" si="4"/>
        <v>1642.0188000000001</v>
      </c>
      <c r="P45">
        <f t="shared" ca="1" si="12"/>
        <v>1642</v>
      </c>
      <c r="Q45" t="str">
        <f t="shared" ca="1" si="6"/>
        <v>0000011001101010</v>
      </c>
      <c r="R45">
        <f t="shared" ca="1" si="7"/>
        <v>0.30786560440063476</v>
      </c>
      <c r="S45">
        <f t="shared" ca="1" si="8"/>
        <v>23.694387252807619</v>
      </c>
      <c r="T45" s="1">
        <f t="shared" ca="1" si="11"/>
        <v>2.4922335275406649E-2</v>
      </c>
      <c r="V45" s="4">
        <f t="shared" ca="1" si="9"/>
        <v>0.60561299999999996</v>
      </c>
      <c r="X45" s="2"/>
    </row>
    <row r="46" spans="1:24" x14ac:dyDescent="0.25">
      <c r="A46" t="s">
        <v>62</v>
      </c>
      <c r="C46">
        <v>5.0000000000000001E-3</v>
      </c>
      <c r="E46" s="12" t="s">
        <v>63</v>
      </c>
      <c r="H46">
        <v>24.4</v>
      </c>
      <c r="I46">
        <v>0.31536309117376748</v>
      </c>
      <c r="J46" s="4">
        <f t="shared" si="0"/>
        <v>-2.0000000000000001E-4</v>
      </c>
      <c r="K46" s="9">
        <f t="shared" si="10"/>
        <v>2.1999999999999999E-5</v>
      </c>
      <c r="L46" s="4">
        <f t="shared" si="1"/>
        <v>-1.5799999999999999E-4</v>
      </c>
      <c r="M46" s="5">
        <f t="shared" si="2"/>
        <v>0.31557124008183451</v>
      </c>
      <c r="N46" s="2">
        <f t="shared" si="3"/>
        <v>6.6002938800576989E-4</v>
      </c>
      <c r="O46">
        <f t="shared" si="4"/>
        <v>1683.6029000000001</v>
      </c>
      <c r="P46">
        <f t="shared" ca="1" si="12"/>
        <v>1684</v>
      </c>
      <c r="Q46" t="str">
        <f t="shared" ca="1" si="6"/>
        <v>0000011010010100</v>
      </c>
      <c r="R46">
        <f t="shared" ca="1" si="7"/>
        <v>0.31574036407470701</v>
      </c>
      <c r="S46">
        <f t="shared" ca="1" si="8"/>
        <v>23.788884368896486</v>
      </c>
      <c r="T46" s="1">
        <f t="shared" ca="1" si="11"/>
        <v>2.5045722586209528E-2</v>
      </c>
      <c r="V46" s="4">
        <f t="shared" ca="1" si="9"/>
        <v>0.61111599999999999</v>
      </c>
      <c r="X46" s="2"/>
    </row>
    <row r="47" spans="1:24" x14ac:dyDescent="0.25">
      <c r="B47" t="s">
        <v>64</v>
      </c>
      <c r="C47">
        <f>($D$19-$B$19)*C46</f>
        <v>0.3</v>
      </c>
      <c r="E47" s="12" t="s">
        <v>6</v>
      </c>
      <c r="H47">
        <v>24.5</v>
      </c>
      <c r="I47">
        <v>0.32223842483318871</v>
      </c>
      <c r="J47" s="4">
        <f t="shared" si="0"/>
        <v>-1.9900000000000001E-4</v>
      </c>
      <c r="K47" s="9">
        <f t="shared" si="10"/>
        <v>2.3E-5</v>
      </c>
      <c r="L47" s="4">
        <f t="shared" si="1"/>
        <v>-1.27E-4</v>
      </c>
      <c r="M47" s="5">
        <f t="shared" si="2"/>
        <v>0.32245448048016773</v>
      </c>
      <c r="N47" s="2">
        <f t="shared" si="3"/>
        <v>6.7048381052279215E-4</v>
      </c>
      <c r="O47">
        <f t="shared" si="4"/>
        <v>1720.3257000000001</v>
      </c>
      <c r="P47">
        <f t="shared" ca="1" si="12"/>
        <v>1725</v>
      </c>
      <c r="Q47" t="str">
        <f t="shared" ca="1" si="6"/>
        <v>0000011010111101</v>
      </c>
      <c r="R47">
        <f t="shared" ca="1" si="7"/>
        <v>0.32342762947082521</v>
      </c>
      <c r="S47">
        <f t="shared" ca="1" si="8"/>
        <v>23.881131553649904</v>
      </c>
      <c r="T47" s="1">
        <f t="shared" ca="1" si="11"/>
        <v>2.5259936585718186E-2</v>
      </c>
      <c r="V47" s="4">
        <f t="shared" ca="1" si="9"/>
        <v>0.61886799999999997</v>
      </c>
      <c r="X47" s="2"/>
    </row>
    <row r="48" spans="1:24" x14ac:dyDescent="0.25">
      <c r="A48" t="s">
        <v>65</v>
      </c>
      <c r="C48">
        <v>1</v>
      </c>
      <c r="E48" s="12" t="s">
        <v>7</v>
      </c>
      <c r="H48">
        <v>24.6</v>
      </c>
      <c r="I48">
        <v>0.32914154829328945</v>
      </c>
      <c r="J48" s="4">
        <f t="shared" si="0"/>
        <v>-1.9900000000000001E-4</v>
      </c>
      <c r="K48" s="9">
        <f t="shared" si="10"/>
        <v>2.3E-5</v>
      </c>
      <c r="L48" s="4">
        <f t="shared" si="1"/>
        <v>-9.7E-5</v>
      </c>
      <c r="M48" s="5">
        <f t="shared" si="2"/>
        <v>0.32936660535856965</v>
      </c>
      <c r="N48" s="2">
        <f t="shared" si="3"/>
        <v>6.8376984445505545E-4</v>
      </c>
      <c r="O48">
        <f t="shared" si="4"/>
        <v>1757.2025000000001</v>
      </c>
      <c r="P48">
        <f t="shared" ca="1" si="12"/>
        <v>1761</v>
      </c>
      <c r="Q48" t="str">
        <f t="shared" ca="1" si="6"/>
        <v>0000011011100001</v>
      </c>
      <c r="R48">
        <f t="shared" ca="1" si="7"/>
        <v>0.33017742347717288</v>
      </c>
      <c r="S48">
        <f t="shared" ca="1" si="8"/>
        <v>23.962129081726076</v>
      </c>
      <c r="T48" s="1">
        <f t="shared" ca="1" si="11"/>
        <v>2.5929712124956327E-2</v>
      </c>
      <c r="V48" s="4">
        <f t="shared" ca="1" si="9"/>
        <v>0.63787099999999997</v>
      </c>
      <c r="X48" s="2"/>
    </row>
    <row r="49" spans="1:24" x14ac:dyDescent="0.25">
      <c r="B49" t="s">
        <v>66</v>
      </c>
      <c r="C49">
        <f>($D$10-$B$10)*C48</f>
        <v>0.29999999999999982</v>
      </c>
      <c r="E49" s="12" t="s">
        <v>6</v>
      </c>
      <c r="H49">
        <v>24.7</v>
      </c>
      <c r="I49">
        <v>0.33700787307874169</v>
      </c>
      <c r="J49" s="4">
        <f t="shared" si="0"/>
        <v>-1.9799999999999999E-4</v>
      </c>
      <c r="K49" s="9">
        <f t="shared" si="10"/>
        <v>2.4000000000000001E-5</v>
      </c>
      <c r="L49" s="4">
        <f t="shared" si="1"/>
        <v>-6.6000000000000005E-5</v>
      </c>
      <c r="M49" s="5">
        <f t="shared" si="2"/>
        <v>0.33724161895989035</v>
      </c>
      <c r="N49" s="2">
        <f t="shared" si="3"/>
        <v>6.9359175206582446E-4</v>
      </c>
      <c r="O49">
        <f t="shared" si="4"/>
        <v>1799.2165</v>
      </c>
      <c r="P49">
        <f t="shared" ca="1" si="12"/>
        <v>1801</v>
      </c>
      <c r="Q49" t="str">
        <f t="shared" ca="1" si="6"/>
        <v>0000011100001001</v>
      </c>
      <c r="R49">
        <f t="shared" ca="1" si="7"/>
        <v>0.3376771945953369</v>
      </c>
      <c r="S49">
        <f t="shared" ca="1" si="8"/>
        <v>24.052126335144042</v>
      </c>
      <c r="T49" s="1">
        <f t="shared" ca="1" si="11"/>
        <v>2.622970303060557E-2</v>
      </c>
      <c r="V49" s="4">
        <f t="shared" ca="1" si="9"/>
        <v>0.64787399999999995</v>
      </c>
      <c r="X49" s="2"/>
    </row>
    <row r="50" spans="1:24" x14ac:dyDescent="0.25">
      <c r="A50" t="s">
        <v>80</v>
      </c>
      <c r="C50">
        <v>1</v>
      </c>
      <c r="E50" s="12" t="s">
        <v>6</v>
      </c>
      <c r="H50">
        <v>24.8</v>
      </c>
      <c r="I50">
        <v>0.34396563034674654</v>
      </c>
      <c r="J50" s="4">
        <f t="shared" si="0"/>
        <v>-1.9699999999999999E-4</v>
      </c>
      <c r="K50" s="9">
        <f t="shared" si="10"/>
        <v>2.4000000000000001E-5</v>
      </c>
      <c r="L50" s="4">
        <f t="shared" si="1"/>
        <v>-3.6000000000000001E-5</v>
      </c>
      <c r="M50" s="5">
        <f t="shared" si="2"/>
        <v>0.34420824093807278</v>
      </c>
      <c r="N50" s="2">
        <f t="shared" si="3"/>
        <v>7.0533381803777927E-4</v>
      </c>
      <c r="O50">
        <f t="shared" si="4"/>
        <v>1836.3841</v>
      </c>
      <c r="P50">
        <f t="shared" ca="1" si="12"/>
        <v>1839</v>
      </c>
      <c r="Q50" t="str">
        <f t="shared" ca="1" si="6"/>
        <v>0000011100101111</v>
      </c>
      <c r="R50">
        <f t="shared" ca="1" si="7"/>
        <v>0.34480197715759275</v>
      </c>
      <c r="S50">
        <f t="shared" ca="1" si="8"/>
        <v>24.137623725891114</v>
      </c>
      <c r="T50" s="1">
        <f t="shared" ca="1" si="11"/>
        <v>2.6708720730197047E-2</v>
      </c>
      <c r="V50" s="4">
        <f t="shared" ca="1" si="9"/>
        <v>0.66237599999999996</v>
      </c>
      <c r="X50" s="2"/>
    </row>
    <row r="51" spans="1:24" x14ac:dyDescent="0.25">
      <c r="H51">
        <v>24.9</v>
      </c>
      <c r="I51">
        <v>0.35095110636090465</v>
      </c>
      <c r="J51" s="4">
        <f t="shared" si="0"/>
        <v>-1.9699999999999999E-4</v>
      </c>
      <c r="K51" s="9">
        <f t="shared" si="10"/>
        <v>2.5000000000000001E-5</v>
      </c>
      <c r="L51" s="4">
        <f t="shared" si="1"/>
        <v>-5.0000000000000004E-6</v>
      </c>
      <c r="M51" s="5">
        <f t="shared" si="2"/>
        <v>0.35120435062915151</v>
      </c>
      <c r="N51" s="2">
        <f t="shared" si="3"/>
        <v>7.2159415843649829E-4</v>
      </c>
      <c r="O51">
        <f t="shared" si="4"/>
        <v>1873.7090000000001</v>
      </c>
      <c r="P51">
        <f t="shared" ca="1" si="12"/>
        <v>1876</v>
      </c>
      <c r="Q51" t="str">
        <f t="shared" ca="1" si="6"/>
        <v>0000011101010100</v>
      </c>
      <c r="R51">
        <f t="shared" ca="1" si="7"/>
        <v>0.35173926544189454</v>
      </c>
      <c r="S51">
        <f t="shared" ca="1" si="8"/>
        <v>24.220871185302737</v>
      </c>
      <c r="T51" s="1">
        <f t="shared" ca="1" si="11"/>
        <v>2.7274249586235391E-2</v>
      </c>
      <c r="V51" s="4">
        <f t="shared" ca="1" si="9"/>
        <v>0.67912899999999998</v>
      </c>
      <c r="X51" s="2"/>
    </row>
    <row r="52" spans="1:24" x14ac:dyDescent="0.25">
      <c r="H52">
        <v>25</v>
      </c>
      <c r="I52">
        <v>0.35889707489905992</v>
      </c>
      <c r="J52" s="4">
        <f t="shared" si="0"/>
        <v>-1.9599999999999999E-4</v>
      </c>
      <c r="K52" s="9">
        <f t="shared" si="10"/>
        <v>2.5000000000000001E-5</v>
      </c>
      <c r="L52" s="4">
        <f t="shared" si="1"/>
        <v>2.5000000000000001E-5</v>
      </c>
      <c r="M52" s="5">
        <f t="shared" si="2"/>
        <v>0.35916005245037119</v>
      </c>
      <c r="N52" s="2">
        <f t="shared" si="3"/>
        <v>7.3273807368096999E-4</v>
      </c>
      <c r="O52">
        <f t="shared" si="4"/>
        <v>1916.1533999999999</v>
      </c>
      <c r="P52">
        <f t="shared" ca="1" si="12"/>
        <v>1916</v>
      </c>
      <c r="Q52" t="str">
        <f t="shared" ca="1" si="6"/>
        <v>0000011101111100</v>
      </c>
      <c r="R52">
        <f t="shared" ca="1" si="7"/>
        <v>0.35923903656005862</v>
      </c>
      <c r="S52">
        <f t="shared" ca="1" si="8"/>
        <v>24.310868438720707</v>
      </c>
      <c r="T52" s="1">
        <f t="shared" ca="1" si="11"/>
        <v>2.7565262451171718E-2</v>
      </c>
      <c r="V52" s="4">
        <f t="shared" ca="1" si="9"/>
        <v>0.68913199999999997</v>
      </c>
      <c r="X52" s="2"/>
    </row>
    <row r="53" spans="1:24" x14ac:dyDescent="0.25">
      <c r="H53">
        <v>25.1</v>
      </c>
      <c r="I53">
        <v>0.36593703327195687</v>
      </c>
      <c r="J53" s="4">
        <f t="shared" si="0"/>
        <v>-1.9599999999999999E-4</v>
      </c>
      <c r="K53" s="9">
        <f t="shared" si="10"/>
        <v>2.5999999999999998E-5</v>
      </c>
      <c r="L53" s="4">
        <f t="shared" si="1"/>
        <v>5.5999999999999999E-5</v>
      </c>
      <c r="M53" s="5">
        <f t="shared" si="2"/>
        <v>0.36621153787007754</v>
      </c>
      <c r="N53" s="2">
        <f t="shared" si="3"/>
        <v>7.5014161771559944E-4</v>
      </c>
      <c r="O53">
        <f t="shared" si="4"/>
        <v>1953.7737999999999</v>
      </c>
      <c r="P53">
        <f t="shared" ca="1" si="12"/>
        <v>1958</v>
      </c>
      <c r="Q53" t="str">
        <f t="shared" ca="1" si="6"/>
        <v>0000011110100110</v>
      </c>
      <c r="R53">
        <f t="shared" ca="1" si="7"/>
        <v>0.36711379623413087</v>
      </c>
      <c r="S53">
        <f t="shared" ca="1" si="8"/>
        <v>24.405365554809574</v>
      </c>
      <c r="T53" s="1">
        <f t="shared" ca="1" si="11"/>
        <v>2.7674679091252086E-2</v>
      </c>
      <c r="V53" s="4">
        <f t="shared" ca="1" si="9"/>
        <v>0.69463399999999997</v>
      </c>
      <c r="X53" s="2"/>
    </row>
    <row r="54" spans="1:24" x14ac:dyDescent="0.25">
      <c r="H54">
        <v>25.2</v>
      </c>
      <c r="I54">
        <v>0.37300463549568846</v>
      </c>
      <c r="J54" s="4">
        <f t="shared" si="0"/>
        <v>-1.95E-4</v>
      </c>
      <c r="K54" s="9">
        <f t="shared" si="10"/>
        <v>2.5999999999999998E-5</v>
      </c>
      <c r="L54" s="4">
        <f t="shared" si="1"/>
        <v>8.6000000000000003E-5</v>
      </c>
      <c r="M54" s="5">
        <f t="shared" si="2"/>
        <v>0.37328973342476302</v>
      </c>
      <c r="N54" s="2">
        <f t="shared" si="3"/>
        <v>7.643281126940495E-4</v>
      </c>
      <c r="O54">
        <f t="shared" si="4"/>
        <v>1991.5365999999999</v>
      </c>
      <c r="P54">
        <f t="shared" ca="1" si="12"/>
        <v>1995</v>
      </c>
      <c r="Q54" t="str">
        <f t="shared" ca="1" si="6"/>
        <v>0000011111001011</v>
      </c>
      <c r="R54">
        <f t="shared" ca="1" si="7"/>
        <v>0.37405108451843261</v>
      </c>
      <c r="S54">
        <f t="shared" ca="1" si="8"/>
        <v>24.488613014221194</v>
      </c>
      <c r="T54" s="1">
        <f t="shared" ca="1" si="11"/>
        <v>2.8229642292809737E-2</v>
      </c>
      <c r="V54" s="4">
        <f t="shared" ca="1" si="9"/>
        <v>0.71138699999999999</v>
      </c>
      <c r="X54" s="2"/>
    </row>
    <row r="55" spans="1:24" x14ac:dyDescent="0.25">
      <c r="H55">
        <v>25.3</v>
      </c>
      <c r="I55">
        <v>0.38103000066690296</v>
      </c>
      <c r="J55" s="4">
        <f t="shared" si="0"/>
        <v>-1.95E-4</v>
      </c>
      <c r="K55" s="9">
        <f t="shared" si="10"/>
        <v>2.6999999999999999E-5</v>
      </c>
      <c r="L55" s="4">
        <f t="shared" si="1"/>
        <v>1.17E-4</v>
      </c>
      <c r="M55" s="5">
        <f t="shared" si="2"/>
        <v>0.3813276092111807</v>
      </c>
      <c r="N55" s="2">
        <f t="shared" si="3"/>
        <v>7.8106328571725414E-4</v>
      </c>
      <c r="O55">
        <f t="shared" si="4"/>
        <v>2034.4195</v>
      </c>
      <c r="P55">
        <f t="shared" ca="1" si="12"/>
        <v>2035</v>
      </c>
      <c r="Q55" t="str">
        <f t="shared" ca="1" si="6"/>
        <v>0000011111110011</v>
      </c>
      <c r="R55">
        <f t="shared" ca="1" si="7"/>
        <v>0.38155085563659669</v>
      </c>
      <c r="S55">
        <f t="shared" ca="1" si="8"/>
        <v>24.578610267639164</v>
      </c>
      <c r="T55" s="1">
        <f t="shared" ca="1" si="11"/>
        <v>2.8513428156554829E-2</v>
      </c>
      <c r="V55" s="4">
        <f t="shared" ca="1" si="9"/>
        <v>0.72138999999999998</v>
      </c>
      <c r="X55" s="2"/>
    </row>
    <row r="56" spans="1:24" x14ac:dyDescent="0.25">
      <c r="H56">
        <v>25.4</v>
      </c>
      <c r="I56">
        <v>0.38815192414007077</v>
      </c>
      <c r="J56" s="4">
        <f t="shared" si="0"/>
        <v>-1.94E-4</v>
      </c>
      <c r="K56" s="9">
        <f t="shared" si="10"/>
        <v>2.6999999999999999E-5</v>
      </c>
      <c r="L56" s="4">
        <f t="shared" si="1"/>
        <v>1.47E-4</v>
      </c>
      <c r="M56" s="5">
        <f t="shared" si="2"/>
        <v>0.38846101938392025</v>
      </c>
      <c r="N56" s="2">
        <f t="shared" si="3"/>
        <v>7.9632541957446465E-4</v>
      </c>
      <c r="O56">
        <f t="shared" si="4"/>
        <v>2072.4769000000001</v>
      </c>
      <c r="P56">
        <f t="shared" ca="1" si="12"/>
        <v>2075</v>
      </c>
      <c r="Q56" t="str">
        <f t="shared" ca="1" si="6"/>
        <v>0000100000011011</v>
      </c>
      <c r="R56">
        <f t="shared" ca="1" si="7"/>
        <v>0.38905062675476076</v>
      </c>
      <c r="S56">
        <f t="shared" ca="1" si="8"/>
        <v>24.668607521057133</v>
      </c>
      <c r="T56" s="1">
        <f t="shared" ca="1" si="11"/>
        <v>2.8794979485939586E-2</v>
      </c>
      <c r="V56" s="4">
        <f t="shared" ca="1" si="9"/>
        <v>0.73139200000000004</v>
      </c>
      <c r="X56" s="2"/>
    </row>
    <row r="57" spans="1:24" x14ac:dyDescent="0.25">
      <c r="H57">
        <v>25.5</v>
      </c>
      <c r="I57">
        <v>0.39530141165136579</v>
      </c>
      <c r="J57" s="4">
        <f t="shared" si="0"/>
        <v>-1.93E-4</v>
      </c>
      <c r="K57" s="9">
        <f t="shared" si="10"/>
        <v>2.8E-5</v>
      </c>
      <c r="L57" s="4">
        <f t="shared" si="1"/>
        <v>1.7799999999999999E-4</v>
      </c>
      <c r="M57" s="5">
        <f t="shared" si="2"/>
        <v>0.39562282218971556</v>
      </c>
      <c r="N57" s="2">
        <f t="shared" si="3"/>
        <v>8.1307713273040907E-4</v>
      </c>
      <c r="O57">
        <f t="shared" si="4"/>
        <v>2110.6858000000002</v>
      </c>
      <c r="P57">
        <f t="shared" ca="1" si="12"/>
        <v>2109</v>
      </c>
      <c r="Q57" t="str">
        <f t="shared" ca="1" si="6"/>
        <v>0000100000111101</v>
      </c>
      <c r="R57">
        <f t="shared" ca="1" si="7"/>
        <v>0.39542543220520021</v>
      </c>
      <c r="S57">
        <f t="shared" ca="1" si="8"/>
        <v>24.745105186462403</v>
      </c>
      <c r="T57" s="1">
        <f t="shared" ca="1" si="11"/>
        <v>2.9603718177944965E-2</v>
      </c>
      <c r="V57" s="4">
        <f t="shared" ca="1" si="9"/>
        <v>0.75489499999999998</v>
      </c>
      <c r="X57" s="2"/>
    </row>
    <row r="58" spans="1:24" x14ac:dyDescent="0.25">
      <c r="H58">
        <v>25.6</v>
      </c>
      <c r="I58">
        <v>0.40247843538420425</v>
      </c>
      <c r="J58" s="4">
        <f t="shared" si="0"/>
        <v>-1.93E-4</v>
      </c>
      <c r="K58" s="9">
        <f t="shared" si="10"/>
        <v>2.8E-5</v>
      </c>
      <c r="L58" s="4">
        <f t="shared" si="1"/>
        <v>2.0799999999999999E-4</v>
      </c>
      <c r="M58" s="5">
        <f t="shared" si="2"/>
        <v>0.40281320846756552</v>
      </c>
      <c r="N58" s="2">
        <f t="shared" si="3"/>
        <v>8.3177893255746672E-4</v>
      </c>
      <c r="O58">
        <f t="shared" si="4"/>
        <v>2149.0472</v>
      </c>
      <c r="P58">
        <f t="shared" ca="1" si="12"/>
        <v>2152</v>
      </c>
      <c r="Q58" t="str">
        <f t="shared" ca="1" si="6"/>
        <v>0000100001101000</v>
      </c>
      <c r="R58">
        <f t="shared" ca="1" si="7"/>
        <v>0.40348768615722658</v>
      </c>
      <c r="S58">
        <f t="shared" ca="1" si="8"/>
        <v>24.841852233886719</v>
      </c>
      <c r="T58" s="1">
        <f t="shared" ca="1" si="11"/>
        <v>2.9615147113800089E-2</v>
      </c>
      <c r="V58" s="4">
        <f t="shared" ca="1" si="9"/>
        <v>0.75814800000000004</v>
      </c>
      <c r="X58" s="2"/>
    </row>
    <row r="59" spans="1:24" x14ac:dyDescent="0.25">
      <c r="H59">
        <v>25.7</v>
      </c>
      <c r="I59">
        <v>0.41060955286309969</v>
      </c>
      <c r="J59" s="4">
        <f t="shared" si="0"/>
        <v>-1.92E-4</v>
      </c>
      <c r="K59" s="9">
        <f t="shared" si="10"/>
        <v>2.9E-5</v>
      </c>
      <c r="L59" s="4">
        <f t="shared" si="1"/>
        <v>2.3900000000000001E-4</v>
      </c>
      <c r="M59" s="5">
        <f t="shared" si="2"/>
        <v>0.41095775790523908</v>
      </c>
      <c r="N59" s="2">
        <f t="shared" si="3"/>
        <v>8.4801982737963137E-4</v>
      </c>
      <c r="O59">
        <f t="shared" si="4"/>
        <v>2192.4992000000002</v>
      </c>
      <c r="P59">
        <f t="shared" ca="1" si="12"/>
        <v>2196</v>
      </c>
      <c r="Q59" t="str">
        <f t="shared" ca="1" si="6"/>
        <v>0000100010010100</v>
      </c>
      <c r="R59">
        <f t="shared" ca="1" si="7"/>
        <v>0.41173743438720706</v>
      </c>
      <c r="S59">
        <f t="shared" ca="1" si="8"/>
        <v>24.940849212646484</v>
      </c>
      <c r="T59" s="1">
        <f t="shared" ca="1" si="11"/>
        <v>2.9538941142160144E-2</v>
      </c>
      <c r="V59" s="4">
        <f t="shared" ca="1" si="9"/>
        <v>0.75915100000000002</v>
      </c>
      <c r="X59" s="2"/>
    </row>
    <row r="60" spans="1:24" x14ac:dyDescent="0.25">
      <c r="H60">
        <v>25.8</v>
      </c>
      <c r="I60">
        <v>0.41784067109353551</v>
      </c>
      <c r="J60" s="4">
        <f t="shared" si="0"/>
        <v>-1.92E-4</v>
      </c>
      <c r="K60" s="9">
        <f t="shared" si="10"/>
        <v>2.9E-5</v>
      </c>
      <c r="L60" s="4">
        <f t="shared" si="1"/>
        <v>2.6899999999999998E-4</v>
      </c>
      <c r="M60" s="5">
        <f t="shared" si="2"/>
        <v>0.41820315213946102</v>
      </c>
      <c r="N60" s="2">
        <f t="shared" si="3"/>
        <v>8.6751020425287464E-4</v>
      </c>
      <c r="O60">
        <f t="shared" si="4"/>
        <v>2231.154</v>
      </c>
      <c r="P60">
        <f t="shared" ca="1" si="12"/>
        <v>2234</v>
      </c>
      <c r="Q60" t="str">
        <f t="shared" ca="1" si="6"/>
        <v>0000100010111010</v>
      </c>
      <c r="R60">
        <f t="shared" ca="1" si="7"/>
        <v>0.41886221694946291</v>
      </c>
      <c r="S60">
        <f t="shared" ca="1" si="8"/>
        <v>25.026346603393556</v>
      </c>
      <c r="T60" s="1">
        <f t="shared" ca="1" si="11"/>
        <v>2.9986565759939725E-2</v>
      </c>
      <c r="V60" s="4">
        <f t="shared" ca="1" si="9"/>
        <v>0.77365300000000004</v>
      </c>
      <c r="X60" s="2"/>
    </row>
    <row r="61" spans="1:24" x14ac:dyDescent="0.25">
      <c r="H61">
        <v>25.9</v>
      </c>
      <c r="I61">
        <v>0.42509923950608502</v>
      </c>
      <c r="J61" s="4">
        <f t="shared" si="0"/>
        <v>-1.9100000000000001E-4</v>
      </c>
      <c r="K61" s="9">
        <f t="shared" si="10"/>
        <v>3.0000000000000001E-5</v>
      </c>
      <c r="L61" s="4">
        <f t="shared" si="1"/>
        <v>2.9999999999999997E-4</v>
      </c>
      <c r="M61" s="5">
        <f t="shared" si="2"/>
        <v>0.42547586486554467</v>
      </c>
      <c r="N61" s="2">
        <f t="shared" si="3"/>
        <v>8.8597043809638917E-4</v>
      </c>
      <c r="O61">
        <f t="shared" si="4"/>
        <v>2269.9546</v>
      </c>
      <c r="P61">
        <f t="shared" ca="1" si="12"/>
        <v>2272</v>
      </c>
      <c r="Q61" t="str">
        <f t="shared" ca="1" si="6"/>
        <v>0000100011100000</v>
      </c>
      <c r="R61">
        <f t="shared" ca="1" si="7"/>
        <v>0.42598699951171876</v>
      </c>
      <c r="S61">
        <f t="shared" ca="1" si="8"/>
        <v>25.111843994140628</v>
      </c>
      <c r="T61" s="1">
        <f t="shared" ca="1" si="11"/>
        <v>3.0430733816964119E-2</v>
      </c>
      <c r="V61" s="4">
        <f t="shared" ca="1" si="9"/>
        <v>0.78815599999999997</v>
      </c>
      <c r="X61" s="2"/>
    </row>
    <row r="62" spans="1:24" x14ac:dyDescent="0.25">
      <c r="H62">
        <v>26</v>
      </c>
      <c r="I62">
        <v>0.43238522906209365</v>
      </c>
      <c r="J62" s="4">
        <f t="shared" si="0"/>
        <v>-1.9100000000000001E-4</v>
      </c>
      <c r="K62" s="9">
        <f t="shared" si="10"/>
        <v>3.0000000000000001E-5</v>
      </c>
      <c r="L62" s="4">
        <f t="shared" si="1"/>
        <v>3.3E-4</v>
      </c>
      <c r="M62" s="5">
        <f t="shared" si="2"/>
        <v>0.43277702634078613</v>
      </c>
      <c r="N62" s="2">
        <f t="shared" si="3"/>
        <v>9.0613011814106193E-4</v>
      </c>
      <c r="O62">
        <f t="shared" si="4"/>
        <v>2308.9070000000002</v>
      </c>
      <c r="P62">
        <f t="shared" ca="1" si="12"/>
        <v>2312</v>
      </c>
      <c r="Q62" t="str">
        <f t="shared" ca="1" si="6"/>
        <v>0000100100001000</v>
      </c>
      <c r="R62">
        <f t="shared" ca="1" si="7"/>
        <v>0.43348677062988283</v>
      </c>
      <c r="S62">
        <f t="shared" ca="1" si="8"/>
        <v>25.201841247558598</v>
      </c>
      <c r="T62" s="1">
        <f t="shared" ca="1" si="11"/>
        <v>3.0698413555438557E-2</v>
      </c>
      <c r="V62" s="4">
        <f t="shared" ca="1" si="9"/>
        <v>0.79815899999999995</v>
      </c>
      <c r="X62" s="2"/>
    </row>
    <row r="63" spans="1:24" x14ac:dyDescent="0.25">
      <c r="H63">
        <v>26.1</v>
      </c>
      <c r="I63">
        <v>0.43969860987909182</v>
      </c>
      <c r="J63" s="4">
        <f t="shared" si="0"/>
        <v>-1.9000000000000001E-4</v>
      </c>
      <c r="K63" s="9">
        <f t="shared" si="10"/>
        <v>3.1000000000000001E-5</v>
      </c>
      <c r="L63" s="4">
        <f t="shared" si="1"/>
        <v>3.6099999999999999E-4</v>
      </c>
      <c r="M63" s="5">
        <f t="shared" si="2"/>
        <v>0.44010546701468412</v>
      </c>
      <c r="N63" s="2">
        <f t="shared" si="3"/>
        <v>9.2530912413886252E-4</v>
      </c>
      <c r="O63">
        <f t="shared" si="4"/>
        <v>2348.0050000000001</v>
      </c>
      <c r="P63">
        <f t="shared" ca="1" si="12"/>
        <v>2350</v>
      </c>
      <c r="Q63" t="str">
        <f t="shared" ca="1" si="6"/>
        <v>0000100100101110</v>
      </c>
      <c r="R63">
        <f t="shared" ca="1" si="7"/>
        <v>0.44061155319213868</v>
      </c>
      <c r="S63">
        <f t="shared" ca="1" si="8"/>
        <v>25.287338638305666</v>
      </c>
      <c r="T63" s="1">
        <f t="shared" ca="1" si="11"/>
        <v>3.1136450639629699E-2</v>
      </c>
      <c r="V63" s="4">
        <f t="shared" ca="1" si="9"/>
        <v>0.81266099999999997</v>
      </c>
      <c r="X63" s="2"/>
    </row>
    <row r="64" spans="1:24" x14ac:dyDescent="0.25">
      <c r="H64">
        <v>26.2</v>
      </c>
      <c r="I64">
        <v>0.44796144896305884</v>
      </c>
      <c r="J64" s="4">
        <f t="shared" si="0"/>
        <v>-1.8900000000000001E-4</v>
      </c>
      <c r="K64" s="9">
        <f t="shared" si="10"/>
        <v>3.1000000000000001E-5</v>
      </c>
      <c r="L64" s="4">
        <f t="shared" si="1"/>
        <v>3.9100000000000002E-4</v>
      </c>
      <c r="M64" s="5">
        <f t="shared" si="2"/>
        <v>0.4483837443290915</v>
      </c>
      <c r="N64" s="2">
        <f t="shared" si="3"/>
        <v>9.4270470597457637E-4</v>
      </c>
      <c r="O64">
        <f t="shared" si="4"/>
        <v>2392.1704</v>
      </c>
      <c r="P64">
        <f t="shared" ca="1" si="12"/>
        <v>2394</v>
      </c>
      <c r="Q64" t="str">
        <f t="shared" ca="1" si="6"/>
        <v>0000100101011010</v>
      </c>
      <c r="R64">
        <f t="shared" ca="1" si="7"/>
        <v>0.44886130142211916</v>
      </c>
      <c r="S64">
        <f t="shared" ca="1" si="8"/>
        <v>25.386335617065431</v>
      </c>
      <c r="T64" s="1">
        <f t="shared" ca="1" si="11"/>
        <v>3.1055892478418654E-2</v>
      </c>
      <c r="V64" s="4">
        <f t="shared" ca="1" si="9"/>
        <v>0.81366400000000005</v>
      </c>
      <c r="X64" s="2"/>
    </row>
    <row r="65" spans="8:24" x14ac:dyDescent="0.25">
      <c r="H65">
        <v>26.3</v>
      </c>
      <c r="I65">
        <v>0.45532861785860756</v>
      </c>
      <c r="J65" s="4">
        <f t="shared" si="0"/>
        <v>-1.8900000000000001E-4</v>
      </c>
      <c r="K65" s="9">
        <f t="shared" si="10"/>
        <v>3.1999999999999999E-5</v>
      </c>
      <c r="L65" s="4">
        <f t="shared" si="1"/>
        <v>4.2200000000000001E-4</v>
      </c>
      <c r="M65" s="5">
        <f t="shared" si="2"/>
        <v>0.45576792744799061</v>
      </c>
      <c r="N65" s="2">
        <f t="shared" si="3"/>
        <v>9.648187532097077E-4</v>
      </c>
      <c r="O65">
        <f t="shared" si="4"/>
        <v>2431.5657000000001</v>
      </c>
      <c r="P65">
        <f t="shared" ca="1" si="12"/>
        <v>2430</v>
      </c>
      <c r="Q65" t="str">
        <f t="shared" ca="1" si="6"/>
        <v>0000100101111110</v>
      </c>
      <c r="R65">
        <f t="shared" ca="1" si="7"/>
        <v>0.45561109542846678</v>
      </c>
      <c r="S65">
        <f t="shared" ca="1" si="8"/>
        <v>25.467333145141605</v>
      </c>
      <c r="T65" s="1">
        <f t="shared" ca="1" si="11"/>
        <v>3.1660336686630999E-2</v>
      </c>
      <c r="V65" s="4">
        <f t="shared" ca="1" si="9"/>
        <v>0.83266700000000005</v>
      </c>
      <c r="X65" s="2"/>
    </row>
    <row r="66" spans="8:24" x14ac:dyDescent="0.25">
      <c r="H66">
        <v>26.4</v>
      </c>
      <c r="I66">
        <v>0.46272308426503905</v>
      </c>
      <c r="J66" s="4">
        <f t="shared" si="0"/>
        <v>-1.8799999999999999E-4</v>
      </c>
      <c r="K66" s="9">
        <f t="shared" si="10"/>
        <v>3.1999999999999999E-5</v>
      </c>
      <c r="L66" s="4">
        <f t="shared" si="1"/>
        <v>4.5199999999999998E-4</v>
      </c>
      <c r="M66" s="5">
        <f t="shared" si="2"/>
        <v>0.46317841469248006</v>
      </c>
      <c r="N66" s="2">
        <f t="shared" si="3"/>
        <v>9.8402358327167086E-4</v>
      </c>
      <c r="O66">
        <f t="shared" si="4"/>
        <v>2471.1014</v>
      </c>
      <c r="P66">
        <f t="shared" ca="1" si="12"/>
        <v>2472</v>
      </c>
      <c r="Q66" t="str">
        <f t="shared" ca="1" si="6"/>
        <v>0000100110101000</v>
      </c>
      <c r="R66">
        <f t="shared" ca="1" si="7"/>
        <v>0.46348585510253909</v>
      </c>
      <c r="S66">
        <f t="shared" ca="1" si="8"/>
        <v>25.561830261230472</v>
      </c>
      <c r="T66" s="1">
        <f t="shared" ca="1" si="11"/>
        <v>3.1748853741269935E-2</v>
      </c>
      <c r="V66" s="4">
        <f t="shared" ca="1" si="9"/>
        <v>0.83816999999999997</v>
      </c>
      <c r="X66" s="2"/>
    </row>
    <row r="67" spans="8:24" x14ac:dyDescent="0.25">
      <c r="H67">
        <v>26.5</v>
      </c>
      <c r="I67">
        <v>0.47014481623402016</v>
      </c>
      <c r="J67" s="4">
        <f t="shared" ref="J67:J130" si="14">ROUND(H67*0.00000575 -0.00034,6)</f>
        <v>-1.8799999999999999E-4</v>
      </c>
      <c r="K67" s="9">
        <f t="shared" ref="K67:K130" si="15">ROUND(H67*0.000005-0.0001,6)</f>
        <v>3.3000000000000003E-5</v>
      </c>
      <c r="L67" s="4">
        <f t="shared" ref="L67:L130" si="16">ROUND(K67+($C$24*(H67-25)),6)</f>
        <v>4.8299999999999998E-4</v>
      </c>
      <c r="M67" s="5">
        <f t="shared" ref="M67:M130" si="17">(I67-J67)/(1-L67)+$C$26+$D$27</f>
        <v>0.47061809676075561</v>
      </c>
      <c r="N67" s="2">
        <f t="shared" ref="N67:N130" si="18">ABS(I67-M67)/I67</f>
        <v>1.0066696694149499E-3</v>
      </c>
      <c r="O67">
        <f t="shared" ref="O67:O130" si="19">ROUND((M67*(2^($C$12-1)))/$C$44,4)</f>
        <v>2510.7928000000002</v>
      </c>
      <c r="P67">
        <f t="shared" ca="1" si="12"/>
        <v>2511</v>
      </c>
      <c r="Q67" t="str">
        <f t="shared" ref="Q67:Q130" ca="1" si="20">_xlfn.BASE(P67,2,16)</f>
        <v>0000100111001111</v>
      </c>
      <c r="R67">
        <f t="shared" ref="R67:R130" ca="1" si="21">($C$16/2^($C$12-1)) * P67</f>
        <v>0.47079813194274905</v>
      </c>
      <c r="S67">
        <f t="shared" ref="S67:S130" ca="1" si="22">(R67+5/3)/(1/12)</f>
        <v>25.649577583312993</v>
      </c>
      <c r="T67" s="1">
        <f t="shared" ca="1" si="11"/>
        <v>3.2091411950453085E-2</v>
      </c>
      <c r="V67" s="4">
        <f t="shared" ref="V67:V130" ca="1" si="23">ROUND(ABS(H67-S67),6)</f>
        <v>0.85042200000000001</v>
      </c>
      <c r="X67" s="2"/>
    </row>
    <row r="68" spans="8:24" x14ac:dyDescent="0.25">
      <c r="H68">
        <v>26.6</v>
      </c>
      <c r="I68">
        <v>0.477593781497132</v>
      </c>
      <c r="J68" s="4">
        <f t="shared" si="14"/>
        <v>-1.8699999999999999E-4</v>
      </c>
      <c r="K68" s="9">
        <f t="shared" si="15"/>
        <v>3.3000000000000003E-5</v>
      </c>
      <c r="L68" s="4">
        <f t="shared" si="16"/>
        <v>5.13E-4</v>
      </c>
      <c r="M68" s="5">
        <f t="shared" si="17"/>
        <v>0.47808400883966673</v>
      </c>
      <c r="N68" s="2">
        <f t="shared" si="18"/>
        <v>1.0264525241471898E-3</v>
      </c>
      <c r="O68">
        <f t="shared" si="19"/>
        <v>2550.6242000000002</v>
      </c>
      <c r="P68">
        <f t="shared" ca="1" si="12"/>
        <v>2551</v>
      </c>
      <c r="Q68" t="str">
        <f t="shared" ca="1" si="20"/>
        <v>0000100111110111</v>
      </c>
      <c r="R68">
        <f t="shared" ca="1" si="21"/>
        <v>0.47829790306091308</v>
      </c>
      <c r="S68">
        <f t="shared" ca="1" si="22"/>
        <v>25.739574836730956</v>
      </c>
      <c r="T68" s="1">
        <f t="shared" ref="T68:T131" ca="1" si="24">ABS(H68-S68)/H68</f>
        <v>3.2346810649212236E-2</v>
      </c>
      <c r="V68" s="4">
        <f t="shared" ca="1" si="23"/>
        <v>0.860425</v>
      </c>
      <c r="X68" s="2"/>
    </row>
    <row r="69" spans="8:24" x14ac:dyDescent="0.25">
      <c r="H69">
        <v>26.7</v>
      </c>
      <c r="I69">
        <v>0.48506994729129216</v>
      </c>
      <c r="J69" s="4">
        <f t="shared" si="14"/>
        <v>-1.8599999999999999E-4</v>
      </c>
      <c r="K69" s="9">
        <f t="shared" si="15"/>
        <v>3.4E-5</v>
      </c>
      <c r="L69" s="4">
        <f t="shared" si="16"/>
        <v>5.44E-4</v>
      </c>
      <c r="M69" s="5">
        <f t="shared" si="17"/>
        <v>0.48557807020948612</v>
      </c>
      <c r="N69" s="2">
        <f t="shared" si="18"/>
        <v>1.0475250446485178E-3</v>
      </c>
      <c r="O69">
        <f t="shared" si="19"/>
        <v>2590.6057000000001</v>
      </c>
      <c r="P69">
        <f t="shared" ca="1" si="12"/>
        <v>2591</v>
      </c>
      <c r="Q69" t="str">
        <f t="shared" ca="1" si="20"/>
        <v>0000101000011111</v>
      </c>
      <c r="R69">
        <f t="shared" ca="1" si="21"/>
        <v>0.48579767417907715</v>
      </c>
      <c r="S69">
        <f t="shared" ca="1" si="22"/>
        <v>25.829572090148925</v>
      </c>
      <c r="T69" s="1">
        <f t="shared" ca="1" si="24"/>
        <v>3.2600296249103891E-2</v>
      </c>
      <c r="V69" s="4">
        <f t="shared" ca="1" si="23"/>
        <v>0.87042799999999998</v>
      </c>
      <c r="X69" s="2"/>
    </row>
    <row r="70" spans="8:24" x14ac:dyDescent="0.25">
      <c r="H70">
        <v>26.8</v>
      </c>
      <c r="I70">
        <v>0.49257327998054118</v>
      </c>
      <c r="J70" s="4">
        <f t="shared" si="14"/>
        <v>-1.8599999999999999E-4</v>
      </c>
      <c r="K70" s="9">
        <f t="shared" si="15"/>
        <v>3.4E-5</v>
      </c>
      <c r="L70" s="4">
        <f t="shared" si="16"/>
        <v>5.7399999999999997E-4</v>
      </c>
      <c r="M70" s="5">
        <f t="shared" si="17"/>
        <v>0.4931002862528503</v>
      </c>
      <c r="N70" s="2">
        <f t="shared" si="18"/>
        <v>1.069904304045756E-3</v>
      </c>
      <c r="O70">
        <f t="shared" si="19"/>
        <v>2630.7374</v>
      </c>
      <c r="P70">
        <f t="shared" ca="1" si="12"/>
        <v>2632</v>
      </c>
      <c r="Q70" t="str">
        <f t="shared" ca="1" si="20"/>
        <v>0000101001001000</v>
      </c>
      <c r="R70">
        <f t="shared" ca="1" si="21"/>
        <v>0.49348493957519535</v>
      </c>
      <c r="S70">
        <f t="shared" ca="1" si="22"/>
        <v>25.921819274902344</v>
      </c>
      <c r="T70" s="1">
        <f t="shared" ca="1" si="24"/>
        <v>3.2767937503643915E-2</v>
      </c>
      <c r="V70" s="4">
        <f t="shared" ca="1" si="23"/>
        <v>0.87818099999999999</v>
      </c>
      <c r="X70" s="2"/>
    </row>
    <row r="71" spans="8:24" x14ac:dyDescent="0.25">
      <c r="H71">
        <v>26.9</v>
      </c>
      <c r="I71">
        <v>0.50010374619077613</v>
      </c>
      <c r="J71" s="4">
        <f t="shared" si="14"/>
        <v>-1.85E-4</v>
      </c>
      <c r="K71" s="9">
        <f t="shared" si="15"/>
        <v>3.4999999999999997E-5</v>
      </c>
      <c r="L71" s="4">
        <f t="shared" si="16"/>
        <v>6.0499999999999996E-4</v>
      </c>
      <c r="M71" s="5">
        <f t="shared" si="17"/>
        <v>0.50064960411126347</v>
      </c>
      <c r="N71" s="2">
        <f t="shared" si="18"/>
        <v>1.0914893652468379E-3</v>
      </c>
      <c r="O71">
        <f t="shared" si="19"/>
        <v>2671.0138000000002</v>
      </c>
      <c r="P71">
        <f t="shared" ca="1" si="12"/>
        <v>2674</v>
      </c>
      <c r="Q71" t="str">
        <f t="shared" ca="1" si="20"/>
        <v>0000101001110010</v>
      </c>
      <c r="R71">
        <f t="shared" ca="1" si="21"/>
        <v>0.5013596992492676</v>
      </c>
      <c r="S71">
        <f t="shared" ca="1" si="22"/>
        <v>26.016316390991211</v>
      </c>
      <c r="T71" s="1">
        <f t="shared" ca="1" si="24"/>
        <v>3.2850691784713303E-2</v>
      </c>
      <c r="V71" s="4">
        <f t="shared" ca="1" si="23"/>
        <v>0.88368400000000003</v>
      </c>
      <c r="X71" s="2"/>
    </row>
    <row r="72" spans="8:24" x14ac:dyDescent="0.25">
      <c r="H72">
        <v>27</v>
      </c>
      <c r="I72">
        <v>0.50766131109306611</v>
      </c>
      <c r="J72" s="4">
        <f t="shared" si="14"/>
        <v>-1.85E-4</v>
      </c>
      <c r="K72" s="9">
        <f t="shared" si="15"/>
        <v>3.4999999999999997E-5</v>
      </c>
      <c r="L72" s="4">
        <f t="shared" si="16"/>
        <v>6.3500000000000004E-4</v>
      </c>
      <c r="M72" s="5">
        <f t="shared" si="17"/>
        <v>0.50822699840705465</v>
      </c>
      <c r="N72" s="2">
        <f t="shared" si="18"/>
        <v>1.1143006205663664E-3</v>
      </c>
      <c r="O72">
        <f t="shared" si="19"/>
        <v>2711.4398999999999</v>
      </c>
      <c r="P72">
        <f t="shared" ca="1" si="12"/>
        <v>2713</v>
      </c>
      <c r="Q72" t="str">
        <f t="shared" ca="1" si="20"/>
        <v>0000101010011001</v>
      </c>
      <c r="R72">
        <f t="shared" ca="1" si="21"/>
        <v>0.50867197608947756</v>
      </c>
      <c r="S72">
        <f t="shared" ca="1" si="22"/>
        <v>26.104063713073732</v>
      </c>
      <c r="T72" s="1">
        <f t="shared" ca="1" si="24"/>
        <v>3.3182825441713644E-2</v>
      </c>
      <c r="V72" s="4">
        <f t="shared" ca="1" si="23"/>
        <v>0.89593599999999995</v>
      </c>
      <c r="X72" s="2"/>
    </row>
    <row r="73" spans="8:24" x14ac:dyDescent="0.25">
      <c r="H73">
        <v>27.1</v>
      </c>
      <c r="I73">
        <v>0.51524594038218385</v>
      </c>
      <c r="J73" s="4">
        <f t="shared" si="14"/>
        <v>-1.84E-4</v>
      </c>
      <c r="K73" s="9">
        <f t="shared" si="15"/>
        <v>3.6000000000000001E-5</v>
      </c>
      <c r="L73" s="4">
        <f t="shared" si="16"/>
        <v>6.6600000000000003E-4</v>
      </c>
      <c r="M73" s="5">
        <f t="shared" si="17"/>
        <v>0.51583144549688476</v>
      </c>
      <c r="N73" s="2">
        <f t="shared" si="18"/>
        <v>1.1363604616983552E-3</v>
      </c>
      <c r="O73">
        <f t="shared" si="19"/>
        <v>2752.0104000000001</v>
      </c>
      <c r="P73">
        <f t="shared" ca="1" si="12"/>
        <v>2754</v>
      </c>
      <c r="Q73" t="str">
        <f t="shared" ca="1" si="20"/>
        <v>0000101011000010</v>
      </c>
      <c r="R73">
        <f t="shared" ca="1" si="21"/>
        <v>0.51635924148559575</v>
      </c>
      <c r="S73">
        <f t="shared" ca="1" si="22"/>
        <v>26.19631089782715</v>
      </c>
      <c r="T73" s="1">
        <f t="shared" ca="1" si="24"/>
        <v>3.3346461334791563E-2</v>
      </c>
      <c r="V73" s="4">
        <f t="shared" ca="1" si="23"/>
        <v>0.90368899999999996</v>
      </c>
      <c r="X73" s="2"/>
    </row>
    <row r="74" spans="8:24" x14ac:dyDescent="0.25">
      <c r="H74">
        <v>27.2</v>
      </c>
      <c r="I74">
        <v>0.52285759806535193</v>
      </c>
      <c r="J74" s="4">
        <f t="shared" si="14"/>
        <v>-1.84E-4</v>
      </c>
      <c r="K74" s="9">
        <f t="shared" si="15"/>
        <v>3.6000000000000001E-5</v>
      </c>
      <c r="L74" s="4">
        <f t="shared" si="16"/>
        <v>6.96E-4</v>
      </c>
      <c r="M74" s="5">
        <f t="shared" si="17"/>
        <v>0.52346388856379233</v>
      </c>
      <c r="N74" s="2">
        <f t="shared" si="18"/>
        <v>1.1595709820107255E-3</v>
      </c>
      <c r="O74">
        <f t="shared" si="19"/>
        <v>2792.7302</v>
      </c>
      <c r="P74">
        <f t="shared" ca="1" si="12"/>
        <v>2792</v>
      </c>
      <c r="Q74" t="str">
        <f t="shared" ca="1" si="20"/>
        <v>0000101011101000</v>
      </c>
      <c r="R74">
        <f t="shared" ca="1" si="21"/>
        <v>0.52348402404785155</v>
      </c>
      <c r="S74">
        <f t="shared" ca="1" si="22"/>
        <v>26.281808288574222</v>
      </c>
      <c r="T74" s="1">
        <f t="shared" ca="1" si="24"/>
        <v>3.3757048214182982E-2</v>
      </c>
      <c r="V74" s="4">
        <f t="shared" ca="1" si="23"/>
        <v>0.91819200000000001</v>
      </c>
      <c r="X74" s="2"/>
    </row>
    <row r="75" spans="8:24" x14ac:dyDescent="0.25">
      <c r="H75">
        <v>27.3</v>
      </c>
      <c r="I75">
        <v>0.53049624849889043</v>
      </c>
      <c r="J75" s="4">
        <f t="shared" si="14"/>
        <v>-1.83E-4</v>
      </c>
      <c r="K75" s="9">
        <f t="shared" si="15"/>
        <v>3.6999999999999998E-5</v>
      </c>
      <c r="L75" s="4">
        <f t="shared" si="16"/>
        <v>7.27E-4</v>
      </c>
      <c r="M75" s="5">
        <f t="shared" si="17"/>
        <v>0.53112333299597858</v>
      </c>
      <c r="N75" s="2">
        <f t="shared" si="18"/>
        <v>1.1820715016601291E-3</v>
      </c>
      <c r="O75">
        <f t="shared" si="19"/>
        <v>2833.5940000000001</v>
      </c>
      <c r="P75">
        <f t="shared" ca="1" si="12"/>
        <v>2838</v>
      </c>
      <c r="Q75" t="str">
        <f t="shared" ca="1" si="20"/>
        <v>0000101100010110</v>
      </c>
      <c r="R75">
        <f t="shared" ca="1" si="21"/>
        <v>0.53210876083374026</v>
      </c>
      <c r="S75">
        <f t="shared" ca="1" si="22"/>
        <v>26.385305130004884</v>
      </c>
      <c r="T75" s="1">
        <f t="shared" ca="1" si="24"/>
        <v>3.3505306593227716E-2</v>
      </c>
      <c r="V75" s="4">
        <f t="shared" ca="1" si="23"/>
        <v>0.91469500000000004</v>
      </c>
      <c r="X75" s="2"/>
    </row>
    <row r="76" spans="8:24" x14ac:dyDescent="0.25">
      <c r="H76">
        <v>27.4</v>
      </c>
      <c r="I76">
        <v>0.53725069866832043</v>
      </c>
      <c r="J76" s="4">
        <f t="shared" si="14"/>
        <v>-1.8200000000000001E-4</v>
      </c>
      <c r="K76" s="9">
        <f t="shared" si="15"/>
        <v>3.6999999999999998E-5</v>
      </c>
      <c r="L76" s="4">
        <f t="shared" si="16"/>
        <v>7.5699999999999997E-4</v>
      </c>
      <c r="M76" s="5">
        <f t="shared" si="17"/>
        <v>0.53789784342979685</v>
      </c>
      <c r="N76" s="2">
        <f t="shared" si="18"/>
        <v>1.2045489435016075E-3</v>
      </c>
      <c r="O76">
        <f t="shared" si="19"/>
        <v>2869.7366999999999</v>
      </c>
      <c r="P76">
        <f t="shared" ca="1" si="12"/>
        <v>2874</v>
      </c>
      <c r="Q76" t="str">
        <f t="shared" ca="1" si="20"/>
        <v>0000101100111010</v>
      </c>
      <c r="R76">
        <f t="shared" ca="1" si="21"/>
        <v>0.53885855484008793</v>
      </c>
      <c r="S76">
        <f t="shared" ca="1" si="22"/>
        <v>26.466302658081059</v>
      </c>
      <c r="T76" s="1">
        <f t="shared" ca="1" si="24"/>
        <v>3.4076545325508752E-2</v>
      </c>
      <c r="V76" s="4">
        <f t="shared" ca="1" si="23"/>
        <v>0.933697</v>
      </c>
      <c r="X76" s="2"/>
    </row>
    <row r="77" spans="8:24" x14ac:dyDescent="0.25">
      <c r="H77">
        <v>27.5</v>
      </c>
      <c r="I77">
        <v>0.54494414692876847</v>
      </c>
      <c r="J77" s="4">
        <f t="shared" si="14"/>
        <v>-1.8200000000000001E-4</v>
      </c>
      <c r="K77" s="9">
        <f t="shared" si="15"/>
        <v>3.8000000000000002E-5</v>
      </c>
      <c r="L77" s="4">
        <f t="shared" si="16"/>
        <v>7.8799999999999996E-4</v>
      </c>
      <c r="M77" s="5">
        <f t="shared" si="17"/>
        <v>0.54561404509230127</v>
      </c>
      <c r="N77" s="2">
        <f t="shared" si="18"/>
        <v>1.2292969239292796E-3</v>
      </c>
      <c r="O77">
        <f t="shared" si="19"/>
        <v>2910.9034000000001</v>
      </c>
      <c r="P77">
        <f t="shared" ca="1" si="12"/>
        <v>2914</v>
      </c>
      <c r="Q77" t="str">
        <f t="shared" ca="1" si="20"/>
        <v>0000101101100010</v>
      </c>
      <c r="R77">
        <f t="shared" ca="1" si="21"/>
        <v>0.54635832595825196</v>
      </c>
      <c r="S77">
        <f t="shared" ca="1" si="22"/>
        <v>26.556299911499025</v>
      </c>
      <c r="T77" s="1">
        <f t="shared" ca="1" si="24"/>
        <v>3.4316366854580914E-2</v>
      </c>
      <c r="V77" s="4">
        <f t="shared" ca="1" si="23"/>
        <v>0.94369999999999998</v>
      </c>
      <c r="X77" s="2"/>
    </row>
    <row r="78" spans="8:24" x14ac:dyDescent="0.25">
      <c r="H78">
        <v>27.6</v>
      </c>
      <c r="I78">
        <v>0.55266447868087576</v>
      </c>
      <c r="J78" s="4">
        <f t="shared" si="14"/>
        <v>-1.8100000000000001E-4</v>
      </c>
      <c r="K78" s="9">
        <f t="shared" si="15"/>
        <v>3.8000000000000002E-5</v>
      </c>
      <c r="L78" s="4">
        <f t="shared" si="16"/>
        <v>8.1800000000000004E-4</v>
      </c>
      <c r="M78" s="5">
        <f t="shared" si="17"/>
        <v>0.55335607650745888</v>
      </c>
      <c r="N78" s="2">
        <f t="shared" si="18"/>
        <v>1.2513882351076011E-3</v>
      </c>
      <c r="O78">
        <f t="shared" si="19"/>
        <v>2952.2078999999999</v>
      </c>
      <c r="P78">
        <f t="shared" ca="1" si="12"/>
        <v>2957</v>
      </c>
      <c r="Q78" t="str">
        <f t="shared" ca="1" si="20"/>
        <v>0000101110001101</v>
      </c>
      <c r="R78">
        <f t="shared" ca="1" si="21"/>
        <v>0.55442057991027838</v>
      </c>
      <c r="S78">
        <f t="shared" ca="1" si="22"/>
        <v>26.653046958923344</v>
      </c>
      <c r="T78" s="1">
        <f t="shared" ca="1" si="24"/>
        <v>3.430989279263251E-2</v>
      </c>
      <c r="V78" s="4">
        <f t="shared" ca="1" si="23"/>
        <v>0.94695300000000004</v>
      </c>
      <c r="X78" s="2"/>
    </row>
    <row r="79" spans="8:24" x14ac:dyDescent="0.25">
      <c r="H79">
        <v>27.7</v>
      </c>
      <c r="I79">
        <v>0.56041165598234544</v>
      </c>
      <c r="J79" s="4">
        <f t="shared" si="14"/>
        <v>-1.8100000000000001E-4</v>
      </c>
      <c r="K79" s="9">
        <f t="shared" si="15"/>
        <v>3.8999999999999999E-5</v>
      </c>
      <c r="L79" s="4">
        <f t="shared" si="16"/>
        <v>8.4900000000000004E-4</v>
      </c>
      <c r="M79" s="5">
        <f t="shared" si="17"/>
        <v>0.56112700356637324</v>
      </c>
      <c r="N79" s="2">
        <f t="shared" si="18"/>
        <v>1.2764680684128006E-3</v>
      </c>
      <c r="O79">
        <f t="shared" si="19"/>
        <v>2993.6664999999998</v>
      </c>
      <c r="P79">
        <f t="shared" ref="P79:P142" ca="1" si="25">ROUND(O79+$C$47+$C$49+RANDBETWEEN($B$45,$D$45) + 1,0)</f>
        <v>2995</v>
      </c>
      <c r="Q79" t="str">
        <f t="shared" ca="1" si="20"/>
        <v>0000101110110011</v>
      </c>
      <c r="R79">
        <f t="shared" ca="1" si="21"/>
        <v>0.56154536247253417</v>
      </c>
      <c r="S79">
        <f t="shared" ca="1" si="22"/>
        <v>26.738544349670413</v>
      </c>
      <c r="T79" s="1">
        <f t="shared" ca="1" si="24"/>
        <v>3.4709590264606016E-2</v>
      </c>
      <c r="V79" s="4">
        <f t="shared" ca="1" si="23"/>
        <v>0.96145599999999998</v>
      </c>
      <c r="X79" s="2"/>
    </row>
    <row r="80" spans="8:24" x14ac:dyDescent="0.25">
      <c r="H80">
        <v>27.8</v>
      </c>
      <c r="I80">
        <v>0.56818564016343787</v>
      </c>
      <c r="J80" s="4">
        <f t="shared" si="14"/>
        <v>-1.8000000000000001E-4</v>
      </c>
      <c r="K80" s="9">
        <f t="shared" si="15"/>
        <v>3.8999999999999999E-5</v>
      </c>
      <c r="L80" s="4">
        <f t="shared" si="16"/>
        <v>8.7900000000000001E-4</v>
      </c>
      <c r="M80" s="5">
        <f t="shared" si="17"/>
        <v>0.56892367309008396</v>
      </c>
      <c r="N80" s="2">
        <f t="shared" si="18"/>
        <v>1.2989292134060243E-3</v>
      </c>
      <c r="O80">
        <f t="shared" si="19"/>
        <v>3035.2624999999998</v>
      </c>
      <c r="P80">
        <f t="shared" ca="1" si="25"/>
        <v>3039</v>
      </c>
      <c r="Q80" t="str">
        <f t="shared" ca="1" si="20"/>
        <v>0000101111011111</v>
      </c>
      <c r="R80">
        <f t="shared" ca="1" si="21"/>
        <v>0.56979511070251465</v>
      </c>
      <c r="S80">
        <f t="shared" ca="1" si="22"/>
        <v>26.837541328430177</v>
      </c>
      <c r="T80" s="1">
        <f t="shared" ca="1" si="24"/>
        <v>3.4620815524094371E-2</v>
      </c>
      <c r="V80" s="4">
        <f t="shared" ca="1" si="23"/>
        <v>0.96245899999999995</v>
      </c>
      <c r="X80" s="2"/>
    </row>
    <row r="81" spans="8:24" x14ac:dyDescent="0.25">
      <c r="H81">
        <v>27.9</v>
      </c>
      <c r="I81">
        <v>0.57598639235075</v>
      </c>
      <c r="J81" s="4">
        <f t="shared" si="14"/>
        <v>-1.8000000000000001E-4</v>
      </c>
      <c r="K81" s="9">
        <f t="shared" si="15"/>
        <v>4.0000000000000003E-5</v>
      </c>
      <c r="L81" s="4">
        <f t="shared" si="16"/>
        <v>9.1E-4</v>
      </c>
      <c r="M81" s="5">
        <f t="shared" si="17"/>
        <v>0.57674918132575637</v>
      </c>
      <c r="N81" s="2">
        <f t="shared" si="18"/>
        <v>1.3243177011408687E-3</v>
      </c>
      <c r="O81">
        <f t="shared" si="19"/>
        <v>3077.0122999999999</v>
      </c>
      <c r="P81">
        <f t="shared" ca="1" si="25"/>
        <v>3081</v>
      </c>
      <c r="Q81" t="str">
        <f t="shared" ca="1" si="20"/>
        <v>0000110000001001</v>
      </c>
      <c r="R81">
        <f t="shared" ca="1" si="21"/>
        <v>0.5776698703765869</v>
      </c>
      <c r="S81">
        <f t="shared" ca="1" si="22"/>
        <v>26.932038444519044</v>
      </c>
      <c r="T81" s="1">
        <f t="shared" ca="1" si="24"/>
        <v>3.4693962562041381E-2</v>
      </c>
      <c r="V81" s="4">
        <f t="shared" ca="1" si="23"/>
        <v>0.96796199999999999</v>
      </c>
      <c r="X81" s="2"/>
    </row>
    <row r="82" spans="8:24" x14ac:dyDescent="0.25">
      <c r="H82">
        <v>28</v>
      </c>
      <c r="I82">
        <v>0.58381387303076104</v>
      </c>
      <c r="J82" s="4">
        <f t="shared" si="14"/>
        <v>-1.7899999999999999E-4</v>
      </c>
      <c r="K82" s="9">
        <f t="shared" si="15"/>
        <v>4.0000000000000003E-5</v>
      </c>
      <c r="L82" s="4">
        <f t="shared" si="16"/>
        <v>9.3999999999999997E-4</v>
      </c>
      <c r="M82" s="5">
        <f t="shared" si="17"/>
        <v>0.5846003428330242</v>
      </c>
      <c r="N82" s="2">
        <f t="shared" si="18"/>
        <v>1.347124209605272E-3</v>
      </c>
      <c r="O82">
        <f t="shared" si="19"/>
        <v>3118.8989999999999</v>
      </c>
      <c r="P82">
        <f t="shared" ca="1" si="25"/>
        <v>3122</v>
      </c>
      <c r="Q82" t="str">
        <f t="shared" ca="1" si="20"/>
        <v>0000110000110010</v>
      </c>
      <c r="R82">
        <f t="shared" ca="1" si="21"/>
        <v>0.5853571357727051</v>
      </c>
      <c r="S82">
        <f t="shared" ca="1" si="22"/>
        <v>27.024285629272462</v>
      </c>
      <c r="T82" s="1">
        <f t="shared" ca="1" si="24"/>
        <v>3.4846941811697771E-2</v>
      </c>
      <c r="V82" s="4">
        <f t="shared" ca="1" si="23"/>
        <v>0.97571399999999997</v>
      </c>
      <c r="X82" s="2"/>
    </row>
    <row r="83" spans="8:24" x14ac:dyDescent="0.25">
      <c r="H83">
        <v>28.1</v>
      </c>
      <c r="I83">
        <v>0.59166804242804827</v>
      </c>
      <c r="J83" s="4">
        <f t="shared" si="14"/>
        <v>-1.7799999999999999E-4</v>
      </c>
      <c r="K83" s="9">
        <f t="shared" si="15"/>
        <v>4.1E-5</v>
      </c>
      <c r="L83" s="4">
        <f t="shared" si="16"/>
        <v>9.7099999999999997E-4</v>
      </c>
      <c r="M83" s="5">
        <f t="shared" si="17"/>
        <v>0.59247928349432133</v>
      </c>
      <c r="N83" s="2">
        <f t="shared" si="18"/>
        <v>1.3711084731633351E-3</v>
      </c>
      <c r="O83">
        <f t="shared" si="19"/>
        <v>3160.9339</v>
      </c>
      <c r="P83">
        <f t="shared" ca="1" si="25"/>
        <v>3161</v>
      </c>
      <c r="Q83" t="str">
        <f t="shared" ca="1" si="20"/>
        <v>0000110001011001</v>
      </c>
      <c r="R83">
        <f t="shared" ca="1" si="21"/>
        <v>0.59266941261291506</v>
      </c>
      <c r="S83">
        <f t="shared" ca="1" si="22"/>
        <v>27.112032951354983</v>
      </c>
      <c r="T83" s="1">
        <f t="shared" ca="1" si="24"/>
        <v>3.5158969702669678E-2</v>
      </c>
      <c r="V83" s="4">
        <f t="shared" ca="1" si="23"/>
        <v>0.98796700000000004</v>
      </c>
      <c r="X83" s="2"/>
    </row>
    <row r="84" spans="8:24" x14ac:dyDescent="0.25">
      <c r="H84">
        <v>28.200000000000003</v>
      </c>
      <c r="I84">
        <v>0.59864512554000371</v>
      </c>
      <c r="J84" s="4">
        <f t="shared" si="14"/>
        <v>-1.7799999999999999E-4</v>
      </c>
      <c r="K84" s="9">
        <f t="shared" si="15"/>
        <v>4.1E-5</v>
      </c>
      <c r="L84" s="4">
        <f t="shared" si="16"/>
        <v>1.0009999999999999E-3</v>
      </c>
      <c r="M84" s="5">
        <f t="shared" si="17"/>
        <v>0.59948114811126307</v>
      </c>
      <c r="N84" s="2">
        <f t="shared" si="18"/>
        <v>1.3965244776782181E-3</v>
      </c>
      <c r="O84">
        <f t="shared" si="19"/>
        <v>3198.2896000000001</v>
      </c>
      <c r="P84">
        <f t="shared" ca="1" si="25"/>
        <v>3197</v>
      </c>
      <c r="Q84" t="str">
        <f t="shared" ca="1" si="20"/>
        <v>0000110001111101</v>
      </c>
      <c r="R84">
        <f t="shared" ca="1" si="21"/>
        <v>0.59941920661926273</v>
      </c>
      <c r="S84">
        <f t="shared" ca="1" si="22"/>
        <v>27.193030479431151</v>
      </c>
      <c r="T84" s="1">
        <f t="shared" ca="1" si="24"/>
        <v>3.5708139027264246E-2</v>
      </c>
      <c r="V84" s="4">
        <f t="shared" ca="1" si="23"/>
        <v>1.0069699999999999</v>
      </c>
      <c r="X84" s="2"/>
    </row>
    <row r="85" spans="8:24" x14ac:dyDescent="0.25">
      <c r="H85">
        <v>28.3</v>
      </c>
      <c r="I85">
        <v>0.60655348394148934</v>
      </c>
      <c r="J85" s="4">
        <f t="shared" si="14"/>
        <v>-1.7699999999999999E-4</v>
      </c>
      <c r="K85" s="9">
        <f t="shared" si="15"/>
        <v>4.1999999999999998E-5</v>
      </c>
      <c r="L85" s="4">
        <f t="shared" si="16"/>
        <v>1.0319999999999999E-3</v>
      </c>
      <c r="M85" s="5">
        <f t="shared" si="17"/>
        <v>0.60741527665099315</v>
      </c>
      <c r="N85" s="2">
        <f t="shared" si="18"/>
        <v>1.4208025051702597E-3</v>
      </c>
      <c r="O85">
        <f t="shared" si="19"/>
        <v>3240.6188999999999</v>
      </c>
      <c r="P85">
        <f t="shared" ca="1" si="25"/>
        <v>3245</v>
      </c>
      <c r="Q85" t="str">
        <f t="shared" ca="1" si="20"/>
        <v>0000110010101101</v>
      </c>
      <c r="R85">
        <f t="shared" ca="1" si="21"/>
        <v>0.60841893196105956</v>
      </c>
      <c r="S85">
        <f t="shared" ca="1" si="22"/>
        <v>27.301027183532717</v>
      </c>
      <c r="T85" s="1">
        <f t="shared" ca="1" si="24"/>
        <v>3.529939280803121E-2</v>
      </c>
      <c r="V85" s="4">
        <f t="shared" ca="1" si="23"/>
        <v>0.998973</v>
      </c>
      <c r="X85" s="2"/>
    </row>
    <row r="86" spans="8:24" x14ac:dyDescent="0.25">
      <c r="H86">
        <v>28.4</v>
      </c>
      <c r="I86">
        <v>0.61448840940626959</v>
      </c>
      <c r="J86" s="4">
        <f t="shared" si="14"/>
        <v>-1.7699999999999999E-4</v>
      </c>
      <c r="K86" s="9">
        <f t="shared" si="15"/>
        <v>4.1999999999999998E-5</v>
      </c>
      <c r="L86" s="4">
        <f t="shared" si="16"/>
        <v>1.062E-3</v>
      </c>
      <c r="M86" s="5">
        <f t="shared" si="17"/>
        <v>0.61537687805476371</v>
      </c>
      <c r="N86" s="2">
        <f t="shared" si="18"/>
        <v>1.4458672204290691E-3</v>
      </c>
      <c r="O86">
        <f t="shared" si="19"/>
        <v>3283.0947999999999</v>
      </c>
      <c r="P86">
        <f t="shared" ca="1" si="25"/>
        <v>3284</v>
      </c>
      <c r="Q86" t="str">
        <f t="shared" ca="1" si="20"/>
        <v>0000110011010100</v>
      </c>
      <c r="R86">
        <f t="shared" ca="1" si="21"/>
        <v>0.61573120880126953</v>
      </c>
      <c r="S86">
        <f t="shared" ca="1" si="22"/>
        <v>27.388774505615238</v>
      </c>
      <c r="T86" s="1">
        <f t="shared" ca="1" si="24"/>
        <v>3.5606531492421135E-2</v>
      </c>
      <c r="V86" s="4">
        <f t="shared" ca="1" si="23"/>
        <v>1.011225</v>
      </c>
      <c r="X86" s="2"/>
    </row>
    <row r="87" spans="8:24" x14ac:dyDescent="0.25">
      <c r="H87">
        <v>28.5</v>
      </c>
      <c r="I87">
        <v>0.62244985945293896</v>
      </c>
      <c r="J87" s="4">
        <f t="shared" si="14"/>
        <v>-1.76E-4</v>
      </c>
      <c r="K87" s="9">
        <f t="shared" si="15"/>
        <v>4.3000000000000002E-5</v>
      </c>
      <c r="L87" s="4">
        <f t="shared" si="16"/>
        <v>1.093E-3</v>
      </c>
      <c r="M87" s="5">
        <f t="shared" si="17"/>
        <v>0.62336513415056549</v>
      </c>
      <c r="N87" s="2">
        <f t="shared" si="18"/>
        <v>1.4704392389628838E-3</v>
      </c>
      <c r="O87">
        <f t="shared" si="19"/>
        <v>3325.7129</v>
      </c>
      <c r="P87">
        <f t="shared" ca="1" si="25"/>
        <v>3324</v>
      </c>
      <c r="Q87" t="str">
        <f t="shared" ca="1" si="20"/>
        <v>0000110011111100</v>
      </c>
      <c r="R87">
        <f t="shared" ca="1" si="21"/>
        <v>0.62323097991943366</v>
      </c>
      <c r="S87">
        <f t="shared" ca="1" si="22"/>
        <v>27.478771759033208</v>
      </c>
      <c r="T87" s="1">
        <f t="shared" ca="1" si="24"/>
        <v>3.5832569858483931E-2</v>
      </c>
      <c r="V87" s="4">
        <f t="shared" ca="1" si="23"/>
        <v>1.021228</v>
      </c>
      <c r="X87" s="2"/>
    </row>
    <row r="88" spans="8:24" x14ac:dyDescent="0.25">
      <c r="H88">
        <v>28.6</v>
      </c>
      <c r="I88">
        <v>0.63043779197832295</v>
      </c>
      <c r="J88" s="4">
        <f t="shared" si="14"/>
        <v>-1.76E-4</v>
      </c>
      <c r="K88" s="9">
        <f t="shared" si="15"/>
        <v>4.3000000000000002E-5</v>
      </c>
      <c r="L88" s="4">
        <f t="shared" si="16"/>
        <v>1.1230000000000001E-3</v>
      </c>
      <c r="M88" s="5">
        <f t="shared" si="17"/>
        <v>0.63138076744616489</v>
      </c>
      <c r="N88" s="2">
        <f t="shared" si="18"/>
        <v>1.495747050447077E-3</v>
      </c>
      <c r="O88">
        <f t="shared" si="19"/>
        <v>3368.4771000000001</v>
      </c>
      <c r="P88">
        <f t="shared" ca="1" si="25"/>
        <v>3373</v>
      </c>
      <c r="Q88" t="str">
        <f t="shared" ca="1" si="20"/>
        <v>0000110100101101</v>
      </c>
      <c r="R88">
        <f t="shared" ca="1" si="21"/>
        <v>0.63241819953918454</v>
      </c>
      <c r="S88">
        <f t="shared" ca="1" si="22"/>
        <v>27.589018394470216</v>
      </c>
      <c r="T88" s="1">
        <f t="shared" ca="1" si="24"/>
        <v>3.5349007186356134E-2</v>
      </c>
      <c r="V88" s="4">
        <f t="shared" ca="1" si="23"/>
        <v>1.010982</v>
      </c>
      <c r="X88" s="2"/>
    </row>
    <row r="89" spans="8:24" x14ac:dyDescent="0.25">
      <c r="H89">
        <v>28.700000000000003</v>
      </c>
      <c r="I89">
        <v>0.63755311904766421</v>
      </c>
      <c r="J89" s="4">
        <f t="shared" si="14"/>
        <v>-1.75E-4</v>
      </c>
      <c r="K89" s="9">
        <f t="shared" si="15"/>
        <v>4.3999999999999999E-5</v>
      </c>
      <c r="L89" s="4">
        <f t="shared" si="16"/>
        <v>1.1540000000000001E-3</v>
      </c>
      <c r="M89" s="5">
        <f t="shared" si="17"/>
        <v>0.63852290755097807</v>
      </c>
      <c r="N89" s="2">
        <f t="shared" si="18"/>
        <v>1.521110122969E-3</v>
      </c>
      <c r="O89">
        <f t="shared" si="19"/>
        <v>3406.5810999999999</v>
      </c>
      <c r="P89">
        <f t="shared" ca="1" si="25"/>
        <v>3406</v>
      </c>
      <c r="Q89" t="str">
        <f t="shared" ca="1" si="20"/>
        <v>0000110101001110</v>
      </c>
      <c r="R89">
        <f t="shared" ca="1" si="21"/>
        <v>0.63860551071166993</v>
      </c>
      <c r="S89">
        <f t="shared" ca="1" si="22"/>
        <v>27.663266128540037</v>
      </c>
      <c r="T89" s="1">
        <f t="shared" ca="1" si="24"/>
        <v>3.6123131409754893E-2</v>
      </c>
      <c r="V89" s="4">
        <f t="shared" ca="1" si="23"/>
        <v>1.036734</v>
      </c>
      <c r="X89" s="2"/>
    </row>
    <row r="90" spans="8:24" x14ac:dyDescent="0.25">
      <c r="H90">
        <v>28.8</v>
      </c>
      <c r="I90">
        <v>0.64559482810015167</v>
      </c>
      <c r="J90" s="4">
        <f t="shared" si="14"/>
        <v>-1.74E-4</v>
      </c>
      <c r="K90" s="9">
        <f t="shared" si="15"/>
        <v>4.3999999999999999E-5</v>
      </c>
      <c r="L90" s="4">
        <f t="shared" si="16"/>
        <v>1.1839999999999999E-3</v>
      </c>
      <c r="M90" s="5">
        <f t="shared" si="17"/>
        <v>0.64659232474064454</v>
      </c>
      <c r="N90" s="2">
        <f t="shared" si="18"/>
        <v>1.5450815233887299E-3</v>
      </c>
      <c r="O90">
        <f t="shared" si="19"/>
        <v>3449.6322</v>
      </c>
      <c r="P90">
        <f t="shared" ca="1" si="25"/>
        <v>3454</v>
      </c>
      <c r="Q90" t="str">
        <f t="shared" ca="1" si="20"/>
        <v>0000110101111110</v>
      </c>
      <c r="R90">
        <f t="shared" ca="1" si="21"/>
        <v>0.64760523605346676</v>
      </c>
      <c r="S90">
        <f t="shared" ca="1" si="22"/>
        <v>27.771262832641604</v>
      </c>
      <c r="T90" s="1">
        <f t="shared" ca="1" si="24"/>
        <v>3.5720040533277674E-2</v>
      </c>
      <c r="V90" s="4">
        <f t="shared" ca="1" si="23"/>
        <v>1.028737</v>
      </c>
      <c r="X90" s="2"/>
    </row>
    <row r="91" spans="8:24" x14ac:dyDescent="0.25">
      <c r="H91">
        <v>28.9</v>
      </c>
      <c r="I91">
        <v>0.65366288962659969</v>
      </c>
      <c r="J91" s="4">
        <f t="shared" si="14"/>
        <v>-1.74E-4</v>
      </c>
      <c r="K91" s="9">
        <f t="shared" si="15"/>
        <v>4.5000000000000003E-5</v>
      </c>
      <c r="L91" s="4">
        <f t="shared" si="16"/>
        <v>1.2149999999999999E-3</v>
      </c>
      <c r="M91" s="5">
        <f t="shared" si="17"/>
        <v>0.65469026783201556</v>
      </c>
      <c r="N91" s="2">
        <f t="shared" si="18"/>
        <v>1.5717248473486949E-3</v>
      </c>
      <c r="O91">
        <f t="shared" si="19"/>
        <v>3492.8355000000001</v>
      </c>
      <c r="P91">
        <f t="shared" ca="1" si="25"/>
        <v>3493</v>
      </c>
      <c r="Q91" t="str">
        <f t="shared" ca="1" si="20"/>
        <v>0000110110100101</v>
      </c>
      <c r="R91">
        <f t="shared" ca="1" si="21"/>
        <v>0.65491751289367672</v>
      </c>
      <c r="S91">
        <f t="shared" ca="1" si="22"/>
        <v>27.859010154724125</v>
      </c>
      <c r="T91" s="1">
        <f t="shared" ca="1" si="24"/>
        <v>3.6020409871137506E-2</v>
      </c>
      <c r="V91" s="4">
        <f t="shared" ca="1" si="23"/>
        <v>1.0409900000000001</v>
      </c>
      <c r="X91" s="2"/>
    </row>
    <row r="92" spans="8:24" x14ac:dyDescent="0.25">
      <c r="H92">
        <v>29</v>
      </c>
      <c r="I92">
        <v>0.66175725931248441</v>
      </c>
      <c r="J92" s="4">
        <f t="shared" si="14"/>
        <v>-1.73E-4</v>
      </c>
      <c r="K92" s="9">
        <f t="shared" si="15"/>
        <v>4.5000000000000003E-5</v>
      </c>
      <c r="L92" s="4">
        <f t="shared" si="16"/>
        <v>1.245E-3</v>
      </c>
      <c r="M92" s="5">
        <f t="shared" si="17"/>
        <v>0.6628133897727515</v>
      </c>
      <c r="N92" s="2">
        <f t="shared" si="18"/>
        <v>1.5959484318529881E-3</v>
      </c>
      <c r="O92">
        <f t="shared" si="19"/>
        <v>3536.1732000000002</v>
      </c>
      <c r="P92">
        <f t="shared" ca="1" si="25"/>
        <v>3538</v>
      </c>
      <c r="Q92" t="str">
        <f t="shared" ca="1" si="20"/>
        <v>0000110111010010</v>
      </c>
      <c r="R92">
        <f t="shared" ca="1" si="21"/>
        <v>0.66335475540161137</v>
      </c>
      <c r="S92">
        <f t="shared" ca="1" si="22"/>
        <v>27.960257064819338</v>
      </c>
      <c r="T92" s="1">
        <f t="shared" ca="1" si="24"/>
        <v>3.5853204661402141E-2</v>
      </c>
      <c r="V92" s="4">
        <f t="shared" ca="1" si="23"/>
        <v>1.0397430000000001</v>
      </c>
      <c r="X92" s="2"/>
    </row>
    <row r="93" spans="8:24" x14ac:dyDescent="0.25">
      <c r="H93">
        <v>29.1</v>
      </c>
      <c r="I93">
        <v>0.66898262768316286</v>
      </c>
      <c r="J93" s="4">
        <f t="shared" si="14"/>
        <v>-1.73E-4</v>
      </c>
      <c r="K93" s="9">
        <f t="shared" si="15"/>
        <v>4.6E-5</v>
      </c>
      <c r="L93" s="4">
        <f t="shared" si="16"/>
        <v>1.276E-3</v>
      </c>
      <c r="M93" s="5">
        <f t="shared" si="17"/>
        <v>0.67006856115920199</v>
      </c>
      <c r="N93" s="2">
        <f t="shared" si="18"/>
        <v>1.6232610999181961E-3</v>
      </c>
      <c r="O93">
        <f t="shared" si="19"/>
        <v>3574.8802000000001</v>
      </c>
      <c r="P93">
        <f t="shared" ca="1" si="25"/>
        <v>3576</v>
      </c>
      <c r="Q93" t="str">
        <f t="shared" ca="1" si="20"/>
        <v>0000110111111000</v>
      </c>
      <c r="R93">
        <f t="shared" ca="1" si="21"/>
        <v>0.67047953796386717</v>
      </c>
      <c r="S93">
        <f t="shared" ca="1" si="22"/>
        <v>28.04575445556641</v>
      </c>
      <c r="T93" s="1">
        <f t="shared" ca="1" si="24"/>
        <v>3.6228369224522043E-2</v>
      </c>
      <c r="V93" s="4">
        <f t="shared" ca="1" si="23"/>
        <v>1.054246</v>
      </c>
      <c r="X93" s="2"/>
    </row>
    <row r="94" spans="8:24" x14ac:dyDescent="0.25">
      <c r="H94">
        <v>29.200000000000003</v>
      </c>
      <c r="I94">
        <v>0.6771304260722687</v>
      </c>
      <c r="J94" s="4">
        <f t="shared" si="14"/>
        <v>-1.7200000000000001E-4</v>
      </c>
      <c r="K94" s="9">
        <f t="shared" si="15"/>
        <v>4.6E-5</v>
      </c>
      <c r="L94" s="4">
        <f t="shared" si="16"/>
        <v>1.3060000000000001E-3</v>
      </c>
      <c r="M94" s="5">
        <f t="shared" si="17"/>
        <v>0.678246139782825</v>
      </c>
      <c r="N94" s="2">
        <f t="shared" si="18"/>
        <v>1.6477087243414179E-3</v>
      </c>
      <c r="O94">
        <f t="shared" si="19"/>
        <v>3618.5084000000002</v>
      </c>
      <c r="P94">
        <f t="shared" ca="1" si="25"/>
        <v>3617</v>
      </c>
      <c r="Q94" t="str">
        <f t="shared" ca="1" si="20"/>
        <v>0000111000100001</v>
      </c>
      <c r="R94">
        <f t="shared" ca="1" si="21"/>
        <v>0.67816680335998536</v>
      </c>
      <c r="S94">
        <f t="shared" ca="1" si="22"/>
        <v>28.138001640319828</v>
      </c>
      <c r="T94" s="1">
        <f t="shared" ca="1" si="24"/>
        <v>3.6369806838362141E-2</v>
      </c>
      <c r="V94" s="4">
        <f t="shared" ca="1" si="23"/>
        <v>1.061998</v>
      </c>
      <c r="X94" s="2"/>
    </row>
    <row r="95" spans="8:24" x14ac:dyDescent="0.25">
      <c r="H95">
        <v>29.3</v>
      </c>
      <c r="I95">
        <v>0.68530439670937193</v>
      </c>
      <c r="J95" s="4">
        <f t="shared" si="14"/>
        <v>-1.7200000000000001E-4</v>
      </c>
      <c r="K95" s="9">
        <f t="shared" si="15"/>
        <v>4.6999999999999997E-5</v>
      </c>
      <c r="L95" s="4">
        <f t="shared" si="16"/>
        <v>1.3370000000000001E-3</v>
      </c>
      <c r="M95" s="5">
        <f t="shared" si="17"/>
        <v>0.68645210562859738</v>
      </c>
      <c r="N95" s="2">
        <f t="shared" si="18"/>
        <v>1.6747432596907305E-3</v>
      </c>
      <c r="O95">
        <f t="shared" si="19"/>
        <v>3662.288</v>
      </c>
      <c r="P95">
        <f t="shared" ca="1" si="25"/>
        <v>3666</v>
      </c>
      <c r="Q95" t="str">
        <f t="shared" ca="1" si="20"/>
        <v>0000111001010010</v>
      </c>
      <c r="R95">
        <f t="shared" ca="1" si="21"/>
        <v>0.68735402297973636</v>
      </c>
      <c r="S95">
        <f t="shared" ca="1" si="22"/>
        <v>28.24824827575684</v>
      </c>
      <c r="T95" s="1">
        <f t="shared" ca="1" si="24"/>
        <v>3.5895963284749519E-2</v>
      </c>
      <c r="V95" s="4">
        <f t="shared" ca="1" si="23"/>
        <v>1.051752</v>
      </c>
      <c r="X95" s="2"/>
    </row>
    <row r="96" spans="8:24" x14ac:dyDescent="0.25">
      <c r="H96">
        <v>29.4</v>
      </c>
      <c r="I96">
        <v>0.69261207995366536</v>
      </c>
      <c r="J96" s="4">
        <f t="shared" si="14"/>
        <v>-1.7100000000000001E-4</v>
      </c>
      <c r="K96" s="9">
        <f t="shared" si="15"/>
        <v>4.6999999999999997E-5</v>
      </c>
      <c r="L96" s="4">
        <f t="shared" si="16"/>
        <v>1.3669999999999999E-3</v>
      </c>
      <c r="M96" s="5">
        <f t="shared" si="17"/>
        <v>0.69378941079221834</v>
      </c>
      <c r="N96" s="2">
        <f t="shared" si="18"/>
        <v>1.6998416178818927E-3</v>
      </c>
      <c r="O96">
        <f t="shared" si="19"/>
        <v>3701.4331999999999</v>
      </c>
      <c r="P96">
        <f t="shared" ca="1" si="25"/>
        <v>3705</v>
      </c>
      <c r="Q96" t="str">
        <f t="shared" ca="1" si="20"/>
        <v>0000111001111001</v>
      </c>
      <c r="R96">
        <f t="shared" ca="1" si="21"/>
        <v>0.69466629981994632</v>
      </c>
      <c r="S96">
        <f t="shared" ca="1" si="22"/>
        <v>28.335995597839357</v>
      </c>
      <c r="T96" s="1">
        <f t="shared" ca="1" si="24"/>
        <v>3.6190625923831342E-2</v>
      </c>
      <c r="V96" s="4">
        <f t="shared" ca="1" si="23"/>
        <v>1.0640039999999999</v>
      </c>
      <c r="X96" s="2"/>
    </row>
    <row r="97" spans="8:24" x14ac:dyDescent="0.25">
      <c r="H97">
        <v>29.5</v>
      </c>
      <c r="I97">
        <v>0.70083920825673973</v>
      </c>
      <c r="J97" s="4">
        <f t="shared" si="14"/>
        <v>-1.7000000000000001E-4</v>
      </c>
      <c r="K97" s="9">
        <f t="shared" si="15"/>
        <v>4.8000000000000001E-5</v>
      </c>
      <c r="L97" s="4">
        <f t="shared" si="16"/>
        <v>1.3979999999999999E-3</v>
      </c>
      <c r="M97" s="5">
        <f t="shared" si="17"/>
        <v>0.70204859110310192</v>
      </c>
      <c r="N97" s="2">
        <f t="shared" si="18"/>
        <v>1.7256209871168455E-3</v>
      </c>
      <c r="O97">
        <f t="shared" si="19"/>
        <v>3745.4967000000001</v>
      </c>
      <c r="P97">
        <f t="shared" ca="1" si="25"/>
        <v>3744</v>
      </c>
      <c r="Q97" t="str">
        <f t="shared" ca="1" si="20"/>
        <v>0000111010100000</v>
      </c>
      <c r="R97">
        <f t="shared" ca="1" si="21"/>
        <v>0.70197857666015628</v>
      </c>
      <c r="S97">
        <f t="shared" ca="1" si="22"/>
        <v>28.423742919921878</v>
      </c>
      <c r="T97" s="1">
        <f t="shared" ca="1" si="24"/>
        <v>3.6483290850105828E-2</v>
      </c>
      <c r="V97" s="4">
        <f t="shared" ca="1" si="23"/>
        <v>1.076257</v>
      </c>
      <c r="X97" s="2"/>
    </row>
    <row r="98" spans="8:24" x14ac:dyDescent="0.25">
      <c r="H98">
        <v>29.6</v>
      </c>
      <c r="I98">
        <v>0.70909236864822833</v>
      </c>
      <c r="J98" s="4">
        <f t="shared" si="14"/>
        <v>-1.7000000000000001E-4</v>
      </c>
      <c r="K98" s="9">
        <f t="shared" si="15"/>
        <v>4.8000000000000001E-5</v>
      </c>
      <c r="L98" s="4">
        <f t="shared" si="16"/>
        <v>1.428E-3</v>
      </c>
      <c r="M98" s="5">
        <f t="shared" si="17"/>
        <v>0.71033464369542543</v>
      </c>
      <c r="N98" s="2">
        <f t="shared" si="18"/>
        <v>1.751922742540995E-3</v>
      </c>
      <c r="O98">
        <f t="shared" si="19"/>
        <v>3789.7035999999998</v>
      </c>
      <c r="P98">
        <f t="shared" ca="1" si="25"/>
        <v>3788</v>
      </c>
      <c r="Q98" t="str">
        <f t="shared" ca="1" si="20"/>
        <v>0000111011001100</v>
      </c>
      <c r="R98">
        <f t="shared" ca="1" si="21"/>
        <v>0.71022832489013676</v>
      </c>
      <c r="S98">
        <f t="shared" ca="1" si="22"/>
        <v>28.522739898681643</v>
      </c>
      <c r="T98" s="1">
        <f t="shared" ca="1" si="24"/>
        <v>3.639392234183645E-2</v>
      </c>
      <c r="V98" s="4">
        <f t="shared" ca="1" si="23"/>
        <v>1.0772600000000001</v>
      </c>
      <c r="X98" s="2"/>
    </row>
    <row r="99" spans="8:24" x14ac:dyDescent="0.25">
      <c r="H99">
        <v>29.700000000000003</v>
      </c>
      <c r="I99">
        <v>0.71648196432747047</v>
      </c>
      <c r="J99" s="4">
        <f t="shared" si="14"/>
        <v>-1.6899999999999999E-4</v>
      </c>
      <c r="K99" s="9">
        <f t="shared" si="15"/>
        <v>4.8999999999999998E-5</v>
      </c>
      <c r="L99" s="4">
        <f t="shared" si="16"/>
        <v>1.459E-3</v>
      </c>
      <c r="M99" s="5">
        <f t="shared" si="17"/>
        <v>0.71775608583470329</v>
      </c>
      <c r="N99" s="2">
        <f t="shared" si="18"/>
        <v>1.7783022751016336E-3</v>
      </c>
      <c r="O99">
        <f t="shared" si="19"/>
        <v>3829.2977000000001</v>
      </c>
      <c r="P99">
        <f t="shared" ca="1" si="25"/>
        <v>3832</v>
      </c>
      <c r="Q99" t="str">
        <f t="shared" ca="1" si="20"/>
        <v>0000111011111000</v>
      </c>
      <c r="R99">
        <f t="shared" ca="1" si="21"/>
        <v>0.71847807312011724</v>
      </c>
      <c r="S99">
        <f t="shared" ca="1" si="22"/>
        <v>28.62173687744141</v>
      </c>
      <c r="T99" s="1">
        <f t="shared" ca="1" si="24"/>
        <v>3.6305155641703446E-2</v>
      </c>
      <c r="V99" s="4">
        <f t="shared" ca="1" si="23"/>
        <v>1.078263</v>
      </c>
      <c r="X99" s="2"/>
    </row>
    <row r="100" spans="8:24" x14ac:dyDescent="0.25">
      <c r="H100">
        <v>29.8</v>
      </c>
      <c r="I100">
        <v>0.72478800183298819</v>
      </c>
      <c r="J100" s="4">
        <f t="shared" si="14"/>
        <v>-1.6899999999999999E-4</v>
      </c>
      <c r="K100" s="9">
        <f t="shared" si="15"/>
        <v>4.8999999999999998E-5</v>
      </c>
      <c r="L100" s="4">
        <f t="shared" si="16"/>
        <v>1.4890000000000001E-3</v>
      </c>
      <c r="M100" s="5">
        <f t="shared" si="17"/>
        <v>0.72609607252297481</v>
      </c>
      <c r="N100" s="2">
        <f t="shared" si="18"/>
        <v>1.804763167544866E-3</v>
      </c>
      <c r="O100">
        <f t="shared" si="19"/>
        <v>3873.7923999999998</v>
      </c>
      <c r="P100">
        <f t="shared" ca="1" si="25"/>
        <v>3873</v>
      </c>
      <c r="Q100" t="str">
        <f t="shared" ca="1" si="20"/>
        <v>0000111100100001</v>
      </c>
      <c r="R100">
        <f t="shared" ca="1" si="21"/>
        <v>0.72616533851623533</v>
      </c>
      <c r="S100">
        <f t="shared" ca="1" si="22"/>
        <v>28.713984062194825</v>
      </c>
      <c r="T100" s="1">
        <f t="shared" ca="1" si="24"/>
        <v>3.6443487845811258E-2</v>
      </c>
      <c r="V100" s="4">
        <f t="shared" ca="1" si="23"/>
        <v>1.0860160000000001</v>
      </c>
      <c r="X100" s="2"/>
    </row>
    <row r="101" spans="8:24" x14ac:dyDescent="0.25">
      <c r="H101">
        <v>29.9</v>
      </c>
      <c r="I101">
        <v>0.73223229559510361</v>
      </c>
      <c r="J101" s="4">
        <f t="shared" si="14"/>
        <v>-1.6799999999999999E-4</v>
      </c>
      <c r="K101" s="9">
        <f t="shared" si="15"/>
        <v>5.0000000000000002E-5</v>
      </c>
      <c r="L101" s="4">
        <f t="shared" si="16"/>
        <v>1.5200000000000001E-3</v>
      </c>
      <c r="M101" s="5">
        <f t="shared" si="17"/>
        <v>0.73357323875801572</v>
      </c>
      <c r="N101" s="2">
        <f t="shared" si="18"/>
        <v>1.8313084126155531E-3</v>
      </c>
      <c r="O101">
        <f t="shared" si="19"/>
        <v>3913.6837999999998</v>
      </c>
      <c r="P101">
        <f t="shared" ca="1" si="25"/>
        <v>3916</v>
      </c>
      <c r="Q101" t="str">
        <f t="shared" ca="1" si="20"/>
        <v>0000111101001100</v>
      </c>
      <c r="R101">
        <f t="shared" ca="1" si="21"/>
        <v>0.73422759246826175</v>
      </c>
      <c r="S101">
        <f t="shared" ca="1" si="22"/>
        <v>28.810731109619145</v>
      </c>
      <c r="T101" s="1">
        <f t="shared" ca="1" si="24"/>
        <v>3.6430397671600473E-2</v>
      </c>
      <c r="V101" s="4">
        <f t="shared" ca="1" si="23"/>
        <v>1.089269</v>
      </c>
      <c r="X101" s="2"/>
    </row>
    <row r="102" spans="8:24" x14ac:dyDescent="0.25">
      <c r="H102">
        <v>30</v>
      </c>
      <c r="I102">
        <v>0.74059101875731626</v>
      </c>
      <c r="J102" s="4">
        <f t="shared" si="14"/>
        <v>-1.6799999999999999E-4</v>
      </c>
      <c r="K102" s="9">
        <f t="shared" si="15"/>
        <v>5.0000000000000002E-5</v>
      </c>
      <c r="L102" s="4">
        <f t="shared" si="16"/>
        <v>1.5499999999999999E-3</v>
      </c>
      <c r="M102" s="5">
        <f t="shared" si="17"/>
        <v>0.74196697767270892</v>
      </c>
      <c r="N102" s="2">
        <f t="shared" si="18"/>
        <v>1.8579200672747397E-3</v>
      </c>
      <c r="O102">
        <f t="shared" si="19"/>
        <v>3958.4652000000001</v>
      </c>
      <c r="P102">
        <f t="shared" ca="1" si="25"/>
        <v>3957</v>
      </c>
      <c r="Q102" t="str">
        <f t="shared" ca="1" si="20"/>
        <v>0000111101110101</v>
      </c>
      <c r="R102">
        <f t="shared" ca="1" si="21"/>
        <v>0.74191485786437994</v>
      </c>
      <c r="S102">
        <f t="shared" ca="1" si="22"/>
        <v>28.902978294372563</v>
      </c>
      <c r="T102" s="1">
        <f t="shared" ca="1" si="24"/>
        <v>3.656739018758124E-2</v>
      </c>
      <c r="V102" s="4">
        <f t="shared" ca="1" si="23"/>
        <v>1.0970219999999999</v>
      </c>
      <c r="X102" s="2"/>
    </row>
    <row r="103" spans="8:24" x14ac:dyDescent="0.25">
      <c r="H103">
        <v>30.1</v>
      </c>
      <c r="I103">
        <v>0.74808982272386637</v>
      </c>
      <c r="J103" s="4">
        <f t="shared" si="14"/>
        <v>-1.6699999999999999E-4</v>
      </c>
      <c r="K103" s="9">
        <f t="shared" si="15"/>
        <v>5.1E-5</v>
      </c>
      <c r="L103" s="4">
        <f t="shared" si="16"/>
        <v>1.5809999999999999E-3</v>
      </c>
      <c r="M103" s="5">
        <f t="shared" si="17"/>
        <v>0.74949969003581307</v>
      </c>
      <c r="N103" s="2">
        <f t="shared" si="18"/>
        <v>1.8846230347222724E-3</v>
      </c>
      <c r="O103">
        <f t="shared" si="19"/>
        <v>3998.6529</v>
      </c>
      <c r="P103">
        <f t="shared" ca="1" si="25"/>
        <v>3997</v>
      </c>
      <c r="Q103" t="str">
        <f t="shared" ca="1" si="20"/>
        <v>0000111110011101</v>
      </c>
      <c r="R103">
        <f t="shared" ca="1" si="21"/>
        <v>0.74941462898254396</v>
      </c>
      <c r="S103">
        <f t="shared" ca="1" si="22"/>
        <v>28.992975547790529</v>
      </c>
      <c r="T103" s="1">
        <f t="shared" ca="1" si="24"/>
        <v>3.6778221003636959E-2</v>
      </c>
      <c r="V103" s="4">
        <f t="shared" ca="1" si="23"/>
        <v>1.107024</v>
      </c>
      <c r="X103" s="2"/>
    </row>
    <row r="104" spans="8:24" x14ac:dyDescent="0.25">
      <c r="H104">
        <v>30.200000000000003</v>
      </c>
      <c r="I104">
        <v>0.75561629312041301</v>
      </c>
      <c r="J104" s="4">
        <f t="shared" si="14"/>
        <v>-1.66E-4</v>
      </c>
      <c r="K104" s="9">
        <f t="shared" si="15"/>
        <v>5.1E-5</v>
      </c>
      <c r="L104" s="4">
        <f t="shared" si="16"/>
        <v>1.611E-3</v>
      </c>
      <c r="M104" s="5">
        <f t="shared" si="17"/>
        <v>0.75705982305735842</v>
      </c>
      <c r="N104" s="2">
        <f t="shared" si="18"/>
        <v>1.9104007551030561E-3</v>
      </c>
      <c r="O104">
        <f t="shared" si="19"/>
        <v>4038.9868999999999</v>
      </c>
      <c r="P104">
        <f t="shared" ca="1" si="25"/>
        <v>4041</v>
      </c>
      <c r="Q104" t="str">
        <f t="shared" ca="1" si="20"/>
        <v>0000111111001001</v>
      </c>
      <c r="R104">
        <f t="shared" ca="1" si="21"/>
        <v>0.75766437721252444</v>
      </c>
      <c r="S104">
        <f t="shared" ca="1" si="22"/>
        <v>29.091972526550297</v>
      </c>
      <c r="T104" s="1">
        <f t="shared" ca="1" si="24"/>
        <v>3.6689651438731985E-2</v>
      </c>
      <c r="V104" s="4">
        <f t="shared" ca="1" si="23"/>
        <v>1.1080270000000001</v>
      </c>
      <c r="X104" s="2"/>
    </row>
    <row r="105" spans="8:24" x14ac:dyDescent="0.25">
      <c r="H105">
        <v>30.3</v>
      </c>
      <c r="I105">
        <v>0.76405416003487836</v>
      </c>
      <c r="J105" s="4">
        <f t="shared" si="14"/>
        <v>-1.66E-4</v>
      </c>
      <c r="K105" s="9">
        <f t="shared" si="15"/>
        <v>5.1999999999999997E-5</v>
      </c>
      <c r="L105" s="4">
        <f t="shared" si="16"/>
        <v>1.642E-3</v>
      </c>
      <c r="M105" s="5">
        <f t="shared" si="17"/>
        <v>0.76553507338938376</v>
      </c>
      <c r="N105" s="2">
        <f t="shared" si="18"/>
        <v>1.9382308636835318E-3</v>
      </c>
      <c r="O105">
        <f t="shared" si="19"/>
        <v>4084.2031999999999</v>
      </c>
      <c r="P105">
        <f t="shared" ca="1" si="25"/>
        <v>4088</v>
      </c>
      <c r="Q105" t="str">
        <f t="shared" ca="1" si="20"/>
        <v>0000111111111000</v>
      </c>
      <c r="R105">
        <f t="shared" ca="1" si="21"/>
        <v>0.76647660827636721</v>
      </c>
      <c r="S105">
        <f t="shared" ca="1" si="22"/>
        <v>29.197719299316407</v>
      </c>
      <c r="T105" s="1">
        <f t="shared" ca="1" si="24"/>
        <v>3.6378901012659844E-2</v>
      </c>
      <c r="V105" s="4">
        <f t="shared" ca="1" si="23"/>
        <v>1.1022810000000001</v>
      </c>
      <c r="X105" s="2"/>
    </row>
    <row r="106" spans="8:24" x14ac:dyDescent="0.25">
      <c r="H106">
        <v>30.4</v>
      </c>
      <c r="I106">
        <v>0.77163485353713046</v>
      </c>
      <c r="J106" s="4">
        <f t="shared" si="14"/>
        <v>-1.65E-4</v>
      </c>
      <c r="K106" s="9">
        <f t="shared" si="15"/>
        <v>5.1999999999999997E-5</v>
      </c>
      <c r="L106" s="4">
        <f t="shared" si="16"/>
        <v>1.6720000000000001E-3</v>
      </c>
      <c r="M106" s="5">
        <f t="shared" si="17"/>
        <v>0.77315046413716781</v>
      </c>
      <c r="N106" s="2">
        <f t="shared" si="18"/>
        <v>1.9641551869901686E-3</v>
      </c>
      <c r="O106">
        <f t="shared" si="19"/>
        <v>4124.8320999999996</v>
      </c>
      <c r="P106">
        <f t="shared" ca="1" si="25"/>
        <v>4129</v>
      </c>
      <c r="Q106" t="str">
        <f t="shared" ca="1" si="20"/>
        <v>0001000000100001</v>
      </c>
      <c r="R106">
        <f t="shared" ca="1" si="21"/>
        <v>0.7741638736724854</v>
      </c>
      <c r="S106">
        <f t="shared" ca="1" si="22"/>
        <v>29.289966484069826</v>
      </c>
      <c r="T106" s="1">
        <f t="shared" ca="1" si="24"/>
        <v>3.65142603924399E-2</v>
      </c>
      <c r="V106" s="4">
        <f t="shared" ca="1" si="23"/>
        <v>1.110034</v>
      </c>
      <c r="X106" s="2"/>
    </row>
    <row r="107" spans="8:24" x14ac:dyDescent="0.25">
      <c r="H107">
        <v>30.5</v>
      </c>
      <c r="I107">
        <v>0.77924306938172661</v>
      </c>
      <c r="J107" s="4">
        <f t="shared" si="14"/>
        <v>-1.65E-4</v>
      </c>
      <c r="K107" s="9">
        <f t="shared" si="15"/>
        <v>5.3000000000000001E-5</v>
      </c>
      <c r="L107" s="4">
        <f t="shared" si="16"/>
        <v>1.7030000000000001E-3</v>
      </c>
      <c r="M107" s="5">
        <f t="shared" si="17"/>
        <v>0.7807956656262881</v>
      </c>
      <c r="N107" s="2">
        <f t="shared" si="18"/>
        <v>1.992441518656525E-3</v>
      </c>
      <c r="O107">
        <f t="shared" si="19"/>
        <v>4165.6198999999997</v>
      </c>
      <c r="P107">
        <f t="shared" ca="1" si="25"/>
        <v>4166</v>
      </c>
      <c r="Q107" t="str">
        <f t="shared" ca="1" si="20"/>
        <v>0001000001000110</v>
      </c>
      <c r="R107">
        <f t="shared" ca="1" si="21"/>
        <v>0.78110116195678714</v>
      </c>
      <c r="S107">
        <f t="shared" ca="1" si="22"/>
        <v>29.373213943481449</v>
      </c>
      <c r="T107" s="1">
        <f t="shared" ca="1" si="24"/>
        <v>3.6943805131755762E-2</v>
      </c>
      <c r="V107" s="4">
        <f t="shared" ca="1" si="23"/>
        <v>1.1267860000000001</v>
      </c>
      <c r="X107" s="2"/>
    </row>
    <row r="108" spans="8:24" x14ac:dyDescent="0.25">
      <c r="H108">
        <v>30.6</v>
      </c>
      <c r="I108">
        <v>0.78775963120027137</v>
      </c>
      <c r="J108" s="4">
        <f t="shared" si="14"/>
        <v>-1.64E-4</v>
      </c>
      <c r="K108" s="9">
        <f t="shared" si="15"/>
        <v>5.3000000000000001E-5</v>
      </c>
      <c r="L108" s="4">
        <f t="shared" si="16"/>
        <v>1.7329999999999999E-3</v>
      </c>
      <c r="M108" s="5">
        <f t="shared" si="17"/>
        <v>0.78934947332354111</v>
      </c>
      <c r="N108" s="2">
        <f t="shared" si="18"/>
        <v>2.018181765480125E-3</v>
      </c>
      <c r="O108">
        <f t="shared" si="19"/>
        <v>4211.2552999999998</v>
      </c>
      <c r="P108">
        <f t="shared" ca="1" si="25"/>
        <v>4210</v>
      </c>
      <c r="Q108" t="str">
        <f t="shared" ca="1" si="20"/>
        <v>0001000001110010</v>
      </c>
      <c r="R108">
        <f t="shared" ca="1" si="21"/>
        <v>0.78935091018676762</v>
      </c>
      <c r="S108">
        <f t="shared" ca="1" si="22"/>
        <v>29.472210922241214</v>
      </c>
      <c r="T108" s="1">
        <f t="shared" ca="1" si="24"/>
        <v>3.6855852214339471E-2</v>
      </c>
      <c r="V108" s="4">
        <f t="shared" ca="1" si="23"/>
        <v>1.1277889999999999</v>
      </c>
      <c r="X108" s="2"/>
    </row>
    <row r="109" spans="8:24" x14ac:dyDescent="0.25">
      <c r="H109">
        <v>30.700000000000003</v>
      </c>
      <c r="I109">
        <v>0.79542177374086231</v>
      </c>
      <c r="J109" s="4">
        <f t="shared" si="14"/>
        <v>-1.63E-4</v>
      </c>
      <c r="K109" s="9">
        <f t="shared" si="15"/>
        <v>5.3999999999999998E-5</v>
      </c>
      <c r="L109" s="4">
        <f t="shared" si="16"/>
        <v>1.7639999999999999E-3</v>
      </c>
      <c r="M109" s="5">
        <f t="shared" si="17"/>
        <v>0.79704866527440643</v>
      </c>
      <c r="N109" s="2">
        <f t="shared" si="18"/>
        <v>2.0453193352915886E-3</v>
      </c>
      <c r="O109">
        <f t="shared" si="19"/>
        <v>4252.3312999999998</v>
      </c>
      <c r="P109">
        <f t="shared" ca="1" si="25"/>
        <v>4255</v>
      </c>
      <c r="Q109" t="str">
        <f t="shared" ca="1" si="20"/>
        <v>0001000010011111</v>
      </c>
      <c r="R109">
        <f t="shared" ca="1" si="21"/>
        <v>0.79778815269470216</v>
      </c>
      <c r="S109">
        <f t="shared" ca="1" si="22"/>
        <v>29.573457832336427</v>
      </c>
      <c r="T109" s="1">
        <f t="shared" ca="1" si="24"/>
        <v>3.6695184614448727E-2</v>
      </c>
      <c r="V109" s="4">
        <f t="shared" ca="1" si="23"/>
        <v>1.1265419999999999</v>
      </c>
      <c r="X109" s="2"/>
    </row>
    <row r="110" spans="8:24" x14ac:dyDescent="0.25">
      <c r="H110">
        <v>30.8</v>
      </c>
      <c r="I110">
        <v>0.80399021907383783</v>
      </c>
      <c r="J110" s="4">
        <f t="shared" si="14"/>
        <v>-1.63E-4</v>
      </c>
      <c r="K110" s="9">
        <f t="shared" si="15"/>
        <v>5.3999999999999998E-5</v>
      </c>
      <c r="L110" s="4">
        <f t="shared" si="16"/>
        <v>1.794E-3</v>
      </c>
      <c r="M110" s="5">
        <f t="shared" si="17"/>
        <v>0.80565646271595026</v>
      </c>
      <c r="N110" s="2">
        <f t="shared" si="18"/>
        <v>2.0724675531897285E-3</v>
      </c>
      <c r="O110">
        <f t="shared" si="19"/>
        <v>4298.2547000000004</v>
      </c>
      <c r="P110">
        <f t="shared" ca="1" si="25"/>
        <v>4300</v>
      </c>
      <c r="Q110" t="str">
        <f t="shared" ca="1" si="20"/>
        <v>0001000011001100</v>
      </c>
      <c r="R110">
        <f t="shared" ca="1" si="21"/>
        <v>0.8062253952026367</v>
      </c>
      <c r="S110">
        <f t="shared" ca="1" si="22"/>
        <v>29.67470474243164</v>
      </c>
      <c r="T110" s="1">
        <f t="shared" ca="1" si="24"/>
        <v>3.6535560310661061E-2</v>
      </c>
      <c r="V110" s="4">
        <f t="shared" ca="1" si="23"/>
        <v>1.1252949999999999</v>
      </c>
      <c r="X110" s="2"/>
    </row>
    <row r="111" spans="8:24" x14ac:dyDescent="0.25">
      <c r="H111">
        <v>30.9</v>
      </c>
      <c r="I111">
        <v>0.81170608454510429</v>
      </c>
      <c r="J111" s="4">
        <f t="shared" si="14"/>
        <v>-1.6200000000000001E-4</v>
      </c>
      <c r="K111" s="9">
        <f t="shared" si="15"/>
        <v>5.5000000000000002E-5</v>
      </c>
      <c r="L111" s="4">
        <f t="shared" si="16"/>
        <v>1.825E-3</v>
      </c>
      <c r="M111" s="5">
        <f t="shared" si="17"/>
        <v>0.81341045277141211</v>
      </c>
      <c r="N111" s="2">
        <f t="shared" si="18"/>
        <v>2.0997356786637594E-3</v>
      </c>
      <c r="O111">
        <f t="shared" si="19"/>
        <v>4339.6229999999996</v>
      </c>
      <c r="P111">
        <f t="shared" ca="1" si="25"/>
        <v>4338</v>
      </c>
      <c r="Q111" t="str">
        <f t="shared" ca="1" si="20"/>
        <v>0001000011110010</v>
      </c>
      <c r="R111">
        <f t="shared" ca="1" si="21"/>
        <v>0.8133501777648926</v>
      </c>
      <c r="S111">
        <f t="shared" ca="1" si="22"/>
        <v>29.760202133178712</v>
      </c>
      <c r="T111" s="1">
        <f t="shared" ca="1" si="24"/>
        <v>3.6886662356675939E-2</v>
      </c>
      <c r="V111" s="4">
        <f t="shared" ca="1" si="23"/>
        <v>1.1397980000000001</v>
      </c>
      <c r="X111" s="2"/>
    </row>
    <row r="112" spans="8:24" x14ac:dyDescent="0.25">
      <c r="H112">
        <v>31</v>
      </c>
      <c r="I112">
        <v>0.82032620185833582</v>
      </c>
      <c r="J112" s="4">
        <f t="shared" si="14"/>
        <v>-1.6200000000000001E-4</v>
      </c>
      <c r="K112" s="9">
        <f t="shared" si="15"/>
        <v>5.5000000000000002E-5</v>
      </c>
      <c r="L112" s="4">
        <f t="shared" si="16"/>
        <v>1.8550000000000001E-3</v>
      </c>
      <c r="M112" s="5">
        <f t="shared" si="17"/>
        <v>0.82207103604019038</v>
      </c>
      <c r="N112" s="2">
        <f t="shared" si="18"/>
        <v>2.127000427271345E-3</v>
      </c>
      <c r="O112">
        <f t="shared" si="19"/>
        <v>4385.8280000000004</v>
      </c>
      <c r="P112">
        <f t="shared" ca="1" si="25"/>
        <v>4384</v>
      </c>
      <c r="Q112" t="str">
        <f t="shared" ca="1" si="20"/>
        <v>0001000100100000</v>
      </c>
      <c r="R112">
        <f t="shared" ca="1" si="21"/>
        <v>0.82197491455078131</v>
      </c>
      <c r="S112">
        <f t="shared" ca="1" si="22"/>
        <v>29.863698974609374</v>
      </c>
      <c r="T112" s="1">
        <f t="shared" ca="1" si="24"/>
        <v>3.6654871786794392E-2</v>
      </c>
      <c r="V112" s="4">
        <f t="shared" ca="1" si="23"/>
        <v>1.136301</v>
      </c>
      <c r="X112" s="2"/>
    </row>
    <row r="113" spans="8:24" x14ac:dyDescent="0.25">
      <c r="H113">
        <v>31.1</v>
      </c>
      <c r="I113">
        <v>0.82809558250869664</v>
      </c>
      <c r="J113" s="4">
        <f t="shared" si="14"/>
        <v>-1.6100000000000001E-4</v>
      </c>
      <c r="K113" s="9">
        <f t="shared" si="15"/>
        <v>5.5999999999999999E-5</v>
      </c>
      <c r="L113" s="4">
        <f t="shared" si="16"/>
        <v>1.8860000000000001E-3</v>
      </c>
      <c r="M113" s="5">
        <f t="shared" si="17"/>
        <v>0.8298796260955128</v>
      </c>
      <c r="N113" s="2">
        <f t="shared" si="18"/>
        <v>2.1543933146116355E-3</v>
      </c>
      <c r="O113">
        <f t="shared" si="19"/>
        <v>4427.4876000000004</v>
      </c>
      <c r="P113">
        <f t="shared" ca="1" si="25"/>
        <v>4426</v>
      </c>
      <c r="Q113" t="str">
        <f t="shared" ca="1" si="20"/>
        <v>0001000101001010</v>
      </c>
      <c r="R113">
        <f t="shared" ca="1" si="21"/>
        <v>0.82984967422485356</v>
      </c>
      <c r="S113">
        <f t="shared" ca="1" si="22"/>
        <v>29.958196090698241</v>
      </c>
      <c r="T113" s="1">
        <f t="shared" ca="1" si="24"/>
        <v>3.671395206758072E-2</v>
      </c>
      <c r="V113" s="4">
        <f t="shared" ca="1" si="23"/>
        <v>1.141804</v>
      </c>
      <c r="X113" s="2"/>
    </row>
    <row r="114" spans="8:24" x14ac:dyDescent="0.25">
      <c r="H114">
        <v>31.200000000000003</v>
      </c>
      <c r="I114">
        <v>0.83589213069428647</v>
      </c>
      <c r="J114" s="4">
        <f t="shared" si="14"/>
        <v>-1.6100000000000001E-4</v>
      </c>
      <c r="K114" s="9">
        <f t="shared" si="15"/>
        <v>5.5999999999999999E-5</v>
      </c>
      <c r="L114" s="4">
        <f t="shared" si="16"/>
        <v>1.916E-3</v>
      </c>
      <c r="M114" s="5">
        <f t="shared" si="17"/>
        <v>0.83771608358243044</v>
      </c>
      <c r="N114" s="2">
        <f t="shared" si="18"/>
        <v>2.1820433775695453E-3</v>
      </c>
      <c r="O114">
        <f t="shared" si="19"/>
        <v>4469.2959000000001</v>
      </c>
      <c r="P114">
        <f t="shared" ca="1" si="25"/>
        <v>4471</v>
      </c>
      <c r="Q114" t="str">
        <f t="shared" ca="1" si="20"/>
        <v>0001000101110111</v>
      </c>
      <c r="R114">
        <f t="shared" ca="1" si="21"/>
        <v>0.8382869167327881</v>
      </c>
      <c r="S114">
        <f t="shared" ca="1" si="22"/>
        <v>30.059443000793461</v>
      </c>
      <c r="T114" s="1">
        <f t="shared" ca="1" si="24"/>
        <v>3.6556314077132744E-2</v>
      </c>
      <c r="V114" s="4">
        <f t="shared" ca="1" si="23"/>
        <v>1.140557</v>
      </c>
      <c r="X114" s="2"/>
    </row>
    <row r="115" spans="8:24" x14ac:dyDescent="0.25">
      <c r="H115">
        <v>31.3</v>
      </c>
      <c r="I115">
        <v>0.84458984034423867</v>
      </c>
      <c r="J115" s="4">
        <f t="shared" si="14"/>
        <v>-1.6000000000000001E-4</v>
      </c>
      <c r="K115" s="9">
        <f t="shared" si="15"/>
        <v>5.7000000000000003E-5</v>
      </c>
      <c r="L115" s="4">
        <f t="shared" si="16"/>
        <v>1.9469999999999999E-3</v>
      </c>
      <c r="M115" s="5">
        <f t="shared" si="17"/>
        <v>0.84645577681569895</v>
      </c>
      <c r="N115" s="2">
        <f t="shared" si="18"/>
        <v>2.2092812183245681E-3</v>
      </c>
      <c r="O115">
        <f t="shared" si="19"/>
        <v>4515.9229999999998</v>
      </c>
      <c r="P115">
        <f t="shared" ca="1" si="25"/>
        <v>4519</v>
      </c>
      <c r="Q115" t="str">
        <f t="shared" ca="1" si="20"/>
        <v>0001000110100111</v>
      </c>
      <c r="R115">
        <f t="shared" ca="1" si="21"/>
        <v>0.84728664207458493</v>
      </c>
      <c r="S115">
        <f t="shared" ca="1" si="22"/>
        <v>30.16743970489502</v>
      </c>
      <c r="T115" s="1">
        <f t="shared" ca="1" si="24"/>
        <v>3.6184034987379557E-2</v>
      </c>
      <c r="V115" s="4">
        <f t="shared" ca="1" si="23"/>
        <v>1.13256</v>
      </c>
      <c r="X115" s="2"/>
    </row>
    <row r="116" spans="8:24" x14ac:dyDescent="0.25">
      <c r="H116">
        <v>31.4</v>
      </c>
      <c r="I116">
        <v>0.8524395855056488</v>
      </c>
      <c r="J116" s="4">
        <f t="shared" si="14"/>
        <v>-1.5899999999999999E-4</v>
      </c>
      <c r="K116" s="9">
        <f t="shared" si="15"/>
        <v>5.7000000000000003E-5</v>
      </c>
      <c r="L116" s="4">
        <f t="shared" si="16"/>
        <v>1.977E-3</v>
      </c>
      <c r="M116" s="5">
        <f t="shared" si="17"/>
        <v>0.85434551191670816</v>
      </c>
      <c r="N116" s="2">
        <f t="shared" si="18"/>
        <v>2.2358492536791344E-3</v>
      </c>
      <c r="O116">
        <f t="shared" si="19"/>
        <v>4558.0154000000002</v>
      </c>
      <c r="P116">
        <f t="shared" ca="1" si="25"/>
        <v>4557</v>
      </c>
      <c r="Q116" t="str">
        <f t="shared" ca="1" si="20"/>
        <v>0001000111001101</v>
      </c>
      <c r="R116">
        <f t="shared" ca="1" si="21"/>
        <v>0.85441142463684083</v>
      </c>
      <c r="S116">
        <f t="shared" ca="1" si="22"/>
        <v>30.252937095642093</v>
      </c>
      <c r="T116" s="1">
        <f t="shared" ca="1" si="24"/>
        <v>3.6530665743882355E-2</v>
      </c>
      <c r="V116" s="4">
        <f t="shared" ca="1" si="23"/>
        <v>1.1470629999999999</v>
      </c>
      <c r="X116" s="2"/>
    </row>
    <row r="117" spans="8:24" x14ac:dyDescent="0.25">
      <c r="H117">
        <v>31.5</v>
      </c>
      <c r="I117">
        <v>0.86031633918793504</v>
      </c>
      <c r="J117" s="4">
        <f t="shared" si="14"/>
        <v>-1.5899999999999999E-4</v>
      </c>
      <c r="K117" s="9">
        <f t="shared" si="15"/>
        <v>5.8E-5</v>
      </c>
      <c r="L117" s="4">
        <f t="shared" si="16"/>
        <v>2.0079999999999998E-3</v>
      </c>
      <c r="M117" s="5">
        <f t="shared" si="17"/>
        <v>0.86226465014141906</v>
      </c>
      <c r="N117" s="2">
        <f t="shared" si="18"/>
        <v>2.2646448343908721E-3</v>
      </c>
      <c r="O117">
        <f t="shared" si="19"/>
        <v>4600.2647999999999</v>
      </c>
      <c r="P117">
        <f t="shared" ca="1" si="25"/>
        <v>4603</v>
      </c>
      <c r="Q117" t="str">
        <f t="shared" ca="1" si="20"/>
        <v>0001000111111011</v>
      </c>
      <c r="R117">
        <f t="shared" ca="1" si="21"/>
        <v>0.86303616142272954</v>
      </c>
      <c r="S117">
        <f t="shared" ca="1" si="22"/>
        <v>30.356433937072758</v>
      </c>
      <c r="T117" s="1">
        <f t="shared" ca="1" si="24"/>
        <v>3.630368453737276E-2</v>
      </c>
      <c r="V117" s="4">
        <f t="shared" ca="1" si="23"/>
        <v>1.1435660000000001</v>
      </c>
      <c r="X117" s="2"/>
    </row>
    <row r="118" spans="8:24" x14ac:dyDescent="0.25">
      <c r="H118">
        <v>31.6</v>
      </c>
      <c r="I118">
        <v>0.86996224843285996</v>
      </c>
      <c r="J118" s="4">
        <f t="shared" si="14"/>
        <v>-1.5799999999999999E-4</v>
      </c>
      <c r="K118" s="9">
        <f t="shared" si="15"/>
        <v>5.8E-5</v>
      </c>
      <c r="L118" s="4">
        <f t="shared" si="16"/>
        <v>2.0379999999999999E-3</v>
      </c>
      <c r="M118" s="5">
        <f t="shared" si="17"/>
        <v>0.87195517487525576</v>
      </c>
      <c r="N118" s="2">
        <f t="shared" si="18"/>
        <v>2.2908194533565423E-3</v>
      </c>
      <c r="O118">
        <f t="shared" si="19"/>
        <v>4651.9647000000004</v>
      </c>
      <c r="P118">
        <f t="shared" ca="1" si="25"/>
        <v>4655</v>
      </c>
      <c r="Q118" t="str">
        <f t="shared" ca="1" si="20"/>
        <v>0001001000101111</v>
      </c>
      <c r="R118">
        <f t="shared" ca="1" si="21"/>
        <v>0.87278586387634283</v>
      </c>
      <c r="S118">
        <f t="shared" ca="1" si="22"/>
        <v>30.473430366516112</v>
      </c>
      <c r="T118" s="1">
        <f t="shared" ca="1" si="24"/>
        <v>3.5650937768477504E-2</v>
      </c>
      <c r="V118" s="4">
        <f t="shared" ca="1" si="23"/>
        <v>1.1265700000000001</v>
      </c>
      <c r="X118" s="2"/>
    </row>
    <row r="119" spans="8:24" x14ac:dyDescent="0.25">
      <c r="H119">
        <v>31.700000000000003</v>
      </c>
      <c r="I119">
        <v>0.87789088624060807</v>
      </c>
      <c r="J119" s="4">
        <f t="shared" si="14"/>
        <v>-1.5799999999999999E-4</v>
      </c>
      <c r="K119" s="9">
        <f t="shared" si="15"/>
        <v>5.8999999999999998E-5</v>
      </c>
      <c r="L119" s="4">
        <f t="shared" si="16"/>
        <v>2.0690000000000001E-3</v>
      </c>
      <c r="M119" s="5">
        <f t="shared" si="17"/>
        <v>0.87992733589657812</v>
      </c>
      <c r="N119" s="2">
        <f t="shared" si="18"/>
        <v>2.3197070249706539E-3</v>
      </c>
      <c r="O119">
        <f t="shared" si="19"/>
        <v>4694.4969000000001</v>
      </c>
      <c r="P119">
        <f t="shared" ca="1" si="25"/>
        <v>4694</v>
      </c>
      <c r="Q119" t="str">
        <f t="shared" ca="1" si="20"/>
        <v>0001001001010110</v>
      </c>
      <c r="R119">
        <f t="shared" ca="1" si="21"/>
        <v>0.88009814071655279</v>
      </c>
      <c r="S119">
        <f t="shared" ca="1" si="22"/>
        <v>30.561177688598633</v>
      </c>
      <c r="T119" s="1">
        <f t="shared" ca="1" si="24"/>
        <v>3.5924994050516391E-2</v>
      </c>
      <c r="V119" s="4">
        <f t="shared" ca="1" si="23"/>
        <v>1.138822</v>
      </c>
      <c r="X119" s="2"/>
    </row>
    <row r="120" spans="8:24" x14ac:dyDescent="0.25">
      <c r="H120">
        <v>31.8</v>
      </c>
      <c r="I120">
        <v>0.88584636744454393</v>
      </c>
      <c r="J120" s="4">
        <f t="shared" si="14"/>
        <v>-1.5699999999999999E-4</v>
      </c>
      <c r="K120" s="9">
        <f t="shared" si="15"/>
        <v>5.8999999999999998E-5</v>
      </c>
      <c r="L120" s="4">
        <f t="shared" si="16"/>
        <v>2.0990000000000002E-3</v>
      </c>
      <c r="M120" s="5">
        <f t="shared" si="17"/>
        <v>0.8879250002781276</v>
      </c>
      <c r="N120" s="2">
        <f t="shared" si="18"/>
        <v>2.3464936020226989E-3</v>
      </c>
      <c r="O120">
        <f t="shared" si="19"/>
        <v>4737.1652000000004</v>
      </c>
      <c r="P120">
        <f t="shared" ca="1" si="25"/>
        <v>4742</v>
      </c>
      <c r="Q120" t="str">
        <f t="shared" ca="1" si="20"/>
        <v>0001001010000110</v>
      </c>
      <c r="R120">
        <f t="shared" ca="1" si="21"/>
        <v>0.88909786605834962</v>
      </c>
      <c r="S120">
        <f t="shared" ca="1" si="22"/>
        <v>30.669174392700199</v>
      </c>
      <c r="T120" s="1">
        <f t="shared" ca="1" si="24"/>
        <v>3.5560553688672995E-2</v>
      </c>
      <c r="V120" s="4">
        <f t="shared" ca="1" si="23"/>
        <v>1.1308260000000001</v>
      </c>
      <c r="X120" s="2"/>
    </row>
    <row r="121" spans="8:24" x14ac:dyDescent="0.25">
      <c r="H121">
        <v>31.9</v>
      </c>
      <c r="I121">
        <v>0.8938286367024495</v>
      </c>
      <c r="J121" s="4">
        <f t="shared" si="14"/>
        <v>-1.5699999999999999E-4</v>
      </c>
      <c r="K121" s="9">
        <f t="shared" si="15"/>
        <v>6.0000000000000002E-5</v>
      </c>
      <c r="L121" s="4">
        <f t="shared" si="16"/>
        <v>2.1299999999999999E-3</v>
      </c>
      <c r="M121" s="5">
        <f t="shared" si="17"/>
        <v>0.89595189068961834</v>
      </c>
      <c r="N121" s="2">
        <f t="shared" si="18"/>
        <v>2.3754597917135848E-3</v>
      </c>
      <c r="O121">
        <f t="shared" si="19"/>
        <v>4779.9894999999997</v>
      </c>
      <c r="P121">
        <f t="shared" ca="1" si="25"/>
        <v>4785</v>
      </c>
      <c r="Q121" t="str">
        <f t="shared" ca="1" si="20"/>
        <v>0001001010110001</v>
      </c>
      <c r="R121">
        <f t="shared" ca="1" si="21"/>
        <v>0.89716012001037604</v>
      </c>
      <c r="S121">
        <f t="shared" ca="1" si="22"/>
        <v>30.765921440124515</v>
      </c>
      <c r="T121" s="1">
        <f t="shared" ca="1" si="24"/>
        <v>3.5551052033714219E-2</v>
      </c>
      <c r="V121" s="4">
        <f t="shared" ca="1" si="23"/>
        <v>1.1340790000000001</v>
      </c>
      <c r="X121" s="2"/>
    </row>
    <row r="122" spans="8:24" x14ac:dyDescent="0.25">
      <c r="H122">
        <v>32</v>
      </c>
      <c r="I122">
        <v>0.90270479181287655</v>
      </c>
      <c r="J122" s="4">
        <f t="shared" si="14"/>
        <v>-1.56E-4</v>
      </c>
      <c r="K122" s="9">
        <f t="shared" si="15"/>
        <v>6.0000000000000002E-5</v>
      </c>
      <c r="L122" s="4">
        <f t="shared" si="16"/>
        <v>2.16E-3</v>
      </c>
      <c r="M122" s="5">
        <f t="shared" si="17"/>
        <v>0.90487319262895516</v>
      </c>
      <c r="N122" s="2">
        <f t="shared" si="18"/>
        <v>2.4021151053423236E-3</v>
      </c>
      <c r="O122">
        <f t="shared" si="19"/>
        <v>4827.5855000000001</v>
      </c>
      <c r="P122">
        <f t="shared" ca="1" si="25"/>
        <v>4829</v>
      </c>
      <c r="Q122" t="str">
        <f t="shared" ca="1" si="20"/>
        <v>0001001011011101</v>
      </c>
      <c r="R122">
        <f t="shared" ca="1" si="21"/>
        <v>0.90540986824035641</v>
      </c>
      <c r="S122">
        <f t="shared" ca="1" si="22"/>
        <v>30.86491841888428</v>
      </c>
      <c r="T122" s="1">
        <f t="shared" ca="1" si="24"/>
        <v>3.5471299409866264E-2</v>
      </c>
      <c r="V122" s="4">
        <f t="shared" ca="1" si="23"/>
        <v>1.1350819999999999</v>
      </c>
      <c r="X122" s="2"/>
    </row>
    <row r="123" spans="8:24" x14ac:dyDescent="0.25">
      <c r="H123">
        <v>32.1</v>
      </c>
      <c r="I123">
        <v>0.91073947900725294</v>
      </c>
      <c r="J123" s="4">
        <f t="shared" si="14"/>
        <v>-1.55E-4</v>
      </c>
      <c r="K123" s="9">
        <f t="shared" si="15"/>
        <v>6.0999999999999999E-5</v>
      </c>
      <c r="L123" s="4">
        <f t="shared" si="16"/>
        <v>2.1909999999999998E-3</v>
      </c>
      <c r="M123" s="5">
        <f t="shared" si="17"/>
        <v>0.91295263114408975</v>
      </c>
      <c r="N123" s="2">
        <f t="shared" si="18"/>
        <v>2.4300606132164723E-3</v>
      </c>
      <c r="O123">
        <f t="shared" si="19"/>
        <v>4870.6900999999998</v>
      </c>
      <c r="P123">
        <f t="shared" ca="1" si="25"/>
        <v>4870</v>
      </c>
      <c r="Q123" t="str">
        <f t="shared" ca="1" si="20"/>
        <v>0001001100000110</v>
      </c>
      <c r="R123">
        <f t="shared" ca="1" si="21"/>
        <v>0.9130971336364746</v>
      </c>
      <c r="S123">
        <f t="shared" ca="1" si="22"/>
        <v>30.957165603637698</v>
      </c>
      <c r="T123" s="1">
        <f t="shared" ca="1" si="24"/>
        <v>3.5602317643685467E-2</v>
      </c>
      <c r="V123" s="4">
        <f t="shared" ca="1" si="23"/>
        <v>1.1428339999999999</v>
      </c>
      <c r="X123" s="2"/>
    </row>
    <row r="124" spans="8:24" x14ac:dyDescent="0.25">
      <c r="H124">
        <v>32.200000000000003</v>
      </c>
      <c r="I124">
        <v>0.91880078467908355</v>
      </c>
      <c r="J124" s="4">
        <f t="shared" si="14"/>
        <v>-1.55E-4</v>
      </c>
      <c r="K124" s="9">
        <f t="shared" si="15"/>
        <v>6.0999999999999999E-5</v>
      </c>
      <c r="L124" s="4">
        <f t="shared" si="16"/>
        <v>2.2209999999999999E-3</v>
      </c>
      <c r="M124" s="5">
        <f t="shared" si="17"/>
        <v>0.92105932862997075</v>
      </c>
      <c r="N124" s="2">
        <f t="shared" si="18"/>
        <v>2.4581432542812452E-3</v>
      </c>
      <c r="O124">
        <f t="shared" si="19"/>
        <v>4913.9400999999998</v>
      </c>
      <c r="P124">
        <f t="shared" ca="1" si="25"/>
        <v>4917</v>
      </c>
      <c r="Q124" t="str">
        <f t="shared" ca="1" si="20"/>
        <v>0001001100110101</v>
      </c>
      <c r="R124">
        <f t="shared" ca="1" si="21"/>
        <v>0.92190936470031737</v>
      </c>
      <c r="S124">
        <f t="shared" ca="1" si="22"/>
        <v>31.062912376403812</v>
      </c>
      <c r="T124" s="1">
        <f t="shared" ca="1" si="24"/>
        <v>3.5313280235906547E-2</v>
      </c>
      <c r="V124" s="4">
        <f t="shared" ca="1" si="23"/>
        <v>1.1370880000000001</v>
      </c>
      <c r="X124" s="2"/>
    </row>
    <row r="125" spans="8:24" x14ac:dyDescent="0.25">
      <c r="H125">
        <v>32.299999999999997</v>
      </c>
      <c r="I125">
        <v>0.92688865159483547</v>
      </c>
      <c r="J125" s="4">
        <f t="shared" si="14"/>
        <v>-1.54E-4</v>
      </c>
      <c r="K125" s="9">
        <f t="shared" si="15"/>
        <v>6.2000000000000003E-5</v>
      </c>
      <c r="L125" s="4">
        <f t="shared" si="16"/>
        <v>2.2520000000000001E-3</v>
      </c>
      <c r="M125" s="5">
        <f t="shared" si="17"/>
        <v>0.92919306375841948</v>
      </c>
      <c r="N125" s="2">
        <f t="shared" si="18"/>
        <v>2.4861801464706305E-3</v>
      </c>
      <c r="O125">
        <f t="shared" si="19"/>
        <v>4957.3343000000004</v>
      </c>
      <c r="P125">
        <f t="shared" ca="1" si="25"/>
        <v>4962</v>
      </c>
      <c r="Q125" t="str">
        <f t="shared" ca="1" si="20"/>
        <v>0001001101100010</v>
      </c>
      <c r="R125">
        <f t="shared" ca="1" si="21"/>
        <v>0.93034660720825202</v>
      </c>
      <c r="S125">
        <f t="shared" ca="1" si="22"/>
        <v>31.164159286499025</v>
      </c>
      <c r="T125" s="1">
        <f t="shared" ca="1" si="24"/>
        <v>3.5165347167212757E-2</v>
      </c>
      <c r="V125" s="4">
        <f t="shared" ca="1" si="23"/>
        <v>1.1358410000000001</v>
      </c>
      <c r="X125" s="2"/>
    </row>
    <row r="126" spans="8:24" x14ac:dyDescent="0.25">
      <c r="H126">
        <v>32.4</v>
      </c>
      <c r="I126">
        <v>0.93500302185177786</v>
      </c>
      <c r="J126" s="4">
        <f t="shared" si="14"/>
        <v>-1.54E-4</v>
      </c>
      <c r="K126" s="9">
        <f t="shared" si="15"/>
        <v>6.2000000000000003E-5</v>
      </c>
      <c r="L126" s="4">
        <f t="shared" si="16"/>
        <v>2.2820000000000002E-3</v>
      </c>
      <c r="M126" s="5">
        <f t="shared" si="17"/>
        <v>0.93735393116670029</v>
      </c>
      <c r="N126" s="2">
        <f t="shared" si="18"/>
        <v>2.5143333871439758E-3</v>
      </c>
      <c r="O126">
        <f t="shared" si="19"/>
        <v>5000.8733000000002</v>
      </c>
      <c r="P126">
        <f t="shared" ca="1" si="25"/>
        <v>5004</v>
      </c>
      <c r="Q126" t="str">
        <f t="shared" ca="1" si="20"/>
        <v>0001001110001100</v>
      </c>
      <c r="R126">
        <f t="shared" ca="1" si="21"/>
        <v>0.93822136688232427</v>
      </c>
      <c r="S126">
        <f t="shared" ca="1" si="22"/>
        <v>31.258656402587892</v>
      </c>
      <c r="T126" s="1">
        <f t="shared" ca="1" si="24"/>
        <v>3.5226654241114395E-2</v>
      </c>
      <c r="V126" s="4">
        <f t="shared" ca="1" si="23"/>
        <v>1.1413439999999999</v>
      </c>
      <c r="X126" s="2"/>
    </row>
    <row r="127" spans="8:24" x14ac:dyDescent="0.25">
      <c r="H127">
        <v>32.5</v>
      </c>
      <c r="I127">
        <v>0.94400602463942607</v>
      </c>
      <c r="J127" s="4">
        <f t="shared" si="14"/>
        <v>-1.5300000000000001E-4</v>
      </c>
      <c r="K127" s="9">
        <f t="shared" si="15"/>
        <v>6.3E-5</v>
      </c>
      <c r="L127" s="4">
        <f t="shared" si="16"/>
        <v>2.313E-3</v>
      </c>
      <c r="M127" s="5">
        <f t="shared" si="17"/>
        <v>0.94640592739549179</v>
      </c>
      <c r="N127" s="2">
        <f t="shared" si="18"/>
        <v>2.5422536439662973E-3</v>
      </c>
      <c r="O127">
        <f t="shared" si="19"/>
        <v>5049.1665999999996</v>
      </c>
      <c r="P127">
        <f t="shared" ca="1" si="25"/>
        <v>5050</v>
      </c>
      <c r="Q127" t="str">
        <f t="shared" ca="1" si="20"/>
        <v>0001001110111010</v>
      </c>
      <c r="R127">
        <f t="shared" ca="1" si="21"/>
        <v>0.94684610366821287</v>
      </c>
      <c r="S127">
        <f t="shared" ca="1" si="22"/>
        <v>31.362153244018554</v>
      </c>
      <c r="T127" s="1">
        <f t="shared" ca="1" si="24"/>
        <v>3.5010669414813726E-2</v>
      </c>
      <c r="V127" s="4">
        <f t="shared" ca="1" si="23"/>
        <v>1.1378470000000001</v>
      </c>
      <c r="X127" s="2"/>
    </row>
    <row r="128" spans="8:24" x14ac:dyDescent="0.25">
      <c r="H128">
        <v>32.6</v>
      </c>
      <c r="I128">
        <v>0.95217222949896918</v>
      </c>
      <c r="J128" s="4">
        <f t="shared" si="14"/>
        <v>-1.5300000000000001E-4</v>
      </c>
      <c r="K128" s="9">
        <f t="shared" si="15"/>
        <v>6.3E-5</v>
      </c>
      <c r="L128" s="4">
        <f t="shared" si="16"/>
        <v>2.343E-3</v>
      </c>
      <c r="M128" s="5">
        <f t="shared" si="17"/>
        <v>0.95461976772073887</v>
      </c>
      <c r="N128" s="2">
        <f t="shared" si="18"/>
        <v>2.5704784764176269E-3</v>
      </c>
      <c r="O128">
        <f t="shared" si="19"/>
        <v>5092.9881999999998</v>
      </c>
      <c r="P128">
        <f t="shared" ca="1" si="25"/>
        <v>5095</v>
      </c>
      <c r="Q128" t="str">
        <f t="shared" ca="1" si="20"/>
        <v>0001001111100111</v>
      </c>
      <c r="R128">
        <f t="shared" ca="1" si="21"/>
        <v>0.95528334617614752</v>
      </c>
      <c r="S128">
        <f t="shared" ca="1" si="22"/>
        <v>31.463400154113774</v>
      </c>
      <c r="T128" s="1">
        <f t="shared" ca="1" si="24"/>
        <v>3.4865025947430281E-2</v>
      </c>
      <c r="V128" s="4">
        <f t="shared" ca="1" si="23"/>
        <v>1.1366000000000001</v>
      </c>
      <c r="X128" s="2"/>
    </row>
    <row r="129" spans="8:24" x14ac:dyDescent="0.25">
      <c r="H129">
        <v>32.700000000000003</v>
      </c>
      <c r="I129">
        <v>0.95950456892844371</v>
      </c>
      <c r="J129" s="4">
        <f t="shared" si="14"/>
        <v>-1.5200000000000001E-4</v>
      </c>
      <c r="K129" s="9">
        <f t="shared" si="15"/>
        <v>6.3999999999999997E-5</v>
      </c>
      <c r="L129" s="4">
        <f t="shared" si="16"/>
        <v>2.3739999999999998E-3</v>
      </c>
      <c r="M129" s="5">
        <f t="shared" si="17"/>
        <v>0.96199821499885096</v>
      </c>
      <c r="N129" s="2">
        <f t="shared" si="18"/>
        <v>2.598889209242753E-3</v>
      </c>
      <c r="O129">
        <f t="shared" si="19"/>
        <v>5132.3530000000001</v>
      </c>
      <c r="P129">
        <f t="shared" ca="1" si="25"/>
        <v>5132</v>
      </c>
      <c r="Q129" t="str">
        <f t="shared" ca="1" si="20"/>
        <v>0001010000001100</v>
      </c>
      <c r="R129">
        <f t="shared" ca="1" si="21"/>
        <v>0.96222063446044925</v>
      </c>
      <c r="S129">
        <f t="shared" ca="1" si="22"/>
        <v>31.546647613525391</v>
      </c>
      <c r="T129" s="1">
        <f t="shared" ca="1" si="24"/>
        <v>3.5270715182709848E-2</v>
      </c>
      <c r="V129" s="4">
        <f t="shared" ca="1" si="23"/>
        <v>1.1533519999999999</v>
      </c>
      <c r="X129" s="2"/>
    </row>
    <row r="130" spans="8:24" x14ac:dyDescent="0.25">
      <c r="H130">
        <v>32.799999999999997</v>
      </c>
      <c r="I130">
        <v>0.96772436639382187</v>
      </c>
      <c r="J130" s="4">
        <f t="shared" si="14"/>
        <v>-1.5100000000000001E-4</v>
      </c>
      <c r="K130" s="9">
        <f t="shared" si="15"/>
        <v>6.3999999999999997E-5</v>
      </c>
      <c r="L130" s="4">
        <f t="shared" si="16"/>
        <v>2.4039999999999999E-3</v>
      </c>
      <c r="M130" s="5">
        <f t="shared" si="17"/>
        <v>0.97026574581476055</v>
      </c>
      <c r="N130" s="2">
        <f t="shared" si="18"/>
        <v>2.6261397451518252E-3</v>
      </c>
      <c r="O130">
        <f t="shared" si="19"/>
        <v>5176.4610000000002</v>
      </c>
      <c r="P130">
        <f t="shared" ca="1" si="25"/>
        <v>5176</v>
      </c>
      <c r="Q130" t="str">
        <f t="shared" ca="1" si="20"/>
        <v>0001010000111000</v>
      </c>
      <c r="R130">
        <f t="shared" ca="1" si="21"/>
        <v>0.97047038269042973</v>
      </c>
      <c r="S130">
        <f t="shared" ca="1" si="22"/>
        <v>31.645644592285155</v>
      </c>
      <c r="T130" s="1">
        <f t="shared" ca="1" si="24"/>
        <v>3.5193762430330552E-2</v>
      </c>
      <c r="V130" s="4">
        <f t="shared" ca="1" si="23"/>
        <v>1.154355</v>
      </c>
      <c r="X130" s="2"/>
    </row>
    <row r="131" spans="8:24" x14ac:dyDescent="0.25">
      <c r="H131">
        <v>32.9</v>
      </c>
      <c r="I131">
        <v>0.97597037099435158</v>
      </c>
      <c r="J131" s="4">
        <f t="shared" ref="J131:J194" si="26">ROUND(H131*0.00000575 -0.00034,6)</f>
        <v>-1.5100000000000001E-4</v>
      </c>
      <c r="K131" s="9">
        <f t="shared" ref="K131:K194" si="27">ROUND(H131*0.000005-0.0001,6)</f>
        <v>6.4999999999999994E-5</v>
      </c>
      <c r="L131" s="4">
        <f t="shared" ref="L131:L194" si="28">ROUND(K131+($C$24*(H131-25)),6)</f>
        <v>2.4350000000000001E-3</v>
      </c>
      <c r="M131" s="5">
        <f t="shared" ref="M131:M194" si="29">(I131-J131)/(1-L131)+$C$26+$D$27</f>
        <v>0.97856202830326999</v>
      </c>
      <c r="N131" s="2">
        <f t="shared" ref="N131:N194" si="30">ABS(I131-M131)/I131</f>
        <v>2.6554672005851447E-3</v>
      </c>
      <c r="O131">
        <f t="shared" ref="O131:O194" si="31">ROUND((M131*(2^($C$12-1)))/$C$44,4)</f>
        <v>5220.7224999999999</v>
      </c>
      <c r="P131">
        <f t="shared" ca="1" si="25"/>
        <v>5224</v>
      </c>
      <c r="Q131" t="str">
        <f t="shared" ref="Q131:Q194" ca="1" si="32">_xlfn.BASE(P131,2,16)</f>
        <v>0001010001101000</v>
      </c>
      <c r="R131">
        <f t="shared" ref="R131:R194" ca="1" si="33">($C$16/2^($C$12-1)) * P131</f>
        <v>0.97947010803222656</v>
      </c>
      <c r="S131">
        <f t="shared" ref="S131:S194" ca="1" si="34">(R131+5/3)/(1/12)</f>
        <v>31.753641296386721</v>
      </c>
      <c r="T131" s="1">
        <f t="shared" ca="1" si="24"/>
        <v>3.4843729593108733E-2</v>
      </c>
      <c r="V131" s="4">
        <f t="shared" ref="V131:V194" ca="1" si="35">ROUND(ABS(H131-S131),6)</f>
        <v>1.1463589999999999</v>
      </c>
      <c r="X131" s="2"/>
    </row>
    <row r="132" spans="8:24" x14ac:dyDescent="0.25">
      <c r="H132">
        <v>33</v>
      </c>
      <c r="I132">
        <v>0.98424252299414594</v>
      </c>
      <c r="J132" s="4">
        <f t="shared" si="26"/>
        <v>-1.4999999999999999E-4</v>
      </c>
      <c r="K132" s="9">
        <f t="shared" si="27"/>
        <v>6.4999999999999994E-5</v>
      </c>
      <c r="L132" s="4">
        <f t="shared" si="28"/>
        <v>2.4650000000000002E-3</v>
      </c>
      <c r="M132" s="5">
        <f t="shared" si="29"/>
        <v>0.98688304673434613</v>
      </c>
      <c r="N132" s="2">
        <f t="shared" si="30"/>
        <v>2.6827978658831935E-3</v>
      </c>
      <c r="O132">
        <f t="shared" si="31"/>
        <v>5265.1158999999998</v>
      </c>
      <c r="P132">
        <f t="shared" ca="1" si="25"/>
        <v>5266</v>
      </c>
      <c r="Q132" t="str">
        <f t="shared" ca="1" si="32"/>
        <v>0001010010010010</v>
      </c>
      <c r="R132">
        <f t="shared" ca="1" si="33"/>
        <v>0.98734486770629881</v>
      </c>
      <c r="S132">
        <f t="shared" ca="1" si="34"/>
        <v>31.848138412475588</v>
      </c>
      <c r="T132" s="1">
        <f t="shared" ref="T132:T195" ca="1" si="36">ABS(H132-S132)/H132</f>
        <v>3.4904896591648839E-2</v>
      </c>
      <c r="V132" s="4">
        <f t="shared" ca="1" si="35"/>
        <v>1.1518619999999999</v>
      </c>
      <c r="X132" s="2"/>
    </row>
    <row r="133" spans="8:24" x14ac:dyDescent="0.25">
      <c r="H133">
        <v>33.1</v>
      </c>
      <c r="I133">
        <v>0.99254076050420348</v>
      </c>
      <c r="J133" s="4">
        <f t="shared" si="26"/>
        <v>-1.4999999999999999E-4</v>
      </c>
      <c r="K133" s="9">
        <f t="shared" si="27"/>
        <v>6.6000000000000005E-5</v>
      </c>
      <c r="L133" s="4">
        <f t="shared" si="28"/>
        <v>2.496E-3</v>
      </c>
      <c r="M133" s="5">
        <f t="shared" si="29"/>
        <v>0.99523271659682921</v>
      </c>
      <c r="N133" s="2">
        <f t="shared" si="30"/>
        <v>2.7121869446029012E-3</v>
      </c>
      <c r="O133">
        <f t="shared" si="31"/>
        <v>5309.6621999999998</v>
      </c>
      <c r="P133">
        <f t="shared" ca="1" si="25"/>
        <v>5309</v>
      </c>
      <c r="Q133" t="str">
        <f t="shared" ca="1" si="32"/>
        <v>0001010010111101</v>
      </c>
      <c r="R133">
        <f t="shared" ca="1" si="33"/>
        <v>0.99540712165832523</v>
      </c>
      <c r="S133">
        <f t="shared" ca="1" si="34"/>
        <v>31.944885459899904</v>
      </c>
      <c r="T133" s="1">
        <f t="shared" ca="1" si="36"/>
        <v>3.4897720244715928E-2</v>
      </c>
      <c r="V133" s="4">
        <f t="shared" ca="1" si="35"/>
        <v>1.1551149999999999</v>
      </c>
      <c r="X133" s="2"/>
    </row>
    <row r="134" spans="8:24" x14ac:dyDescent="0.25">
      <c r="H134">
        <v>33.200000000000003</v>
      </c>
      <c r="I134">
        <v>1.0008650220137523</v>
      </c>
      <c r="J134" s="4">
        <f t="shared" si="26"/>
        <v>-1.4899999999999999E-4</v>
      </c>
      <c r="K134" s="9">
        <f t="shared" si="27"/>
        <v>6.6000000000000005E-5</v>
      </c>
      <c r="L134" s="4">
        <f t="shared" si="28"/>
        <v>2.526E-3</v>
      </c>
      <c r="M134" s="5">
        <f t="shared" si="29"/>
        <v>1.0036069867542934</v>
      </c>
      <c r="N134" s="2">
        <f t="shared" si="30"/>
        <v>2.7395949306173659E-3</v>
      </c>
      <c r="O134">
        <f t="shared" si="31"/>
        <v>5354.3397999999997</v>
      </c>
      <c r="P134">
        <f t="shared" ca="1" si="25"/>
        <v>5354</v>
      </c>
      <c r="Q134" t="str">
        <f t="shared" ca="1" si="32"/>
        <v>0001010011101010</v>
      </c>
      <c r="R134">
        <f t="shared" ca="1" si="33"/>
        <v>1.0038443641662598</v>
      </c>
      <c r="S134">
        <f t="shared" ca="1" si="34"/>
        <v>32.046132369995121</v>
      </c>
      <c r="T134" s="1">
        <f t="shared" ca="1" si="36"/>
        <v>3.4755049096532591E-2</v>
      </c>
      <c r="V134" s="4">
        <f t="shared" ca="1" si="35"/>
        <v>1.1538679999999999</v>
      </c>
      <c r="X134" s="2"/>
    </row>
    <row r="135" spans="8:24" x14ac:dyDescent="0.25">
      <c r="H135">
        <v>33.299999999999997</v>
      </c>
      <c r="I135">
        <v>1.0092152451391387</v>
      </c>
      <c r="J135" s="4">
        <f t="shared" si="26"/>
        <v>-1.4899999999999999E-4</v>
      </c>
      <c r="K135" s="9">
        <f t="shared" si="27"/>
        <v>6.7000000000000002E-5</v>
      </c>
      <c r="L135" s="4">
        <f t="shared" si="28"/>
        <v>2.5569999999999998E-3</v>
      </c>
      <c r="M135" s="5">
        <f t="shared" si="29"/>
        <v>1.0120098059068423</v>
      </c>
      <c r="N135" s="2">
        <f t="shared" si="30"/>
        <v>2.7690433543919443E-3</v>
      </c>
      <c r="O135">
        <f t="shared" si="31"/>
        <v>5399.1696000000002</v>
      </c>
      <c r="P135">
        <f t="shared" ca="1" si="25"/>
        <v>5400</v>
      </c>
      <c r="Q135" t="str">
        <f t="shared" ca="1" si="32"/>
        <v>0001010100011000</v>
      </c>
      <c r="R135">
        <f t="shared" ca="1" si="33"/>
        <v>1.0124691009521485</v>
      </c>
      <c r="S135">
        <f t="shared" ca="1" si="34"/>
        <v>32.149629211425783</v>
      </c>
      <c r="T135" s="1">
        <f t="shared" ca="1" si="36"/>
        <v>3.4545669326552987E-2</v>
      </c>
      <c r="V135" s="4">
        <f t="shared" ca="1" si="35"/>
        <v>1.150371</v>
      </c>
      <c r="X135" s="2"/>
    </row>
    <row r="136" spans="8:24" x14ac:dyDescent="0.25">
      <c r="H136">
        <v>33.4</v>
      </c>
      <c r="I136">
        <v>1.0175913680495066</v>
      </c>
      <c r="J136" s="4">
        <f t="shared" si="26"/>
        <v>-1.4799999999999999E-4</v>
      </c>
      <c r="K136" s="9">
        <f t="shared" si="27"/>
        <v>6.7000000000000002E-5</v>
      </c>
      <c r="L136" s="4">
        <f t="shared" si="28"/>
        <v>2.5869999999999999E-3</v>
      </c>
      <c r="M136" s="5">
        <f t="shared" si="29"/>
        <v>1.0204370887521081</v>
      </c>
      <c r="N136" s="2">
        <f t="shared" si="30"/>
        <v>2.7965259847439446E-3</v>
      </c>
      <c r="O136">
        <f t="shared" si="31"/>
        <v>5444.13</v>
      </c>
      <c r="P136">
        <f t="shared" ca="1" si="25"/>
        <v>5447</v>
      </c>
      <c r="Q136" t="str">
        <f t="shared" ca="1" si="32"/>
        <v>0001010101000111</v>
      </c>
      <c r="R136">
        <f t="shared" ca="1" si="33"/>
        <v>1.0212813320159913</v>
      </c>
      <c r="S136">
        <f t="shared" ca="1" si="34"/>
        <v>32.255375984191893</v>
      </c>
      <c r="T136" s="1">
        <f t="shared" ca="1" si="36"/>
        <v>3.4270180114015135E-2</v>
      </c>
      <c r="V136" s="4">
        <f t="shared" ca="1" si="35"/>
        <v>1.1446240000000001</v>
      </c>
      <c r="X136" s="2"/>
    </row>
    <row r="137" spans="8:24" x14ac:dyDescent="0.25">
      <c r="H137">
        <v>33.5</v>
      </c>
      <c r="I137">
        <v>1.0259933269063579</v>
      </c>
      <c r="J137" s="4">
        <f t="shared" si="26"/>
        <v>-1.47E-4</v>
      </c>
      <c r="K137" s="9">
        <f t="shared" si="27"/>
        <v>6.7999999999999999E-5</v>
      </c>
      <c r="L137" s="4">
        <f t="shared" si="28"/>
        <v>2.6180000000000001E-3</v>
      </c>
      <c r="M137" s="5">
        <f t="shared" si="29"/>
        <v>1.0288918138309673</v>
      </c>
      <c r="N137" s="2">
        <f t="shared" si="30"/>
        <v>2.8250543630230756E-3</v>
      </c>
      <c r="O137">
        <f t="shared" si="31"/>
        <v>5489.2367999999997</v>
      </c>
      <c r="P137">
        <f t="shared" ca="1" si="25"/>
        <v>5491</v>
      </c>
      <c r="Q137" t="str">
        <f t="shared" ca="1" si="32"/>
        <v>0001010101110011</v>
      </c>
      <c r="R137">
        <f t="shared" ca="1" si="33"/>
        <v>1.0295310802459716</v>
      </c>
      <c r="S137">
        <f t="shared" ca="1" si="34"/>
        <v>32.354372962951658</v>
      </c>
      <c r="T137" s="1">
        <f t="shared" ca="1" si="36"/>
        <v>3.4197822001443057E-2</v>
      </c>
      <c r="V137" s="4">
        <f t="shared" ca="1" si="35"/>
        <v>1.145627</v>
      </c>
      <c r="X137" s="2"/>
    </row>
    <row r="138" spans="8:24" x14ac:dyDescent="0.25">
      <c r="H138">
        <v>33.6</v>
      </c>
      <c r="I138">
        <v>1.0344210583367337</v>
      </c>
      <c r="J138" s="4">
        <f t="shared" si="26"/>
        <v>-1.47E-4</v>
      </c>
      <c r="K138" s="9">
        <f t="shared" si="27"/>
        <v>6.7999999999999999E-5</v>
      </c>
      <c r="L138" s="4">
        <f t="shared" si="28"/>
        <v>2.6480000000000002E-3</v>
      </c>
      <c r="M138" s="5">
        <f t="shared" si="29"/>
        <v>1.0373728681074821</v>
      </c>
      <c r="N138" s="2">
        <f t="shared" si="30"/>
        <v>2.8535863099061957E-3</v>
      </c>
      <c r="O138">
        <f t="shared" si="31"/>
        <v>5534.4840000000004</v>
      </c>
      <c r="P138">
        <f t="shared" ca="1" si="25"/>
        <v>5539</v>
      </c>
      <c r="Q138" t="str">
        <f t="shared" ca="1" si="32"/>
        <v>0001010110100011</v>
      </c>
      <c r="R138">
        <f t="shared" ca="1" si="33"/>
        <v>1.0385308055877687</v>
      </c>
      <c r="S138">
        <f t="shared" ca="1" si="34"/>
        <v>32.462369667053231</v>
      </c>
      <c r="T138" s="1">
        <f t="shared" ca="1" si="36"/>
        <v>3.3858045623415781E-2</v>
      </c>
      <c r="V138" s="4">
        <f t="shared" ca="1" si="35"/>
        <v>1.1376299999999999</v>
      </c>
      <c r="X138" s="2"/>
    </row>
    <row r="139" spans="8:24" x14ac:dyDescent="0.25">
      <c r="H139">
        <v>33.700000000000003</v>
      </c>
      <c r="I139">
        <v>1.0428744983857243</v>
      </c>
      <c r="J139" s="4">
        <f t="shared" si="26"/>
        <v>-1.46E-4</v>
      </c>
      <c r="K139" s="9">
        <f t="shared" si="27"/>
        <v>6.8999999999999997E-5</v>
      </c>
      <c r="L139" s="4">
        <f t="shared" si="28"/>
        <v>2.679E-3</v>
      </c>
      <c r="M139" s="5">
        <f t="shared" si="29"/>
        <v>1.045880256210111</v>
      </c>
      <c r="N139" s="2">
        <f t="shared" si="30"/>
        <v>2.8821855640725376E-3</v>
      </c>
      <c r="O139">
        <f t="shared" si="31"/>
        <v>5579.8716999999997</v>
      </c>
      <c r="P139">
        <f t="shared" ca="1" si="25"/>
        <v>5578</v>
      </c>
      <c r="Q139" t="str">
        <f t="shared" ca="1" si="32"/>
        <v>0001010111001010</v>
      </c>
      <c r="R139">
        <f t="shared" ca="1" si="33"/>
        <v>1.0458430824279785</v>
      </c>
      <c r="S139">
        <f t="shared" ca="1" si="34"/>
        <v>32.550116989135745</v>
      </c>
      <c r="T139" s="1">
        <f t="shared" ca="1" si="36"/>
        <v>3.412115759241121E-2</v>
      </c>
      <c r="V139" s="4">
        <f t="shared" ca="1" si="35"/>
        <v>1.149883</v>
      </c>
      <c r="X139" s="2"/>
    </row>
    <row r="140" spans="8:24" x14ac:dyDescent="0.25">
      <c r="H140">
        <v>33.799999999999997</v>
      </c>
      <c r="I140">
        <v>1.0513535823128199</v>
      </c>
      <c r="J140" s="4">
        <f t="shared" si="26"/>
        <v>-1.46E-4</v>
      </c>
      <c r="K140" s="9">
        <f t="shared" si="27"/>
        <v>6.8999999999999997E-5</v>
      </c>
      <c r="L140" s="4">
        <f t="shared" si="28"/>
        <v>2.709E-3</v>
      </c>
      <c r="M140" s="5">
        <f t="shared" si="29"/>
        <v>1.0544138322624186</v>
      </c>
      <c r="N140" s="2">
        <f t="shared" si="30"/>
        <v>2.9107714103817923E-3</v>
      </c>
      <c r="O140">
        <f t="shared" si="31"/>
        <v>5625.3991999999998</v>
      </c>
      <c r="P140">
        <f t="shared" ca="1" si="25"/>
        <v>5627</v>
      </c>
      <c r="Q140" t="str">
        <f t="shared" ca="1" si="32"/>
        <v>0001010111111011</v>
      </c>
      <c r="R140">
        <f t="shared" ca="1" si="33"/>
        <v>1.0550303020477294</v>
      </c>
      <c r="S140">
        <f t="shared" ca="1" si="34"/>
        <v>32.66036362457276</v>
      </c>
      <c r="T140" s="1">
        <f t="shared" ca="1" si="36"/>
        <v>3.3717052527433053E-2</v>
      </c>
      <c r="V140" s="4">
        <f t="shared" ca="1" si="35"/>
        <v>1.1396360000000001</v>
      </c>
      <c r="X140" s="2"/>
    </row>
    <row r="141" spans="8:24" x14ac:dyDescent="0.25">
      <c r="H141">
        <v>33.9</v>
      </c>
      <c r="I141">
        <v>1.0598582447373701</v>
      </c>
      <c r="J141" s="4">
        <f t="shared" si="26"/>
        <v>-1.45E-4</v>
      </c>
      <c r="K141" s="9">
        <f t="shared" si="27"/>
        <v>6.9999999999999994E-5</v>
      </c>
      <c r="L141" s="4">
        <f t="shared" si="28"/>
        <v>2.7399999999999998E-3</v>
      </c>
      <c r="M141" s="5">
        <f t="shared" si="29"/>
        <v>1.0629736335733611</v>
      </c>
      <c r="N141" s="2">
        <f t="shared" si="30"/>
        <v>2.9394391669453159E-3</v>
      </c>
      <c r="O141">
        <f t="shared" si="31"/>
        <v>5671.0664999999999</v>
      </c>
      <c r="P141">
        <f t="shared" ca="1" si="25"/>
        <v>5674</v>
      </c>
      <c r="Q141" t="str">
        <f t="shared" ca="1" si="32"/>
        <v>0001011000101010</v>
      </c>
      <c r="R141">
        <f t="shared" ca="1" si="33"/>
        <v>1.0638425331115724</v>
      </c>
      <c r="S141">
        <f t="shared" ca="1" si="34"/>
        <v>32.766110397338871</v>
      </c>
      <c r="T141" s="1">
        <f t="shared" ca="1" si="36"/>
        <v>3.3448070874959532E-2</v>
      </c>
      <c r="V141" s="4">
        <f t="shared" ca="1" si="35"/>
        <v>1.1338900000000001</v>
      </c>
      <c r="X141" s="2"/>
    </row>
    <row r="142" spans="8:24" x14ac:dyDescent="0.25">
      <c r="H142">
        <v>34</v>
      </c>
      <c r="I142">
        <v>1.0675413284923381</v>
      </c>
      <c r="J142" s="4">
        <f t="shared" si="26"/>
        <v>-1.45E-4</v>
      </c>
      <c r="K142" s="9">
        <f t="shared" si="27"/>
        <v>6.9999999999999994E-5</v>
      </c>
      <c r="L142" s="4">
        <f t="shared" si="28"/>
        <v>2.7699999999999999E-3</v>
      </c>
      <c r="M142" s="5">
        <f t="shared" si="29"/>
        <v>1.0707100346282583</v>
      </c>
      <c r="N142" s="2">
        <f t="shared" si="30"/>
        <v>2.9682280688798487E-3</v>
      </c>
      <c r="O142">
        <f t="shared" si="31"/>
        <v>5712.3410000000003</v>
      </c>
      <c r="P142">
        <f t="shared" ca="1" si="25"/>
        <v>5711</v>
      </c>
      <c r="Q142" t="str">
        <f t="shared" ca="1" si="32"/>
        <v>0001011001001111</v>
      </c>
      <c r="R142">
        <f t="shared" ca="1" si="33"/>
        <v>1.0707798213958741</v>
      </c>
      <c r="S142">
        <f t="shared" ca="1" si="34"/>
        <v>32.849357856750494</v>
      </c>
      <c r="T142" s="1">
        <f t="shared" ca="1" si="36"/>
        <v>3.3842415977926643E-2</v>
      </c>
      <c r="V142" s="4">
        <f t="shared" ca="1" si="35"/>
        <v>1.1506419999999999</v>
      </c>
      <c r="X142" s="2"/>
    </row>
    <row r="143" spans="8:24" x14ac:dyDescent="0.25">
      <c r="H143">
        <v>34.1</v>
      </c>
      <c r="I143">
        <v>1.0760979677449558</v>
      </c>
      <c r="J143" s="4">
        <f t="shared" si="26"/>
        <v>-1.44E-4</v>
      </c>
      <c r="K143" s="9">
        <f t="shared" si="27"/>
        <v>7.1000000000000005E-5</v>
      </c>
      <c r="L143" s="4">
        <f t="shared" si="28"/>
        <v>2.8010000000000001E-3</v>
      </c>
      <c r="M143" s="5">
        <f t="shared" si="29"/>
        <v>1.0793229889790861</v>
      </c>
      <c r="N143" s="2">
        <f t="shared" si="30"/>
        <v>2.9969587628610986E-3</v>
      </c>
      <c r="O143">
        <f t="shared" si="31"/>
        <v>5758.2919000000002</v>
      </c>
      <c r="P143">
        <f t="shared" ref="P143:P206" ca="1" si="37">ROUND(O143+$C$47+$C$49+RANDBETWEEN($B$45,$D$45) + 1,0)</f>
        <v>5757</v>
      </c>
      <c r="Q143" t="str">
        <f t="shared" ca="1" si="32"/>
        <v>0001011001111101</v>
      </c>
      <c r="R143">
        <f t="shared" ca="1" si="33"/>
        <v>1.0794045581817626</v>
      </c>
      <c r="S143">
        <f t="shared" ca="1" si="34"/>
        <v>32.952854698181156</v>
      </c>
      <c r="T143" s="1">
        <f t="shared" ca="1" si="36"/>
        <v>3.3640624686769663E-2</v>
      </c>
      <c r="V143" s="4">
        <f t="shared" ca="1" si="35"/>
        <v>1.1471450000000001</v>
      </c>
      <c r="X143" s="2"/>
    </row>
    <row r="144" spans="8:24" x14ac:dyDescent="0.25">
      <c r="H144">
        <v>34.200000000000003</v>
      </c>
      <c r="I144">
        <v>1.0846799886256711</v>
      </c>
      <c r="J144" s="4">
        <f t="shared" si="26"/>
        <v>-1.4300000000000001E-4</v>
      </c>
      <c r="K144" s="9">
        <f t="shared" si="27"/>
        <v>7.1000000000000005E-5</v>
      </c>
      <c r="L144" s="4">
        <f t="shared" si="28"/>
        <v>2.8310000000000002E-3</v>
      </c>
      <c r="M144" s="5">
        <f t="shared" si="29"/>
        <v>1.087960841570156</v>
      </c>
      <c r="N144" s="2">
        <f t="shared" si="30"/>
        <v>3.0247197135460672E-3</v>
      </c>
      <c r="O144">
        <f t="shared" si="31"/>
        <v>5804.3756999999996</v>
      </c>
      <c r="P144">
        <f t="shared" ca="1" si="37"/>
        <v>5806</v>
      </c>
      <c r="Q144" t="str">
        <f t="shared" ca="1" si="32"/>
        <v>0001011010101110</v>
      </c>
      <c r="R144">
        <f t="shared" ca="1" si="33"/>
        <v>1.0885917778015137</v>
      </c>
      <c r="S144">
        <f t="shared" ca="1" si="34"/>
        <v>33.063101333618171</v>
      </c>
      <c r="T144" s="1">
        <f t="shared" ca="1" si="36"/>
        <v>3.3242651063796251E-2</v>
      </c>
      <c r="V144" s="4">
        <f t="shared" ca="1" si="35"/>
        <v>1.1368990000000001</v>
      </c>
      <c r="X144" s="2"/>
    </row>
    <row r="145" spans="8:24" x14ac:dyDescent="0.25">
      <c r="H145">
        <v>34.299999999999997</v>
      </c>
      <c r="I145">
        <v>1.0932873247063608</v>
      </c>
      <c r="J145" s="4">
        <f t="shared" si="26"/>
        <v>-1.4300000000000001E-4</v>
      </c>
      <c r="K145" s="9">
        <f t="shared" si="27"/>
        <v>7.2000000000000002E-5</v>
      </c>
      <c r="L145" s="4">
        <f t="shared" si="28"/>
        <v>2.862E-3</v>
      </c>
      <c r="M145" s="5">
        <f t="shared" si="29"/>
        <v>1.0966267043381766</v>
      </c>
      <c r="N145" s="2">
        <f t="shared" si="30"/>
        <v>3.0544391728977971E-3</v>
      </c>
      <c r="O145">
        <f t="shared" si="31"/>
        <v>5850.6089000000002</v>
      </c>
      <c r="P145">
        <f t="shared" ca="1" si="37"/>
        <v>5851</v>
      </c>
      <c r="Q145" t="str">
        <f t="shared" ca="1" si="32"/>
        <v>0001011011011011</v>
      </c>
      <c r="R145">
        <f t="shared" ca="1" si="33"/>
        <v>1.0970290203094482</v>
      </c>
      <c r="S145">
        <f t="shared" ca="1" si="34"/>
        <v>33.164348243713384</v>
      </c>
      <c r="T145" s="1">
        <f t="shared" ca="1" si="36"/>
        <v>3.3109380649755486E-2</v>
      </c>
      <c r="V145" s="4">
        <f t="shared" ca="1" si="35"/>
        <v>1.1356520000000001</v>
      </c>
      <c r="X145" s="2"/>
    </row>
    <row r="146" spans="8:24" x14ac:dyDescent="0.25">
      <c r="H146">
        <v>34.4</v>
      </c>
      <c r="I146">
        <v>1.1019199083658999</v>
      </c>
      <c r="J146" s="4">
        <f t="shared" si="26"/>
        <v>-1.4200000000000001E-4</v>
      </c>
      <c r="K146" s="9">
        <f t="shared" si="27"/>
        <v>7.2000000000000002E-5</v>
      </c>
      <c r="L146" s="4">
        <f t="shared" si="28"/>
        <v>2.892E-3</v>
      </c>
      <c r="M146" s="5">
        <f t="shared" si="29"/>
        <v>1.1053163154140775</v>
      </c>
      <c r="N146" s="2">
        <f t="shared" si="30"/>
        <v>3.0822630777351955E-3</v>
      </c>
      <c r="O146">
        <f t="shared" si="31"/>
        <v>5896.9687999999996</v>
      </c>
      <c r="P146">
        <f t="shared" ca="1" si="37"/>
        <v>5898</v>
      </c>
      <c r="Q146" t="str">
        <f t="shared" ca="1" si="32"/>
        <v>0001011100001010</v>
      </c>
      <c r="R146">
        <f t="shared" ca="1" si="33"/>
        <v>1.1058412513732911</v>
      </c>
      <c r="S146">
        <f t="shared" ca="1" si="34"/>
        <v>33.270095016479495</v>
      </c>
      <c r="T146" s="1">
        <f t="shared" ca="1" si="36"/>
        <v>3.2846075102340229E-2</v>
      </c>
      <c r="V146" s="4">
        <f t="shared" ca="1" si="35"/>
        <v>1.1299049999999999</v>
      </c>
      <c r="X146" s="2"/>
    </row>
    <row r="147" spans="8:24" x14ac:dyDescent="0.25">
      <c r="H147">
        <v>34.5</v>
      </c>
      <c r="I147">
        <v>1.1105776716631319</v>
      </c>
      <c r="J147" s="4">
        <f t="shared" si="26"/>
        <v>-1.4200000000000001E-4</v>
      </c>
      <c r="K147" s="9">
        <f t="shared" si="27"/>
        <v>7.2999999999999999E-5</v>
      </c>
      <c r="L147" s="4">
        <f t="shared" si="28"/>
        <v>2.9229999999999998E-3</v>
      </c>
      <c r="M147" s="5">
        <f t="shared" si="29"/>
        <v>1.1140338229937425</v>
      </c>
      <c r="N147" s="2">
        <f t="shared" si="30"/>
        <v>3.1120302692876005E-3</v>
      </c>
      <c r="O147">
        <f t="shared" si="31"/>
        <v>5943.4776000000002</v>
      </c>
      <c r="P147">
        <f t="shared" ca="1" si="37"/>
        <v>5946</v>
      </c>
      <c r="Q147" t="str">
        <f t="shared" ca="1" si="32"/>
        <v>0001011100111010</v>
      </c>
      <c r="R147">
        <f t="shared" ca="1" si="33"/>
        <v>1.114840976715088</v>
      </c>
      <c r="S147">
        <f t="shared" ca="1" si="34"/>
        <v>33.378091720581054</v>
      </c>
      <c r="T147" s="1">
        <f t="shared" ca="1" si="36"/>
        <v>3.2519080562868001E-2</v>
      </c>
      <c r="V147" s="4">
        <f t="shared" ca="1" si="35"/>
        <v>1.1219079999999999</v>
      </c>
      <c r="X147" s="2"/>
    </row>
    <row r="148" spans="8:24" x14ac:dyDescent="0.25">
      <c r="H148">
        <v>34.6</v>
      </c>
      <c r="I148">
        <v>1.1184195694302885</v>
      </c>
      <c r="J148" s="4">
        <f t="shared" si="26"/>
        <v>-1.4100000000000001E-4</v>
      </c>
      <c r="K148" s="9">
        <f t="shared" si="27"/>
        <v>7.2999999999999999E-5</v>
      </c>
      <c r="L148" s="4">
        <f t="shared" si="28"/>
        <v>2.9529999999999999E-3</v>
      </c>
      <c r="M148" s="5">
        <f t="shared" si="29"/>
        <v>1.1219314617628742</v>
      </c>
      <c r="N148" s="2">
        <f t="shared" si="30"/>
        <v>3.1400490733317229E-3</v>
      </c>
      <c r="O148">
        <f t="shared" si="31"/>
        <v>5985.6121999999996</v>
      </c>
      <c r="P148">
        <f t="shared" ca="1" si="37"/>
        <v>5989</v>
      </c>
      <c r="Q148" t="str">
        <f t="shared" ca="1" si="32"/>
        <v>0001011101100101</v>
      </c>
      <c r="R148">
        <f t="shared" ca="1" si="33"/>
        <v>1.1229032306671143</v>
      </c>
      <c r="S148">
        <f t="shared" ca="1" si="34"/>
        <v>33.47483876800537</v>
      </c>
      <c r="T148" s="1">
        <f t="shared" ca="1" si="36"/>
        <v>3.2519110751289937E-2</v>
      </c>
      <c r="V148" s="4">
        <f t="shared" ca="1" si="35"/>
        <v>1.1251610000000001</v>
      </c>
      <c r="X148" s="2"/>
    </row>
    <row r="149" spans="8:24" x14ac:dyDescent="0.25">
      <c r="H149">
        <v>34.700000000000003</v>
      </c>
      <c r="I149">
        <v>1.1271285090718575</v>
      </c>
      <c r="J149" s="4">
        <f t="shared" si="26"/>
        <v>-1.3999999999999999E-4</v>
      </c>
      <c r="K149" s="9">
        <f t="shared" si="27"/>
        <v>7.3999999999999996E-5</v>
      </c>
      <c r="L149" s="4">
        <f t="shared" si="28"/>
        <v>2.9840000000000001E-3</v>
      </c>
      <c r="M149" s="5">
        <f t="shared" si="29"/>
        <v>1.1307003458318194</v>
      </c>
      <c r="N149" s="2">
        <f t="shared" si="30"/>
        <v>3.1689702915093801E-3</v>
      </c>
      <c r="O149">
        <f t="shared" si="31"/>
        <v>6032.3950999999997</v>
      </c>
      <c r="P149">
        <f t="shared" ca="1" si="37"/>
        <v>6036</v>
      </c>
      <c r="Q149" t="str">
        <f t="shared" ca="1" si="32"/>
        <v>0001011110010100</v>
      </c>
      <c r="R149">
        <f t="shared" ca="1" si="33"/>
        <v>1.1317154617309571</v>
      </c>
      <c r="S149">
        <f t="shared" ca="1" si="34"/>
        <v>33.580585540771487</v>
      </c>
      <c r="T149" s="1">
        <f t="shared" ca="1" si="36"/>
        <v>3.2259782686700732E-2</v>
      </c>
      <c r="V149" s="4">
        <f t="shared" ca="1" si="35"/>
        <v>1.1194139999999999</v>
      </c>
      <c r="X149" s="2"/>
    </row>
    <row r="150" spans="8:24" x14ac:dyDescent="0.25">
      <c r="H150">
        <v>34.799999999999997</v>
      </c>
      <c r="I150">
        <v>1.1358624229854624</v>
      </c>
      <c r="J150" s="4">
        <f t="shared" si="26"/>
        <v>-1.3999999999999999E-4</v>
      </c>
      <c r="K150" s="9">
        <f t="shared" si="27"/>
        <v>7.3999999999999996E-5</v>
      </c>
      <c r="L150" s="4">
        <f t="shared" si="28"/>
        <v>3.0140000000000002E-3</v>
      </c>
      <c r="M150" s="5">
        <f t="shared" si="29"/>
        <v>1.139494685154518</v>
      </c>
      <c r="N150" s="2">
        <f t="shared" si="30"/>
        <v>3.1978011558026018E-3</v>
      </c>
      <c r="O150">
        <f t="shared" si="31"/>
        <v>6079.3136999999997</v>
      </c>
      <c r="P150">
        <f t="shared" ca="1" si="37"/>
        <v>6084</v>
      </c>
      <c r="Q150" t="str">
        <f t="shared" ca="1" si="32"/>
        <v>0001011111000100</v>
      </c>
      <c r="R150">
        <f t="shared" ca="1" si="33"/>
        <v>1.1407151870727539</v>
      </c>
      <c r="S150">
        <f t="shared" ca="1" si="34"/>
        <v>33.688582244873054</v>
      </c>
      <c r="T150" s="1">
        <f t="shared" ca="1" si="36"/>
        <v>3.193729181399263E-2</v>
      </c>
      <c r="V150" s="4">
        <f t="shared" ca="1" si="35"/>
        <v>1.111418</v>
      </c>
      <c r="X150" s="2"/>
    </row>
    <row r="151" spans="8:24" x14ac:dyDescent="0.25">
      <c r="H151">
        <v>34.9</v>
      </c>
      <c r="I151">
        <v>1.1437833388646295</v>
      </c>
      <c r="J151" s="4">
        <f t="shared" si="26"/>
        <v>-1.3899999999999999E-4</v>
      </c>
      <c r="K151" s="9">
        <f t="shared" si="27"/>
        <v>7.4999999999999993E-5</v>
      </c>
      <c r="L151" s="4">
        <f t="shared" si="28"/>
        <v>3.045E-3</v>
      </c>
      <c r="M151" s="5">
        <f t="shared" si="29"/>
        <v>1.1474742212583608</v>
      </c>
      <c r="N151" s="2">
        <f t="shared" si="30"/>
        <v>3.2269069397313677E-3</v>
      </c>
      <c r="O151">
        <f t="shared" si="31"/>
        <v>6121.8852999999999</v>
      </c>
      <c r="P151">
        <f t="shared" ca="1" si="37"/>
        <v>6121</v>
      </c>
      <c r="Q151" t="str">
        <f t="shared" ca="1" si="32"/>
        <v>0001011111101001</v>
      </c>
      <c r="R151">
        <f t="shared" ca="1" si="33"/>
        <v>1.1476524753570556</v>
      </c>
      <c r="S151">
        <f t="shared" ca="1" si="34"/>
        <v>33.77182970428467</v>
      </c>
      <c r="T151" s="1">
        <f t="shared" ca="1" si="36"/>
        <v>3.2325796438834632E-2</v>
      </c>
      <c r="V151" s="4">
        <f t="shared" ca="1" si="35"/>
        <v>1.1281699999999999</v>
      </c>
      <c r="X151" s="2"/>
    </row>
    <row r="152" spans="8:24" x14ac:dyDescent="0.25">
      <c r="H152">
        <v>35</v>
      </c>
      <c r="I152">
        <v>1.1525680177511508</v>
      </c>
      <c r="J152" s="4">
        <f t="shared" si="26"/>
        <v>-1.3899999999999999E-4</v>
      </c>
      <c r="K152" s="9">
        <f t="shared" si="27"/>
        <v>7.4999999999999993E-5</v>
      </c>
      <c r="L152" s="4">
        <f t="shared" si="28"/>
        <v>3.075E-3</v>
      </c>
      <c r="M152" s="5">
        <f t="shared" si="29"/>
        <v>1.1563205250155735</v>
      </c>
      <c r="N152" s="2">
        <f t="shared" si="30"/>
        <v>3.2557794478320018E-3</v>
      </c>
      <c r="O152">
        <f t="shared" si="31"/>
        <v>6169.0811999999996</v>
      </c>
      <c r="P152">
        <f t="shared" ca="1" si="37"/>
        <v>6172</v>
      </c>
      <c r="Q152" t="str">
        <f t="shared" ca="1" si="32"/>
        <v>0001100000011100</v>
      </c>
      <c r="R152">
        <f t="shared" ca="1" si="33"/>
        <v>1.1572146835327148</v>
      </c>
      <c r="S152">
        <f t="shared" ca="1" si="34"/>
        <v>33.886576202392583</v>
      </c>
      <c r="T152" s="1">
        <f t="shared" ca="1" si="36"/>
        <v>3.1812108503069071E-2</v>
      </c>
      <c r="V152" s="4">
        <f t="shared" ca="1" si="35"/>
        <v>1.113424</v>
      </c>
      <c r="X152" s="2"/>
    </row>
    <row r="153" spans="8:24" x14ac:dyDescent="0.25">
      <c r="H153">
        <v>35.1</v>
      </c>
      <c r="I153">
        <v>1.1605416141950511</v>
      </c>
      <c r="J153" s="4">
        <f t="shared" si="26"/>
        <v>-1.3799999999999999E-4</v>
      </c>
      <c r="K153" s="9">
        <f t="shared" si="27"/>
        <v>7.6000000000000004E-5</v>
      </c>
      <c r="L153" s="4">
        <f t="shared" si="28"/>
        <v>3.1059999999999998E-3</v>
      </c>
      <c r="M153" s="5">
        <f t="shared" si="29"/>
        <v>1.164353917314229</v>
      </c>
      <c r="N153" s="2">
        <f t="shared" si="30"/>
        <v>3.2849344414263948E-3</v>
      </c>
      <c r="O153">
        <f t="shared" si="31"/>
        <v>6211.9400999999998</v>
      </c>
      <c r="P153">
        <f t="shared" ca="1" si="37"/>
        <v>6214</v>
      </c>
      <c r="Q153" t="str">
        <f t="shared" ca="1" si="32"/>
        <v>0001100001000110</v>
      </c>
      <c r="R153">
        <f t="shared" ca="1" si="33"/>
        <v>1.1650894432067871</v>
      </c>
      <c r="S153">
        <f t="shared" ca="1" si="34"/>
        <v>33.98107331848145</v>
      </c>
      <c r="T153" s="1">
        <f t="shared" ca="1" si="36"/>
        <v>3.1878253034716579E-2</v>
      </c>
      <c r="V153" s="4">
        <f t="shared" ca="1" si="35"/>
        <v>1.118927</v>
      </c>
      <c r="X153" s="2"/>
    </row>
    <row r="154" spans="8:24" x14ac:dyDescent="0.25">
      <c r="H154">
        <v>35.200000000000003</v>
      </c>
      <c r="I154">
        <v>1.1685419635148073</v>
      </c>
      <c r="J154" s="4">
        <f t="shared" si="26"/>
        <v>-1.3799999999999999E-4</v>
      </c>
      <c r="K154" s="9">
        <f t="shared" si="27"/>
        <v>7.6000000000000004E-5</v>
      </c>
      <c r="L154" s="4">
        <f t="shared" si="28"/>
        <v>3.1359999999999999E-3</v>
      </c>
      <c r="M154" s="5">
        <f t="shared" si="29"/>
        <v>1.172414473415438</v>
      </c>
      <c r="N154" s="2">
        <f t="shared" si="30"/>
        <v>3.3139673383938634E-3</v>
      </c>
      <c r="O154">
        <f t="shared" si="31"/>
        <v>6254.9439000000002</v>
      </c>
      <c r="P154">
        <f t="shared" ca="1" si="37"/>
        <v>6258</v>
      </c>
      <c r="Q154" t="str">
        <f t="shared" ca="1" si="32"/>
        <v>0001100001110010</v>
      </c>
      <c r="R154">
        <f t="shared" ca="1" si="33"/>
        <v>1.1733391914367677</v>
      </c>
      <c r="S154">
        <f t="shared" ca="1" si="34"/>
        <v>34.080070297241214</v>
      </c>
      <c r="T154" s="1">
        <f t="shared" ca="1" si="36"/>
        <v>3.1816184737465593E-2</v>
      </c>
      <c r="V154" s="4">
        <f t="shared" ca="1" si="35"/>
        <v>1.1199300000000001</v>
      </c>
      <c r="X154" s="2"/>
    </row>
    <row r="155" spans="8:24" x14ac:dyDescent="0.25">
      <c r="H155">
        <v>35.299999999999997</v>
      </c>
      <c r="I155">
        <v>1.1774027814080497</v>
      </c>
      <c r="J155" s="4">
        <f t="shared" si="26"/>
        <v>-1.37E-4</v>
      </c>
      <c r="K155" s="9">
        <f t="shared" si="27"/>
        <v>7.7000000000000001E-5</v>
      </c>
      <c r="L155" s="4">
        <f t="shared" si="28"/>
        <v>3.1670000000000001E-3</v>
      </c>
      <c r="M155" s="5">
        <f t="shared" si="29"/>
        <v>1.1813388980120538</v>
      </c>
      <c r="N155" s="2">
        <f t="shared" si="30"/>
        <v>3.3430502001167255E-3</v>
      </c>
      <c r="O155">
        <f t="shared" si="31"/>
        <v>6302.5565999999999</v>
      </c>
      <c r="P155">
        <f t="shared" ca="1" si="37"/>
        <v>6303</v>
      </c>
      <c r="Q155" t="str">
        <f t="shared" ca="1" si="32"/>
        <v>0001100010011111</v>
      </c>
      <c r="R155">
        <f t="shared" ca="1" si="33"/>
        <v>1.1817764339447021</v>
      </c>
      <c r="S155">
        <f t="shared" ca="1" si="34"/>
        <v>34.181317207336427</v>
      </c>
      <c r="T155" s="1">
        <f t="shared" ca="1" si="36"/>
        <v>3.1690730670356097E-2</v>
      </c>
      <c r="V155" s="4">
        <f t="shared" ca="1" si="35"/>
        <v>1.1186830000000001</v>
      </c>
      <c r="X155" s="2"/>
    </row>
    <row r="156" spans="8:24" x14ac:dyDescent="0.25">
      <c r="H156">
        <v>35.4</v>
      </c>
      <c r="I156">
        <v>1.1862881511451235</v>
      </c>
      <c r="J156" s="4">
        <f t="shared" si="26"/>
        <v>-1.36E-4</v>
      </c>
      <c r="K156" s="9">
        <f t="shared" si="27"/>
        <v>7.7000000000000001E-5</v>
      </c>
      <c r="L156" s="4">
        <f t="shared" si="28"/>
        <v>3.1970000000000002E-3</v>
      </c>
      <c r="M156" s="5">
        <f t="shared" si="29"/>
        <v>1.1902873142628216</v>
      </c>
      <c r="N156" s="2">
        <f t="shared" si="30"/>
        <v>3.3711565894320957E-3</v>
      </c>
      <c r="O156">
        <f t="shared" si="31"/>
        <v>6350.2973000000002</v>
      </c>
      <c r="P156">
        <f t="shared" ca="1" si="37"/>
        <v>6349</v>
      </c>
      <c r="Q156" t="str">
        <f t="shared" ca="1" si="32"/>
        <v>0001100011001101</v>
      </c>
      <c r="R156">
        <f t="shared" ca="1" si="33"/>
        <v>1.1904011707305908</v>
      </c>
      <c r="S156">
        <f t="shared" ca="1" si="34"/>
        <v>34.284814048767096</v>
      </c>
      <c r="T156" s="1">
        <f t="shared" ca="1" si="36"/>
        <v>3.150242800092945E-2</v>
      </c>
      <c r="V156" s="4">
        <f t="shared" ca="1" si="35"/>
        <v>1.115186</v>
      </c>
      <c r="X156" s="2"/>
    </row>
    <row r="157" spans="8:24" x14ac:dyDescent="0.25">
      <c r="H157">
        <v>35.5</v>
      </c>
      <c r="I157">
        <v>1.194366278119519</v>
      </c>
      <c r="J157" s="4">
        <f t="shared" si="26"/>
        <v>-1.36E-4</v>
      </c>
      <c r="K157" s="9">
        <f t="shared" si="27"/>
        <v>7.7999999999999999E-5</v>
      </c>
      <c r="L157" s="4">
        <f t="shared" si="28"/>
        <v>3.228E-3</v>
      </c>
      <c r="M157" s="5">
        <f t="shared" si="29"/>
        <v>1.1984286184759592</v>
      </c>
      <c r="N157" s="2">
        <f t="shared" si="30"/>
        <v>3.40125171889158E-3</v>
      </c>
      <c r="O157">
        <f t="shared" si="31"/>
        <v>6393.7318999999998</v>
      </c>
      <c r="P157">
        <f t="shared" ca="1" si="37"/>
        <v>6397</v>
      </c>
      <c r="Q157" t="str">
        <f t="shared" ca="1" si="32"/>
        <v>0001100011111101</v>
      </c>
      <c r="R157">
        <f t="shared" ca="1" si="33"/>
        <v>1.1994008960723876</v>
      </c>
      <c r="S157">
        <f t="shared" ca="1" si="34"/>
        <v>34.392810752868655</v>
      </c>
      <c r="T157" s="1">
        <f t="shared" ca="1" si="36"/>
        <v>3.1188429496657597E-2</v>
      </c>
      <c r="V157" s="4">
        <f t="shared" ca="1" si="35"/>
        <v>1.107189</v>
      </c>
      <c r="X157" s="2"/>
    </row>
    <row r="158" spans="8:24" x14ac:dyDescent="0.25">
      <c r="H158">
        <v>35.6</v>
      </c>
      <c r="I158">
        <v>1.2033015661108566</v>
      </c>
      <c r="J158" s="4">
        <f t="shared" si="26"/>
        <v>-1.35E-4</v>
      </c>
      <c r="K158" s="9">
        <f t="shared" si="27"/>
        <v>7.7999999999999999E-5</v>
      </c>
      <c r="L158" s="4">
        <f t="shared" si="28"/>
        <v>3.258E-3</v>
      </c>
      <c r="M158" s="5">
        <f t="shared" si="29"/>
        <v>1.2074281781512732</v>
      </c>
      <c r="N158" s="2">
        <f t="shared" si="30"/>
        <v>3.4294080192666114E-3</v>
      </c>
      <c r="O158">
        <f t="shared" si="31"/>
        <v>6441.7453999999998</v>
      </c>
      <c r="P158">
        <f t="shared" ca="1" si="37"/>
        <v>6441</v>
      </c>
      <c r="Q158" t="str">
        <f t="shared" ca="1" si="32"/>
        <v>0001100100101001</v>
      </c>
      <c r="R158">
        <f t="shared" ca="1" si="33"/>
        <v>1.2076506443023682</v>
      </c>
      <c r="S158">
        <f t="shared" ca="1" si="34"/>
        <v>34.49180773162842</v>
      </c>
      <c r="T158" s="1">
        <f t="shared" ca="1" si="36"/>
        <v>3.1128996302572518E-2</v>
      </c>
      <c r="V158" s="4">
        <f t="shared" ca="1" si="35"/>
        <v>1.1081920000000001</v>
      </c>
      <c r="X158" s="2"/>
    </row>
    <row r="159" spans="8:24" x14ac:dyDescent="0.25">
      <c r="H159">
        <v>35.700000000000003</v>
      </c>
      <c r="I159">
        <v>1.2114315351948444</v>
      </c>
      <c r="J159" s="4">
        <f t="shared" si="26"/>
        <v>-1.35E-4</v>
      </c>
      <c r="K159" s="9">
        <f t="shared" si="27"/>
        <v>7.8999999999999996E-5</v>
      </c>
      <c r="L159" s="4">
        <f t="shared" si="28"/>
        <v>3.2889999999999998E-3</v>
      </c>
      <c r="M159" s="5">
        <f t="shared" si="29"/>
        <v>1.2156225269238969</v>
      </c>
      <c r="N159" s="2">
        <f t="shared" si="30"/>
        <v>3.4595365955852404E-3</v>
      </c>
      <c r="O159">
        <f t="shared" si="31"/>
        <v>6485.4630999999999</v>
      </c>
      <c r="P159">
        <f t="shared" ca="1" si="37"/>
        <v>6484</v>
      </c>
      <c r="Q159" t="str">
        <f t="shared" ca="1" si="32"/>
        <v>0001100101010100</v>
      </c>
      <c r="R159">
        <f t="shared" ca="1" si="33"/>
        <v>1.2157128982543945</v>
      </c>
      <c r="S159">
        <f t="shared" ca="1" si="34"/>
        <v>34.588554779052735</v>
      </c>
      <c r="T159" s="1">
        <f t="shared" ca="1" si="36"/>
        <v>3.1132919354265192E-2</v>
      </c>
      <c r="V159" s="4">
        <f t="shared" ca="1" si="35"/>
        <v>1.111445</v>
      </c>
      <c r="X159" s="2"/>
    </row>
    <row r="160" spans="8:24" x14ac:dyDescent="0.25">
      <c r="H160">
        <v>35.799999999999997</v>
      </c>
      <c r="I160">
        <v>1.2204164520721725</v>
      </c>
      <c r="J160" s="4">
        <f t="shared" si="26"/>
        <v>-1.34E-4</v>
      </c>
      <c r="K160" s="9">
        <f t="shared" si="27"/>
        <v>7.8999999999999996E-5</v>
      </c>
      <c r="L160" s="4">
        <f t="shared" si="28"/>
        <v>3.3189999999999999E-3</v>
      </c>
      <c r="M160" s="5">
        <f t="shared" si="29"/>
        <v>1.2246729490881962</v>
      </c>
      <c r="N160" s="2">
        <f t="shared" si="30"/>
        <v>3.4877414253114223E-3</v>
      </c>
      <c r="O160">
        <f t="shared" si="31"/>
        <v>6533.7479000000003</v>
      </c>
      <c r="P160">
        <f t="shared" ca="1" si="37"/>
        <v>6538</v>
      </c>
      <c r="Q160" t="str">
        <f t="shared" ca="1" si="32"/>
        <v>0001100110001010</v>
      </c>
      <c r="R160">
        <f t="shared" ca="1" si="33"/>
        <v>1.2258375892639159</v>
      </c>
      <c r="S160">
        <f t="shared" ca="1" si="34"/>
        <v>34.710051071166994</v>
      </c>
      <c r="T160" s="1">
        <f t="shared" ca="1" si="36"/>
        <v>3.044550080539115E-2</v>
      </c>
      <c r="V160" s="4">
        <f t="shared" ca="1" si="35"/>
        <v>1.0899490000000001</v>
      </c>
      <c r="X160" s="2"/>
    </row>
    <row r="161" spans="8:24" x14ac:dyDescent="0.25">
      <c r="H161">
        <v>35.9</v>
      </c>
      <c r="I161">
        <v>1.2285979759924559</v>
      </c>
      <c r="J161" s="4">
        <f t="shared" si="26"/>
        <v>-1.34E-4</v>
      </c>
      <c r="K161" s="9">
        <f t="shared" si="27"/>
        <v>8.0000000000000007E-5</v>
      </c>
      <c r="L161" s="4">
        <f t="shared" si="28"/>
        <v>3.3500000000000001E-3</v>
      </c>
      <c r="M161" s="5">
        <f t="shared" si="29"/>
        <v>1.2329200639065427</v>
      </c>
      <c r="N161" s="2">
        <f t="shared" si="30"/>
        <v>3.5179025185968363E-3</v>
      </c>
      <c r="O161">
        <f t="shared" si="31"/>
        <v>6577.7470999999996</v>
      </c>
      <c r="P161">
        <f t="shared" ca="1" si="37"/>
        <v>6578</v>
      </c>
      <c r="Q161" t="str">
        <f t="shared" ca="1" si="32"/>
        <v>0001100110110010</v>
      </c>
      <c r="R161">
        <f t="shared" ca="1" si="33"/>
        <v>1.2333373603820801</v>
      </c>
      <c r="S161">
        <f t="shared" ca="1" si="34"/>
        <v>34.800048324584964</v>
      </c>
      <c r="T161" s="1">
        <f t="shared" ca="1" si="36"/>
        <v>3.063932243495919E-2</v>
      </c>
      <c r="V161" s="4">
        <f t="shared" ca="1" si="35"/>
        <v>1.099952</v>
      </c>
      <c r="X161" s="2"/>
    </row>
    <row r="162" spans="8:24" x14ac:dyDescent="0.25">
      <c r="H162">
        <v>36</v>
      </c>
      <c r="I162">
        <v>1.2376322285757886</v>
      </c>
      <c r="J162" s="4">
        <f t="shared" si="26"/>
        <v>-1.3300000000000001E-4</v>
      </c>
      <c r="K162" s="9">
        <f t="shared" si="27"/>
        <v>8.0000000000000007E-5</v>
      </c>
      <c r="L162" s="4">
        <f t="shared" si="28"/>
        <v>3.3800000000000002E-3</v>
      </c>
      <c r="M162" s="5">
        <f t="shared" si="29"/>
        <v>1.2420210637311999</v>
      </c>
      <c r="N162" s="2">
        <f t="shared" si="30"/>
        <v>3.5461545474311088E-3</v>
      </c>
      <c r="O162">
        <f t="shared" si="31"/>
        <v>6626.3018000000002</v>
      </c>
      <c r="P162">
        <f t="shared" ca="1" si="37"/>
        <v>6628</v>
      </c>
      <c r="Q162" t="str">
        <f t="shared" ca="1" si="32"/>
        <v>0001100111100100</v>
      </c>
      <c r="R162">
        <f t="shared" ca="1" si="33"/>
        <v>1.2427120742797853</v>
      </c>
      <c r="S162">
        <f t="shared" ca="1" si="34"/>
        <v>34.912544891357427</v>
      </c>
      <c r="T162" s="1">
        <f t="shared" ca="1" si="36"/>
        <v>3.020708635118257E-2</v>
      </c>
      <c r="V162" s="4">
        <f t="shared" ca="1" si="35"/>
        <v>1.0874550000000001</v>
      </c>
      <c r="X162" s="2"/>
    </row>
    <row r="163" spans="8:24" x14ac:dyDescent="0.25">
      <c r="H163">
        <v>36.1</v>
      </c>
      <c r="I163">
        <v>1.2458650165092511</v>
      </c>
      <c r="J163" s="4">
        <f t="shared" si="26"/>
        <v>-1.3200000000000001E-4</v>
      </c>
      <c r="K163" s="9">
        <f t="shared" si="27"/>
        <v>8.1000000000000004E-5</v>
      </c>
      <c r="L163" s="4">
        <f t="shared" si="28"/>
        <v>3.411E-3</v>
      </c>
      <c r="M163" s="5">
        <f t="shared" si="29"/>
        <v>1.2503196590281962</v>
      </c>
      <c r="N163" s="2">
        <f t="shared" si="30"/>
        <v>3.5755418604067049E-3</v>
      </c>
      <c r="O163">
        <f t="shared" si="31"/>
        <v>6670.5756000000001</v>
      </c>
      <c r="P163">
        <f t="shared" ca="1" si="37"/>
        <v>6673</v>
      </c>
      <c r="Q163" t="str">
        <f t="shared" ca="1" si="32"/>
        <v>0001101000010001</v>
      </c>
      <c r="R163">
        <f t="shared" ca="1" si="33"/>
        <v>1.2511493167877197</v>
      </c>
      <c r="S163">
        <f t="shared" ca="1" si="34"/>
        <v>35.013791801452641</v>
      </c>
      <c r="T163" s="1">
        <f t="shared" ca="1" si="36"/>
        <v>3.008886976585487E-2</v>
      </c>
      <c r="V163" s="4">
        <f t="shared" ca="1" si="35"/>
        <v>1.0862080000000001</v>
      </c>
      <c r="X163" s="2"/>
    </row>
    <row r="164" spans="8:24" x14ac:dyDescent="0.25">
      <c r="H164">
        <v>36.200000000000003</v>
      </c>
      <c r="I164">
        <v>1.254948308359771</v>
      </c>
      <c r="J164" s="4">
        <f t="shared" si="26"/>
        <v>-1.3200000000000001E-4</v>
      </c>
      <c r="K164" s="9">
        <f t="shared" si="27"/>
        <v>8.1000000000000004E-5</v>
      </c>
      <c r="L164" s="4">
        <f t="shared" si="28"/>
        <v>3.441E-3</v>
      </c>
      <c r="M164" s="5">
        <f t="shared" si="29"/>
        <v>1.2594719517678039</v>
      </c>
      <c r="N164" s="2">
        <f t="shared" si="30"/>
        <v>3.6046452096065618E-3</v>
      </c>
      <c r="O164">
        <f t="shared" si="31"/>
        <v>6719.4040000000005</v>
      </c>
      <c r="P164">
        <f t="shared" ca="1" si="37"/>
        <v>6724</v>
      </c>
      <c r="Q164" t="str">
        <f t="shared" ca="1" si="32"/>
        <v>0001101001000100</v>
      </c>
      <c r="R164">
        <f t="shared" ca="1" si="33"/>
        <v>1.2607115249633789</v>
      </c>
      <c r="S164">
        <f t="shared" ca="1" si="34"/>
        <v>35.128538299560553</v>
      </c>
      <c r="T164" s="1">
        <f t="shared" ca="1" si="36"/>
        <v>2.9598389514901926E-2</v>
      </c>
      <c r="V164" s="4">
        <f t="shared" ca="1" si="35"/>
        <v>1.0714619999999999</v>
      </c>
      <c r="X164" s="2"/>
    </row>
    <row r="165" spans="8:24" x14ac:dyDescent="0.25">
      <c r="H165">
        <v>36.299999999999997</v>
      </c>
      <c r="I165">
        <v>1.2632320658461689</v>
      </c>
      <c r="J165" s="4">
        <f t="shared" si="26"/>
        <v>-1.3100000000000001E-4</v>
      </c>
      <c r="K165" s="9">
        <f t="shared" si="27"/>
        <v>8.2000000000000001E-5</v>
      </c>
      <c r="L165" s="4">
        <f t="shared" si="28"/>
        <v>3.4719999999999998E-3</v>
      </c>
      <c r="M165" s="5">
        <f t="shared" si="29"/>
        <v>1.2678227450409512</v>
      </c>
      <c r="N165" s="2">
        <f t="shared" si="30"/>
        <v>3.6340743074054624E-3</v>
      </c>
      <c r="O165">
        <f t="shared" si="31"/>
        <v>6763.9561999999996</v>
      </c>
      <c r="P165">
        <f t="shared" ca="1" si="37"/>
        <v>6766</v>
      </c>
      <c r="Q165" t="str">
        <f t="shared" ca="1" si="32"/>
        <v>0001101001101110</v>
      </c>
      <c r="R165">
        <f t="shared" ca="1" si="33"/>
        <v>1.2685862846374512</v>
      </c>
      <c r="S165">
        <f t="shared" ca="1" si="34"/>
        <v>35.22303541564942</v>
      </c>
      <c r="T165" s="1">
        <f t="shared" ca="1" si="36"/>
        <v>2.9668445849878159E-2</v>
      </c>
      <c r="V165" s="4">
        <f t="shared" ca="1" si="35"/>
        <v>1.076965</v>
      </c>
      <c r="X165" s="2"/>
    </row>
    <row r="166" spans="8:24" x14ac:dyDescent="0.25">
      <c r="H166">
        <v>36.400000000000006</v>
      </c>
      <c r="I166">
        <v>1.2723640959277791</v>
      </c>
      <c r="J166" s="4">
        <f t="shared" si="26"/>
        <v>-1.3100000000000001E-4</v>
      </c>
      <c r="K166" s="9">
        <f t="shared" si="27"/>
        <v>8.2000000000000001E-5</v>
      </c>
      <c r="L166" s="4">
        <f t="shared" si="28"/>
        <v>3.5019999999999999E-3</v>
      </c>
      <c r="M166" s="5">
        <f t="shared" si="29"/>
        <v>1.2770250344825369</v>
      </c>
      <c r="N166" s="2">
        <f t="shared" si="30"/>
        <v>3.6632113163796464E-3</v>
      </c>
      <c r="O166">
        <f t="shared" si="31"/>
        <v>6813.0513000000001</v>
      </c>
      <c r="P166">
        <f t="shared" ca="1" si="37"/>
        <v>6815</v>
      </c>
      <c r="Q166" t="str">
        <f t="shared" ca="1" si="32"/>
        <v>0001101010011111</v>
      </c>
      <c r="R166">
        <f t="shared" ca="1" si="33"/>
        <v>1.2777735042572023</v>
      </c>
      <c r="S166">
        <f t="shared" ca="1" si="34"/>
        <v>35.333282051086428</v>
      </c>
      <c r="T166" s="1">
        <f t="shared" ca="1" si="36"/>
        <v>2.9305438156966415E-2</v>
      </c>
      <c r="V166" s="4">
        <f t="shared" ca="1" si="35"/>
        <v>1.0667180000000001</v>
      </c>
      <c r="X166" s="2"/>
    </row>
    <row r="167" spans="8:24" x14ac:dyDescent="0.25">
      <c r="H167">
        <v>36.5</v>
      </c>
      <c r="I167">
        <v>1.2806985250152543</v>
      </c>
      <c r="J167" s="4">
        <f t="shared" si="26"/>
        <v>-1.2999999999999999E-4</v>
      </c>
      <c r="K167" s="9">
        <f t="shared" si="27"/>
        <v>8.2999999999999998E-5</v>
      </c>
      <c r="L167" s="4">
        <f t="shared" si="28"/>
        <v>3.5330000000000001E-3</v>
      </c>
      <c r="M167" s="5">
        <f t="shared" si="29"/>
        <v>1.2854277362935793</v>
      </c>
      <c r="N167" s="2">
        <f t="shared" si="30"/>
        <v>3.6926811313917236E-3</v>
      </c>
      <c r="O167">
        <f t="shared" si="31"/>
        <v>6857.8806000000004</v>
      </c>
      <c r="P167">
        <f t="shared" ca="1" si="37"/>
        <v>6856</v>
      </c>
      <c r="Q167" t="str">
        <f t="shared" ca="1" si="32"/>
        <v>0001101011001000</v>
      </c>
      <c r="R167">
        <f t="shared" ca="1" si="33"/>
        <v>1.2854607696533202</v>
      </c>
      <c r="S167">
        <f t="shared" ca="1" si="34"/>
        <v>35.425529235839846</v>
      </c>
      <c r="T167" s="1">
        <f t="shared" ca="1" si="36"/>
        <v>2.9437555182469963E-2</v>
      </c>
      <c r="V167" s="4">
        <f t="shared" ca="1" si="35"/>
        <v>1.074471</v>
      </c>
      <c r="X167" s="2"/>
    </row>
    <row r="168" spans="8:24" x14ac:dyDescent="0.25">
      <c r="H168">
        <v>36.6</v>
      </c>
      <c r="I168">
        <v>1.2890586994124942</v>
      </c>
      <c r="J168" s="4">
        <f t="shared" si="26"/>
        <v>-1.2999999999999999E-4</v>
      </c>
      <c r="K168" s="9">
        <f t="shared" si="27"/>
        <v>8.2999999999999998E-5</v>
      </c>
      <c r="L168" s="4">
        <f t="shared" si="28"/>
        <v>3.5630000000000002E-3</v>
      </c>
      <c r="M168" s="5">
        <f t="shared" si="29"/>
        <v>1.2938565034803946</v>
      </c>
      <c r="N168" s="2">
        <f t="shared" si="30"/>
        <v>3.7219438262098442E-3</v>
      </c>
      <c r="O168">
        <f t="shared" si="31"/>
        <v>6902.8487999999998</v>
      </c>
      <c r="P168">
        <f t="shared" ca="1" si="37"/>
        <v>6906</v>
      </c>
      <c r="Q168" t="str">
        <f t="shared" ca="1" si="32"/>
        <v>0001101011111010</v>
      </c>
      <c r="R168">
        <f t="shared" ca="1" si="33"/>
        <v>1.2948354835510254</v>
      </c>
      <c r="S168">
        <f t="shared" ca="1" si="34"/>
        <v>35.538025802612303</v>
      </c>
      <c r="T168" s="1">
        <f t="shared" ca="1" si="36"/>
        <v>2.9015688453215803E-2</v>
      </c>
      <c r="V168" s="4">
        <f t="shared" ca="1" si="35"/>
        <v>1.061974</v>
      </c>
      <c r="X168" s="2"/>
    </row>
    <row r="169" spans="8:24" x14ac:dyDescent="0.25">
      <c r="H169">
        <v>36.700000000000003</v>
      </c>
      <c r="I169">
        <v>1.2982637888308843</v>
      </c>
      <c r="J169" s="4">
        <f t="shared" si="26"/>
        <v>-1.2899999999999999E-4</v>
      </c>
      <c r="K169" s="9">
        <f t="shared" si="27"/>
        <v>8.3999999999999995E-5</v>
      </c>
      <c r="L169" s="4">
        <f t="shared" si="28"/>
        <v>3.594E-3</v>
      </c>
      <c r="M169" s="5">
        <f t="shared" si="29"/>
        <v>1.3031340441335</v>
      </c>
      <c r="N169" s="2">
        <f t="shared" si="30"/>
        <v>3.7513603510434647E-3</v>
      </c>
      <c r="O169">
        <f t="shared" si="31"/>
        <v>6952.3454000000002</v>
      </c>
      <c r="P169">
        <f t="shared" ca="1" si="37"/>
        <v>6955</v>
      </c>
      <c r="Q169" t="str">
        <f t="shared" ca="1" si="32"/>
        <v>0001101100101011</v>
      </c>
      <c r="R169">
        <f t="shared" ca="1" si="33"/>
        <v>1.3040227031707763</v>
      </c>
      <c r="S169">
        <f t="shared" ca="1" si="34"/>
        <v>35.648272438049318</v>
      </c>
      <c r="T169" s="1">
        <f t="shared" ca="1" si="36"/>
        <v>2.8657426756149445E-2</v>
      </c>
      <c r="V169" s="4">
        <f t="shared" ca="1" si="35"/>
        <v>1.051728</v>
      </c>
      <c r="X169" s="2"/>
    </row>
    <row r="170" spans="8:24" x14ac:dyDescent="0.25">
      <c r="H170">
        <v>36.799999999999997</v>
      </c>
      <c r="I170">
        <v>1.306674181791097</v>
      </c>
      <c r="J170" s="4">
        <f t="shared" si="26"/>
        <v>-1.2799999999999999E-4</v>
      </c>
      <c r="K170" s="9">
        <f t="shared" si="27"/>
        <v>8.3999999999999995E-5</v>
      </c>
      <c r="L170" s="4">
        <f t="shared" si="28"/>
        <v>3.6240000000000001E-3</v>
      </c>
      <c r="M170" s="5">
        <f t="shared" si="29"/>
        <v>1.3116132580462563</v>
      </c>
      <c r="N170" s="2">
        <f t="shared" si="30"/>
        <v>3.7798835578041244E-3</v>
      </c>
      <c r="O170">
        <f t="shared" si="31"/>
        <v>6997.5828000000001</v>
      </c>
      <c r="P170">
        <f t="shared" ca="1" si="37"/>
        <v>7000</v>
      </c>
      <c r="Q170" t="str">
        <f t="shared" ca="1" si="32"/>
        <v>0001101101011000</v>
      </c>
      <c r="R170">
        <f t="shared" ca="1" si="33"/>
        <v>1.3124599456787109</v>
      </c>
      <c r="S170">
        <f t="shared" ca="1" si="34"/>
        <v>35.749519348144538</v>
      </c>
      <c r="T170" s="1">
        <f t="shared" ca="1" si="36"/>
        <v>2.8545669887376598E-2</v>
      </c>
      <c r="V170" s="4">
        <f t="shared" ca="1" si="35"/>
        <v>1.050481</v>
      </c>
      <c r="X170" s="2"/>
    </row>
    <row r="171" spans="8:24" x14ac:dyDescent="0.25">
      <c r="H171">
        <v>36.900000000000006</v>
      </c>
      <c r="I171">
        <v>1.3151100936147369</v>
      </c>
      <c r="J171" s="4">
        <f t="shared" si="26"/>
        <v>-1.2799999999999999E-4</v>
      </c>
      <c r="K171" s="9">
        <f t="shared" si="27"/>
        <v>8.5000000000000006E-5</v>
      </c>
      <c r="L171" s="4">
        <f t="shared" si="28"/>
        <v>3.6549999999999998E-3</v>
      </c>
      <c r="M171" s="5">
        <f t="shared" si="29"/>
        <v>1.3201209236004965</v>
      </c>
      <c r="N171" s="2">
        <f t="shared" si="30"/>
        <v>3.810198104393505E-3</v>
      </c>
      <c r="O171">
        <f t="shared" si="31"/>
        <v>7042.9721</v>
      </c>
      <c r="P171">
        <f t="shared" ca="1" si="37"/>
        <v>7048</v>
      </c>
      <c r="Q171" t="str">
        <f t="shared" ca="1" si="32"/>
        <v>0001101110001000</v>
      </c>
      <c r="R171">
        <f t="shared" ca="1" si="33"/>
        <v>1.3214596710205078</v>
      </c>
      <c r="S171">
        <f t="shared" ca="1" si="34"/>
        <v>35.857516052246098</v>
      </c>
      <c r="T171" s="1">
        <f t="shared" ca="1" si="36"/>
        <v>2.8251597500105904E-2</v>
      </c>
      <c r="V171" s="4">
        <f t="shared" ca="1" si="35"/>
        <v>1.042484</v>
      </c>
      <c r="X171" s="2"/>
    </row>
    <row r="172" spans="8:24" x14ac:dyDescent="0.25">
      <c r="H172">
        <v>37</v>
      </c>
      <c r="I172">
        <v>1.3243875486716703</v>
      </c>
      <c r="J172" s="4">
        <f t="shared" si="26"/>
        <v>-1.27E-4</v>
      </c>
      <c r="K172" s="9">
        <f t="shared" si="27"/>
        <v>8.5000000000000006E-5</v>
      </c>
      <c r="L172" s="4">
        <f t="shared" si="28"/>
        <v>3.6849999999999999E-3</v>
      </c>
      <c r="M172" s="5">
        <f t="shared" si="29"/>
        <v>1.329471437187707</v>
      </c>
      <c r="N172" s="2">
        <f t="shared" si="30"/>
        <v>3.8386713323722466E-3</v>
      </c>
      <c r="O172">
        <f t="shared" si="31"/>
        <v>7092.8579</v>
      </c>
      <c r="P172">
        <f t="shared" ca="1" si="37"/>
        <v>7096</v>
      </c>
      <c r="Q172" t="str">
        <f t="shared" ca="1" si="32"/>
        <v>0001101110111000</v>
      </c>
      <c r="R172">
        <f t="shared" ca="1" si="33"/>
        <v>1.3304593963623048</v>
      </c>
      <c r="S172">
        <f t="shared" ca="1" si="34"/>
        <v>35.965512756347664</v>
      </c>
      <c r="T172" s="1">
        <f t="shared" ca="1" si="36"/>
        <v>2.7959114693306378E-2</v>
      </c>
      <c r="V172" s="4">
        <f t="shared" ca="1" si="35"/>
        <v>1.0344869999999999</v>
      </c>
      <c r="X172" s="2"/>
    </row>
    <row r="173" spans="8:24" x14ac:dyDescent="0.25">
      <c r="H173">
        <v>37.1</v>
      </c>
      <c r="I173">
        <v>1.3328732183822263</v>
      </c>
      <c r="J173" s="4">
        <f t="shared" si="26"/>
        <v>-1.27E-4</v>
      </c>
      <c r="K173" s="9">
        <f t="shared" si="27"/>
        <v>8.6000000000000003E-5</v>
      </c>
      <c r="L173" s="4">
        <f t="shared" si="28"/>
        <v>3.7160000000000001E-3</v>
      </c>
      <c r="M173" s="5">
        <f t="shared" si="29"/>
        <v>1.3380301227905158</v>
      </c>
      <c r="N173" s="2">
        <f t="shared" si="30"/>
        <v>3.8690134494177319E-3</v>
      </c>
      <c r="O173">
        <f t="shared" si="31"/>
        <v>7138.5194000000001</v>
      </c>
      <c r="P173">
        <f t="shared" ca="1" si="37"/>
        <v>7140</v>
      </c>
      <c r="Q173" t="str">
        <f t="shared" ca="1" si="32"/>
        <v>0001101111100100</v>
      </c>
      <c r="R173">
        <f t="shared" ca="1" si="33"/>
        <v>1.3387091445922852</v>
      </c>
      <c r="S173">
        <f t="shared" ca="1" si="34"/>
        <v>36.064509735107428</v>
      </c>
      <c r="T173" s="1">
        <f t="shared" ca="1" si="36"/>
        <v>2.7910788811120565E-2</v>
      </c>
      <c r="V173" s="4">
        <f t="shared" ca="1" si="35"/>
        <v>1.03549</v>
      </c>
      <c r="X173" s="2"/>
    </row>
    <row r="174" spans="8:24" x14ac:dyDescent="0.25">
      <c r="H174">
        <v>37.200000000000003</v>
      </c>
      <c r="I174">
        <v>1.3405701753312771</v>
      </c>
      <c r="J174" s="4">
        <f t="shared" si="26"/>
        <v>-1.26E-4</v>
      </c>
      <c r="K174" s="9">
        <f t="shared" si="27"/>
        <v>8.6000000000000003E-5</v>
      </c>
      <c r="L174" s="4">
        <f t="shared" si="28"/>
        <v>3.7460000000000002E-3</v>
      </c>
      <c r="M174" s="5">
        <f t="shared" si="29"/>
        <v>1.3457953072843643</v>
      </c>
      <c r="N174" s="2">
        <f t="shared" si="30"/>
        <v>3.8976937196114649E-3</v>
      </c>
      <c r="O174">
        <f t="shared" si="31"/>
        <v>7179.9474</v>
      </c>
      <c r="P174">
        <f t="shared" ca="1" si="37"/>
        <v>7180</v>
      </c>
      <c r="Q174" t="str">
        <f t="shared" ca="1" si="32"/>
        <v>0001110000001100</v>
      </c>
      <c r="R174">
        <f t="shared" ca="1" si="33"/>
        <v>1.3462089157104493</v>
      </c>
      <c r="S174">
        <f t="shared" ca="1" si="34"/>
        <v>36.154506988525398</v>
      </c>
      <c r="T174" s="1">
        <f t="shared" ca="1" si="36"/>
        <v>2.8104650846091525E-2</v>
      </c>
      <c r="V174" s="4">
        <f t="shared" ca="1" si="35"/>
        <v>1.045493</v>
      </c>
      <c r="X174" s="2"/>
    </row>
    <row r="175" spans="8:24" x14ac:dyDescent="0.25">
      <c r="H175">
        <v>37.299999999999997</v>
      </c>
      <c r="I175">
        <v>1.3491073945679499</v>
      </c>
      <c r="J175" s="4">
        <f t="shared" si="26"/>
        <v>-1.26E-4</v>
      </c>
      <c r="K175" s="9">
        <f t="shared" si="27"/>
        <v>8.7000000000000001E-5</v>
      </c>
      <c r="L175" s="4">
        <f t="shared" si="28"/>
        <v>3.777E-3</v>
      </c>
      <c r="M175" s="5">
        <f t="shared" si="29"/>
        <v>1.3544067698717555</v>
      </c>
      <c r="N175" s="2">
        <f t="shared" si="30"/>
        <v>3.9280603791387939E-3</v>
      </c>
      <c r="O175">
        <f t="shared" si="31"/>
        <v>7225.8903</v>
      </c>
      <c r="P175">
        <f t="shared" ca="1" si="37"/>
        <v>7227</v>
      </c>
      <c r="Q175" t="str">
        <f t="shared" ca="1" si="32"/>
        <v>0001110000111011</v>
      </c>
      <c r="R175">
        <f t="shared" ca="1" si="33"/>
        <v>1.3550211467742921</v>
      </c>
      <c r="S175">
        <f t="shared" ca="1" si="34"/>
        <v>36.260253761291509</v>
      </c>
      <c r="T175" s="1">
        <f t="shared" ca="1" si="36"/>
        <v>2.787523428172892E-2</v>
      </c>
      <c r="V175" s="4">
        <f t="shared" ca="1" si="35"/>
        <v>1.0397460000000001</v>
      </c>
      <c r="X175" s="2"/>
    </row>
    <row r="176" spans="8:24" x14ac:dyDescent="0.25">
      <c r="H176">
        <v>37.400000000000006</v>
      </c>
      <c r="I176">
        <v>1.3584816412342156</v>
      </c>
      <c r="J176" s="4">
        <f t="shared" si="26"/>
        <v>-1.25E-4</v>
      </c>
      <c r="K176" s="9">
        <f t="shared" si="27"/>
        <v>8.7000000000000001E-5</v>
      </c>
      <c r="L176" s="4">
        <f t="shared" si="28"/>
        <v>3.8070000000000001E-3</v>
      </c>
      <c r="M176" s="5">
        <f t="shared" si="29"/>
        <v>1.3638566225904172</v>
      </c>
      <c r="N176" s="2">
        <f t="shared" si="30"/>
        <v>3.9566094918429048E-3</v>
      </c>
      <c r="O176">
        <f t="shared" si="31"/>
        <v>7276.3062</v>
      </c>
      <c r="P176">
        <f t="shared" ca="1" si="37"/>
        <v>7276</v>
      </c>
      <c r="Q176" t="str">
        <f t="shared" ca="1" si="32"/>
        <v>0001110001101100</v>
      </c>
      <c r="R176">
        <f t="shared" ca="1" si="33"/>
        <v>1.364208366394043</v>
      </c>
      <c r="S176">
        <f t="shared" ca="1" si="34"/>
        <v>36.370500396728517</v>
      </c>
      <c r="T176" s="1">
        <f t="shared" ca="1" si="36"/>
        <v>2.7526727360200242E-2</v>
      </c>
      <c r="V176" s="4">
        <f t="shared" ca="1" si="35"/>
        <v>1.0295000000000001</v>
      </c>
      <c r="X176" s="2"/>
    </row>
    <row r="177" spans="8:24" x14ac:dyDescent="0.25">
      <c r="H177">
        <v>37.5</v>
      </c>
      <c r="I177">
        <v>1.3670679936773122</v>
      </c>
      <c r="J177" s="4">
        <f t="shared" si="26"/>
        <v>-1.2400000000000001E-4</v>
      </c>
      <c r="K177" s="9">
        <f t="shared" si="27"/>
        <v>8.7999999999999998E-5</v>
      </c>
      <c r="L177" s="4">
        <f t="shared" si="28"/>
        <v>3.8379999999999998E-3</v>
      </c>
      <c r="M177" s="5">
        <f t="shared" si="29"/>
        <v>1.3725174932122608</v>
      </c>
      <c r="N177" s="2">
        <f t="shared" si="30"/>
        <v>3.9862681008936513E-3</v>
      </c>
      <c r="O177">
        <f t="shared" si="31"/>
        <v>7322.5128000000004</v>
      </c>
      <c r="P177">
        <f t="shared" ca="1" si="37"/>
        <v>7324</v>
      </c>
      <c r="Q177" t="str">
        <f t="shared" ca="1" si="32"/>
        <v>0001110010011100</v>
      </c>
      <c r="R177">
        <f t="shared" ca="1" si="33"/>
        <v>1.3732080917358398</v>
      </c>
      <c r="S177">
        <f t="shared" ca="1" si="34"/>
        <v>36.478497100830076</v>
      </c>
      <c r="T177" s="1">
        <f t="shared" ca="1" si="36"/>
        <v>2.7240077311197979E-2</v>
      </c>
      <c r="V177" s="4">
        <f t="shared" ca="1" si="35"/>
        <v>1.021503</v>
      </c>
      <c r="X177" s="2"/>
    </row>
    <row r="178" spans="8:24" x14ac:dyDescent="0.25">
      <c r="H178">
        <v>37.6</v>
      </c>
      <c r="I178">
        <v>1.3756793211344109</v>
      </c>
      <c r="J178" s="4">
        <f t="shared" si="26"/>
        <v>-1.2400000000000001E-4</v>
      </c>
      <c r="K178" s="9">
        <f t="shared" si="27"/>
        <v>8.7999999999999998E-5</v>
      </c>
      <c r="L178" s="4">
        <f t="shared" si="28"/>
        <v>3.8679999999999999E-3</v>
      </c>
      <c r="M178" s="5">
        <f t="shared" si="29"/>
        <v>1.3812035922853707</v>
      </c>
      <c r="N178" s="2">
        <f t="shared" si="30"/>
        <v>4.0156677985130661E-3</v>
      </c>
      <c r="O178">
        <f t="shared" si="31"/>
        <v>7368.8540000000003</v>
      </c>
      <c r="P178">
        <f t="shared" ca="1" si="37"/>
        <v>7372</v>
      </c>
      <c r="Q178" t="str">
        <f t="shared" ca="1" si="32"/>
        <v>0001110011001100</v>
      </c>
      <c r="R178">
        <f t="shared" ca="1" si="33"/>
        <v>1.3822078170776368</v>
      </c>
      <c r="S178">
        <f t="shared" ca="1" si="34"/>
        <v>36.586493804931649</v>
      </c>
      <c r="T178" s="1">
        <f t="shared" ca="1" si="36"/>
        <v>2.6954951996498725E-2</v>
      </c>
      <c r="V178" s="4">
        <f t="shared" ca="1" si="35"/>
        <v>1.013506</v>
      </c>
      <c r="X178" s="2"/>
    </row>
    <row r="179" spans="8:24" x14ac:dyDescent="0.25">
      <c r="H179">
        <v>37.700000000000003</v>
      </c>
      <c r="I179">
        <v>1.3843155437346542</v>
      </c>
      <c r="J179" s="4">
        <f t="shared" si="26"/>
        <v>-1.2300000000000001E-4</v>
      </c>
      <c r="K179" s="9">
        <f t="shared" si="27"/>
        <v>8.8999999999999995E-5</v>
      </c>
      <c r="L179" s="4">
        <f t="shared" si="28"/>
        <v>3.8990000000000001E-3</v>
      </c>
      <c r="M179" s="5">
        <f t="shared" si="29"/>
        <v>1.3899155985112495</v>
      </c>
      <c r="N179" s="2">
        <f t="shared" si="30"/>
        <v>4.0453600351024657E-3</v>
      </c>
      <c r="O179">
        <f t="shared" si="31"/>
        <v>7415.3334000000004</v>
      </c>
      <c r="P179">
        <f t="shared" ca="1" si="37"/>
        <v>7414</v>
      </c>
      <c r="Q179" t="str">
        <f t="shared" ca="1" si="32"/>
        <v>0001110011110110</v>
      </c>
      <c r="R179">
        <f t="shared" ca="1" si="33"/>
        <v>1.3900825767517091</v>
      </c>
      <c r="S179">
        <f t="shared" ca="1" si="34"/>
        <v>36.680990921020516</v>
      </c>
      <c r="T179" s="1">
        <f t="shared" ca="1" si="36"/>
        <v>2.7029418540569932E-2</v>
      </c>
      <c r="V179" s="4">
        <f t="shared" ca="1" si="35"/>
        <v>1.0190090000000001</v>
      </c>
      <c r="X179" s="2"/>
    </row>
    <row r="180" spans="8:24" x14ac:dyDescent="0.25">
      <c r="H180">
        <v>37.799999999999997</v>
      </c>
      <c r="I180">
        <v>1.3937842573020207</v>
      </c>
      <c r="J180" s="4">
        <f t="shared" si="26"/>
        <v>-1.2300000000000001E-4</v>
      </c>
      <c r="K180" s="9">
        <f t="shared" si="27"/>
        <v>8.8999999999999995E-5</v>
      </c>
      <c r="L180" s="4">
        <f t="shared" si="28"/>
        <v>3.9290000000000002E-3</v>
      </c>
      <c r="M180" s="5">
        <f t="shared" si="29"/>
        <v>1.3994635215963729</v>
      </c>
      <c r="N180" s="2">
        <f t="shared" si="30"/>
        <v>4.0747083091221374E-3</v>
      </c>
      <c r="O180">
        <f t="shared" si="31"/>
        <v>7466.2723999999998</v>
      </c>
      <c r="P180">
        <f t="shared" ca="1" si="37"/>
        <v>7471</v>
      </c>
      <c r="Q180" t="str">
        <f t="shared" ca="1" si="32"/>
        <v>0001110100101111</v>
      </c>
      <c r="R180">
        <f t="shared" ca="1" si="33"/>
        <v>1.4007697505950929</v>
      </c>
      <c r="S180">
        <f t="shared" ca="1" si="34"/>
        <v>36.809237007141121</v>
      </c>
      <c r="T180" s="1">
        <f t="shared" ca="1" si="36"/>
        <v>2.6210661186742756E-2</v>
      </c>
      <c r="V180" s="4">
        <f t="shared" ca="1" si="35"/>
        <v>0.99076299999999995</v>
      </c>
      <c r="X180" s="2"/>
    </row>
    <row r="181" spans="8:24" x14ac:dyDescent="0.25">
      <c r="H181">
        <v>37.900000000000006</v>
      </c>
      <c r="I181">
        <v>1.4024689733414464</v>
      </c>
      <c r="J181" s="4">
        <f t="shared" si="26"/>
        <v>-1.22E-4</v>
      </c>
      <c r="K181" s="9">
        <f t="shared" si="27"/>
        <v>9.0000000000000006E-5</v>
      </c>
      <c r="L181" s="4">
        <f t="shared" si="28"/>
        <v>3.96E-3</v>
      </c>
      <c r="M181" s="5">
        <f t="shared" si="29"/>
        <v>1.4082253159124596</v>
      </c>
      <c r="N181" s="2">
        <f t="shared" si="30"/>
        <v>4.1044348790821783E-3</v>
      </c>
      <c r="O181">
        <f t="shared" si="31"/>
        <v>7513.0174999999999</v>
      </c>
      <c r="P181">
        <f t="shared" ca="1" si="37"/>
        <v>7512</v>
      </c>
      <c r="Q181" t="str">
        <f t="shared" ca="1" si="32"/>
        <v>0001110101011000</v>
      </c>
      <c r="R181">
        <f t="shared" ca="1" si="33"/>
        <v>1.4084570159912109</v>
      </c>
      <c r="S181">
        <f t="shared" ca="1" si="34"/>
        <v>36.901484191894532</v>
      </c>
      <c r="T181" s="1">
        <f t="shared" ca="1" si="36"/>
        <v>2.6346063538402988E-2</v>
      </c>
      <c r="V181" s="4">
        <f t="shared" ca="1" si="35"/>
        <v>0.99851599999999996</v>
      </c>
      <c r="X181" s="2"/>
    </row>
    <row r="182" spans="8:24" x14ac:dyDescent="0.25">
      <c r="H182">
        <v>38</v>
      </c>
      <c r="I182">
        <v>1.4111783436019989</v>
      </c>
      <c r="J182" s="4">
        <f t="shared" si="26"/>
        <v>-1.22E-4</v>
      </c>
      <c r="K182" s="9">
        <f t="shared" si="27"/>
        <v>9.0000000000000006E-5</v>
      </c>
      <c r="L182" s="4">
        <f t="shared" si="28"/>
        <v>3.9899999999999996E-3</v>
      </c>
      <c r="M182" s="5">
        <f t="shared" si="29"/>
        <v>1.4170119900221874</v>
      </c>
      <c r="N182" s="2">
        <f t="shared" si="30"/>
        <v>4.1338831811280653E-3</v>
      </c>
      <c r="O182">
        <f t="shared" si="31"/>
        <v>7559.8951999999999</v>
      </c>
      <c r="P182">
        <f t="shared" ca="1" si="37"/>
        <v>7559</v>
      </c>
      <c r="Q182" t="str">
        <f t="shared" ca="1" si="32"/>
        <v>0001110110000111</v>
      </c>
      <c r="R182">
        <f t="shared" ca="1" si="33"/>
        <v>1.4172692470550536</v>
      </c>
      <c r="S182">
        <f t="shared" ca="1" si="34"/>
        <v>37.00723096466065</v>
      </c>
      <c r="T182" s="1">
        <f t="shared" ca="1" si="36"/>
        <v>2.6125500929982899E-2</v>
      </c>
      <c r="V182" s="4">
        <f t="shared" ca="1" si="35"/>
        <v>0.99276900000000001</v>
      </c>
      <c r="X182" s="2"/>
    </row>
    <row r="183" spans="8:24" x14ac:dyDescent="0.25">
      <c r="H183">
        <v>38.1</v>
      </c>
      <c r="I183">
        <v>1.4199122864960834</v>
      </c>
      <c r="J183" s="4">
        <f t="shared" si="26"/>
        <v>-1.21E-4</v>
      </c>
      <c r="K183" s="9">
        <f t="shared" si="27"/>
        <v>9.1000000000000003E-5</v>
      </c>
      <c r="L183" s="4">
        <f t="shared" si="28"/>
        <v>4.0210000000000003E-3</v>
      </c>
      <c r="M183" s="5">
        <f t="shared" si="29"/>
        <v>1.4258242927592684</v>
      </c>
      <c r="N183" s="2">
        <f t="shared" si="30"/>
        <v>4.1636418808474801E-3</v>
      </c>
      <c r="O183">
        <f t="shared" si="31"/>
        <v>7606.9097000000002</v>
      </c>
      <c r="P183">
        <f t="shared" ca="1" si="37"/>
        <v>7611</v>
      </c>
      <c r="Q183" t="str">
        <f t="shared" ca="1" si="32"/>
        <v>0001110110111011</v>
      </c>
      <c r="R183">
        <f t="shared" ca="1" si="33"/>
        <v>1.4270189495086669</v>
      </c>
      <c r="S183">
        <f t="shared" ca="1" si="34"/>
        <v>37.124227394104004</v>
      </c>
      <c r="T183" s="1">
        <f t="shared" ca="1" si="36"/>
        <v>2.5610829551076048E-2</v>
      </c>
      <c r="V183" s="4">
        <f t="shared" ca="1" si="35"/>
        <v>0.975773</v>
      </c>
      <c r="X183" s="2"/>
    </row>
    <row r="184" spans="8:24" x14ac:dyDescent="0.25">
      <c r="H184">
        <v>38.200000000000003</v>
      </c>
      <c r="I184">
        <v>1.4294741627850502</v>
      </c>
      <c r="J184" s="4">
        <f t="shared" si="26"/>
        <v>-1.2E-4</v>
      </c>
      <c r="K184" s="9">
        <f t="shared" si="27"/>
        <v>9.1000000000000003E-5</v>
      </c>
      <c r="L184" s="4">
        <f t="shared" si="28"/>
        <v>4.0509999999999999E-3</v>
      </c>
      <c r="M184" s="5">
        <f t="shared" si="29"/>
        <v>1.4354670046629396</v>
      </c>
      <c r="N184" s="2">
        <f t="shared" si="30"/>
        <v>4.1923401163218793E-3</v>
      </c>
      <c r="O184">
        <f t="shared" si="31"/>
        <v>7658.3545000000004</v>
      </c>
      <c r="P184">
        <f t="shared" ca="1" si="37"/>
        <v>7657</v>
      </c>
      <c r="Q184" t="str">
        <f t="shared" ca="1" si="32"/>
        <v>0001110111101001</v>
      </c>
      <c r="R184">
        <f t="shared" ca="1" si="33"/>
        <v>1.4356436862945556</v>
      </c>
      <c r="S184">
        <f t="shared" ca="1" si="34"/>
        <v>37.227724235534666</v>
      </c>
      <c r="T184" s="1">
        <f t="shared" ca="1" si="36"/>
        <v>2.5452245143071647E-2</v>
      </c>
      <c r="V184" s="4">
        <f t="shared" ca="1" si="35"/>
        <v>0.97227600000000003</v>
      </c>
      <c r="X184" s="2"/>
    </row>
    <row r="185" spans="8:24" x14ac:dyDescent="0.25">
      <c r="H185">
        <v>38.299999999999997</v>
      </c>
      <c r="I185">
        <v>1.4382559460101785</v>
      </c>
      <c r="J185" s="4">
        <f t="shared" si="26"/>
        <v>-1.2E-4</v>
      </c>
      <c r="K185" s="9">
        <f t="shared" si="27"/>
        <v>9.2E-5</v>
      </c>
      <c r="L185" s="4">
        <f t="shared" si="28"/>
        <v>4.0819999999999997E-3</v>
      </c>
      <c r="M185" s="5">
        <f t="shared" si="29"/>
        <v>1.4443294621185463</v>
      </c>
      <c r="N185" s="2">
        <f t="shared" si="30"/>
        <v>4.2228339992031114E-3</v>
      </c>
      <c r="O185">
        <f t="shared" si="31"/>
        <v>7705.6364999999996</v>
      </c>
      <c r="P185">
        <f t="shared" ca="1" si="37"/>
        <v>7710</v>
      </c>
      <c r="Q185" t="str">
        <f t="shared" ca="1" si="32"/>
        <v>0001111000011110</v>
      </c>
      <c r="R185">
        <f t="shared" ca="1" si="33"/>
        <v>1.445580883026123</v>
      </c>
      <c r="S185">
        <f t="shared" ca="1" si="34"/>
        <v>37.346970596313483</v>
      </c>
      <c r="T185" s="1">
        <f t="shared" ca="1" si="36"/>
        <v>2.4883274247689671E-2</v>
      </c>
      <c r="V185" s="4">
        <f t="shared" ca="1" si="35"/>
        <v>0.95302900000000002</v>
      </c>
      <c r="X185" s="2"/>
    </row>
    <row r="186" spans="8:24" x14ac:dyDescent="0.25">
      <c r="H186">
        <v>38.400000000000006</v>
      </c>
      <c r="I186">
        <v>1.4470620553602411</v>
      </c>
      <c r="J186" s="4">
        <f t="shared" si="26"/>
        <v>-1.1900000000000001E-4</v>
      </c>
      <c r="K186" s="9">
        <f t="shared" si="27"/>
        <v>9.2E-5</v>
      </c>
      <c r="L186" s="4">
        <f t="shared" si="28"/>
        <v>4.1120000000000002E-3</v>
      </c>
      <c r="M186" s="5">
        <f t="shared" si="29"/>
        <v>1.453214434619396</v>
      </c>
      <c r="N186" s="2">
        <f t="shared" si="30"/>
        <v>4.2516347079692386E-3</v>
      </c>
      <c r="O186">
        <f t="shared" si="31"/>
        <v>7753.0387000000001</v>
      </c>
      <c r="P186">
        <f t="shared" ca="1" si="37"/>
        <v>7757</v>
      </c>
      <c r="Q186" t="str">
        <f t="shared" ca="1" si="32"/>
        <v>0001111001001101</v>
      </c>
      <c r="R186">
        <f t="shared" ca="1" si="33"/>
        <v>1.4543931140899657</v>
      </c>
      <c r="S186">
        <f t="shared" ca="1" si="34"/>
        <v>37.452717369079593</v>
      </c>
      <c r="T186" s="1">
        <f t="shared" ca="1" si="36"/>
        <v>2.4668818513552401E-2</v>
      </c>
      <c r="V186" s="4">
        <f t="shared" ca="1" si="35"/>
        <v>0.94728299999999999</v>
      </c>
      <c r="X186" s="2"/>
    </row>
    <row r="187" spans="8:24" x14ac:dyDescent="0.25">
      <c r="H187">
        <v>38.5</v>
      </c>
      <c r="I187">
        <v>1.4558924089566518</v>
      </c>
      <c r="J187" s="4">
        <f t="shared" si="26"/>
        <v>-1.1900000000000001E-4</v>
      </c>
      <c r="K187" s="9">
        <f t="shared" si="27"/>
        <v>9.2999999999999997E-5</v>
      </c>
      <c r="L187" s="4">
        <f t="shared" si="28"/>
        <v>4.143E-3</v>
      </c>
      <c r="M187" s="5">
        <f t="shared" si="29"/>
        <v>1.4621267598286216</v>
      </c>
      <c r="N187" s="2">
        <f t="shared" si="30"/>
        <v>4.2821508193984937E-3</v>
      </c>
      <c r="O187">
        <f t="shared" si="31"/>
        <v>7800.5868</v>
      </c>
      <c r="P187">
        <f t="shared" ca="1" si="37"/>
        <v>7804</v>
      </c>
      <c r="Q187" t="str">
        <f t="shared" ca="1" si="32"/>
        <v>0001111001111100</v>
      </c>
      <c r="R187">
        <f t="shared" ca="1" si="33"/>
        <v>1.4632053451538085</v>
      </c>
      <c r="S187">
        <f t="shared" ca="1" si="34"/>
        <v>37.558464141845704</v>
      </c>
      <c r="T187" s="1">
        <f t="shared" ca="1" si="36"/>
        <v>2.4455476835176522E-2</v>
      </c>
      <c r="V187" s="4">
        <f t="shared" ca="1" si="35"/>
        <v>0.94153600000000004</v>
      </c>
      <c r="X187" s="2"/>
    </row>
    <row r="188" spans="8:24" x14ac:dyDescent="0.25">
      <c r="H188">
        <v>38.6</v>
      </c>
      <c r="I188">
        <v>1.4647469230004762</v>
      </c>
      <c r="J188" s="4">
        <f t="shared" si="26"/>
        <v>-1.18E-4</v>
      </c>
      <c r="K188" s="9">
        <f t="shared" si="27"/>
        <v>9.2999999999999997E-5</v>
      </c>
      <c r="L188" s="4">
        <f t="shared" si="28"/>
        <v>4.1729999999999996E-3</v>
      </c>
      <c r="M188" s="5">
        <f t="shared" si="29"/>
        <v>1.4710614202732764</v>
      </c>
      <c r="N188" s="2">
        <f t="shared" si="30"/>
        <v>4.3109817632285604E-3</v>
      </c>
      <c r="O188">
        <f t="shared" si="31"/>
        <v>7848.2541000000001</v>
      </c>
      <c r="P188">
        <f t="shared" ca="1" si="37"/>
        <v>7852</v>
      </c>
      <c r="Q188" t="str">
        <f t="shared" ca="1" si="32"/>
        <v>0001111010101100</v>
      </c>
      <c r="R188">
        <f t="shared" ca="1" si="33"/>
        <v>1.4722050704956056</v>
      </c>
      <c r="S188">
        <f t="shared" ca="1" si="34"/>
        <v>37.66646084594727</v>
      </c>
      <c r="T188" s="1">
        <f t="shared" ca="1" si="36"/>
        <v>2.4184952177531895E-2</v>
      </c>
      <c r="V188" s="4">
        <f t="shared" ca="1" si="35"/>
        <v>0.93353900000000001</v>
      </c>
      <c r="X188" s="2"/>
    </row>
    <row r="189" spans="8:24" x14ac:dyDescent="0.25">
      <c r="H189">
        <v>38.700000000000003</v>
      </c>
      <c r="I189">
        <v>1.4728273873547839</v>
      </c>
      <c r="J189" s="4">
        <f t="shared" si="26"/>
        <v>-1.17E-4</v>
      </c>
      <c r="K189" s="9">
        <f t="shared" si="27"/>
        <v>9.3999999999999994E-5</v>
      </c>
      <c r="L189" s="4">
        <f t="shared" si="28"/>
        <v>4.2040000000000003E-3</v>
      </c>
      <c r="M189" s="5">
        <f t="shared" si="29"/>
        <v>1.4792207877143349</v>
      </c>
      <c r="N189" s="2">
        <f t="shared" si="30"/>
        <v>4.3409026844846797E-3</v>
      </c>
      <c r="O189">
        <f t="shared" si="31"/>
        <v>7891.7851000000001</v>
      </c>
      <c r="P189">
        <f t="shared" ca="1" si="37"/>
        <v>7896</v>
      </c>
      <c r="Q189" t="str">
        <f t="shared" ca="1" si="32"/>
        <v>0001111011011000</v>
      </c>
      <c r="R189">
        <f t="shared" ca="1" si="33"/>
        <v>1.4804548187255859</v>
      </c>
      <c r="S189">
        <f t="shared" ca="1" si="34"/>
        <v>37.765457824707035</v>
      </c>
      <c r="T189" s="1">
        <f t="shared" ca="1" si="36"/>
        <v>2.4148376622557314E-2</v>
      </c>
      <c r="V189" s="4">
        <f t="shared" ca="1" si="35"/>
        <v>0.93454199999999998</v>
      </c>
      <c r="X189" s="2"/>
    </row>
    <row r="190" spans="8:24" x14ac:dyDescent="0.25">
      <c r="H190">
        <v>38.799999999999997</v>
      </c>
      <c r="I190">
        <v>1.4817310371800962</v>
      </c>
      <c r="J190" s="4">
        <f t="shared" si="26"/>
        <v>-1.17E-4</v>
      </c>
      <c r="K190" s="9">
        <f t="shared" si="27"/>
        <v>9.3999999999999994E-5</v>
      </c>
      <c r="L190" s="4">
        <f t="shared" si="28"/>
        <v>4.2339999999999999E-3</v>
      </c>
      <c r="M190" s="5">
        <f t="shared" si="29"/>
        <v>1.4882068594510116</v>
      </c>
      <c r="N190" s="2">
        <f t="shared" si="30"/>
        <v>4.3704438311824778E-3</v>
      </c>
      <c r="O190">
        <f t="shared" si="31"/>
        <v>7939.7267000000002</v>
      </c>
      <c r="P190">
        <f t="shared" ca="1" si="37"/>
        <v>7944</v>
      </c>
      <c r="Q190" t="str">
        <f t="shared" ca="1" si="32"/>
        <v>0001111100001000</v>
      </c>
      <c r="R190">
        <f t="shared" ca="1" si="33"/>
        <v>1.4894545440673828</v>
      </c>
      <c r="S190">
        <f t="shared" ca="1" si="34"/>
        <v>37.873454528808594</v>
      </c>
      <c r="T190" s="1">
        <f t="shared" ca="1" si="36"/>
        <v>2.3880037917304208E-2</v>
      </c>
      <c r="V190" s="4">
        <f t="shared" ca="1" si="35"/>
        <v>0.92654499999999995</v>
      </c>
      <c r="X190" s="2"/>
    </row>
    <row r="191" spans="8:24" x14ac:dyDescent="0.25">
      <c r="H191">
        <v>38.900000000000006</v>
      </c>
      <c r="I191">
        <v>1.4906585970888542</v>
      </c>
      <c r="J191" s="4">
        <f t="shared" si="26"/>
        <v>-1.16E-4</v>
      </c>
      <c r="K191" s="9">
        <f t="shared" si="27"/>
        <v>9.5000000000000005E-5</v>
      </c>
      <c r="L191" s="4">
        <f t="shared" si="28"/>
        <v>4.2649999999999997E-3</v>
      </c>
      <c r="M191" s="5">
        <f t="shared" si="29"/>
        <v>1.4972179844224156</v>
      </c>
      <c r="N191" s="2">
        <f t="shared" si="30"/>
        <v>4.4003283826165333E-3</v>
      </c>
      <c r="O191">
        <f t="shared" si="31"/>
        <v>7987.8019000000004</v>
      </c>
      <c r="P191">
        <f t="shared" ca="1" si="37"/>
        <v>7988</v>
      </c>
      <c r="Q191" t="str">
        <f t="shared" ca="1" si="32"/>
        <v>0001111100110100</v>
      </c>
      <c r="R191">
        <f t="shared" ca="1" si="33"/>
        <v>1.4977042922973633</v>
      </c>
      <c r="S191">
        <f t="shared" ca="1" si="34"/>
        <v>37.972451507568358</v>
      </c>
      <c r="T191" s="1">
        <f t="shared" ca="1" si="36"/>
        <v>2.3844434252741572E-2</v>
      </c>
      <c r="V191" s="4">
        <f t="shared" ca="1" si="35"/>
        <v>0.92754800000000004</v>
      </c>
      <c r="X191" s="2"/>
    </row>
    <row r="192" spans="8:24" x14ac:dyDescent="0.25">
      <c r="H192">
        <v>39</v>
      </c>
      <c r="I192">
        <v>1.4996099821182447</v>
      </c>
      <c r="J192" s="4">
        <f t="shared" si="26"/>
        <v>-1.16E-4</v>
      </c>
      <c r="K192" s="9">
        <f t="shared" si="27"/>
        <v>9.5000000000000005E-5</v>
      </c>
      <c r="L192" s="4">
        <f t="shared" si="28"/>
        <v>4.2950000000000002E-3</v>
      </c>
      <c r="M192" s="5">
        <f t="shared" si="29"/>
        <v>1.5062530900299231</v>
      </c>
      <c r="N192" s="2">
        <f t="shared" si="30"/>
        <v>4.4298904321074502E-3</v>
      </c>
      <c r="O192">
        <f t="shared" si="31"/>
        <v>8036.0051000000003</v>
      </c>
      <c r="P192">
        <f t="shared" ca="1" si="37"/>
        <v>8037</v>
      </c>
      <c r="Q192" t="str">
        <f t="shared" ca="1" si="32"/>
        <v>0001111101100101</v>
      </c>
      <c r="R192">
        <f t="shared" ca="1" si="33"/>
        <v>1.5068915119171142</v>
      </c>
      <c r="S192">
        <f t="shared" ca="1" si="34"/>
        <v>38.082698143005373</v>
      </c>
      <c r="T192" s="1">
        <f t="shared" ca="1" si="36"/>
        <v>2.3520560435759653E-2</v>
      </c>
      <c r="V192" s="4">
        <f t="shared" ca="1" si="35"/>
        <v>0.91730199999999995</v>
      </c>
      <c r="X192" s="2"/>
    </row>
    <row r="193" spans="8:24" x14ac:dyDescent="0.25">
      <c r="H193">
        <v>39.1</v>
      </c>
      <c r="I193">
        <v>1.5085851069562664</v>
      </c>
      <c r="J193" s="4">
        <f t="shared" si="26"/>
        <v>-1.15E-4</v>
      </c>
      <c r="K193" s="9">
        <f t="shared" si="27"/>
        <v>9.6000000000000002E-5</v>
      </c>
      <c r="L193" s="4">
        <f t="shared" si="28"/>
        <v>4.326E-3</v>
      </c>
      <c r="M193" s="5">
        <f t="shared" si="29"/>
        <v>1.5153131005211207</v>
      </c>
      <c r="N193" s="2">
        <f t="shared" si="30"/>
        <v>4.4598037815902691E-3</v>
      </c>
      <c r="O193">
        <f t="shared" si="31"/>
        <v>8084.3410999999996</v>
      </c>
      <c r="P193">
        <f t="shared" ca="1" si="37"/>
        <v>8083</v>
      </c>
      <c r="Q193" t="str">
        <f t="shared" ca="1" si="32"/>
        <v>0001111110010011</v>
      </c>
      <c r="R193">
        <f t="shared" ca="1" si="33"/>
        <v>1.5155162487030029</v>
      </c>
      <c r="S193">
        <f t="shared" ca="1" si="34"/>
        <v>38.186194984436042</v>
      </c>
      <c r="T193" s="1">
        <f t="shared" ca="1" si="36"/>
        <v>2.3370972265062889E-2</v>
      </c>
      <c r="V193" s="4">
        <f t="shared" ca="1" si="35"/>
        <v>0.91380499999999998</v>
      </c>
      <c r="X193" s="2"/>
    </row>
    <row r="194" spans="8:24" x14ac:dyDescent="0.25">
      <c r="H194">
        <v>39.200000000000003</v>
      </c>
      <c r="I194">
        <v>1.5167910963608866</v>
      </c>
      <c r="J194" s="4">
        <f t="shared" si="26"/>
        <v>-1.15E-4</v>
      </c>
      <c r="K194" s="9">
        <f t="shared" si="27"/>
        <v>9.6000000000000002E-5</v>
      </c>
      <c r="L194" s="4">
        <f t="shared" si="28"/>
        <v>4.3559999999999996E-3</v>
      </c>
      <c r="M194" s="5">
        <f t="shared" si="29"/>
        <v>1.5236006481361677</v>
      </c>
      <c r="N194" s="2">
        <f t="shared" si="30"/>
        <v>4.4894460361869799E-3</v>
      </c>
      <c r="O194">
        <f t="shared" si="31"/>
        <v>8128.5559000000003</v>
      </c>
      <c r="P194">
        <f t="shared" ca="1" si="37"/>
        <v>8128</v>
      </c>
      <c r="Q194" t="str">
        <f t="shared" ca="1" si="32"/>
        <v>0001111111000000</v>
      </c>
      <c r="R194">
        <f t="shared" ca="1" si="33"/>
        <v>1.5239534912109376</v>
      </c>
      <c r="S194">
        <f t="shared" ca="1" si="34"/>
        <v>38.287441894531256</v>
      </c>
      <c r="T194" s="1">
        <f t="shared" ca="1" si="36"/>
        <v>2.3279543506855797E-2</v>
      </c>
      <c r="V194" s="4">
        <f t="shared" ca="1" si="35"/>
        <v>0.91255799999999998</v>
      </c>
      <c r="X194" s="2"/>
    </row>
    <row r="195" spans="8:24" x14ac:dyDescent="0.25">
      <c r="H195">
        <v>39.299999999999997</v>
      </c>
      <c r="I195">
        <v>1.5258145135642385</v>
      </c>
      <c r="J195" s="4">
        <f t="shared" ref="J195:J258" si="38">ROUND(H195*0.00000575 -0.00034,6)</f>
        <v>-1.1400000000000001E-4</v>
      </c>
      <c r="K195" s="9">
        <f t="shared" ref="K195:K258" si="39">ROUND(H195*0.000005-0.0001,6)</f>
        <v>9.7E-5</v>
      </c>
      <c r="L195" s="4">
        <f t="shared" ref="L195:L258" si="40">ROUND(K195+($C$24*(H195-25)),6)</f>
        <v>4.3870000000000003E-3</v>
      </c>
      <c r="M195" s="5">
        <f t="shared" ref="M195:M258" si="41">(I195-J195)/(1-L195)+$C$26+$D$27</f>
        <v>1.5327102590245791</v>
      </c>
      <c r="N195" s="2">
        <f t="shared" ref="N195:N258" si="42">ABS(I195-M195)/I195</f>
        <v>4.5193864647626739E-3</v>
      </c>
      <c r="O195">
        <f t="shared" ref="O195:O258" si="43">ROUND((M195*(2^($C$12-1)))/$C$44,4)</f>
        <v>8177.1566000000003</v>
      </c>
      <c r="P195">
        <f t="shared" ca="1" si="37"/>
        <v>8177</v>
      </c>
      <c r="Q195" t="str">
        <f t="shared" ref="Q195:Q258" ca="1" si="44">_xlfn.BASE(P195,2,16)</f>
        <v>0001111111110001</v>
      </c>
      <c r="R195">
        <f t="shared" ref="R195:R258" ca="1" si="45">($C$16/2^($C$12-1)) * P195</f>
        <v>1.5331407108306885</v>
      </c>
      <c r="S195">
        <f t="shared" ref="S195:S258" ca="1" si="46">(R195+5/3)/(1/12)</f>
        <v>38.397688529968264</v>
      </c>
      <c r="T195" s="1">
        <f t="shared" ca="1" si="36"/>
        <v>2.2959579390120451E-2</v>
      </c>
      <c r="V195" s="4">
        <f t="shared" ref="V195:V258" ca="1" si="47">ROUND(ABS(H195-S195),6)</f>
        <v>0.90231099999999997</v>
      </c>
      <c r="X195" s="2"/>
    </row>
    <row r="196" spans="8:24" x14ac:dyDescent="0.25">
      <c r="H196">
        <v>39.400000000000006</v>
      </c>
      <c r="I196">
        <v>1.5340707653080601</v>
      </c>
      <c r="J196" s="4">
        <f t="shared" si="38"/>
        <v>-1.13E-4</v>
      </c>
      <c r="K196" s="9">
        <f t="shared" si="39"/>
        <v>9.7E-5</v>
      </c>
      <c r="L196" s="4">
        <f t="shared" si="40"/>
        <v>4.4169999999999999E-3</v>
      </c>
      <c r="M196" s="5">
        <f t="shared" si="41"/>
        <v>1.5410483195495102</v>
      </c>
      <c r="N196" s="2">
        <f t="shared" si="42"/>
        <v>4.5483913775313366E-3</v>
      </c>
      <c r="O196">
        <f t="shared" si="43"/>
        <v>8221.6409999999996</v>
      </c>
      <c r="P196">
        <f t="shared" ca="1" si="37"/>
        <v>8226</v>
      </c>
      <c r="Q196" t="str">
        <f t="shared" ca="1" si="44"/>
        <v>0010000000100010</v>
      </c>
      <c r="R196">
        <f t="shared" ca="1" si="45"/>
        <v>1.5423279304504396</v>
      </c>
      <c r="S196">
        <f t="shared" ca="1" si="46"/>
        <v>38.507935165405279</v>
      </c>
      <c r="T196" s="1">
        <f t="shared" ref="T196:T259" ca="1" si="48">ABS(H196-S196)/H196</f>
        <v>2.2641239456718958E-2</v>
      </c>
      <c r="V196" s="4">
        <f t="shared" ca="1" si="47"/>
        <v>0.892065</v>
      </c>
      <c r="X196" s="2"/>
    </row>
    <row r="197" spans="8:24" x14ac:dyDescent="0.25">
      <c r="H197">
        <v>39.5</v>
      </c>
      <c r="I197">
        <v>1.5431421328285895</v>
      </c>
      <c r="J197" s="4">
        <f t="shared" si="38"/>
        <v>-1.13E-4</v>
      </c>
      <c r="K197" s="9">
        <f t="shared" si="39"/>
        <v>9.7999999999999997E-5</v>
      </c>
      <c r="L197" s="4">
        <f t="shared" si="40"/>
        <v>4.4479999999999997E-3</v>
      </c>
      <c r="M197" s="5">
        <f t="shared" si="41"/>
        <v>1.5502082009222917</v>
      </c>
      <c r="N197" s="2">
        <f t="shared" si="42"/>
        <v>4.5790131339036805E-3</v>
      </c>
      <c r="O197">
        <f t="shared" si="43"/>
        <v>8270.5097999999998</v>
      </c>
      <c r="P197">
        <f t="shared" ca="1" si="37"/>
        <v>8273</v>
      </c>
      <c r="Q197" t="str">
        <f t="shared" ca="1" si="44"/>
        <v>0010000001010001</v>
      </c>
      <c r="R197">
        <f t="shared" ca="1" si="45"/>
        <v>1.5511401615142824</v>
      </c>
      <c r="S197">
        <f t="shared" ca="1" si="46"/>
        <v>38.613681938171389</v>
      </c>
      <c r="T197" s="1">
        <f t="shared" ca="1" si="48"/>
        <v>2.2438431945028123E-2</v>
      </c>
      <c r="V197" s="4">
        <f t="shared" ca="1" si="47"/>
        <v>0.88631800000000005</v>
      </c>
      <c r="X197" s="2"/>
    </row>
    <row r="198" spans="8:24" x14ac:dyDescent="0.25">
      <c r="H198">
        <v>39.6</v>
      </c>
      <c r="I198">
        <v>1.5522368098151935</v>
      </c>
      <c r="J198" s="4">
        <f t="shared" si="38"/>
        <v>-1.12E-4</v>
      </c>
      <c r="K198" s="9">
        <f t="shared" si="39"/>
        <v>9.7999999999999997E-5</v>
      </c>
      <c r="L198" s="4">
        <f t="shared" si="40"/>
        <v>4.4780000000000002E-3</v>
      </c>
      <c r="M198" s="5">
        <f t="shared" si="41"/>
        <v>1.5593894962554251</v>
      </c>
      <c r="N198" s="2">
        <f t="shared" si="42"/>
        <v>4.6079866132559882E-3</v>
      </c>
      <c r="O198">
        <f t="shared" si="43"/>
        <v>8319.4928999999993</v>
      </c>
      <c r="P198">
        <f t="shared" ca="1" si="37"/>
        <v>8323</v>
      </c>
      <c r="Q198" t="str">
        <f t="shared" ca="1" si="44"/>
        <v>0010000010000011</v>
      </c>
      <c r="R198">
        <f t="shared" ca="1" si="45"/>
        <v>1.5605148754119873</v>
      </c>
      <c r="S198">
        <f t="shared" ca="1" si="46"/>
        <v>38.726178504943846</v>
      </c>
      <c r="T198" s="1">
        <f t="shared" ca="1" si="48"/>
        <v>2.2066199370104938E-2</v>
      </c>
      <c r="V198" s="4">
        <f t="shared" ca="1" si="47"/>
        <v>0.87382099999999996</v>
      </c>
      <c r="X198" s="2"/>
    </row>
    <row r="199" spans="8:24" x14ac:dyDescent="0.25">
      <c r="H199">
        <v>39.700000000000003</v>
      </c>
      <c r="I199">
        <v>1.5613547095592029</v>
      </c>
      <c r="J199" s="4">
        <f t="shared" si="38"/>
        <v>-1.12E-4</v>
      </c>
      <c r="K199" s="9">
        <f t="shared" si="39"/>
        <v>9.8999999999999994E-5</v>
      </c>
      <c r="L199" s="4">
        <f t="shared" si="40"/>
        <v>4.509E-3</v>
      </c>
      <c r="M199" s="5">
        <f t="shared" si="41"/>
        <v>1.5685972530512104</v>
      </c>
      <c r="N199" s="2">
        <f t="shared" si="42"/>
        <v>4.6386278836359259E-3</v>
      </c>
      <c r="O199">
        <f t="shared" si="43"/>
        <v>8368.6172000000006</v>
      </c>
      <c r="P199">
        <f t="shared" ca="1" si="37"/>
        <v>8367</v>
      </c>
      <c r="Q199" t="str">
        <f t="shared" ca="1" si="44"/>
        <v>0010000010101111</v>
      </c>
      <c r="R199">
        <f t="shared" ca="1" si="45"/>
        <v>1.5687646236419679</v>
      </c>
      <c r="S199">
        <f t="shared" ca="1" si="46"/>
        <v>38.825175483703617</v>
      </c>
      <c r="T199" s="1">
        <f t="shared" ca="1" si="48"/>
        <v>2.2035882022578977E-2</v>
      </c>
      <c r="V199" s="4">
        <f t="shared" ca="1" si="47"/>
        <v>0.87482499999999996</v>
      </c>
      <c r="X199" s="2"/>
    </row>
    <row r="200" spans="8:24" x14ac:dyDescent="0.25">
      <c r="H200">
        <v>39.799999999999997</v>
      </c>
      <c r="I200">
        <v>1.5697093861918927</v>
      </c>
      <c r="J200" s="4">
        <f t="shared" si="38"/>
        <v>-1.11E-4</v>
      </c>
      <c r="K200" s="9">
        <f t="shared" si="39"/>
        <v>9.8999999999999994E-5</v>
      </c>
      <c r="L200" s="4">
        <f t="shared" si="40"/>
        <v>4.5389999999999996E-3</v>
      </c>
      <c r="M200" s="5">
        <f t="shared" si="41"/>
        <v>1.5770362906531672</v>
      </c>
      <c r="N200" s="2">
        <f t="shared" si="42"/>
        <v>4.6676821364045737E-3</v>
      </c>
      <c r="O200">
        <f t="shared" si="43"/>
        <v>8413.6401999999998</v>
      </c>
      <c r="P200">
        <f t="shared" ca="1" si="37"/>
        <v>8415</v>
      </c>
      <c r="Q200" t="str">
        <f t="shared" ca="1" si="44"/>
        <v>0010000011011111</v>
      </c>
      <c r="R200">
        <f t="shared" ca="1" si="45"/>
        <v>1.5777643489837647</v>
      </c>
      <c r="S200">
        <f t="shared" ca="1" si="46"/>
        <v>38.933172187805184</v>
      </c>
      <c r="T200" s="1">
        <f t="shared" ca="1" si="48"/>
        <v>2.1779593271226468E-2</v>
      </c>
      <c r="V200" s="4">
        <f t="shared" ca="1" si="47"/>
        <v>0.86682800000000004</v>
      </c>
      <c r="X200" s="2"/>
    </row>
    <row r="201" spans="8:24" x14ac:dyDescent="0.25">
      <c r="H201">
        <v>39.900000000000006</v>
      </c>
      <c r="I201">
        <v>1.5788745403580147</v>
      </c>
      <c r="J201" s="4">
        <f t="shared" si="38"/>
        <v>-1.11E-4</v>
      </c>
      <c r="K201" s="9">
        <f t="shared" si="39"/>
        <v>1E-4</v>
      </c>
      <c r="L201" s="4">
        <f t="shared" si="40"/>
        <v>4.5700000000000003E-3</v>
      </c>
      <c r="M201" s="5">
        <f t="shared" si="41"/>
        <v>1.5862926326291296</v>
      </c>
      <c r="N201" s="2">
        <f t="shared" si="42"/>
        <v>4.6983418134241501E-3</v>
      </c>
      <c r="O201">
        <f t="shared" si="43"/>
        <v>8463.0236999999997</v>
      </c>
      <c r="P201">
        <f t="shared" ca="1" si="37"/>
        <v>8463</v>
      </c>
      <c r="Q201" t="str">
        <f t="shared" ca="1" si="44"/>
        <v>0010000100001111</v>
      </c>
      <c r="R201">
        <f t="shared" ca="1" si="45"/>
        <v>1.5867640743255615</v>
      </c>
      <c r="S201">
        <f t="shared" ca="1" si="46"/>
        <v>39.041168891906743</v>
      </c>
      <c r="T201" s="1">
        <f t="shared" ca="1" si="48"/>
        <v>2.152458917526974E-2</v>
      </c>
      <c r="V201" s="4">
        <f t="shared" ca="1" si="47"/>
        <v>0.85883100000000001</v>
      </c>
      <c r="X201" s="2"/>
    </row>
    <row r="202" spans="8:24" x14ac:dyDescent="0.25">
      <c r="H202">
        <v>40</v>
      </c>
      <c r="I202">
        <v>1.5880626533293829</v>
      </c>
      <c r="J202" s="4">
        <f t="shared" si="38"/>
        <v>-1.1E-4</v>
      </c>
      <c r="K202" s="9">
        <f t="shared" si="39"/>
        <v>1E-4</v>
      </c>
      <c r="L202" s="4">
        <f t="shared" si="40"/>
        <v>4.5999999999999999E-3</v>
      </c>
      <c r="M202" s="5">
        <f t="shared" si="41"/>
        <v>1.5955700085687994</v>
      </c>
      <c r="N202" s="2">
        <f t="shared" si="42"/>
        <v>4.7273671625469339E-3</v>
      </c>
      <c r="O202">
        <f t="shared" si="43"/>
        <v>8512.5193999999992</v>
      </c>
      <c r="P202">
        <f t="shared" ca="1" si="37"/>
        <v>8515</v>
      </c>
      <c r="Q202" t="str">
        <f t="shared" ca="1" si="44"/>
        <v>0010000101000011</v>
      </c>
      <c r="R202">
        <f t="shared" ca="1" si="45"/>
        <v>1.5965137767791748</v>
      </c>
      <c r="S202">
        <f t="shared" ca="1" si="46"/>
        <v>39.158165321350104</v>
      </c>
      <c r="T202" s="1">
        <f t="shared" ca="1" si="48"/>
        <v>2.1045866966247394E-2</v>
      </c>
      <c r="V202" s="4">
        <f t="shared" ca="1" si="47"/>
        <v>0.841835</v>
      </c>
      <c r="X202" s="2"/>
    </row>
    <row r="203" spans="8:24" x14ac:dyDescent="0.25">
      <c r="H203">
        <v>40.1</v>
      </c>
      <c r="I203">
        <v>1.596490504115079</v>
      </c>
      <c r="J203" s="4">
        <f t="shared" si="38"/>
        <v>-1.0900000000000001E-4</v>
      </c>
      <c r="K203" s="9">
        <f t="shared" si="39"/>
        <v>1.01E-4</v>
      </c>
      <c r="L203" s="4">
        <f t="shared" si="40"/>
        <v>4.6309999999999997E-3</v>
      </c>
      <c r="M203" s="5">
        <f t="shared" si="41"/>
        <v>1.6040857566561535</v>
      </c>
      <c r="N203" s="2">
        <f t="shared" si="42"/>
        <v>4.7574680347281482E-3</v>
      </c>
      <c r="O203">
        <f t="shared" si="43"/>
        <v>8557.9516999999996</v>
      </c>
      <c r="P203">
        <f t="shared" ca="1" si="37"/>
        <v>8557</v>
      </c>
      <c r="Q203" t="str">
        <f t="shared" ca="1" si="44"/>
        <v>0010000101101101</v>
      </c>
      <c r="R203">
        <f t="shared" ca="1" si="45"/>
        <v>1.6043885364532471</v>
      </c>
      <c r="S203">
        <f t="shared" ca="1" si="46"/>
        <v>39.252662437438971</v>
      </c>
      <c r="T203" s="1">
        <f t="shared" ca="1" si="48"/>
        <v>2.1130612532694021E-2</v>
      </c>
      <c r="V203" s="4">
        <f t="shared" ca="1" si="47"/>
        <v>0.84733800000000004</v>
      </c>
      <c r="X203" s="2"/>
    </row>
    <row r="204" spans="8:24" x14ac:dyDescent="0.25">
      <c r="H204">
        <v>40.200000000000003</v>
      </c>
      <c r="I204">
        <v>1.6057253423094078</v>
      </c>
      <c r="J204" s="4">
        <f t="shared" si="38"/>
        <v>-1.0900000000000001E-4</v>
      </c>
      <c r="K204" s="9">
        <f t="shared" si="39"/>
        <v>1.01E-4</v>
      </c>
      <c r="L204" s="4">
        <f t="shared" si="40"/>
        <v>4.6610000000000002E-3</v>
      </c>
      <c r="M204" s="5">
        <f t="shared" si="41"/>
        <v>1.6134121861711515</v>
      </c>
      <c r="N204" s="2">
        <f t="shared" si="42"/>
        <v>4.7871473777004727E-3</v>
      </c>
      <c r="O204">
        <f t="shared" si="43"/>
        <v>8607.7091</v>
      </c>
      <c r="P204">
        <f t="shared" ca="1" si="37"/>
        <v>8606</v>
      </c>
      <c r="Q204" t="str">
        <f t="shared" ca="1" si="44"/>
        <v>0010000110011110</v>
      </c>
      <c r="R204">
        <f t="shared" ca="1" si="45"/>
        <v>1.613575756072998</v>
      </c>
      <c r="S204">
        <f t="shared" ca="1" si="46"/>
        <v>39.362909072875979</v>
      </c>
      <c r="T204" s="1">
        <f t="shared" ca="1" si="48"/>
        <v>2.0823157391144865E-2</v>
      </c>
      <c r="V204" s="4">
        <f t="shared" ca="1" si="47"/>
        <v>0.83709100000000003</v>
      </c>
      <c r="X204" s="2"/>
    </row>
    <row r="205" spans="8:24" x14ac:dyDescent="0.25">
      <c r="H205">
        <v>40.299999999999997</v>
      </c>
      <c r="I205">
        <v>1.614982871545112</v>
      </c>
      <c r="J205" s="4">
        <f t="shared" si="38"/>
        <v>-1.08E-4</v>
      </c>
      <c r="K205" s="9">
        <f t="shared" si="39"/>
        <v>1.02E-4</v>
      </c>
      <c r="L205" s="4">
        <f t="shared" si="40"/>
        <v>4.692E-3</v>
      </c>
      <c r="M205" s="5">
        <f t="shared" si="41"/>
        <v>1.6227626015355165</v>
      </c>
      <c r="N205" s="2">
        <f t="shared" si="42"/>
        <v>4.8172213634448038E-3</v>
      </c>
      <c r="O205">
        <f t="shared" si="43"/>
        <v>8657.5944999999992</v>
      </c>
      <c r="P205">
        <f t="shared" ca="1" si="37"/>
        <v>8657</v>
      </c>
      <c r="Q205" t="str">
        <f t="shared" ca="1" si="44"/>
        <v>0010000111010001</v>
      </c>
      <c r="R205">
        <f t="shared" ca="1" si="45"/>
        <v>1.6231379642486572</v>
      </c>
      <c r="S205">
        <f t="shared" ca="1" si="46"/>
        <v>39.477655570983885</v>
      </c>
      <c r="T205" s="1">
        <f t="shared" ca="1" si="48"/>
        <v>2.0405568958216196E-2</v>
      </c>
      <c r="V205" s="4">
        <f t="shared" ca="1" si="47"/>
        <v>0.82234399999999996</v>
      </c>
      <c r="X205" s="2"/>
    </row>
    <row r="206" spans="8:24" x14ac:dyDescent="0.25">
      <c r="H206">
        <v>40.400000000000006</v>
      </c>
      <c r="I206">
        <v>1.6234831027505476</v>
      </c>
      <c r="J206" s="4">
        <f t="shared" si="38"/>
        <v>-1.08E-4</v>
      </c>
      <c r="K206" s="9">
        <f t="shared" si="39"/>
        <v>1.02E-4</v>
      </c>
      <c r="L206" s="4">
        <f t="shared" si="40"/>
        <v>4.7219999999999996E-3</v>
      </c>
      <c r="M206" s="5">
        <f t="shared" si="41"/>
        <v>1.6313520733649769</v>
      </c>
      <c r="N206" s="2">
        <f t="shared" si="42"/>
        <v>4.8469679795850318E-3</v>
      </c>
      <c r="O206">
        <f t="shared" si="43"/>
        <v>8703.4202000000005</v>
      </c>
      <c r="P206">
        <f t="shared" ca="1" si="37"/>
        <v>8705</v>
      </c>
      <c r="Q206" t="str">
        <f t="shared" ca="1" si="44"/>
        <v>0010001000000001</v>
      </c>
      <c r="R206">
        <f t="shared" ca="1" si="45"/>
        <v>1.6321376895904542</v>
      </c>
      <c r="S206">
        <f t="shared" ca="1" si="46"/>
        <v>39.585652275085458</v>
      </c>
      <c r="T206" s="1">
        <f t="shared" ca="1" si="48"/>
        <v>2.0157121903825435E-2</v>
      </c>
      <c r="V206" s="4">
        <f t="shared" ca="1" si="47"/>
        <v>0.81434799999999996</v>
      </c>
      <c r="X206" s="2"/>
    </row>
    <row r="207" spans="8:24" x14ac:dyDescent="0.25">
      <c r="H207">
        <v>40.5</v>
      </c>
      <c r="I207">
        <v>1.6327868215360017</v>
      </c>
      <c r="J207" s="4">
        <f t="shared" si="38"/>
        <v>-1.07E-4</v>
      </c>
      <c r="K207" s="9">
        <f t="shared" si="39"/>
        <v>1.03E-4</v>
      </c>
      <c r="L207" s="4">
        <f t="shared" si="40"/>
        <v>4.7530000000000003E-3</v>
      </c>
      <c r="M207" s="5">
        <f t="shared" si="41"/>
        <v>1.6407500307581955</v>
      </c>
      <c r="N207" s="2">
        <f t="shared" si="42"/>
        <v>4.8770660793933602E-3</v>
      </c>
      <c r="O207">
        <f t="shared" si="43"/>
        <v>8753.5591999999997</v>
      </c>
      <c r="P207">
        <f t="shared" ref="P207:P270" ca="1" si="49">ROUND(O207+$C$47+$C$49+RANDBETWEEN($B$45,$D$45) + 1,0)</f>
        <v>8756</v>
      </c>
      <c r="Q207" t="str">
        <f t="shared" ca="1" si="44"/>
        <v>0010001000110100</v>
      </c>
      <c r="R207">
        <f t="shared" ca="1" si="45"/>
        <v>1.6416998977661132</v>
      </c>
      <c r="S207">
        <f t="shared" ca="1" si="46"/>
        <v>39.700398773193363</v>
      </c>
      <c r="T207" s="1">
        <f t="shared" ca="1" si="48"/>
        <v>1.9743240168065102E-2</v>
      </c>
      <c r="V207" s="4">
        <f t="shared" ca="1" si="47"/>
        <v>0.79960100000000001</v>
      </c>
      <c r="X207" s="2"/>
    </row>
    <row r="208" spans="8:24" x14ac:dyDescent="0.25">
      <c r="H208">
        <v>40.6</v>
      </c>
      <c r="I208">
        <v>1.6413352210814001</v>
      </c>
      <c r="J208" s="4">
        <f t="shared" si="38"/>
        <v>-1.07E-4</v>
      </c>
      <c r="K208" s="9">
        <f t="shared" si="39"/>
        <v>1.03E-4</v>
      </c>
      <c r="L208" s="4">
        <f t="shared" si="40"/>
        <v>4.7829999999999999E-3</v>
      </c>
      <c r="M208" s="5">
        <f t="shared" si="41"/>
        <v>1.649388971116249</v>
      </c>
      <c r="N208" s="2">
        <f t="shared" si="42"/>
        <v>4.9068282526361301E-3</v>
      </c>
      <c r="O208">
        <f t="shared" si="43"/>
        <v>8799.6486999999997</v>
      </c>
      <c r="P208">
        <f t="shared" ca="1" si="49"/>
        <v>8802</v>
      </c>
      <c r="Q208" t="str">
        <f t="shared" ca="1" si="44"/>
        <v>0010001001100010</v>
      </c>
      <c r="R208">
        <f t="shared" ca="1" si="45"/>
        <v>1.650324634552002</v>
      </c>
      <c r="S208">
        <f t="shared" ca="1" si="46"/>
        <v>39.803895614624025</v>
      </c>
      <c r="T208" s="1">
        <f t="shared" ca="1" si="48"/>
        <v>1.9608482398423058E-2</v>
      </c>
      <c r="V208" s="4">
        <f t="shared" ca="1" si="47"/>
        <v>0.79610400000000003</v>
      </c>
      <c r="X208" s="2"/>
    </row>
    <row r="209" spans="8:24" x14ac:dyDescent="0.25">
      <c r="H209">
        <v>40.700000000000003</v>
      </c>
      <c r="I209">
        <v>1.650684768499143</v>
      </c>
      <c r="J209" s="4">
        <f t="shared" si="38"/>
        <v>-1.06E-4</v>
      </c>
      <c r="K209" s="9">
        <f t="shared" si="39"/>
        <v>1.0399999999999999E-4</v>
      </c>
      <c r="L209" s="4">
        <f t="shared" si="40"/>
        <v>4.8139999999999997E-3</v>
      </c>
      <c r="M209" s="5">
        <f t="shared" si="41"/>
        <v>1.6588341167250573</v>
      </c>
      <c r="N209" s="2">
        <f t="shared" si="42"/>
        <v>4.9369500351808199E-3</v>
      </c>
      <c r="O209">
        <f t="shared" si="43"/>
        <v>8850.0395000000008</v>
      </c>
      <c r="P209">
        <f t="shared" ca="1" si="49"/>
        <v>8855</v>
      </c>
      <c r="Q209" t="str">
        <f t="shared" ca="1" si="44"/>
        <v>0010001010010111</v>
      </c>
      <c r="R209">
        <f t="shared" ca="1" si="45"/>
        <v>1.6602618312835693</v>
      </c>
      <c r="S209">
        <f t="shared" ca="1" si="46"/>
        <v>39.923141975402835</v>
      </c>
      <c r="T209" s="1">
        <f t="shared" ca="1" si="48"/>
        <v>1.9087420751773162E-2</v>
      </c>
      <c r="V209" s="4">
        <f t="shared" ca="1" si="47"/>
        <v>0.77685800000000005</v>
      </c>
      <c r="X209" s="2"/>
    </row>
    <row r="210" spans="8:24" x14ac:dyDescent="0.25">
      <c r="H210">
        <v>40.799999999999997</v>
      </c>
      <c r="I210">
        <v>1.6592809767473002</v>
      </c>
      <c r="J210" s="4">
        <f t="shared" si="38"/>
        <v>-1.05E-4</v>
      </c>
      <c r="K210" s="9">
        <f t="shared" si="39"/>
        <v>1.0399999999999999E-4</v>
      </c>
      <c r="L210" s="4">
        <f t="shared" si="40"/>
        <v>4.8440000000000002E-3</v>
      </c>
      <c r="M210" s="5">
        <f t="shared" si="41"/>
        <v>1.6675211683347135</v>
      </c>
      <c r="N210" s="2">
        <f t="shared" si="42"/>
        <v>4.9661218942958028E-3</v>
      </c>
      <c r="O210">
        <f t="shared" si="43"/>
        <v>8896.3858</v>
      </c>
      <c r="P210">
        <f t="shared" ca="1" si="49"/>
        <v>8895</v>
      </c>
      <c r="Q210" t="str">
        <f t="shared" ca="1" si="44"/>
        <v>0010001010111111</v>
      </c>
      <c r="R210">
        <f t="shared" ca="1" si="45"/>
        <v>1.6677616024017334</v>
      </c>
      <c r="S210">
        <f t="shared" ca="1" si="46"/>
        <v>40.013139228820805</v>
      </c>
      <c r="T210" s="1">
        <f t="shared" ca="1" si="48"/>
        <v>1.9285803215176287E-2</v>
      </c>
      <c r="V210" s="4">
        <f t="shared" ca="1" si="47"/>
        <v>0.78686100000000003</v>
      </c>
      <c r="X210" s="2"/>
    </row>
    <row r="211" spans="8:24" x14ac:dyDescent="0.25">
      <c r="H211">
        <v>40.900000000000006</v>
      </c>
      <c r="I211">
        <v>1.6686759894648313</v>
      </c>
      <c r="J211" s="4">
        <f t="shared" si="38"/>
        <v>-1.05E-4</v>
      </c>
      <c r="K211" s="9">
        <f t="shared" si="39"/>
        <v>1.05E-4</v>
      </c>
      <c r="L211" s="4">
        <f t="shared" si="40"/>
        <v>4.875E-3</v>
      </c>
      <c r="M211" s="5">
        <f t="shared" si="41"/>
        <v>1.6770141506994911</v>
      </c>
      <c r="N211" s="2">
        <f t="shared" si="42"/>
        <v>4.9968725428439654E-3</v>
      </c>
      <c r="O211">
        <f t="shared" si="43"/>
        <v>8947.0316999999995</v>
      </c>
      <c r="P211">
        <f t="shared" ca="1" si="49"/>
        <v>8949</v>
      </c>
      <c r="Q211" t="str">
        <f t="shared" ca="1" si="44"/>
        <v>0010001011110101</v>
      </c>
      <c r="R211">
        <f t="shared" ca="1" si="45"/>
        <v>1.6778862934112548</v>
      </c>
      <c r="S211">
        <f t="shared" ca="1" si="46"/>
        <v>40.134635520935056</v>
      </c>
      <c r="T211" s="1">
        <f t="shared" ca="1" si="48"/>
        <v>1.871306794779827E-2</v>
      </c>
      <c r="V211" s="4">
        <f t="shared" ca="1" si="47"/>
        <v>0.76536400000000004</v>
      </c>
      <c r="X211" s="2"/>
    </row>
    <row r="212" spans="8:24" x14ac:dyDescent="0.25">
      <c r="H212">
        <v>41</v>
      </c>
      <c r="I212">
        <v>1.6773196438979556</v>
      </c>
      <c r="J212" s="4">
        <f t="shared" si="38"/>
        <v>-1.0399999999999999E-4</v>
      </c>
      <c r="K212" s="9">
        <f t="shared" si="39"/>
        <v>1.05E-4</v>
      </c>
      <c r="L212" s="4">
        <f t="shared" si="40"/>
        <v>4.9049999999999996E-3</v>
      </c>
      <c r="M212" s="5">
        <f t="shared" si="41"/>
        <v>1.6857499629763548</v>
      </c>
      <c r="N212" s="2">
        <f t="shared" si="42"/>
        <v>5.0260659076333319E-3</v>
      </c>
      <c r="O212">
        <f t="shared" si="43"/>
        <v>8993.6381000000001</v>
      </c>
      <c r="P212">
        <f t="shared" ca="1" si="49"/>
        <v>8997</v>
      </c>
      <c r="Q212" t="str">
        <f t="shared" ca="1" si="44"/>
        <v>0010001100100101</v>
      </c>
      <c r="R212">
        <f t="shared" ca="1" si="45"/>
        <v>1.6868860187530519</v>
      </c>
      <c r="S212">
        <f t="shared" ca="1" si="46"/>
        <v>40.24263222503663</v>
      </c>
      <c r="T212" s="1">
        <f t="shared" ca="1" si="48"/>
        <v>1.8472384755204154E-2</v>
      </c>
      <c r="V212" s="4">
        <f t="shared" ca="1" si="47"/>
        <v>0.75736800000000004</v>
      </c>
      <c r="X212" s="2"/>
    </row>
    <row r="213" spans="8:24" x14ac:dyDescent="0.25">
      <c r="H213">
        <v>41.1</v>
      </c>
      <c r="I213">
        <v>1.6867597553966776</v>
      </c>
      <c r="J213" s="4">
        <f t="shared" si="38"/>
        <v>-1.0399999999999999E-4</v>
      </c>
      <c r="K213" s="9">
        <f t="shared" si="39"/>
        <v>1.06E-4</v>
      </c>
      <c r="L213" s="4">
        <f t="shared" si="40"/>
        <v>4.9360000000000003E-3</v>
      </c>
      <c r="M213" s="5">
        <f t="shared" si="41"/>
        <v>1.6952894176743181</v>
      </c>
      <c r="N213" s="2">
        <f t="shared" si="42"/>
        <v>5.0568329309200188E-3</v>
      </c>
      <c r="O213">
        <f t="shared" si="43"/>
        <v>9044.5319999999992</v>
      </c>
      <c r="P213">
        <f t="shared" ca="1" si="49"/>
        <v>9045</v>
      </c>
      <c r="Q213" t="str">
        <f t="shared" ca="1" si="44"/>
        <v>0010001101010101</v>
      </c>
      <c r="R213">
        <f t="shared" ca="1" si="45"/>
        <v>1.6958857440948487</v>
      </c>
      <c r="S213">
        <f t="shared" ca="1" si="46"/>
        <v>40.350628929138189</v>
      </c>
      <c r="T213" s="1">
        <f t="shared" ca="1" si="48"/>
        <v>1.8232872770360398E-2</v>
      </c>
      <c r="V213" s="4">
        <f t="shared" ca="1" si="47"/>
        <v>0.74937100000000001</v>
      </c>
      <c r="X213" s="2"/>
    </row>
    <row r="214" spans="8:24" x14ac:dyDescent="0.25">
      <c r="H214">
        <v>41.2</v>
      </c>
      <c r="I214">
        <v>1.6946792473336683</v>
      </c>
      <c r="J214" s="4">
        <f t="shared" si="38"/>
        <v>-1.03E-4</v>
      </c>
      <c r="K214" s="9">
        <f t="shared" si="39"/>
        <v>1.06E-4</v>
      </c>
      <c r="L214" s="4">
        <f t="shared" si="40"/>
        <v>4.9659999999999999E-3</v>
      </c>
      <c r="M214" s="5">
        <f t="shared" si="41"/>
        <v>1.7032985398545861</v>
      </c>
      <c r="N214" s="2">
        <f t="shared" si="42"/>
        <v>5.0860907953402213E-3</v>
      </c>
      <c r="O214">
        <f t="shared" si="43"/>
        <v>9087.2615000000005</v>
      </c>
      <c r="P214">
        <f t="shared" ca="1" si="49"/>
        <v>9087</v>
      </c>
      <c r="Q214" t="str">
        <f t="shared" ca="1" si="44"/>
        <v>0010001101111111</v>
      </c>
      <c r="R214">
        <f t="shared" ca="1" si="45"/>
        <v>1.703760503768921</v>
      </c>
      <c r="S214">
        <f t="shared" ca="1" si="46"/>
        <v>40.445126045227056</v>
      </c>
      <c r="T214" s="1">
        <f t="shared" ca="1" si="48"/>
        <v>1.8322183368275409E-2</v>
      </c>
      <c r="V214" s="4">
        <f t="shared" ca="1" si="47"/>
        <v>0.75487400000000004</v>
      </c>
      <c r="X214" s="2"/>
    </row>
    <row r="215" spans="8:24" x14ac:dyDescent="0.25">
      <c r="H215">
        <v>41.3</v>
      </c>
      <c r="I215">
        <v>1.7033950137534382</v>
      </c>
      <c r="J215" s="4">
        <f t="shared" si="38"/>
        <v>-1.03E-4</v>
      </c>
      <c r="K215" s="9">
        <f t="shared" si="39"/>
        <v>1.07E-4</v>
      </c>
      <c r="L215" s="4">
        <f t="shared" si="40"/>
        <v>4.9969999999999997E-3</v>
      </c>
      <c r="M215" s="5">
        <f t="shared" si="41"/>
        <v>1.7121111433105609</v>
      </c>
      <c r="N215" s="2">
        <f t="shared" si="42"/>
        <v>5.1169162095389287E-3</v>
      </c>
      <c r="O215">
        <f t="shared" si="43"/>
        <v>9134.2775999999994</v>
      </c>
      <c r="P215">
        <f t="shared" ca="1" si="49"/>
        <v>9138</v>
      </c>
      <c r="Q215" t="str">
        <f t="shared" ca="1" si="44"/>
        <v>0010001110110010</v>
      </c>
      <c r="R215">
        <f t="shared" ca="1" si="45"/>
        <v>1.7133227119445802</v>
      </c>
      <c r="S215">
        <f t="shared" ca="1" si="46"/>
        <v>40.559872543334968</v>
      </c>
      <c r="T215" s="1">
        <f t="shared" ca="1" si="48"/>
        <v>1.7920761662591496E-2</v>
      </c>
      <c r="V215" s="4">
        <f t="shared" ca="1" si="47"/>
        <v>0.74012699999999998</v>
      </c>
      <c r="X215" s="2"/>
    </row>
    <row r="216" spans="8:24" x14ac:dyDescent="0.25">
      <c r="H216">
        <v>41.400000000000006</v>
      </c>
      <c r="I216">
        <v>1.7129037061892651</v>
      </c>
      <c r="J216" s="4">
        <f t="shared" si="38"/>
        <v>-1.02E-4</v>
      </c>
      <c r="K216" s="9">
        <f t="shared" si="39"/>
        <v>1.07E-4</v>
      </c>
      <c r="L216" s="4">
        <f t="shared" si="40"/>
        <v>5.0270000000000002E-3</v>
      </c>
      <c r="M216" s="5">
        <f t="shared" si="41"/>
        <v>1.7217184934900396</v>
      </c>
      <c r="N216" s="2">
        <f t="shared" si="42"/>
        <v>5.1461079037448659E-3</v>
      </c>
      <c r="O216">
        <f t="shared" si="43"/>
        <v>9185.5337</v>
      </c>
      <c r="P216">
        <f t="shared" ca="1" si="49"/>
        <v>9188</v>
      </c>
      <c r="Q216" t="str">
        <f t="shared" ca="1" si="44"/>
        <v>0010001111100100</v>
      </c>
      <c r="R216">
        <f t="shared" ca="1" si="45"/>
        <v>1.7226974258422851</v>
      </c>
      <c r="S216">
        <f t="shared" ca="1" si="46"/>
        <v>40.672369110107425</v>
      </c>
      <c r="T216" s="1">
        <f t="shared" ca="1" si="48"/>
        <v>1.7575625359724165E-2</v>
      </c>
      <c r="V216" s="4">
        <f t="shared" ca="1" si="47"/>
        <v>0.72763100000000003</v>
      </c>
      <c r="X216" s="2"/>
    </row>
    <row r="217" spans="8:24" x14ac:dyDescent="0.25">
      <c r="H217">
        <v>41.5</v>
      </c>
      <c r="I217">
        <v>1.7216660020683243</v>
      </c>
      <c r="J217" s="4">
        <f t="shared" si="38"/>
        <v>-1.01E-4</v>
      </c>
      <c r="K217" s="9">
        <f t="shared" si="39"/>
        <v>1.08E-4</v>
      </c>
      <c r="L217" s="4">
        <f t="shared" si="40"/>
        <v>5.058E-3</v>
      </c>
      <c r="M217" s="5">
        <f t="shared" si="41"/>
        <v>1.7305779720871408</v>
      </c>
      <c r="N217" s="2">
        <f t="shared" si="42"/>
        <v>5.1763640613859459E-3</v>
      </c>
      <c r="O217">
        <f t="shared" si="43"/>
        <v>9232.7999</v>
      </c>
      <c r="P217">
        <f t="shared" ca="1" si="49"/>
        <v>9234</v>
      </c>
      <c r="Q217" t="str">
        <f t="shared" ca="1" si="44"/>
        <v>0010010000010010</v>
      </c>
      <c r="R217">
        <f t="shared" ca="1" si="45"/>
        <v>1.7313221626281738</v>
      </c>
      <c r="S217">
        <f t="shared" ca="1" si="46"/>
        <v>40.775865951538087</v>
      </c>
      <c r="T217" s="1">
        <f t="shared" ca="1" si="48"/>
        <v>1.7449013215949709E-2</v>
      </c>
      <c r="V217" s="4">
        <f t="shared" ca="1" si="47"/>
        <v>0.72413400000000006</v>
      </c>
      <c r="X217" s="2"/>
    </row>
    <row r="218" spans="8:24" x14ac:dyDescent="0.25">
      <c r="H218">
        <v>41.6</v>
      </c>
      <c r="I218">
        <v>1.7304519669197036</v>
      </c>
      <c r="J218" s="4">
        <f t="shared" si="38"/>
        <v>-1.01E-4</v>
      </c>
      <c r="K218" s="9">
        <f t="shared" si="39"/>
        <v>1.08E-4</v>
      </c>
      <c r="L218" s="4">
        <f t="shared" si="40"/>
        <v>5.0879999999999996E-3</v>
      </c>
      <c r="M218" s="5">
        <f t="shared" si="41"/>
        <v>1.7394610496362526</v>
      </c>
      <c r="N218" s="2">
        <f t="shared" si="42"/>
        <v>5.2062021302941072E-3</v>
      </c>
      <c r="O218">
        <f t="shared" si="43"/>
        <v>9280.1918999999998</v>
      </c>
      <c r="P218">
        <f t="shared" ca="1" si="49"/>
        <v>9282</v>
      </c>
      <c r="Q218" t="str">
        <f t="shared" ca="1" si="44"/>
        <v>0010010001000010</v>
      </c>
      <c r="R218">
        <f t="shared" ca="1" si="45"/>
        <v>1.7403218879699707</v>
      </c>
      <c r="S218">
        <f t="shared" ca="1" si="46"/>
        <v>40.883862655639646</v>
      </c>
      <c r="T218" s="1">
        <f t="shared" ca="1" si="48"/>
        <v>1.7214840008662382E-2</v>
      </c>
      <c r="V218" s="4">
        <f t="shared" ca="1" si="47"/>
        <v>0.71613700000000002</v>
      </c>
      <c r="X218" s="2"/>
    </row>
    <row r="219" spans="8:24" x14ac:dyDescent="0.25">
      <c r="H219">
        <v>41.7</v>
      </c>
      <c r="I219">
        <v>1.7400273194342883</v>
      </c>
      <c r="J219" s="4">
        <f t="shared" si="38"/>
        <v>-1E-4</v>
      </c>
      <c r="K219" s="9">
        <f t="shared" si="39"/>
        <v>1.0900000000000001E-4</v>
      </c>
      <c r="L219" s="4">
        <f t="shared" si="40"/>
        <v>5.1190000000000003E-3</v>
      </c>
      <c r="M219" s="5">
        <f t="shared" si="41"/>
        <v>1.7491388643790444</v>
      </c>
      <c r="N219" s="2">
        <f t="shared" si="42"/>
        <v>5.2364378668022247E-3</v>
      </c>
      <c r="O219">
        <f t="shared" si="43"/>
        <v>9331.8240000000005</v>
      </c>
      <c r="P219">
        <f t="shared" ca="1" si="49"/>
        <v>9334</v>
      </c>
      <c r="Q219" t="str">
        <f t="shared" ca="1" si="44"/>
        <v>0010010001110110</v>
      </c>
      <c r="R219">
        <f t="shared" ca="1" si="45"/>
        <v>1.750071590423584</v>
      </c>
      <c r="S219">
        <f t="shared" ca="1" si="46"/>
        <v>41.000859085083015</v>
      </c>
      <c r="T219" s="1">
        <f t="shared" ca="1" si="48"/>
        <v>1.6765969182661589E-2</v>
      </c>
      <c r="V219" s="4">
        <f t="shared" ca="1" si="47"/>
        <v>0.69914100000000001</v>
      </c>
      <c r="X219" s="2"/>
    </row>
    <row r="220" spans="8:24" x14ac:dyDescent="0.25">
      <c r="H220">
        <v>41.8</v>
      </c>
      <c r="I220">
        <v>1.7488592546924064</v>
      </c>
      <c r="J220" s="4">
        <f t="shared" si="38"/>
        <v>-1E-4</v>
      </c>
      <c r="K220" s="9">
        <f t="shared" si="39"/>
        <v>1.0900000000000001E-4</v>
      </c>
      <c r="L220" s="4">
        <f t="shared" si="40"/>
        <v>5.1489999999999999E-3</v>
      </c>
      <c r="M220" s="5">
        <f t="shared" si="41"/>
        <v>1.7580692546425607</v>
      </c>
      <c r="N220" s="2">
        <f t="shared" si="42"/>
        <v>5.2662899689856031E-3</v>
      </c>
      <c r="O220">
        <f t="shared" si="43"/>
        <v>9379.4685000000009</v>
      </c>
      <c r="P220">
        <f t="shared" ca="1" si="49"/>
        <v>9382</v>
      </c>
      <c r="Q220" t="str">
        <f t="shared" ca="1" si="44"/>
        <v>0010010010100110</v>
      </c>
      <c r="R220">
        <f t="shared" ca="1" si="45"/>
        <v>1.759071315765381</v>
      </c>
      <c r="S220">
        <f t="shared" ca="1" si="46"/>
        <v>41.108855789184574</v>
      </c>
      <c r="T220" s="1">
        <f t="shared" ca="1" si="48"/>
        <v>1.6534550497976634E-2</v>
      </c>
      <c r="V220" s="4">
        <f t="shared" ca="1" si="47"/>
        <v>0.69114399999999998</v>
      </c>
      <c r="X220" s="2"/>
    </row>
    <row r="221" spans="8:24" x14ac:dyDescent="0.25">
      <c r="H221">
        <v>41.900000000000006</v>
      </c>
      <c r="I221">
        <v>1.7584782147595095</v>
      </c>
      <c r="J221" s="4">
        <f t="shared" si="38"/>
        <v>-9.8999999999999994E-5</v>
      </c>
      <c r="K221" s="9">
        <f t="shared" si="39"/>
        <v>1.1E-4</v>
      </c>
      <c r="L221" s="4">
        <f t="shared" si="40"/>
        <v>5.1799999999999997E-3</v>
      </c>
      <c r="M221" s="5">
        <f t="shared" si="41"/>
        <v>1.7677920772798188</v>
      </c>
      <c r="N221" s="2">
        <f t="shared" si="42"/>
        <v>5.2965470041851336E-3</v>
      </c>
      <c r="O221">
        <f t="shared" si="43"/>
        <v>9431.3407000000007</v>
      </c>
      <c r="P221">
        <f t="shared" ca="1" si="49"/>
        <v>9432</v>
      </c>
      <c r="Q221" t="str">
        <f t="shared" ca="1" si="44"/>
        <v>0010010011011000</v>
      </c>
      <c r="R221">
        <f t="shared" ca="1" si="45"/>
        <v>1.7684460296630859</v>
      </c>
      <c r="S221">
        <f t="shared" ca="1" si="46"/>
        <v>41.221352355957038</v>
      </c>
      <c r="T221" s="1">
        <f t="shared" ca="1" si="48"/>
        <v>1.6196841146610214E-2</v>
      </c>
      <c r="V221" s="4">
        <f t="shared" ca="1" si="47"/>
        <v>0.67864800000000003</v>
      </c>
      <c r="X221" s="2"/>
    </row>
    <row r="222" spans="8:24" x14ac:dyDescent="0.25">
      <c r="H222">
        <v>42</v>
      </c>
      <c r="I222">
        <v>1.7673557436345699</v>
      </c>
      <c r="J222" s="4">
        <f t="shared" si="38"/>
        <v>-9.8999999999999994E-5</v>
      </c>
      <c r="K222" s="9">
        <f t="shared" si="39"/>
        <v>1.1E-4</v>
      </c>
      <c r="L222" s="4">
        <f t="shared" si="40"/>
        <v>5.2100000000000002E-3</v>
      </c>
      <c r="M222" s="5">
        <f t="shared" si="41"/>
        <v>1.7767694100810925</v>
      </c>
      <c r="N222" s="2">
        <f t="shared" si="42"/>
        <v>5.32641290833916E-3</v>
      </c>
      <c r="O222">
        <f t="shared" si="43"/>
        <v>9479.2356</v>
      </c>
      <c r="P222">
        <f t="shared" ca="1" si="49"/>
        <v>9478</v>
      </c>
      <c r="Q222" t="str">
        <f t="shared" ca="1" si="44"/>
        <v>0010010100000110</v>
      </c>
      <c r="R222">
        <f t="shared" ca="1" si="45"/>
        <v>1.7770707664489747</v>
      </c>
      <c r="S222">
        <f t="shared" ca="1" si="46"/>
        <v>41.324849197387699</v>
      </c>
      <c r="T222" s="1">
        <f t="shared" ca="1" si="48"/>
        <v>1.6075019109816679E-2</v>
      </c>
      <c r="V222" s="4">
        <f t="shared" ca="1" si="47"/>
        <v>0.67515099999999995</v>
      </c>
      <c r="X222" s="2"/>
    </row>
    <row r="223" spans="8:24" x14ac:dyDescent="0.25">
      <c r="H223">
        <v>42.1</v>
      </c>
      <c r="I223">
        <v>1.7762564723096324</v>
      </c>
      <c r="J223" s="4">
        <f t="shared" si="38"/>
        <v>-9.7999999999999997E-5</v>
      </c>
      <c r="K223" s="9">
        <f t="shared" si="39"/>
        <v>1.11E-4</v>
      </c>
      <c r="L223" s="4">
        <f t="shared" si="40"/>
        <v>5.241E-3</v>
      </c>
      <c r="M223" s="5">
        <f t="shared" si="41"/>
        <v>1.7857713962192172</v>
      </c>
      <c r="N223" s="2">
        <f t="shared" si="42"/>
        <v>5.3567286357092264E-3</v>
      </c>
      <c r="O223">
        <f t="shared" si="43"/>
        <v>9527.2620999999999</v>
      </c>
      <c r="P223">
        <f t="shared" ca="1" si="49"/>
        <v>9531</v>
      </c>
      <c r="Q223" t="str">
        <f t="shared" ca="1" si="44"/>
        <v>0010010100111011</v>
      </c>
      <c r="R223">
        <f t="shared" ca="1" si="45"/>
        <v>1.787007963180542</v>
      </c>
      <c r="S223">
        <f t="shared" ca="1" si="46"/>
        <v>41.444095558166502</v>
      </c>
      <c r="T223" s="1">
        <f t="shared" ca="1" si="48"/>
        <v>1.5579677953289767E-2</v>
      </c>
      <c r="V223" s="4">
        <f t="shared" ca="1" si="47"/>
        <v>0.65590400000000004</v>
      </c>
      <c r="X223" s="2"/>
    </row>
    <row r="224" spans="8:24" x14ac:dyDescent="0.25">
      <c r="H224">
        <v>42.2</v>
      </c>
      <c r="I224">
        <v>1.785940674129006</v>
      </c>
      <c r="J224" s="4">
        <f t="shared" si="38"/>
        <v>-9.7E-5</v>
      </c>
      <c r="K224" s="9">
        <f t="shared" si="39"/>
        <v>1.11E-4</v>
      </c>
      <c r="L224" s="4">
        <f t="shared" si="40"/>
        <v>5.2709999999999996E-3</v>
      </c>
      <c r="M224" s="5">
        <f t="shared" si="41"/>
        <v>1.7955597639266634</v>
      </c>
      <c r="N224" s="2">
        <f t="shared" si="42"/>
        <v>5.386007462061154E-3</v>
      </c>
      <c r="O224">
        <f t="shared" si="43"/>
        <v>9579.4840000000004</v>
      </c>
      <c r="P224">
        <f t="shared" ca="1" si="49"/>
        <v>9580</v>
      </c>
      <c r="Q224" t="str">
        <f t="shared" ca="1" si="44"/>
        <v>0010010101101100</v>
      </c>
      <c r="R224">
        <f t="shared" ca="1" si="45"/>
        <v>1.7961951828002931</v>
      </c>
      <c r="S224">
        <f t="shared" ca="1" si="46"/>
        <v>41.554342193603524</v>
      </c>
      <c r="T224" s="1">
        <f t="shared" ca="1" si="48"/>
        <v>1.5299948018873894E-2</v>
      </c>
      <c r="V224" s="4">
        <f t="shared" ca="1" si="47"/>
        <v>0.64565799999999995</v>
      </c>
      <c r="X224" s="2"/>
    </row>
    <row r="225" spans="8:24" x14ac:dyDescent="0.25">
      <c r="H225">
        <v>42.3</v>
      </c>
      <c r="I225">
        <v>1.7948864269372451</v>
      </c>
      <c r="J225" s="4">
        <f t="shared" si="38"/>
        <v>-9.7E-5</v>
      </c>
      <c r="K225" s="9">
        <f t="shared" si="39"/>
        <v>1.12E-4</v>
      </c>
      <c r="L225" s="4">
        <f t="shared" si="40"/>
        <v>5.3020000000000003E-3</v>
      </c>
      <c r="M225" s="5">
        <f t="shared" si="41"/>
        <v>1.804609157172574</v>
      </c>
      <c r="N225" s="2">
        <f t="shared" si="42"/>
        <v>5.4169055431097859E-3</v>
      </c>
      <c r="O225">
        <f t="shared" si="43"/>
        <v>9627.7633999999998</v>
      </c>
      <c r="P225">
        <f t="shared" ca="1" si="49"/>
        <v>9627</v>
      </c>
      <c r="Q225" t="str">
        <f t="shared" ca="1" si="44"/>
        <v>0010010110011011</v>
      </c>
      <c r="R225">
        <f t="shared" ca="1" si="45"/>
        <v>1.8050074138641359</v>
      </c>
      <c r="S225">
        <f t="shared" ca="1" si="46"/>
        <v>41.660088966369635</v>
      </c>
      <c r="T225" s="1">
        <f t="shared" ca="1" si="48"/>
        <v>1.5127920416793433E-2</v>
      </c>
      <c r="V225" s="4">
        <f t="shared" ca="1" si="47"/>
        <v>0.63991100000000001</v>
      </c>
      <c r="X225" s="2"/>
    </row>
    <row r="226" spans="8:24" x14ac:dyDescent="0.25">
      <c r="H226">
        <v>42.400000000000006</v>
      </c>
      <c r="I226">
        <v>1.8038550944980998</v>
      </c>
      <c r="J226" s="4">
        <f t="shared" si="38"/>
        <v>-9.6000000000000002E-5</v>
      </c>
      <c r="K226" s="9">
        <f t="shared" si="39"/>
        <v>1.12E-4</v>
      </c>
      <c r="L226" s="4">
        <f t="shared" si="40"/>
        <v>5.3319999999999999E-3</v>
      </c>
      <c r="M226" s="5">
        <f t="shared" si="41"/>
        <v>1.8136793233944388</v>
      </c>
      <c r="N226" s="2">
        <f t="shared" si="42"/>
        <v>5.4462406244845949E-3</v>
      </c>
      <c r="O226">
        <f t="shared" si="43"/>
        <v>9676.1535999999996</v>
      </c>
      <c r="P226">
        <f t="shared" ca="1" si="49"/>
        <v>9680</v>
      </c>
      <c r="Q226" t="str">
        <f t="shared" ca="1" si="44"/>
        <v>0010010111010000</v>
      </c>
      <c r="R226">
        <f t="shared" ca="1" si="45"/>
        <v>1.8149446105957032</v>
      </c>
      <c r="S226">
        <f t="shared" ca="1" si="46"/>
        <v>41.779335327148445</v>
      </c>
      <c r="T226" s="1">
        <f t="shared" ca="1" si="48"/>
        <v>1.4638317755933036E-2</v>
      </c>
      <c r="V226" s="4">
        <f t="shared" ca="1" si="47"/>
        <v>0.62066500000000002</v>
      </c>
      <c r="X226" s="2"/>
    </row>
    <row r="227" spans="8:24" x14ac:dyDescent="0.25">
      <c r="H227">
        <v>42.5</v>
      </c>
      <c r="I227">
        <v>1.8128465812137984</v>
      </c>
      <c r="J227" s="4">
        <f t="shared" si="38"/>
        <v>-9.6000000000000002E-5</v>
      </c>
      <c r="K227" s="9">
        <f t="shared" si="39"/>
        <v>1.13E-4</v>
      </c>
      <c r="L227" s="4">
        <f t="shared" si="40"/>
        <v>5.3629999999999997E-3</v>
      </c>
      <c r="M227" s="5">
        <f t="shared" si="41"/>
        <v>1.8227758168656489</v>
      </c>
      <c r="N227" s="2">
        <f t="shared" si="42"/>
        <v>5.4771516546107263E-3</v>
      </c>
      <c r="O227">
        <f t="shared" si="43"/>
        <v>9724.6841999999997</v>
      </c>
      <c r="P227">
        <f t="shared" ca="1" si="49"/>
        <v>9726</v>
      </c>
      <c r="Q227" t="str">
        <f t="shared" ca="1" si="44"/>
        <v>0010010111111110</v>
      </c>
      <c r="R227">
        <f t="shared" ca="1" si="45"/>
        <v>1.8235693473815919</v>
      </c>
      <c r="S227">
        <f t="shared" ca="1" si="46"/>
        <v>41.882832168579107</v>
      </c>
      <c r="T227" s="1">
        <f t="shared" ca="1" si="48"/>
        <v>1.4521596033432782E-2</v>
      </c>
      <c r="V227" s="4">
        <f t="shared" ca="1" si="47"/>
        <v>0.61716800000000005</v>
      </c>
      <c r="X227" s="2"/>
    </row>
    <row r="228" spans="8:24" x14ac:dyDescent="0.25">
      <c r="H228">
        <v>42.6</v>
      </c>
      <c r="I228">
        <v>1.8218607905700759</v>
      </c>
      <c r="J228" s="4">
        <f t="shared" si="38"/>
        <v>-9.5000000000000005E-5</v>
      </c>
      <c r="K228" s="9">
        <f t="shared" si="39"/>
        <v>1.13E-4</v>
      </c>
      <c r="L228" s="4">
        <f t="shared" si="40"/>
        <v>5.3930000000000002E-3</v>
      </c>
      <c r="M228" s="5">
        <f t="shared" si="41"/>
        <v>1.8318928760566493</v>
      </c>
      <c r="N228" s="2">
        <f t="shared" si="42"/>
        <v>5.5065049637707452E-3</v>
      </c>
      <c r="O228">
        <f t="shared" si="43"/>
        <v>9773.3245999999999</v>
      </c>
      <c r="P228">
        <f t="shared" ca="1" si="49"/>
        <v>9778</v>
      </c>
      <c r="Q228" t="str">
        <f t="shared" ca="1" si="44"/>
        <v>0010011000110010</v>
      </c>
      <c r="R228">
        <f t="shared" ca="1" si="45"/>
        <v>1.8333190498352052</v>
      </c>
      <c r="S228">
        <f t="shared" ca="1" si="46"/>
        <v>41.999828598022461</v>
      </c>
      <c r="T228" s="1">
        <f t="shared" ca="1" si="48"/>
        <v>1.4088530562853065E-2</v>
      </c>
      <c r="V228" s="4">
        <f t="shared" ca="1" si="47"/>
        <v>0.60017100000000001</v>
      </c>
      <c r="X228" s="2"/>
    </row>
    <row r="229" spans="8:24" x14ac:dyDescent="0.25">
      <c r="H229">
        <v>42.7</v>
      </c>
      <c r="I229">
        <v>1.8308976264454468</v>
      </c>
      <c r="J229" s="4">
        <f t="shared" si="38"/>
        <v>-9.3999999999999994E-5</v>
      </c>
      <c r="K229" s="9">
        <f t="shared" si="39"/>
        <v>1.1400000000000001E-4</v>
      </c>
      <c r="L229" s="4">
        <f t="shared" si="40"/>
        <v>5.424E-3</v>
      </c>
      <c r="M229" s="5">
        <f t="shared" si="41"/>
        <v>1.8410350861607829</v>
      </c>
      <c r="N229" s="2">
        <f t="shared" si="42"/>
        <v>5.5368795987885003E-3</v>
      </c>
      <c r="O229">
        <f t="shared" si="43"/>
        <v>9822.0992000000006</v>
      </c>
      <c r="P229">
        <f t="shared" ca="1" si="49"/>
        <v>9825</v>
      </c>
      <c r="Q229" t="str">
        <f t="shared" ca="1" si="44"/>
        <v>0010011001100001</v>
      </c>
      <c r="R229">
        <f t="shared" ca="1" si="45"/>
        <v>1.842131280899048</v>
      </c>
      <c r="S229">
        <f t="shared" ca="1" si="46"/>
        <v>42.105575370788578</v>
      </c>
      <c r="T229" s="1">
        <f t="shared" ca="1" si="48"/>
        <v>1.392095150378043E-2</v>
      </c>
      <c r="V229" s="4">
        <f t="shared" ca="1" si="47"/>
        <v>0.59442499999999998</v>
      </c>
      <c r="X229" s="2"/>
    </row>
    <row r="230" spans="8:24" x14ac:dyDescent="0.25">
      <c r="H230">
        <v>42.8</v>
      </c>
      <c r="I230">
        <v>1.8399569925874981</v>
      </c>
      <c r="J230" s="4">
        <f t="shared" si="38"/>
        <v>-9.3999999999999994E-5</v>
      </c>
      <c r="K230" s="9">
        <f t="shared" si="39"/>
        <v>1.1400000000000001E-4</v>
      </c>
      <c r="L230" s="4">
        <f t="shared" si="40"/>
        <v>5.4539999999999996E-3</v>
      </c>
      <c r="M230" s="5">
        <f t="shared" si="41"/>
        <v>1.8501996652296606</v>
      </c>
      <c r="N230" s="2">
        <f t="shared" si="42"/>
        <v>5.5668000303411517E-3</v>
      </c>
      <c r="O230">
        <f t="shared" si="43"/>
        <v>9870.9930999999997</v>
      </c>
      <c r="P230">
        <f t="shared" ca="1" si="49"/>
        <v>9875</v>
      </c>
      <c r="Q230" t="str">
        <f t="shared" ca="1" si="44"/>
        <v>0010011010010011</v>
      </c>
      <c r="R230">
        <f t="shared" ca="1" si="45"/>
        <v>1.8515059947967529</v>
      </c>
      <c r="S230">
        <f t="shared" ca="1" si="46"/>
        <v>42.218071937561042</v>
      </c>
      <c r="T230" s="1">
        <f t="shared" ca="1" si="48"/>
        <v>1.3596450056984928E-2</v>
      </c>
      <c r="V230" s="4">
        <f t="shared" ca="1" si="47"/>
        <v>0.581928</v>
      </c>
      <c r="X230" s="2"/>
    </row>
    <row r="231" spans="8:24" x14ac:dyDescent="0.25">
      <c r="H231">
        <v>42.900000000000006</v>
      </c>
      <c r="I231">
        <v>1.8490387917690758</v>
      </c>
      <c r="J231" s="4">
        <f t="shared" si="38"/>
        <v>-9.2999999999999997E-5</v>
      </c>
      <c r="K231" s="9">
        <f t="shared" si="39"/>
        <v>1.15E-4</v>
      </c>
      <c r="L231" s="4">
        <f t="shared" si="40"/>
        <v>5.4850000000000003E-3</v>
      </c>
      <c r="M231" s="5">
        <f t="shared" si="41"/>
        <v>1.8593882180148873</v>
      </c>
      <c r="N231" s="2">
        <f t="shared" si="42"/>
        <v>5.5971926018434795E-3</v>
      </c>
      <c r="O231">
        <f t="shared" si="43"/>
        <v>9920.0149000000001</v>
      </c>
      <c r="P231">
        <f t="shared" ca="1" si="49"/>
        <v>9920</v>
      </c>
      <c r="Q231" t="str">
        <f t="shared" ca="1" si="44"/>
        <v>0010011011000000</v>
      </c>
      <c r="R231">
        <f t="shared" ca="1" si="45"/>
        <v>1.8599432373046876</v>
      </c>
      <c r="S231">
        <f t="shared" ca="1" si="46"/>
        <v>42.319318847656255</v>
      </c>
      <c r="T231" s="1">
        <f t="shared" ca="1" si="48"/>
        <v>1.3535691196824014E-2</v>
      </c>
      <c r="V231" s="4">
        <f t="shared" ca="1" si="47"/>
        <v>0.580681</v>
      </c>
      <c r="X231" s="2"/>
    </row>
    <row r="232" spans="8:24" x14ac:dyDescent="0.25">
      <c r="H232">
        <v>43</v>
      </c>
      <c r="I232">
        <v>1.8573913042790977</v>
      </c>
      <c r="J232" s="4">
        <f t="shared" si="38"/>
        <v>-9.2999999999999997E-5</v>
      </c>
      <c r="K232" s="9">
        <f t="shared" si="39"/>
        <v>1.15E-4</v>
      </c>
      <c r="L232" s="4">
        <f t="shared" si="40"/>
        <v>5.5149999999999999E-3</v>
      </c>
      <c r="M232" s="5">
        <f t="shared" si="41"/>
        <v>1.867843139322461</v>
      </c>
      <c r="N232" s="2">
        <f t="shared" si="42"/>
        <v>5.6271583802961567E-3</v>
      </c>
      <c r="O232">
        <f t="shared" si="43"/>
        <v>9965.1226999999999</v>
      </c>
      <c r="P232">
        <f t="shared" ca="1" si="49"/>
        <v>9970</v>
      </c>
      <c r="Q232" t="str">
        <f t="shared" ca="1" si="44"/>
        <v>0010011011110010</v>
      </c>
      <c r="R232">
        <f t="shared" ca="1" si="45"/>
        <v>1.8693179512023925</v>
      </c>
      <c r="S232">
        <f t="shared" ca="1" si="46"/>
        <v>42.431815414428712</v>
      </c>
      <c r="T232" s="1">
        <f t="shared" ca="1" si="48"/>
        <v>1.3213595013285766E-2</v>
      </c>
      <c r="V232" s="4">
        <f t="shared" ca="1" si="47"/>
        <v>0.56818500000000005</v>
      </c>
      <c r="X232" s="2"/>
    </row>
    <row r="233" spans="8:24" x14ac:dyDescent="0.25">
      <c r="H233">
        <v>43.1</v>
      </c>
      <c r="I233">
        <v>1.8665187730204209</v>
      </c>
      <c r="J233" s="4">
        <f t="shared" si="38"/>
        <v>-9.2E-5</v>
      </c>
      <c r="K233" s="9">
        <f t="shared" si="39"/>
        <v>1.16E-4</v>
      </c>
      <c r="L233" s="4">
        <f t="shared" si="40"/>
        <v>5.5459999999999997E-3</v>
      </c>
      <c r="M233" s="5">
        <f t="shared" si="41"/>
        <v>1.8770787299889395</v>
      </c>
      <c r="N233" s="2">
        <f t="shared" si="42"/>
        <v>5.65756804654603E-3</v>
      </c>
      <c r="O233">
        <f t="shared" si="43"/>
        <v>10014.395500000001</v>
      </c>
      <c r="P233">
        <f t="shared" ca="1" si="49"/>
        <v>10019</v>
      </c>
      <c r="Q233" t="str">
        <f t="shared" ca="1" si="44"/>
        <v>0010011100100011</v>
      </c>
      <c r="R233">
        <f t="shared" ca="1" si="45"/>
        <v>1.8785051708221436</v>
      </c>
      <c r="S233">
        <f t="shared" ca="1" si="46"/>
        <v>42.542062049865727</v>
      </c>
      <c r="T233" s="1">
        <f t="shared" ca="1" si="48"/>
        <v>1.2945196058799867E-2</v>
      </c>
      <c r="V233" s="4">
        <f t="shared" ca="1" si="47"/>
        <v>0.55793800000000005</v>
      </c>
      <c r="X233" s="2"/>
    </row>
    <row r="234" spans="8:24" x14ac:dyDescent="0.25">
      <c r="H234">
        <v>43.2</v>
      </c>
      <c r="I234">
        <v>1.8756683828870042</v>
      </c>
      <c r="J234" s="4">
        <f t="shared" si="38"/>
        <v>-9.2E-5</v>
      </c>
      <c r="K234" s="9">
        <f t="shared" si="39"/>
        <v>1.16E-4</v>
      </c>
      <c r="L234" s="4">
        <f t="shared" si="40"/>
        <v>5.5760000000000002E-3</v>
      </c>
      <c r="M234" s="5">
        <f t="shared" si="41"/>
        <v>1.8863362705234428</v>
      </c>
      <c r="N234" s="2">
        <f t="shared" si="42"/>
        <v>5.6875126401707971E-3</v>
      </c>
      <c r="O234">
        <f t="shared" si="43"/>
        <v>10063.785400000001</v>
      </c>
      <c r="P234">
        <f t="shared" ca="1" si="49"/>
        <v>10065</v>
      </c>
      <c r="Q234" t="str">
        <f t="shared" ca="1" si="44"/>
        <v>0010011101010001</v>
      </c>
      <c r="R234">
        <f t="shared" ca="1" si="45"/>
        <v>1.8871299076080323</v>
      </c>
      <c r="S234">
        <f t="shared" ca="1" si="46"/>
        <v>42.645558891296389</v>
      </c>
      <c r="T234" s="1">
        <f t="shared" ca="1" si="48"/>
        <v>1.2834284923694764E-2</v>
      </c>
      <c r="V234" s="4">
        <f t="shared" ca="1" si="47"/>
        <v>0.55444099999999996</v>
      </c>
      <c r="X234" s="2"/>
    </row>
    <row r="235" spans="8:24" x14ac:dyDescent="0.25">
      <c r="H235">
        <v>43.3</v>
      </c>
      <c r="I235">
        <v>1.8848400351677552</v>
      </c>
      <c r="J235" s="4">
        <f t="shared" si="38"/>
        <v>-9.1000000000000003E-5</v>
      </c>
      <c r="K235" s="9">
        <f t="shared" si="39"/>
        <v>1.17E-4</v>
      </c>
      <c r="L235" s="4">
        <f t="shared" si="40"/>
        <v>5.607E-3</v>
      </c>
      <c r="M235" s="5">
        <f t="shared" si="41"/>
        <v>1.8956174369306253</v>
      </c>
      <c r="N235" s="2">
        <f t="shared" si="42"/>
        <v>5.7179397518001603E-3</v>
      </c>
      <c r="O235">
        <f t="shared" si="43"/>
        <v>10113.301299999999</v>
      </c>
      <c r="P235">
        <f t="shared" ca="1" si="49"/>
        <v>10116</v>
      </c>
      <c r="Q235" t="str">
        <f t="shared" ca="1" si="44"/>
        <v>0010011110000100</v>
      </c>
      <c r="R235">
        <f t="shared" ca="1" si="45"/>
        <v>1.8966921157836913</v>
      </c>
      <c r="S235">
        <f t="shared" ca="1" si="46"/>
        <v>42.760305389404294</v>
      </c>
      <c r="T235" s="1">
        <f t="shared" ca="1" si="48"/>
        <v>1.2464078766644408E-2</v>
      </c>
      <c r="V235" s="4">
        <f t="shared" ca="1" si="47"/>
        <v>0.53969500000000004</v>
      </c>
      <c r="X235" s="2"/>
    </row>
    <row r="236" spans="8:24" x14ac:dyDescent="0.25">
      <c r="H236">
        <v>43.400000000000006</v>
      </c>
      <c r="I236">
        <v>1.8940336319662774</v>
      </c>
      <c r="J236" s="4">
        <f t="shared" si="38"/>
        <v>-9.0000000000000006E-5</v>
      </c>
      <c r="K236" s="9">
        <f t="shared" si="39"/>
        <v>1.17E-4</v>
      </c>
      <c r="L236" s="4">
        <f t="shared" si="40"/>
        <v>5.6369999999999996E-3</v>
      </c>
      <c r="M236" s="5">
        <f t="shared" si="41"/>
        <v>1.904919335313439</v>
      </c>
      <c r="N236" s="2">
        <f t="shared" si="42"/>
        <v>5.7473653917437268E-3</v>
      </c>
      <c r="O236">
        <f t="shared" si="43"/>
        <v>10162.927799999999</v>
      </c>
      <c r="P236">
        <f t="shared" ca="1" si="49"/>
        <v>10163</v>
      </c>
      <c r="Q236" t="str">
        <f t="shared" ca="1" si="44"/>
        <v>0010011110110011</v>
      </c>
      <c r="R236">
        <f t="shared" ca="1" si="45"/>
        <v>1.9055043468475341</v>
      </c>
      <c r="S236">
        <f t="shared" ca="1" si="46"/>
        <v>42.866052162170412</v>
      </c>
      <c r="T236" s="1">
        <f t="shared" ca="1" si="48"/>
        <v>1.2302945572110452E-2</v>
      </c>
      <c r="V236" s="4">
        <f t="shared" ca="1" si="47"/>
        <v>0.53394799999999998</v>
      </c>
      <c r="X236" s="2"/>
    </row>
    <row r="237" spans="8:24" x14ac:dyDescent="0.25">
      <c r="H237">
        <v>43.5</v>
      </c>
      <c r="I237">
        <v>1.9032490741495651</v>
      </c>
      <c r="J237" s="4">
        <f t="shared" si="38"/>
        <v>-9.0000000000000006E-5</v>
      </c>
      <c r="K237" s="9">
        <f t="shared" si="39"/>
        <v>1.18E-4</v>
      </c>
      <c r="L237" s="4">
        <f t="shared" si="40"/>
        <v>5.6680000000000003E-3</v>
      </c>
      <c r="M237" s="5">
        <f t="shared" si="41"/>
        <v>1.9142466956766602</v>
      </c>
      <c r="N237" s="2">
        <f t="shared" si="42"/>
        <v>5.7783406683169676E-3</v>
      </c>
      <c r="O237">
        <f t="shared" si="43"/>
        <v>10212.690199999999</v>
      </c>
      <c r="P237">
        <f t="shared" ca="1" si="49"/>
        <v>10217</v>
      </c>
      <c r="Q237" t="str">
        <f t="shared" ca="1" si="44"/>
        <v>0010011111101001</v>
      </c>
      <c r="R237">
        <f t="shared" ca="1" si="45"/>
        <v>1.9156290378570557</v>
      </c>
      <c r="S237">
        <f t="shared" ca="1" si="46"/>
        <v>42.987548454284671</v>
      </c>
      <c r="T237" s="1">
        <f t="shared" ca="1" si="48"/>
        <v>1.1780495303800676E-2</v>
      </c>
      <c r="V237" s="4">
        <f t="shared" ca="1" si="47"/>
        <v>0.51245200000000002</v>
      </c>
      <c r="X237" s="2"/>
    </row>
    <row r="238" spans="8:24" x14ac:dyDescent="0.25">
      <c r="H238">
        <v>43.6</v>
      </c>
      <c r="I238">
        <v>1.911741220704948</v>
      </c>
      <c r="J238" s="4">
        <f t="shared" si="38"/>
        <v>-8.8999999999999995E-5</v>
      </c>
      <c r="K238" s="9">
        <f t="shared" si="39"/>
        <v>1.18E-4</v>
      </c>
      <c r="L238" s="4">
        <f t="shared" si="40"/>
        <v>5.6979999999999999E-3</v>
      </c>
      <c r="M238" s="5">
        <f t="shared" si="41"/>
        <v>1.9228442567961725</v>
      </c>
      <c r="N238" s="2">
        <f t="shared" si="42"/>
        <v>5.8078133018078315E-3</v>
      </c>
      <c r="O238">
        <f t="shared" si="43"/>
        <v>10258.558999999999</v>
      </c>
      <c r="P238">
        <f t="shared" ca="1" si="49"/>
        <v>10257</v>
      </c>
      <c r="Q238" t="str">
        <f t="shared" ca="1" si="44"/>
        <v>0010100000010001</v>
      </c>
      <c r="R238">
        <f t="shared" ca="1" si="45"/>
        <v>1.9231288089752199</v>
      </c>
      <c r="S238">
        <f t="shared" ca="1" si="46"/>
        <v>43.07754570770264</v>
      </c>
      <c r="T238" s="1">
        <f t="shared" ca="1" si="48"/>
        <v>1.1982896612324797E-2</v>
      </c>
      <c r="V238" s="4">
        <f t="shared" ca="1" si="47"/>
        <v>0.52245399999999997</v>
      </c>
      <c r="X238" s="2"/>
    </row>
    <row r="239" spans="8:24" x14ac:dyDescent="0.25">
      <c r="H239">
        <v>43.7</v>
      </c>
      <c r="I239">
        <v>1.9210011540542211</v>
      </c>
      <c r="J239" s="4">
        <f t="shared" si="38"/>
        <v>-8.8999999999999995E-5</v>
      </c>
      <c r="K239" s="9">
        <f t="shared" si="39"/>
        <v>1.1900000000000001E-4</v>
      </c>
      <c r="L239" s="4">
        <f t="shared" si="40"/>
        <v>5.7289999999999997E-3</v>
      </c>
      <c r="M239" s="5">
        <f t="shared" si="41"/>
        <v>1.9322174958056917</v>
      </c>
      <c r="N239" s="2">
        <f t="shared" si="42"/>
        <v>5.8388001109727517E-3</v>
      </c>
      <c r="O239">
        <f t="shared" si="43"/>
        <v>10308.5661</v>
      </c>
      <c r="P239">
        <f t="shared" ca="1" si="49"/>
        <v>10311</v>
      </c>
      <c r="Q239" t="str">
        <f t="shared" ca="1" si="44"/>
        <v>0010100001000111</v>
      </c>
      <c r="R239">
        <f t="shared" ca="1" si="45"/>
        <v>1.9332534999847413</v>
      </c>
      <c r="S239">
        <f t="shared" ca="1" si="46"/>
        <v>43.199041999816899</v>
      </c>
      <c r="T239" s="1">
        <f t="shared" ca="1" si="48"/>
        <v>1.1463569798240366E-2</v>
      </c>
      <c r="V239" s="4">
        <f t="shared" ca="1" si="47"/>
        <v>0.50095800000000001</v>
      </c>
      <c r="X239" s="2"/>
    </row>
    <row r="240" spans="8:24" x14ac:dyDescent="0.25">
      <c r="H240">
        <v>43.8</v>
      </c>
      <c r="I240">
        <v>1.9302826350110038</v>
      </c>
      <c r="J240" s="4">
        <f t="shared" si="38"/>
        <v>-8.7999999999999998E-5</v>
      </c>
      <c r="K240" s="9">
        <f t="shared" si="39"/>
        <v>1.1900000000000001E-4</v>
      </c>
      <c r="L240" s="4">
        <f t="shared" si="40"/>
        <v>5.7590000000000002E-3</v>
      </c>
      <c r="M240" s="5">
        <f t="shared" si="41"/>
        <v>1.9416100331700299</v>
      </c>
      <c r="N240" s="2">
        <f t="shared" si="42"/>
        <v>5.8682588516170767E-3</v>
      </c>
      <c r="O240">
        <f t="shared" si="43"/>
        <v>10358.6762</v>
      </c>
      <c r="P240">
        <f t="shared" ca="1" si="49"/>
        <v>10360</v>
      </c>
      <c r="Q240" t="str">
        <f t="shared" ca="1" si="44"/>
        <v>0010100001111000</v>
      </c>
      <c r="R240">
        <f t="shared" ca="1" si="45"/>
        <v>1.9424407196044922</v>
      </c>
      <c r="S240">
        <f t="shared" ca="1" si="46"/>
        <v>43.309288635253907</v>
      </c>
      <c r="T240" s="1">
        <f t="shared" ca="1" si="48"/>
        <v>1.1203455816120785E-2</v>
      </c>
      <c r="V240" s="4">
        <f t="shared" ca="1" si="47"/>
        <v>0.49071100000000001</v>
      </c>
      <c r="X240" s="2"/>
    </row>
    <row r="241" spans="8:24" x14ac:dyDescent="0.25">
      <c r="H241">
        <v>43.900000000000006</v>
      </c>
      <c r="I241">
        <v>1.9395855636421113</v>
      </c>
      <c r="J241" s="4">
        <f t="shared" si="38"/>
        <v>-8.7999999999999998E-5</v>
      </c>
      <c r="K241" s="9">
        <f t="shared" si="39"/>
        <v>1.2E-4</v>
      </c>
      <c r="L241" s="4">
        <f t="shared" si="40"/>
        <v>5.79E-3</v>
      </c>
      <c r="M241" s="5">
        <f t="shared" si="41"/>
        <v>1.9510276780781839</v>
      </c>
      <c r="N241" s="2">
        <f t="shared" si="42"/>
        <v>5.8992573725836659E-3</v>
      </c>
      <c r="O241">
        <f t="shared" si="43"/>
        <v>10408.9202</v>
      </c>
      <c r="P241">
        <f t="shared" ca="1" si="49"/>
        <v>10408</v>
      </c>
      <c r="Q241" t="str">
        <f t="shared" ca="1" si="44"/>
        <v>0010100010101000</v>
      </c>
      <c r="R241">
        <f t="shared" ca="1" si="45"/>
        <v>1.9514404449462892</v>
      </c>
      <c r="S241">
        <f t="shared" ca="1" si="46"/>
        <v>43.417285339355473</v>
      </c>
      <c r="T241" s="1">
        <f t="shared" ca="1" si="48"/>
        <v>1.0995778146800283E-2</v>
      </c>
      <c r="V241" s="4">
        <f t="shared" ca="1" si="47"/>
        <v>0.48271500000000001</v>
      </c>
      <c r="X241" s="2"/>
    </row>
    <row r="242" spans="8:24" x14ac:dyDescent="0.25">
      <c r="H242">
        <v>44</v>
      </c>
      <c r="I242">
        <v>1.9481691939574883</v>
      </c>
      <c r="J242" s="4">
        <f t="shared" si="38"/>
        <v>-8.7000000000000001E-5</v>
      </c>
      <c r="K242" s="9">
        <f t="shared" si="39"/>
        <v>1.2E-4</v>
      </c>
      <c r="L242" s="4">
        <f t="shared" si="40"/>
        <v>5.8199999999999997E-3</v>
      </c>
      <c r="M242" s="5">
        <f t="shared" si="41"/>
        <v>1.9597194234419202</v>
      </c>
      <c r="N242" s="2">
        <f t="shared" si="42"/>
        <v>5.928760972227904E-3</v>
      </c>
      <c r="O242">
        <f t="shared" si="43"/>
        <v>10455.291499999999</v>
      </c>
      <c r="P242">
        <f t="shared" ca="1" si="49"/>
        <v>10457</v>
      </c>
      <c r="Q242" t="str">
        <f t="shared" ca="1" si="44"/>
        <v>0010100011011001</v>
      </c>
      <c r="R242">
        <f t="shared" ca="1" si="45"/>
        <v>1.9606276645660401</v>
      </c>
      <c r="S242">
        <f t="shared" ca="1" si="46"/>
        <v>43.527531974792488</v>
      </c>
      <c r="T242" s="1">
        <f t="shared" ca="1" si="48"/>
        <v>1.0737909663807084E-2</v>
      </c>
      <c r="V242" s="4">
        <f t="shared" ca="1" si="47"/>
        <v>0.472468</v>
      </c>
      <c r="X242" s="2"/>
    </row>
    <row r="243" spans="8:24" x14ac:dyDescent="0.25">
      <c r="H243">
        <v>44.1</v>
      </c>
      <c r="I243">
        <v>1.9575158164424038</v>
      </c>
      <c r="J243" s="4">
        <f t="shared" si="38"/>
        <v>-8.6000000000000003E-5</v>
      </c>
      <c r="K243" s="9">
        <f t="shared" si="39"/>
        <v>1.21E-4</v>
      </c>
      <c r="L243" s="4">
        <f t="shared" si="40"/>
        <v>5.8510000000000003E-3</v>
      </c>
      <c r="M243" s="5">
        <f t="shared" si="41"/>
        <v>1.9691811560283257</v>
      </c>
      <c r="N243" s="2">
        <f t="shared" si="42"/>
        <v>5.9592568744208122E-3</v>
      </c>
      <c r="O243">
        <f t="shared" si="43"/>
        <v>10505.7708</v>
      </c>
      <c r="P243">
        <f t="shared" ca="1" si="49"/>
        <v>10504</v>
      </c>
      <c r="Q243" t="str">
        <f t="shared" ca="1" si="44"/>
        <v>0010100100001000</v>
      </c>
      <c r="R243">
        <f t="shared" ca="1" si="45"/>
        <v>1.9694398956298829</v>
      </c>
      <c r="S243">
        <f t="shared" ca="1" si="46"/>
        <v>43.633278747558599</v>
      </c>
      <c r="T243" s="1">
        <f t="shared" ca="1" si="48"/>
        <v>1.058324835468033E-2</v>
      </c>
      <c r="V243" s="4">
        <f t="shared" ca="1" si="47"/>
        <v>0.466721</v>
      </c>
      <c r="X243" s="2"/>
    </row>
    <row r="244" spans="8:24" x14ac:dyDescent="0.25">
      <c r="H244">
        <v>44.2</v>
      </c>
      <c r="I244">
        <v>1.9668835850708808</v>
      </c>
      <c r="J244" s="4">
        <f t="shared" si="38"/>
        <v>-8.6000000000000003E-5</v>
      </c>
      <c r="K244" s="9">
        <f t="shared" si="39"/>
        <v>1.21E-4</v>
      </c>
      <c r="L244" s="4">
        <f t="shared" si="40"/>
        <v>5.8809999999999999E-3</v>
      </c>
      <c r="M244" s="5">
        <f t="shared" si="41"/>
        <v>1.9786637655782464</v>
      </c>
      <c r="N244" s="2">
        <f t="shared" si="42"/>
        <v>5.9892616913273487E-3</v>
      </c>
      <c r="O244">
        <f t="shared" si="43"/>
        <v>10556.3614</v>
      </c>
      <c r="P244">
        <f t="shared" ca="1" si="49"/>
        <v>10561</v>
      </c>
      <c r="Q244" t="str">
        <f t="shared" ca="1" si="44"/>
        <v>0010100101000001</v>
      </c>
      <c r="R244">
        <f t="shared" ca="1" si="45"/>
        <v>1.9801270694732667</v>
      </c>
      <c r="S244">
        <f t="shared" ca="1" si="46"/>
        <v>43.761524833679204</v>
      </c>
      <c r="T244" s="1">
        <f t="shared" ca="1" si="48"/>
        <v>9.9202526316922914E-3</v>
      </c>
      <c r="V244" s="4">
        <f t="shared" ca="1" si="47"/>
        <v>0.438475</v>
      </c>
      <c r="X244" s="2"/>
    </row>
    <row r="245" spans="8:24" x14ac:dyDescent="0.25">
      <c r="H245">
        <v>44.3</v>
      </c>
      <c r="I245">
        <v>1.9755350552263227</v>
      </c>
      <c r="J245" s="4">
        <f t="shared" si="38"/>
        <v>-8.5000000000000006E-5</v>
      </c>
      <c r="K245" s="9">
        <f t="shared" si="39"/>
        <v>1.22E-4</v>
      </c>
      <c r="L245" s="4">
        <f t="shared" si="40"/>
        <v>5.9119999999999997E-3</v>
      </c>
      <c r="M245" s="5">
        <f t="shared" si="41"/>
        <v>1.9874273830187292</v>
      </c>
      <c r="N245" s="2">
        <f t="shared" si="42"/>
        <v>6.0198009450377222E-3</v>
      </c>
      <c r="O245">
        <f t="shared" si="43"/>
        <v>10603.1162</v>
      </c>
      <c r="P245">
        <f t="shared" ca="1" si="49"/>
        <v>10608</v>
      </c>
      <c r="Q245" t="str">
        <f t="shared" ca="1" si="44"/>
        <v>0010100101110000</v>
      </c>
      <c r="R245">
        <f t="shared" ca="1" si="45"/>
        <v>1.9889393005371094</v>
      </c>
      <c r="S245">
        <f t="shared" ca="1" si="46"/>
        <v>43.867271606445314</v>
      </c>
      <c r="T245" s="1">
        <f t="shared" ca="1" si="48"/>
        <v>9.7681352946881062E-3</v>
      </c>
      <c r="V245" s="4">
        <f t="shared" ca="1" si="47"/>
        <v>0.432728</v>
      </c>
      <c r="X245" s="2"/>
    </row>
    <row r="246" spans="8:24" x14ac:dyDescent="0.25">
      <c r="H246">
        <v>44.400000000000006</v>
      </c>
      <c r="I246">
        <v>1.9849459136577783</v>
      </c>
      <c r="J246" s="4">
        <f t="shared" si="38"/>
        <v>-8.5000000000000006E-5</v>
      </c>
      <c r="K246" s="9">
        <f t="shared" si="39"/>
        <v>1.22E-4</v>
      </c>
      <c r="L246" s="4">
        <f t="shared" si="40"/>
        <v>5.9420000000000002E-3</v>
      </c>
      <c r="M246" s="5">
        <f t="shared" si="41"/>
        <v>1.9969544724973574</v>
      </c>
      <c r="N246" s="2">
        <f t="shared" si="42"/>
        <v>6.0498166508981535E-3</v>
      </c>
      <c r="O246">
        <f t="shared" si="43"/>
        <v>10653.944100000001</v>
      </c>
      <c r="P246">
        <f t="shared" ca="1" si="49"/>
        <v>10656</v>
      </c>
      <c r="Q246" t="str">
        <f t="shared" ca="1" si="44"/>
        <v>0010100110100000</v>
      </c>
      <c r="R246">
        <f t="shared" ca="1" si="45"/>
        <v>1.9979390258789063</v>
      </c>
      <c r="S246">
        <f t="shared" ca="1" si="46"/>
        <v>43.975268310546873</v>
      </c>
      <c r="T246" s="1">
        <f t="shared" ca="1" si="48"/>
        <v>9.5660290417372128E-3</v>
      </c>
      <c r="V246" s="4">
        <f t="shared" ca="1" si="47"/>
        <v>0.424732</v>
      </c>
      <c r="X246" s="2"/>
    </row>
    <row r="247" spans="8:24" x14ac:dyDescent="0.25">
      <c r="H247">
        <v>44.5</v>
      </c>
      <c r="I247">
        <v>1.9943776148252708</v>
      </c>
      <c r="J247" s="4">
        <f t="shared" si="38"/>
        <v>-8.3999999999999995E-5</v>
      </c>
      <c r="K247" s="9">
        <f t="shared" si="39"/>
        <v>1.2300000000000001E-4</v>
      </c>
      <c r="L247" s="4">
        <f t="shared" si="40"/>
        <v>5.973E-3</v>
      </c>
      <c r="M247" s="5">
        <f t="shared" si="41"/>
        <v>2.0065041174850089</v>
      </c>
      <c r="N247" s="2">
        <f t="shared" si="42"/>
        <v>6.0803443488311269E-3</v>
      </c>
      <c r="O247">
        <f t="shared" si="43"/>
        <v>10704.892400000001</v>
      </c>
      <c r="P247">
        <f t="shared" ca="1" si="49"/>
        <v>10708</v>
      </c>
      <c r="Q247" t="str">
        <f t="shared" ca="1" si="44"/>
        <v>0010100111010100</v>
      </c>
      <c r="R247">
        <f t="shared" ca="1" si="45"/>
        <v>2.0076887283325195</v>
      </c>
      <c r="S247">
        <f t="shared" ca="1" si="46"/>
        <v>44.092264739990242</v>
      </c>
      <c r="T247" s="1">
        <f t="shared" ca="1" si="48"/>
        <v>9.1625901125788386E-3</v>
      </c>
      <c r="V247" s="4">
        <f t="shared" ca="1" si="47"/>
        <v>0.40773500000000001</v>
      </c>
      <c r="X247" s="2"/>
    </row>
    <row r="248" spans="8:24" x14ac:dyDescent="0.25">
      <c r="H248">
        <v>44.6</v>
      </c>
      <c r="I248">
        <v>2.0030960176679673</v>
      </c>
      <c r="J248" s="4">
        <f t="shared" si="38"/>
        <v>-8.3999999999999995E-5</v>
      </c>
      <c r="K248" s="9">
        <f t="shared" si="39"/>
        <v>1.2300000000000001E-4</v>
      </c>
      <c r="L248" s="4">
        <f t="shared" si="40"/>
        <v>6.0029999999999997E-3</v>
      </c>
      <c r="M248" s="5">
        <f t="shared" si="41"/>
        <v>2.01533572988044</v>
      </c>
      <c r="N248" s="2">
        <f t="shared" si="42"/>
        <v>6.1103971574574395E-3</v>
      </c>
      <c r="O248">
        <f t="shared" si="43"/>
        <v>10752.009899999999</v>
      </c>
      <c r="P248">
        <f t="shared" ca="1" si="49"/>
        <v>10754</v>
      </c>
      <c r="Q248" t="str">
        <f t="shared" ca="1" si="44"/>
        <v>0010101000000010</v>
      </c>
      <c r="R248">
        <f t="shared" ca="1" si="45"/>
        <v>2.016313465118408</v>
      </c>
      <c r="S248">
        <f t="shared" ca="1" si="46"/>
        <v>44.195761581420903</v>
      </c>
      <c r="T248" s="1">
        <f t="shared" ca="1" si="48"/>
        <v>9.0636416721770838E-3</v>
      </c>
      <c r="V248" s="4">
        <f t="shared" ca="1" si="47"/>
        <v>0.40423799999999999</v>
      </c>
      <c r="X248" s="2"/>
    </row>
    <row r="249" spans="8:24" x14ac:dyDescent="0.25">
      <c r="H249">
        <v>44.7</v>
      </c>
      <c r="I249">
        <v>2.01183726433965</v>
      </c>
      <c r="J249" s="4">
        <f t="shared" si="38"/>
        <v>-8.2999999999999998E-5</v>
      </c>
      <c r="K249" s="9">
        <f t="shared" si="39"/>
        <v>1.2400000000000001E-4</v>
      </c>
      <c r="L249" s="4">
        <f t="shared" si="40"/>
        <v>6.0340000000000003E-3</v>
      </c>
      <c r="M249" s="5">
        <f t="shared" si="41"/>
        <v>2.0241918882211767</v>
      </c>
      <c r="N249" s="2">
        <f t="shared" si="42"/>
        <v>6.1409658228901657E-3</v>
      </c>
      <c r="O249">
        <f t="shared" si="43"/>
        <v>10799.2583</v>
      </c>
      <c r="P249">
        <f t="shared" ca="1" si="49"/>
        <v>10804</v>
      </c>
      <c r="Q249" t="str">
        <f t="shared" ca="1" si="44"/>
        <v>0010101000110100</v>
      </c>
      <c r="R249">
        <f t="shared" ca="1" si="45"/>
        <v>2.0256881790161132</v>
      </c>
      <c r="S249">
        <f t="shared" ca="1" si="46"/>
        <v>44.30825814819336</v>
      </c>
      <c r="T249" s="1">
        <f t="shared" ca="1" si="48"/>
        <v>8.7637998167034142E-3</v>
      </c>
      <c r="V249" s="4">
        <f t="shared" ca="1" si="47"/>
        <v>0.39174199999999998</v>
      </c>
      <c r="X249" s="2"/>
    </row>
    <row r="250" spans="8:24" x14ac:dyDescent="0.25">
      <c r="H250">
        <v>44.8</v>
      </c>
      <c r="I250">
        <v>2.0206012533504776</v>
      </c>
      <c r="J250" s="4">
        <f t="shared" si="38"/>
        <v>-8.2000000000000001E-5</v>
      </c>
      <c r="K250" s="9">
        <f t="shared" si="39"/>
        <v>1.2400000000000001E-4</v>
      </c>
      <c r="L250" s="4">
        <f t="shared" si="40"/>
        <v>6.0639999999999999E-3</v>
      </c>
      <c r="M250" s="5">
        <f t="shared" si="41"/>
        <v>2.0330694346904403</v>
      </c>
      <c r="N250" s="2">
        <f t="shared" si="42"/>
        <v>6.170530340555082E-3</v>
      </c>
      <c r="O250">
        <f t="shared" si="43"/>
        <v>10846.6209</v>
      </c>
      <c r="P250">
        <f t="shared" ca="1" si="49"/>
        <v>10849</v>
      </c>
      <c r="Q250" t="str">
        <f t="shared" ca="1" si="44"/>
        <v>0010101001100001</v>
      </c>
      <c r="R250">
        <f t="shared" ca="1" si="45"/>
        <v>2.0341254215240481</v>
      </c>
      <c r="S250">
        <f t="shared" ca="1" si="46"/>
        <v>44.40950505828858</v>
      </c>
      <c r="T250" s="1">
        <f t="shared" ca="1" si="48"/>
        <v>8.7164049489155526E-3</v>
      </c>
      <c r="V250" s="4">
        <f t="shared" ca="1" si="47"/>
        <v>0.39049499999999998</v>
      </c>
      <c r="X250" s="2"/>
    </row>
    <row r="251" spans="8:24" x14ac:dyDescent="0.25">
      <c r="H251">
        <v>44.900000000000006</v>
      </c>
      <c r="I251">
        <v>2.0301186090565357</v>
      </c>
      <c r="J251" s="4">
        <f t="shared" si="38"/>
        <v>-8.2000000000000001E-5</v>
      </c>
      <c r="K251" s="9">
        <f t="shared" si="39"/>
        <v>1.25E-4</v>
      </c>
      <c r="L251" s="4">
        <f t="shared" si="40"/>
        <v>6.0949999999999997E-3</v>
      </c>
      <c r="M251" s="5">
        <f t="shared" si="41"/>
        <v>2.0427085642456126</v>
      </c>
      <c r="N251" s="2">
        <f t="shared" si="42"/>
        <v>6.2015860220737944E-3</v>
      </c>
      <c r="O251">
        <f t="shared" si="43"/>
        <v>10898.0466</v>
      </c>
      <c r="P251">
        <f t="shared" ca="1" si="49"/>
        <v>10897</v>
      </c>
      <c r="Q251" t="str">
        <f t="shared" ca="1" si="44"/>
        <v>0010101010010001</v>
      </c>
      <c r="R251">
        <f t="shared" ca="1" si="45"/>
        <v>2.0431251468658447</v>
      </c>
      <c r="S251">
        <f t="shared" ca="1" si="46"/>
        <v>44.51750176239014</v>
      </c>
      <c r="T251" s="1">
        <f t="shared" ca="1" si="48"/>
        <v>8.5188917062330952E-3</v>
      </c>
      <c r="V251" s="4">
        <f t="shared" ca="1" si="47"/>
        <v>0.382498</v>
      </c>
      <c r="X251" s="2"/>
    </row>
    <row r="252" spans="8:24" x14ac:dyDescent="0.25">
      <c r="H252">
        <v>45</v>
      </c>
      <c r="I252">
        <v>2.0389266722026069</v>
      </c>
      <c r="J252" s="4">
        <f t="shared" si="38"/>
        <v>-8.1000000000000004E-5</v>
      </c>
      <c r="K252" s="9">
        <f t="shared" si="39"/>
        <v>1.25E-4</v>
      </c>
      <c r="L252" s="4">
        <f t="shared" si="40"/>
        <v>6.1250000000000002E-3</v>
      </c>
      <c r="M252" s="5">
        <f t="shared" si="41"/>
        <v>2.051631560259195</v>
      </c>
      <c r="N252" s="2">
        <f t="shared" si="42"/>
        <v>6.2311647739951761E-3</v>
      </c>
      <c r="O252">
        <f t="shared" si="43"/>
        <v>10945.651599999999</v>
      </c>
      <c r="P252">
        <f t="shared" ca="1" si="49"/>
        <v>10944</v>
      </c>
      <c r="Q252" t="str">
        <f t="shared" ca="1" si="44"/>
        <v>0010101011000000</v>
      </c>
      <c r="R252">
        <f t="shared" ca="1" si="45"/>
        <v>2.0519373779296877</v>
      </c>
      <c r="S252">
        <f t="shared" ca="1" si="46"/>
        <v>44.62324853515625</v>
      </c>
      <c r="T252" s="1">
        <f t="shared" ca="1" si="48"/>
        <v>8.3722547743055511E-3</v>
      </c>
      <c r="V252" s="4">
        <f t="shared" ca="1" si="47"/>
        <v>0.376751</v>
      </c>
      <c r="X252" s="2"/>
    </row>
    <row r="253" spans="8:24" x14ac:dyDescent="0.25">
      <c r="H253">
        <v>45.1</v>
      </c>
      <c r="I253">
        <v>2.0492142107272038</v>
      </c>
      <c r="J253" s="4">
        <f t="shared" si="38"/>
        <v>-8.1000000000000004E-5</v>
      </c>
      <c r="K253" s="9">
        <f t="shared" si="39"/>
        <v>1.26E-4</v>
      </c>
      <c r="L253" s="4">
        <f t="shared" si="40"/>
        <v>6.156E-3</v>
      </c>
      <c r="M253" s="5">
        <f t="shared" si="41"/>
        <v>2.0620468138653592</v>
      </c>
      <c r="N253" s="2">
        <f t="shared" si="42"/>
        <v>6.2622067868646457E-3</v>
      </c>
      <c r="O253">
        <f t="shared" si="43"/>
        <v>11001.218000000001</v>
      </c>
      <c r="P253">
        <f t="shared" ca="1" si="49"/>
        <v>11004</v>
      </c>
      <c r="Q253" t="str">
        <f t="shared" ca="1" si="44"/>
        <v>0010101011111100</v>
      </c>
      <c r="R253">
        <f t="shared" ca="1" si="45"/>
        <v>2.0631870346069334</v>
      </c>
      <c r="S253">
        <f t="shared" ca="1" si="46"/>
        <v>44.758244415283208</v>
      </c>
      <c r="T253" s="1">
        <f t="shared" ca="1" si="48"/>
        <v>7.577729151148409E-3</v>
      </c>
      <c r="V253" s="4">
        <f t="shared" ca="1" si="47"/>
        <v>0.341756</v>
      </c>
      <c r="X253" s="2"/>
    </row>
    <row r="254" spans="8:24" x14ac:dyDescent="0.25">
      <c r="H254">
        <v>45.2</v>
      </c>
      <c r="I254">
        <v>2.0580648322948178</v>
      </c>
      <c r="J254" s="4">
        <f t="shared" si="38"/>
        <v>-8.0000000000000007E-5</v>
      </c>
      <c r="K254" s="9">
        <f t="shared" si="39"/>
        <v>1.26E-4</v>
      </c>
      <c r="L254" s="4">
        <f t="shared" si="40"/>
        <v>6.1859999999999997E-3</v>
      </c>
      <c r="M254" s="5">
        <f t="shared" si="41"/>
        <v>2.0710137646549738</v>
      </c>
      <c r="N254" s="2">
        <f t="shared" si="42"/>
        <v>6.2918000234800158E-3</v>
      </c>
      <c r="O254">
        <f t="shared" si="43"/>
        <v>11049.0576</v>
      </c>
      <c r="P254">
        <f t="shared" ca="1" si="49"/>
        <v>11054</v>
      </c>
      <c r="Q254" t="str">
        <f t="shared" ca="1" si="44"/>
        <v>0010101100101110</v>
      </c>
      <c r="R254">
        <f t="shared" ca="1" si="45"/>
        <v>2.0725617485046386</v>
      </c>
      <c r="S254">
        <f t="shared" ca="1" si="46"/>
        <v>44.870740982055665</v>
      </c>
      <c r="T254" s="1">
        <f t="shared" ca="1" si="48"/>
        <v>7.2844915474411052E-3</v>
      </c>
      <c r="V254" s="4">
        <f t="shared" ca="1" si="47"/>
        <v>0.32925900000000002</v>
      </c>
      <c r="X254" s="2"/>
    </row>
    <row r="255" spans="8:24" x14ac:dyDescent="0.25">
      <c r="H255">
        <v>45.3</v>
      </c>
      <c r="I255">
        <v>2.0676639957162091</v>
      </c>
      <c r="J255" s="4">
        <f t="shared" si="38"/>
        <v>-8.0000000000000007E-5</v>
      </c>
      <c r="K255" s="9">
        <f t="shared" si="39"/>
        <v>1.27E-4</v>
      </c>
      <c r="L255" s="4">
        <f t="shared" si="40"/>
        <v>6.2170000000000003E-3</v>
      </c>
      <c r="M255" s="5">
        <f t="shared" si="41"/>
        <v>2.0807375806692301</v>
      </c>
      <c r="N255" s="2">
        <f t="shared" si="42"/>
        <v>6.3228769181583201E-3</v>
      </c>
      <c r="O255">
        <f t="shared" si="43"/>
        <v>11100.935100000001</v>
      </c>
      <c r="P255">
        <f t="shared" ca="1" si="49"/>
        <v>11100</v>
      </c>
      <c r="Q255" t="str">
        <f t="shared" ca="1" si="44"/>
        <v>0010101101011100</v>
      </c>
      <c r="R255">
        <f t="shared" ca="1" si="45"/>
        <v>2.0811864852905275</v>
      </c>
      <c r="S255">
        <f t="shared" ca="1" si="46"/>
        <v>44.974237823486334</v>
      </c>
      <c r="T255" s="1">
        <f t="shared" ca="1" si="48"/>
        <v>7.1912180245841803E-3</v>
      </c>
      <c r="V255" s="4">
        <f t="shared" ca="1" si="47"/>
        <v>0.325762</v>
      </c>
      <c r="X255" s="2"/>
    </row>
    <row r="256" spans="8:24" x14ac:dyDescent="0.25">
      <c r="H256">
        <v>45.400000000000006</v>
      </c>
      <c r="I256">
        <v>2.0765578671922906</v>
      </c>
      <c r="J256" s="4">
        <f t="shared" si="38"/>
        <v>-7.8999999999999996E-5</v>
      </c>
      <c r="K256" s="9">
        <f t="shared" si="39"/>
        <v>1.27E-4</v>
      </c>
      <c r="L256" s="4">
        <f t="shared" si="40"/>
        <v>6.2469999999999999E-3</v>
      </c>
      <c r="M256" s="5">
        <f t="shared" si="41"/>
        <v>2.089749167918276</v>
      </c>
      <c r="N256" s="2">
        <f t="shared" si="42"/>
        <v>6.3524840479506255E-3</v>
      </c>
      <c r="O256">
        <f t="shared" si="43"/>
        <v>11149.012699999999</v>
      </c>
      <c r="P256">
        <f t="shared" ca="1" si="49"/>
        <v>11151</v>
      </c>
      <c r="Q256" t="str">
        <f t="shared" ca="1" si="44"/>
        <v>0010101110001111</v>
      </c>
      <c r="R256">
        <f t="shared" ca="1" si="45"/>
        <v>2.0907486934661867</v>
      </c>
      <c r="S256">
        <f t="shared" ca="1" si="46"/>
        <v>45.088984321594239</v>
      </c>
      <c r="T256" s="1">
        <f t="shared" ca="1" si="48"/>
        <v>6.8505656036512439E-3</v>
      </c>
      <c r="V256" s="4">
        <f t="shared" ca="1" si="47"/>
        <v>0.31101600000000001</v>
      </c>
      <c r="X256" s="2"/>
    </row>
    <row r="257" spans="8:24" x14ac:dyDescent="0.25">
      <c r="H257">
        <v>45.5</v>
      </c>
      <c r="I257">
        <v>2.0854737617913113</v>
      </c>
      <c r="J257" s="4">
        <f t="shared" si="38"/>
        <v>-7.7999999999999999E-5</v>
      </c>
      <c r="K257" s="9">
        <f t="shared" si="39"/>
        <v>1.2799999999999999E-4</v>
      </c>
      <c r="L257" s="4">
        <f t="shared" si="40"/>
        <v>6.2779999999999997E-3</v>
      </c>
      <c r="M257" s="5">
        <f t="shared" si="41"/>
        <v>2.0987855734977301</v>
      </c>
      <c r="N257" s="2">
        <f t="shared" si="42"/>
        <v>6.3831115741224574E-3</v>
      </c>
      <c r="O257">
        <f t="shared" si="43"/>
        <v>11197.2228</v>
      </c>
      <c r="P257">
        <f t="shared" ca="1" si="49"/>
        <v>11197</v>
      </c>
      <c r="Q257" t="str">
        <f t="shared" ca="1" si="44"/>
        <v>0010101110111101</v>
      </c>
      <c r="R257">
        <f t="shared" ca="1" si="45"/>
        <v>2.0993734302520752</v>
      </c>
      <c r="S257">
        <f t="shared" ca="1" si="46"/>
        <v>45.192481163024901</v>
      </c>
      <c r="T257" s="1">
        <f t="shared" ca="1" si="48"/>
        <v>6.7586557576944824E-3</v>
      </c>
      <c r="V257" s="4">
        <f t="shared" ca="1" si="47"/>
        <v>0.30751899999999999</v>
      </c>
      <c r="X257" s="2"/>
    </row>
    <row r="258" spans="8:24" x14ac:dyDescent="0.25">
      <c r="H258">
        <v>45.6</v>
      </c>
      <c r="I258">
        <v>2.095134571422248</v>
      </c>
      <c r="J258" s="4">
        <f t="shared" si="38"/>
        <v>-7.7999999999999999E-5</v>
      </c>
      <c r="K258" s="9">
        <f t="shared" si="39"/>
        <v>1.2799999999999999E-4</v>
      </c>
      <c r="L258" s="4">
        <f t="shared" si="40"/>
        <v>6.3080000000000002E-3</v>
      </c>
      <c r="M258" s="5">
        <f t="shared" si="41"/>
        <v>2.1085710718796649</v>
      </c>
      <c r="N258" s="2">
        <f t="shared" si="42"/>
        <v>6.4131920883228489E-3</v>
      </c>
      <c r="O258">
        <f t="shared" si="43"/>
        <v>11249.429400000001</v>
      </c>
      <c r="P258">
        <f t="shared" ca="1" si="49"/>
        <v>11251</v>
      </c>
      <c r="Q258" t="str">
        <f t="shared" ca="1" si="44"/>
        <v>0010101111110011</v>
      </c>
      <c r="R258">
        <f t="shared" ca="1" si="45"/>
        <v>2.1094981212615966</v>
      </c>
      <c r="S258">
        <f t="shared" ca="1" si="46"/>
        <v>45.313977455139167</v>
      </c>
      <c r="T258" s="1">
        <f t="shared" ca="1" si="48"/>
        <v>6.2724242294042686E-3</v>
      </c>
      <c r="V258" s="4">
        <f t="shared" ca="1" si="47"/>
        <v>0.28602300000000003</v>
      </c>
      <c r="X258" s="2"/>
    </row>
    <row r="259" spans="8:24" x14ac:dyDescent="0.25">
      <c r="H259">
        <v>45.7</v>
      </c>
      <c r="I259">
        <v>2.1040930934751318</v>
      </c>
      <c r="J259" s="4">
        <f t="shared" ref="J259:J322" si="50">ROUND(H259*0.00000575 -0.00034,6)</f>
        <v>-7.7000000000000001E-5</v>
      </c>
      <c r="K259" s="9">
        <f t="shared" ref="K259:K322" si="51">ROUND(H259*0.000005-0.0001,6)</f>
        <v>1.2899999999999999E-4</v>
      </c>
      <c r="L259" s="4">
        <f t="shared" ref="L259:L322" si="52">ROUND(K259+($C$24*(H259-25)),6)</f>
        <v>6.339E-3</v>
      </c>
      <c r="M259" s="5">
        <f t="shared" ref="M259:M322" si="53">(I259-J259)/(1-L259)+$C$26+$D$27</f>
        <v>2.1176515187907468</v>
      </c>
      <c r="N259" s="2">
        <f t="shared" ref="N259:N322" si="54">ABS(I259-M259)/I259</f>
        <v>6.4438333824962746E-3</v>
      </c>
      <c r="O259">
        <f t="shared" ref="O259:O322" si="55">ROUND((M259*(2^($C$12-1)))/$C$44,4)</f>
        <v>11297.8745</v>
      </c>
      <c r="P259">
        <f t="shared" ca="1" si="49"/>
        <v>11300</v>
      </c>
      <c r="Q259" t="str">
        <f t="shared" ref="Q259:Q322" ca="1" si="56">_xlfn.BASE(P259,2,16)</f>
        <v>0010110000100100</v>
      </c>
      <c r="R259">
        <f t="shared" ref="R259:R322" ca="1" si="57">($C$16/2^($C$12-1)) * P259</f>
        <v>2.1186853408813477</v>
      </c>
      <c r="S259">
        <f t="shared" ref="S259:S322" ca="1" si="58">(R259+5/3)/(1/12)</f>
        <v>45.424224090576175</v>
      </c>
      <c r="T259" s="1">
        <f t="shared" ca="1" si="48"/>
        <v>6.0344837948321248E-3</v>
      </c>
      <c r="V259" s="4">
        <f t="shared" ref="V259:V322" ca="1" si="59">ROUND(ABS(H259-S259),6)</f>
        <v>0.27577600000000002</v>
      </c>
      <c r="X259" s="2"/>
    </row>
    <row r="260" spans="8:24" x14ac:dyDescent="0.25">
      <c r="H260">
        <v>45.8</v>
      </c>
      <c r="I260">
        <v>2.1130733263689025</v>
      </c>
      <c r="J260" s="4">
        <f t="shared" si="50"/>
        <v>-7.7000000000000001E-5</v>
      </c>
      <c r="K260" s="9">
        <f t="shared" si="51"/>
        <v>1.2899999999999999E-4</v>
      </c>
      <c r="L260" s="4">
        <f t="shared" si="52"/>
        <v>6.3689999999999997E-3</v>
      </c>
      <c r="M260" s="5">
        <f t="shared" si="53"/>
        <v>2.1267532484060006</v>
      </c>
      <c r="N260" s="2">
        <f t="shared" si="54"/>
        <v>6.4739457293730221E-3</v>
      </c>
      <c r="O260">
        <f t="shared" si="55"/>
        <v>11346.4331</v>
      </c>
      <c r="P260">
        <f t="shared" ca="1" si="49"/>
        <v>11347</v>
      </c>
      <c r="Q260" t="str">
        <f t="shared" ca="1" si="56"/>
        <v>0010110001010011</v>
      </c>
      <c r="R260">
        <f t="shared" ca="1" si="57"/>
        <v>2.1274975719451903</v>
      </c>
      <c r="S260">
        <f t="shared" ca="1" si="58"/>
        <v>45.529970863342285</v>
      </c>
      <c r="T260" s="1">
        <f t="shared" ref="T260:T323" ca="1" si="60">ABS(H260-S260)/H260</f>
        <v>5.8958326781159802E-3</v>
      </c>
      <c r="V260" s="4">
        <f t="shared" ca="1" si="59"/>
        <v>0.27002900000000002</v>
      </c>
      <c r="X260" s="2"/>
    </row>
    <row r="261" spans="8:24" x14ac:dyDescent="0.25">
      <c r="H261">
        <v>45.900000000000006</v>
      </c>
      <c r="I261">
        <v>2.1227948427444896</v>
      </c>
      <c r="J261" s="4">
        <f t="shared" si="50"/>
        <v>-7.6000000000000004E-5</v>
      </c>
      <c r="K261" s="9">
        <f t="shared" si="51"/>
        <v>1.2999999999999999E-4</v>
      </c>
      <c r="L261" s="4">
        <f t="shared" si="52"/>
        <v>6.4000000000000003E-3</v>
      </c>
      <c r="M261" s="5">
        <f t="shared" si="53"/>
        <v>2.1366027290101548</v>
      </c>
      <c r="N261" s="2">
        <f t="shared" si="54"/>
        <v>6.5045787692858039E-3</v>
      </c>
      <c r="O261">
        <f t="shared" si="55"/>
        <v>11398.981</v>
      </c>
      <c r="P261">
        <f t="shared" ca="1" si="49"/>
        <v>11398</v>
      </c>
      <c r="Q261" t="str">
        <f t="shared" ca="1" si="56"/>
        <v>0010110010000110</v>
      </c>
      <c r="R261">
        <f t="shared" ca="1" si="57"/>
        <v>2.1370597801208495</v>
      </c>
      <c r="S261">
        <f t="shared" ca="1" si="58"/>
        <v>45.644717361450198</v>
      </c>
      <c r="T261" s="1">
        <f t="shared" ca="1" si="60"/>
        <v>5.5617132581657494E-3</v>
      </c>
      <c r="V261" s="4">
        <f t="shared" ca="1" si="59"/>
        <v>0.25528299999999998</v>
      </c>
      <c r="X261" s="2"/>
    </row>
    <row r="262" spans="8:24" x14ac:dyDescent="0.25">
      <c r="H262">
        <v>46</v>
      </c>
      <c r="I262">
        <v>2.1318170759529322</v>
      </c>
      <c r="J262" s="4">
        <f t="shared" si="50"/>
        <v>-7.6000000000000004E-5</v>
      </c>
      <c r="K262" s="9">
        <f t="shared" si="51"/>
        <v>1.2999999999999999E-4</v>
      </c>
      <c r="L262" s="4">
        <f t="shared" si="52"/>
        <v>6.43E-3</v>
      </c>
      <c r="M262" s="5">
        <f t="shared" si="53"/>
        <v>2.1457478617640753</v>
      </c>
      <c r="N262" s="2">
        <f t="shared" si="54"/>
        <v>6.5347003588081855E-3</v>
      </c>
      <c r="O262">
        <f t="shared" si="55"/>
        <v>11447.771199999999</v>
      </c>
      <c r="P262">
        <f t="shared" ca="1" si="49"/>
        <v>11447</v>
      </c>
      <c r="Q262" t="str">
        <f t="shared" ca="1" si="56"/>
        <v>0010110010110111</v>
      </c>
      <c r="R262">
        <f t="shared" ca="1" si="57"/>
        <v>2.1462469997406006</v>
      </c>
      <c r="S262">
        <f t="shared" ca="1" si="58"/>
        <v>45.754963996887206</v>
      </c>
      <c r="T262" s="1">
        <f t="shared" ca="1" si="60"/>
        <v>5.3268696328868321E-3</v>
      </c>
      <c r="V262" s="4">
        <f t="shared" ca="1" si="59"/>
        <v>0.245036</v>
      </c>
      <c r="X262" s="2"/>
    </row>
    <row r="263" spans="8:24" x14ac:dyDescent="0.25">
      <c r="H263">
        <v>46.1</v>
      </c>
      <c r="I263">
        <v>2.1408607054942919</v>
      </c>
      <c r="J263" s="4">
        <f t="shared" si="50"/>
        <v>-7.4999999999999993E-5</v>
      </c>
      <c r="K263" s="9">
        <f t="shared" si="51"/>
        <v>1.3100000000000001E-4</v>
      </c>
      <c r="L263" s="4">
        <f t="shared" si="52"/>
        <v>6.4609999999999997E-3</v>
      </c>
      <c r="M263" s="5">
        <f t="shared" si="53"/>
        <v>2.1549162446127346</v>
      </c>
      <c r="N263" s="2">
        <f t="shared" si="54"/>
        <v>6.5653683503885405E-3</v>
      </c>
      <c r="O263">
        <f t="shared" si="55"/>
        <v>11496.6854</v>
      </c>
      <c r="P263">
        <f t="shared" ca="1" si="49"/>
        <v>11496</v>
      </c>
      <c r="Q263" t="str">
        <f t="shared" ca="1" si="56"/>
        <v>0010110011101000</v>
      </c>
      <c r="R263">
        <f t="shared" ca="1" si="57"/>
        <v>2.1554342193603517</v>
      </c>
      <c r="S263">
        <f t="shared" ca="1" si="58"/>
        <v>45.865210632324228</v>
      </c>
      <c r="T263" s="1">
        <f t="shared" ca="1" si="60"/>
        <v>5.0930448519690566E-3</v>
      </c>
      <c r="V263" s="4">
        <f t="shared" ca="1" si="59"/>
        <v>0.234789</v>
      </c>
      <c r="X263" s="2"/>
    </row>
    <row r="264" spans="8:24" x14ac:dyDescent="0.25">
      <c r="H264">
        <v>46.2</v>
      </c>
      <c r="I264">
        <v>2.1499256260524788</v>
      </c>
      <c r="J264" s="4">
        <f t="shared" si="50"/>
        <v>-7.3999999999999996E-5</v>
      </c>
      <c r="K264" s="9">
        <f t="shared" si="51"/>
        <v>1.3100000000000001E-4</v>
      </c>
      <c r="L264" s="4">
        <f t="shared" si="52"/>
        <v>6.4910000000000002E-3</v>
      </c>
      <c r="M264" s="5">
        <f t="shared" si="53"/>
        <v>2.1641044515696177</v>
      </c>
      <c r="N264" s="2">
        <f t="shared" si="54"/>
        <v>6.595030704933229E-3</v>
      </c>
      <c r="O264">
        <f t="shared" si="55"/>
        <v>11545.7053</v>
      </c>
      <c r="P264">
        <f t="shared" ca="1" si="49"/>
        <v>11550</v>
      </c>
      <c r="Q264" t="str">
        <f t="shared" ca="1" si="56"/>
        <v>0010110100011110</v>
      </c>
      <c r="R264">
        <f t="shared" ca="1" si="57"/>
        <v>2.1655589103698731</v>
      </c>
      <c r="S264">
        <f t="shared" ca="1" si="58"/>
        <v>45.986706924438479</v>
      </c>
      <c r="T264" s="1">
        <f t="shared" ca="1" si="60"/>
        <v>4.6167332372624116E-3</v>
      </c>
      <c r="V264" s="4">
        <f t="shared" ca="1" si="59"/>
        <v>0.21329300000000001</v>
      </c>
      <c r="X264" s="2"/>
    </row>
    <row r="265" spans="8:24" x14ac:dyDescent="0.25">
      <c r="H265">
        <v>46.3</v>
      </c>
      <c r="I265">
        <v>2.1590117321513764</v>
      </c>
      <c r="J265" s="4">
        <f t="shared" si="50"/>
        <v>-7.3999999999999996E-5</v>
      </c>
      <c r="K265" s="9">
        <f t="shared" si="51"/>
        <v>1.3200000000000001E-4</v>
      </c>
      <c r="L265" s="4">
        <f t="shared" si="52"/>
        <v>6.522E-3</v>
      </c>
      <c r="M265" s="5">
        <f t="shared" si="53"/>
        <v>2.1733177321242914</v>
      </c>
      <c r="N265" s="2">
        <f t="shared" si="54"/>
        <v>6.6261798210144607E-3</v>
      </c>
      <c r="O265">
        <f t="shared" si="55"/>
        <v>11594.8591</v>
      </c>
      <c r="P265">
        <f t="shared" ca="1" si="49"/>
        <v>11599</v>
      </c>
      <c r="Q265" t="str">
        <f t="shared" ca="1" si="56"/>
        <v>0010110101001111</v>
      </c>
      <c r="R265">
        <f t="shared" ca="1" si="57"/>
        <v>2.1747461299896242</v>
      </c>
      <c r="S265">
        <f t="shared" ca="1" si="58"/>
        <v>46.096953559875494</v>
      </c>
      <c r="T265" s="1">
        <f t="shared" ca="1" si="60"/>
        <v>4.3854522705076178E-3</v>
      </c>
      <c r="V265" s="4">
        <f t="shared" ca="1" si="59"/>
        <v>0.203046</v>
      </c>
      <c r="X265" s="2"/>
    </row>
    <row r="266" spans="8:24" x14ac:dyDescent="0.25">
      <c r="H266">
        <v>46.400000000000006</v>
      </c>
      <c r="I266">
        <v>2.1674047792362665</v>
      </c>
      <c r="J266" s="4">
        <f t="shared" si="50"/>
        <v>-7.2999999999999999E-5</v>
      </c>
      <c r="K266" s="9">
        <f t="shared" si="51"/>
        <v>1.3200000000000001E-4</v>
      </c>
      <c r="L266" s="4">
        <f t="shared" si="52"/>
        <v>6.5519999999999997E-3</v>
      </c>
      <c r="M266" s="5">
        <f t="shared" si="53"/>
        <v>2.1818307543225881</v>
      </c>
      <c r="N266" s="2">
        <f t="shared" si="54"/>
        <v>6.6558749083338786E-3</v>
      </c>
      <c r="O266">
        <f t="shared" si="55"/>
        <v>11640.276900000001</v>
      </c>
      <c r="P266">
        <f t="shared" ca="1" si="49"/>
        <v>11644</v>
      </c>
      <c r="Q266" t="str">
        <f t="shared" ca="1" si="56"/>
        <v>0010110101111100</v>
      </c>
      <c r="R266">
        <f t="shared" ca="1" si="57"/>
        <v>2.1831833724975587</v>
      </c>
      <c r="S266">
        <f t="shared" ca="1" si="58"/>
        <v>46.198200469970708</v>
      </c>
      <c r="T266" s="1">
        <f t="shared" ca="1" si="60"/>
        <v>4.3491278023555617E-3</v>
      </c>
      <c r="V266" s="4">
        <f t="shared" ca="1" si="59"/>
        <v>0.20180000000000001</v>
      </c>
      <c r="X266" s="2"/>
    </row>
    <row r="267" spans="8:24" x14ac:dyDescent="0.25">
      <c r="H267">
        <v>46.5</v>
      </c>
      <c r="I267">
        <v>2.1772470783103097</v>
      </c>
      <c r="J267" s="4">
        <f t="shared" si="50"/>
        <v>-7.2999999999999999E-5</v>
      </c>
      <c r="K267" s="9">
        <f t="shared" si="51"/>
        <v>1.3300000000000001E-4</v>
      </c>
      <c r="L267" s="4">
        <f t="shared" si="52"/>
        <v>6.5830000000000003E-3</v>
      </c>
      <c r="M267" s="5">
        <f t="shared" si="53"/>
        <v>2.1918063577493738</v>
      </c>
      <c r="N267" s="2">
        <f t="shared" si="54"/>
        <v>6.687012964262687E-3</v>
      </c>
      <c r="O267">
        <f t="shared" si="55"/>
        <v>11693.4977</v>
      </c>
      <c r="P267">
        <f t="shared" ca="1" si="49"/>
        <v>11694</v>
      </c>
      <c r="Q267" t="str">
        <f t="shared" ca="1" si="56"/>
        <v>0010110110101110</v>
      </c>
      <c r="R267">
        <f t="shared" ca="1" si="57"/>
        <v>2.1925580863952638</v>
      </c>
      <c r="S267">
        <f t="shared" ca="1" si="58"/>
        <v>46.310697036743164</v>
      </c>
      <c r="T267" s="1">
        <f t="shared" ca="1" si="60"/>
        <v>4.0710314678889404E-3</v>
      </c>
      <c r="V267" s="4">
        <f t="shared" ca="1" si="59"/>
        <v>0.189303</v>
      </c>
      <c r="X267" s="2"/>
    </row>
    <row r="268" spans="8:24" x14ac:dyDescent="0.25">
      <c r="H268">
        <v>46.6</v>
      </c>
      <c r="I268">
        <v>2.1863961061378467</v>
      </c>
      <c r="J268" s="4">
        <f t="shared" si="50"/>
        <v>-7.2000000000000002E-5</v>
      </c>
      <c r="K268" s="9">
        <f t="shared" si="51"/>
        <v>1.3300000000000001E-4</v>
      </c>
      <c r="L268" s="4">
        <f t="shared" si="52"/>
        <v>6.613E-3</v>
      </c>
      <c r="M268" s="5">
        <f t="shared" si="53"/>
        <v>2.2010814743738814</v>
      </c>
      <c r="N268" s="2">
        <f t="shared" si="54"/>
        <v>6.7167006906061226E-3</v>
      </c>
      <c r="O268">
        <f t="shared" si="55"/>
        <v>11742.981299999999</v>
      </c>
      <c r="P268">
        <f t="shared" ca="1" si="49"/>
        <v>11742</v>
      </c>
      <c r="Q268" t="str">
        <f t="shared" ca="1" si="56"/>
        <v>0010110111011110</v>
      </c>
      <c r="R268">
        <f t="shared" ca="1" si="57"/>
        <v>2.2015578117370604</v>
      </c>
      <c r="S268">
        <f t="shared" ca="1" si="58"/>
        <v>46.418693740844724</v>
      </c>
      <c r="T268" s="1">
        <f t="shared" ca="1" si="60"/>
        <v>3.8906922565510272E-3</v>
      </c>
      <c r="V268" s="4">
        <f t="shared" ca="1" si="59"/>
        <v>0.18130599999999999</v>
      </c>
      <c r="X268" s="2"/>
    </row>
    <row r="269" spans="8:24" x14ac:dyDescent="0.25">
      <c r="H269">
        <v>46.7</v>
      </c>
      <c r="I269">
        <v>2.1955658953902484</v>
      </c>
      <c r="J269" s="4">
        <f t="shared" si="50"/>
        <v>-7.1000000000000005E-5</v>
      </c>
      <c r="K269" s="9">
        <f t="shared" si="51"/>
        <v>1.34E-4</v>
      </c>
      <c r="L269" s="4">
        <f t="shared" si="52"/>
        <v>6.6439999999999997E-3</v>
      </c>
      <c r="M269" s="5">
        <f t="shared" si="53"/>
        <v>2.2103802765959522</v>
      </c>
      <c r="N269" s="2">
        <f t="shared" si="54"/>
        <v>6.7474090560468505E-3</v>
      </c>
      <c r="O269">
        <f t="shared" si="55"/>
        <v>11792.5913</v>
      </c>
      <c r="P269">
        <f t="shared" ca="1" si="49"/>
        <v>11792</v>
      </c>
      <c r="Q269" t="str">
        <f t="shared" ca="1" si="56"/>
        <v>0010111000010000</v>
      </c>
      <c r="R269">
        <f t="shared" ca="1" si="57"/>
        <v>2.2109325256347656</v>
      </c>
      <c r="S269">
        <f t="shared" ca="1" si="58"/>
        <v>46.531190307617194</v>
      </c>
      <c r="T269" s="1">
        <f t="shared" ca="1" si="60"/>
        <v>3.6147685735076745E-3</v>
      </c>
      <c r="V269" s="4">
        <f t="shared" ca="1" si="59"/>
        <v>0.16880999999999999</v>
      </c>
      <c r="X269" s="2"/>
    </row>
    <row r="270" spans="8:24" x14ac:dyDescent="0.25">
      <c r="H270">
        <v>46.8</v>
      </c>
      <c r="I270">
        <v>2.2047563395584504</v>
      </c>
      <c r="J270" s="4">
        <f t="shared" si="50"/>
        <v>-7.1000000000000005E-5</v>
      </c>
      <c r="K270" s="9">
        <f t="shared" si="51"/>
        <v>1.34E-4</v>
      </c>
      <c r="L270" s="4">
        <f t="shared" si="52"/>
        <v>6.6740000000000002E-3</v>
      </c>
      <c r="M270" s="5">
        <f t="shared" si="53"/>
        <v>2.2196992250947329</v>
      </c>
      <c r="N270" s="2">
        <f t="shared" si="54"/>
        <v>6.7775677829665145E-3</v>
      </c>
      <c r="O270">
        <f t="shared" si="55"/>
        <v>11842.308800000001</v>
      </c>
      <c r="P270">
        <f t="shared" ca="1" si="49"/>
        <v>11846</v>
      </c>
      <c r="Q270" t="str">
        <f t="shared" ca="1" si="56"/>
        <v>0010111001000110</v>
      </c>
      <c r="R270">
        <f t="shared" ca="1" si="57"/>
        <v>2.221057216644287</v>
      </c>
      <c r="S270">
        <f t="shared" ca="1" si="58"/>
        <v>46.652686599731446</v>
      </c>
      <c r="T270" s="1">
        <f t="shared" ca="1" si="60"/>
        <v>3.1477222279604963E-3</v>
      </c>
      <c r="V270" s="4">
        <f t="shared" ca="1" si="59"/>
        <v>0.147313</v>
      </c>
      <c r="X270" s="2"/>
    </row>
    <row r="271" spans="8:24" x14ac:dyDescent="0.25">
      <c r="H271">
        <v>46.900000000000006</v>
      </c>
      <c r="I271">
        <v>2.2139673317405957</v>
      </c>
      <c r="J271" s="4">
        <f t="shared" si="50"/>
        <v>-6.9999999999999994E-5</v>
      </c>
      <c r="K271" s="9">
        <f t="shared" si="51"/>
        <v>1.35E-4</v>
      </c>
      <c r="L271" s="4">
        <f t="shared" si="52"/>
        <v>6.705E-3</v>
      </c>
      <c r="M271" s="5">
        <f t="shared" si="53"/>
        <v>2.2290406604791082</v>
      </c>
      <c r="N271" s="2">
        <f t="shared" si="54"/>
        <v>6.8082886871966841E-3</v>
      </c>
      <c r="O271">
        <f t="shared" si="55"/>
        <v>11892.146199999999</v>
      </c>
      <c r="P271">
        <f t="shared" ref="P271:P334" ca="1" si="61">ROUND(O271+$C$47+$C$49+RANDBETWEEN($B$45,$D$45) + 1,0)</f>
        <v>11896</v>
      </c>
      <c r="Q271" t="str">
        <f t="shared" ca="1" si="56"/>
        <v>0010111001111000</v>
      </c>
      <c r="R271">
        <f t="shared" ca="1" si="57"/>
        <v>2.2304319305419922</v>
      </c>
      <c r="S271">
        <f t="shared" ca="1" si="58"/>
        <v>46.76518316650391</v>
      </c>
      <c r="T271" s="1">
        <f t="shared" ca="1" si="60"/>
        <v>2.8745593495969287E-3</v>
      </c>
      <c r="V271" s="4">
        <f t="shared" ca="1" si="59"/>
        <v>0.13481699999999999</v>
      </c>
      <c r="X271" s="2"/>
    </row>
    <row r="272" spans="8:24" x14ac:dyDescent="0.25">
      <c r="H272">
        <v>47</v>
      </c>
      <c r="I272">
        <v>2.2231987647293097</v>
      </c>
      <c r="J272" s="4">
        <f t="shared" si="50"/>
        <v>-6.9999999999999994E-5</v>
      </c>
      <c r="K272" s="9">
        <f t="shared" si="51"/>
        <v>1.35E-4</v>
      </c>
      <c r="L272" s="4">
        <f t="shared" si="52"/>
        <v>6.7349999999999997E-3</v>
      </c>
      <c r="M272" s="5">
        <f t="shared" si="53"/>
        <v>2.2384020116477577</v>
      </c>
      <c r="N272" s="2">
        <f t="shared" si="54"/>
        <v>6.8384559939691633E-3</v>
      </c>
      <c r="O272">
        <f t="shared" si="55"/>
        <v>11942.089900000001</v>
      </c>
      <c r="P272">
        <f t="shared" ca="1" si="61"/>
        <v>11945</v>
      </c>
      <c r="Q272" t="str">
        <f t="shared" ca="1" si="56"/>
        <v>0010111010101001</v>
      </c>
      <c r="R272">
        <f t="shared" ca="1" si="57"/>
        <v>2.2396191501617433</v>
      </c>
      <c r="S272">
        <f t="shared" ca="1" si="58"/>
        <v>46.875429801940918</v>
      </c>
      <c r="T272" s="1">
        <f t="shared" ca="1" si="60"/>
        <v>2.6504297459379214E-3</v>
      </c>
      <c r="V272" s="4">
        <f t="shared" ca="1" si="59"/>
        <v>0.12457</v>
      </c>
      <c r="X272" s="2"/>
    </row>
    <row r="273" spans="8:24" x14ac:dyDescent="0.25">
      <c r="H273">
        <v>47.1</v>
      </c>
      <c r="I273">
        <v>2.2324505313171921</v>
      </c>
      <c r="J273" s="4">
        <f t="shared" si="50"/>
        <v>-6.8999999999999997E-5</v>
      </c>
      <c r="K273" s="9">
        <f t="shared" si="51"/>
        <v>1.36E-4</v>
      </c>
      <c r="L273" s="4">
        <f t="shared" si="52"/>
        <v>6.7660000000000003E-3</v>
      </c>
      <c r="M273" s="5">
        <f t="shared" si="53"/>
        <v>2.2477856566420322</v>
      </c>
      <c r="N273" s="2">
        <f t="shared" si="54"/>
        <v>6.8691893100055025E-3</v>
      </c>
      <c r="O273">
        <f t="shared" si="55"/>
        <v>11992.152599999999</v>
      </c>
      <c r="P273">
        <f t="shared" ca="1" si="61"/>
        <v>11992</v>
      </c>
      <c r="Q273" t="str">
        <f t="shared" ca="1" si="56"/>
        <v>0010111011011000</v>
      </c>
      <c r="R273">
        <f t="shared" ca="1" si="57"/>
        <v>2.2484313812255858</v>
      </c>
      <c r="S273">
        <f t="shared" ca="1" si="58"/>
        <v>46.981176574707028</v>
      </c>
      <c r="T273" s="1">
        <f t="shared" ca="1" si="60"/>
        <v>2.5227903459229973E-3</v>
      </c>
      <c r="V273" s="4">
        <f t="shared" ca="1" si="59"/>
        <v>0.118823</v>
      </c>
      <c r="X273" s="2"/>
    </row>
    <row r="274" spans="8:24" x14ac:dyDescent="0.25">
      <c r="H274">
        <v>47.2</v>
      </c>
      <c r="I274">
        <v>2.2417225241077428</v>
      </c>
      <c r="J274" s="4">
        <f t="shared" si="50"/>
        <v>-6.8999999999999997E-5</v>
      </c>
      <c r="K274" s="9">
        <f t="shared" si="51"/>
        <v>1.36E-4</v>
      </c>
      <c r="L274" s="4">
        <f t="shared" si="52"/>
        <v>6.796E-3</v>
      </c>
      <c r="M274" s="5">
        <f t="shared" si="53"/>
        <v>2.2571889862905734</v>
      </c>
      <c r="N274" s="2">
        <f t="shared" si="54"/>
        <v>6.8993651161116214E-3</v>
      </c>
      <c r="O274">
        <f t="shared" si="55"/>
        <v>12042.320299999999</v>
      </c>
      <c r="P274">
        <f t="shared" ca="1" si="61"/>
        <v>12047</v>
      </c>
      <c r="Q274" t="str">
        <f t="shared" ca="1" si="56"/>
        <v>0010111100001111</v>
      </c>
      <c r="R274">
        <f t="shared" ca="1" si="57"/>
        <v>2.2587435665130617</v>
      </c>
      <c r="S274">
        <f t="shared" ca="1" si="58"/>
        <v>47.104922798156743</v>
      </c>
      <c r="T274" s="1">
        <f t="shared" ca="1" si="60"/>
        <v>2.0143474966792412E-3</v>
      </c>
      <c r="V274" s="4">
        <f t="shared" ca="1" si="59"/>
        <v>9.5076999999999995E-2</v>
      </c>
      <c r="X274" s="2"/>
    </row>
    <row r="275" spans="8:24" x14ac:dyDescent="0.25">
      <c r="H275">
        <v>47.3</v>
      </c>
      <c r="I275">
        <v>2.2503104760198176</v>
      </c>
      <c r="J275" s="4">
        <f t="shared" si="50"/>
        <v>-6.7999999999999999E-5</v>
      </c>
      <c r="K275" s="9">
        <f t="shared" si="51"/>
        <v>1.37E-4</v>
      </c>
      <c r="L275" s="4">
        <f t="shared" si="52"/>
        <v>6.8269999999999997E-3</v>
      </c>
      <c r="M275" s="5">
        <f t="shared" si="53"/>
        <v>2.2659054163311105</v>
      </c>
      <c r="N275" s="2">
        <f t="shared" si="54"/>
        <v>6.9301282989519351E-3</v>
      </c>
      <c r="O275">
        <f t="shared" si="55"/>
        <v>12088.8233</v>
      </c>
      <c r="P275">
        <f t="shared" ca="1" si="61"/>
        <v>12091</v>
      </c>
      <c r="Q275" t="str">
        <f t="shared" ca="1" si="56"/>
        <v>0010111100111011</v>
      </c>
      <c r="R275">
        <f t="shared" ca="1" si="57"/>
        <v>2.2669933147430421</v>
      </c>
      <c r="S275">
        <f t="shared" ca="1" si="58"/>
        <v>47.203919776916507</v>
      </c>
      <c r="T275" s="1">
        <f t="shared" ca="1" si="60"/>
        <v>2.0312943569448217E-3</v>
      </c>
      <c r="V275" s="4">
        <f t="shared" ca="1" si="59"/>
        <v>9.6079999999999999E-2</v>
      </c>
      <c r="X275" s="2"/>
    </row>
    <row r="276" spans="8:24" x14ac:dyDescent="0.25">
      <c r="H276">
        <v>47.400000000000006</v>
      </c>
      <c r="I276">
        <v>2.259623707194633</v>
      </c>
      <c r="J276" s="4">
        <f t="shared" si="50"/>
        <v>-6.7000000000000002E-5</v>
      </c>
      <c r="K276" s="9">
        <f t="shared" si="51"/>
        <v>1.37E-4</v>
      </c>
      <c r="L276" s="4">
        <f t="shared" si="52"/>
        <v>6.8570000000000002E-3</v>
      </c>
      <c r="M276" s="5">
        <f t="shared" si="53"/>
        <v>2.2753503870929292</v>
      </c>
      <c r="N276" s="2">
        <f t="shared" si="54"/>
        <v>6.9598667460526939E-3</v>
      </c>
      <c r="O276">
        <f t="shared" si="55"/>
        <v>12139.213100000001</v>
      </c>
      <c r="P276">
        <f t="shared" ca="1" si="61"/>
        <v>12141</v>
      </c>
      <c r="Q276" t="str">
        <f t="shared" ca="1" si="56"/>
        <v>0010111101101101</v>
      </c>
      <c r="R276">
        <f t="shared" ca="1" si="57"/>
        <v>2.2763680286407473</v>
      </c>
      <c r="S276">
        <f t="shared" ca="1" si="58"/>
        <v>47.316416343688971</v>
      </c>
      <c r="T276" s="1">
        <f t="shared" ca="1" si="60"/>
        <v>1.7633682766041098E-3</v>
      </c>
      <c r="V276" s="4">
        <f t="shared" ca="1" si="59"/>
        <v>8.3584000000000006E-2</v>
      </c>
      <c r="X276" s="2"/>
    </row>
    <row r="277" spans="8:24" x14ac:dyDescent="0.25">
      <c r="H277">
        <v>47.5</v>
      </c>
      <c r="I277">
        <v>2.2689568410004854</v>
      </c>
      <c r="J277" s="4">
        <f t="shared" si="50"/>
        <v>-6.7000000000000002E-5</v>
      </c>
      <c r="K277" s="9">
        <f t="shared" si="51"/>
        <v>1.3799999999999999E-4</v>
      </c>
      <c r="L277" s="4">
        <f t="shared" si="52"/>
        <v>6.888E-3</v>
      </c>
      <c r="M277" s="5">
        <f t="shared" si="53"/>
        <v>2.2848192766742175</v>
      </c>
      <c r="N277" s="2">
        <f t="shared" si="54"/>
        <v>6.9910698110668161E-3</v>
      </c>
      <c r="O277">
        <f t="shared" si="55"/>
        <v>12189.7305</v>
      </c>
      <c r="P277">
        <f t="shared" ca="1" si="61"/>
        <v>12192</v>
      </c>
      <c r="Q277" t="str">
        <f t="shared" ca="1" si="56"/>
        <v>0010111110100000</v>
      </c>
      <c r="R277">
        <f t="shared" ca="1" si="57"/>
        <v>2.2859302368164065</v>
      </c>
      <c r="S277">
        <f t="shared" ca="1" si="58"/>
        <v>47.431162841796876</v>
      </c>
      <c r="T277" s="1">
        <f t="shared" ca="1" si="60"/>
        <v>1.4492033305920789E-3</v>
      </c>
      <c r="V277" s="4">
        <f t="shared" ca="1" si="59"/>
        <v>6.8836999999999995E-2</v>
      </c>
      <c r="X277" s="2"/>
    </row>
    <row r="278" spans="8:24" x14ac:dyDescent="0.25">
      <c r="H278">
        <v>47.6</v>
      </c>
      <c r="I278">
        <v>2.278309769240674</v>
      </c>
      <c r="J278" s="4">
        <f t="shared" si="50"/>
        <v>-6.6000000000000005E-5</v>
      </c>
      <c r="K278" s="9">
        <f t="shared" si="51"/>
        <v>1.3799999999999999E-4</v>
      </c>
      <c r="L278" s="4">
        <f t="shared" si="52"/>
        <v>6.9179999999999997E-3</v>
      </c>
      <c r="M278" s="5">
        <f t="shared" si="53"/>
        <v>2.2943053725640721</v>
      </c>
      <c r="N278" s="2">
        <f t="shared" si="54"/>
        <v>7.0208202323291634E-3</v>
      </c>
      <c r="O278">
        <f t="shared" si="55"/>
        <v>12240.3398</v>
      </c>
      <c r="P278">
        <f t="shared" ca="1" si="61"/>
        <v>12240</v>
      </c>
      <c r="Q278" t="str">
        <f t="shared" ca="1" si="56"/>
        <v>0010111111010000</v>
      </c>
      <c r="R278">
        <f t="shared" ca="1" si="57"/>
        <v>2.2949299621582031</v>
      </c>
      <c r="S278">
        <f t="shared" ca="1" si="58"/>
        <v>47.539159545898436</v>
      </c>
      <c r="T278" s="1">
        <f t="shared" ca="1" si="60"/>
        <v>1.2781608004530653E-3</v>
      </c>
      <c r="V278" s="4">
        <f t="shared" ca="1" si="59"/>
        <v>6.0839999999999998E-2</v>
      </c>
      <c r="X278" s="2"/>
    </row>
    <row r="279" spans="8:24" x14ac:dyDescent="0.25">
      <c r="H279">
        <v>47.7</v>
      </c>
      <c r="I279">
        <v>2.2883821043860855</v>
      </c>
      <c r="J279" s="4">
        <f t="shared" si="50"/>
        <v>-6.6000000000000005E-5</v>
      </c>
      <c r="K279" s="9">
        <f t="shared" si="51"/>
        <v>1.3899999999999999E-4</v>
      </c>
      <c r="L279" s="4">
        <f t="shared" si="52"/>
        <v>6.9490000000000003E-3</v>
      </c>
      <c r="M279" s="5">
        <f t="shared" si="53"/>
        <v>2.3045198095003032</v>
      </c>
      <c r="N279" s="2">
        <f t="shared" si="54"/>
        <v>7.0520150823094657E-3</v>
      </c>
      <c r="O279">
        <f t="shared" si="55"/>
        <v>12294.834800000001</v>
      </c>
      <c r="P279">
        <f t="shared" ca="1" si="61"/>
        <v>12297</v>
      </c>
      <c r="Q279" t="str">
        <f t="shared" ca="1" si="56"/>
        <v>0011000000001001</v>
      </c>
      <c r="R279">
        <f t="shared" ca="1" si="57"/>
        <v>2.3056171360015871</v>
      </c>
      <c r="S279">
        <f t="shared" ca="1" si="58"/>
        <v>47.667405632019047</v>
      </c>
      <c r="T279" s="1">
        <f t="shared" ca="1" si="60"/>
        <v>6.833200834581865E-4</v>
      </c>
      <c r="V279" s="4">
        <f t="shared" ca="1" si="59"/>
        <v>3.2593999999999998E-2</v>
      </c>
      <c r="X279" s="2"/>
    </row>
    <row r="280" spans="8:24" x14ac:dyDescent="0.25">
      <c r="H280">
        <v>47.8</v>
      </c>
      <c r="I280">
        <v>2.297074574127866</v>
      </c>
      <c r="J280" s="4">
        <f t="shared" si="50"/>
        <v>-6.4999999999999994E-5</v>
      </c>
      <c r="K280" s="9">
        <f t="shared" si="51"/>
        <v>1.3899999999999999E-4</v>
      </c>
      <c r="L280" s="4">
        <f t="shared" si="52"/>
        <v>6.979E-3</v>
      </c>
      <c r="M280" s="5">
        <f t="shared" si="53"/>
        <v>2.3133419830455408</v>
      </c>
      <c r="N280" s="2">
        <f t="shared" si="54"/>
        <v>7.081793991756292E-3</v>
      </c>
      <c r="O280">
        <f t="shared" si="55"/>
        <v>12341.901900000001</v>
      </c>
      <c r="P280">
        <f t="shared" ca="1" si="61"/>
        <v>12344</v>
      </c>
      <c r="Q280" t="str">
        <f t="shared" ca="1" si="56"/>
        <v>0011000000111000</v>
      </c>
      <c r="R280">
        <f t="shared" ca="1" si="57"/>
        <v>2.3144293670654297</v>
      </c>
      <c r="S280">
        <f t="shared" ca="1" si="58"/>
        <v>47.773152404785158</v>
      </c>
      <c r="T280" s="1">
        <f t="shared" ca="1" si="60"/>
        <v>5.6166517185856192E-4</v>
      </c>
      <c r="V280" s="4">
        <f t="shared" ca="1" si="59"/>
        <v>2.6848E-2</v>
      </c>
      <c r="X280" s="2"/>
    </row>
    <row r="281" spans="8:24" x14ac:dyDescent="0.25">
      <c r="H281">
        <v>47.900000000000006</v>
      </c>
      <c r="I281">
        <v>2.306486232941221</v>
      </c>
      <c r="J281" s="4">
        <f t="shared" si="50"/>
        <v>-6.4999999999999994E-5</v>
      </c>
      <c r="K281" s="9">
        <f t="shared" si="51"/>
        <v>1.3999999999999999E-4</v>
      </c>
      <c r="L281" s="4">
        <f t="shared" si="52"/>
        <v>7.0099999999999997E-3</v>
      </c>
      <c r="M281" s="5">
        <f t="shared" si="53"/>
        <v>2.3228923013939933</v>
      </c>
      <c r="N281" s="2">
        <f t="shared" si="54"/>
        <v>7.1130138209632033E-3</v>
      </c>
      <c r="O281">
        <f t="shared" si="55"/>
        <v>12392.853800000001</v>
      </c>
      <c r="P281">
        <f t="shared" ca="1" si="61"/>
        <v>12391</v>
      </c>
      <c r="Q281" t="str">
        <f t="shared" ca="1" si="56"/>
        <v>0011000001100111</v>
      </c>
      <c r="R281">
        <f t="shared" ca="1" si="57"/>
        <v>2.3232415981292727</v>
      </c>
      <c r="S281">
        <f t="shared" ca="1" si="58"/>
        <v>47.878899177551276</v>
      </c>
      <c r="T281" s="1">
        <f t="shared" ca="1" si="60"/>
        <v>4.4051821396096297E-4</v>
      </c>
      <c r="V281" s="4">
        <f t="shared" ca="1" si="59"/>
        <v>2.1101000000000002E-2</v>
      </c>
      <c r="X281" s="2"/>
    </row>
    <row r="282" spans="8:24" x14ac:dyDescent="0.25">
      <c r="H282">
        <v>48</v>
      </c>
      <c r="I282">
        <v>2.31591725124904</v>
      </c>
      <c r="J282" s="4">
        <f t="shared" si="50"/>
        <v>-6.3999999999999997E-5</v>
      </c>
      <c r="K282" s="9">
        <f t="shared" si="51"/>
        <v>1.3999999999999999E-4</v>
      </c>
      <c r="L282" s="4">
        <f t="shared" si="52"/>
        <v>7.0400000000000003E-3</v>
      </c>
      <c r="M282" s="5">
        <f t="shared" si="53"/>
        <v>2.3324593568009186</v>
      </c>
      <c r="N282" s="2">
        <f t="shared" si="54"/>
        <v>7.1427878275689685E-3</v>
      </c>
      <c r="O282">
        <f t="shared" si="55"/>
        <v>12443.894899999999</v>
      </c>
      <c r="P282">
        <f t="shared" ca="1" si="61"/>
        <v>12446</v>
      </c>
      <c r="Q282" t="str">
        <f t="shared" ca="1" si="56"/>
        <v>0011000010011110</v>
      </c>
      <c r="R282">
        <f t="shared" ca="1" si="57"/>
        <v>2.3335537834167481</v>
      </c>
      <c r="S282">
        <f t="shared" ca="1" si="58"/>
        <v>48.002645401000976</v>
      </c>
      <c r="T282" s="1">
        <f t="shared" ca="1" si="60"/>
        <v>5.5112520853661806E-5</v>
      </c>
      <c r="V282" s="4">
        <f t="shared" ca="1" si="59"/>
        <v>2.6450000000000002E-3</v>
      </c>
      <c r="X282" s="2"/>
    </row>
    <row r="283" spans="8:24" x14ac:dyDescent="0.25">
      <c r="H283">
        <v>48.1</v>
      </c>
      <c r="I283">
        <v>2.3246722396842903</v>
      </c>
      <c r="J283" s="4">
        <f t="shared" si="50"/>
        <v>-6.3E-5</v>
      </c>
      <c r="K283" s="9">
        <f t="shared" si="51"/>
        <v>1.4100000000000001E-4</v>
      </c>
      <c r="L283" s="4">
        <f t="shared" si="52"/>
        <v>7.071E-3</v>
      </c>
      <c r="M283" s="5">
        <f t="shared" si="53"/>
        <v>2.3413485048440426</v>
      </c>
      <c r="N283" s="2">
        <f t="shared" si="54"/>
        <v>7.1735984432872418E-3</v>
      </c>
      <c r="O283">
        <f t="shared" si="55"/>
        <v>12491.3194</v>
      </c>
      <c r="P283">
        <f t="shared" ca="1" si="61"/>
        <v>12496</v>
      </c>
      <c r="Q283" t="str">
        <f t="shared" ca="1" si="56"/>
        <v>0011000011010000</v>
      </c>
      <c r="R283">
        <f t="shared" ca="1" si="57"/>
        <v>2.3429284973144533</v>
      </c>
      <c r="S283">
        <f t="shared" ca="1" si="58"/>
        <v>48.115141967773447</v>
      </c>
      <c r="T283" s="1">
        <f t="shared" ca="1" si="60"/>
        <v>3.1480182481175115E-4</v>
      </c>
      <c r="V283" s="4">
        <f t="shared" ca="1" si="59"/>
        <v>1.5141999999999999E-2</v>
      </c>
      <c r="X283" s="2"/>
    </row>
    <row r="284" spans="8:24" x14ac:dyDescent="0.25">
      <c r="H284">
        <v>48.2</v>
      </c>
      <c r="I284">
        <v>2.3334485902345468</v>
      </c>
      <c r="J284" s="4">
        <f t="shared" si="50"/>
        <v>-6.3E-5</v>
      </c>
      <c r="K284" s="9">
        <f t="shared" si="51"/>
        <v>1.4100000000000001E-4</v>
      </c>
      <c r="L284" s="4">
        <f t="shared" si="52"/>
        <v>7.1009999999999997E-3</v>
      </c>
      <c r="M284" s="5">
        <f t="shared" si="53"/>
        <v>2.3502583630122973</v>
      </c>
      <c r="N284" s="2">
        <f t="shared" si="54"/>
        <v>7.2038324941458834E-3</v>
      </c>
      <c r="O284">
        <f t="shared" si="55"/>
        <v>12538.854300000001</v>
      </c>
      <c r="P284">
        <f t="shared" ca="1" si="61"/>
        <v>12539</v>
      </c>
      <c r="Q284" t="str">
        <f t="shared" ca="1" si="56"/>
        <v>0011000011111011</v>
      </c>
      <c r="R284">
        <f t="shared" ca="1" si="57"/>
        <v>2.3509907512664796</v>
      </c>
      <c r="S284">
        <f t="shared" ca="1" si="58"/>
        <v>48.211889015197762</v>
      </c>
      <c r="T284" s="1">
        <f t="shared" ca="1" si="60"/>
        <v>2.4666006634355879E-4</v>
      </c>
      <c r="V284" s="4">
        <f t="shared" ca="1" si="59"/>
        <v>1.1889E-2</v>
      </c>
      <c r="X284" s="2"/>
    </row>
    <row r="285" spans="8:24" x14ac:dyDescent="0.25">
      <c r="H285">
        <v>48.3</v>
      </c>
      <c r="I285">
        <v>2.3429392497454296</v>
      </c>
      <c r="J285" s="4">
        <f t="shared" si="50"/>
        <v>-6.2000000000000003E-5</v>
      </c>
      <c r="K285" s="9">
        <f t="shared" si="51"/>
        <v>1.4200000000000001E-4</v>
      </c>
      <c r="L285" s="4">
        <f t="shared" si="52"/>
        <v>7.1320000000000003E-3</v>
      </c>
      <c r="M285" s="5">
        <f t="shared" si="53"/>
        <v>2.3598895684919139</v>
      </c>
      <c r="N285" s="2">
        <f t="shared" si="54"/>
        <v>7.2346386054721922E-3</v>
      </c>
      <c r="O285">
        <f t="shared" si="55"/>
        <v>12590.2377</v>
      </c>
      <c r="P285">
        <f t="shared" ca="1" si="61"/>
        <v>12592</v>
      </c>
      <c r="Q285" t="str">
        <f t="shared" ca="1" si="56"/>
        <v>0011000100110000</v>
      </c>
      <c r="R285">
        <f t="shared" ca="1" si="57"/>
        <v>2.3609279479980469</v>
      </c>
      <c r="S285">
        <f t="shared" ca="1" si="58"/>
        <v>48.331135375976565</v>
      </c>
      <c r="T285" s="1">
        <f t="shared" ca="1" si="60"/>
        <v>6.4462476141962765E-4</v>
      </c>
      <c r="V285" s="4">
        <f t="shared" ca="1" si="59"/>
        <v>3.1134999999999999E-2</v>
      </c>
      <c r="X285" s="2"/>
    </row>
    <row r="286" spans="8:24" x14ac:dyDescent="0.25">
      <c r="H286">
        <v>48.400000000000006</v>
      </c>
      <c r="I286">
        <v>2.3517568845366155</v>
      </c>
      <c r="J286" s="4">
        <f t="shared" si="50"/>
        <v>-6.2000000000000003E-5</v>
      </c>
      <c r="K286" s="9">
        <f t="shared" si="51"/>
        <v>1.4200000000000001E-4</v>
      </c>
      <c r="L286" s="4">
        <f t="shared" si="52"/>
        <v>7.162E-3</v>
      </c>
      <c r="M286" s="5">
        <f t="shared" si="53"/>
        <v>2.3688421163781155</v>
      </c>
      <c r="N286" s="2">
        <f t="shared" si="54"/>
        <v>7.2648801216824961E-3</v>
      </c>
      <c r="O286">
        <f t="shared" si="55"/>
        <v>12638.000400000001</v>
      </c>
      <c r="P286">
        <f t="shared" ca="1" si="61"/>
        <v>12638</v>
      </c>
      <c r="Q286" t="str">
        <f t="shared" ca="1" si="56"/>
        <v>0011000101011110</v>
      </c>
      <c r="R286">
        <f t="shared" ca="1" si="57"/>
        <v>2.3695526847839354</v>
      </c>
      <c r="S286">
        <f t="shared" ca="1" si="58"/>
        <v>48.434632217407227</v>
      </c>
      <c r="T286" s="1">
        <f t="shared" ca="1" si="60"/>
        <v>7.1554168196738283E-4</v>
      </c>
      <c r="V286" s="4">
        <f t="shared" ca="1" si="59"/>
        <v>3.4632000000000003E-2</v>
      </c>
      <c r="X286" s="2"/>
    </row>
    <row r="287" spans="8:24" x14ac:dyDescent="0.25">
      <c r="H287">
        <v>48.5</v>
      </c>
      <c r="I287">
        <v>2.3612863864071358</v>
      </c>
      <c r="J287" s="4">
        <f t="shared" si="50"/>
        <v>-6.0999999999999999E-5</v>
      </c>
      <c r="K287" s="9">
        <f t="shared" si="51"/>
        <v>1.4300000000000001E-4</v>
      </c>
      <c r="L287" s="4">
        <f t="shared" si="52"/>
        <v>7.1929999999999997E-3</v>
      </c>
      <c r="M287" s="5">
        <f t="shared" si="53"/>
        <v>2.3785136176650004</v>
      </c>
      <c r="N287" s="2">
        <f t="shared" si="54"/>
        <v>7.2956975303944249E-3</v>
      </c>
      <c r="O287">
        <f t="shared" si="55"/>
        <v>12689.5988</v>
      </c>
      <c r="P287">
        <f t="shared" ca="1" si="61"/>
        <v>12692</v>
      </c>
      <c r="Q287" t="str">
        <f t="shared" ca="1" si="56"/>
        <v>0011000110010100</v>
      </c>
      <c r="R287">
        <f t="shared" ca="1" si="57"/>
        <v>2.3796773757934573</v>
      </c>
      <c r="S287">
        <f t="shared" ca="1" si="58"/>
        <v>48.556128509521486</v>
      </c>
      <c r="T287" s="1">
        <f t="shared" ca="1" si="60"/>
        <v>1.1572888561131058E-3</v>
      </c>
      <c r="V287" s="4">
        <f t="shared" ca="1" si="59"/>
        <v>5.6128999999999998E-2</v>
      </c>
      <c r="X287" s="2"/>
    </row>
    <row r="288" spans="8:24" x14ac:dyDescent="0.25">
      <c r="H288">
        <v>48.6</v>
      </c>
      <c r="I288">
        <v>2.3701448653492312</v>
      </c>
      <c r="J288" s="4">
        <f t="shared" si="50"/>
        <v>-6.0999999999999999E-5</v>
      </c>
      <c r="K288" s="9">
        <f t="shared" si="51"/>
        <v>1.4300000000000001E-4</v>
      </c>
      <c r="L288" s="4">
        <f t="shared" si="52"/>
        <v>7.2230000000000003E-3</v>
      </c>
      <c r="M288" s="5">
        <f t="shared" si="53"/>
        <v>2.3875084197309482</v>
      </c>
      <c r="N288" s="2">
        <f t="shared" si="54"/>
        <v>7.3259464581961519E-3</v>
      </c>
      <c r="O288">
        <f t="shared" si="55"/>
        <v>12737.587</v>
      </c>
      <c r="P288">
        <f t="shared" ca="1" si="61"/>
        <v>12736</v>
      </c>
      <c r="Q288" t="str">
        <f t="shared" ca="1" si="56"/>
        <v>0011000111000000</v>
      </c>
      <c r="R288">
        <f t="shared" ca="1" si="57"/>
        <v>2.3879271240234377</v>
      </c>
      <c r="S288">
        <f t="shared" ca="1" si="58"/>
        <v>48.65512548828125</v>
      </c>
      <c r="T288" s="1">
        <f t="shared" ca="1" si="60"/>
        <v>1.1342693061985316E-3</v>
      </c>
      <c r="V288" s="4">
        <f t="shared" ca="1" si="59"/>
        <v>5.5125E-2</v>
      </c>
      <c r="X288" s="2"/>
    </row>
    <row r="289" spans="8:24" x14ac:dyDescent="0.25">
      <c r="H289">
        <v>48.7</v>
      </c>
      <c r="I289">
        <v>2.379712769183842</v>
      </c>
      <c r="J289" s="4">
        <f t="shared" si="50"/>
        <v>-6.0000000000000002E-5</v>
      </c>
      <c r="K289" s="9">
        <f t="shared" si="51"/>
        <v>1.44E-4</v>
      </c>
      <c r="L289" s="4">
        <f t="shared" si="52"/>
        <v>7.254E-3</v>
      </c>
      <c r="M289" s="5">
        <f t="shared" si="53"/>
        <v>2.3972197807413398</v>
      </c>
      <c r="N289" s="2">
        <f t="shared" si="54"/>
        <v>7.3567750630266519E-3</v>
      </c>
      <c r="O289">
        <f t="shared" si="55"/>
        <v>12789.397999999999</v>
      </c>
      <c r="P289">
        <f t="shared" ca="1" si="61"/>
        <v>12792</v>
      </c>
      <c r="Q289" t="str">
        <f t="shared" ca="1" si="56"/>
        <v>0011000111111000</v>
      </c>
      <c r="R289">
        <f t="shared" ca="1" si="57"/>
        <v>2.3984268035888672</v>
      </c>
      <c r="S289">
        <f t="shared" ca="1" si="58"/>
        <v>48.781121643066413</v>
      </c>
      <c r="T289" s="1">
        <f t="shared" ca="1" si="60"/>
        <v>1.6657421574211568E-3</v>
      </c>
      <c r="V289" s="4">
        <f t="shared" ca="1" si="59"/>
        <v>8.1122E-2</v>
      </c>
      <c r="X289" s="2"/>
    </row>
    <row r="290" spans="8:24" x14ac:dyDescent="0.25">
      <c r="H290">
        <v>48.8</v>
      </c>
      <c r="I290">
        <v>2.3886116514739628</v>
      </c>
      <c r="J290" s="4">
        <f t="shared" si="50"/>
        <v>-5.8999999999999998E-5</v>
      </c>
      <c r="K290" s="9">
        <f t="shared" si="51"/>
        <v>1.44E-4</v>
      </c>
      <c r="L290" s="4">
        <f t="shared" si="52"/>
        <v>7.2839999999999997E-3</v>
      </c>
      <c r="M290" s="5">
        <f t="shared" si="53"/>
        <v>2.4062553932866626</v>
      </c>
      <c r="N290" s="2">
        <f t="shared" si="54"/>
        <v>7.3866096239680479E-3</v>
      </c>
      <c r="O290">
        <f t="shared" si="55"/>
        <v>12837.6039</v>
      </c>
      <c r="P290">
        <f t="shared" ca="1" si="61"/>
        <v>12836</v>
      </c>
      <c r="Q290" t="str">
        <f t="shared" ca="1" si="56"/>
        <v>0011001000100100</v>
      </c>
      <c r="R290">
        <f t="shared" ca="1" si="57"/>
        <v>2.4066765518188475</v>
      </c>
      <c r="S290">
        <f t="shared" ca="1" si="58"/>
        <v>48.880118621826178</v>
      </c>
      <c r="T290" s="1">
        <f t="shared" ca="1" si="60"/>
        <v>1.6417750374217307E-3</v>
      </c>
      <c r="V290" s="4">
        <f t="shared" ca="1" si="59"/>
        <v>8.0118999999999996E-2</v>
      </c>
      <c r="X290" s="2"/>
    </row>
    <row r="291" spans="8:24" x14ac:dyDescent="0.25">
      <c r="H291">
        <v>48.900000000000006</v>
      </c>
      <c r="I291">
        <v>2.3982175154368335</v>
      </c>
      <c r="J291" s="4">
        <f t="shared" si="50"/>
        <v>-5.8999999999999998E-5</v>
      </c>
      <c r="K291" s="9">
        <f t="shared" si="51"/>
        <v>1.45E-4</v>
      </c>
      <c r="L291" s="4">
        <f t="shared" si="52"/>
        <v>7.3150000000000003E-3</v>
      </c>
      <c r="M291" s="5">
        <f t="shared" si="53"/>
        <v>2.4160071837157138</v>
      </c>
      <c r="N291" s="2">
        <f t="shared" si="54"/>
        <v>7.4178710497992146E-3</v>
      </c>
      <c r="O291">
        <f t="shared" si="55"/>
        <v>12889.6306</v>
      </c>
      <c r="P291">
        <f t="shared" ca="1" si="61"/>
        <v>12893</v>
      </c>
      <c r="Q291" t="str">
        <f t="shared" ca="1" si="56"/>
        <v>0011001001011101</v>
      </c>
      <c r="R291">
        <f t="shared" ca="1" si="57"/>
        <v>2.4173637256622316</v>
      </c>
      <c r="S291">
        <f t="shared" ca="1" si="58"/>
        <v>49.008364707946782</v>
      </c>
      <c r="T291" s="1">
        <f t="shared" ca="1" si="60"/>
        <v>2.2160471972755961E-3</v>
      </c>
      <c r="V291" s="4">
        <f t="shared" ca="1" si="59"/>
        <v>0.108365</v>
      </c>
      <c r="X291" s="2"/>
    </row>
    <row r="292" spans="8:24" x14ac:dyDescent="0.25">
      <c r="H292">
        <v>49</v>
      </c>
      <c r="I292">
        <v>2.4071563582934883</v>
      </c>
      <c r="J292" s="4">
        <f t="shared" si="50"/>
        <v>-5.8E-5</v>
      </c>
      <c r="K292" s="9">
        <f t="shared" si="51"/>
        <v>1.45E-4</v>
      </c>
      <c r="L292" s="4">
        <f t="shared" si="52"/>
        <v>7.345E-3</v>
      </c>
      <c r="M292" s="5">
        <f t="shared" si="53"/>
        <v>2.4250841755529247</v>
      </c>
      <c r="N292" s="2">
        <f t="shared" si="54"/>
        <v>7.4477161392814501E-3</v>
      </c>
      <c r="O292">
        <f t="shared" si="55"/>
        <v>12938.057199999999</v>
      </c>
      <c r="P292">
        <f t="shared" ca="1" si="61"/>
        <v>12941</v>
      </c>
      <c r="Q292" t="str">
        <f t="shared" ca="1" si="56"/>
        <v>0011001010001101</v>
      </c>
      <c r="R292">
        <f t="shared" ca="1" si="57"/>
        <v>2.4263634510040282</v>
      </c>
      <c r="S292">
        <f t="shared" ca="1" si="58"/>
        <v>49.116361412048342</v>
      </c>
      <c r="T292" s="1">
        <f t="shared" ca="1" si="60"/>
        <v>2.3747226948641143E-3</v>
      </c>
      <c r="V292" s="4">
        <f t="shared" ca="1" si="59"/>
        <v>0.11636100000000001</v>
      </c>
      <c r="X292" s="2"/>
    </row>
    <row r="293" spans="8:24" x14ac:dyDescent="0.25">
      <c r="H293">
        <v>49.1</v>
      </c>
      <c r="I293">
        <v>2.4167997393412795</v>
      </c>
      <c r="J293" s="4">
        <f t="shared" si="50"/>
        <v>-5.8E-5</v>
      </c>
      <c r="K293" s="9">
        <f t="shared" si="51"/>
        <v>1.46E-4</v>
      </c>
      <c r="L293" s="4">
        <f t="shared" si="52"/>
        <v>7.3759999999999997E-3</v>
      </c>
      <c r="M293" s="5">
        <f t="shared" si="53"/>
        <v>2.4348749491582713</v>
      </c>
      <c r="N293" s="2">
        <f t="shared" si="54"/>
        <v>7.4789853386521823E-3</v>
      </c>
      <c r="O293">
        <f t="shared" si="55"/>
        <v>12990.291999999999</v>
      </c>
      <c r="P293">
        <f t="shared" ca="1" si="61"/>
        <v>12991</v>
      </c>
      <c r="Q293" t="str">
        <f t="shared" ca="1" si="56"/>
        <v>0011001010111111</v>
      </c>
      <c r="R293">
        <f t="shared" ca="1" si="57"/>
        <v>2.4357381649017333</v>
      </c>
      <c r="S293">
        <f t="shared" ca="1" si="58"/>
        <v>49.228857978820798</v>
      </c>
      <c r="T293" s="1">
        <f t="shared" ca="1" si="60"/>
        <v>2.624398753987716E-3</v>
      </c>
      <c r="V293" s="4">
        <f t="shared" ca="1" si="59"/>
        <v>0.128858</v>
      </c>
      <c r="X293" s="2"/>
    </row>
    <row r="294" spans="8:24" x14ac:dyDescent="0.25">
      <c r="H294">
        <v>49.2</v>
      </c>
      <c r="I294">
        <v>2.4257780991682862</v>
      </c>
      <c r="J294" s="4">
        <f t="shared" si="50"/>
        <v>-5.7000000000000003E-5</v>
      </c>
      <c r="K294" s="9">
        <f t="shared" si="51"/>
        <v>1.46E-4</v>
      </c>
      <c r="L294" s="4">
        <f t="shared" si="52"/>
        <v>7.4060000000000003E-3</v>
      </c>
      <c r="M294" s="5">
        <f t="shared" si="53"/>
        <v>2.4439928808962037</v>
      </c>
      <c r="N294" s="2">
        <f t="shared" si="54"/>
        <v>7.5088408680755543E-3</v>
      </c>
      <c r="O294">
        <f t="shared" si="55"/>
        <v>13038.937</v>
      </c>
      <c r="P294">
        <f t="shared" ca="1" si="61"/>
        <v>13042</v>
      </c>
      <c r="Q294" t="str">
        <f t="shared" ca="1" si="56"/>
        <v>0011001011110010</v>
      </c>
      <c r="R294">
        <f t="shared" ca="1" si="57"/>
        <v>2.4453003730773926</v>
      </c>
      <c r="S294">
        <f t="shared" ca="1" si="58"/>
        <v>49.343604476928718</v>
      </c>
      <c r="T294" s="1">
        <f t="shared" ca="1" si="60"/>
        <v>2.9187901814779478E-3</v>
      </c>
      <c r="V294" s="4">
        <f t="shared" ca="1" si="59"/>
        <v>0.14360400000000001</v>
      </c>
      <c r="X294" s="2"/>
    </row>
    <row r="295" spans="8:24" x14ac:dyDescent="0.25">
      <c r="H295">
        <v>49.3</v>
      </c>
      <c r="I295">
        <v>2.4347766064763885</v>
      </c>
      <c r="J295" s="4">
        <f t="shared" si="50"/>
        <v>-5.7000000000000003E-5</v>
      </c>
      <c r="K295" s="9">
        <f t="shared" si="51"/>
        <v>1.47E-4</v>
      </c>
      <c r="L295" s="4">
        <f t="shared" si="52"/>
        <v>7.437E-3</v>
      </c>
      <c r="M295" s="5">
        <f t="shared" si="53"/>
        <v>2.4531351411753093</v>
      </c>
      <c r="N295" s="2">
        <f t="shared" si="54"/>
        <v>7.5401310535381247E-3</v>
      </c>
      <c r="O295">
        <f t="shared" si="55"/>
        <v>13087.711799999999</v>
      </c>
      <c r="P295">
        <f t="shared" ca="1" si="61"/>
        <v>13090</v>
      </c>
      <c r="Q295" t="str">
        <f t="shared" ca="1" si="56"/>
        <v>0011001100100010</v>
      </c>
      <c r="R295">
        <f t="shared" ca="1" si="57"/>
        <v>2.4543000984191896</v>
      </c>
      <c r="S295">
        <f t="shared" ca="1" si="58"/>
        <v>49.451601181030277</v>
      </c>
      <c r="T295" s="1">
        <f t="shared" ca="1" si="60"/>
        <v>3.0750746659286001E-3</v>
      </c>
      <c r="V295" s="4">
        <f t="shared" ca="1" si="59"/>
        <v>0.15160100000000001</v>
      </c>
      <c r="X295" s="2"/>
    </row>
    <row r="296" spans="8:24" x14ac:dyDescent="0.25">
      <c r="H296">
        <v>49.400000000000006</v>
      </c>
      <c r="I296">
        <v>2.4444759844036281</v>
      </c>
      <c r="J296" s="4">
        <f t="shared" si="50"/>
        <v>-5.5999999999999999E-5</v>
      </c>
      <c r="K296" s="9">
        <f t="shared" si="51"/>
        <v>1.47E-4</v>
      </c>
      <c r="L296" s="4">
        <f t="shared" si="52"/>
        <v>7.4669999999999997E-3</v>
      </c>
      <c r="M296" s="5">
        <f t="shared" si="53"/>
        <v>2.4629806276643982</v>
      </c>
      <c r="N296" s="2">
        <f t="shared" si="54"/>
        <v>7.5699836606431562E-3</v>
      </c>
      <c r="O296">
        <f t="shared" si="55"/>
        <v>13140.238499999999</v>
      </c>
      <c r="P296">
        <f t="shared" ca="1" si="61"/>
        <v>13144</v>
      </c>
      <c r="Q296" t="str">
        <f t="shared" ca="1" si="56"/>
        <v>0011001101011000</v>
      </c>
      <c r="R296">
        <f t="shared" ca="1" si="57"/>
        <v>2.464424789428711</v>
      </c>
      <c r="S296">
        <f t="shared" ca="1" si="58"/>
        <v>49.573097473144536</v>
      </c>
      <c r="T296" s="1">
        <f t="shared" ca="1" si="60"/>
        <v>3.5039974320755069E-3</v>
      </c>
      <c r="V296" s="4">
        <f t="shared" ca="1" si="59"/>
        <v>0.173097</v>
      </c>
      <c r="X296" s="2"/>
    </row>
    <row r="297" spans="8:24" x14ac:dyDescent="0.25">
      <c r="H297">
        <v>49.5</v>
      </c>
      <c r="I297">
        <v>2.4535133402399043</v>
      </c>
      <c r="J297" s="4">
        <f t="shared" si="50"/>
        <v>-5.5000000000000002E-5</v>
      </c>
      <c r="K297" s="9">
        <f t="shared" si="51"/>
        <v>1.4799999999999999E-4</v>
      </c>
      <c r="L297" s="4">
        <f t="shared" si="52"/>
        <v>7.4980000000000003E-3</v>
      </c>
      <c r="M297" s="5">
        <f t="shared" si="53"/>
        <v>2.472162177361763</v>
      </c>
      <c r="N297" s="2">
        <f t="shared" si="54"/>
        <v>7.6008704807104237E-3</v>
      </c>
      <c r="O297">
        <f t="shared" si="55"/>
        <v>13189.222900000001</v>
      </c>
      <c r="P297">
        <f t="shared" ca="1" si="61"/>
        <v>13194</v>
      </c>
      <c r="Q297" t="str">
        <f t="shared" ca="1" si="56"/>
        <v>0011001110001010</v>
      </c>
      <c r="R297">
        <f t="shared" ca="1" si="57"/>
        <v>2.4737995033264162</v>
      </c>
      <c r="S297">
        <f t="shared" ca="1" si="58"/>
        <v>49.685594039916992</v>
      </c>
      <c r="T297" s="1">
        <f t="shared" ca="1" si="60"/>
        <v>3.7493745437776247E-3</v>
      </c>
      <c r="V297" s="4">
        <f t="shared" ca="1" si="59"/>
        <v>0.18559400000000001</v>
      </c>
      <c r="X297" s="2"/>
    </row>
    <row r="298" spans="8:24" x14ac:dyDescent="0.25">
      <c r="H298">
        <v>49.6</v>
      </c>
      <c r="I298">
        <v>2.4625705087397045</v>
      </c>
      <c r="J298" s="4">
        <f t="shared" si="50"/>
        <v>-5.5000000000000002E-5</v>
      </c>
      <c r="K298" s="9">
        <f t="shared" si="51"/>
        <v>1.4799999999999999E-4</v>
      </c>
      <c r="L298" s="4">
        <f t="shared" si="52"/>
        <v>7.528E-3</v>
      </c>
      <c r="M298" s="5">
        <f t="shared" si="53"/>
        <v>2.4813627710562161</v>
      </c>
      <c r="N298" s="2">
        <f t="shared" si="54"/>
        <v>7.6311570571553121E-3</v>
      </c>
      <c r="O298">
        <f t="shared" si="55"/>
        <v>13238.308999999999</v>
      </c>
      <c r="P298">
        <f t="shared" ca="1" si="61"/>
        <v>13242</v>
      </c>
      <c r="Q298" t="str">
        <f t="shared" ca="1" si="56"/>
        <v>0011001110111010</v>
      </c>
      <c r="R298">
        <f t="shared" ca="1" si="57"/>
        <v>2.4827992286682128</v>
      </c>
      <c r="S298">
        <f t="shared" ca="1" si="58"/>
        <v>49.793590744018552</v>
      </c>
      <c r="T298" s="1">
        <f t="shared" ca="1" si="60"/>
        <v>3.9030391939223839E-3</v>
      </c>
      <c r="V298" s="4">
        <f t="shared" ca="1" si="59"/>
        <v>0.19359100000000001</v>
      </c>
      <c r="X298" s="2"/>
    </row>
    <row r="299" spans="8:24" x14ac:dyDescent="0.25">
      <c r="H299">
        <v>49.7</v>
      </c>
      <c r="I299">
        <v>2.4709698773358166</v>
      </c>
      <c r="J299" s="4">
        <f t="shared" si="50"/>
        <v>-5.3999999999999998E-5</v>
      </c>
      <c r="K299" s="9">
        <f t="shared" si="51"/>
        <v>1.4899999999999999E-4</v>
      </c>
      <c r="L299" s="4">
        <f t="shared" si="52"/>
        <v>7.5589999999999997E-3</v>
      </c>
      <c r="M299" s="5">
        <f t="shared" si="53"/>
        <v>2.4899026127636974</v>
      </c>
      <c r="N299" s="2">
        <f t="shared" si="54"/>
        <v>7.6620664628635274E-3</v>
      </c>
      <c r="O299">
        <f t="shared" si="55"/>
        <v>13283.8698</v>
      </c>
      <c r="P299">
        <f t="shared" ca="1" si="61"/>
        <v>13287</v>
      </c>
      <c r="Q299" t="str">
        <f t="shared" ca="1" si="56"/>
        <v>0011001111100111</v>
      </c>
      <c r="R299">
        <f t="shared" ca="1" si="57"/>
        <v>2.4912364711761477</v>
      </c>
      <c r="S299">
        <f t="shared" ca="1" si="58"/>
        <v>49.894837654113779</v>
      </c>
      <c r="T299" s="1">
        <f t="shared" ca="1" si="60"/>
        <v>3.9202747306594805E-3</v>
      </c>
      <c r="V299" s="4">
        <f t="shared" ca="1" si="59"/>
        <v>0.19483800000000001</v>
      </c>
      <c r="X299" s="2"/>
    </row>
    <row r="300" spans="8:24" x14ac:dyDescent="0.25">
      <c r="H300">
        <v>49.8</v>
      </c>
      <c r="I300">
        <v>2.4807438347216979</v>
      </c>
      <c r="J300" s="4">
        <f t="shared" si="50"/>
        <v>-5.3999999999999998E-5</v>
      </c>
      <c r="K300" s="9">
        <f t="shared" si="51"/>
        <v>1.4899999999999999E-4</v>
      </c>
      <c r="L300" s="4">
        <f t="shared" si="52"/>
        <v>7.5890000000000003E-3</v>
      </c>
      <c r="M300" s="5">
        <f t="shared" si="53"/>
        <v>2.4998265784636584</v>
      </c>
      <c r="N300" s="2">
        <f t="shared" si="54"/>
        <v>7.6923475430510551E-3</v>
      </c>
      <c r="O300">
        <f t="shared" si="55"/>
        <v>13336.8151</v>
      </c>
      <c r="P300">
        <f t="shared" ca="1" si="61"/>
        <v>13341</v>
      </c>
      <c r="Q300" t="str">
        <f t="shared" ca="1" si="56"/>
        <v>0011010000011101</v>
      </c>
      <c r="R300">
        <f t="shared" ca="1" si="57"/>
        <v>2.5013611621856691</v>
      </c>
      <c r="S300">
        <f t="shared" ca="1" si="58"/>
        <v>50.016333946228031</v>
      </c>
      <c r="T300" s="1">
        <f t="shared" ca="1" si="60"/>
        <v>4.3440551451412327E-3</v>
      </c>
      <c r="V300" s="4">
        <f t="shared" ca="1" si="59"/>
        <v>0.216334</v>
      </c>
      <c r="X300" s="2"/>
    </row>
    <row r="301" spans="8:24" x14ac:dyDescent="0.25">
      <c r="H301">
        <v>49.900000000000006</v>
      </c>
      <c r="I301">
        <v>2.4905350477826125</v>
      </c>
      <c r="J301" s="4">
        <f t="shared" si="50"/>
        <v>-5.3000000000000001E-5</v>
      </c>
      <c r="K301" s="9">
        <f t="shared" si="51"/>
        <v>1.4999999999999999E-4</v>
      </c>
      <c r="L301" s="4">
        <f t="shared" si="52"/>
        <v>7.62E-3</v>
      </c>
      <c r="M301" s="5">
        <f t="shared" si="53"/>
        <v>2.5097700536312826</v>
      </c>
      <c r="N301" s="2">
        <f t="shared" si="54"/>
        <v>7.7232423875325616E-3</v>
      </c>
      <c r="O301">
        <f t="shared" si="55"/>
        <v>13389.8645</v>
      </c>
      <c r="P301">
        <f t="shared" ca="1" si="61"/>
        <v>13393</v>
      </c>
      <c r="Q301" t="str">
        <f t="shared" ca="1" si="56"/>
        <v>0011010001010001</v>
      </c>
      <c r="R301">
        <f t="shared" ca="1" si="57"/>
        <v>2.5111108646392823</v>
      </c>
      <c r="S301">
        <f t="shared" ca="1" si="58"/>
        <v>50.133330375671392</v>
      </c>
      <c r="T301" s="1">
        <f t="shared" ca="1" si="60"/>
        <v>4.6759594322923047E-3</v>
      </c>
      <c r="V301" s="4">
        <f t="shared" ca="1" si="59"/>
        <v>0.23333000000000001</v>
      </c>
      <c r="X301" s="2"/>
    </row>
    <row r="302" spans="8:24" x14ac:dyDescent="0.25">
      <c r="H302">
        <v>50</v>
      </c>
      <c r="I302">
        <v>2.4996692336651813</v>
      </c>
      <c r="J302" s="4">
        <f t="shared" si="50"/>
        <v>-5.3000000000000001E-5</v>
      </c>
      <c r="K302" s="9">
        <f t="shared" si="51"/>
        <v>1.4999999999999999E-4</v>
      </c>
      <c r="L302" s="4">
        <f t="shared" si="52"/>
        <v>7.6499999999999997E-3</v>
      </c>
      <c r="M302" s="5">
        <f t="shared" si="53"/>
        <v>2.5190505264928515</v>
      </c>
      <c r="N302" s="2">
        <f t="shared" si="54"/>
        <v>7.7535429754648231E-3</v>
      </c>
      <c r="O302">
        <f t="shared" si="55"/>
        <v>13439.3768</v>
      </c>
      <c r="P302">
        <f t="shared" ca="1" si="61"/>
        <v>13439</v>
      </c>
      <c r="Q302" t="str">
        <f t="shared" ca="1" si="56"/>
        <v>0011010001111111</v>
      </c>
      <c r="R302">
        <f t="shared" ca="1" si="57"/>
        <v>2.5197356014251708</v>
      </c>
      <c r="S302">
        <f t="shared" ca="1" si="58"/>
        <v>50.236827217102054</v>
      </c>
      <c r="T302" s="1">
        <f t="shared" ca="1" si="60"/>
        <v>4.7365443420410713E-3</v>
      </c>
      <c r="V302" s="4">
        <f t="shared" ca="1" si="59"/>
        <v>0.23682700000000001</v>
      </c>
      <c r="X302" s="2"/>
    </row>
    <row r="303" spans="8:24" x14ac:dyDescent="0.25">
      <c r="H303">
        <v>50.1</v>
      </c>
      <c r="I303">
        <v>2.5088226709473807</v>
      </c>
      <c r="J303" s="4">
        <f t="shared" si="50"/>
        <v>-5.1999999999999997E-5</v>
      </c>
      <c r="K303" s="9">
        <f t="shared" si="51"/>
        <v>1.5100000000000001E-4</v>
      </c>
      <c r="L303" s="4">
        <f t="shared" si="52"/>
        <v>7.6810000000000003E-3</v>
      </c>
      <c r="M303" s="5">
        <f t="shared" si="53"/>
        <v>2.5283525010096359</v>
      </c>
      <c r="N303" s="2">
        <f t="shared" si="54"/>
        <v>7.7844601328002335E-3</v>
      </c>
      <c r="O303">
        <f t="shared" si="55"/>
        <v>13489.003699999999</v>
      </c>
      <c r="P303">
        <f t="shared" ca="1" si="61"/>
        <v>13491</v>
      </c>
      <c r="Q303" t="str">
        <f t="shared" ca="1" si="56"/>
        <v>0011010010110011</v>
      </c>
      <c r="R303">
        <f t="shared" ca="1" si="57"/>
        <v>2.5294853038787841</v>
      </c>
      <c r="S303">
        <f t="shared" ca="1" si="58"/>
        <v>50.353823646545408</v>
      </c>
      <c r="T303" s="1">
        <f t="shared" ca="1" si="60"/>
        <v>5.0663402504073102E-3</v>
      </c>
      <c r="V303" s="4">
        <f t="shared" ca="1" si="59"/>
        <v>0.25382399999999999</v>
      </c>
      <c r="X303" s="2"/>
    </row>
    <row r="304" spans="8:24" x14ac:dyDescent="0.25">
      <c r="H304">
        <v>50.2</v>
      </c>
      <c r="I304">
        <v>2.5179952465151674</v>
      </c>
      <c r="J304" s="4">
        <f t="shared" si="50"/>
        <v>-5.1E-5</v>
      </c>
      <c r="K304" s="9">
        <f t="shared" si="51"/>
        <v>1.5100000000000001E-4</v>
      </c>
      <c r="L304" s="4">
        <f t="shared" si="52"/>
        <v>7.711E-3</v>
      </c>
      <c r="M304" s="5">
        <f t="shared" si="53"/>
        <v>2.5376717864222695</v>
      </c>
      <c r="N304" s="2">
        <f t="shared" si="54"/>
        <v>7.8143673759249258E-3</v>
      </c>
      <c r="O304">
        <f t="shared" si="55"/>
        <v>13538.723</v>
      </c>
      <c r="P304">
        <f t="shared" ca="1" si="61"/>
        <v>13539</v>
      </c>
      <c r="Q304" t="str">
        <f t="shared" ca="1" si="56"/>
        <v>0011010011100011</v>
      </c>
      <c r="R304">
        <f t="shared" ca="1" si="57"/>
        <v>2.5384850292205812</v>
      </c>
      <c r="S304">
        <f t="shared" ca="1" si="58"/>
        <v>50.461820350646981</v>
      </c>
      <c r="T304" s="1">
        <f t="shared" ca="1" si="60"/>
        <v>5.2155448336051449E-3</v>
      </c>
      <c r="V304" s="4">
        <f t="shared" ca="1" si="59"/>
        <v>0.26182</v>
      </c>
      <c r="X304" s="2"/>
    </row>
    <row r="305" spans="8:24" x14ac:dyDescent="0.25">
      <c r="H305">
        <v>50.3</v>
      </c>
      <c r="I305">
        <v>2.5271868480983017</v>
      </c>
      <c r="J305" s="4">
        <f t="shared" si="50"/>
        <v>-5.1E-5</v>
      </c>
      <c r="K305" s="9">
        <f t="shared" si="51"/>
        <v>1.5200000000000001E-4</v>
      </c>
      <c r="L305" s="4">
        <f t="shared" si="52"/>
        <v>7.7419999999999998E-3</v>
      </c>
      <c r="M305" s="5">
        <f t="shared" si="53"/>
        <v>2.5470143844265323</v>
      </c>
      <c r="N305" s="2">
        <f t="shared" si="54"/>
        <v>7.8456946478455587E-3</v>
      </c>
      <c r="O305">
        <f t="shared" si="55"/>
        <v>13588.5666</v>
      </c>
      <c r="P305">
        <f t="shared" ca="1" si="61"/>
        <v>13593</v>
      </c>
      <c r="Q305" t="str">
        <f t="shared" ca="1" si="56"/>
        <v>0011010100011001</v>
      </c>
      <c r="R305">
        <f t="shared" ca="1" si="57"/>
        <v>2.5486097202301026</v>
      </c>
      <c r="S305">
        <f t="shared" ca="1" si="58"/>
        <v>50.583316642761233</v>
      </c>
      <c r="T305" s="1">
        <f t="shared" ca="1" si="60"/>
        <v>5.6325376294480214E-3</v>
      </c>
      <c r="V305" s="4">
        <f t="shared" ca="1" si="59"/>
        <v>0.28331699999999999</v>
      </c>
      <c r="X305" s="2"/>
    </row>
    <row r="306" spans="8:24" x14ac:dyDescent="0.25">
      <c r="H306">
        <v>50.400000000000006</v>
      </c>
      <c r="I306">
        <v>2.5363973621317366</v>
      </c>
      <c r="J306" s="4">
        <f t="shared" si="50"/>
        <v>-5.0000000000000002E-5</v>
      </c>
      <c r="K306" s="9">
        <f t="shared" si="51"/>
        <v>1.5200000000000001E-4</v>
      </c>
      <c r="L306" s="4">
        <f t="shared" si="52"/>
        <v>7.7720000000000003E-3</v>
      </c>
      <c r="M306" s="5">
        <f t="shared" si="53"/>
        <v>2.5563730426431595</v>
      </c>
      <c r="N306" s="2">
        <f t="shared" si="54"/>
        <v>7.8756116094656856E-3</v>
      </c>
      <c r="O306">
        <f t="shared" si="55"/>
        <v>13638.495999999999</v>
      </c>
      <c r="P306">
        <f t="shared" ca="1" si="61"/>
        <v>13639</v>
      </c>
      <c r="Q306" t="str">
        <f t="shared" ca="1" si="56"/>
        <v>0011010101000111</v>
      </c>
      <c r="R306">
        <f t="shared" ca="1" si="57"/>
        <v>2.5572344570159911</v>
      </c>
      <c r="S306">
        <f t="shared" ca="1" si="58"/>
        <v>50.686813484191894</v>
      </c>
      <c r="T306" s="1">
        <f t="shared" ca="1" si="60"/>
        <v>5.6907437339660466E-3</v>
      </c>
      <c r="V306" s="4">
        <f t="shared" ca="1" si="59"/>
        <v>0.28681299999999998</v>
      </c>
      <c r="X306" s="2"/>
    </row>
    <row r="307" spans="8:24" x14ac:dyDescent="0.25">
      <c r="H307">
        <v>50.5</v>
      </c>
      <c r="I307">
        <v>2.5456266760688195</v>
      </c>
      <c r="J307" s="4">
        <f t="shared" si="50"/>
        <v>-5.0000000000000002E-5</v>
      </c>
      <c r="K307" s="9">
        <f t="shared" si="51"/>
        <v>1.5300000000000001E-4</v>
      </c>
      <c r="L307" s="4">
        <f t="shared" si="52"/>
        <v>7.803E-3</v>
      </c>
      <c r="M307" s="5">
        <f t="shared" si="53"/>
        <v>2.5657548082637014</v>
      </c>
      <c r="N307" s="2">
        <f t="shared" si="54"/>
        <v>7.90694581578061E-3</v>
      </c>
      <c r="O307">
        <f t="shared" si="55"/>
        <v>13688.5486</v>
      </c>
      <c r="P307">
        <f t="shared" ca="1" si="61"/>
        <v>13689</v>
      </c>
      <c r="Q307" t="str">
        <f t="shared" ca="1" si="56"/>
        <v>0011010101111001</v>
      </c>
      <c r="R307">
        <f t="shared" ca="1" si="57"/>
        <v>2.5666091709136962</v>
      </c>
      <c r="S307">
        <f t="shared" ca="1" si="58"/>
        <v>50.799310050964358</v>
      </c>
      <c r="T307" s="1">
        <f t="shared" ca="1" si="60"/>
        <v>5.9269317022645198E-3</v>
      </c>
      <c r="V307" s="4">
        <f t="shared" ca="1" si="59"/>
        <v>0.29931000000000002</v>
      </c>
      <c r="X307" s="2"/>
    </row>
    <row r="308" spans="8:24" x14ac:dyDescent="0.25">
      <c r="H308">
        <v>50.6</v>
      </c>
      <c r="I308">
        <v>2.5548746766645603</v>
      </c>
      <c r="J308" s="4">
        <f t="shared" si="50"/>
        <v>-4.8999999999999998E-5</v>
      </c>
      <c r="K308" s="9">
        <f t="shared" si="51"/>
        <v>1.5300000000000001E-4</v>
      </c>
      <c r="L308" s="4">
        <f t="shared" si="52"/>
        <v>7.8329999999999997E-3</v>
      </c>
      <c r="M308" s="5">
        <f t="shared" si="53"/>
        <v>2.5751523910294947</v>
      </c>
      <c r="N308" s="2">
        <f t="shared" si="54"/>
        <v>7.9368724228021156E-3</v>
      </c>
      <c r="O308">
        <f t="shared" si="55"/>
        <v>13738.685600000001</v>
      </c>
      <c r="P308">
        <f t="shared" ca="1" si="61"/>
        <v>13743</v>
      </c>
      <c r="Q308" t="str">
        <f t="shared" ca="1" si="56"/>
        <v>0011010110101111</v>
      </c>
      <c r="R308">
        <f t="shared" ca="1" si="57"/>
        <v>2.5767338619232176</v>
      </c>
      <c r="S308">
        <f t="shared" ca="1" si="58"/>
        <v>50.92080634307861</v>
      </c>
      <c r="T308" s="1">
        <f t="shared" ca="1" si="60"/>
        <v>6.3400463059013505E-3</v>
      </c>
      <c r="V308" s="4">
        <f t="shared" ca="1" si="59"/>
        <v>0.32080599999999998</v>
      </c>
      <c r="X308" s="2"/>
    </row>
    <row r="309" spans="8:24" x14ac:dyDescent="0.25">
      <c r="H309">
        <v>50.7</v>
      </c>
      <c r="I309">
        <v>2.5641412499174652</v>
      </c>
      <c r="J309" s="4">
        <f t="shared" si="50"/>
        <v>-4.8000000000000001E-5</v>
      </c>
      <c r="K309" s="9">
        <f t="shared" si="51"/>
        <v>1.54E-4</v>
      </c>
      <c r="L309" s="4">
        <f t="shared" si="52"/>
        <v>7.8639999999999995E-3</v>
      </c>
      <c r="M309" s="5">
        <f t="shared" si="53"/>
        <v>2.5845718669672961</v>
      </c>
      <c r="N309" s="2">
        <f t="shared" si="54"/>
        <v>7.9678204351997291E-3</v>
      </c>
      <c r="O309">
        <f t="shared" si="55"/>
        <v>13788.939399999999</v>
      </c>
      <c r="P309">
        <f t="shared" ca="1" si="61"/>
        <v>13788</v>
      </c>
      <c r="Q309" t="str">
        <f t="shared" ca="1" si="56"/>
        <v>0011010111011100</v>
      </c>
      <c r="R309">
        <f t="shared" ca="1" si="57"/>
        <v>2.5851711044311525</v>
      </c>
      <c r="S309">
        <f t="shared" ca="1" si="58"/>
        <v>51.022053253173837</v>
      </c>
      <c r="T309" s="1">
        <f t="shared" ca="1" si="60"/>
        <v>6.3521351710815431E-3</v>
      </c>
      <c r="V309" s="4">
        <f t="shared" ca="1" si="59"/>
        <v>0.32205299999999998</v>
      </c>
      <c r="X309" s="2"/>
    </row>
    <row r="310" spans="8:24" x14ac:dyDescent="0.25">
      <c r="H310">
        <v>50.8</v>
      </c>
      <c r="I310">
        <v>2.573426282931714</v>
      </c>
      <c r="J310" s="4">
        <f t="shared" si="50"/>
        <v>-4.8000000000000001E-5</v>
      </c>
      <c r="K310" s="9">
        <f t="shared" si="51"/>
        <v>1.54E-4</v>
      </c>
      <c r="L310" s="4">
        <f t="shared" si="52"/>
        <v>7.894E-3</v>
      </c>
      <c r="M310" s="5">
        <f t="shared" si="53"/>
        <v>2.5940089315856514</v>
      </c>
      <c r="N310" s="2">
        <f t="shared" si="54"/>
        <v>7.9981497004410172E-3</v>
      </c>
      <c r="O310">
        <f t="shared" si="55"/>
        <v>13839.2871</v>
      </c>
      <c r="P310">
        <f t="shared" ca="1" si="61"/>
        <v>13839</v>
      </c>
      <c r="Q310" t="str">
        <f t="shared" ca="1" si="56"/>
        <v>0011011000001111</v>
      </c>
      <c r="R310">
        <f t="shared" ca="1" si="57"/>
        <v>2.5947333126068117</v>
      </c>
      <c r="S310">
        <f t="shared" ca="1" si="58"/>
        <v>51.136799751281742</v>
      </c>
      <c r="T310" s="1">
        <f t="shared" ca="1" si="60"/>
        <v>6.6299163638138849E-3</v>
      </c>
      <c r="V310" s="4">
        <f t="shared" ca="1" si="59"/>
        <v>0.33679999999999999</v>
      </c>
      <c r="X310" s="2"/>
    </row>
    <row r="311" spans="8:24" x14ac:dyDescent="0.25">
      <c r="H311">
        <v>50.900000000000006</v>
      </c>
      <c r="I311">
        <v>2.5827296620404243</v>
      </c>
      <c r="J311" s="4">
        <f t="shared" si="50"/>
        <v>-4.6999999999999997E-5</v>
      </c>
      <c r="K311" s="9">
        <f t="shared" si="51"/>
        <v>1.55E-4</v>
      </c>
      <c r="L311" s="4">
        <f t="shared" si="52"/>
        <v>7.9249999999999998E-3</v>
      </c>
      <c r="M311" s="5">
        <f t="shared" si="53"/>
        <v>2.6034666757961085</v>
      </c>
      <c r="N311" s="2">
        <f t="shared" si="54"/>
        <v>8.0291073667003027E-3</v>
      </c>
      <c r="O311">
        <f t="shared" si="55"/>
        <v>13889.745000000001</v>
      </c>
      <c r="P311">
        <f t="shared" ca="1" si="61"/>
        <v>13891</v>
      </c>
      <c r="Q311" t="str">
        <f t="shared" ca="1" si="56"/>
        <v>0011011001000011</v>
      </c>
      <c r="R311">
        <f t="shared" ca="1" si="57"/>
        <v>2.604483015060425</v>
      </c>
      <c r="S311">
        <f t="shared" ca="1" si="58"/>
        <v>51.253796180725104</v>
      </c>
      <c r="T311" s="1">
        <f t="shared" ca="1" si="60"/>
        <v>6.9508090515736339E-3</v>
      </c>
      <c r="V311" s="4">
        <f t="shared" ca="1" si="59"/>
        <v>0.353796</v>
      </c>
      <c r="X311" s="2"/>
    </row>
    <row r="312" spans="8:24" x14ac:dyDescent="0.25">
      <c r="H312">
        <v>51</v>
      </c>
      <c r="I312">
        <v>2.5920512736930763</v>
      </c>
      <c r="J312" s="4">
        <f t="shared" si="50"/>
        <v>-4.6999999999999997E-5</v>
      </c>
      <c r="K312" s="9">
        <f t="shared" si="51"/>
        <v>1.55E-4</v>
      </c>
      <c r="L312" s="4">
        <f t="shared" si="52"/>
        <v>7.9550000000000003E-3</v>
      </c>
      <c r="M312" s="5">
        <f t="shared" si="53"/>
        <v>2.6129417640359827</v>
      </c>
      <c r="N312" s="2">
        <f t="shared" si="54"/>
        <v>8.0594433277325628E-3</v>
      </c>
      <c r="O312">
        <f t="shared" si="55"/>
        <v>13940.2955</v>
      </c>
      <c r="P312">
        <f t="shared" ca="1" si="61"/>
        <v>13942</v>
      </c>
      <c r="Q312" t="str">
        <f t="shared" ca="1" si="56"/>
        <v>0011011001110110</v>
      </c>
      <c r="R312">
        <f t="shared" ca="1" si="57"/>
        <v>2.6140452232360842</v>
      </c>
      <c r="S312">
        <f t="shared" ca="1" si="58"/>
        <v>51.368542678833009</v>
      </c>
      <c r="T312" s="1">
        <f t="shared" ca="1" si="60"/>
        <v>7.2263270359413543E-3</v>
      </c>
      <c r="V312" s="4">
        <f t="shared" ca="1" si="59"/>
        <v>0.36854300000000001</v>
      </c>
      <c r="X312" s="2"/>
    </row>
    <row r="313" spans="8:24" x14ac:dyDescent="0.25">
      <c r="H313">
        <v>51.1</v>
      </c>
      <c r="I313">
        <v>2.6013910038590993</v>
      </c>
      <c r="J313" s="4">
        <f t="shared" si="50"/>
        <v>-4.6E-5</v>
      </c>
      <c r="K313" s="9">
        <f t="shared" si="51"/>
        <v>1.56E-4</v>
      </c>
      <c r="L313" s="4">
        <f t="shared" si="52"/>
        <v>7.986E-3</v>
      </c>
      <c r="M313" s="5">
        <f t="shared" si="53"/>
        <v>2.6224373251497455</v>
      </c>
      <c r="N313" s="2">
        <f t="shared" si="54"/>
        <v>8.0904105762741978E-3</v>
      </c>
      <c r="O313">
        <f t="shared" si="55"/>
        <v>13990.9553</v>
      </c>
      <c r="P313">
        <f t="shared" ca="1" si="61"/>
        <v>13995</v>
      </c>
      <c r="Q313" t="str">
        <f t="shared" ca="1" si="56"/>
        <v>0011011010101011</v>
      </c>
      <c r="R313">
        <f t="shared" ca="1" si="57"/>
        <v>2.6239824199676516</v>
      </c>
      <c r="S313">
        <f t="shared" ca="1" si="58"/>
        <v>51.487789039611826</v>
      </c>
      <c r="T313" s="1">
        <f t="shared" ca="1" si="60"/>
        <v>7.5888266068850222E-3</v>
      </c>
      <c r="V313" s="4">
        <f t="shared" ca="1" si="59"/>
        <v>0.38778899999999999</v>
      </c>
      <c r="X313" s="2"/>
    </row>
    <row r="314" spans="8:24" x14ac:dyDescent="0.25">
      <c r="H314">
        <v>51.2</v>
      </c>
      <c r="I314">
        <v>2.6100878909408065</v>
      </c>
      <c r="J314" s="4">
        <f t="shared" si="50"/>
        <v>-4.6E-5</v>
      </c>
      <c r="K314" s="9">
        <f t="shared" si="51"/>
        <v>1.56E-4</v>
      </c>
      <c r="L314" s="4">
        <f t="shared" si="52"/>
        <v>8.0160000000000006E-3</v>
      </c>
      <c r="M314" s="5">
        <f t="shared" si="53"/>
        <v>2.6312837969289897</v>
      </c>
      <c r="N314" s="2">
        <f t="shared" si="54"/>
        <v>8.1207633128948572E-3</v>
      </c>
      <c r="O314">
        <f t="shared" si="55"/>
        <v>14038.152</v>
      </c>
      <c r="P314">
        <f t="shared" ca="1" si="61"/>
        <v>14038</v>
      </c>
      <c r="Q314" t="str">
        <f t="shared" ca="1" si="56"/>
        <v>0011011011010110</v>
      </c>
      <c r="R314">
        <f t="shared" ca="1" si="57"/>
        <v>2.6320446739196779</v>
      </c>
      <c r="S314">
        <f t="shared" ca="1" si="58"/>
        <v>51.584536087036142</v>
      </c>
      <c r="T314" s="1">
        <f t="shared" ca="1" si="60"/>
        <v>7.5104704499245889E-3</v>
      </c>
      <c r="V314" s="4">
        <f t="shared" ca="1" si="59"/>
        <v>0.38453599999999999</v>
      </c>
      <c r="X314" s="2"/>
    </row>
    <row r="315" spans="8:24" x14ac:dyDescent="0.25">
      <c r="H315">
        <v>51.3</v>
      </c>
      <c r="I315">
        <v>2.6188048884487638</v>
      </c>
      <c r="J315" s="4">
        <f t="shared" si="50"/>
        <v>-4.5000000000000003E-5</v>
      </c>
      <c r="K315" s="9">
        <f t="shared" si="51"/>
        <v>1.5699999999999999E-4</v>
      </c>
      <c r="L315" s="4">
        <f t="shared" si="52"/>
        <v>8.0470000000000003E-3</v>
      </c>
      <c r="M315" s="5">
        <f t="shared" si="53"/>
        <v>2.640152730747086</v>
      </c>
      <c r="N315" s="2">
        <f t="shared" si="54"/>
        <v>8.1517498277496707E-3</v>
      </c>
      <c r="O315">
        <f t="shared" si="55"/>
        <v>14085.468699999999</v>
      </c>
      <c r="P315">
        <f t="shared" ca="1" si="61"/>
        <v>14085</v>
      </c>
      <c r="Q315" t="str">
        <f t="shared" ca="1" si="56"/>
        <v>0011011100000101</v>
      </c>
      <c r="R315">
        <f t="shared" ca="1" si="57"/>
        <v>2.6408569049835204</v>
      </c>
      <c r="S315">
        <f t="shared" ca="1" si="58"/>
        <v>51.690282859802252</v>
      </c>
      <c r="T315" s="1">
        <f t="shared" ca="1" si="60"/>
        <v>7.6078530175878204E-3</v>
      </c>
      <c r="V315" s="4">
        <f t="shared" ca="1" si="59"/>
        <v>0.39028299999999999</v>
      </c>
      <c r="X315" s="2"/>
    </row>
    <row r="316" spans="8:24" x14ac:dyDescent="0.25">
      <c r="H316">
        <v>51.400000000000006</v>
      </c>
      <c r="I316">
        <v>2.6282005079667758</v>
      </c>
      <c r="J316" s="4">
        <f t="shared" si="50"/>
        <v>-4.3999999999999999E-5</v>
      </c>
      <c r="K316" s="9">
        <f t="shared" si="51"/>
        <v>1.5699999999999999E-4</v>
      </c>
      <c r="L316" s="4">
        <f t="shared" si="52"/>
        <v>8.0770000000000008E-3</v>
      </c>
      <c r="M316" s="5">
        <f t="shared" si="53"/>
        <v>2.6497036962554312</v>
      </c>
      <c r="N316" s="2">
        <f t="shared" si="54"/>
        <v>8.1817152928300146E-3</v>
      </c>
      <c r="O316">
        <f t="shared" si="55"/>
        <v>14136.424000000001</v>
      </c>
      <c r="P316">
        <f t="shared" ca="1" si="61"/>
        <v>14135</v>
      </c>
      <c r="Q316" t="str">
        <f t="shared" ca="1" si="56"/>
        <v>0011011100110111</v>
      </c>
      <c r="R316">
        <f t="shared" ca="1" si="57"/>
        <v>2.6502316188812256</v>
      </c>
      <c r="S316">
        <f t="shared" ca="1" si="58"/>
        <v>51.802779426574709</v>
      </c>
      <c r="T316" s="1">
        <f t="shared" ca="1" si="60"/>
        <v>7.8361756142938388E-3</v>
      </c>
      <c r="V316" s="4">
        <f t="shared" ca="1" si="59"/>
        <v>0.402779</v>
      </c>
      <c r="X316" s="2"/>
    </row>
    <row r="317" spans="8:24" x14ac:dyDescent="0.25">
      <c r="H317">
        <v>51.5</v>
      </c>
      <c r="I317">
        <v>2.636956271353263</v>
      </c>
      <c r="J317" s="4">
        <f t="shared" si="50"/>
        <v>-4.3999999999999999E-5</v>
      </c>
      <c r="K317" s="9">
        <f t="shared" si="51"/>
        <v>1.5799999999999999E-4</v>
      </c>
      <c r="L317" s="4">
        <f t="shared" si="52"/>
        <v>8.1080000000000006E-3</v>
      </c>
      <c r="M317" s="5">
        <f t="shared" si="53"/>
        <v>2.6586138421211816</v>
      </c>
      <c r="N317" s="2">
        <f t="shared" si="54"/>
        <v>8.2130943934098852E-3</v>
      </c>
      <c r="O317">
        <f t="shared" si="55"/>
        <v>14183.960499999999</v>
      </c>
      <c r="P317">
        <f t="shared" ca="1" si="61"/>
        <v>14186</v>
      </c>
      <c r="Q317" t="str">
        <f t="shared" ca="1" si="56"/>
        <v>0011011101101010</v>
      </c>
      <c r="R317">
        <f t="shared" ca="1" si="57"/>
        <v>2.6597938270568848</v>
      </c>
      <c r="S317">
        <f t="shared" ca="1" si="58"/>
        <v>51.917525924682622</v>
      </c>
      <c r="T317" s="1">
        <f t="shared" ca="1" si="60"/>
        <v>8.1072995084004174E-3</v>
      </c>
      <c r="V317" s="4">
        <f t="shared" ca="1" si="59"/>
        <v>0.41752600000000001</v>
      </c>
      <c r="X317" s="2"/>
    </row>
    <row r="318" spans="8:24" x14ac:dyDescent="0.25">
      <c r="H318">
        <v>51.6</v>
      </c>
      <c r="I318">
        <v>2.6463882089473083</v>
      </c>
      <c r="J318" s="4">
        <f t="shared" si="50"/>
        <v>-4.3000000000000002E-5</v>
      </c>
      <c r="K318" s="9">
        <f t="shared" si="51"/>
        <v>1.5799999999999999E-4</v>
      </c>
      <c r="L318" s="4">
        <f t="shared" si="52"/>
        <v>8.1379999999999994E-3</v>
      </c>
      <c r="M318" s="5">
        <f t="shared" si="53"/>
        <v>2.6682025694535207</v>
      </c>
      <c r="N318" s="2">
        <f t="shared" si="54"/>
        <v>8.2430689618624951E-3</v>
      </c>
      <c r="O318">
        <f t="shared" si="55"/>
        <v>14235.117200000001</v>
      </c>
      <c r="P318">
        <f t="shared" ca="1" si="61"/>
        <v>14237</v>
      </c>
      <c r="Q318" t="str">
        <f t="shared" ca="1" si="56"/>
        <v>0011011110011101</v>
      </c>
      <c r="R318">
        <f t="shared" ca="1" si="57"/>
        <v>2.6693560352325441</v>
      </c>
      <c r="S318">
        <f t="shared" ca="1" si="58"/>
        <v>52.032272422790527</v>
      </c>
      <c r="T318" s="1">
        <f t="shared" ca="1" si="60"/>
        <v>8.3773725347001064E-3</v>
      </c>
      <c r="V318" s="4">
        <f t="shared" ca="1" si="59"/>
        <v>0.43227199999999999</v>
      </c>
      <c r="X318" s="2"/>
    </row>
    <row r="319" spans="8:24" x14ac:dyDescent="0.25">
      <c r="H319">
        <v>51.7</v>
      </c>
      <c r="I319">
        <v>2.655837579387184</v>
      </c>
      <c r="J319" s="4">
        <f t="shared" si="50"/>
        <v>-4.3000000000000002E-5</v>
      </c>
      <c r="K319" s="9">
        <f t="shared" si="51"/>
        <v>1.5899999999999999E-4</v>
      </c>
      <c r="L319" s="4">
        <f t="shared" si="52"/>
        <v>8.1689999999999992E-3</v>
      </c>
      <c r="M319" s="5">
        <f t="shared" si="53"/>
        <v>2.6778131612998424</v>
      </c>
      <c r="N319" s="2">
        <f t="shared" si="54"/>
        <v>8.2744449748049249E-3</v>
      </c>
      <c r="O319">
        <f t="shared" si="55"/>
        <v>14286.3907</v>
      </c>
      <c r="P319">
        <f t="shared" ca="1" si="61"/>
        <v>14290</v>
      </c>
      <c r="Q319" t="str">
        <f t="shared" ca="1" si="56"/>
        <v>0011011111010010</v>
      </c>
      <c r="R319">
        <f t="shared" ca="1" si="57"/>
        <v>2.6792932319641114</v>
      </c>
      <c r="S319">
        <f t="shared" ca="1" si="58"/>
        <v>52.151518783569344</v>
      </c>
      <c r="T319" s="1">
        <f t="shared" ca="1" si="60"/>
        <v>8.7334387537590149E-3</v>
      </c>
      <c r="V319" s="4">
        <f t="shared" ca="1" si="59"/>
        <v>0.451519</v>
      </c>
      <c r="X319" s="2"/>
    </row>
    <row r="320" spans="8:24" x14ac:dyDescent="0.25">
      <c r="H320">
        <v>51.8</v>
      </c>
      <c r="I320">
        <v>2.6653042687150386</v>
      </c>
      <c r="J320" s="4">
        <f t="shared" si="50"/>
        <v>-4.1999999999999998E-5</v>
      </c>
      <c r="K320" s="9">
        <f t="shared" si="51"/>
        <v>1.5899999999999999E-4</v>
      </c>
      <c r="L320" s="4">
        <f t="shared" si="52"/>
        <v>8.1989999999999997E-3</v>
      </c>
      <c r="M320" s="5">
        <f t="shared" si="53"/>
        <v>2.6874380981396859</v>
      </c>
      <c r="N320" s="2">
        <f t="shared" si="54"/>
        <v>8.3044287605175508E-3</v>
      </c>
      <c r="O320">
        <f t="shared" si="55"/>
        <v>14337.740599999999</v>
      </c>
      <c r="P320">
        <f t="shared" ca="1" si="61"/>
        <v>14341</v>
      </c>
      <c r="Q320" t="str">
        <f t="shared" ca="1" si="56"/>
        <v>0011100000000101</v>
      </c>
      <c r="R320">
        <f t="shared" ca="1" si="57"/>
        <v>2.6888554401397706</v>
      </c>
      <c r="S320">
        <f t="shared" ca="1" si="58"/>
        <v>52.266265281677249</v>
      </c>
      <c r="T320" s="1">
        <f t="shared" ca="1" si="60"/>
        <v>9.0012602640396171E-3</v>
      </c>
      <c r="V320" s="4">
        <f t="shared" ca="1" si="59"/>
        <v>0.46626499999999999</v>
      </c>
      <c r="X320" s="2"/>
    </row>
    <row r="321" spans="8:24" x14ac:dyDescent="0.25">
      <c r="H321">
        <v>51.900000000000006</v>
      </c>
      <c r="I321">
        <v>2.6747881623183503</v>
      </c>
      <c r="J321" s="4">
        <f t="shared" si="50"/>
        <v>-4.1999999999999998E-5</v>
      </c>
      <c r="K321" s="9">
        <f t="shared" si="51"/>
        <v>1.6000000000000001E-4</v>
      </c>
      <c r="L321" s="4">
        <f t="shared" si="52"/>
        <v>8.2299999999999995E-3</v>
      </c>
      <c r="M321" s="5">
        <f t="shared" si="53"/>
        <v>2.6970846919934566</v>
      </c>
      <c r="N321" s="2">
        <f t="shared" si="54"/>
        <v>8.3358114071287737E-3</v>
      </c>
      <c r="O321">
        <f t="shared" si="55"/>
        <v>14389.206099999999</v>
      </c>
      <c r="P321">
        <f t="shared" ca="1" si="61"/>
        <v>14388</v>
      </c>
      <c r="Q321" t="str">
        <f t="shared" ca="1" si="56"/>
        <v>0011100000110100</v>
      </c>
      <c r="R321">
        <f t="shared" ca="1" si="57"/>
        <v>2.6976676712036132</v>
      </c>
      <c r="S321">
        <f t="shared" ca="1" si="58"/>
        <v>52.37201205444336</v>
      </c>
      <c r="T321" s="1">
        <f t="shared" ca="1" si="60"/>
        <v>9.0946445942842787E-3</v>
      </c>
      <c r="V321" s="4">
        <f t="shared" ca="1" si="59"/>
        <v>0.47201199999999999</v>
      </c>
      <c r="X321" s="2"/>
    </row>
    <row r="322" spans="8:24" x14ac:dyDescent="0.25">
      <c r="H322">
        <v>52</v>
      </c>
      <c r="I322">
        <v>2.6842891452353994</v>
      </c>
      <c r="J322" s="4">
        <f t="shared" si="50"/>
        <v>-4.1E-5</v>
      </c>
      <c r="K322" s="9">
        <f t="shared" si="51"/>
        <v>1.6000000000000001E-4</v>
      </c>
      <c r="L322" s="4">
        <f t="shared" si="52"/>
        <v>8.26E-3</v>
      </c>
      <c r="M322" s="5">
        <f t="shared" si="53"/>
        <v>2.7067453830191375</v>
      </c>
      <c r="N322" s="2">
        <f t="shared" si="54"/>
        <v>8.3658043410106478E-3</v>
      </c>
      <c r="O322">
        <f t="shared" si="55"/>
        <v>14440.7469</v>
      </c>
      <c r="P322">
        <f t="shared" ca="1" si="61"/>
        <v>14443</v>
      </c>
      <c r="Q322" t="str">
        <f t="shared" ca="1" si="56"/>
        <v>0011100001101011</v>
      </c>
      <c r="R322">
        <f t="shared" ca="1" si="57"/>
        <v>2.7079798564910891</v>
      </c>
      <c r="S322">
        <f t="shared" ca="1" si="58"/>
        <v>52.495758277893067</v>
      </c>
      <c r="T322" s="1">
        <f t="shared" ca="1" si="60"/>
        <v>9.5338130364051379E-3</v>
      </c>
      <c r="V322" s="4">
        <f t="shared" ca="1" si="59"/>
        <v>0.49575799999999998</v>
      </c>
      <c r="X322" s="2"/>
    </row>
    <row r="323" spans="8:24" x14ac:dyDescent="0.25">
      <c r="H323">
        <v>52.1</v>
      </c>
      <c r="I323">
        <v>2.6931562313198816</v>
      </c>
      <c r="J323" s="4">
        <f t="shared" ref="J323:J386" si="62">ROUND(H323*0.00000575 -0.00034,6)</f>
        <v>-4.0000000000000003E-5</v>
      </c>
      <c r="K323" s="9">
        <f t="shared" ref="K323:K386" si="63">ROUND(H323*0.000005-0.0001,6)</f>
        <v>1.6100000000000001E-4</v>
      </c>
      <c r="L323" s="4">
        <f t="shared" ref="L323:L386" si="64">ROUND(K323+($C$24*(H323-25)),6)</f>
        <v>8.2909999999999998E-3</v>
      </c>
      <c r="M323" s="5">
        <f t="shared" ref="M323:M386" si="65">(I323-J323)/(1-L323)+$C$26+$D$27</f>
        <v>2.7157702011798639</v>
      </c>
      <c r="N323" s="2">
        <f t="shared" ref="N323:N386" si="66">ABS(I323-M323)/I323</f>
        <v>8.3968280774039984E-3</v>
      </c>
      <c r="O323">
        <f t="shared" ref="O323:O386" si="67">ROUND((M323*(2^($C$12-1)))/$C$44,4)</f>
        <v>14488.8951</v>
      </c>
      <c r="P323">
        <f t="shared" ca="1" si="61"/>
        <v>14490</v>
      </c>
      <c r="Q323" t="str">
        <f t="shared" ref="Q323:Q386" ca="1" si="68">_xlfn.BASE(P323,2,16)</f>
        <v>0011100010011010</v>
      </c>
      <c r="R323">
        <f t="shared" ref="R323:R386" ca="1" si="69">($C$16/2^($C$12-1)) * P323</f>
        <v>2.7167920875549316</v>
      </c>
      <c r="S323">
        <f t="shared" ref="S323:S386" ca="1" si="70">(R323+5/3)/(1/12)</f>
        <v>52.601505050659178</v>
      </c>
      <c r="T323" s="1">
        <f t="shared" ca="1" si="60"/>
        <v>9.6258167113085647E-3</v>
      </c>
      <c r="V323" s="4">
        <f t="shared" ref="V323:V386" ca="1" si="71">ROUND(ABS(H323-S323),6)</f>
        <v>0.50150499999999998</v>
      </c>
      <c r="X323" s="2"/>
    </row>
    <row r="324" spans="8:24" x14ac:dyDescent="0.25">
      <c r="H324">
        <v>52.2</v>
      </c>
      <c r="I324">
        <v>2.7026921561478252</v>
      </c>
      <c r="J324" s="4">
        <f t="shared" si="62"/>
        <v>-4.0000000000000003E-5</v>
      </c>
      <c r="K324" s="9">
        <f t="shared" si="63"/>
        <v>1.6100000000000001E-4</v>
      </c>
      <c r="L324" s="4">
        <f t="shared" si="64"/>
        <v>8.3210000000000003E-3</v>
      </c>
      <c r="M324" s="5">
        <f t="shared" si="65"/>
        <v>2.7254682952143034</v>
      </c>
      <c r="N324" s="2">
        <f t="shared" si="66"/>
        <v>8.4272043394469694E-3</v>
      </c>
      <c r="O324">
        <f t="shared" si="67"/>
        <v>14540.635399999999</v>
      </c>
      <c r="P324">
        <f t="shared" ca="1" si="61"/>
        <v>14541</v>
      </c>
      <c r="Q324" t="str">
        <f t="shared" ca="1" si="68"/>
        <v>0011100011001101</v>
      </c>
      <c r="R324">
        <f t="shared" ca="1" si="69"/>
        <v>2.7263542957305908</v>
      </c>
      <c r="S324">
        <f t="shared" ca="1" si="70"/>
        <v>52.716251548767097</v>
      </c>
      <c r="T324" s="1">
        <f t="shared" ref="T324:T387" ca="1" si="72">ABS(H324-S324)/H324</f>
        <v>9.8898764131627286E-3</v>
      </c>
      <c r="V324" s="4">
        <f t="shared" ca="1" si="71"/>
        <v>0.51625200000000004</v>
      </c>
      <c r="X324" s="2"/>
    </row>
    <row r="325" spans="8:24" x14ac:dyDescent="0.25">
      <c r="H325">
        <v>52.300000000000004</v>
      </c>
      <c r="I325">
        <v>2.7115961685782035</v>
      </c>
      <c r="J325" s="4">
        <f t="shared" si="62"/>
        <v>-3.8999999999999999E-5</v>
      </c>
      <c r="K325" s="9">
        <f t="shared" si="63"/>
        <v>1.6200000000000001E-4</v>
      </c>
      <c r="L325" s="4">
        <f t="shared" si="64"/>
        <v>8.352E-3</v>
      </c>
      <c r="M325" s="5">
        <f t="shared" si="65"/>
        <v>2.7345314911765102</v>
      </c>
      <c r="N325" s="2">
        <f t="shared" si="66"/>
        <v>8.4582368363252825E-3</v>
      </c>
      <c r="O325">
        <f t="shared" si="67"/>
        <v>14588.9884</v>
      </c>
      <c r="P325">
        <f t="shared" ca="1" si="61"/>
        <v>14589</v>
      </c>
      <c r="Q325" t="str">
        <f t="shared" ca="1" si="68"/>
        <v>0011100011111101</v>
      </c>
      <c r="R325">
        <f t="shared" ca="1" si="69"/>
        <v>2.7353540210723879</v>
      </c>
      <c r="S325">
        <f t="shared" ca="1" si="70"/>
        <v>52.824248252868657</v>
      </c>
      <c r="T325" s="1">
        <f t="shared" ca="1" si="72"/>
        <v>1.0023867167660655E-2</v>
      </c>
      <c r="V325" s="4">
        <f t="shared" ca="1" si="71"/>
        <v>0.52424800000000005</v>
      </c>
      <c r="X325" s="2"/>
    </row>
    <row r="326" spans="8:24" x14ac:dyDescent="0.25">
      <c r="H326">
        <v>52.4</v>
      </c>
      <c r="I326">
        <v>2.7205190244120341</v>
      </c>
      <c r="J326" s="4">
        <f t="shared" si="62"/>
        <v>-3.8999999999999999E-5</v>
      </c>
      <c r="K326" s="9">
        <f t="shared" si="63"/>
        <v>1.6200000000000001E-4</v>
      </c>
      <c r="L326" s="4">
        <f t="shared" si="64"/>
        <v>8.3820000000000006E-3</v>
      </c>
      <c r="M326" s="5">
        <f t="shared" si="65"/>
        <v>2.7436124982160814</v>
      </c>
      <c r="N326" s="2">
        <f t="shared" si="66"/>
        <v>8.4886279407799334E-3</v>
      </c>
      <c r="O326">
        <f t="shared" si="67"/>
        <v>14637.4365</v>
      </c>
      <c r="P326">
        <f t="shared" ca="1" si="61"/>
        <v>14640</v>
      </c>
      <c r="Q326" t="str">
        <f t="shared" ca="1" si="68"/>
        <v>0011100100110000</v>
      </c>
      <c r="R326">
        <f t="shared" ca="1" si="69"/>
        <v>2.7449162292480471</v>
      </c>
      <c r="S326">
        <f t="shared" ca="1" si="70"/>
        <v>52.938994750976569</v>
      </c>
      <c r="T326" s="1">
        <f t="shared" ca="1" si="72"/>
        <v>1.028615936978188E-2</v>
      </c>
      <c r="V326" s="4">
        <f t="shared" ca="1" si="71"/>
        <v>0.538995</v>
      </c>
      <c r="X326" s="2"/>
    </row>
    <row r="327" spans="8:24" x14ac:dyDescent="0.25">
      <c r="H327">
        <v>52.5</v>
      </c>
      <c r="I327">
        <v>2.7301070507917444</v>
      </c>
      <c r="J327" s="4">
        <f t="shared" si="62"/>
        <v>-3.8000000000000002E-5</v>
      </c>
      <c r="K327" s="9">
        <f t="shared" si="63"/>
        <v>1.63E-4</v>
      </c>
      <c r="L327" s="4">
        <f t="shared" si="64"/>
        <v>8.4130000000000003E-3</v>
      </c>
      <c r="M327" s="5">
        <f t="shared" si="65"/>
        <v>2.7533666363493516</v>
      </c>
      <c r="N327" s="2">
        <f t="shared" si="66"/>
        <v>8.5196606304730124E-3</v>
      </c>
      <c r="O327">
        <f t="shared" si="67"/>
        <v>14689.475700000001</v>
      </c>
      <c r="P327">
        <f t="shared" ca="1" si="61"/>
        <v>14688</v>
      </c>
      <c r="Q327" t="str">
        <f t="shared" ca="1" si="68"/>
        <v>0011100101100000</v>
      </c>
      <c r="R327">
        <f t="shared" ca="1" si="69"/>
        <v>2.7539159545898437</v>
      </c>
      <c r="S327">
        <f t="shared" ca="1" si="70"/>
        <v>53.046991455078128</v>
      </c>
      <c r="T327" s="1">
        <f t="shared" ca="1" si="72"/>
        <v>1.0418884858631015E-2</v>
      </c>
      <c r="V327" s="4">
        <f t="shared" ca="1" si="71"/>
        <v>0.546991</v>
      </c>
      <c r="X327" s="2"/>
    </row>
    <row r="328" spans="8:24" x14ac:dyDescent="0.25">
      <c r="H328">
        <v>52.6</v>
      </c>
      <c r="I328">
        <v>2.7390661397242164</v>
      </c>
      <c r="J328" s="4">
        <f t="shared" si="62"/>
        <v>-3.8000000000000002E-5</v>
      </c>
      <c r="K328" s="9">
        <f t="shared" si="63"/>
        <v>1.63E-4</v>
      </c>
      <c r="L328" s="4">
        <f t="shared" si="64"/>
        <v>8.4430000000000009E-3</v>
      </c>
      <c r="M328" s="5">
        <f t="shared" si="65"/>
        <v>2.7624853135323701</v>
      </c>
      <c r="N328" s="2">
        <f t="shared" si="66"/>
        <v>8.5500577983530154E-3</v>
      </c>
      <c r="O328">
        <f t="shared" si="67"/>
        <v>14738.1248</v>
      </c>
      <c r="P328">
        <f t="shared" ca="1" si="61"/>
        <v>14742</v>
      </c>
      <c r="Q328" t="str">
        <f t="shared" ca="1" si="68"/>
        <v>0011100110010110</v>
      </c>
      <c r="R328">
        <f t="shared" ca="1" si="69"/>
        <v>2.7640406455993651</v>
      </c>
      <c r="S328">
        <f t="shared" ca="1" si="70"/>
        <v>53.16848774719238</v>
      </c>
      <c r="T328" s="1">
        <f t="shared" ca="1" si="72"/>
        <v>1.0807751847763848E-2</v>
      </c>
      <c r="V328" s="4">
        <f t="shared" ca="1" si="71"/>
        <v>0.56848799999999999</v>
      </c>
      <c r="X328" s="2"/>
    </row>
    <row r="329" spans="8:24" x14ac:dyDescent="0.25">
      <c r="H329">
        <v>52.7</v>
      </c>
      <c r="I329">
        <v>2.7480437246872671</v>
      </c>
      <c r="J329" s="4">
        <f t="shared" si="62"/>
        <v>-3.6999999999999998E-5</v>
      </c>
      <c r="K329" s="9">
        <f t="shared" si="63"/>
        <v>1.64E-4</v>
      </c>
      <c r="L329" s="4">
        <f t="shared" si="64"/>
        <v>8.4740000000000006E-3</v>
      </c>
      <c r="M329" s="5">
        <f t="shared" si="65"/>
        <v>2.7716249833037834</v>
      </c>
      <c r="N329" s="2">
        <f t="shared" si="66"/>
        <v>8.5811075000998653E-3</v>
      </c>
      <c r="O329">
        <f t="shared" si="67"/>
        <v>14786.8858</v>
      </c>
      <c r="P329">
        <f t="shared" ca="1" si="61"/>
        <v>14786</v>
      </c>
      <c r="Q329" t="str">
        <f t="shared" ca="1" si="68"/>
        <v>0011100111000010</v>
      </c>
      <c r="R329">
        <f t="shared" ca="1" si="69"/>
        <v>2.7722903938293459</v>
      </c>
      <c r="S329">
        <f t="shared" ca="1" si="70"/>
        <v>53.267484725952158</v>
      </c>
      <c r="T329" s="1">
        <f t="shared" ca="1" si="72"/>
        <v>1.0768211118636729E-2</v>
      </c>
      <c r="V329" s="4">
        <f t="shared" ca="1" si="71"/>
        <v>0.56748500000000002</v>
      </c>
      <c r="X329" s="2"/>
    </row>
    <row r="330" spans="8:24" x14ac:dyDescent="0.25">
      <c r="H330">
        <v>52.800000000000004</v>
      </c>
      <c r="I330">
        <v>2.757039689453491</v>
      </c>
      <c r="J330" s="4">
        <f t="shared" si="62"/>
        <v>-3.6000000000000001E-5</v>
      </c>
      <c r="K330" s="9">
        <f t="shared" si="63"/>
        <v>1.64E-4</v>
      </c>
      <c r="L330" s="4">
        <f t="shared" si="64"/>
        <v>8.5039999999999994E-3</v>
      </c>
      <c r="M330" s="5">
        <f t="shared" si="65"/>
        <v>2.7807809574839344</v>
      </c>
      <c r="N330" s="2">
        <f t="shared" si="66"/>
        <v>8.6111448163988802E-3</v>
      </c>
      <c r="O330">
        <f t="shared" si="67"/>
        <v>14835.7338</v>
      </c>
      <c r="P330">
        <f t="shared" ca="1" si="61"/>
        <v>14835</v>
      </c>
      <c r="Q330" t="str">
        <f t="shared" ca="1" si="68"/>
        <v>0011100111110011</v>
      </c>
      <c r="R330">
        <f t="shared" ca="1" si="69"/>
        <v>2.7814776134490966</v>
      </c>
      <c r="S330">
        <f t="shared" ca="1" si="70"/>
        <v>53.377731361389166</v>
      </c>
      <c r="T330" s="1">
        <f t="shared" ca="1" si="72"/>
        <v>1.0941881844491706E-2</v>
      </c>
      <c r="V330" s="4">
        <f t="shared" ca="1" si="71"/>
        <v>0.57773099999999999</v>
      </c>
      <c r="X330" s="2"/>
    </row>
    <row r="331" spans="8:24" x14ac:dyDescent="0.25">
      <c r="H331">
        <v>52.9</v>
      </c>
      <c r="I331">
        <v>2.7660539185374349</v>
      </c>
      <c r="J331" s="4">
        <f t="shared" si="62"/>
        <v>-3.6000000000000001E-5</v>
      </c>
      <c r="K331" s="9">
        <f t="shared" si="63"/>
        <v>1.65E-4</v>
      </c>
      <c r="L331" s="4">
        <f t="shared" si="64"/>
        <v>8.5349999999999992E-3</v>
      </c>
      <c r="M331" s="5">
        <f t="shared" si="65"/>
        <v>2.7899597298012888</v>
      </c>
      <c r="N331" s="2">
        <f t="shared" si="66"/>
        <v>8.642568788570202E-3</v>
      </c>
      <c r="O331">
        <f t="shared" si="67"/>
        <v>14884.7034</v>
      </c>
      <c r="P331">
        <f t="shared" ca="1" si="61"/>
        <v>14888</v>
      </c>
      <c r="Q331" t="str">
        <f t="shared" ca="1" si="68"/>
        <v>0011101000101000</v>
      </c>
      <c r="R331">
        <f t="shared" ca="1" si="69"/>
        <v>2.791414810180664</v>
      </c>
      <c r="S331">
        <f t="shared" ca="1" si="70"/>
        <v>53.496977722167969</v>
      </c>
      <c r="T331" s="1">
        <f t="shared" ca="1" si="72"/>
        <v>1.1285023103364284E-2</v>
      </c>
      <c r="V331" s="4">
        <f t="shared" ca="1" si="71"/>
        <v>0.59697800000000001</v>
      </c>
      <c r="X331" s="2"/>
    </row>
    <row r="332" spans="8:24" x14ac:dyDescent="0.25">
      <c r="H332">
        <v>53</v>
      </c>
      <c r="I332">
        <v>2.7750862949697317</v>
      </c>
      <c r="J332" s="4">
        <f t="shared" si="62"/>
        <v>-3.4999999999999997E-5</v>
      </c>
      <c r="K332" s="9">
        <f t="shared" si="63"/>
        <v>1.65E-4</v>
      </c>
      <c r="L332" s="4">
        <f t="shared" si="64"/>
        <v>8.5649999999999997E-3</v>
      </c>
      <c r="M332" s="5">
        <f t="shared" si="65"/>
        <v>2.7991535483412751</v>
      </c>
      <c r="N332" s="2">
        <f t="shared" si="66"/>
        <v>8.6726144030796239E-3</v>
      </c>
      <c r="O332">
        <f t="shared" si="67"/>
        <v>14933.7533</v>
      </c>
      <c r="P332">
        <f t="shared" ca="1" si="61"/>
        <v>14934</v>
      </c>
      <c r="Q332" t="str">
        <f t="shared" ca="1" si="68"/>
        <v>0011101001010110</v>
      </c>
      <c r="R332">
        <f t="shared" ca="1" si="69"/>
        <v>2.8000395469665529</v>
      </c>
      <c r="S332">
        <f t="shared" ca="1" si="70"/>
        <v>53.600474563598638</v>
      </c>
      <c r="T332" s="1">
        <f t="shared" ca="1" si="72"/>
        <v>1.1329708747144117E-2</v>
      </c>
      <c r="V332" s="4">
        <f t="shared" ca="1" si="71"/>
        <v>0.60047499999999998</v>
      </c>
      <c r="X332" s="2"/>
    </row>
    <row r="333" spans="8:24" x14ac:dyDescent="0.25">
      <c r="H333">
        <v>53.1</v>
      </c>
      <c r="I333">
        <v>2.7841367027121051</v>
      </c>
      <c r="J333" s="4">
        <f t="shared" si="62"/>
        <v>-3.4999999999999997E-5</v>
      </c>
      <c r="K333" s="9">
        <f t="shared" si="63"/>
        <v>1.66E-4</v>
      </c>
      <c r="L333" s="4">
        <f t="shared" si="64"/>
        <v>8.5959999999999995E-3</v>
      </c>
      <c r="M333" s="5">
        <f t="shared" si="65"/>
        <v>2.808369952253678</v>
      </c>
      <c r="N333" s="2">
        <f t="shared" si="66"/>
        <v>8.7040444235251188E-3</v>
      </c>
      <c r="O333">
        <f t="shared" si="67"/>
        <v>14982.923699999999</v>
      </c>
      <c r="P333">
        <f t="shared" ca="1" si="61"/>
        <v>14982</v>
      </c>
      <c r="Q333" t="str">
        <f t="shared" ca="1" si="68"/>
        <v>0011101010000110</v>
      </c>
      <c r="R333">
        <f t="shared" ca="1" si="69"/>
        <v>2.8090392723083495</v>
      </c>
      <c r="S333">
        <f t="shared" ca="1" si="70"/>
        <v>53.708471267700197</v>
      </c>
      <c r="T333" s="1">
        <f t="shared" ca="1" si="72"/>
        <v>1.1458969259890697E-2</v>
      </c>
      <c r="V333" s="4">
        <f t="shared" ca="1" si="71"/>
        <v>0.60847099999999998</v>
      </c>
      <c r="X333" s="2"/>
    </row>
    <row r="334" spans="8:24" x14ac:dyDescent="0.25">
      <c r="H334">
        <v>53.2</v>
      </c>
      <c r="I334">
        <v>2.7938437275707662</v>
      </c>
      <c r="J334" s="4">
        <f t="shared" si="62"/>
        <v>-3.4E-5</v>
      </c>
      <c r="K334" s="9">
        <f t="shared" si="63"/>
        <v>1.66E-4</v>
      </c>
      <c r="L334" s="4">
        <f t="shared" si="64"/>
        <v>8.626E-3</v>
      </c>
      <c r="M334" s="5">
        <f t="shared" si="65"/>
        <v>2.8182454121883027</v>
      </c>
      <c r="N334" s="2">
        <f t="shared" si="66"/>
        <v>8.7340907355450779E-3</v>
      </c>
      <c r="O334">
        <f t="shared" si="67"/>
        <v>15035.610199999999</v>
      </c>
      <c r="P334">
        <f t="shared" ca="1" si="61"/>
        <v>15040</v>
      </c>
      <c r="Q334" t="str">
        <f t="shared" ca="1" si="68"/>
        <v>0011101011000000</v>
      </c>
      <c r="R334">
        <f t="shared" ca="1" si="69"/>
        <v>2.8199139404296876</v>
      </c>
      <c r="S334">
        <f t="shared" ca="1" si="70"/>
        <v>53.838967285156258</v>
      </c>
      <c r="T334" s="1">
        <f t="shared" ca="1" si="72"/>
        <v>1.2010663254816825E-2</v>
      </c>
      <c r="V334" s="4">
        <f t="shared" ca="1" si="71"/>
        <v>0.63896699999999995</v>
      </c>
      <c r="X334" s="2"/>
    </row>
    <row r="335" spans="8:24" x14ac:dyDescent="0.25">
      <c r="H335">
        <v>53.300000000000004</v>
      </c>
      <c r="I335">
        <v>2.8029287442831992</v>
      </c>
      <c r="J335" s="4">
        <f t="shared" si="62"/>
        <v>-3.4E-5</v>
      </c>
      <c r="K335" s="9">
        <f t="shared" si="63"/>
        <v>1.6699999999999999E-4</v>
      </c>
      <c r="L335" s="4">
        <f t="shared" si="64"/>
        <v>8.6569999999999998E-3</v>
      </c>
      <c r="M335" s="5">
        <f t="shared" si="65"/>
        <v>2.8274978914232505</v>
      </c>
      <c r="N335" s="2">
        <f t="shared" si="66"/>
        <v>8.7655268405099802E-3</v>
      </c>
      <c r="O335">
        <f t="shared" si="67"/>
        <v>15084.973099999999</v>
      </c>
      <c r="P335">
        <f t="shared" ref="P335:P398" ca="1" si="73">ROUND(O335+$C$47+$C$49+RANDBETWEEN($B$45,$D$45) + 1,0)</f>
        <v>15086</v>
      </c>
      <c r="Q335" t="str">
        <f t="shared" ca="1" si="68"/>
        <v>0011101011101110</v>
      </c>
      <c r="R335">
        <f t="shared" ca="1" si="69"/>
        <v>2.8285386772155761</v>
      </c>
      <c r="S335">
        <f t="shared" ca="1" si="70"/>
        <v>53.94246412658692</v>
      </c>
      <c r="T335" s="1">
        <f t="shared" ca="1" si="72"/>
        <v>1.2053735958478714E-2</v>
      </c>
      <c r="V335" s="4">
        <f t="shared" ca="1" si="71"/>
        <v>0.64246400000000004</v>
      </c>
      <c r="X335" s="2"/>
    </row>
    <row r="336" spans="8:24" x14ac:dyDescent="0.25">
      <c r="H336">
        <v>53.4</v>
      </c>
      <c r="I336">
        <v>2.8120314430706328</v>
      </c>
      <c r="J336" s="4">
        <f t="shared" si="62"/>
        <v>-3.3000000000000003E-5</v>
      </c>
      <c r="K336" s="9">
        <f t="shared" si="63"/>
        <v>1.6699999999999999E-4</v>
      </c>
      <c r="L336" s="4">
        <f t="shared" si="64"/>
        <v>8.6870000000000003E-3</v>
      </c>
      <c r="M336" s="5">
        <f t="shared" si="65"/>
        <v>2.8367649160503627</v>
      </c>
      <c r="N336" s="2">
        <f t="shared" si="66"/>
        <v>8.7955890538414169E-3</v>
      </c>
      <c r="O336">
        <f t="shared" si="67"/>
        <v>15134.4136</v>
      </c>
      <c r="P336">
        <f t="shared" ca="1" si="73"/>
        <v>15134</v>
      </c>
      <c r="Q336" t="str">
        <f t="shared" ca="1" si="68"/>
        <v>0011101100011110</v>
      </c>
      <c r="R336">
        <f t="shared" ca="1" si="69"/>
        <v>2.8375384025573731</v>
      </c>
      <c r="S336">
        <f t="shared" ca="1" si="70"/>
        <v>54.050460830688479</v>
      </c>
      <c r="T336" s="1">
        <f t="shared" ca="1" si="72"/>
        <v>1.2180914432368548E-2</v>
      </c>
      <c r="V336" s="4">
        <f t="shared" ca="1" si="71"/>
        <v>0.65046099999999996</v>
      </c>
      <c r="X336" s="2"/>
    </row>
    <row r="337" spans="8:24" x14ac:dyDescent="0.25">
      <c r="H337">
        <v>53.5</v>
      </c>
      <c r="I337">
        <v>2.8217870995785677</v>
      </c>
      <c r="J337" s="4">
        <f t="shared" si="62"/>
        <v>-3.1999999999999999E-5</v>
      </c>
      <c r="K337" s="9">
        <f t="shared" si="63"/>
        <v>1.6799999999999999E-4</v>
      </c>
      <c r="L337" s="4">
        <f t="shared" si="64"/>
        <v>8.7180000000000001E-3</v>
      </c>
      <c r="M337" s="5">
        <f t="shared" si="65"/>
        <v>2.8466940728617769</v>
      </c>
      <c r="N337" s="2">
        <f t="shared" si="66"/>
        <v>8.8266663657683726E-3</v>
      </c>
      <c r="O337">
        <f t="shared" si="67"/>
        <v>15187.3866</v>
      </c>
      <c r="P337">
        <f t="shared" ca="1" si="73"/>
        <v>15188</v>
      </c>
      <c r="Q337" t="str">
        <f t="shared" ca="1" si="68"/>
        <v>0011101101010100</v>
      </c>
      <c r="R337">
        <f t="shared" ca="1" si="69"/>
        <v>2.8476630935668945</v>
      </c>
      <c r="S337">
        <f t="shared" ca="1" si="70"/>
        <v>54.171957122802738</v>
      </c>
      <c r="T337" s="1">
        <f t="shared" ca="1" si="72"/>
        <v>1.2559946220611918E-2</v>
      </c>
      <c r="V337" s="4">
        <f t="shared" ca="1" si="71"/>
        <v>0.67195700000000003</v>
      </c>
      <c r="X337" s="2"/>
    </row>
    <row r="338" spans="8:24" x14ac:dyDescent="0.25">
      <c r="H338">
        <v>53.6</v>
      </c>
      <c r="I338">
        <v>2.83092371008799</v>
      </c>
      <c r="J338" s="4">
        <f t="shared" si="62"/>
        <v>-3.1999999999999999E-5</v>
      </c>
      <c r="K338" s="9">
        <f t="shared" si="63"/>
        <v>1.6799999999999999E-4</v>
      </c>
      <c r="L338" s="4">
        <f t="shared" si="64"/>
        <v>8.7480000000000006E-3</v>
      </c>
      <c r="M338" s="5">
        <f t="shared" si="65"/>
        <v>2.8559974685589435</v>
      </c>
      <c r="N338" s="2">
        <f t="shared" si="66"/>
        <v>8.8570943758050497E-3</v>
      </c>
      <c r="O338">
        <f t="shared" si="67"/>
        <v>15237.0211</v>
      </c>
      <c r="P338">
        <f t="shared" ca="1" si="73"/>
        <v>15236</v>
      </c>
      <c r="Q338" t="str">
        <f t="shared" ca="1" si="68"/>
        <v>0011101110000100</v>
      </c>
      <c r="R338">
        <f t="shared" ca="1" si="69"/>
        <v>2.8566628189086916</v>
      </c>
      <c r="S338">
        <f t="shared" ca="1" si="70"/>
        <v>54.279953826904297</v>
      </c>
      <c r="T338" s="1">
        <f t="shared" ca="1" si="72"/>
        <v>1.2685705725826408E-2</v>
      </c>
      <c r="V338" s="4">
        <f t="shared" ca="1" si="71"/>
        <v>0.67995399999999995</v>
      </c>
      <c r="X338" s="2"/>
    </row>
    <row r="339" spans="8:24" x14ac:dyDescent="0.25">
      <c r="H339">
        <v>53.7</v>
      </c>
      <c r="I339">
        <v>2.8400776536264702</v>
      </c>
      <c r="J339" s="4">
        <f t="shared" si="62"/>
        <v>-3.1000000000000001E-5</v>
      </c>
      <c r="K339" s="9">
        <f t="shared" si="63"/>
        <v>1.6899999999999999E-4</v>
      </c>
      <c r="L339" s="4">
        <f t="shared" si="64"/>
        <v>8.7790000000000003E-3</v>
      </c>
      <c r="M339" s="5">
        <f t="shared" si="65"/>
        <v>2.8653207957100082</v>
      </c>
      <c r="N339" s="2">
        <f t="shared" si="66"/>
        <v>8.8881872829446075E-3</v>
      </c>
      <c r="O339">
        <f t="shared" si="67"/>
        <v>15286.7619</v>
      </c>
      <c r="P339">
        <f t="shared" ca="1" si="73"/>
        <v>15290</v>
      </c>
      <c r="Q339" t="str">
        <f t="shared" ca="1" si="68"/>
        <v>0011101110111010</v>
      </c>
      <c r="R339">
        <f t="shared" ca="1" si="69"/>
        <v>2.866787509918213</v>
      </c>
      <c r="S339">
        <f t="shared" ca="1" si="70"/>
        <v>54.401450119018563</v>
      </c>
      <c r="T339" s="1">
        <f t="shared" ca="1" si="72"/>
        <v>1.3062385829023459E-2</v>
      </c>
      <c r="V339" s="4">
        <f t="shared" ca="1" si="71"/>
        <v>0.70145000000000002</v>
      </c>
      <c r="X339" s="2"/>
    </row>
    <row r="340" spans="8:24" x14ac:dyDescent="0.25">
      <c r="H340">
        <v>53.800000000000004</v>
      </c>
      <c r="I340">
        <v>2.8492488132682698</v>
      </c>
      <c r="J340" s="4">
        <f t="shared" si="62"/>
        <v>-3.1000000000000001E-5</v>
      </c>
      <c r="K340" s="9">
        <f t="shared" si="63"/>
        <v>1.6899999999999999E-4</v>
      </c>
      <c r="L340" s="4">
        <f t="shared" si="64"/>
        <v>8.8090000000000009E-3</v>
      </c>
      <c r="M340" s="5">
        <f t="shared" si="65"/>
        <v>2.8746601839063004</v>
      </c>
      <c r="N340" s="2">
        <f t="shared" si="66"/>
        <v>8.9186211185544387E-3</v>
      </c>
      <c r="O340">
        <f t="shared" si="67"/>
        <v>15336.5885</v>
      </c>
      <c r="P340">
        <f t="shared" ca="1" si="73"/>
        <v>15336</v>
      </c>
      <c r="Q340" t="str">
        <f t="shared" ca="1" si="68"/>
        <v>0011101111101000</v>
      </c>
      <c r="R340">
        <f t="shared" ca="1" si="69"/>
        <v>2.8754122467041014</v>
      </c>
      <c r="S340">
        <f t="shared" ca="1" si="70"/>
        <v>54.504946960449224</v>
      </c>
      <c r="T340" s="1">
        <f t="shared" ca="1" si="72"/>
        <v>1.3103103354074724E-2</v>
      </c>
      <c r="V340" s="4">
        <f t="shared" ca="1" si="71"/>
        <v>0.70494699999999999</v>
      </c>
      <c r="X340" s="2"/>
    </row>
    <row r="341" spans="8:24" x14ac:dyDescent="0.25">
      <c r="H341">
        <v>53.9</v>
      </c>
      <c r="I341">
        <v>2.8584370726986856</v>
      </c>
      <c r="J341" s="4">
        <f t="shared" si="62"/>
        <v>-3.0000000000000001E-5</v>
      </c>
      <c r="K341" s="9">
        <f t="shared" si="63"/>
        <v>1.7000000000000001E-4</v>
      </c>
      <c r="L341" s="4">
        <f t="shared" si="64"/>
        <v>8.8400000000000006E-3</v>
      </c>
      <c r="M341" s="5">
        <f t="shared" si="65"/>
        <v>2.8840192905067656</v>
      </c>
      <c r="N341" s="2">
        <f t="shared" si="66"/>
        <v>8.9497222284230741E-3</v>
      </c>
      <c r="O341">
        <f t="shared" si="67"/>
        <v>15386.520200000001</v>
      </c>
      <c r="P341">
        <f t="shared" ca="1" si="73"/>
        <v>15389</v>
      </c>
      <c r="Q341" t="str">
        <f t="shared" ca="1" si="68"/>
        <v>0011110000011101</v>
      </c>
      <c r="R341">
        <f t="shared" ca="1" si="69"/>
        <v>2.8853494434356688</v>
      </c>
      <c r="S341">
        <f t="shared" ca="1" si="70"/>
        <v>54.624193321228027</v>
      </c>
      <c r="T341" s="1">
        <f t="shared" ca="1" si="72"/>
        <v>1.3435868668423539E-2</v>
      </c>
      <c r="V341" s="4">
        <f t="shared" ca="1" si="71"/>
        <v>0.72419299999999998</v>
      </c>
      <c r="X341" s="2"/>
    </row>
    <row r="342" spans="8:24" x14ac:dyDescent="0.25">
      <c r="H342">
        <v>54</v>
      </c>
      <c r="I342">
        <v>2.8676423147592072</v>
      </c>
      <c r="J342" s="4">
        <f t="shared" si="62"/>
        <v>-3.0000000000000001E-5</v>
      </c>
      <c r="K342" s="9">
        <f t="shared" si="63"/>
        <v>1.7000000000000001E-4</v>
      </c>
      <c r="L342" s="4">
        <f t="shared" si="64"/>
        <v>8.8699999999999994E-3</v>
      </c>
      <c r="M342" s="5">
        <f t="shared" si="65"/>
        <v>2.8933942069145395</v>
      </c>
      <c r="N342" s="2">
        <f t="shared" si="66"/>
        <v>8.9801618642577161E-3</v>
      </c>
      <c r="O342">
        <f t="shared" si="67"/>
        <v>15436.5363</v>
      </c>
      <c r="P342">
        <f t="shared" ca="1" si="73"/>
        <v>15438</v>
      </c>
      <c r="Q342" t="str">
        <f t="shared" ca="1" si="68"/>
        <v>0011110001001110</v>
      </c>
      <c r="R342">
        <f t="shared" ca="1" si="69"/>
        <v>2.8945366630554199</v>
      </c>
      <c r="S342">
        <f t="shared" ca="1" si="70"/>
        <v>54.734439956665042</v>
      </c>
      <c r="T342" s="1">
        <f t="shared" ca="1" si="72"/>
        <v>1.3600739938241525E-2</v>
      </c>
      <c r="V342" s="4">
        <f t="shared" ca="1" si="71"/>
        <v>0.73443999999999998</v>
      </c>
      <c r="X342" s="2"/>
    </row>
    <row r="343" spans="8:24" x14ac:dyDescent="0.25">
      <c r="H343">
        <v>54.1</v>
      </c>
      <c r="I343">
        <v>2.8768644231496951</v>
      </c>
      <c r="J343" s="4">
        <f t="shared" si="62"/>
        <v>-2.9E-5</v>
      </c>
      <c r="K343" s="9">
        <f t="shared" si="63"/>
        <v>1.7100000000000001E-4</v>
      </c>
      <c r="L343" s="4">
        <f t="shared" si="64"/>
        <v>8.9009999999999992E-3</v>
      </c>
      <c r="M343" s="5">
        <f t="shared" si="65"/>
        <v>2.9027886284737403</v>
      </c>
      <c r="N343" s="2">
        <f t="shared" si="66"/>
        <v>9.0112711309705724E-3</v>
      </c>
      <c r="O343">
        <f t="shared" si="67"/>
        <v>15486.6564</v>
      </c>
      <c r="P343">
        <f t="shared" ca="1" si="73"/>
        <v>15485</v>
      </c>
      <c r="Q343" t="str">
        <f t="shared" ca="1" si="68"/>
        <v>0011110001111101</v>
      </c>
      <c r="R343">
        <f t="shared" ca="1" si="69"/>
        <v>2.9033488941192629</v>
      </c>
      <c r="S343">
        <f t="shared" ca="1" si="70"/>
        <v>54.840186729431153</v>
      </c>
      <c r="T343" s="1">
        <f t="shared" ca="1" si="72"/>
        <v>1.368182494327452E-2</v>
      </c>
      <c r="V343" s="4">
        <f t="shared" ca="1" si="71"/>
        <v>0.74018700000000004</v>
      </c>
      <c r="X343" s="2"/>
    </row>
    <row r="344" spans="8:24" x14ac:dyDescent="0.25">
      <c r="H344">
        <v>54.2</v>
      </c>
      <c r="I344">
        <v>2.8861032803770077</v>
      </c>
      <c r="J344" s="4">
        <f t="shared" si="62"/>
        <v>-2.8E-5</v>
      </c>
      <c r="K344" s="9">
        <f t="shared" si="63"/>
        <v>1.7100000000000001E-4</v>
      </c>
      <c r="L344" s="4">
        <f t="shared" si="64"/>
        <v>8.9309999999999997E-3</v>
      </c>
      <c r="M344" s="5">
        <f t="shared" si="65"/>
        <v>2.9121975991368996</v>
      </c>
      <c r="N344" s="2">
        <f t="shared" si="66"/>
        <v>9.041366931429845E-3</v>
      </c>
      <c r="O344">
        <f t="shared" si="67"/>
        <v>15536.8542</v>
      </c>
      <c r="P344">
        <f t="shared" ca="1" si="73"/>
        <v>15538</v>
      </c>
      <c r="Q344" t="str">
        <f t="shared" ca="1" si="68"/>
        <v>0011110010110010</v>
      </c>
      <c r="R344">
        <f t="shared" ca="1" si="69"/>
        <v>2.9132860908508302</v>
      </c>
      <c r="S344">
        <f t="shared" ca="1" si="70"/>
        <v>54.95943309020997</v>
      </c>
      <c r="T344" s="1">
        <f t="shared" ca="1" si="72"/>
        <v>1.4011680631180204E-2</v>
      </c>
      <c r="V344" s="4">
        <f t="shared" ca="1" si="71"/>
        <v>0.75943300000000002</v>
      </c>
      <c r="X344" s="2"/>
    </row>
    <row r="345" spans="8:24" x14ac:dyDescent="0.25">
      <c r="H345">
        <v>54.300000000000004</v>
      </c>
      <c r="I345">
        <v>2.8941056177688731</v>
      </c>
      <c r="J345" s="4">
        <f t="shared" si="62"/>
        <v>-2.8E-5</v>
      </c>
      <c r="K345" s="9">
        <f t="shared" si="63"/>
        <v>1.7200000000000001E-4</v>
      </c>
      <c r="L345" s="4">
        <f t="shared" si="64"/>
        <v>8.9619999999999995E-3</v>
      </c>
      <c r="M345" s="5">
        <f t="shared" si="65"/>
        <v>2.920363394716321</v>
      </c>
      <c r="N345" s="2">
        <f t="shared" si="66"/>
        <v>9.0728468188008213E-3</v>
      </c>
      <c r="O345">
        <f t="shared" si="67"/>
        <v>15580.4195</v>
      </c>
      <c r="P345">
        <f t="shared" ca="1" si="73"/>
        <v>15580</v>
      </c>
      <c r="Q345" t="str">
        <f t="shared" ca="1" si="68"/>
        <v>0011110011011100</v>
      </c>
      <c r="R345">
        <f t="shared" ca="1" si="69"/>
        <v>2.9211608505249025</v>
      </c>
      <c r="S345">
        <f t="shared" ca="1" si="70"/>
        <v>55.053930206298837</v>
      </c>
      <c r="T345" s="1">
        <f t="shared" ca="1" si="72"/>
        <v>1.3884534185982185E-2</v>
      </c>
      <c r="V345" s="4">
        <f t="shared" ca="1" si="71"/>
        <v>0.75392999999999999</v>
      </c>
      <c r="X345" s="2"/>
    </row>
    <row r="346" spans="8:24" x14ac:dyDescent="0.25">
      <c r="H346">
        <v>54.4</v>
      </c>
      <c r="I346">
        <v>2.9033798225755199</v>
      </c>
      <c r="J346" s="4">
        <f t="shared" si="62"/>
        <v>-2.6999999999999999E-5</v>
      </c>
      <c r="K346" s="9">
        <f t="shared" si="63"/>
        <v>1.7200000000000001E-4</v>
      </c>
      <c r="L346" s="4">
        <f t="shared" si="64"/>
        <v>8.992E-3</v>
      </c>
      <c r="M346" s="5">
        <f t="shared" si="65"/>
        <v>2.9298091448701928</v>
      </c>
      <c r="N346" s="2">
        <f t="shared" si="66"/>
        <v>9.1029503233332233E-3</v>
      </c>
      <c r="O346">
        <f t="shared" si="67"/>
        <v>15630.8135</v>
      </c>
      <c r="P346">
        <f t="shared" ca="1" si="73"/>
        <v>15632</v>
      </c>
      <c r="Q346" t="str">
        <f t="shared" ca="1" si="68"/>
        <v>0011110100010000</v>
      </c>
      <c r="R346">
        <f t="shared" ca="1" si="69"/>
        <v>2.9309105529785158</v>
      </c>
      <c r="S346">
        <f t="shared" ca="1" si="70"/>
        <v>55.170926635742191</v>
      </c>
      <c r="T346" s="1">
        <f t="shared" ca="1" si="72"/>
        <v>1.4171445509966773E-2</v>
      </c>
      <c r="V346" s="4">
        <f t="shared" ca="1" si="71"/>
        <v>0.77092700000000003</v>
      </c>
      <c r="X346" s="2"/>
    </row>
    <row r="347" spans="8:24" x14ac:dyDescent="0.25">
      <c r="H347">
        <v>54.5</v>
      </c>
      <c r="I347">
        <v>2.9126704251799169</v>
      </c>
      <c r="J347" s="4">
        <f t="shared" si="62"/>
        <v>-2.6999999999999999E-5</v>
      </c>
      <c r="K347" s="9">
        <f t="shared" si="63"/>
        <v>1.73E-4</v>
      </c>
      <c r="L347" s="4">
        <f t="shared" si="64"/>
        <v>9.0229999999999998E-3</v>
      </c>
      <c r="M347" s="5">
        <f t="shared" si="65"/>
        <v>2.9392759890955262</v>
      </c>
      <c r="N347" s="2">
        <f t="shared" si="66"/>
        <v>9.1344230660651803E-3</v>
      </c>
      <c r="O347">
        <f t="shared" si="67"/>
        <v>15681.32</v>
      </c>
      <c r="P347">
        <f t="shared" ca="1" si="73"/>
        <v>15684</v>
      </c>
      <c r="Q347" t="str">
        <f t="shared" ca="1" si="68"/>
        <v>0011110101000100</v>
      </c>
      <c r="R347">
        <f t="shared" ca="1" si="69"/>
        <v>2.9406602554321291</v>
      </c>
      <c r="S347">
        <f t="shared" ca="1" si="70"/>
        <v>55.287923065185552</v>
      </c>
      <c r="T347" s="1">
        <f t="shared" ca="1" si="72"/>
        <v>1.4457303948358756E-2</v>
      </c>
      <c r="V347" s="4">
        <f t="shared" ca="1" si="71"/>
        <v>0.78792300000000004</v>
      </c>
      <c r="X347" s="2"/>
    </row>
    <row r="348" spans="8:24" x14ac:dyDescent="0.25">
      <c r="H348">
        <v>54.6</v>
      </c>
      <c r="I348">
        <v>2.9219773085108547</v>
      </c>
      <c r="J348" s="4">
        <f t="shared" si="62"/>
        <v>-2.5999999999999998E-5</v>
      </c>
      <c r="K348" s="9">
        <f t="shared" si="63"/>
        <v>1.73E-4</v>
      </c>
      <c r="L348" s="4">
        <f t="shared" si="64"/>
        <v>9.0530000000000003E-3</v>
      </c>
      <c r="M348" s="5">
        <f t="shared" si="65"/>
        <v>2.9487558703309609</v>
      </c>
      <c r="N348" s="2">
        <f t="shared" si="66"/>
        <v>9.16453448906265E-3</v>
      </c>
      <c r="O348">
        <f t="shared" si="67"/>
        <v>15731.8961</v>
      </c>
      <c r="P348">
        <f t="shared" ca="1" si="73"/>
        <v>15735</v>
      </c>
      <c r="Q348" t="str">
        <f t="shared" ca="1" si="68"/>
        <v>0011110101110111</v>
      </c>
      <c r="R348">
        <f t="shared" ca="1" si="69"/>
        <v>2.9502224636077883</v>
      </c>
      <c r="S348">
        <f t="shared" ca="1" si="70"/>
        <v>55.402669563293458</v>
      </c>
      <c r="T348" s="1">
        <f t="shared" ca="1" si="72"/>
        <v>1.4700907752627402E-2</v>
      </c>
      <c r="V348" s="4">
        <f t="shared" ca="1" si="71"/>
        <v>0.80266999999999999</v>
      </c>
      <c r="X348" s="2"/>
    </row>
    <row r="349" spans="8:24" x14ac:dyDescent="0.25">
      <c r="H349">
        <v>54.7</v>
      </c>
      <c r="I349">
        <v>2.9306781788800538</v>
      </c>
      <c r="J349" s="4">
        <f t="shared" si="62"/>
        <v>-2.5000000000000001E-5</v>
      </c>
      <c r="K349" s="9">
        <f t="shared" si="63"/>
        <v>1.74E-4</v>
      </c>
      <c r="L349" s="4">
        <f t="shared" si="64"/>
        <v>9.0840000000000001E-3</v>
      </c>
      <c r="M349" s="5">
        <f t="shared" si="65"/>
        <v>2.9576277424201987</v>
      </c>
      <c r="N349" s="2">
        <f t="shared" si="66"/>
        <v>9.1956748217382044E-3</v>
      </c>
      <c r="O349">
        <f t="shared" si="67"/>
        <v>15779.2284</v>
      </c>
      <c r="P349">
        <f t="shared" ca="1" si="73"/>
        <v>15779</v>
      </c>
      <c r="Q349" t="str">
        <f t="shared" ca="1" si="68"/>
        <v>0011110110100011</v>
      </c>
      <c r="R349">
        <f t="shared" ca="1" si="69"/>
        <v>2.9584722118377687</v>
      </c>
      <c r="S349">
        <f t="shared" ca="1" si="70"/>
        <v>55.501666542053222</v>
      </c>
      <c r="T349" s="1">
        <f t="shared" ca="1" si="72"/>
        <v>1.4655695467152086E-2</v>
      </c>
      <c r="V349" s="4">
        <f t="shared" ca="1" si="71"/>
        <v>0.80166700000000002</v>
      </c>
      <c r="X349" s="2"/>
    </row>
    <row r="350" spans="8:24" x14ac:dyDescent="0.25">
      <c r="H350">
        <v>54.800000000000004</v>
      </c>
      <c r="I350">
        <v>2.9400183708569041</v>
      </c>
      <c r="J350" s="4">
        <f t="shared" si="62"/>
        <v>-2.5000000000000001E-5</v>
      </c>
      <c r="K350" s="9">
        <f t="shared" si="63"/>
        <v>1.74E-4</v>
      </c>
      <c r="L350" s="4">
        <f t="shared" si="64"/>
        <v>9.1140000000000006E-3</v>
      </c>
      <c r="M350" s="5">
        <f t="shared" si="65"/>
        <v>2.967143387074703</v>
      </c>
      <c r="N350" s="2">
        <f t="shared" si="66"/>
        <v>9.2261383420856082E-3</v>
      </c>
      <c r="O350">
        <f t="shared" si="67"/>
        <v>15829.9953</v>
      </c>
      <c r="P350">
        <f t="shared" ca="1" si="73"/>
        <v>15835</v>
      </c>
      <c r="Q350" t="str">
        <f t="shared" ca="1" si="68"/>
        <v>0011110111011011</v>
      </c>
      <c r="R350">
        <f t="shared" ca="1" si="69"/>
        <v>2.9689718914031982</v>
      </c>
      <c r="S350">
        <f t="shared" ca="1" si="70"/>
        <v>55.627662696838385</v>
      </c>
      <c r="T350" s="1">
        <f t="shared" ca="1" si="72"/>
        <v>1.5103333883912058E-2</v>
      </c>
      <c r="V350" s="4">
        <f t="shared" ca="1" si="71"/>
        <v>0.82766300000000004</v>
      </c>
      <c r="X350" s="2"/>
    </row>
    <row r="351" spans="8:24" x14ac:dyDescent="0.25">
      <c r="H351">
        <v>54.9</v>
      </c>
      <c r="I351">
        <v>2.949374492550306</v>
      </c>
      <c r="J351" s="4">
        <f t="shared" si="62"/>
        <v>-2.4000000000000001E-5</v>
      </c>
      <c r="K351" s="9">
        <f t="shared" si="63"/>
        <v>1.75E-4</v>
      </c>
      <c r="L351" s="4">
        <f t="shared" si="64"/>
        <v>9.1450000000000004E-3</v>
      </c>
      <c r="M351" s="5">
        <f t="shared" si="65"/>
        <v>2.9766776795195118</v>
      </c>
      <c r="N351" s="2">
        <f t="shared" si="66"/>
        <v>9.257280497329063E-3</v>
      </c>
      <c r="O351">
        <f t="shared" si="67"/>
        <v>15880.8616</v>
      </c>
      <c r="P351">
        <f t="shared" ca="1" si="73"/>
        <v>15879</v>
      </c>
      <c r="Q351" t="str">
        <f t="shared" ca="1" si="68"/>
        <v>0011111000000111</v>
      </c>
      <c r="R351">
        <f t="shared" ca="1" si="69"/>
        <v>2.977221639633179</v>
      </c>
      <c r="S351">
        <f t="shared" ca="1" si="70"/>
        <v>55.72665967559815</v>
      </c>
      <c r="T351" s="1">
        <f t="shared" ca="1" si="72"/>
        <v>1.5057553289583808E-2</v>
      </c>
      <c r="V351" s="4">
        <f t="shared" ca="1" si="71"/>
        <v>0.82665999999999995</v>
      </c>
      <c r="X351" s="2"/>
    </row>
    <row r="352" spans="8:24" x14ac:dyDescent="0.25">
      <c r="H352">
        <v>55</v>
      </c>
      <c r="I352">
        <v>2.9587464269035948</v>
      </c>
      <c r="J352" s="4">
        <f t="shared" si="62"/>
        <v>-2.4000000000000001E-5</v>
      </c>
      <c r="K352" s="9">
        <f t="shared" si="63"/>
        <v>1.75E-4</v>
      </c>
      <c r="L352" s="4">
        <f t="shared" si="64"/>
        <v>9.1750000000000009E-3</v>
      </c>
      <c r="M352" s="5">
        <f t="shared" si="65"/>
        <v>2.9862265231030656</v>
      </c>
      <c r="N352" s="2">
        <f t="shared" si="66"/>
        <v>9.2877496866905964E-3</v>
      </c>
      <c r="O352">
        <f t="shared" si="67"/>
        <v>15931.8056</v>
      </c>
      <c r="P352">
        <f t="shared" ca="1" si="73"/>
        <v>15932</v>
      </c>
      <c r="Q352" t="str">
        <f t="shared" ca="1" si="68"/>
        <v>0011111000111100</v>
      </c>
      <c r="R352">
        <f t="shared" ca="1" si="69"/>
        <v>2.9871588363647463</v>
      </c>
      <c r="S352">
        <f t="shared" ca="1" si="70"/>
        <v>55.845906036376959</v>
      </c>
      <c r="T352" s="1">
        <f t="shared" ca="1" si="72"/>
        <v>1.5380109752308354E-2</v>
      </c>
      <c r="V352" s="4">
        <f t="shared" ca="1" si="71"/>
        <v>0.84590600000000005</v>
      </c>
      <c r="X352" s="2"/>
    </row>
    <row r="353" spans="8:24" x14ac:dyDescent="0.25">
      <c r="H353">
        <v>55.1</v>
      </c>
      <c r="I353">
        <v>2.9681340568600998</v>
      </c>
      <c r="J353" s="4">
        <f t="shared" si="62"/>
        <v>-2.3E-5</v>
      </c>
      <c r="K353" s="9">
        <f t="shared" si="63"/>
        <v>1.76E-4</v>
      </c>
      <c r="L353" s="4">
        <f t="shared" si="64"/>
        <v>9.2060000000000006E-3</v>
      </c>
      <c r="M353" s="5">
        <f t="shared" si="65"/>
        <v>2.9957938006407994</v>
      </c>
      <c r="N353" s="2">
        <f t="shared" si="66"/>
        <v>9.3188997703021505E-3</v>
      </c>
      <c r="O353">
        <f t="shared" si="67"/>
        <v>15982.848</v>
      </c>
      <c r="P353">
        <f t="shared" ca="1" si="73"/>
        <v>15985</v>
      </c>
      <c r="Q353" t="str">
        <f t="shared" ca="1" si="68"/>
        <v>0011111001110001</v>
      </c>
      <c r="R353">
        <f t="shared" ca="1" si="69"/>
        <v>2.9970960330963137</v>
      </c>
      <c r="S353">
        <f t="shared" ca="1" si="70"/>
        <v>55.965152397155762</v>
      </c>
      <c r="T353" s="1">
        <f t="shared" ca="1" si="72"/>
        <v>1.5701495411175333E-2</v>
      </c>
      <c r="V353" s="4">
        <f t="shared" ca="1" si="71"/>
        <v>0.86515200000000003</v>
      </c>
      <c r="X353" s="2"/>
    </row>
    <row r="354" spans="8:24" x14ac:dyDescent="0.25">
      <c r="H354">
        <v>55.2</v>
      </c>
      <c r="I354">
        <v>2.9769205743481537</v>
      </c>
      <c r="J354" s="4">
        <f t="shared" si="62"/>
        <v>-2.3E-5</v>
      </c>
      <c r="K354" s="9">
        <f t="shared" si="63"/>
        <v>1.76E-4</v>
      </c>
      <c r="L354" s="4">
        <f t="shared" si="64"/>
        <v>9.2359999999999994E-3</v>
      </c>
      <c r="M354" s="5">
        <f t="shared" si="65"/>
        <v>3.0047529367842936</v>
      </c>
      <c r="N354" s="2">
        <f t="shared" si="66"/>
        <v>9.3493802542025176E-3</v>
      </c>
      <c r="O354">
        <f t="shared" si="67"/>
        <v>16030.6458</v>
      </c>
      <c r="P354">
        <f t="shared" ca="1" si="73"/>
        <v>16029</v>
      </c>
      <c r="Q354" t="str">
        <f t="shared" ca="1" si="68"/>
        <v>0011111010011101</v>
      </c>
      <c r="R354">
        <f t="shared" ca="1" si="69"/>
        <v>3.005345781326294</v>
      </c>
      <c r="S354">
        <f t="shared" ca="1" si="70"/>
        <v>56.064149375915527</v>
      </c>
      <c r="T354" s="1">
        <f t="shared" ca="1" si="72"/>
        <v>1.5654879998469633E-2</v>
      </c>
      <c r="V354" s="4">
        <f t="shared" ca="1" si="71"/>
        <v>0.86414899999999994</v>
      </c>
      <c r="X354" s="2"/>
    </row>
    <row r="355" spans="8:24" x14ac:dyDescent="0.25">
      <c r="H355">
        <v>55.300000000000004</v>
      </c>
      <c r="I355">
        <v>2.9863403403616249</v>
      </c>
      <c r="J355" s="4">
        <f t="shared" si="62"/>
        <v>-2.1999999999999999E-5</v>
      </c>
      <c r="K355" s="9">
        <f t="shared" si="63"/>
        <v>1.7699999999999999E-4</v>
      </c>
      <c r="L355" s="4">
        <f t="shared" si="64"/>
        <v>9.2669999999999992E-3</v>
      </c>
      <c r="M355" s="5">
        <f t="shared" si="65"/>
        <v>3.0143538197229982</v>
      </c>
      <c r="N355" s="2">
        <f t="shared" si="66"/>
        <v>9.3805381063770815E-3</v>
      </c>
      <c r="O355">
        <f t="shared" si="67"/>
        <v>16081.8675</v>
      </c>
      <c r="P355">
        <f t="shared" ca="1" si="73"/>
        <v>16085</v>
      </c>
      <c r="Q355" t="str">
        <f t="shared" ca="1" si="68"/>
        <v>0011111011010101</v>
      </c>
      <c r="R355">
        <f t="shared" ca="1" si="69"/>
        <v>3.0158454608917236</v>
      </c>
      <c r="S355">
        <f t="shared" ca="1" si="70"/>
        <v>56.19014553070069</v>
      </c>
      <c r="T355" s="1">
        <f t="shared" ca="1" si="72"/>
        <v>1.6096664207968996E-2</v>
      </c>
      <c r="V355" s="4">
        <f t="shared" ca="1" si="71"/>
        <v>0.89014599999999999</v>
      </c>
      <c r="X355" s="2"/>
    </row>
    <row r="356" spans="8:24" x14ac:dyDescent="0.25">
      <c r="H356">
        <v>55.4</v>
      </c>
      <c r="I356">
        <v>2.9951609511797379</v>
      </c>
      <c r="J356" s="4">
        <f t="shared" si="62"/>
        <v>-2.0999999999999999E-5</v>
      </c>
      <c r="K356" s="9">
        <f t="shared" si="63"/>
        <v>1.7699999999999999E-4</v>
      </c>
      <c r="L356" s="4">
        <f t="shared" si="64"/>
        <v>9.2969999999999997E-3</v>
      </c>
      <c r="M356" s="5">
        <f t="shared" si="65"/>
        <v>3.0233474734140686</v>
      </c>
      <c r="N356" s="2">
        <f t="shared" si="66"/>
        <v>9.4106870027230328E-3</v>
      </c>
      <c r="O356">
        <f t="shared" si="67"/>
        <v>16129.8495</v>
      </c>
      <c r="P356">
        <f t="shared" ca="1" si="73"/>
        <v>16128</v>
      </c>
      <c r="Q356" t="str">
        <f t="shared" ca="1" si="68"/>
        <v>0011111100000000</v>
      </c>
      <c r="R356">
        <f t="shared" ca="1" si="69"/>
        <v>3.0239077148437499</v>
      </c>
      <c r="S356">
        <f t="shared" ca="1" si="70"/>
        <v>56.286892578125006</v>
      </c>
      <c r="T356" s="1">
        <f t="shared" ca="1" si="72"/>
        <v>1.6008891301895433E-2</v>
      </c>
      <c r="V356" s="4">
        <f t="shared" ca="1" si="71"/>
        <v>0.88689300000000004</v>
      </c>
      <c r="X356" s="2"/>
    </row>
    <row r="357" spans="8:24" x14ac:dyDescent="0.25">
      <c r="H357">
        <v>55.5</v>
      </c>
      <c r="I357">
        <v>3.0046123833504219</v>
      </c>
      <c r="J357" s="4">
        <f t="shared" si="62"/>
        <v>-2.0999999999999999E-5</v>
      </c>
      <c r="K357" s="9">
        <f t="shared" si="63"/>
        <v>1.7799999999999999E-4</v>
      </c>
      <c r="L357" s="4">
        <f t="shared" si="64"/>
        <v>9.3279999999999995E-3</v>
      </c>
      <c r="M357" s="5">
        <f t="shared" si="65"/>
        <v>3.0329825031154831</v>
      </c>
      <c r="N357" s="2">
        <f t="shared" si="66"/>
        <v>9.4421895890031207E-3</v>
      </c>
      <c r="O357">
        <f t="shared" si="67"/>
        <v>16181.2533</v>
      </c>
      <c r="P357">
        <f t="shared" ca="1" si="73"/>
        <v>16185</v>
      </c>
      <c r="Q357" t="str">
        <f t="shared" ca="1" si="68"/>
        <v>0011111100111001</v>
      </c>
      <c r="R357">
        <f t="shared" ca="1" si="69"/>
        <v>3.0345948886871339</v>
      </c>
      <c r="S357">
        <f t="shared" ca="1" si="70"/>
        <v>56.41513866424561</v>
      </c>
      <c r="T357" s="1">
        <f t="shared" ca="1" si="72"/>
        <v>1.6488984941362347E-2</v>
      </c>
      <c r="V357" s="4">
        <f t="shared" ca="1" si="71"/>
        <v>0.91513900000000004</v>
      </c>
      <c r="X357" s="2"/>
    </row>
    <row r="358" spans="8:24" x14ac:dyDescent="0.25">
      <c r="H358">
        <v>55.6</v>
      </c>
      <c r="I358">
        <v>3.0134666157075274</v>
      </c>
      <c r="J358" s="4">
        <f t="shared" si="62"/>
        <v>-2.0000000000000002E-5</v>
      </c>
      <c r="K358" s="9">
        <f t="shared" si="63"/>
        <v>1.7799999999999999E-4</v>
      </c>
      <c r="L358" s="4">
        <f t="shared" si="64"/>
        <v>9.358E-3</v>
      </c>
      <c r="M358" s="5">
        <f t="shared" si="65"/>
        <v>3.0420112138830451</v>
      </c>
      <c r="N358" s="2">
        <f t="shared" si="66"/>
        <v>9.4723459110947362E-3</v>
      </c>
      <c r="O358">
        <f t="shared" si="67"/>
        <v>16229.4223</v>
      </c>
      <c r="P358">
        <f t="shared" ca="1" si="73"/>
        <v>16233</v>
      </c>
      <c r="Q358" t="str">
        <f t="shared" ca="1" si="68"/>
        <v>0011111101101001</v>
      </c>
      <c r="R358">
        <f t="shared" ca="1" si="69"/>
        <v>3.0435946140289309</v>
      </c>
      <c r="S358">
        <f t="shared" ca="1" si="70"/>
        <v>56.52313536834717</v>
      </c>
      <c r="T358" s="1">
        <f t="shared" ca="1" si="72"/>
        <v>1.6603154106963454E-2</v>
      </c>
      <c r="V358" s="4">
        <f t="shared" ca="1" si="71"/>
        <v>0.92313500000000004</v>
      </c>
      <c r="X358" s="2"/>
    </row>
    <row r="359" spans="8:24" x14ac:dyDescent="0.25">
      <c r="H359">
        <v>55.7</v>
      </c>
      <c r="I359">
        <v>3.0229492443684571</v>
      </c>
      <c r="J359" s="4">
        <f t="shared" si="62"/>
        <v>-2.0000000000000002E-5</v>
      </c>
      <c r="K359" s="9">
        <f t="shared" si="63"/>
        <v>1.7899999999999999E-4</v>
      </c>
      <c r="L359" s="4">
        <f t="shared" si="64"/>
        <v>9.3889999999999998E-3</v>
      </c>
      <c r="M359" s="5">
        <f t="shared" si="65"/>
        <v>3.0516789131217577</v>
      </c>
      <c r="N359" s="2">
        <f t="shared" si="66"/>
        <v>9.5038541605757618E-3</v>
      </c>
      <c r="O359">
        <f t="shared" si="67"/>
        <v>16281.000400000001</v>
      </c>
      <c r="P359">
        <f t="shared" ca="1" si="73"/>
        <v>16283</v>
      </c>
      <c r="Q359" t="str">
        <f t="shared" ca="1" si="68"/>
        <v>0011111110011011</v>
      </c>
      <c r="R359">
        <f t="shared" ca="1" si="69"/>
        <v>3.0529693279266357</v>
      </c>
      <c r="S359">
        <f t="shared" ca="1" si="70"/>
        <v>56.635631935119626</v>
      </c>
      <c r="T359" s="1">
        <f t="shared" ca="1" si="72"/>
        <v>1.6797700810047098E-2</v>
      </c>
      <c r="V359" s="4">
        <f t="shared" ca="1" si="71"/>
        <v>0.93563200000000002</v>
      </c>
      <c r="X359" s="2"/>
    </row>
    <row r="360" spans="8:24" x14ac:dyDescent="0.25">
      <c r="H360">
        <v>55.800000000000004</v>
      </c>
      <c r="I360">
        <v>3.0312265049331972</v>
      </c>
      <c r="J360" s="4">
        <f t="shared" si="62"/>
        <v>-1.9000000000000001E-5</v>
      </c>
      <c r="K360" s="9">
        <f t="shared" si="63"/>
        <v>1.7899999999999999E-4</v>
      </c>
      <c r="L360" s="4">
        <f t="shared" si="64"/>
        <v>9.4190000000000003E-3</v>
      </c>
      <c r="M360" s="5">
        <f t="shared" si="65"/>
        <v>3.06012628813918</v>
      </c>
      <c r="N360" s="2">
        <f t="shared" si="66"/>
        <v>9.5340229966152396E-3</v>
      </c>
      <c r="O360">
        <f t="shared" si="67"/>
        <v>16326.067999999999</v>
      </c>
      <c r="P360">
        <f t="shared" ca="1" si="73"/>
        <v>16329</v>
      </c>
      <c r="Q360" t="str">
        <f t="shared" ca="1" si="68"/>
        <v>0011111111001001</v>
      </c>
      <c r="R360">
        <f t="shared" ca="1" si="69"/>
        <v>3.0615940647125246</v>
      </c>
      <c r="S360">
        <f t="shared" ca="1" si="70"/>
        <v>56.739128776550302</v>
      </c>
      <c r="T360" s="1">
        <f t="shared" ca="1" si="72"/>
        <v>1.6830264812729354E-2</v>
      </c>
      <c r="V360" s="4">
        <f t="shared" ca="1" si="71"/>
        <v>0.93912899999999999</v>
      </c>
      <c r="X360" s="2"/>
    </row>
    <row r="361" spans="8:24" x14ac:dyDescent="0.25">
      <c r="H361">
        <v>55.9</v>
      </c>
      <c r="I361">
        <v>3.0401319253170205</v>
      </c>
      <c r="J361" s="4">
        <f t="shared" si="62"/>
        <v>-1.9000000000000001E-5</v>
      </c>
      <c r="K361" s="9">
        <f t="shared" si="63"/>
        <v>1.8000000000000001E-4</v>
      </c>
      <c r="L361" s="4">
        <f t="shared" si="64"/>
        <v>9.4500000000000001E-3</v>
      </c>
      <c r="M361" s="5">
        <f t="shared" si="65"/>
        <v>3.0692124347251735</v>
      </c>
      <c r="N361" s="2">
        <f t="shared" si="66"/>
        <v>9.565541931250407E-3</v>
      </c>
      <c r="O361">
        <f t="shared" si="67"/>
        <v>16374.5434</v>
      </c>
      <c r="P361">
        <f t="shared" ca="1" si="73"/>
        <v>16373</v>
      </c>
      <c r="Q361" t="str">
        <f t="shared" ca="1" si="68"/>
        <v>0011111111110101</v>
      </c>
      <c r="R361">
        <f t="shared" ca="1" si="69"/>
        <v>3.069843812942505</v>
      </c>
      <c r="S361">
        <f t="shared" ca="1" si="70"/>
        <v>56.838125755310067</v>
      </c>
      <c r="T361" s="1">
        <f t="shared" ca="1" si="72"/>
        <v>1.6782213869589769E-2</v>
      </c>
      <c r="V361" s="4">
        <f t="shared" ca="1" si="71"/>
        <v>0.93812600000000002</v>
      </c>
      <c r="X361" s="2"/>
    </row>
    <row r="362" spans="8:24" x14ac:dyDescent="0.25">
      <c r="H362">
        <v>56</v>
      </c>
      <c r="I362">
        <v>3.0490541709460341</v>
      </c>
      <c r="J362" s="4">
        <f t="shared" si="62"/>
        <v>-1.8E-5</v>
      </c>
      <c r="K362" s="9">
        <f t="shared" si="63"/>
        <v>1.8000000000000001E-4</v>
      </c>
      <c r="L362" s="4">
        <f t="shared" si="64"/>
        <v>9.4800000000000006E-3</v>
      </c>
      <c r="M362" s="5">
        <f t="shared" si="65"/>
        <v>3.0783120190465958</v>
      </c>
      <c r="N362" s="2">
        <f t="shared" si="66"/>
        <v>9.5957127883640626E-3</v>
      </c>
      <c r="O362">
        <f t="shared" si="67"/>
        <v>16423.0906</v>
      </c>
      <c r="P362">
        <f t="shared" ca="1" si="73"/>
        <v>16428</v>
      </c>
      <c r="Q362" t="str">
        <f t="shared" ca="1" si="68"/>
        <v>0100000000101100</v>
      </c>
      <c r="R362">
        <f t="shared" ca="1" si="69"/>
        <v>3.0801559982299804</v>
      </c>
      <c r="S362">
        <f t="shared" ca="1" si="70"/>
        <v>56.961871978759767</v>
      </c>
      <c r="T362" s="1">
        <f t="shared" ca="1" si="72"/>
        <v>1.717628533499584E-2</v>
      </c>
      <c r="V362" s="4">
        <f t="shared" ca="1" si="71"/>
        <v>0.96187199999999995</v>
      </c>
      <c r="X362" s="2"/>
    </row>
    <row r="363" spans="8:24" x14ac:dyDescent="0.25">
      <c r="H363">
        <v>56.1</v>
      </c>
      <c r="I363">
        <v>3.0585999651963864</v>
      </c>
      <c r="J363" s="4">
        <f t="shared" si="62"/>
        <v>-1.7E-5</v>
      </c>
      <c r="K363" s="9">
        <f t="shared" si="63"/>
        <v>1.8100000000000001E-4</v>
      </c>
      <c r="L363" s="4">
        <f t="shared" si="64"/>
        <v>9.5110000000000004E-3</v>
      </c>
      <c r="M363" s="5">
        <f t="shared" si="65"/>
        <v>3.0880448077246561</v>
      </c>
      <c r="N363" s="2">
        <f t="shared" si="66"/>
        <v>9.6269021327798996E-3</v>
      </c>
      <c r="O363">
        <f t="shared" si="67"/>
        <v>16475.016</v>
      </c>
      <c r="P363">
        <f t="shared" ca="1" si="73"/>
        <v>16474</v>
      </c>
      <c r="Q363" t="str">
        <f t="shared" ca="1" si="68"/>
        <v>0100000001011010</v>
      </c>
      <c r="R363">
        <f t="shared" ca="1" si="69"/>
        <v>3.0887807350158694</v>
      </c>
      <c r="S363">
        <f t="shared" ca="1" si="70"/>
        <v>57.065368820190436</v>
      </c>
      <c r="T363" s="1">
        <f t="shared" ca="1" si="72"/>
        <v>1.7208000359900791E-2</v>
      </c>
      <c r="V363" s="4">
        <f t="shared" ca="1" si="71"/>
        <v>0.96536900000000003</v>
      </c>
      <c r="X363" s="2"/>
    </row>
    <row r="364" spans="8:24" x14ac:dyDescent="0.25">
      <c r="H364">
        <v>56.2</v>
      </c>
      <c r="I364">
        <v>3.0675544145616653</v>
      </c>
      <c r="J364" s="4">
        <f t="shared" si="62"/>
        <v>-1.7E-5</v>
      </c>
      <c r="K364" s="9">
        <f t="shared" si="63"/>
        <v>1.8100000000000001E-4</v>
      </c>
      <c r="L364" s="4">
        <f t="shared" si="64"/>
        <v>9.5409999999999991E-3</v>
      </c>
      <c r="M364" s="5">
        <f t="shared" si="65"/>
        <v>3.0971790464659978</v>
      </c>
      <c r="N364" s="2">
        <f t="shared" si="66"/>
        <v>9.6574103995366901E-3</v>
      </c>
      <c r="O364">
        <f t="shared" si="67"/>
        <v>16523.748</v>
      </c>
      <c r="P364">
        <f t="shared" ca="1" si="73"/>
        <v>16528</v>
      </c>
      <c r="Q364" t="str">
        <f t="shared" ca="1" si="68"/>
        <v>0100000010010000</v>
      </c>
      <c r="R364">
        <f t="shared" ca="1" si="69"/>
        <v>3.0989054260253908</v>
      </c>
      <c r="S364">
        <f t="shared" ca="1" si="70"/>
        <v>57.186865112304687</v>
      </c>
      <c r="T364" s="1">
        <f t="shared" ca="1" si="72"/>
        <v>1.7559877443143853E-2</v>
      </c>
      <c r="V364" s="4">
        <f t="shared" ca="1" si="71"/>
        <v>0.98686499999999999</v>
      </c>
      <c r="X364" s="2"/>
    </row>
    <row r="365" spans="8:24" x14ac:dyDescent="0.25">
      <c r="H365">
        <v>56.300000000000004</v>
      </c>
      <c r="I365">
        <v>3.0771299945846016</v>
      </c>
      <c r="J365" s="4">
        <f t="shared" si="62"/>
        <v>-1.5999999999999999E-5</v>
      </c>
      <c r="K365" s="9">
        <f t="shared" si="63"/>
        <v>1.8200000000000001E-4</v>
      </c>
      <c r="L365" s="4">
        <f t="shared" si="64"/>
        <v>9.5720000000000006E-3</v>
      </c>
      <c r="M365" s="5">
        <f t="shared" si="65"/>
        <v>3.1069430987498352</v>
      </c>
      <c r="N365" s="2">
        <f t="shared" si="66"/>
        <v>9.6886073119111984E-3</v>
      </c>
      <c r="O365">
        <f t="shared" si="67"/>
        <v>16575.840199999999</v>
      </c>
      <c r="P365">
        <f t="shared" ca="1" si="73"/>
        <v>16578</v>
      </c>
      <c r="Q365" t="str">
        <f t="shared" ca="1" si="68"/>
        <v>0100000011000010</v>
      </c>
      <c r="R365">
        <f t="shared" ca="1" si="69"/>
        <v>3.1082801399230959</v>
      </c>
      <c r="S365">
        <f t="shared" ca="1" si="70"/>
        <v>57.299361679077158</v>
      </c>
      <c r="T365" s="1">
        <f t="shared" ca="1" si="72"/>
        <v>1.7750651493377512E-2</v>
      </c>
      <c r="V365" s="4">
        <f t="shared" ca="1" si="71"/>
        <v>0.99936199999999997</v>
      </c>
      <c r="X365" s="2"/>
    </row>
    <row r="366" spans="8:24" x14ac:dyDescent="0.25">
      <c r="H366">
        <v>56.4</v>
      </c>
      <c r="I366">
        <v>3.086116176142423</v>
      </c>
      <c r="J366" s="4">
        <f t="shared" si="62"/>
        <v>-1.5999999999999999E-5</v>
      </c>
      <c r="K366" s="9">
        <f t="shared" si="63"/>
        <v>1.8200000000000001E-4</v>
      </c>
      <c r="L366" s="4">
        <f t="shared" si="64"/>
        <v>9.6019999999999994E-3</v>
      </c>
      <c r="M366" s="5">
        <f t="shared" si="65"/>
        <v>3.1161105123661628</v>
      </c>
      <c r="N366" s="2">
        <f t="shared" si="66"/>
        <v>9.7191208988224396E-3</v>
      </c>
      <c r="O366">
        <f t="shared" si="67"/>
        <v>16624.749199999998</v>
      </c>
      <c r="P366">
        <f t="shared" ca="1" si="73"/>
        <v>16625</v>
      </c>
      <c r="Q366" t="str">
        <f t="shared" ca="1" si="68"/>
        <v>0100000011110001</v>
      </c>
      <c r="R366">
        <f t="shared" ca="1" si="69"/>
        <v>3.1170923709869385</v>
      </c>
      <c r="S366">
        <f t="shared" ca="1" si="70"/>
        <v>57.405108451843269</v>
      </c>
      <c r="T366" s="1">
        <f t="shared" ca="1" si="72"/>
        <v>1.7821071841192734E-2</v>
      </c>
      <c r="V366" s="4">
        <f t="shared" ca="1" si="71"/>
        <v>1.0051079999999999</v>
      </c>
      <c r="X366" s="2"/>
    </row>
    <row r="367" spans="8:24" x14ac:dyDescent="0.25">
      <c r="H367">
        <v>56.5</v>
      </c>
      <c r="I367">
        <v>3.095118591624483</v>
      </c>
      <c r="J367" s="4">
        <f t="shared" si="62"/>
        <v>-1.5E-5</v>
      </c>
      <c r="K367" s="9">
        <f t="shared" si="63"/>
        <v>1.83E-4</v>
      </c>
      <c r="L367" s="4">
        <f t="shared" si="64"/>
        <v>9.6329999999999992E-3</v>
      </c>
      <c r="M367" s="5">
        <f t="shared" si="65"/>
        <v>3.1252970190954295</v>
      </c>
      <c r="N367" s="2">
        <f t="shared" si="66"/>
        <v>9.7503299397349464E-3</v>
      </c>
      <c r="O367">
        <f t="shared" si="67"/>
        <v>16673.7601</v>
      </c>
      <c r="P367">
        <f t="shared" ca="1" si="73"/>
        <v>16674</v>
      </c>
      <c r="Q367" t="str">
        <f t="shared" ca="1" si="68"/>
        <v>0100000100100010</v>
      </c>
      <c r="R367">
        <f t="shared" ca="1" si="69"/>
        <v>3.1262795906066896</v>
      </c>
      <c r="S367">
        <f t="shared" ca="1" si="70"/>
        <v>57.515355087280277</v>
      </c>
      <c r="T367" s="1">
        <f t="shared" ca="1" si="72"/>
        <v>1.7970886500535872E-2</v>
      </c>
      <c r="V367" s="4">
        <f t="shared" ca="1" si="71"/>
        <v>1.015355</v>
      </c>
      <c r="X367" s="2"/>
    </row>
    <row r="368" spans="8:24" x14ac:dyDescent="0.25">
      <c r="H368">
        <v>56.6</v>
      </c>
      <c r="I368">
        <v>3.1041371235231008</v>
      </c>
      <c r="J368" s="4">
        <f t="shared" si="62"/>
        <v>-1.5E-5</v>
      </c>
      <c r="K368" s="9">
        <f t="shared" si="63"/>
        <v>1.83E-4</v>
      </c>
      <c r="L368" s="4">
        <f t="shared" si="64"/>
        <v>9.6629999999999997E-3</v>
      </c>
      <c r="M368" s="5">
        <f t="shared" si="65"/>
        <v>3.1344982193628033</v>
      </c>
      <c r="N368" s="2">
        <f t="shared" si="66"/>
        <v>9.7808487935750598E-3</v>
      </c>
      <c r="O368">
        <f t="shared" si="67"/>
        <v>16722.849399999999</v>
      </c>
      <c r="P368">
        <f t="shared" ca="1" si="73"/>
        <v>16723</v>
      </c>
      <c r="Q368" t="str">
        <f t="shared" ca="1" si="68"/>
        <v>0100000101010011</v>
      </c>
      <c r="R368">
        <f t="shared" ca="1" si="69"/>
        <v>3.1354668102264407</v>
      </c>
      <c r="S368">
        <f t="shared" ca="1" si="70"/>
        <v>57.625601722717292</v>
      </c>
      <c r="T368" s="1">
        <f t="shared" ca="1" si="72"/>
        <v>1.8120171779457427E-2</v>
      </c>
      <c r="V368" s="4">
        <f t="shared" ca="1" si="71"/>
        <v>1.0256019999999999</v>
      </c>
      <c r="X368" s="2"/>
    </row>
    <row r="369" spans="8:24" x14ac:dyDescent="0.25">
      <c r="H369">
        <v>56.7</v>
      </c>
      <c r="I369">
        <v>3.1131716527302911</v>
      </c>
      <c r="J369" s="4">
        <f t="shared" si="62"/>
        <v>-1.4E-5</v>
      </c>
      <c r="K369" s="9">
        <f t="shared" si="63"/>
        <v>1.84E-4</v>
      </c>
      <c r="L369" s="4">
        <f t="shared" si="64"/>
        <v>9.6939999999999995E-3</v>
      </c>
      <c r="M369" s="5">
        <f t="shared" si="65"/>
        <v>3.1437182956361887</v>
      </c>
      <c r="N369" s="2">
        <f t="shared" si="66"/>
        <v>9.8120650941645945E-3</v>
      </c>
      <c r="O369">
        <f t="shared" si="67"/>
        <v>16772.039400000001</v>
      </c>
      <c r="P369">
        <f t="shared" ca="1" si="73"/>
        <v>16775</v>
      </c>
      <c r="Q369" t="str">
        <f t="shared" ca="1" si="68"/>
        <v>0100000110000111</v>
      </c>
      <c r="R369">
        <f t="shared" ca="1" si="69"/>
        <v>3.145216512680054</v>
      </c>
      <c r="S369">
        <f t="shared" ca="1" si="70"/>
        <v>57.742598152160646</v>
      </c>
      <c r="T369" s="1">
        <f t="shared" ca="1" si="72"/>
        <v>1.8387974464914341E-2</v>
      </c>
      <c r="V369" s="4">
        <f t="shared" ca="1" si="71"/>
        <v>1.0425979999999999</v>
      </c>
      <c r="X369" s="2"/>
    </row>
    <row r="370" spans="8:24" x14ac:dyDescent="0.25">
      <c r="H370">
        <v>56.800000000000004</v>
      </c>
      <c r="I370">
        <v>3.1222220609236615</v>
      </c>
      <c r="J370" s="4">
        <f t="shared" si="62"/>
        <v>-1.2999999999999999E-5</v>
      </c>
      <c r="K370" s="9">
        <f t="shared" si="63"/>
        <v>1.84E-4</v>
      </c>
      <c r="L370" s="4">
        <f t="shared" si="64"/>
        <v>9.724E-3</v>
      </c>
      <c r="M370" s="5">
        <f t="shared" si="65"/>
        <v>3.1529518002371679</v>
      </c>
      <c r="N370" s="2">
        <f t="shared" si="66"/>
        <v>9.8422657690194846E-3</v>
      </c>
      <c r="O370">
        <f t="shared" si="67"/>
        <v>16821.300999999999</v>
      </c>
      <c r="P370">
        <f t="shared" ca="1" si="73"/>
        <v>16822</v>
      </c>
      <c r="Q370" t="str">
        <f t="shared" ca="1" si="68"/>
        <v>0100000110110110</v>
      </c>
      <c r="R370">
        <f t="shared" ca="1" si="69"/>
        <v>3.1540287437438965</v>
      </c>
      <c r="S370">
        <f t="shared" ca="1" si="70"/>
        <v>57.848344924926757</v>
      </c>
      <c r="T370" s="1">
        <f t="shared" ca="1" si="72"/>
        <v>1.8456776847301976E-2</v>
      </c>
      <c r="V370" s="4">
        <f t="shared" ca="1" si="71"/>
        <v>1.0483450000000001</v>
      </c>
      <c r="X370" s="2"/>
    </row>
    <row r="371" spans="8:24" x14ac:dyDescent="0.25">
      <c r="H371">
        <v>56.9</v>
      </c>
      <c r="I371">
        <v>3.1312882301590785</v>
      </c>
      <c r="J371" s="4">
        <f t="shared" si="62"/>
        <v>-1.2999999999999999E-5</v>
      </c>
      <c r="K371" s="9">
        <f t="shared" si="63"/>
        <v>1.85E-4</v>
      </c>
      <c r="L371" s="4">
        <f t="shared" si="64"/>
        <v>9.7549999999999998E-3</v>
      </c>
      <c r="M371" s="5">
        <f t="shared" si="65"/>
        <v>3.162205983740467</v>
      </c>
      <c r="N371" s="2">
        <f t="shared" si="66"/>
        <v>9.873812727810679E-3</v>
      </c>
      <c r="O371">
        <f t="shared" si="67"/>
        <v>16870.672999999999</v>
      </c>
      <c r="P371">
        <f t="shared" ca="1" si="73"/>
        <v>16873</v>
      </c>
      <c r="Q371" t="str">
        <f t="shared" ca="1" si="68"/>
        <v>0100000111101001</v>
      </c>
      <c r="R371">
        <f t="shared" ca="1" si="69"/>
        <v>3.1635909519195557</v>
      </c>
      <c r="S371">
        <f t="shared" ca="1" si="70"/>
        <v>57.963091423034676</v>
      </c>
      <c r="T371" s="1">
        <f t="shared" ca="1" si="72"/>
        <v>1.8683504798500485E-2</v>
      </c>
      <c r="V371" s="4">
        <f t="shared" ca="1" si="71"/>
        <v>1.063091</v>
      </c>
      <c r="X371" s="2"/>
    </row>
    <row r="372" spans="8:24" x14ac:dyDescent="0.25">
      <c r="H372">
        <v>57</v>
      </c>
      <c r="I372">
        <v>3.1403700417868272</v>
      </c>
      <c r="J372" s="4">
        <f t="shared" si="62"/>
        <v>-1.2E-5</v>
      </c>
      <c r="K372" s="9">
        <f t="shared" si="63"/>
        <v>1.85E-4</v>
      </c>
      <c r="L372" s="4">
        <f t="shared" si="64"/>
        <v>9.7850000000000003E-3</v>
      </c>
      <c r="M372" s="5">
        <f t="shared" si="65"/>
        <v>3.171472331015817</v>
      </c>
      <c r="N372" s="2">
        <f t="shared" si="66"/>
        <v>9.9040204864816062E-3</v>
      </c>
      <c r="O372">
        <f t="shared" si="67"/>
        <v>16920.109799999998</v>
      </c>
      <c r="P372">
        <f t="shared" ca="1" si="73"/>
        <v>16924</v>
      </c>
      <c r="Q372" t="str">
        <f t="shared" ca="1" si="68"/>
        <v>0100001000011100</v>
      </c>
      <c r="R372">
        <f t="shared" ca="1" si="69"/>
        <v>3.173153160095215</v>
      </c>
      <c r="S372">
        <f t="shared" ca="1" si="70"/>
        <v>58.077837921142581</v>
      </c>
      <c r="T372" s="1">
        <f t="shared" ca="1" si="72"/>
        <v>1.8909437213027746E-2</v>
      </c>
      <c r="V372" s="4">
        <f t="shared" ca="1" si="71"/>
        <v>1.0778380000000001</v>
      </c>
      <c r="X372" s="2"/>
    </row>
    <row r="373" spans="8:24" x14ac:dyDescent="0.25">
      <c r="H373">
        <v>57.1</v>
      </c>
      <c r="I373">
        <v>3.1494673778482438</v>
      </c>
      <c r="J373" s="4">
        <f t="shared" si="62"/>
        <v>-1.2E-5</v>
      </c>
      <c r="K373" s="9">
        <f t="shared" si="63"/>
        <v>1.8599999999999999E-4</v>
      </c>
      <c r="L373" s="4">
        <f t="shared" si="64"/>
        <v>9.8160000000000001E-3</v>
      </c>
      <c r="M373" s="5">
        <f t="shared" si="65"/>
        <v>3.1807591402408479</v>
      </c>
      <c r="N373" s="2">
        <f t="shared" si="66"/>
        <v>9.935572793258473E-3</v>
      </c>
      <c r="O373">
        <f t="shared" si="67"/>
        <v>16969.6558</v>
      </c>
      <c r="P373">
        <f t="shared" ca="1" si="73"/>
        <v>16972</v>
      </c>
      <c r="Q373" t="str">
        <f t="shared" ca="1" si="68"/>
        <v>0100001001001100</v>
      </c>
      <c r="R373">
        <f t="shared" ca="1" si="69"/>
        <v>3.1821528854370116</v>
      </c>
      <c r="S373">
        <f t="shared" ca="1" si="70"/>
        <v>58.185834625244141</v>
      </c>
      <c r="T373" s="1">
        <f t="shared" ca="1" si="72"/>
        <v>1.901636821793589E-2</v>
      </c>
      <c r="V373" s="4">
        <f t="shared" ca="1" si="71"/>
        <v>1.0858350000000001</v>
      </c>
      <c r="X373" s="2"/>
    </row>
    <row r="374" spans="8:24" x14ac:dyDescent="0.25">
      <c r="H374">
        <v>57.2</v>
      </c>
      <c r="I374">
        <v>3.1585801199991042</v>
      </c>
      <c r="J374" s="4">
        <f t="shared" si="62"/>
        <v>-1.1E-5</v>
      </c>
      <c r="K374" s="9">
        <f t="shared" si="63"/>
        <v>1.8599999999999999E-4</v>
      </c>
      <c r="L374" s="4">
        <f t="shared" si="64"/>
        <v>9.8460000000000006E-3</v>
      </c>
      <c r="M374" s="5">
        <f t="shared" si="65"/>
        <v>3.1900578586069486</v>
      </c>
      <c r="N374" s="2">
        <f t="shared" si="66"/>
        <v>9.9657876045434451E-3</v>
      </c>
      <c r="O374">
        <f t="shared" si="67"/>
        <v>17019.2654</v>
      </c>
      <c r="P374">
        <f t="shared" ca="1" si="73"/>
        <v>17018</v>
      </c>
      <c r="Q374" t="str">
        <f t="shared" ca="1" si="68"/>
        <v>0100001001111010</v>
      </c>
      <c r="R374">
        <f t="shared" ca="1" si="69"/>
        <v>3.1907776222229005</v>
      </c>
      <c r="S374">
        <f t="shared" ca="1" si="70"/>
        <v>58.28933146667481</v>
      </c>
      <c r="T374" s="1">
        <f t="shared" ca="1" si="72"/>
        <v>1.9044256410398721E-2</v>
      </c>
      <c r="V374" s="4">
        <f t="shared" ca="1" si="71"/>
        <v>1.089331</v>
      </c>
      <c r="X374" s="2"/>
    </row>
    <row r="375" spans="8:24" x14ac:dyDescent="0.25">
      <c r="H375">
        <v>57.300000000000004</v>
      </c>
      <c r="I375">
        <v>3.1671143680316654</v>
      </c>
      <c r="J375" s="4">
        <f t="shared" si="62"/>
        <v>-1.1E-5</v>
      </c>
      <c r="K375" s="9">
        <f t="shared" si="63"/>
        <v>1.8699999999999999E-4</v>
      </c>
      <c r="L375" s="4">
        <f t="shared" si="64"/>
        <v>9.8770000000000004E-3</v>
      </c>
      <c r="M375" s="5">
        <f t="shared" si="65"/>
        <v>3.1987771167477836</v>
      </c>
      <c r="N375" s="2">
        <f t="shared" si="66"/>
        <v>9.9973493334237946E-3</v>
      </c>
      <c r="O375">
        <f t="shared" si="67"/>
        <v>17065.783500000001</v>
      </c>
      <c r="P375">
        <f t="shared" ca="1" si="73"/>
        <v>17065</v>
      </c>
      <c r="Q375" t="str">
        <f t="shared" ca="1" si="68"/>
        <v>0100001010101001</v>
      </c>
      <c r="R375">
        <f t="shared" ca="1" si="69"/>
        <v>3.1995898532867431</v>
      </c>
      <c r="S375">
        <f t="shared" ca="1" si="70"/>
        <v>58.39507823944092</v>
      </c>
      <c r="T375" s="1">
        <f t="shared" ca="1" si="72"/>
        <v>1.9111313079248095E-2</v>
      </c>
      <c r="V375" s="4">
        <f t="shared" ca="1" si="71"/>
        <v>1.095078</v>
      </c>
      <c r="X375" s="2"/>
    </row>
    <row r="376" spans="8:24" x14ac:dyDescent="0.25">
      <c r="H376">
        <v>57.4</v>
      </c>
      <c r="I376">
        <v>3.1762586520452247</v>
      </c>
      <c r="J376" s="4">
        <f t="shared" si="62"/>
        <v>-1.0000000000000001E-5</v>
      </c>
      <c r="K376" s="9">
        <f t="shared" si="63"/>
        <v>1.8699999999999999E-4</v>
      </c>
      <c r="L376" s="4">
        <f t="shared" si="64"/>
        <v>9.9069999999999991E-3</v>
      </c>
      <c r="M376" s="5">
        <f t="shared" si="65"/>
        <v>3.2081088114341028</v>
      </c>
      <c r="N376" s="2">
        <f t="shared" si="66"/>
        <v>1.0027571075916439E-2</v>
      </c>
      <c r="O376">
        <f t="shared" si="67"/>
        <v>17115.569</v>
      </c>
      <c r="P376">
        <f t="shared" ca="1" si="73"/>
        <v>17114</v>
      </c>
      <c r="Q376" t="str">
        <f t="shared" ca="1" si="68"/>
        <v>0100001011011010</v>
      </c>
      <c r="R376">
        <f t="shared" ca="1" si="69"/>
        <v>3.2087770729064942</v>
      </c>
      <c r="S376">
        <f t="shared" ca="1" si="70"/>
        <v>58.505324874877928</v>
      </c>
      <c r="T376" s="1">
        <f t="shared" ca="1" si="72"/>
        <v>1.9256530921218287E-2</v>
      </c>
      <c r="V376" s="4">
        <f t="shared" ca="1" si="71"/>
        <v>1.1053249999999999</v>
      </c>
      <c r="X376" s="2"/>
    </row>
    <row r="377" spans="8:24" x14ac:dyDescent="0.25">
      <c r="H377">
        <v>57.5</v>
      </c>
      <c r="I377">
        <v>3.1848263744812395</v>
      </c>
      <c r="J377" s="4">
        <f t="shared" si="62"/>
        <v>-9.0000000000000002E-6</v>
      </c>
      <c r="K377" s="9">
        <f t="shared" si="63"/>
        <v>1.8799999999999999E-4</v>
      </c>
      <c r="L377" s="4">
        <f t="shared" si="64"/>
        <v>9.9380000000000007E-3</v>
      </c>
      <c r="M377" s="5">
        <f t="shared" si="65"/>
        <v>3.2168619723585388</v>
      </c>
      <c r="N377" s="2">
        <f t="shared" si="66"/>
        <v>1.0058820830544452E-2</v>
      </c>
      <c r="O377">
        <f t="shared" si="67"/>
        <v>17162.267899999999</v>
      </c>
      <c r="P377">
        <f t="shared" ca="1" si="73"/>
        <v>17163</v>
      </c>
      <c r="Q377" t="str">
        <f t="shared" ca="1" si="68"/>
        <v>0100001100001011</v>
      </c>
      <c r="R377">
        <f t="shared" ca="1" si="69"/>
        <v>3.2179642925262453</v>
      </c>
      <c r="S377">
        <f t="shared" ca="1" si="70"/>
        <v>58.61557151031495</v>
      </c>
      <c r="T377" s="1">
        <f t="shared" ca="1" si="72"/>
        <v>1.940124365765131E-2</v>
      </c>
      <c r="V377" s="4">
        <f t="shared" ca="1" si="71"/>
        <v>1.115572</v>
      </c>
      <c r="X377" s="2"/>
    </row>
    <row r="378" spans="8:24" x14ac:dyDescent="0.25">
      <c r="H378">
        <v>57.6</v>
      </c>
      <c r="I378">
        <v>3.1945922557351656</v>
      </c>
      <c r="J378" s="4">
        <f t="shared" si="62"/>
        <v>-9.0000000000000002E-6</v>
      </c>
      <c r="K378" s="9">
        <f t="shared" si="63"/>
        <v>1.8799999999999999E-4</v>
      </c>
      <c r="L378" s="4">
        <f t="shared" si="64"/>
        <v>9.9679999999999994E-3</v>
      </c>
      <c r="M378" s="5">
        <f t="shared" si="65"/>
        <v>3.2268236557921011</v>
      </c>
      <c r="N378" s="2">
        <f t="shared" si="66"/>
        <v>1.0089362734499625E-2</v>
      </c>
      <c r="O378">
        <f t="shared" si="67"/>
        <v>17215.414499999999</v>
      </c>
      <c r="P378">
        <f t="shared" ca="1" si="73"/>
        <v>17220</v>
      </c>
      <c r="Q378" t="str">
        <f t="shared" ca="1" si="68"/>
        <v>0100001101000100</v>
      </c>
      <c r="R378">
        <f t="shared" ca="1" si="69"/>
        <v>3.2286514663696289</v>
      </c>
      <c r="S378">
        <f t="shared" ca="1" si="70"/>
        <v>58.743817596435548</v>
      </c>
      <c r="T378" s="1">
        <f t="shared" ca="1" si="72"/>
        <v>1.9857944382561572E-2</v>
      </c>
      <c r="V378" s="4">
        <f t="shared" ca="1" si="71"/>
        <v>1.143818</v>
      </c>
      <c r="X378" s="2"/>
    </row>
    <row r="379" spans="8:24" x14ac:dyDescent="0.25">
      <c r="H379">
        <v>57.7</v>
      </c>
      <c r="I379">
        <v>3.2037813390650158</v>
      </c>
      <c r="J379" s="4">
        <f t="shared" si="62"/>
        <v>-7.9999999999999996E-6</v>
      </c>
      <c r="K379" s="9">
        <f t="shared" si="63"/>
        <v>1.8900000000000001E-4</v>
      </c>
      <c r="L379" s="4">
        <f t="shared" si="64"/>
        <v>9.9989999999999992E-3</v>
      </c>
      <c r="M379" s="5">
        <f t="shared" si="65"/>
        <v>3.2362055787044817</v>
      </c>
      <c r="N379" s="2">
        <f t="shared" si="66"/>
        <v>1.0120615675016214E-2</v>
      </c>
      <c r="O379">
        <f t="shared" si="67"/>
        <v>17265.4679</v>
      </c>
      <c r="P379">
        <f t="shared" ca="1" si="73"/>
        <v>17270</v>
      </c>
      <c r="Q379" t="str">
        <f t="shared" ca="1" si="68"/>
        <v>0100001101110110</v>
      </c>
      <c r="R379">
        <f t="shared" ca="1" si="69"/>
        <v>3.238026180267334</v>
      </c>
      <c r="S379">
        <f t="shared" ca="1" si="70"/>
        <v>58.856314163208012</v>
      </c>
      <c r="T379" s="1">
        <f t="shared" ca="1" si="72"/>
        <v>2.0040106814696861E-2</v>
      </c>
      <c r="V379" s="4">
        <f t="shared" ca="1" si="71"/>
        <v>1.1563140000000001</v>
      </c>
      <c r="X379" s="2"/>
    </row>
    <row r="380" spans="8:24" x14ac:dyDescent="0.25">
      <c r="H380">
        <v>57.800000000000004</v>
      </c>
      <c r="I380">
        <v>3.2123967531471243</v>
      </c>
      <c r="J380" s="4">
        <f t="shared" si="62"/>
        <v>-7.9999999999999996E-6</v>
      </c>
      <c r="K380" s="9">
        <f t="shared" si="63"/>
        <v>1.8900000000000001E-4</v>
      </c>
      <c r="L380" s="4">
        <f t="shared" si="64"/>
        <v>1.0029E-2</v>
      </c>
      <c r="M380" s="5">
        <f t="shared" si="65"/>
        <v>3.2450063400494802</v>
      </c>
      <c r="N380" s="2">
        <f t="shared" si="66"/>
        <v>1.0151170421402319E-2</v>
      </c>
      <c r="O380">
        <f t="shared" si="67"/>
        <v>17312.4208</v>
      </c>
      <c r="P380">
        <f t="shared" ca="1" si="73"/>
        <v>17312</v>
      </c>
      <c r="Q380" t="str">
        <f t="shared" ca="1" si="68"/>
        <v>0100001110100000</v>
      </c>
      <c r="R380">
        <f t="shared" ca="1" si="69"/>
        <v>3.2459009399414063</v>
      </c>
      <c r="S380">
        <f t="shared" ca="1" si="70"/>
        <v>58.950811279296879</v>
      </c>
      <c r="T380" s="1">
        <f t="shared" ca="1" si="72"/>
        <v>1.9910229745620664E-2</v>
      </c>
      <c r="V380" s="4">
        <f t="shared" ca="1" si="71"/>
        <v>1.150811</v>
      </c>
      <c r="X380" s="2"/>
    </row>
    <row r="381" spans="8:24" x14ac:dyDescent="0.25">
      <c r="H381">
        <v>57.9</v>
      </c>
      <c r="I381">
        <v>3.2216161940392523</v>
      </c>
      <c r="J381" s="4">
        <f t="shared" si="62"/>
        <v>-6.9999999999999999E-6</v>
      </c>
      <c r="K381" s="9">
        <f t="shared" si="63"/>
        <v>1.9000000000000001E-4</v>
      </c>
      <c r="L381" s="4">
        <f t="shared" si="64"/>
        <v>1.0059999999999999E-2</v>
      </c>
      <c r="M381" s="5">
        <f t="shared" si="65"/>
        <v>3.2544200765291356</v>
      </c>
      <c r="N381" s="2">
        <f t="shared" si="66"/>
        <v>1.0182430343682219E-2</v>
      </c>
      <c r="O381">
        <f t="shared" si="67"/>
        <v>17362.644</v>
      </c>
      <c r="P381">
        <f t="shared" ca="1" si="73"/>
        <v>17367</v>
      </c>
      <c r="Q381" t="str">
        <f t="shared" ca="1" si="68"/>
        <v>0100001111010111</v>
      </c>
      <c r="R381">
        <f t="shared" ca="1" si="69"/>
        <v>3.2562131252288817</v>
      </c>
      <c r="S381">
        <f t="shared" ca="1" si="70"/>
        <v>59.074557502746579</v>
      </c>
      <c r="T381" s="1">
        <f t="shared" ca="1" si="72"/>
        <v>2.0285967232238005E-2</v>
      </c>
      <c r="V381" s="4">
        <f t="shared" ca="1" si="71"/>
        <v>1.174558</v>
      </c>
      <c r="X381" s="2"/>
    </row>
    <row r="382" spans="8:24" x14ac:dyDescent="0.25">
      <c r="H382">
        <v>58</v>
      </c>
      <c r="I382">
        <v>3.2308500961802906</v>
      </c>
      <c r="J382" s="4">
        <f t="shared" si="62"/>
        <v>-6.9999999999999999E-6</v>
      </c>
      <c r="K382" s="9">
        <f t="shared" si="63"/>
        <v>1.9000000000000001E-4</v>
      </c>
      <c r="L382" s="4">
        <f t="shared" si="64"/>
        <v>1.009E-2</v>
      </c>
      <c r="M382" s="5">
        <f t="shared" si="65"/>
        <v>3.2638467244095835</v>
      </c>
      <c r="N382" s="2">
        <f t="shared" si="66"/>
        <v>1.021298644226901E-2</v>
      </c>
      <c r="O382">
        <f t="shared" si="67"/>
        <v>17412.936099999999</v>
      </c>
      <c r="P382">
        <f t="shared" ca="1" si="73"/>
        <v>17412</v>
      </c>
      <c r="Q382" t="str">
        <f t="shared" ca="1" si="68"/>
        <v>0100010000000100</v>
      </c>
      <c r="R382">
        <f t="shared" ca="1" si="69"/>
        <v>3.2646503677368166</v>
      </c>
      <c r="S382">
        <f t="shared" ca="1" si="70"/>
        <v>59.175804412841806</v>
      </c>
      <c r="T382" s="1">
        <f t="shared" ca="1" si="72"/>
        <v>2.027248987658287E-2</v>
      </c>
      <c r="V382" s="4">
        <f t="shared" ca="1" si="71"/>
        <v>1.1758040000000001</v>
      </c>
      <c r="X382" s="2"/>
    </row>
    <row r="383" spans="8:24" x14ac:dyDescent="0.25">
      <c r="H383">
        <v>58.1</v>
      </c>
      <c r="I383">
        <v>3.2395132162168658</v>
      </c>
      <c r="J383" s="4">
        <f t="shared" si="62"/>
        <v>-6.0000000000000002E-6</v>
      </c>
      <c r="K383" s="9">
        <f t="shared" si="63"/>
        <v>1.9100000000000001E-4</v>
      </c>
      <c r="L383" s="4">
        <f t="shared" si="64"/>
        <v>1.0121E-2</v>
      </c>
      <c r="M383" s="5">
        <f t="shared" si="65"/>
        <v>3.2726996220738758</v>
      </c>
      <c r="N383" s="2">
        <f t="shared" si="66"/>
        <v>1.0244256973819461E-2</v>
      </c>
      <c r="O383">
        <f t="shared" si="67"/>
        <v>17460.167099999999</v>
      </c>
      <c r="P383">
        <f t="shared" ca="1" si="73"/>
        <v>17465</v>
      </c>
      <c r="Q383" t="str">
        <f t="shared" ca="1" si="68"/>
        <v>0100010000111001</v>
      </c>
      <c r="R383">
        <f t="shared" ca="1" si="69"/>
        <v>3.2745875644683839</v>
      </c>
      <c r="S383">
        <f t="shared" ca="1" si="70"/>
        <v>59.295050773620609</v>
      </c>
      <c r="T383" s="1">
        <f t="shared" ca="1" si="72"/>
        <v>2.0568860131163644E-2</v>
      </c>
      <c r="V383" s="4">
        <f t="shared" ca="1" si="71"/>
        <v>1.1950510000000001</v>
      </c>
      <c r="X383" s="2"/>
    </row>
    <row r="384" spans="8:24" x14ac:dyDescent="0.25">
      <c r="H384">
        <v>58.2</v>
      </c>
      <c r="I384">
        <v>3.2487767660586129</v>
      </c>
      <c r="J384" s="4">
        <f t="shared" si="62"/>
        <v>-5.0000000000000004E-6</v>
      </c>
      <c r="K384" s="9">
        <f t="shared" si="63"/>
        <v>1.9100000000000001E-4</v>
      </c>
      <c r="L384" s="4">
        <f t="shared" si="64"/>
        <v>1.0151E-2</v>
      </c>
      <c r="M384" s="5">
        <f t="shared" si="65"/>
        <v>3.2821563463726418</v>
      </c>
      <c r="N384" s="2">
        <f t="shared" si="66"/>
        <v>1.0274507212302152E-2</v>
      </c>
      <c r="O384">
        <f t="shared" si="67"/>
        <v>17510.619699999999</v>
      </c>
      <c r="P384">
        <f t="shared" ca="1" si="73"/>
        <v>17515</v>
      </c>
      <c r="Q384" t="str">
        <f t="shared" ca="1" si="68"/>
        <v>0100010001101011</v>
      </c>
      <c r="R384">
        <f t="shared" ca="1" si="69"/>
        <v>3.2839622783660891</v>
      </c>
      <c r="S384">
        <f t="shared" ca="1" si="70"/>
        <v>59.407547340393073</v>
      </c>
      <c r="T384" s="1">
        <f t="shared" ca="1" si="72"/>
        <v>2.0748236089228007E-2</v>
      </c>
      <c r="V384" s="4">
        <f t="shared" ca="1" si="71"/>
        <v>1.2075469999999999</v>
      </c>
      <c r="X384" s="2"/>
    </row>
    <row r="385" spans="8:24" x14ac:dyDescent="0.25">
      <c r="H385">
        <v>58.300000000000004</v>
      </c>
      <c r="I385">
        <v>3.257471455701741</v>
      </c>
      <c r="J385" s="4">
        <f t="shared" si="62"/>
        <v>-5.0000000000000004E-6</v>
      </c>
      <c r="K385" s="9">
        <f t="shared" si="63"/>
        <v>1.92E-4</v>
      </c>
      <c r="L385" s="4">
        <f t="shared" si="64"/>
        <v>1.0182E-2</v>
      </c>
      <c r="M385" s="5">
        <f t="shared" si="65"/>
        <v>3.2910432676974364</v>
      </c>
      <c r="N385" s="2">
        <f t="shared" si="66"/>
        <v>1.0306095526004588E-2</v>
      </c>
      <c r="O385">
        <f t="shared" si="67"/>
        <v>17558.032299999999</v>
      </c>
      <c r="P385">
        <f t="shared" ca="1" si="73"/>
        <v>17562</v>
      </c>
      <c r="Q385" t="str">
        <f t="shared" ca="1" si="68"/>
        <v>0100010010011010</v>
      </c>
      <c r="R385">
        <f t="shared" ca="1" si="69"/>
        <v>3.2927745094299317</v>
      </c>
      <c r="S385">
        <f t="shared" ca="1" si="70"/>
        <v>59.513294113159183</v>
      </c>
      <c r="T385" s="1">
        <f t="shared" ca="1" si="72"/>
        <v>2.0811219779745784E-2</v>
      </c>
      <c r="V385" s="4">
        <f t="shared" ca="1" si="71"/>
        <v>1.2132940000000001</v>
      </c>
      <c r="X385" s="2"/>
    </row>
    <row r="386" spans="8:24" x14ac:dyDescent="0.25">
      <c r="H386">
        <v>58.400000000000006</v>
      </c>
      <c r="I386">
        <v>3.2661822910474321</v>
      </c>
      <c r="J386" s="4">
        <f t="shared" si="62"/>
        <v>-3.9999999999999998E-6</v>
      </c>
      <c r="K386" s="9">
        <f t="shared" si="63"/>
        <v>1.92E-4</v>
      </c>
      <c r="L386" s="4">
        <f t="shared" si="64"/>
        <v>1.0212000000000001E-2</v>
      </c>
      <c r="M386" s="5">
        <f t="shared" si="65"/>
        <v>3.2999427137441879</v>
      </c>
      <c r="N386" s="2">
        <f t="shared" si="66"/>
        <v>1.0336355931294085E-2</v>
      </c>
      <c r="O386">
        <f t="shared" si="67"/>
        <v>17605.511699999999</v>
      </c>
      <c r="P386">
        <f t="shared" ca="1" si="73"/>
        <v>17605</v>
      </c>
      <c r="Q386" t="str">
        <f t="shared" ca="1" si="68"/>
        <v>0100010011000101</v>
      </c>
      <c r="R386">
        <f t="shared" ca="1" si="69"/>
        <v>3.300836763381958</v>
      </c>
      <c r="S386">
        <f t="shared" ca="1" si="70"/>
        <v>59.610041160583499</v>
      </c>
      <c r="T386" s="1">
        <f t="shared" ca="1" si="72"/>
        <v>2.0719882886703653E-2</v>
      </c>
      <c r="V386" s="4">
        <f t="shared" ca="1" si="71"/>
        <v>1.2100409999999999</v>
      </c>
      <c r="X386" s="2"/>
    </row>
    <row r="387" spans="8:24" x14ac:dyDescent="0.25">
      <c r="H387">
        <v>58.5</v>
      </c>
      <c r="I387">
        <v>3.2754899635434236</v>
      </c>
      <c r="J387" s="4">
        <f t="shared" ref="J387:J450" si="74">ROUND(H387*0.00000575 -0.00034,6)</f>
        <v>-3.9999999999999998E-6</v>
      </c>
      <c r="K387" s="9">
        <f t="shared" ref="K387:K450" si="75">ROUND(H387*0.000005-0.0001,6)</f>
        <v>1.93E-4</v>
      </c>
      <c r="L387" s="4">
        <f t="shared" ref="L387:L450" si="76">ROUND(K387+($C$24*(H387-25)),6)</f>
        <v>1.0243E-2</v>
      </c>
      <c r="M387" s="5">
        <f t="shared" ref="M387:M450" si="77">(I387-J387)/(1-L387)+$C$26+$D$27</f>
        <v>3.3094500664803825</v>
      </c>
      <c r="N387" s="2">
        <f t="shared" ref="N387:N450" si="78">ABS(I387-M387)/I387</f>
        <v>1.036794596073832E-2</v>
      </c>
      <c r="O387">
        <f t="shared" ref="O387:O450" si="79">ROUND((M387*(2^($C$12-1)))/$C$44,4)</f>
        <v>17656.2343</v>
      </c>
      <c r="P387">
        <f t="shared" ca="1" si="73"/>
        <v>17657</v>
      </c>
      <c r="Q387" t="str">
        <f t="shared" ref="Q387:Q450" ca="1" si="80">_xlfn.BASE(P387,2,16)</f>
        <v>0100010011111001</v>
      </c>
      <c r="R387">
        <f t="shared" ref="R387:R450" ca="1" si="81">($C$16/2^($C$12-1)) * P387</f>
        <v>3.3105864658355713</v>
      </c>
      <c r="S387">
        <f t="shared" ref="S387:S450" ca="1" si="82">(R387+5/3)/(1/12)</f>
        <v>59.727037590026853</v>
      </c>
      <c r="T387" s="1">
        <f t="shared" ca="1" si="72"/>
        <v>2.0975001538920568E-2</v>
      </c>
      <c r="V387" s="4">
        <f t="shared" ref="V387:V450" ca="1" si="83">ROUND(ABS(H387-S387),6)</f>
        <v>1.2270380000000001</v>
      </c>
      <c r="X387" s="2"/>
    </row>
    <row r="388" spans="8:24" x14ac:dyDescent="0.25">
      <c r="H388">
        <v>58.6</v>
      </c>
      <c r="I388">
        <v>3.2842316543132193</v>
      </c>
      <c r="J388" s="4">
        <f t="shared" si="74"/>
        <v>-3.0000000000000001E-6</v>
      </c>
      <c r="K388" s="9">
        <f t="shared" si="75"/>
        <v>1.93E-4</v>
      </c>
      <c r="L388" s="4">
        <f t="shared" si="76"/>
        <v>1.0272999999999999E-2</v>
      </c>
      <c r="M388" s="5">
        <f t="shared" si="77"/>
        <v>3.3183817946557177</v>
      </c>
      <c r="N388" s="2">
        <f t="shared" si="78"/>
        <v>1.039821301814951E-2</v>
      </c>
      <c r="O388">
        <f t="shared" si="79"/>
        <v>17703.885900000001</v>
      </c>
      <c r="P388">
        <f t="shared" ca="1" si="73"/>
        <v>17707</v>
      </c>
      <c r="Q388" t="str">
        <f t="shared" ca="1" si="80"/>
        <v>0100010100101011</v>
      </c>
      <c r="R388">
        <f t="shared" ca="1" si="81"/>
        <v>3.3199611797332764</v>
      </c>
      <c r="S388">
        <f t="shared" ca="1" si="82"/>
        <v>59.839534156799324</v>
      </c>
      <c r="T388" s="1">
        <f t="shared" ref="T388:T451" ca="1" si="84">ABS(H388-S388)/H388</f>
        <v>2.1152460013640319E-2</v>
      </c>
      <c r="V388" s="4">
        <f t="shared" ca="1" si="83"/>
        <v>1.2395339999999999</v>
      </c>
      <c r="X388" s="2"/>
    </row>
    <row r="389" spans="8:24" x14ac:dyDescent="0.25">
      <c r="H389">
        <v>58.7</v>
      </c>
      <c r="I389">
        <v>3.29414645314051</v>
      </c>
      <c r="J389" s="4">
        <f t="shared" si="74"/>
        <v>-1.9999999999999999E-6</v>
      </c>
      <c r="K389" s="9">
        <f t="shared" si="75"/>
        <v>1.94E-4</v>
      </c>
      <c r="L389" s="4">
        <f t="shared" si="76"/>
        <v>1.0304000000000001E-2</v>
      </c>
      <c r="M389" s="5">
        <f t="shared" si="77"/>
        <v>3.3285027478220686</v>
      </c>
      <c r="N389" s="2">
        <f t="shared" si="78"/>
        <v>1.042949825403318E-2</v>
      </c>
      <c r="O389">
        <f t="shared" si="79"/>
        <v>17757.8822</v>
      </c>
      <c r="P389">
        <f t="shared" ca="1" si="73"/>
        <v>17760</v>
      </c>
      <c r="Q389" t="str">
        <f t="shared" ca="1" si="80"/>
        <v>0100010101100000</v>
      </c>
      <c r="R389">
        <f t="shared" ca="1" si="81"/>
        <v>3.3298983764648438</v>
      </c>
      <c r="S389">
        <f t="shared" ca="1" si="82"/>
        <v>59.958780517578127</v>
      </c>
      <c r="T389" s="1">
        <f t="shared" ca="1" si="84"/>
        <v>2.1444301832676732E-2</v>
      </c>
      <c r="V389" s="4">
        <f t="shared" ca="1" si="83"/>
        <v>1.2587809999999999</v>
      </c>
      <c r="X389" s="2"/>
    </row>
    <row r="390" spans="8:24" x14ac:dyDescent="0.25">
      <c r="H390">
        <v>58.800000000000004</v>
      </c>
      <c r="I390">
        <v>3.3023398636230676</v>
      </c>
      <c r="J390" s="4">
        <f t="shared" si="74"/>
        <v>-1.9999999999999999E-6</v>
      </c>
      <c r="K390" s="9">
        <f t="shared" si="75"/>
        <v>1.94E-4</v>
      </c>
      <c r="L390" s="4">
        <f t="shared" si="76"/>
        <v>1.0333999999999999E-2</v>
      </c>
      <c r="M390" s="5">
        <f t="shared" si="77"/>
        <v>3.3368826091338568</v>
      </c>
      <c r="N390" s="2">
        <f t="shared" si="78"/>
        <v>1.0460081922910137E-2</v>
      </c>
      <c r="O390">
        <f t="shared" si="79"/>
        <v>17802.589599999999</v>
      </c>
      <c r="P390">
        <f t="shared" ca="1" si="73"/>
        <v>17801</v>
      </c>
      <c r="Q390" t="str">
        <f t="shared" ca="1" si="80"/>
        <v>0100010110001001</v>
      </c>
      <c r="R390">
        <f t="shared" ca="1" si="81"/>
        <v>3.337585641860962</v>
      </c>
      <c r="S390">
        <f t="shared" ca="1" si="82"/>
        <v>60.051027702331545</v>
      </c>
      <c r="T390" s="1">
        <f t="shared" ca="1" si="84"/>
        <v>2.1275981332169062E-2</v>
      </c>
      <c r="V390" s="4">
        <f t="shared" ca="1" si="83"/>
        <v>1.251028</v>
      </c>
      <c r="X390" s="2"/>
    </row>
    <row r="391" spans="8:24" x14ac:dyDescent="0.25">
      <c r="H391">
        <v>58.900000000000006</v>
      </c>
      <c r="I391">
        <v>3.3111274850314718</v>
      </c>
      <c r="J391" s="4">
        <f t="shared" si="74"/>
        <v>-9.9999999999999995E-7</v>
      </c>
      <c r="K391" s="9">
        <f t="shared" si="75"/>
        <v>1.95E-4</v>
      </c>
      <c r="L391" s="4">
        <f t="shared" si="76"/>
        <v>1.0364999999999999E-2</v>
      </c>
      <c r="M391" s="5">
        <f t="shared" si="77"/>
        <v>3.3458657826991485</v>
      </c>
      <c r="N391" s="2">
        <f t="shared" si="78"/>
        <v>1.0491380300129544E-2</v>
      </c>
      <c r="O391">
        <f t="shared" si="79"/>
        <v>17850.515599999999</v>
      </c>
      <c r="P391">
        <f t="shared" ca="1" si="73"/>
        <v>17851</v>
      </c>
      <c r="Q391" t="str">
        <f t="shared" ca="1" si="80"/>
        <v>0100010110111011</v>
      </c>
      <c r="R391">
        <f t="shared" ca="1" si="81"/>
        <v>3.3469603557586671</v>
      </c>
      <c r="S391">
        <f t="shared" ca="1" si="82"/>
        <v>60.163524269104009</v>
      </c>
      <c r="T391" s="1">
        <f t="shared" ca="1" si="84"/>
        <v>2.1452024942343009E-2</v>
      </c>
      <c r="V391" s="4">
        <f t="shared" ca="1" si="83"/>
        <v>1.2635240000000001</v>
      </c>
      <c r="X391" s="2"/>
    </row>
    <row r="392" spans="8:24" x14ac:dyDescent="0.25">
      <c r="H392">
        <v>59</v>
      </c>
      <c r="I392">
        <v>3.3199305368106602</v>
      </c>
      <c r="J392" s="4">
        <f t="shared" si="74"/>
        <v>-9.9999999999999995E-7</v>
      </c>
      <c r="K392" s="9">
        <f t="shared" si="75"/>
        <v>1.95E-4</v>
      </c>
      <c r="L392" s="4">
        <f t="shared" si="76"/>
        <v>1.0395E-2</v>
      </c>
      <c r="M392" s="5">
        <f t="shared" si="77"/>
        <v>3.3548627319997983</v>
      </c>
      <c r="N392" s="2">
        <f t="shared" si="78"/>
        <v>1.0521965686274953E-2</v>
      </c>
      <c r="O392">
        <f t="shared" si="79"/>
        <v>17898.515200000002</v>
      </c>
      <c r="P392">
        <f t="shared" ca="1" si="73"/>
        <v>17903</v>
      </c>
      <c r="Q392" t="str">
        <f t="shared" ca="1" si="80"/>
        <v>0100010111101111</v>
      </c>
      <c r="R392">
        <f t="shared" ca="1" si="81"/>
        <v>3.3567100582122804</v>
      </c>
      <c r="S392">
        <f t="shared" ca="1" si="82"/>
        <v>60.280520698547363</v>
      </c>
      <c r="T392" s="1">
        <f t="shared" ca="1" si="84"/>
        <v>2.1703740653345138E-2</v>
      </c>
      <c r="V392" s="4">
        <f t="shared" ca="1" si="83"/>
        <v>1.280521</v>
      </c>
      <c r="X392" s="2"/>
    </row>
    <row r="393" spans="8:24" x14ac:dyDescent="0.25">
      <c r="H393">
        <v>59.1</v>
      </c>
      <c r="I393">
        <v>3.3293232634242127</v>
      </c>
      <c r="J393" s="4">
        <f t="shared" si="74"/>
        <v>0</v>
      </c>
      <c r="K393" s="9">
        <f t="shared" si="75"/>
        <v>1.9599999999999999E-4</v>
      </c>
      <c r="L393" s="4">
        <f t="shared" si="76"/>
        <v>1.0426E-2</v>
      </c>
      <c r="M393" s="5">
        <f t="shared" si="77"/>
        <v>3.3644585030692125</v>
      </c>
      <c r="N393" s="2">
        <f t="shared" si="78"/>
        <v>1.0553267695868958E-2</v>
      </c>
      <c r="O393">
        <f t="shared" si="79"/>
        <v>17949.709599999998</v>
      </c>
      <c r="P393">
        <f t="shared" ca="1" si="73"/>
        <v>17950</v>
      </c>
      <c r="Q393" t="str">
        <f t="shared" ca="1" si="80"/>
        <v>0100011000011110</v>
      </c>
      <c r="R393">
        <f t="shared" ca="1" si="81"/>
        <v>3.365522289276123</v>
      </c>
      <c r="S393">
        <f t="shared" ca="1" si="82"/>
        <v>60.386267471313474</v>
      </c>
      <c r="T393" s="1">
        <f t="shared" ca="1" si="84"/>
        <v>2.1764255013764337E-2</v>
      </c>
      <c r="V393" s="4">
        <f t="shared" ca="1" si="83"/>
        <v>1.286267</v>
      </c>
      <c r="X393" s="2"/>
    </row>
    <row r="394" spans="8:24" x14ac:dyDescent="0.25">
      <c r="H394">
        <v>59.2</v>
      </c>
      <c r="I394">
        <v>3.3381557465907719</v>
      </c>
      <c r="J394" s="4">
        <f t="shared" si="74"/>
        <v>0</v>
      </c>
      <c r="K394" s="9">
        <f t="shared" si="75"/>
        <v>1.9599999999999999E-4</v>
      </c>
      <c r="L394" s="4">
        <f t="shared" si="76"/>
        <v>1.0456E-2</v>
      </c>
      <c r="M394" s="5">
        <f t="shared" si="77"/>
        <v>3.3734863130318327</v>
      </c>
      <c r="N394" s="2">
        <f t="shared" si="78"/>
        <v>1.058385801116188E-2</v>
      </c>
      <c r="O394">
        <f t="shared" si="79"/>
        <v>17997.873800000001</v>
      </c>
      <c r="P394">
        <f t="shared" ca="1" si="73"/>
        <v>17999</v>
      </c>
      <c r="Q394" t="str">
        <f t="shared" ca="1" si="80"/>
        <v>0100011001001111</v>
      </c>
      <c r="R394">
        <f t="shared" ca="1" si="81"/>
        <v>3.3747095088958741</v>
      </c>
      <c r="S394">
        <f t="shared" ca="1" si="82"/>
        <v>60.496514106750496</v>
      </c>
      <c r="T394" s="1">
        <f t="shared" ca="1" si="84"/>
        <v>2.190057612754211E-2</v>
      </c>
      <c r="V394" s="4">
        <f t="shared" ca="1" si="83"/>
        <v>1.2965139999999999</v>
      </c>
      <c r="X394" s="2"/>
    </row>
    <row r="395" spans="8:24" x14ac:dyDescent="0.25">
      <c r="H395">
        <v>59.300000000000004</v>
      </c>
      <c r="I395">
        <v>3.3470033036842954</v>
      </c>
      <c r="J395" s="4">
        <f t="shared" si="74"/>
        <v>9.9999999999999995E-7</v>
      </c>
      <c r="K395" s="9">
        <f t="shared" si="75"/>
        <v>1.9699999999999999E-4</v>
      </c>
      <c r="L395" s="4">
        <f t="shared" si="76"/>
        <v>1.0487E-2</v>
      </c>
      <c r="M395" s="5">
        <f t="shared" si="77"/>
        <v>3.3825323117920587</v>
      </c>
      <c r="N395" s="2">
        <f t="shared" si="78"/>
        <v>1.0615169715743588E-2</v>
      </c>
      <c r="O395">
        <f t="shared" si="79"/>
        <v>18046.1351</v>
      </c>
      <c r="P395">
        <f t="shared" ca="1" si="73"/>
        <v>18045</v>
      </c>
      <c r="Q395" t="str">
        <f t="shared" ca="1" si="80"/>
        <v>0100011001111101</v>
      </c>
      <c r="R395">
        <f t="shared" ca="1" si="81"/>
        <v>3.3833342456817626</v>
      </c>
      <c r="S395">
        <f t="shared" ca="1" si="82"/>
        <v>60.600010948181158</v>
      </c>
      <c r="T395" s="1">
        <f t="shared" ca="1" si="84"/>
        <v>2.1922612954150985E-2</v>
      </c>
      <c r="V395" s="4">
        <f t="shared" ca="1" si="83"/>
        <v>1.300011</v>
      </c>
      <c r="X395" s="2"/>
    </row>
    <row r="396" spans="8:24" x14ac:dyDescent="0.25">
      <c r="H396">
        <v>59.400000000000006</v>
      </c>
      <c r="I396">
        <v>3.3558658159750396</v>
      </c>
      <c r="J396" s="4">
        <f t="shared" si="74"/>
        <v>1.9999999999999999E-6</v>
      </c>
      <c r="K396" s="9">
        <f t="shared" si="75"/>
        <v>1.9699999999999999E-4</v>
      </c>
      <c r="L396" s="4">
        <f t="shared" si="76"/>
        <v>1.0517E-2</v>
      </c>
      <c r="M396" s="5">
        <f t="shared" si="77"/>
        <v>3.3915905639501029</v>
      </c>
      <c r="N396" s="2">
        <f t="shared" si="78"/>
        <v>1.064546377420742E-2</v>
      </c>
      <c r="O396">
        <f t="shared" si="79"/>
        <v>18094.461800000001</v>
      </c>
      <c r="P396">
        <f t="shared" ca="1" si="73"/>
        <v>18097</v>
      </c>
      <c r="Q396" t="str">
        <f t="shared" ca="1" si="80"/>
        <v>0100011010110001</v>
      </c>
      <c r="R396">
        <f t="shared" ca="1" si="81"/>
        <v>3.3930839481353758</v>
      </c>
      <c r="S396">
        <f t="shared" ca="1" si="82"/>
        <v>60.717007377624512</v>
      </c>
      <c r="T396" s="1">
        <f t="shared" ca="1" si="84"/>
        <v>2.2171841374149934E-2</v>
      </c>
      <c r="V396" s="4">
        <f t="shared" ca="1" si="83"/>
        <v>1.317007</v>
      </c>
      <c r="X396" s="2"/>
    </row>
    <row r="397" spans="8:24" x14ac:dyDescent="0.25">
      <c r="H397">
        <v>59.5</v>
      </c>
      <c r="I397">
        <v>3.3647431647405335</v>
      </c>
      <c r="J397" s="4">
        <f t="shared" si="74"/>
        <v>1.9999999999999999E-6</v>
      </c>
      <c r="K397" s="9">
        <f t="shared" si="75"/>
        <v>1.9799999999999999E-4</v>
      </c>
      <c r="L397" s="4">
        <f t="shared" si="76"/>
        <v>1.0548E-2</v>
      </c>
      <c r="M397" s="5">
        <f t="shared" si="77"/>
        <v>3.4006688075384495</v>
      </c>
      <c r="N397" s="2">
        <f t="shared" si="78"/>
        <v>1.0677083224177182E-2</v>
      </c>
      <c r="O397">
        <f t="shared" si="79"/>
        <v>18142.895100000002</v>
      </c>
      <c r="P397">
        <f t="shared" ca="1" si="73"/>
        <v>18144</v>
      </c>
      <c r="Q397" t="str">
        <f t="shared" ca="1" si="80"/>
        <v>0100011011100000</v>
      </c>
      <c r="R397">
        <f t="shared" ca="1" si="81"/>
        <v>3.4018961791992188</v>
      </c>
      <c r="S397">
        <f t="shared" ca="1" si="82"/>
        <v>60.822754150390629</v>
      </c>
      <c r="T397" s="1">
        <f t="shared" ca="1" si="84"/>
        <v>2.2231162191439151E-2</v>
      </c>
      <c r="V397" s="4">
        <f t="shared" ca="1" si="83"/>
        <v>1.322754</v>
      </c>
      <c r="X397" s="2"/>
    </row>
    <row r="398" spans="8:24" x14ac:dyDescent="0.25">
      <c r="H398">
        <v>59.6</v>
      </c>
      <c r="I398">
        <v>3.3736352308436932</v>
      </c>
      <c r="J398" s="4">
        <f t="shared" si="74"/>
        <v>3.0000000000000001E-6</v>
      </c>
      <c r="K398" s="9">
        <f t="shared" si="75"/>
        <v>1.9799999999999999E-4</v>
      </c>
      <c r="L398" s="4">
        <f t="shared" si="76"/>
        <v>1.0578000000000001E-2</v>
      </c>
      <c r="M398" s="5">
        <f t="shared" si="77"/>
        <v>3.4097580378440071</v>
      </c>
      <c r="N398" s="2">
        <f t="shared" si="78"/>
        <v>1.0707383735520258E-2</v>
      </c>
      <c r="O398">
        <f t="shared" si="79"/>
        <v>18191.386999999999</v>
      </c>
      <c r="P398">
        <f t="shared" ca="1" si="73"/>
        <v>18196</v>
      </c>
      <c r="Q398" t="str">
        <f t="shared" ca="1" si="80"/>
        <v>0100011100010100</v>
      </c>
      <c r="R398">
        <f t="shared" ca="1" si="81"/>
        <v>3.4116458816528321</v>
      </c>
      <c r="S398">
        <f t="shared" ca="1" si="82"/>
        <v>60.939750579833984</v>
      </c>
      <c r="T398" s="1">
        <f t="shared" ca="1" si="84"/>
        <v>2.2479036574395674E-2</v>
      </c>
      <c r="V398" s="4">
        <f t="shared" ca="1" si="83"/>
        <v>1.3397509999999999</v>
      </c>
      <c r="X398" s="2"/>
    </row>
    <row r="399" spans="8:24" x14ac:dyDescent="0.25">
      <c r="H399">
        <v>59.7</v>
      </c>
      <c r="I399">
        <v>3.3825418960930556</v>
      </c>
      <c r="J399" s="4">
        <f t="shared" si="74"/>
        <v>3.0000000000000001E-6</v>
      </c>
      <c r="K399" s="9">
        <f t="shared" si="75"/>
        <v>1.9900000000000001E-4</v>
      </c>
      <c r="L399" s="4">
        <f t="shared" si="76"/>
        <v>1.0609E-2</v>
      </c>
      <c r="M399" s="5">
        <f t="shared" si="77"/>
        <v>3.4188670412112661</v>
      </c>
      <c r="N399" s="2">
        <f t="shared" si="78"/>
        <v>1.0739008187945051E-2</v>
      </c>
      <c r="O399">
        <f t="shared" si="79"/>
        <v>18239.984400000001</v>
      </c>
      <c r="P399">
        <f t="shared" ref="P399:P462" ca="1" si="85">ROUND(O399+$C$47+$C$49+RANDBETWEEN($B$45,$D$45) + 1,0)</f>
        <v>18239</v>
      </c>
      <c r="Q399" t="str">
        <f t="shared" ca="1" si="80"/>
        <v>0100011100111111</v>
      </c>
      <c r="R399">
        <f t="shared" ca="1" si="81"/>
        <v>3.4197081356048584</v>
      </c>
      <c r="S399">
        <f t="shared" ca="1" si="82"/>
        <v>61.036497627258299</v>
      </c>
      <c r="T399" s="1">
        <f t="shared" ca="1" si="84"/>
        <v>2.2386894928949689E-2</v>
      </c>
      <c r="V399" s="4">
        <f t="shared" ca="1" si="83"/>
        <v>1.336498</v>
      </c>
      <c r="X399" s="2"/>
    </row>
    <row r="400" spans="8:24" x14ac:dyDescent="0.25">
      <c r="H400">
        <v>59.800000000000004</v>
      </c>
      <c r="I400">
        <v>3.3920299169623997</v>
      </c>
      <c r="J400" s="4">
        <f t="shared" si="74"/>
        <v>3.9999999999999998E-6</v>
      </c>
      <c r="K400" s="9">
        <f t="shared" si="75"/>
        <v>1.9900000000000001E-4</v>
      </c>
      <c r="L400" s="4">
        <f t="shared" si="76"/>
        <v>1.0638999999999999E-2</v>
      </c>
      <c r="M400" s="5">
        <f t="shared" si="77"/>
        <v>3.4285597470492566</v>
      </c>
      <c r="N400" s="2">
        <f t="shared" si="78"/>
        <v>1.0769312471032008E-2</v>
      </c>
      <c r="O400">
        <f t="shared" si="79"/>
        <v>18291.695899999999</v>
      </c>
      <c r="P400">
        <f t="shared" ca="1" si="85"/>
        <v>18295</v>
      </c>
      <c r="Q400" t="str">
        <f t="shared" ca="1" si="80"/>
        <v>0100011101110111</v>
      </c>
      <c r="R400">
        <f t="shared" ca="1" si="81"/>
        <v>3.4302078151702879</v>
      </c>
      <c r="S400">
        <f t="shared" ca="1" si="82"/>
        <v>61.162493782043462</v>
      </c>
      <c r="T400" s="1">
        <f t="shared" ca="1" si="84"/>
        <v>2.2784176957248464E-2</v>
      </c>
      <c r="V400" s="4">
        <f t="shared" ca="1" si="83"/>
        <v>1.3624940000000001</v>
      </c>
      <c r="X400" s="2"/>
    </row>
    <row r="401" spans="8:24" x14ac:dyDescent="0.25">
      <c r="H401">
        <v>59.900000000000006</v>
      </c>
      <c r="I401">
        <v>3.4009643580023194</v>
      </c>
      <c r="J401" s="4">
        <f t="shared" si="74"/>
        <v>3.9999999999999998E-6</v>
      </c>
      <c r="K401" s="9">
        <f t="shared" si="75"/>
        <v>2.0000000000000001E-4</v>
      </c>
      <c r="L401" s="4">
        <f t="shared" si="76"/>
        <v>1.0670000000000001E-2</v>
      </c>
      <c r="M401" s="5">
        <f t="shared" si="77"/>
        <v>3.4376979765521307</v>
      </c>
      <c r="N401" s="2">
        <f t="shared" si="78"/>
        <v>1.0800941933830823E-2</v>
      </c>
      <c r="O401">
        <f t="shared" si="79"/>
        <v>18340.449199999999</v>
      </c>
      <c r="P401">
        <f t="shared" ca="1" si="85"/>
        <v>18341</v>
      </c>
      <c r="Q401" t="str">
        <f t="shared" ca="1" si="80"/>
        <v>0100011110100101</v>
      </c>
      <c r="R401">
        <f t="shared" ca="1" si="81"/>
        <v>3.4388325519561769</v>
      </c>
      <c r="S401">
        <f t="shared" ca="1" si="82"/>
        <v>61.265990623474124</v>
      </c>
      <c r="T401" s="1">
        <f t="shared" ca="1" si="84"/>
        <v>2.2804517921103815E-2</v>
      </c>
      <c r="V401" s="4">
        <f t="shared" ca="1" si="83"/>
        <v>1.365991</v>
      </c>
      <c r="X401" s="2"/>
    </row>
    <row r="402" spans="8:24" x14ac:dyDescent="0.25">
      <c r="H402">
        <v>60</v>
      </c>
      <c r="I402">
        <v>3.4093483003812226</v>
      </c>
      <c r="J402" s="4">
        <f t="shared" si="74"/>
        <v>5.0000000000000004E-6</v>
      </c>
      <c r="K402" s="9">
        <f t="shared" si="75"/>
        <v>2.0000000000000001E-4</v>
      </c>
      <c r="L402" s="4">
        <f t="shared" si="76"/>
        <v>1.0699999999999999E-2</v>
      </c>
      <c r="M402" s="5">
        <f t="shared" si="77"/>
        <v>3.4462758311747934</v>
      </c>
      <c r="N402" s="2">
        <f t="shared" si="78"/>
        <v>1.0831257923821303E-2</v>
      </c>
      <c r="O402">
        <f t="shared" si="79"/>
        <v>18386.212899999999</v>
      </c>
      <c r="P402">
        <f t="shared" ca="1" si="85"/>
        <v>18385</v>
      </c>
      <c r="Q402" t="str">
        <f t="shared" ca="1" si="80"/>
        <v>0100011111010001</v>
      </c>
      <c r="R402">
        <f t="shared" ca="1" si="81"/>
        <v>3.4470823001861572</v>
      </c>
      <c r="S402">
        <f t="shared" ca="1" si="82"/>
        <v>61.364987602233889</v>
      </c>
      <c r="T402" s="1">
        <f t="shared" ca="1" si="84"/>
        <v>2.2749793370564812E-2</v>
      </c>
      <c r="V402" s="4">
        <f t="shared" ca="1" si="83"/>
        <v>1.3649880000000001</v>
      </c>
      <c r="X402" s="2"/>
    </row>
    <row r="403" spans="8:24" x14ac:dyDescent="0.25">
      <c r="H403">
        <v>60.1</v>
      </c>
      <c r="I403">
        <v>3.4183121766711224</v>
      </c>
      <c r="J403" s="4">
        <f t="shared" si="74"/>
        <v>6.0000000000000002E-6</v>
      </c>
      <c r="K403" s="9">
        <f t="shared" si="75"/>
        <v>2.0100000000000001E-4</v>
      </c>
      <c r="L403" s="4">
        <f t="shared" si="76"/>
        <v>1.0730999999999999E-2</v>
      </c>
      <c r="M403" s="5">
        <f t="shared" si="77"/>
        <v>3.4554439230109533</v>
      </c>
      <c r="N403" s="2">
        <f t="shared" si="78"/>
        <v>1.0862596632701671E-2</v>
      </c>
      <c r="O403">
        <f t="shared" si="79"/>
        <v>18435.125599999999</v>
      </c>
      <c r="P403">
        <f t="shared" ca="1" si="85"/>
        <v>18434</v>
      </c>
      <c r="Q403" t="str">
        <f t="shared" ca="1" si="80"/>
        <v>0100100000000010</v>
      </c>
      <c r="R403">
        <f t="shared" ca="1" si="81"/>
        <v>3.4562695198059084</v>
      </c>
      <c r="S403">
        <f t="shared" ca="1" si="82"/>
        <v>61.475234237670904</v>
      </c>
      <c r="T403" s="1">
        <f t="shared" ca="1" si="84"/>
        <v>2.2882433239116512E-2</v>
      </c>
      <c r="V403" s="4">
        <f t="shared" ca="1" si="83"/>
        <v>1.3752340000000001</v>
      </c>
      <c r="X403" s="2"/>
    </row>
    <row r="404" spans="8:24" x14ac:dyDescent="0.25">
      <c r="H404">
        <v>60.2</v>
      </c>
      <c r="I404">
        <v>3.4272900606262384</v>
      </c>
      <c r="J404" s="4">
        <f t="shared" si="74"/>
        <v>6.0000000000000002E-6</v>
      </c>
      <c r="K404" s="9">
        <f t="shared" si="75"/>
        <v>2.0100000000000001E-4</v>
      </c>
      <c r="L404" s="4">
        <f t="shared" si="76"/>
        <v>1.0761E-2</v>
      </c>
      <c r="M404" s="5">
        <f t="shared" si="77"/>
        <v>3.4646242581299753</v>
      </c>
      <c r="N404" s="2">
        <f t="shared" si="78"/>
        <v>1.0893212083985431E-2</v>
      </c>
      <c r="O404">
        <f t="shared" si="79"/>
        <v>18484.103500000001</v>
      </c>
      <c r="P404">
        <f t="shared" ca="1" si="85"/>
        <v>18483</v>
      </c>
      <c r="Q404" t="str">
        <f t="shared" ca="1" si="80"/>
        <v>0100100000110011</v>
      </c>
      <c r="R404">
        <f t="shared" ca="1" si="81"/>
        <v>3.4654567394256595</v>
      </c>
      <c r="S404">
        <f t="shared" ca="1" si="82"/>
        <v>61.585480873107912</v>
      </c>
      <c r="T404" s="1">
        <f t="shared" ca="1" si="84"/>
        <v>2.3014632443652972E-2</v>
      </c>
      <c r="V404" s="4">
        <f t="shared" ca="1" si="83"/>
        <v>1.385481</v>
      </c>
      <c r="X404" s="2"/>
    </row>
    <row r="405" spans="8:24" x14ac:dyDescent="0.25">
      <c r="H405">
        <v>60.300000000000004</v>
      </c>
      <c r="I405">
        <v>3.4357202847119268</v>
      </c>
      <c r="J405" s="4">
        <f t="shared" si="74"/>
        <v>6.9999999999999999E-6</v>
      </c>
      <c r="K405" s="9">
        <f t="shared" si="75"/>
        <v>2.02E-4</v>
      </c>
      <c r="L405" s="4">
        <f t="shared" si="76"/>
        <v>1.0792E-2</v>
      </c>
      <c r="M405" s="5">
        <f t="shared" si="77"/>
        <v>3.4732540161178709</v>
      </c>
      <c r="N405" s="2">
        <f t="shared" si="78"/>
        <v>1.0924559712546897E-2</v>
      </c>
      <c r="O405">
        <f t="shared" si="79"/>
        <v>18530.144100000001</v>
      </c>
      <c r="P405">
        <f t="shared" ca="1" si="85"/>
        <v>18533</v>
      </c>
      <c r="Q405" t="str">
        <f t="shared" ca="1" si="80"/>
        <v>0100100001100101</v>
      </c>
      <c r="R405">
        <f t="shared" ca="1" si="81"/>
        <v>3.4748314533233642</v>
      </c>
      <c r="S405">
        <f t="shared" ca="1" si="82"/>
        <v>61.697977439880368</v>
      </c>
      <c r="T405" s="1">
        <f t="shared" ca="1" si="84"/>
        <v>2.3183705470652804E-2</v>
      </c>
      <c r="V405" s="4">
        <f t="shared" ca="1" si="83"/>
        <v>1.397977</v>
      </c>
      <c r="X405" s="2"/>
    </row>
    <row r="406" spans="8:24" x14ac:dyDescent="0.25">
      <c r="H406">
        <v>60.400000000000006</v>
      </c>
      <c r="I406">
        <v>3.4441664061948356</v>
      </c>
      <c r="J406" s="4">
        <f t="shared" si="74"/>
        <v>6.9999999999999999E-6</v>
      </c>
      <c r="K406" s="9">
        <f t="shared" si="75"/>
        <v>2.02E-4</v>
      </c>
      <c r="L406" s="4">
        <f t="shared" si="76"/>
        <v>1.0822E-2</v>
      </c>
      <c r="M406" s="5">
        <f t="shared" si="77"/>
        <v>3.4818978773474902</v>
      </c>
      <c r="N406" s="2">
        <f t="shared" si="78"/>
        <v>1.0955182387468001E-2</v>
      </c>
      <c r="O406">
        <f t="shared" si="79"/>
        <v>18576.259999999998</v>
      </c>
      <c r="P406">
        <f t="shared" ca="1" si="85"/>
        <v>18579</v>
      </c>
      <c r="Q406" t="str">
        <f t="shared" ca="1" si="80"/>
        <v>0100100010010011</v>
      </c>
      <c r="R406">
        <f t="shared" ca="1" si="81"/>
        <v>3.4834561901092531</v>
      </c>
      <c r="S406">
        <f t="shared" ca="1" si="82"/>
        <v>61.801474281311044</v>
      </c>
      <c r="T406" s="1">
        <f t="shared" ca="1" si="84"/>
        <v>2.3203216577997329E-2</v>
      </c>
      <c r="V406" s="4">
        <f t="shared" ca="1" si="83"/>
        <v>1.4014740000000001</v>
      </c>
      <c r="X406" s="2"/>
    </row>
    <row r="407" spans="8:24" x14ac:dyDescent="0.25">
      <c r="H407">
        <v>60.5</v>
      </c>
      <c r="I407">
        <v>3.4531877270566667</v>
      </c>
      <c r="J407" s="4">
        <f t="shared" si="74"/>
        <v>7.9999999999999996E-6</v>
      </c>
      <c r="K407" s="9">
        <f t="shared" si="75"/>
        <v>2.03E-4</v>
      </c>
      <c r="L407" s="4">
        <f t="shared" si="76"/>
        <v>1.0853E-2</v>
      </c>
      <c r="M407" s="5">
        <f t="shared" si="77"/>
        <v>3.4911262912212915</v>
      </c>
      <c r="N407" s="2">
        <f t="shared" si="78"/>
        <v>1.0986533940036285E-2</v>
      </c>
      <c r="O407">
        <f t="shared" si="79"/>
        <v>18625.4944</v>
      </c>
      <c r="P407">
        <f t="shared" ca="1" si="85"/>
        <v>18628</v>
      </c>
      <c r="Q407" t="str">
        <f t="shared" ca="1" si="80"/>
        <v>0100100011000100</v>
      </c>
      <c r="R407">
        <f t="shared" ca="1" si="81"/>
        <v>3.4926434097290038</v>
      </c>
      <c r="S407">
        <f t="shared" ca="1" si="82"/>
        <v>61.911720916748052</v>
      </c>
      <c r="T407" s="1">
        <f t="shared" ca="1" si="84"/>
        <v>2.333423002889343E-2</v>
      </c>
      <c r="V407" s="4">
        <f t="shared" ca="1" si="83"/>
        <v>1.411721</v>
      </c>
      <c r="X407" s="2"/>
    </row>
    <row r="408" spans="8:24" x14ac:dyDescent="0.25">
      <c r="H408">
        <v>60.6</v>
      </c>
      <c r="I408">
        <v>3.4622225823378203</v>
      </c>
      <c r="J408" s="4">
        <f t="shared" si="74"/>
        <v>7.9999999999999996E-6</v>
      </c>
      <c r="K408" s="9">
        <f t="shared" si="75"/>
        <v>2.03E-4</v>
      </c>
      <c r="L408" s="4">
        <f t="shared" si="76"/>
        <v>1.0883E-2</v>
      </c>
      <c r="M408" s="5">
        <f t="shared" si="77"/>
        <v>3.5003664390803317</v>
      </c>
      <c r="N408" s="2">
        <f t="shared" si="78"/>
        <v>1.1017159017186954E-2</v>
      </c>
      <c r="O408">
        <f t="shared" si="79"/>
        <v>18674.791499999999</v>
      </c>
      <c r="P408">
        <f t="shared" ca="1" si="85"/>
        <v>18674</v>
      </c>
      <c r="Q408" t="str">
        <f t="shared" ca="1" si="80"/>
        <v>0100100011110010</v>
      </c>
      <c r="R408">
        <f t="shared" ca="1" si="81"/>
        <v>3.5012681465148927</v>
      </c>
      <c r="S408">
        <f t="shared" ca="1" si="82"/>
        <v>62.015217758178714</v>
      </c>
      <c r="T408" s="1">
        <f t="shared" ca="1" si="84"/>
        <v>2.3353428352784041E-2</v>
      </c>
      <c r="V408" s="4">
        <f t="shared" ca="1" si="83"/>
        <v>1.4152180000000001</v>
      </c>
      <c r="X408" s="2"/>
    </row>
    <row r="409" spans="8:24" x14ac:dyDescent="0.25">
      <c r="H409">
        <v>60.7</v>
      </c>
      <c r="I409">
        <v>3.4707135522888941</v>
      </c>
      <c r="J409" s="4">
        <f t="shared" si="74"/>
        <v>9.0000000000000002E-6</v>
      </c>
      <c r="K409" s="9">
        <f t="shared" si="75"/>
        <v>2.04E-4</v>
      </c>
      <c r="L409" s="4">
        <f t="shared" si="76"/>
        <v>1.0914E-2</v>
      </c>
      <c r="M409" s="5">
        <f t="shared" si="77"/>
        <v>3.5090597979112981</v>
      </c>
      <c r="N409" s="2">
        <f t="shared" si="78"/>
        <v>1.1048519287082932E-2</v>
      </c>
      <c r="O409">
        <f t="shared" si="79"/>
        <v>18721.171399999999</v>
      </c>
      <c r="P409">
        <f t="shared" ca="1" si="85"/>
        <v>18721</v>
      </c>
      <c r="Q409" t="str">
        <f t="shared" ca="1" si="80"/>
        <v>0100100100100001</v>
      </c>
      <c r="R409">
        <f t="shared" ca="1" si="81"/>
        <v>3.5100803775787353</v>
      </c>
      <c r="S409">
        <f t="shared" ca="1" si="82"/>
        <v>62.120964530944825</v>
      </c>
      <c r="T409" s="1">
        <f t="shared" ca="1" si="84"/>
        <v>2.3409629834346326E-2</v>
      </c>
      <c r="V409" s="4">
        <f t="shared" ca="1" si="83"/>
        <v>1.420965</v>
      </c>
      <c r="X409" s="2"/>
    </row>
    <row r="410" spans="8:24" x14ac:dyDescent="0.25">
      <c r="H410">
        <v>60.800000000000004</v>
      </c>
      <c r="I410">
        <v>3.4803324258001069</v>
      </c>
      <c r="J410" s="4">
        <f t="shared" si="74"/>
        <v>1.0000000000000001E-5</v>
      </c>
      <c r="K410" s="9">
        <f t="shared" si="75"/>
        <v>2.04E-4</v>
      </c>
      <c r="L410" s="4">
        <f t="shared" si="76"/>
        <v>1.0944000000000001E-2</v>
      </c>
      <c r="M410" s="5">
        <f t="shared" si="77"/>
        <v>3.518890528997455</v>
      </c>
      <c r="N410" s="2">
        <f t="shared" si="78"/>
        <v>1.1078856407943222E-2</v>
      </c>
      <c r="O410">
        <f t="shared" si="79"/>
        <v>18773.619299999998</v>
      </c>
      <c r="P410">
        <f t="shared" ca="1" si="85"/>
        <v>18777</v>
      </c>
      <c r="Q410" t="str">
        <f t="shared" ca="1" si="80"/>
        <v>0100100101011001</v>
      </c>
      <c r="R410">
        <f t="shared" ca="1" si="81"/>
        <v>3.5205800571441652</v>
      </c>
      <c r="S410">
        <f t="shared" ca="1" si="82"/>
        <v>62.246960685729981</v>
      </c>
      <c r="T410" s="1">
        <f t="shared" ca="1" si="84"/>
        <v>2.3798695488979876E-2</v>
      </c>
      <c r="V410" s="4">
        <f t="shared" ca="1" si="83"/>
        <v>1.4469609999999999</v>
      </c>
      <c r="X410" s="2"/>
    </row>
    <row r="411" spans="8:24" x14ac:dyDescent="0.25">
      <c r="H411">
        <v>60.900000000000006</v>
      </c>
      <c r="I411">
        <v>3.488851993520766</v>
      </c>
      <c r="J411" s="4">
        <f t="shared" si="74"/>
        <v>1.0000000000000001E-5</v>
      </c>
      <c r="K411" s="9">
        <f t="shared" si="75"/>
        <v>2.05E-4</v>
      </c>
      <c r="L411" s="4">
        <f t="shared" si="76"/>
        <v>1.0975E-2</v>
      </c>
      <c r="M411" s="5">
        <f t="shared" si="77"/>
        <v>3.5276149308366986</v>
      </c>
      <c r="N411" s="2">
        <f t="shared" si="78"/>
        <v>1.1110513540820943E-2</v>
      </c>
      <c r="O411">
        <f t="shared" si="79"/>
        <v>18820.164799999999</v>
      </c>
      <c r="P411">
        <f t="shared" ca="1" si="85"/>
        <v>18819</v>
      </c>
      <c r="Q411" t="str">
        <f t="shared" ca="1" si="80"/>
        <v>0100100110000011</v>
      </c>
      <c r="R411">
        <f t="shared" ca="1" si="81"/>
        <v>3.5284548168182375</v>
      </c>
      <c r="S411">
        <f t="shared" ca="1" si="82"/>
        <v>62.341457801818848</v>
      </c>
      <c r="T411" s="1">
        <f t="shared" ca="1" si="84"/>
        <v>2.3669257829537636E-2</v>
      </c>
      <c r="V411" s="4">
        <f t="shared" ca="1" si="83"/>
        <v>1.4414579999999999</v>
      </c>
      <c r="X411" s="2"/>
    </row>
    <row r="412" spans="8:24" x14ac:dyDescent="0.25">
      <c r="H412">
        <v>61</v>
      </c>
      <c r="I412">
        <v>3.4979408687242635</v>
      </c>
      <c r="J412" s="4">
        <f t="shared" si="74"/>
        <v>1.1E-5</v>
      </c>
      <c r="K412" s="9">
        <f t="shared" si="75"/>
        <v>2.05E-4</v>
      </c>
      <c r="L412" s="4">
        <f t="shared" si="76"/>
        <v>1.1004999999999999E-2</v>
      </c>
      <c r="M412" s="5">
        <f t="shared" si="77"/>
        <v>3.5369109352769867</v>
      </c>
      <c r="N412" s="2">
        <f t="shared" si="78"/>
        <v>1.1140859155499699E-2</v>
      </c>
      <c r="O412">
        <f t="shared" si="79"/>
        <v>18869.759900000001</v>
      </c>
      <c r="P412">
        <f t="shared" ca="1" si="85"/>
        <v>18874</v>
      </c>
      <c r="Q412" t="str">
        <f t="shared" ca="1" si="80"/>
        <v>0100100110111010</v>
      </c>
      <c r="R412">
        <f t="shared" ca="1" si="81"/>
        <v>3.5387670021057129</v>
      </c>
      <c r="S412">
        <f t="shared" ca="1" si="82"/>
        <v>62.465204025268562</v>
      </c>
      <c r="T412" s="1">
        <f t="shared" ca="1" si="84"/>
        <v>2.401973811915676E-2</v>
      </c>
      <c r="V412" s="4">
        <f t="shared" ca="1" si="83"/>
        <v>1.465204</v>
      </c>
      <c r="X412" s="2"/>
    </row>
    <row r="413" spans="8:24" x14ac:dyDescent="0.25">
      <c r="H413">
        <v>61.1</v>
      </c>
      <c r="I413">
        <v>3.5064896200434239</v>
      </c>
      <c r="J413" s="4">
        <f t="shared" si="74"/>
        <v>1.1E-5</v>
      </c>
      <c r="K413" s="9">
        <f t="shared" si="75"/>
        <v>2.0599999999999999E-4</v>
      </c>
      <c r="L413" s="4">
        <f t="shared" si="76"/>
        <v>1.1036000000000001E-2</v>
      </c>
      <c r="M413" s="5">
        <f t="shared" si="77"/>
        <v>3.545665949372701</v>
      </c>
      <c r="N413" s="2">
        <f t="shared" si="78"/>
        <v>1.117252111779869E-2</v>
      </c>
      <c r="O413">
        <f t="shared" si="79"/>
        <v>18916.468700000001</v>
      </c>
      <c r="P413">
        <f t="shared" ca="1" si="85"/>
        <v>18920</v>
      </c>
      <c r="Q413" t="str">
        <f t="shared" ca="1" si="80"/>
        <v>0100100111101000</v>
      </c>
      <c r="R413">
        <f t="shared" ca="1" si="81"/>
        <v>3.5473917388916014</v>
      </c>
      <c r="S413">
        <f t="shared" ca="1" si="82"/>
        <v>62.568700866699224</v>
      </c>
      <c r="T413" s="1">
        <f t="shared" ca="1" si="84"/>
        <v>2.4037657392785967E-2</v>
      </c>
      <c r="V413" s="4">
        <f t="shared" ca="1" si="83"/>
        <v>1.468701</v>
      </c>
      <c r="X413" s="2"/>
    </row>
    <row r="414" spans="8:24" x14ac:dyDescent="0.25">
      <c r="H414">
        <v>61.2</v>
      </c>
      <c r="I414">
        <v>3.5156053277026862</v>
      </c>
      <c r="J414" s="4">
        <f t="shared" si="74"/>
        <v>1.2E-5</v>
      </c>
      <c r="K414" s="9">
        <f t="shared" si="75"/>
        <v>2.0599999999999999E-4</v>
      </c>
      <c r="L414" s="4">
        <f t="shared" si="76"/>
        <v>1.1065999999999999E-2</v>
      </c>
      <c r="M414" s="5">
        <f t="shared" si="77"/>
        <v>3.5549902075110031</v>
      </c>
      <c r="N414" s="2">
        <f t="shared" si="78"/>
        <v>1.1202872944231617E-2</v>
      </c>
      <c r="O414">
        <f t="shared" si="79"/>
        <v>18966.214599999999</v>
      </c>
      <c r="P414">
        <f t="shared" ca="1" si="85"/>
        <v>18967</v>
      </c>
      <c r="Q414" t="str">
        <f t="shared" ca="1" si="80"/>
        <v>0100101000010111</v>
      </c>
      <c r="R414">
        <f t="shared" ca="1" si="81"/>
        <v>3.5562039699554444</v>
      </c>
      <c r="S414">
        <f t="shared" ca="1" si="82"/>
        <v>62.674447639465335</v>
      </c>
      <c r="T414" s="1">
        <f t="shared" ca="1" si="84"/>
        <v>2.4092281690609996E-2</v>
      </c>
      <c r="V414" s="4">
        <f t="shared" ca="1" si="83"/>
        <v>1.474448</v>
      </c>
      <c r="X414" s="2"/>
    </row>
    <row r="415" spans="8:24" x14ac:dyDescent="0.25">
      <c r="H415">
        <v>61.300000000000004</v>
      </c>
      <c r="I415">
        <v>3.5241827878759886</v>
      </c>
      <c r="J415" s="4">
        <f t="shared" si="74"/>
        <v>1.2E-5</v>
      </c>
      <c r="K415" s="9">
        <f t="shared" si="75"/>
        <v>2.0699999999999999E-4</v>
      </c>
      <c r="L415" s="4">
        <f t="shared" si="76"/>
        <v>1.1096999999999999E-2</v>
      </c>
      <c r="M415" s="5">
        <f t="shared" si="77"/>
        <v>3.5637753594133992</v>
      </c>
      <c r="N415" s="2">
        <f t="shared" si="78"/>
        <v>1.1234539727513076E-2</v>
      </c>
      <c r="O415">
        <f t="shared" si="79"/>
        <v>19013.084200000001</v>
      </c>
      <c r="P415">
        <f t="shared" ca="1" si="85"/>
        <v>19016</v>
      </c>
      <c r="Q415" t="str">
        <f t="shared" ca="1" si="80"/>
        <v>0100101001001000</v>
      </c>
      <c r="R415">
        <f t="shared" ca="1" si="81"/>
        <v>3.5653911895751955</v>
      </c>
      <c r="S415">
        <f t="shared" ca="1" si="82"/>
        <v>62.78469427490235</v>
      </c>
      <c r="T415" s="1">
        <f t="shared" ca="1" si="84"/>
        <v>2.4220134990250334E-2</v>
      </c>
      <c r="V415" s="4">
        <f t="shared" ca="1" si="83"/>
        <v>1.484694</v>
      </c>
      <c r="X415" s="2"/>
    </row>
    <row r="416" spans="8:24" x14ac:dyDescent="0.25">
      <c r="H416">
        <v>61.400000000000006</v>
      </c>
      <c r="I416">
        <v>3.5327749518205267</v>
      </c>
      <c r="J416" s="4">
        <f t="shared" si="74"/>
        <v>1.2999999999999999E-5</v>
      </c>
      <c r="K416" s="9">
        <f t="shared" si="75"/>
        <v>2.0699999999999999E-4</v>
      </c>
      <c r="L416" s="4">
        <f t="shared" si="76"/>
        <v>1.1127E-2</v>
      </c>
      <c r="M416" s="5">
        <f t="shared" si="77"/>
        <v>3.5725713073918763</v>
      </c>
      <c r="N416" s="2">
        <f t="shared" si="78"/>
        <v>1.1264899721631458E-2</v>
      </c>
      <c r="O416">
        <f t="shared" si="79"/>
        <v>19060.011399999999</v>
      </c>
      <c r="P416">
        <f t="shared" ca="1" si="85"/>
        <v>19061</v>
      </c>
      <c r="Q416" t="str">
        <f t="shared" ca="1" si="80"/>
        <v>0100101001110101</v>
      </c>
      <c r="R416">
        <f t="shared" ca="1" si="81"/>
        <v>3.5738284320831299</v>
      </c>
      <c r="S416">
        <f t="shared" ca="1" si="82"/>
        <v>62.885941184997563</v>
      </c>
      <c r="T416" s="1">
        <f t="shared" ca="1" si="84"/>
        <v>2.4200996498331549E-2</v>
      </c>
      <c r="V416" s="4">
        <f t="shared" ca="1" si="83"/>
        <v>1.485941</v>
      </c>
      <c r="X416" s="2"/>
    </row>
    <row r="417" spans="8:24" x14ac:dyDescent="0.25">
      <c r="H417">
        <v>61.5</v>
      </c>
      <c r="I417">
        <v>3.5419305523743048</v>
      </c>
      <c r="J417" s="4">
        <f t="shared" si="74"/>
        <v>1.4E-5</v>
      </c>
      <c r="K417" s="9">
        <f t="shared" si="75"/>
        <v>2.0799999999999999E-4</v>
      </c>
      <c r="L417" s="4">
        <f t="shared" si="76"/>
        <v>1.1158E-2</v>
      </c>
      <c r="M417" s="5">
        <f t="shared" si="77"/>
        <v>3.5819412051776771</v>
      </c>
      <c r="N417" s="2">
        <f t="shared" si="78"/>
        <v>1.1296283823676759E-2</v>
      </c>
      <c r="O417">
        <f t="shared" si="79"/>
        <v>19110.000700000001</v>
      </c>
      <c r="P417">
        <f t="shared" ca="1" si="85"/>
        <v>19109</v>
      </c>
      <c r="Q417" t="str">
        <f t="shared" ca="1" si="80"/>
        <v>0100101010100101</v>
      </c>
      <c r="R417">
        <f t="shared" ca="1" si="81"/>
        <v>3.582828157424927</v>
      </c>
      <c r="S417">
        <f t="shared" ca="1" si="82"/>
        <v>62.993937889099122</v>
      </c>
      <c r="T417" s="1">
        <f t="shared" ca="1" si="84"/>
        <v>2.4291672993481662E-2</v>
      </c>
      <c r="V417" s="4">
        <f t="shared" ca="1" si="83"/>
        <v>1.493938</v>
      </c>
      <c r="X417" s="2"/>
    </row>
    <row r="418" spans="8:24" x14ac:dyDescent="0.25">
      <c r="H418">
        <v>61.6</v>
      </c>
      <c r="I418">
        <v>3.5505507140238715</v>
      </c>
      <c r="J418" s="4">
        <f t="shared" si="74"/>
        <v>1.4E-5</v>
      </c>
      <c r="K418" s="9">
        <f t="shared" si="75"/>
        <v>2.0799999999999999E-4</v>
      </c>
      <c r="L418" s="4">
        <f t="shared" si="76"/>
        <v>1.1188E-2</v>
      </c>
      <c r="M418" s="5">
        <f t="shared" si="77"/>
        <v>3.590767572723502</v>
      </c>
      <c r="N418" s="2">
        <f t="shared" si="78"/>
        <v>1.1326935435898172E-2</v>
      </c>
      <c r="O418">
        <f t="shared" si="79"/>
        <v>19157.090199999999</v>
      </c>
      <c r="P418">
        <f t="shared" ca="1" si="85"/>
        <v>19160</v>
      </c>
      <c r="Q418" t="str">
        <f t="shared" ca="1" si="80"/>
        <v>0100101011011000</v>
      </c>
      <c r="R418">
        <f t="shared" ca="1" si="81"/>
        <v>3.5923903656005862</v>
      </c>
      <c r="S418">
        <f t="shared" ca="1" si="82"/>
        <v>63.108684387207042</v>
      </c>
      <c r="T418" s="1">
        <f t="shared" ca="1" si="84"/>
        <v>2.4491629662451952E-2</v>
      </c>
      <c r="V418" s="4">
        <f t="shared" ca="1" si="83"/>
        <v>1.5086839999999999</v>
      </c>
      <c r="X418" s="2"/>
    </row>
    <row r="419" spans="8:24" x14ac:dyDescent="0.25">
      <c r="H419">
        <v>61.7</v>
      </c>
      <c r="I419">
        <v>3.5597319716802804</v>
      </c>
      <c r="J419" s="4">
        <f t="shared" si="74"/>
        <v>1.5E-5</v>
      </c>
      <c r="K419" s="9">
        <f t="shared" si="75"/>
        <v>2.0900000000000001E-4</v>
      </c>
      <c r="L419" s="4">
        <f t="shared" si="76"/>
        <v>1.1219E-2</v>
      </c>
      <c r="M419" s="5">
        <f t="shared" si="77"/>
        <v>3.6001645672583522</v>
      </c>
      <c r="N419" s="2">
        <f t="shared" si="78"/>
        <v>1.1358325823330625E-2</v>
      </c>
      <c r="O419">
        <f t="shared" si="79"/>
        <v>19207.224099999999</v>
      </c>
      <c r="P419">
        <f t="shared" ca="1" si="85"/>
        <v>19208</v>
      </c>
      <c r="Q419" t="str">
        <f t="shared" ca="1" si="80"/>
        <v>0100101100001000</v>
      </c>
      <c r="R419">
        <f t="shared" ca="1" si="81"/>
        <v>3.6013900909423828</v>
      </c>
      <c r="S419">
        <f t="shared" ca="1" si="82"/>
        <v>63.216681091308601</v>
      </c>
      <c r="T419" s="1">
        <f t="shared" ca="1" si="84"/>
        <v>2.4581541188145838E-2</v>
      </c>
      <c r="V419" s="4">
        <f t="shared" ca="1" si="83"/>
        <v>1.5166809999999999</v>
      </c>
      <c r="X419" s="2"/>
    </row>
    <row r="420" spans="8:24" x14ac:dyDescent="0.25">
      <c r="H420">
        <v>61.800000000000004</v>
      </c>
      <c r="I420">
        <v>3.5678339612738821</v>
      </c>
      <c r="J420" s="4">
        <f t="shared" si="74"/>
        <v>1.5E-5</v>
      </c>
      <c r="K420" s="9">
        <f t="shared" si="75"/>
        <v>2.0900000000000001E-4</v>
      </c>
      <c r="L420" s="4">
        <f t="shared" si="76"/>
        <v>1.1249E-2</v>
      </c>
      <c r="M420" s="5">
        <f t="shared" si="77"/>
        <v>3.6084679649698277</v>
      </c>
      <c r="N420" s="2">
        <f t="shared" si="78"/>
        <v>1.1388983942917956E-2</v>
      </c>
      <c r="O420">
        <f t="shared" si="79"/>
        <v>19251.523499999999</v>
      </c>
      <c r="P420">
        <f t="shared" ca="1" si="85"/>
        <v>19255</v>
      </c>
      <c r="Q420" t="str">
        <f t="shared" ca="1" si="80"/>
        <v>0100101100110111</v>
      </c>
      <c r="R420">
        <f t="shared" ca="1" si="81"/>
        <v>3.6102023220062258</v>
      </c>
      <c r="S420">
        <f t="shared" ca="1" si="82"/>
        <v>63.322427864074712</v>
      </c>
      <c r="T420" s="1">
        <f t="shared" ca="1" si="84"/>
        <v>2.4634755082115004E-2</v>
      </c>
      <c r="V420" s="4">
        <f t="shared" ca="1" si="83"/>
        <v>1.5224279999999999</v>
      </c>
      <c r="X420" s="2"/>
    </row>
    <row r="421" spans="8:24" x14ac:dyDescent="0.25">
      <c r="H421">
        <v>61.900000000000006</v>
      </c>
      <c r="I421">
        <v>3.576496809727634</v>
      </c>
      <c r="J421" s="4">
        <f t="shared" si="74"/>
        <v>1.5999999999999999E-5</v>
      </c>
      <c r="K421" s="9">
        <f t="shared" si="75"/>
        <v>2.1000000000000001E-4</v>
      </c>
      <c r="L421" s="4">
        <f t="shared" si="76"/>
        <v>1.128E-2</v>
      </c>
      <c r="M421" s="5">
        <f t="shared" si="77"/>
        <v>3.6173417706606865</v>
      </c>
      <c r="N421" s="2">
        <f t="shared" si="78"/>
        <v>1.1420382319916871E-2</v>
      </c>
      <c r="O421">
        <f t="shared" si="79"/>
        <v>19298.866099999999</v>
      </c>
      <c r="P421">
        <f t="shared" ca="1" si="85"/>
        <v>19300</v>
      </c>
      <c r="Q421" t="str">
        <f t="shared" ca="1" si="80"/>
        <v>0100101101100100</v>
      </c>
      <c r="R421">
        <f t="shared" ca="1" si="81"/>
        <v>3.6186395645141602</v>
      </c>
      <c r="S421">
        <f t="shared" ca="1" si="82"/>
        <v>63.423674774169925</v>
      </c>
      <c r="T421" s="1">
        <f t="shared" ca="1" si="84"/>
        <v>2.4615101359772518E-2</v>
      </c>
      <c r="V421" s="4">
        <f t="shared" ca="1" si="83"/>
        <v>1.5236749999999999</v>
      </c>
      <c r="X421" s="2"/>
    </row>
    <row r="422" spans="8:24" x14ac:dyDescent="0.25">
      <c r="H422">
        <v>62</v>
      </c>
      <c r="I422">
        <v>3.5851736495232687</v>
      </c>
      <c r="J422" s="4">
        <f t="shared" si="74"/>
        <v>1.7E-5</v>
      </c>
      <c r="K422" s="9">
        <f t="shared" si="75"/>
        <v>2.1000000000000001E-4</v>
      </c>
      <c r="L422" s="4">
        <f t="shared" si="76"/>
        <v>1.1310000000000001E-2</v>
      </c>
      <c r="M422" s="5">
        <f t="shared" si="77"/>
        <v>3.6262266165767518</v>
      </c>
      <c r="N422" s="2">
        <f t="shared" si="78"/>
        <v>1.1450761125320135E-2</v>
      </c>
      <c r="O422">
        <f t="shared" si="79"/>
        <v>19346.2677</v>
      </c>
      <c r="P422">
        <f t="shared" ca="1" si="85"/>
        <v>19345</v>
      </c>
      <c r="Q422" t="str">
        <f t="shared" ca="1" si="80"/>
        <v>0100101110010001</v>
      </c>
      <c r="R422">
        <f t="shared" ca="1" si="81"/>
        <v>3.6270768070220947</v>
      </c>
      <c r="S422">
        <f t="shared" ca="1" si="82"/>
        <v>63.524921684265138</v>
      </c>
      <c r="T422" s="1">
        <f t="shared" ca="1" si="84"/>
        <v>2.4595511036534481E-2</v>
      </c>
      <c r="V422" s="4">
        <f t="shared" ca="1" si="83"/>
        <v>1.5249220000000001</v>
      </c>
      <c r="X422" s="2"/>
    </row>
    <row r="423" spans="8:24" x14ac:dyDescent="0.25">
      <c r="H423">
        <v>62.1</v>
      </c>
      <c r="I423">
        <v>3.5944069125081168</v>
      </c>
      <c r="J423" s="4">
        <f t="shared" si="74"/>
        <v>1.7E-5</v>
      </c>
      <c r="K423" s="9">
        <f t="shared" si="75"/>
        <v>2.1100000000000001E-4</v>
      </c>
      <c r="L423" s="4">
        <f t="shared" si="76"/>
        <v>1.1341E-2</v>
      </c>
      <c r="M423" s="5">
        <f t="shared" si="77"/>
        <v>3.6356794958930401</v>
      </c>
      <c r="N423" s="2">
        <f t="shared" si="78"/>
        <v>1.1482446030609238E-2</v>
      </c>
      <c r="O423">
        <f t="shared" si="79"/>
        <v>19396.699700000001</v>
      </c>
      <c r="P423">
        <f t="shared" ca="1" si="85"/>
        <v>19397</v>
      </c>
      <c r="Q423" t="str">
        <f t="shared" ca="1" si="80"/>
        <v>0100101111000101</v>
      </c>
      <c r="R423">
        <f t="shared" ca="1" si="81"/>
        <v>3.636826509475708</v>
      </c>
      <c r="S423">
        <f t="shared" ca="1" si="82"/>
        <v>63.641918113708499</v>
      </c>
      <c r="T423" s="1">
        <f t="shared" ca="1" si="84"/>
        <v>2.4829599254565179E-2</v>
      </c>
      <c r="V423" s="4">
        <f t="shared" ca="1" si="83"/>
        <v>1.5419179999999999</v>
      </c>
      <c r="X423" s="2"/>
    </row>
    <row r="424" spans="8:24" x14ac:dyDescent="0.25">
      <c r="H424">
        <v>62.2</v>
      </c>
      <c r="I424">
        <v>3.6031103334644881</v>
      </c>
      <c r="J424" s="4">
        <f t="shared" si="74"/>
        <v>1.8E-5</v>
      </c>
      <c r="K424" s="9">
        <f t="shared" si="75"/>
        <v>2.1100000000000001E-4</v>
      </c>
      <c r="L424" s="4">
        <f t="shared" si="76"/>
        <v>1.1370999999999999E-2</v>
      </c>
      <c r="M424" s="5">
        <f t="shared" si="77"/>
        <v>3.6445923333692298</v>
      </c>
      <c r="N424" s="2">
        <f t="shared" si="78"/>
        <v>1.1512830878219516E-2</v>
      </c>
      <c r="O424">
        <f t="shared" si="79"/>
        <v>19444.250499999998</v>
      </c>
      <c r="P424">
        <f t="shared" ca="1" si="85"/>
        <v>19448</v>
      </c>
      <c r="Q424" t="str">
        <f t="shared" ca="1" si="80"/>
        <v>0100101111111000</v>
      </c>
      <c r="R424">
        <f t="shared" ca="1" si="81"/>
        <v>3.6463887176513672</v>
      </c>
      <c r="S424">
        <f t="shared" ca="1" si="82"/>
        <v>63.756664611816404</v>
      </c>
      <c r="T424" s="1">
        <f t="shared" ca="1" si="84"/>
        <v>2.5026762247852115E-2</v>
      </c>
      <c r="V424" s="4">
        <f t="shared" ca="1" si="83"/>
        <v>1.556665</v>
      </c>
      <c r="X424" s="2"/>
    </row>
    <row r="425" spans="8:24" x14ac:dyDescent="0.25">
      <c r="H425">
        <v>62.300000000000004</v>
      </c>
      <c r="I425">
        <v>3.6112869353161594</v>
      </c>
      <c r="J425" s="4">
        <f t="shared" si="74"/>
        <v>1.8E-5</v>
      </c>
      <c r="K425" s="9">
        <f t="shared" si="75"/>
        <v>2.12E-4</v>
      </c>
      <c r="L425" s="4">
        <f t="shared" si="76"/>
        <v>1.1402000000000001E-2</v>
      </c>
      <c r="M425" s="5">
        <f t="shared" si="77"/>
        <v>3.6529775237256801</v>
      </c>
      <c r="N425" s="2">
        <f t="shared" si="78"/>
        <v>1.1544523920769746E-2</v>
      </c>
      <c r="O425">
        <f t="shared" si="79"/>
        <v>19488.9863</v>
      </c>
      <c r="P425">
        <f t="shared" ca="1" si="85"/>
        <v>19488</v>
      </c>
      <c r="Q425" t="str">
        <f t="shared" ca="1" si="80"/>
        <v>0100110000100000</v>
      </c>
      <c r="R425">
        <f t="shared" ca="1" si="81"/>
        <v>3.6538884887695313</v>
      </c>
      <c r="S425">
        <f t="shared" ca="1" si="82"/>
        <v>63.846661865234374</v>
      </c>
      <c r="T425" s="1">
        <f t="shared" ca="1" si="84"/>
        <v>2.4826033149829368E-2</v>
      </c>
      <c r="V425" s="4">
        <f t="shared" ca="1" si="83"/>
        <v>1.546662</v>
      </c>
      <c r="X425" s="2"/>
    </row>
    <row r="426" spans="8:24" x14ac:dyDescent="0.25">
      <c r="H426">
        <v>62.400000000000006</v>
      </c>
      <c r="I426">
        <v>3.6200185587539888</v>
      </c>
      <c r="J426" s="4">
        <f t="shared" si="74"/>
        <v>1.9000000000000001E-5</v>
      </c>
      <c r="K426" s="9">
        <f t="shared" si="75"/>
        <v>2.12E-4</v>
      </c>
      <c r="L426" s="4">
        <f t="shared" si="76"/>
        <v>1.1431999999999999E-2</v>
      </c>
      <c r="M426" s="5">
        <f t="shared" si="77"/>
        <v>3.6619199647348375</v>
      </c>
      <c r="N426" s="2">
        <f t="shared" si="78"/>
        <v>1.1574914686423916E-2</v>
      </c>
      <c r="O426">
        <f t="shared" si="79"/>
        <v>19536.695100000001</v>
      </c>
      <c r="P426">
        <f t="shared" ca="1" si="85"/>
        <v>19541</v>
      </c>
      <c r="Q426" t="str">
        <f t="shared" ca="1" si="80"/>
        <v>0100110001010101</v>
      </c>
      <c r="R426">
        <f t="shared" ca="1" si="81"/>
        <v>3.6638256855010987</v>
      </c>
      <c r="S426">
        <f t="shared" ca="1" si="82"/>
        <v>63.965908226013191</v>
      </c>
      <c r="T426" s="1">
        <f t="shared" ca="1" si="84"/>
        <v>2.509468310918566E-2</v>
      </c>
      <c r="V426" s="4">
        <f t="shared" ca="1" si="83"/>
        <v>1.5659080000000001</v>
      </c>
      <c r="X426" s="2"/>
    </row>
    <row r="427" spans="8:24" x14ac:dyDescent="0.25">
      <c r="H427">
        <v>62.5</v>
      </c>
      <c r="I427">
        <v>3.6287635833184266</v>
      </c>
      <c r="J427" s="4">
        <f t="shared" si="74"/>
        <v>1.9000000000000001E-5</v>
      </c>
      <c r="K427" s="9">
        <f t="shared" si="75"/>
        <v>2.13E-4</v>
      </c>
      <c r="L427" s="4">
        <f t="shared" si="76"/>
        <v>1.1462999999999999E-2</v>
      </c>
      <c r="M427" s="5">
        <f t="shared" si="77"/>
        <v>3.6708812300039622</v>
      </c>
      <c r="N427" s="2">
        <f t="shared" si="78"/>
        <v>1.1606610824456036E-2</v>
      </c>
      <c r="O427">
        <f t="shared" si="79"/>
        <v>19584.504300000001</v>
      </c>
      <c r="P427">
        <f t="shared" ca="1" si="85"/>
        <v>19589</v>
      </c>
      <c r="Q427" t="str">
        <f t="shared" ca="1" si="80"/>
        <v>0100110010000101</v>
      </c>
      <c r="R427">
        <f t="shared" ca="1" si="81"/>
        <v>3.6728254108428957</v>
      </c>
      <c r="S427">
        <f t="shared" ca="1" si="82"/>
        <v>64.07390493011475</v>
      </c>
      <c r="T427" s="1">
        <f t="shared" ca="1" si="84"/>
        <v>2.5182478881836005E-2</v>
      </c>
      <c r="V427" s="4">
        <f t="shared" ca="1" si="83"/>
        <v>1.5739050000000001</v>
      </c>
      <c r="X427" s="2"/>
    </row>
    <row r="428" spans="8:24" x14ac:dyDescent="0.25">
      <c r="H428">
        <v>62.6</v>
      </c>
      <c r="I428">
        <v>3.6380592154316029</v>
      </c>
      <c r="J428" s="4">
        <f t="shared" si="74"/>
        <v>2.0000000000000002E-5</v>
      </c>
      <c r="K428" s="9">
        <f t="shared" si="75"/>
        <v>2.13E-4</v>
      </c>
      <c r="L428" s="4">
        <f t="shared" si="76"/>
        <v>1.1493E-2</v>
      </c>
      <c r="M428" s="5">
        <f t="shared" si="77"/>
        <v>3.6803953323927932</v>
      </c>
      <c r="N428" s="2">
        <f t="shared" si="78"/>
        <v>1.1637006011780282E-2</v>
      </c>
      <c r="O428">
        <f t="shared" si="79"/>
        <v>19635.262999999999</v>
      </c>
      <c r="P428">
        <f t="shared" ca="1" si="85"/>
        <v>19639</v>
      </c>
      <c r="Q428" t="str">
        <f t="shared" ca="1" si="80"/>
        <v>0100110010110111</v>
      </c>
      <c r="R428">
        <f t="shared" ca="1" si="81"/>
        <v>3.6822001247406009</v>
      </c>
      <c r="S428">
        <f t="shared" ca="1" si="82"/>
        <v>64.186401496887214</v>
      </c>
      <c r="T428" s="1">
        <f t="shared" ca="1" si="84"/>
        <v>2.5341876947080073E-2</v>
      </c>
      <c r="V428" s="4">
        <f t="shared" ca="1" si="83"/>
        <v>1.586401</v>
      </c>
      <c r="X428" s="2"/>
    </row>
    <row r="429" spans="8:24" x14ac:dyDescent="0.25">
      <c r="H429">
        <v>62.7</v>
      </c>
      <c r="I429">
        <v>3.646829647040255</v>
      </c>
      <c r="J429" s="4">
        <f t="shared" si="74"/>
        <v>2.0999999999999999E-5</v>
      </c>
      <c r="K429" s="9">
        <f t="shared" si="75"/>
        <v>2.14E-4</v>
      </c>
      <c r="L429" s="4">
        <f t="shared" si="76"/>
        <v>1.1524E-2</v>
      </c>
      <c r="M429" s="5">
        <f t="shared" si="77"/>
        <v>3.6893824216756452</v>
      </c>
      <c r="N429" s="2">
        <f t="shared" si="78"/>
        <v>1.1668429500107245E-2</v>
      </c>
      <c r="O429">
        <f t="shared" si="79"/>
        <v>19683.209900000002</v>
      </c>
      <c r="P429">
        <f t="shared" ca="1" si="85"/>
        <v>19687</v>
      </c>
      <c r="Q429" t="str">
        <f t="shared" ca="1" si="80"/>
        <v>0100110011100111</v>
      </c>
      <c r="R429">
        <f t="shared" ca="1" si="81"/>
        <v>3.6911998500823975</v>
      </c>
      <c r="S429">
        <f t="shared" ca="1" si="82"/>
        <v>64.29439820098878</v>
      </c>
      <c r="T429" s="1">
        <f t="shared" ca="1" si="84"/>
        <v>2.5428998420873646E-2</v>
      </c>
      <c r="V429" s="4">
        <f t="shared" ca="1" si="83"/>
        <v>1.594398</v>
      </c>
      <c r="X429" s="2"/>
    </row>
    <row r="430" spans="8:24" x14ac:dyDescent="0.25">
      <c r="H430">
        <v>62.800000000000004</v>
      </c>
      <c r="I430">
        <v>3.6556131283799989</v>
      </c>
      <c r="J430" s="4">
        <f t="shared" si="74"/>
        <v>2.0999999999999999E-5</v>
      </c>
      <c r="K430" s="9">
        <f t="shared" si="75"/>
        <v>2.14E-4</v>
      </c>
      <c r="L430" s="4">
        <f t="shared" si="76"/>
        <v>1.1554E-2</v>
      </c>
      <c r="M430" s="5">
        <f t="shared" si="77"/>
        <v>3.6983805470890658</v>
      </c>
      <c r="N430" s="2">
        <f t="shared" si="78"/>
        <v>1.1699109617767333E-2</v>
      </c>
      <c r="O430">
        <f t="shared" si="79"/>
        <v>19731.215800000002</v>
      </c>
      <c r="P430">
        <f t="shared" ca="1" si="85"/>
        <v>19736</v>
      </c>
      <c r="Q430" t="str">
        <f t="shared" ca="1" si="80"/>
        <v>0100110100011000</v>
      </c>
      <c r="R430">
        <f t="shared" ca="1" si="81"/>
        <v>3.7003870697021486</v>
      </c>
      <c r="S430">
        <f t="shared" ca="1" si="82"/>
        <v>64.404644836425788</v>
      </c>
      <c r="T430" s="1">
        <f t="shared" ca="1" si="84"/>
        <v>2.5551669369837327E-2</v>
      </c>
      <c r="V430" s="4">
        <f t="shared" ca="1" si="83"/>
        <v>1.6046450000000001</v>
      </c>
      <c r="X430" s="2"/>
    </row>
    <row r="431" spans="8:24" x14ac:dyDescent="0.25">
      <c r="H431">
        <v>62.900000000000006</v>
      </c>
      <c r="I431">
        <v>3.6638753407248594</v>
      </c>
      <c r="J431" s="4">
        <f t="shared" si="74"/>
        <v>2.1999999999999999E-5</v>
      </c>
      <c r="K431" s="9">
        <f t="shared" si="75"/>
        <v>2.1499999999999999E-4</v>
      </c>
      <c r="L431" s="4">
        <f t="shared" si="76"/>
        <v>1.1585E-2</v>
      </c>
      <c r="M431" s="5">
        <f t="shared" si="77"/>
        <v>3.7068545790936596</v>
      </c>
      <c r="N431" s="2">
        <f t="shared" si="78"/>
        <v>1.1730540581191591E-2</v>
      </c>
      <c r="O431">
        <f t="shared" si="79"/>
        <v>19776.425599999999</v>
      </c>
      <c r="P431">
        <f t="shared" ca="1" si="85"/>
        <v>19777</v>
      </c>
      <c r="Q431" t="str">
        <f t="shared" ca="1" si="80"/>
        <v>0100110101000001</v>
      </c>
      <c r="R431">
        <f t="shared" ca="1" si="81"/>
        <v>3.7080743350982668</v>
      </c>
      <c r="S431">
        <f t="shared" ca="1" si="82"/>
        <v>64.496892021179207</v>
      </c>
      <c r="T431" s="1">
        <f t="shared" ca="1" si="84"/>
        <v>2.5387790479796515E-2</v>
      </c>
      <c r="V431" s="4">
        <f t="shared" ca="1" si="83"/>
        <v>1.596892</v>
      </c>
      <c r="X431" s="2"/>
    </row>
    <row r="432" spans="8:24" x14ac:dyDescent="0.25">
      <c r="H432">
        <v>63</v>
      </c>
      <c r="I432">
        <v>3.6726856088528499</v>
      </c>
      <c r="J432" s="4">
        <f t="shared" si="74"/>
        <v>2.1999999999999999E-5</v>
      </c>
      <c r="K432" s="9">
        <f t="shared" si="75"/>
        <v>2.1499999999999999E-4</v>
      </c>
      <c r="L432" s="4">
        <f t="shared" si="76"/>
        <v>1.1615E-2</v>
      </c>
      <c r="M432" s="5">
        <f t="shared" si="77"/>
        <v>3.7158808917404151</v>
      </c>
      <c r="N432" s="2">
        <f t="shared" si="78"/>
        <v>1.1761225296127957E-2</v>
      </c>
      <c r="O432">
        <f t="shared" si="79"/>
        <v>19824.5818</v>
      </c>
      <c r="P432">
        <f t="shared" ca="1" si="85"/>
        <v>19823</v>
      </c>
      <c r="Q432" t="str">
        <f t="shared" ca="1" si="80"/>
        <v>0100110101101111</v>
      </c>
      <c r="R432">
        <f t="shared" ca="1" si="81"/>
        <v>3.7166990718841553</v>
      </c>
      <c r="S432">
        <f t="shared" ca="1" si="82"/>
        <v>64.600388862609861</v>
      </c>
      <c r="T432" s="1">
        <f t="shared" ca="1" si="84"/>
        <v>2.5402997819204149E-2</v>
      </c>
      <c r="V432" s="4">
        <f t="shared" ca="1" si="83"/>
        <v>1.6003890000000001</v>
      </c>
      <c r="X432" s="2"/>
    </row>
    <row r="433" spans="8:24" x14ac:dyDescent="0.25">
      <c r="H433">
        <v>63.1</v>
      </c>
      <c r="I433">
        <v>3.6815085742834954</v>
      </c>
      <c r="J433" s="4">
        <f t="shared" si="74"/>
        <v>2.3E-5</v>
      </c>
      <c r="K433" s="9">
        <f t="shared" si="75"/>
        <v>2.1599999999999999E-4</v>
      </c>
      <c r="L433" s="4">
        <f t="shared" si="76"/>
        <v>1.1646E-2</v>
      </c>
      <c r="M433" s="5">
        <f t="shared" si="77"/>
        <v>3.7249233562220576</v>
      </c>
      <c r="N433" s="2">
        <f t="shared" si="78"/>
        <v>1.1792660824377322E-2</v>
      </c>
      <c r="O433">
        <f t="shared" si="79"/>
        <v>19872.824199999999</v>
      </c>
      <c r="P433">
        <f t="shared" ca="1" si="85"/>
        <v>19872</v>
      </c>
      <c r="Q433" t="str">
        <f t="shared" ca="1" si="80"/>
        <v>0100110110100000</v>
      </c>
      <c r="R433">
        <f t="shared" ca="1" si="81"/>
        <v>3.7258862915039064</v>
      </c>
      <c r="S433">
        <f t="shared" ca="1" si="82"/>
        <v>64.710635498046884</v>
      </c>
      <c r="T433" s="1">
        <f t="shared" ca="1" si="84"/>
        <v>2.5525126751931571E-2</v>
      </c>
      <c r="V433" s="4">
        <f t="shared" ca="1" si="83"/>
        <v>1.610635</v>
      </c>
      <c r="X433" s="2"/>
    </row>
    <row r="434" spans="8:24" x14ac:dyDescent="0.25">
      <c r="H434">
        <v>63.2</v>
      </c>
      <c r="I434">
        <v>3.6892819516350079</v>
      </c>
      <c r="J434" s="4">
        <f t="shared" si="74"/>
        <v>2.3E-5</v>
      </c>
      <c r="K434" s="9">
        <f t="shared" si="75"/>
        <v>2.1599999999999999E-4</v>
      </c>
      <c r="L434" s="4">
        <f t="shared" si="76"/>
        <v>1.1676000000000001E-2</v>
      </c>
      <c r="M434" s="5">
        <f t="shared" si="77"/>
        <v>3.7329016339044765</v>
      </c>
      <c r="N434" s="2">
        <f t="shared" si="78"/>
        <v>1.1823352847872545E-2</v>
      </c>
      <c r="O434">
        <f t="shared" si="79"/>
        <v>19915.3891</v>
      </c>
      <c r="P434">
        <f t="shared" ca="1" si="85"/>
        <v>19919</v>
      </c>
      <c r="Q434" t="str">
        <f t="shared" ca="1" si="80"/>
        <v>0100110111001111</v>
      </c>
      <c r="R434">
        <f t="shared" ca="1" si="81"/>
        <v>3.7346985225677489</v>
      </c>
      <c r="S434">
        <f t="shared" ca="1" si="82"/>
        <v>64.816382270812994</v>
      </c>
      <c r="T434" s="1">
        <f t="shared" ca="1" si="84"/>
        <v>2.5575668841977709E-2</v>
      </c>
      <c r="V434" s="4">
        <f t="shared" ca="1" si="83"/>
        <v>1.616382</v>
      </c>
      <c r="X434" s="2"/>
    </row>
    <row r="435" spans="8:24" x14ac:dyDescent="0.25">
      <c r="H435">
        <v>63.300000000000004</v>
      </c>
      <c r="I435">
        <v>3.6981320343796904</v>
      </c>
      <c r="J435" s="4">
        <f t="shared" si="74"/>
        <v>2.4000000000000001E-5</v>
      </c>
      <c r="K435" s="9">
        <f t="shared" si="75"/>
        <v>2.1699999999999999E-4</v>
      </c>
      <c r="L435" s="4">
        <f t="shared" si="76"/>
        <v>1.1707E-2</v>
      </c>
      <c r="M435" s="5">
        <f t="shared" si="77"/>
        <v>3.7419726289406996</v>
      </c>
      <c r="N435" s="2">
        <f t="shared" si="78"/>
        <v>1.1854794299782982E-2</v>
      </c>
      <c r="O435">
        <f t="shared" si="79"/>
        <v>19963.783800000001</v>
      </c>
      <c r="P435">
        <f t="shared" ca="1" si="85"/>
        <v>19968</v>
      </c>
      <c r="Q435" t="str">
        <f t="shared" ca="1" si="80"/>
        <v>0100111000000000</v>
      </c>
      <c r="R435">
        <f t="shared" ca="1" si="81"/>
        <v>3.7438857421875</v>
      </c>
      <c r="S435">
        <f t="shared" ca="1" si="82"/>
        <v>64.926628906250002</v>
      </c>
      <c r="T435" s="1">
        <f t="shared" ca="1" si="84"/>
        <v>2.5697139119273266E-2</v>
      </c>
      <c r="V435" s="4">
        <f t="shared" ca="1" si="83"/>
        <v>1.6266290000000001</v>
      </c>
      <c r="X435" s="2"/>
    </row>
    <row r="436" spans="8:24" x14ac:dyDescent="0.25">
      <c r="H436">
        <v>63.400000000000006</v>
      </c>
      <c r="I436">
        <v>3.7075234757776308</v>
      </c>
      <c r="J436" s="4">
        <f t="shared" si="74"/>
        <v>2.5000000000000001E-5</v>
      </c>
      <c r="K436" s="9">
        <f t="shared" si="75"/>
        <v>2.1699999999999999E-4</v>
      </c>
      <c r="L436" s="4">
        <f t="shared" si="76"/>
        <v>1.1736999999999999E-2</v>
      </c>
      <c r="M436" s="5">
        <f t="shared" si="77"/>
        <v>3.7515881855656144</v>
      </c>
      <c r="N436" s="2">
        <f t="shared" si="78"/>
        <v>1.1885213964489138E-2</v>
      </c>
      <c r="O436">
        <f t="shared" si="79"/>
        <v>20015.083699999999</v>
      </c>
      <c r="P436">
        <f t="shared" ca="1" si="85"/>
        <v>20018</v>
      </c>
      <c r="Q436" t="str">
        <f t="shared" ca="1" si="80"/>
        <v>0100111000110010</v>
      </c>
      <c r="R436">
        <f t="shared" ca="1" si="81"/>
        <v>3.7532604560852052</v>
      </c>
      <c r="S436">
        <f t="shared" ca="1" si="82"/>
        <v>65.039125473022466</v>
      </c>
      <c r="T436" s="1">
        <f t="shared" ca="1" si="84"/>
        <v>2.5853714085527762E-2</v>
      </c>
      <c r="V436" s="4">
        <f t="shared" ca="1" si="83"/>
        <v>1.6391249999999999</v>
      </c>
      <c r="X436" s="2"/>
    </row>
    <row r="437" spans="8:24" x14ac:dyDescent="0.25">
      <c r="H437">
        <v>63.5</v>
      </c>
      <c r="I437">
        <v>3.7158691214430664</v>
      </c>
      <c r="J437" s="4">
        <f t="shared" si="74"/>
        <v>2.5000000000000001E-5</v>
      </c>
      <c r="K437" s="9">
        <f t="shared" si="75"/>
        <v>2.1800000000000001E-4</v>
      </c>
      <c r="L437" s="4">
        <f t="shared" si="76"/>
        <v>1.1768000000000001E-2</v>
      </c>
      <c r="M437" s="5">
        <f t="shared" si="77"/>
        <v>3.7601508946270377</v>
      </c>
      <c r="N437" s="2">
        <f t="shared" si="78"/>
        <v>1.1916935644594064E-2</v>
      </c>
      <c r="O437">
        <f t="shared" si="79"/>
        <v>20060.766599999999</v>
      </c>
      <c r="P437">
        <f t="shared" ca="1" si="85"/>
        <v>20064</v>
      </c>
      <c r="Q437" t="str">
        <f t="shared" ca="1" si="80"/>
        <v>0100111001100000</v>
      </c>
      <c r="R437">
        <f t="shared" ca="1" si="81"/>
        <v>3.7618851928710937</v>
      </c>
      <c r="S437">
        <f t="shared" ca="1" si="82"/>
        <v>65.142622314453135</v>
      </c>
      <c r="T437" s="1">
        <f t="shared" ca="1" si="84"/>
        <v>2.5868067944143855E-2</v>
      </c>
      <c r="V437" s="4">
        <f t="shared" ca="1" si="83"/>
        <v>1.642622</v>
      </c>
      <c r="X437" s="2"/>
    </row>
    <row r="438" spans="8:24" x14ac:dyDescent="0.25">
      <c r="H438">
        <v>63.6</v>
      </c>
      <c r="I438">
        <v>3.7242289493039684</v>
      </c>
      <c r="J438" s="4">
        <f t="shared" si="74"/>
        <v>2.5999999999999998E-5</v>
      </c>
      <c r="K438" s="9">
        <f t="shared" si="75"/>
        <v>2.1800000000000001E-4</v>
      </c>
      <c r="L438" s="4">
        <f t="shared" si="76"/>
        <v>1.1797999999999999E-2</v>
      </c>
      <c r="M438" s="5">
        <f t="shared" si="77"/>
        <v>3.7687236668413626</v>
      </c>
      <c r="N438" s="2">
        <f t="shared" si="78"/>
        <v>1.1947363640387884E-2</v>
      </c>
      <c r="O438">
        <f t="shared" si="79"/>
        <v>20106.503100000002</v>
      </c>
      <c r="P438">
        <f t="shared" ca="1" si="85"/>
        <v>20108</v>
      </c>
      <c r="Q438" t="str">
        <f t="shared" ca="1" si="80"/>
        <v>0100111010001100</v>
      </c>
      <c r="R438">
        <f t="shared" ca="1" si="81"/>
        <v>3.7701349411010745</v>
      </c>
      <c r="S438">
        <f t="shared" ca="1" si="82"/>
        <v>65.241619293212892</v>
      </c>
      <c r="T438" s="1">
        <f t="shared" ca="1" si="84"/>
        <v>2.5811624107120925E-2</v>
      </c>
      <c r="V438" s="4">
        <f t="shared" ca="1" si="83"/>
        <v>1.6416189999999999</v>
      </c>
      <c r="X438" s="2"/>
    </row>
    <row r="439" spans="8:24" x14ac:dyDescent="0.25">
      <c r="H439">
        <v>63.7</v>
      </c>
      <c r="I439">
        <v>3.7331287517823077</v>
      </c>
      <c r="J439" s="4">
        <f t="shared" si="74"/>
        <v>2.5999999999999998E-5</v>
      </c>
      <c r="K439" s="9">
        <f t="shared" si="75"/>
        <v>2.1900000000000001E-4</v>
      </c>
      <c r="L439" s="4">
        <f t="shared" si="76"/>
        <v>1.1828999999999999E-2</v>
      </c>
      <c r="M439" s="5">
        <f t="shared" si="77"/>
        <v>3.7778482324418623</v>
      </c>
      <c r="N439" s="2">
        <f t="shared" si="78"/>
        <v>1.1979088757172957E-2</v>
      </c>
      <c r="O439">
        <f t="shared" si="79"/>
        <v>20155.1836</v>
      </c>
      <c r="P439">
        <f t="shared" ca="1" si="85"/>
        <v>20156</v>
      </c>
      <c r="Q439" t="str">
        <f t="shared" ca="1" si="80"/>
        <v>0100111010111100</v>
      </c>
      <c r="R439">
        <f t="shared" ca="1" si="81"/>
        <v>3.7791346664428711</v>
      </c>
      <c r="S439">
        <f t="shared" ca="1" si="82"/>
        <v>65.349615997314459</v>
      </c>
      <c r="T439" s="1">
        <f t="shared" ca="1" si="84"/>
        <v>2.5896640460195536E-2</v>
      </c>
      <c r="V439" s="4">
        <f t="shared" ca="1" si="83"/>
        <v>1.649616</v>
      </c>
      <c r="X439" s="2"/>
    </row>
    <row r="440" spans="8:24" x14ac:dyDescent="0.25">
      <c r="H440">
        <v>63.800000000000004</v>
      </c>
      <c r="I440">
        <v>3.7415155549136481</v>
      </c>
      <c r="J440" s="4">
        <f t="shared" si="74"/>
        <v>2.6999999999999999E-5</v>
      </c>
      <c r="K440" s="9">
        <f t="shared" si="75"/>
        <v>2.1900000000000001E-4</v>
      </c>
      <c r="L440" s="4">
        <f t="shared" si="76"/>
        <v>1.1859E-2</v>
      </c>
      <c r="M440" s="5">
        <f t="shared" si="77"/>
        <v>3.7864493701725239</v>
      </c>
      <c r="N440" s="2">
        <f t="shared" si="78"/>
        <v>1.2009522504821686E-2</v>
      </c>
      <c r="O440">
        <f t="shared" si="79"/>
        <v>20201.071400000001</v>
      </c>
      <c r="P440">
        <f t="shared" ca="1" si="85"/>
        <v>20204</v>
      </c>
      <c r="Q440" t="str">
        <f t="shared" ca="1" si="80"/>
        <v>0100111011101100</v>
      </c>
      <c r="R440">
        <f t="shared" ca="1" si="81"/>
        <v>3.7881343917846682</v>
      </c>
      <c r="S440">
        <f t="shared" ca="1" si="82"/>
        <v>65.457612701416025</v>
      </c>
      <c r="T440" s="1">
        <f t="shared" ca="1" si="84"/>
        <v>2.5981390304326342E-2</v>
      </c>
      <c r="V440" s="4">
        <f t="shared" ca="1" si="83"/>
        <v>1.657613</v>
      </c>
      <c r="X440" s="2"/>
    </row>
    <row r="441" spans="8:24" x14ac:dyDescent="0.25">
      <c r="H441">
        <v>63.900000000000006</v>
      </c>
      <c r="I441">
        <v>3.7504400346869233</v>
      </c>
      <c r="J441" s="4">
        <f t="shared" si="74"/>
        <v>2.6999999999999999E-5</v>
      </c>
      <c r="K441" s="9">
        <f t="shared" si="75"/>
        <v>2.2000000000000001E-4</v>
      </c>
      <c r="L441" s="4">
        <f t="shared" si="76"/>
        <v>1.189E-2</v>
      </c>
      <c r="M441" s="5">
        <f t="shared" si="77"/>
        <v>3.7956000294166876</v>
      </c>
      <c r="N441" s="2">
        <f t="shared" si="78"/>
        <v>1.2041252309619749E-2</v>
      </c>
      <c r="O441">
        <f t="shared" si="79"/>
        <v>20249.891100000001</v>
      </c>
      <c r="P441">
        <f t="shared" ca="1" si="85"/>
        <v>20248</v>
      </c>
      <c r="Q441" t="str">
        <f t="shared" ca="1" si="80"/>
        <v>0100111100011000</v>
      </c>
      <c r="R441">
        <f t="shared" ca="1" si="81"/>
        <v>3.7963841400146485</v>
      </c>
      <c r="S441">
        <f t="shared" ca="1" si="82"/>
        <v>65.556609680175796</v>
      </c>
      <c r="T441" s="1">
        <f t="shared" ca="1" si="84"/>
        <v>2.5925034118556973E-2</v>
      </c>
      <c r="V441" s="4">
        <f t="shared" ca="1" si="83"/>
        <v>1.6566099999999999</v>
      </c>
      <c r="X441" s="2"/>
    </row>
    <row r="442" spans="8:24" x14ac:dyDescent="0.25">
      <c r="H442">
        <v>64</v>
      </c>
      <c r="I442">
        <v>3.7588533434508244</v>
      </c>
      <c r="J442" s="4">
        <f t="shared" si="74"/>
        <v>2.8E-5</v>
      </c>
      <c r="K442" s="9">
        <f t="shared" si="75"/>
        <v>2.2000000000000001E-4</v>
      </c>
      <c r="L442" s="4">
        <f t="shared" si="76"/>
        <v>1.192E-2</v>
      </c>
      <c r="M442" s="5">
        <f t="shared" si="77"/>
        <v>3.8042290625160158</v>
      </c>
      <c r="N442" s="2">
        <f t="shared" si="78"/>
        <v>1.2071691795119105E-2</v>
      </c>
      <c r="O442">
        <f t="shared" si="79"/>
        <v>20295.927800000001</v>
      </c>
      <c r="P442">
        <f t="shared" ca="1" si="85"/>
        <v>20296</v>
      </c>
      <c r="Q442" t="str">
        <f t="shared" ca="1" si="80"/>
        <v>0100111101001000</v>
      </c>
      <c r="R442">
        <f t="shared" ca="1" si="81"/>
        <v>3.8053838653564456</v>
      </c>
      <c r="S442">
        <f t="shared" ca="1" si="82"/>
        <v>65.664606384277349</v>
      </c>
      <c r="T442" s="1">
        <f t="shared" ca="1" si="84"/>
        <v>2.6009474754333572E-2</v>
      </c>
      <c r="V442" s="4">
        <f t="shared" ca="1" si="83"/>
        <v>1.664606</v>
      </c>
      <c r="X442" s="2"/>
    </row>
    <row r="443" spans="8:24" x14ac:dyDescent="0.25">
      <c r="H443">
        <v>64.099999999999994</v>
      </c>
      <c r="I443">
        <v>3.7672802432056227</v>
      </c>
      <c r="J443" s="4">
        <f t="shared" si="74"/>
        <v>2.9E-5</v>
      </c>
      <c r="K443" s="9">
        <f t="shared" si="75"/>
        <v>2.2100000000000001E-4</v>
      </c>
      <c r="L443" s="4">
        <f t="shared" si="76"/>
        <v>1.1951E-2</v>
      </c>
      <c r="M443" s="5">
        <f t="shared" si="77"/>
        <v>3.8128762339191913</v>
      </c>
      <c r="N443" s="2">
        <f t="shared" si="78"/>
        <v>1.2103158716637022E-2</v>
      </c>
      <c r="O443">
        <f t="shared" si="79"/>
        <v>20342.061300000001</v>
      </c>
      <c r="P443">
        <f t="shared" ca="1" si="85"/>
        <v>20347</v>
      </c>
      <c r="Q443" t="str">
        <f t="shared" ca="1" si="80"/>
        <v>0100111101111011</v>
      </c>
      <c r="R443">
        <f t="shared" ca="1" si="81"/>
        <v>3.8149460735321044</v>
      </c>
      <c r="S443">
        <f t="shared" ca="1" si="82"/>
        <v>65.779352882385254</v>
      </c>
      <c r="T443" s="1">
        <f t="shared" ca="1" si="84"/>
        <v>2.6198952923326985E-2</v>
      </c>
      <c r="V443" s="4">
        <f t="shared" ca="1" si="83"/>
        <v>1.6793530000000001</v>
      </c>
      <c r="X443" s="2"/>
    </row>
    <row r="444" spans="8:24" x14ac:dyDescent="0.25">
      <c r="H444">
        <v>64.2</v>
      </c>
      <c r="I444">
        <v>3.7762413806007396</v>
      </c>
      <c r="J444" s="4">
        <f t="shared" si="74"/>
        <v>2.9E-5</v>
      </c>
      <c r="K444" s="9">
        <f t="shared" si="75"/>
        <v>2.2100000000000001E-4</v>
      </c>
      <c r="L444" s="4">
        <f t="shared" si="76"/>
        <v>1.1981E-2</v>
      </c>
      <c r="M444" s="5">
        <f t="shared" si="77"/>
        <v>3.8220618082271085</v>
      </c>
      <c r="N444" s="2">
        <f t="shared" si="78"/>
        <v>1.2133871489719139E-2</v>
      </c>
      <c r="O444">
        <f t="shared" si="79"/>
        <v>20391.067200000001</v>
      </c>
      <c r="P444">
        <f t="shared" ca="1" si="85"/>
        <v>20391</v>
      </c>
      <c r="Q444" t="str">
        <f t="shared" ca="1" si="80"/>
        <v>0100111110100111</v>
      </c>
      <c r="R444">
        <f t="shared" ca="1" si="81"/>
        <v>3.8231958217620852</v>
      </c>
      <c r="S444">
        <f t="shared" ca="1" si="82"/>
        <v>65.878349861145026</v>
      </c>
      <c r="T444" s="1">
        <f t="shared" ca="1" si="84"/>
        <v>2.6142521201635866E-2</v>
      </c>
      <c r="V444" s="4">
        <f t="shared" ca="1" si="83"/>
        <v>1.67835</v>
      </c>
      <c r="X444" s="2"/>
    </row>
    <row r="445" spans="8:24" x14ac:dyDescent="0.25">
      <c r="H445">
        <v>64.300000000000011</v>
      </c>
      <c r="I445">
        <v>3.7846940824041808</v>
      </c>
      <c r="J445" s="4">
        <f t="shared" si="74"/>
        <v>3.0000000000000001E-5</v>
      </c>
      <c r="K445" s="9">
        <f t="shared" si="75"/>
        <v>2.22E-4</v>
      </c>
      <c r="L445" s="4">
        <f t="shared" si="76"/>
        <v>1.2012E-2</v>
      </c>
      <c r="M445" s="5">
        <f t="shared" si="77"/>
        <v>3.8307361888081441</v>
      </c>
      <c r="N445" s="2">
        <f t="shared" si="78"/>
        <v>1.2165344252795102E-2</v>
      </c>
      <c r="O445">
        <f t="shared" si="79"/>
        <v>20437.3459</v>
      </c>
      <c r="P445">
        <f t="shared" ca="1" si="85"/>
        <v>20440</v>
      </c>
      <c r="Q445" t="str">
        <f t="shared" ca="1" si="80"/>
        <v>0100111111011000</v>
      </c>
      <c r="R445">
        <f t="shared" ca="1" si="81"/>
        <v>3.8323830413818358</v>
      </c>
      <c r="S445">
        <f t="shared" ca="1" si="82"/>
        <v>65.988596496582034</v>
      </c>
      <c r="T445" s="1">
        <f t="shared" ca="1" si="84"/>
        <v>2.6261220786656637E-2</v>
      </c>
      <c r="V445" s="4">
        <f t="shared" ca="1" si="83"/>
        <v>1.688596</v>
      </c>
      <c r="X445" s="2"/>
    </row>
    <row r="446" spans="8:24" x14ac:dyDescent="0.25">
      <c r="H446">
        <v>64.400000000000006</v>
      </c>
      <c r="I446">
        <v>3.793678735983999</v>
      </c>
      <c r="J446" s="4">
        <f t="shared" si="74"/>
        <v>3.0000000000000001E-5</v>
      </c>
      <c r="K446" s="9">
        <f t="shared" si="75"/>
        <v>2.22E-4</v>
      </c>
      <c r="L446" s="4">
        <f t="shared" si="76"/>
        <v>1.2042000000000001E-2</v>
      </c>
      <c r="M446" s="5">
        <f t="shared" si="77"/>
        <v>3.839946675413326</v>
      </c>
      <c r="N446" s="2">
        <f t="shared" si="78"/>
        <v>1.2196061566959793E-2</v>
      </c>
      <c r="O446">
        <f t="shared" si="79"/>
        <v>20486.484700000001</v>
      </c>
      <c r="P446">
        <f t="shared" ca="1" si="85"/>
        <v>20485</v>
      </c>
      <c r="Q446" t="str">
        <f t="shared" ca="1" si="80"/>
        <v>0101000000000101</v>
      </c>
      <c r="R446">
        <f t="shared" ca="1" si="81"/>
        <v>3.8408202838897707</v>
      </c>
      <c r="S446">
        <f t="shared" ca="1" si="82"/>
        <v>66.089843406677247</v>
      </c>
      <c r="T446" s="1">
        <f t="shared" ca="1" si="84"/>
        <v>2.6239804451509949E-2</v>
      </c>
      <c r="V446" s="4">
        <f t="shared" ca="1" si="83"/>
        <v>1.689843</v>
      </c>
      <c r="X446" s="2"/>
    </row>
    <row r="447" spans="8:24" x14ac:dyDescent="0.25">
      <c r="H447">
        <v>64.5</v>
      </c>
      <c r="I447">
        <v>3.802156773129707</v>
      </c>
      <c r="J447" s="4">
        <f t="shared" si="74"/>
        <v>3.1000000000000001E-5</v>
      </c>
      <c r="K447" s="9">
        <f t="shared" si="75"/>
        <v>2.23E-4</v>
      </c>
      <c r="L447" s="4">
        <f t="shared" si="76"/>
        <v>1.2073E-2</v>
      </c>
      <c r="M447" s="5">
        <f t="shared" si="77"/>
        <v>3.8486477977580402</v>
      </c>
      <c r="N447" s="2">
        <f t="shared" si="78"/>
        <v>1.2227540157441902E-2</v>
      </c>
      <c r="O447">
        <f t="shared" si="79"/>
        <v>20532.905999999999</v>
      </c>
      <c r="P447">
        <f t="shared" ca="1" si="85"/>
        <v>20537</v>
      </c>
      <c r="Q447" t="str">
        <f t="shared" ca="1" si="80"/>
        <v>0101000000111001</v>
      </c>
      <c r="R447">
        <f t="shared" ca="1" si="81"/>
        <v>3.850569986343384</v>
      </c>
      <c r="S447">
        <f t="shared" ca="1" si="82"/>
        <v>66.206839836120622</v>
      </c>
      <c r="T447" s="1">
        <f t="shared" ca="1" si="84"/>
        <v>2.6462633118149181E-2</v>
      </c>
      <c r="V447" s="4">
        <f t="shared" ca="1" si="83"/>
        <v>1.7068399999999999</v>
      </c>
      <c r="X447" s="2"/>
    </row>
    <row r="448" spans="8:24" x14ac:dyDescent="0.25">
      <c r="H448">
        <v>64.599999999999994</v>
      </c>
      <c r="I448">
        <v>3.8106478155683416</v>
      </c>
      <c r="J448" s="4">
        <f t="shared" si="74"/>
        <v>3.1000000000000001E-5</v>
      </c>
      <c r="K448" s="9">
        <f t="shared" si="75"/>
        <v>2.23E-4</v>
      </c>
      <c r="L448" s="4">
        <f t="shared" si="76"/>
        <v>1.2102999999999999E-2</v>
      </c>
      <c r="M448" s="5">
        <f t="shared" si="77"/>
        <v>3.8573597385095226</v>
      </c>
      <c r="N448" s="2">
        <f t="shared" si="78"/>
        <v>1.2258262952125924E-2</v>
      </c>
      <c r="O448">
        <f t="shared" si="79"/>
        <v>20579.3851</v>
      </c>
      <c r="P448">
        <f t="shared" ca="1" si="85"/>
        <v>20581</v>
      </c>
      <c r="Q448" t="str">
        <f t="shared" ca="1" si="80"/>
        <v>0101000001100101</v>
      </c>
      <c r="R448">
        <f t="shared" ca="1" si="81"/>
        <v>3.8588197345733644</v>
      </c>
      <c r="S448">
        <f t="shared" ca="1" si="82"/>
        <v>66.305836814880379</v>
      </c>
      <c r="T448" s="1">
        <f t="shared" ca="1" si="84"/>
        <v>2.6406142645207201E-2</v>
      </c>
      <c r="V448" s="4">
        <f t="shared" ca="1" si="83"/>
        <v>1.705837</v>
      </c>
      <c r="X448" s="2"/>
    </row>
    <row r="449" spans="8:24" x14ac:dyDescent="0.25">
      <c r="H449">
        <v>64.7</v>
      </c>
      <c r="I449">
        <v>3.8186361036937413</v>
      </c>
      <c r="J449" s="4">
        <f t="shared" si="74"/>
        <v>3.1999999999999999E-5</v>
      </c>
      <c r="K449" s="9">
        <f t="shared" si="75"/>
        <v>2.24E-4</v>
      </c>
      <c r="L449" s="4">
        <f t="shared" si="76"/>
        <v>1.2134000000000001E-2</v>
      </c>
      <c r="M449" s="5">
        <f t="shared" si="77"/>
        <v>3.8655661799492456</v>
      </c>
      <c r="N449" s="2">
        <f t="shared" si="78"/>
        <v>1.2289748219294612E-2</v>
      </c>
      <c r="O449">
        <f t="shared" si="79"/>
        <v>20623.1672</v>
      </c>
      <c r="P449">
        <f t="shared" ca="1" si="85"/>
        <v>20626</v>
      </c>
      <c r="Q449" t="str">
        <f t="shared" ca="1" si="80"/>
        <v>0101000010010010</v>
      </c>
      <c r="R449">
        <f t="shared" ca="1" si="81"/>
        <v>3.8672569770812988</v>
      </c>
      <c r="S449">
        <f t="shared" ca="1" si="82"/>
        <v>66.407083724975593</v>
      </c>
      <c r="T449" s="1">
        <f t="shared" ca="1" si="84"/>
        <v>2.6384601622497519E-2</v>
      </c>
      <c r="V449" s="4">
        <f t="shared" ca="1" si="83"/>
        <v>1.707084</v>
      </c>
      <c r="X449" s="2"/>
    </row>
    <row r="450" spans="8:24" x14ac:dyDescent="0.25">
      <c r="H450">
        <v>64.800000000000011</v>
      </c>
      <c r="I450">
        <v>3.8271538263751843</v>
      </c>
      <c r="J450" s="4">
        <f t="shared" si="74"/>
        <v>3.3000000000000003E-5</v>
      </c>
      <c r="K450" s="9">
        <f t="shared" si="75"/>
        <v>2.24E-4</v>
      </c>
      <c r="L450" s="4">
        <f t="shared" si="76"/>
        <v>1.2163999999999999E-2</v>
      </c>
      <c r="M450" s="5">
        <f t="shared" si="77"/>
        <v>3.8743051689381476</v>
      </c>
      <c r="N450" s="2">
        <f t="shared" si="78"/>
        <v>1.232021097192787E-2</v>
      </c>
      <c r="O450">
        <f t="shared" si="79"/>
        <v>20669.7906</v>
      </c>
      <c r="P450">
        <f t="shared" ca="1" si="85"/>
        <v>20671</v>
      </c>
      <c r="Q450" t="str">
        <f t="shared" ca="1" si="80"/>
        <v>0101000010111111</v>
      </c>
      <c r="R450">
        <f t="shared" ca="1" si="81"/>
        <v>3.8756942195892337</v>
      </c>
      <c r="S450">
        <f t="shared" ca="1" si="82"/>
        <v>66.508330635070806</v>
      </c>
      <c r="T450" s="1">
        <f t="shared" ca="1" si="84"/>
        <v>2.6363127084425834E-2</v>
      </c>
      <c r="V450" s="4">
        <f t="shared" ca="1" si="83"/>
        <v>1.708331</v>
      </c>
      <c r="X450" s="2"/>
    </row>
    <row r="451" spans="8:24" x14ac:dyDescent="0.25">
      <c r="H451">
        <v>64.900000000000006</v>
      </c>
      <c r="I451">
        <v>3.8356842021175015</v>
      </c>
      <c r="J451" s="4">
        <f t="shared" ref="J451:J514" si="86">ROUND(H451*0.00000575 -0.00034,6)</f>
        <v>3.3000000000000003E-5</v>
      </c>
      <c r="K451" s="9">
        <f t="shared" ref="K451:K514" si="87">ROUND(H451*0.000005-0.0001,6)</f>
        <v>2.2499999999999999E-4</v>
      </c>
      <c r="L451" s="4">
        <f t="shared" ref="L451:L514" si="88">ROUND(K451+($C$24*(H451-25)),6)</f>
        <v>1.2194999999999999E-2</v>
      </c>
      <c r="M451" s="5">
        <f t="shared" ref="M451:M514" si="89">(I451-J451)/(1-L451)+$C$26+$D$27</f>
        <v>3.8830624412788972</v>
      </c>
      <c r="N451" s="2">
        <f t="shared" ref="N451:N514" si="90">ABS(I451-M451)/I451</f>
        <v>1.2351965559427549E-2</v>
      </c>
      <c r="O451">
        <f t="shared" ref="O451:O514" si="91">ROUND((M451*(2^($C$12-1)))/$C$44,4)</f>
        <v>20716.511500000001</v>
      </c>
      <c r="P451">
        <f t="shared" ca="1" si="85"/>
        <v>20717</v>
      </c>
      <c r="Q451" t="str">
        <f t="shared" ref="Q451:Q514" ca="1" si="92">_xlfn.BASE(P451,2,16)</f>
        <v>0101000011101101</v>
      </c>
      <c r="R451">
        <f t="shared" ref="R451:R514" ca="1" si="93">($C$16/2^($C$12-1)) * P451</f>
        <v>3.8843189563751221</v>
      </c>
      <c r="S451">
        <f t="shared" ref="S451:S514" ca="1" si="94">(R451+5/3)/(1/12)</f>
        <v>66.611827476501475</v>
      </c>
      <c r="T451" s="1">
        <f t="shared" ca="1" si="84"/>
        <v>2.6376386386771478E-2</v>
      </c>
      <c r="V451" s="4">
        <f t="shared" ref="V451:V514" ca="1" si="95">ROUND(ABS(H451-S451),6)</f>
        <v>1.711827</v>
      </c>
      <c r="X451" s="2"/>
    </row>
    <row r="452" spans="8:24" x14ac:dyDescent="0.25">
      <c r="H452">
        <v>65</v>
      </c>
      <c r="I452">
        <v>3.8442271147878468</v>
      </c>
      <c r="J452" s="4">
        <f t="shared" si="86"/>
        <v>3.4E-5</v>
      </c>
      <c r="K452" s="9">
        <f t="shared" si="87"/>
        <v>2.2499999999999999E-4</v>
      </c>
      <c r="L452" s="4">
        <f t="shared" si="88"/>
        <v>1.2225E-2</v>
      </c>
      <c r="M452" s="5">
        <f t="shared" si="89"/>
        <v>3.8918280030754446</v>
      </c>
      <c r="N452" s="2">
        <f t="shared" si="90"/>
        <v>1.2382433936977409E-2</v>
      </c>
      <c r="O452">
        <f t="shared" si="91"/>
        <v>20763.276600000001</v>
      </c>
      <c r="P452">
        <f t="shared" ca="1" si="85"/>
        <v>20764</v>
      </c>
      <c r="Q452" t="str">
        <f t="shared" ca="1" si="92"/>
        <v>0101000100011100</v>
      </c>
      <c r="R452">
        <f t="shared" ca="1" si="93"/>
        <v>3.8931311874389651</v>
      </c>
      <c r="S452">
        <f t="shared" ca="1" si="94"/>
        <v>66.717574249267585</v>
      </c>
      <c r="T452" s="1">
        <f t="shared" ref="T452:T515" ca="1" si="96">ABS(H452-S452)/H452</f>
        <v>2.6424219219501312E-2</v>
      </c>
      <c r="V452" s="4">
        <f t="shared" ca="1" si="95"/>
        <v>1.7175739999999999</v>
      </c>
      <c r="X452" s="2"/>
    </row>
    <row r="453" spans="8:24" x14ac:dyDescent="0.25">
      <c r="H453">
        <v>65.099999999999994</v>
      </c>
      <c r="I453">
        <v>3.8527824476787114</v>
      </c>
      <c r="J453" s="4">
        <f t="shared" si="86"/>
        <v>3.4E-5</v>
      </c>
      <c r="K453" s="9">
        <f t="shared" si="87"/>
        <v>2.2599999999999999E-4</v>
      </c>
      <c r="L453" s="4">
        <f t="shared" si="88"/>
        <v>1.2256E-2</v>
      </c>
      <c r="M453" s="5">
        <f t="shared" si="89"/>
        <v>3.9006116330048188</v>
      </c>
      <c r="N453" s="2">
        <f t="shared" si="90"/>
        <v>1.2414193112545038E-2</v>
      </c>
      <c r="O453">
        <f t="shared" si="91"/>
        <v>20810.1381</v>
      </c>
      <c r="P453">
        <f t="shared" ca="1" si="85"/>
        <v>20814</v>
      </c>
      <c r="Q453" t="str">
        <f t="shared" ca="1" si="92"/>
        <v>0101000101001110</v>
      </c>
      <c r="R453">
        <f t="shared" ca="1" si="93"/>
        <v>3.9025059013366699</v>
      </c>
      <c r="S453">
        <f t="shared" ca="1" si="94"/>
        <v>66.830070816040049</v>
      </c>
      <c r="T453" s="1">
        <f t="shared" ca="1" si="96"/>
        <v>2.6575588572043854E-2</v>
      </c>
      <c r="V453" s="4">
        <f t="shared" ca="1" si="95"/>
        <v>1.7300709999999999</v>
      </c>
      <c r="X453" s="2"/>
    </row>
    <row r="454" spans="8:24" x14ac:dyDescent="0.25">
      <c r="H454">
        <v>65.2</v>
      </c>
      <c r="I454">
        <v>3.8613500845408568</v>
      </c>
      <c r="J454" s="4">
        <f t="shared" si="86"/>
        <v>3.4999999999999997E-5</v>
      </c>
      <c r="K454" s="9">
        <f t="shared" si="87"/>
        <v>2.2599999999999999E-4</v>
      </c>
      <c r="L454" s="4">
        <f t="shared" si="88"/>
        <v>1.2286E-2</v>
      </c>
      <c r="M454" s="5">
        <f t="shared" si="89"/>
        <v>3.9094033009078104</v>
      </c>
      <c r="N454" s="2">
        <f t="shared" si="90"/>
        <v>1.2444667102145821E-2</v>
      </c>
      <c r="O454">
        <f t="shared" si="91"/>
        <v>20857.0425</v>
      </c>
      <c r="P454">
        <f t="shared" ca="1" si="85"/>
        <v>20861</v>
      </c>
      <c r="Q454" t="str">
        <f t="shared" ca="1" si="92"/>
        <v>0101000101111101</v>
      </c>
      <c r="R454">
        <f t="shared" ca="1" si="93"/>
        <v>3.9113181324005128</v>
      </c>
      <c r="S454">
        <f t="shared" ca="1" si="94"/>
        <v>66.93581758880616</v>
      </c>
      <c r="T454" s="1">
        <f t="shared" ca="1" si="96"/>
        <v>2.6622969153468658E-2</v>
      </c>
      <c r="V454" s="4">
        <f t="shared" ca="1" si="95"/>
        <v>1.7358180000000001</v>
      </c>
      <c r="X454" s="2"/>
    </row>
    <row r="455" spans="8:24" x14ac:dyDescent="0.25">
      <c r="H455">
        <v>65.300000000000011</v>
      </c>
      <c r="I455">
        <v>3.8699299097942803</v>
      </c>
      <c r="J455" s="4">
        <f t="shared" si="86"/>
        <v>3.4999999999999997E-5</v>
      </c>
      <c r="K455" s="9">
        <f t="shared" si="87"/>
        <v>2.2699999999999999E-4</v>
      </c>
      <c r="L455" s="4">
        <f t="shared" si="88"/>
        <v>1.2317E-2</v>
      </c>
      <c r="M455" s="5">
        <f t="shared" si="89"/>
        <v>3.9182128227460433</v>
      </c>
      <c r="N455" s="2">
        <f t="shared" si="90"/>
        <v>1.2476430859785174E-2</v>
      </c>
      <c r="O455">
        <f t="shared" si="91"/>
        <v>20904.042099999999</v>
      </c>
      <c r="P455">
        <f t="shared" ca="1" si="85"/>
        <v>20909</v>
      </c>
      <c r="Q455" t="str">
        <f t="shared" ca="1" si="92"/>
        <v>0101000110101101</v>
      </c>
      <c r="R455">
        <f t="shared" ca="1" si="93"/>
        <v>3.9203178577423095</v>
      </c>
      <c r="S455">
        <f t="shared" ca="1" si="94"/>
        <v>67.043814292907712</v>
      </c>
      <c r="T455" s="1">
        <f t="shared" ca="1" si="96"/>
        <v>2.6704659922016843E-2</v>
      </c>
      <c r="V455" s="4">
        <f t="shared" ca="1" si="95"/>
        <v>1.743814</v>
      </c>
      <c r="X455" s="2"/>
    </row>
    <row r="456" spans="8:24" x14ac:dyDescent="0.25">
      <c r="H456">
        <v>65.400000000000006</v>
      </c>
      <c r="I456">
        <v>3.8780132925564601</v>
      </c>
      <c r="J456" s="4">
        <f t="shared" si="86"/>
        <v>3.6000000000000001E-5</v>
      </c>
      <c r="K456" s="9">
        <f t="shared" si="87"/>
        <v>2.2699999999999999E-4</v>
      </c>
      <c r="L456" s="4">
        <f t="shared" si="88"/>
        <v>1.2347E-2</v>
      </c>
      <c r="M456" s="5">
        <f t="shared" si="89"/>
        <v>3.9265152603500013</v>
      </c>
      <c r="N456" s="2">
        <f t="shared" si="90"/>
        <v>1.2506911177080518E-2</v>
      </c>
      <c r="O456">
        <f t="shared" si="91"/>
        <v>20948.3364</v>
      </c>
      <c r="P456">
        <f t="shared" ca="1" si="85"/>
        <v>20948</v>
      </c>
      <c r="Q456" t="str">
        <f t="shared" ca="1" si="92"/>
        <v>0101000111010100</v>
      </c>
      <c r="R456">
        <f t="shared" ca="1" si="93"/>
        <v>3.9276301345825195</v>
      </c>
      <c r="S456">
        <f t="shared" ca="1" si="94"/>
        <v>67.131561614990233</v>
      </c>
      <c r="T456" s="1">
        <f t="shared" ca="1" si="96"/>
        <v>2.6476477293428544E-2</v>
      </c>
      <c r="V456" s="4">
        <f t="shared" ca="1" si="95"/>
        <v>1.731562</v>
      </c>
      <c r="X456" s="2"/>
    </row>
    <row r="457" spans="8:24" x14ac:dyDescent="0.25">
      <c r="H457">
        <v>65.5</v>
      </c>
      <c r="I457">
        <v>3.8866181606996051</v>
      </c>
      <c r="J457" s="4">
        <f t="shared" si="86"/>
        <v>3.6999999999999998E-5</v>
      </c>
      <c r="K457" s="9">
        <f t="shared" si="87"/>
        <v>2.2800000000000001E-4</v>
      </c>
      <c r="L457" s="4">
        <f t="shared" si="88"/>
        <v>1.2378E-2</v>
      </c>
      <c r="M457" s="5">
        <f t="shared" si="89"/>
        <v>3.9353502076458455</v>
      </c>
      <c r="N457" s="2">
        <f t="shared" si="90"/>
        <v>1.2538418988262152E-2</v>
      </c>
      <c r="O457">
        <f t="shared" si="91"/>
        <v>20995.471699999998</v>
      </c>
      <c r="P457">
        <f t="shared" ca="1" si="85"/>
        <v>21000</v>
      </c>
      <c r="Q457" t="str">
        <f t="shared" ca="1" si="92"/>
        <v>0101001000001000</v>
      </c>
      <c r="R457">
        <f t="shared" ca="1" si="93"/>
        <v>3.9373798370361328</v>
      </c>
      <c r="S457">
        <f t="shared" ca="1" si="94"/>
        <v>67.248558044433608</v>
      </c>
      <c r="T457" s="1">
        <f t="shared" ca="1" si="96"/>
        <v>2.6695542663108519E-2</v>
      </c>
      <c r="V457" s="4">
        <f t="shared" ca="1" si="95"/>
        <v>1.7485580000000001</v>
      </c>
      <c r="X457" s="2"/>
    </row>
    <row r="458" spans="8:24" x14ac:dyDescent="0.25">
      <c r="H458">
        <v>65.599999999999994</v>
      </c>
      <c r="I458">
        <v>3.8952348690828171</v>
      </c>
      <c r="J458" s="4">
        <f t="shared" si="86"/>
        <v>3.6999999999999998E-5</v>
      </c>
      <c r="K458" s="9">
        <f t="shared" si="87"/>
        <v>2.2800000000000001E-4</v>
      </c>
      <c r="L458" s="4">
        <f t="shared" si="88"/>
        <v>1.2408000000000001E-2</v>
      </c>
      <c r="M458" s="5">
        <f t="shared" si="89"/>
        <v>3.9441947174732253</v>
      </c>
      <c r="N458" s="2">
        <f t="shared" si="90"/>
        <v>1.2569164642422793E-2</v>
      </c>
      <c r="O458">
        <f t="shared" si="91"/>
        <v>21042.657999999999</v>
      </c>
      <c r="P458">
        <f t="shared" ca="1" si="85"/>
        <v>21044</v>
      </c>
      <c r="Q458" t="str">
        <f t="shared" ca="1" si="92"/>
        <v>0101001000110100</v>
      </c>
      <c r="R458">
        <f t="shared" ca="1" si="93"/>
        <v>3.9456295852661132</v>
      </c>
      <c r="S458">
        <f t="shared" ca="1" si="94"/>
        <v>67.347555023193365</v>
      </c>
      <c r="T458" s="1">
        <f t="shared" ca="1" si="96"/>
        <v>2.6639558280386756E-2</v>
      </c>
      <c r="V458" s="4">
        <f t="shared" ca="1" si="95"/>
        <v>1.747555</v>
      </c>
      <c r="X458" s="2"/>
    </row>
    <row r="459" spans="8:24" x14ac:dyDescent="0.25">
      <c r="H459">
        <v>65.7</v>
      </c>
      <c r="I459">
        <v>3.9038633034790937</v>
      </c>
      <c r="J459" s="4">
        <f t="shared" si="86"/>
        <v>3.8000000000000002E-5</v>
      </c>
      <c r="K459" s="9">
        <f t="shared" si="87"/>
        <v>2.2900000000000001E-4</v>
      </c>
      <c r="L459" s="4">
        <f t="shared" si="88"/>
        <v>1.2439E-2</v>
      </c>
      <c r="M459" s="5">
        <f t="shared" si="89"/>
        <v>3.9530546285415218</v>
      </c>
      <c r="N459" s="2">
        <f t="shared" si="90"/>
        <v>1.2600678158630486E-2</v>
      </c>
      <c r="O459">
        <f t="shared" si="91"/>
        <v>21089.926500000001</v>
      </c>
      <c r="P459">
        <f t="shared" ca="1" si="85"/>
        <v>21094</v>
      </c>
      <c r="Q459" t="str">
        <f t="shared" ca="1" si="92"/>
        <v>0101001001100110</v>
      </c>
      <c r="R459">
        <f t="shared" ca="1" si="93"/>
        <v>3.9550042991638183</v>
      </c>
      <c r="S459">
        <f t="shared" ca="1" si="94"/>
        <v>67.460051589965829</v>
      </c>
      <c r="T459" s="1">
        <f t="shared" ca="1" si="96"/>
        <v>2.6789217503285025E-2</v>
      </c>
      <c r="V459" s="4">
        <f t="shared" ca="1" si="95"/>
        <v>1.7600519999999999</v>
      </c>
      <c r="X459" s="2"/>
    </row>
    <row r="460" spans="8:24" x14ac:dyDescent="0.25">
      <c r="H460">
        <v>65.800000000000011</v>
      </c>
      <c r="I460">
        <v>3.912503348104758</v>
      </c>
      <c r="J460" s="4">
        <f t="shared" si="86"/>
        <v>3.8000000000000002E-5</v>
      </c>
      <c r="K460" s="9">
        <f t="shared" si="87"/>
        <v>2.2900000000000001E-4</v>
      </c>
      <c r="L460" s="4">
        <f t="shared" si="88"/>
        <v>1.2468999999999999E-2</v>
      </c>
      <c r="M460" s="5">
        <f t="shared" si="89"/>
        <v>3.9619238534311916</v>
      </c>
      <c r="N460" s="2">
        <f t="shared" si="90"/>
        <v>1.2631428251779828E-2</v>
      </c>
      <c r="O460">
        <f t="shared" si="91"/>
        <v>21137.244699999999</v>
      </c>
      <c r="P460">
        <f t="shared" ca="1" si="85"/>
        <v>21139</v>
      </c>
      <c r="Q460" t="str">
        <f t="shared" ca="1" si="92"/>
        <v>0101001010010011</v>
      </c>
      <c r="R460">
        <f t="shared" ca="1" si="93"/>
        <v>3.9634415416717532</v>
      </c>
      <c r="S460">
        <f t="shared" ca="1" si="94"/>
        <v>67.561298500061042</v>
      </c>
      <c r="T460" s="1">
        <f t="shared" ca="1" si="96"/>
        <v>2.6767454408222348E-2</v>
      </c>
      <c r="V460" s="4">
        <f t="shared" ca="1" si="95"/>
        <v>1.7612989999999999</v>
      </c>
      <c r="X460" s="2"/>
    </row>
    <row r="461" spans="8:24" x14ac:dyDescent="0.25">
      <c r="H461">
        <v>65.900000000000006</v>
      </c>
      <c r="I461">
        <v>3.9206514305956071</v>
      </c>
      <c r="J461" s="4">
        <f t="shared" si="86"/>
        <v>3.8999999999999999E-5</v>
      </c>
      <c r="K461" s="9">
        <f t="shared" si="87"/>
        <v>2.3000000000000001E-4</v>
      </c>
      <c r="L461" s="4">
        <f t="shared" si="88"/>
        <v>1.2500000000000001E-2</v>
      </c>
      <c r="M461" s="5">
        <f t="shared" si="89"/>
        <v>3.9702984360461842</v>
      </c>
      <c r="N461" s="2">
        <f t="shared" si="90"/>
        <v>1.2662948066014366E-2</v>
      </c>
      <c r="O461">
        <f t="shared" si="91"/>
        <v>21181.923900000002</v>
      </c>
      <c r="P461">
        <f t="shared" ca="1" si="85"/>
        <v>21181</v>
      </c>
      <c r="Q461" t="str">
        <f t="shared" ca="1" si="92"/>
        <v>0101001010111101</v>
      </c>
      <c r="R461">
        <f t="shared" ca="1" si="93"/>
        <v>3.9713163013458255</v>
      </c>
      <c r="S461">
        <f t="shared" ca="1" si="94"/>
        <v>67.655795616149916</v>
      </c>
      <c r="T461" s="1">
        <f t="shared" ca="1" si="96"/>
        <v>2.6643332566766473E-2</v>
      </c>
      <c r="V461" s="4">
        <f t="shared" ca="1" si="95"/>
        <v>1.7557959999999999</v>
      </c>
      <c r="X461" s="2"/>
    </row>
    <row r="462" spans="8:24" x14ac:dyDescent="0.25">
      <c r="H462">
        <v>66</v>
      </c>
      <c r="I462">
        <v>3.9293153603469024</v>
      </c>
      <c r="J462" s="4">
        <f t="shared" si="86"/>
        <v>4.0000000000000003E-5</v>
      </c>
      <c r="K462" s="9">
        <f t="shared" si="87"/>
        <v>2.3000000000000001E-4</v>
      </c>
      <c r="L462" s="4">
        <f t="shared" si="88"/>
        <v>1.2529999999999999E-2</v>
      </c>
      <c r="M462" s="5">
        <f t="shared" si="89"/>
        <v>3.9791919082168601</v>
      </c>
      <c r="N462" s="2">
        <f t="shared" si="90"/>
        <v>1.2693444861487083E-2</v>
      </c>
      <c r="O462">
        <f t="shared" si="91"/>
        <v>21229.3714</v>
      </c>
      <c r="P462">
        <f t="shared" ca="1" si="85"/>
        <v>21228</v>
      </c>
      <c r="Q462" t="str">
        <f t="shared" ca="1" si="92"/>
        <v>0101001011101100</v>
      </c>
      <c r="R462">
        <f t="shared" ca="1" si="93"/>
        <v>3.980128532409668</v>
      </c>
      <c r="S462">
        <f t="shared" ca="1" si="94"/>
        <v>67.761542388916027</v>
      </c>
      <c r="T462" s="1">
        <f t="shared" ca="1" si="96"/>
        <v>2.6690036195697375E-2</v>
      </c>
      <c r="V462" s="4">
        <f t="shared" ca="1" si="95"/>
        <v>1.7615419999999999</v>
      </c>
      <c r="X462" s="2"/>
    </row>
    <row r="463" spans="8:24" x14ac:dyDescent="0.25">
      <c r="H463">
        <v>66.099999999999994</v>
      </c>
      <c r="I463">
        <v>3.9374891134776955</v>
      </c>
      <c r="J463" s="4">
        <f t="shared" si="86"/>
        <v>4.0000000000000003E-5</v>
      </c>
      <c r="K463" s="9">
        <f t="shared" si="87"/>
        <v>2.31E-4</v>
      </c>
      <c r="L463" s="4">
        <f t="shared" si="88"/>
        <v>1.2560999999999999E-2</v>
      </c>
      <c r="M463" s="5">
        <f t="shared" si="89"/>
        <v>3.9875945602104998</v>
      </c>
      <c r="N463" s="2">
        <f t="shared" si="90"/>
        <v>1.2725228004135331E-2</v>
      </c>
      <c r="O463">
        <f t="shared" si="91"/>
        <v>21274.200400000002</v>
      </c>
      <c r="P463">
        <f t="shared" ref="P463:P526" ca="1" si="97">ROUND(O463+$C$47+$C$49+RANDBETWEEN($B$45,$D$45) + 1,0)</f>
        <v>21279</v>
      </c>
      <c r="Q463" t="str">
        <f t="shared" ca="1" si="92"/>
        <v>0101001100011111</v>
      </c>
      <c r="R463">
        <f t="shared" ca="1" si="93"/>
        <v>3.9896907405853272</v>
      </c>
      <c r="S463">
        <f t="shared" ca="1" si="94"/>
        <v>67.876288887023932</v>
      </c>
      <c r="T463" s="1">
        <f t="shared" ca="1" si="96"/>
        <v>2.6872751694764569E-2</v>
      </c>
      <c r="V463" s="4">
        <f t="shared" ca="1" si="95"/>
        <v>1.776289</v>
      </c>
      <c r="X463" s="2"/>
    </row>
    <row r="464" spans="8:24" x14ac:dyDescent="0.25">
      <c r="H464">
        <v>66.2</v>
      </c>
      <c r="I464">
        <v>3.9451755966770987</v>
      </c>
      <c r="J464" s="4">
        <f t="shared" si="86"/>
        <v>4.1E-5</v>
      </c>
      <c r="K464" s="9">
        <f t="shared" si="87"/>
        <v>2.31E-4</v>
      </c>
      <c r="L464" s="4">
        <f t="shared" si="88"/>
        <v>1.2591E-2</v>
      </c>
      <c r="M464" s="5">
        <f t="shared" si="89"/>
        <v>3.9954991967858295</v>
      </c>
      <c r="N464" s="2">
        <f t="shared" si="90"/>
        <v>1.2755731367474965E-2</v>
      </c>
      <c r="O464">
        <f t="shared" si="91"/>
        <v>21316.3724</v>
      </c>
      <c r="P464">
        <f t="shared" ca="1" si="97"/>
        <v>21320</v>
      </c>
      <c r="Q464" t="str">
        <f t="shared" ca="1" si="92"/>
        <v>0101001101001000</v>
      </c>
      <c r="R464">
        <f t="shared" ca="1" si="93"/>
        <v>3.9973780059814454</v>
      </c>
      <c r="S464">
        <f t="shared" ca="1" si="94"/>
        <v>67.968536071777351</v>
      </c>
      <c r="T464" s="1">
        <f t="shared" ca="1" si="96"/>
        <v>2.6715046401470509E-2</v>
      </c>
      <c r="V464" s="4">
        <f t="shared" ca="1" si="95"/>
        <v>1.7685360000000001</v>
      </c>
      <c r="X464" s="2"/>
    </row>
    <row r="465" spans="8:24" x14ac:dyDescent="0.25">
      <c r="H465">
        <v>66.300000000000011</v>
      </c>
      <c r="I465">
        <v>3.9538759947824289</v>
      </c>
      <c r="J465" s="4">
        <f t="shared" si="86"/>
        <v>4.1E-5</v>
      </c>
      <c r="K465" s="9">
        <f t="shared" si="87"/>
        <v>2.32E-4</v>
      </c>
      <c r="L465" s="4">
        <f t="shared" si="88"/>
        <v>1.2622E-2</v>
      </c>
      <c r="M465" s="5">
        <f t="shared" si="89"/>
        <v>4.0044362571441017</v>
      </c>
      <c r="N465" s="2">
        <f t="shared" si="90"/>
        <v>1.2787518482722412E-2</v>
      </c>
      <c r="O465">
        <f t="shared" si="91"/>
        <v>21364.0524</v>
      </c>
      <c r="P465">
        <f t="shared" ca="1" si="97"/>
        <v>21367</v>
      </c>
      <c r="Q465" t="str">
        <f t="shared" ca="1" si="92"/>
        <v>0101001101110111</v>
      </c>
      <c r="R465">
        <f t="shared" ca="1" si="93"/>
        <v>4.0061902370452884</v>
      </c>
      <c r="S465">
        <f t="shared" ca="1" si="94"/>
        <v>68.074282844543475</v>
      </c>
      <c r="T465" s="1">
        <f t="shared" ca="1" si="96"/>
        <v>2.6761430536100507E-2</v>
      </c>
      <c r="V465" s="4">
        <f t="shared" ca="1" si="95"/>
        <v>1.7742830000000001</v>
      </c>
      <c r="X465" s="2"/>
    </row>
    <row r="466" spans="8:24" x14ac:dyDescent="0.25">
      <c r="H466">
        <v>66.400000000000006</v>
      </c>
      <c r="I466">
        <v>3.962587314823617</v>
      </c>
      <c r="J466" s="4">
        <f t="shared" si="86"/>
        <v>4.1999999999999998E-5</v>
      </c>
      <c r="K466" s="9">
        <f t="shared" si="87"/>
        <v>2.32E-4</v>
      </c>
      <c r="L466" s="4">
        <f t="shared" si="88"/>
        <v>1.2652E-2</v>
      </c>
      <c r="M466" s="5">
        <f t="shared" si="89"/>
        <v>4.0133798630347322</v>
      </c>
      <c r="N466" s="2">
        <f t="shared" si="90"/>
        <v>1.2818026247927864E-2</v>
      </c>
      <c r="O466">
        <f t="shared" si="91"/>
        <v>21411.767400000001</v>
      </c>
      <c r="P466">
        <f t="shared" ca="1" si="97"/>
        <v>21410</v>
      </c>
      <c r="Q466" t="str">
        <f t="shared" ca="1" si="92"/>
        <v>0101001110100010</v>
      </c>
      <c r="R466">
        <f t="shared" ca="1" si="93"/>
        <v>4.0142524909973147</v>
      </c>
      <c r="S466">
        <f t="shared" ca="1" si="94"/>
        <v>68.171029891967791</v>
      </c>
      <c r="T466" s="1">
        <f t="shared" ca="1" si="96"/>
        <v>2.6672136927225681E-2</v>
      </c>
      <c r="V466" s="4">
        <f t="shared" ca="1" si="95"/>
        <v>1.7710300000000001</v>
      </c>
      <c r="X466" s="2"/>
    </row>
    <row r="467" spans="8:24" x14ac:dyDescent="0.25">
      <c r="H467">
        <v>66.5</v>
      </c>
      <c r="I467">
        <v>3.9708120185071025</v>
      </c>
      <c r="J467" s="4">
        <f t="shared" si="86"/>
        <v>4.1999999999999998E-5</v>
      </c>
      <c r="K467" s="9">
        <f t="shared" si="87"/>
        <v>2.33E-4</v>
      </c>
      <c r="L467" s="4">
        <f t="shared" si="88"/>
        <v>1.2683E-2</v>
      </c>
      <c r="M467" s="5">
        <f t="shared" si="89"/>
        <v>4.0218362318212924</v>
      </c>
      <c r="N467" s="2">
        <f t="shared" si="90"/>
        <v>1.2849818393914626E-2</v>
      </c>
      <c r="O467">
        <f t="shared" si="91"/>
        <v>21456.883000000002</v>
      </c>
      <c r="P467">
        <f t="shared" ca="1" si="97"/>
        <v>21458</v>
      </c>
      <c r="Q467" t="str">
        <f t="shared" ca="1" si="92"/>
        <v>0101001111010010</v>
      </c>
      <c r="R467">
        <f t="shared" ca="1" si="93"/>
        <v>4.0232522163391113</v>
      </c>
      <c r="S467">
        <f t="shared" ca="1" si="94"/>
        <v>68.279026596069343</v>
      </c>
      <c r="T467" s="1">
        <f t="shared" ca="1" si="96"/>
        <v>2.67522796401405E-2</v>
      </c>
      <c r="V467" s="4">
        <f t="shared" ca="1" si="95"/>
        <v>1.7790269999999999</v>
      </c>
      <c r="X467" s="2"/>
    </row>
    <row r="468" spans="8:24" x14ac:dyDescent="0.25">
      <c r="H468">
        <v>66.599999999999994</v>
      </c>
      <c r="I468">
        <v>3.9790494193622994</v>
      </c>
      <c r="J468" s="4">
        <f t="shared" si="86"/>
        <v>4.3000000000000002E-5</v>
      </c>
      <c r="K468" s="9">
        <f t="shared" si="87"/>
        <v>2.33E-4</v>
      </c>
      <c r="L468" s="4">
        <f t="shared" si="88"/>
        <v>1.2713E-2</v>
      </c>
      <c r="M468" s="5">
        <f t="shared" si="89"/>
        <v>4.0303008973158763</v>
      </c>
      <c r="N468" s="2">
        <f t="shared" si="90"/>
        <v>1.2880332097456249E-2</v>
      </c>
      <c r="O468">
        <f t="shared" si="91"/>
        <v>21502.042799999999</v>
      </c>
      <c r="P468">
        <f t="shared" ca="1" si="97"/>
        <v>21503</v>
      </c>
      <c r="Q468" t="str">
        <f t="shared" ca="1" si="92"/>
        <v>0101001111111111</v>
      </c>
      <c r="R468">
        <f t="shared" ca="1" si="93"/>
        <v>4.0316894588470458</v>
      </c>
      <c r="S468">
        <f t="shared" ca="1" si="94"/>
        <v>68.380273506164556</v>
      </c>
      <c r="T468" s="1">
        <f t="shared" ca="1" si="96"/>
        <v>2.6730833425894326E-2</v>
      </c>
      <c r="V468" s="4">
        <f t="shared" ca="1" si="95"/>
        <v>1.7802739999999999</v>
      </c>
      <c r="X468" s="2"/>
    </row>
    <row r="469" spans="8:24" x14ac:dyDescent="0.25">
      <c r="H469">
        <v>66.7</v>
      </c>
      <c r="I469">
        <v>3.9877948226005637</v>
      </c>
      <c r="J469" s="4">
        <f t="shared" si="86"/>
        <v>4.3999999999999999E-5</v>
      </c>
      <c r="K469" s="9">
        <f t="shared" si="87"/>
        <v>2.34E-4</v>
      </c>
      <c r="L469" s="4">
        <f t="shared" si="88"/>
        <v>1.2744E-2</v>
      </c>
      <c r="M469" s="5">
        <f t="shared" si="89"/>
        <v>4.0392847280224826</v>
      </c>
      <c r="N469" s="2">
        <f t="shared" si="90"/>
        <v>1.29118742845302E-2</v>
      </c>
      <c r="O469">
        <f t="shared" si="91"/>
        <v>21549.972399999999</v>
      </c>
      <c r="P469">
        <f t="shared" ca="1" si="97"/>
        <v>21553</v>
      </c>
      <c r="Q469" t="str">
        <f t="shared" ca="1" si="92"/>
        <v>0101010000110001</v>
      </c>
      <c r="R469">
        <f t="shared" ca="1" si="93"/>
        <v>4.0410641727447514</v>
      </c>
      <c r="S469">
        <f t="shared" ca="1" si="94"/>
        <v>68.49277007293702</v>
      </c>
      <c r="T469" s="1">
        <f t="shared" ca="1" si="96"/>
        <v>2.687811203803624E-2</v>
      </c>
      <c r="V469" s="4">
        <f t="shared" ca="1" si="95"/>
        <v>1.79277</v>
      </c>
      <c r="X469" s="2"/>
    </row>
    <row r="470" spans="8:24" x14ac:dyDescent="0.25">
      <c r="H470">
        <v>66.800000000000011</v>
      </c>
      <c r="I470">
        <v>3.9960562697270805</v>
      </c>
      <c r="J470" s="4">
        <f t="shared" si="86"/>
        <v>4.3999999999999999E-5</v>
      </c>
      <c r="K470" s="9">
        <f t="shared" si="87"/>
        <v>2.34E-4</v>
      </c>
      <c r="L470" s="4">
        <f t="shared" si="88"/>
        <v>1.2774000000000001E-2</v>
      </c>
      <c r="M470" s="5">
        <f t="shared" si="89"/>
        <v>4.0477758171230098</v>
      </c>
      <c r="N470" s="2">
        <f t="shared" si="90"/>
        <v>1.2942647426599332E-2</v>
      </c>
      <c r="O470">
        <f t="shared" si="91"/>
        <v>21595.2732</v>
      </c>
      <c r="P470">
        <f t="shared" ca="1" si="97"/>
        <v>21597</v>
      </c>
      <c r="Q470" t="str">
        <f t="shared" ca="1" si="92"/>
        <v>0101010001011101</v>
      </c>
      <c r="R470">
        <f t="shared" ca="1" si="93"/>
        <v>4.0493139209747318</v>
      </c>
      <c r="S470">
        <f t="shared" ca="1" si="94"/>
        <v>68.591767051696792</v>
      </c>
      <c r="T470" s="1">
        <f t="shared" ca="1" si="96"/>
        <v>2.6822860055341017E-2</v>
      </c>
      <c r="V470" s="4">
        <f t="shared" ca="1" si="95"/>
        <v>1.7917670000000001</v>
      </c>
      <c r="X470" s="2"/>
    </row>
    <row r="471" spans="8:24" x14ac:dyDescent="0.25">
      <c r="H471">
        <v>66.900000000000006</v>
      </c>
      <c r="I471">
        <v>4.0043300668197448</v>
      </c>
      <c r="J471" s="4">
        <f t="shared" si="86"/>
        <v>4.5000000000000003E-5</v>
      </c>
      <c r="K471" s="9">
        <f t="shared" si="87"/>
        <v>2.3499999999999999E-4</v>
      </c>
      <c r="L471" s="4">
        <f t="shared" si="88"/>
        <v>1.2805E-2</v>
      </c>
      <c r="M471" s="5">
        <f t="shared" si="89"/>
        <v>4.0562830283072184</v>
      </c>
      <c r="N471" s="2">
        <f t="shared" si="90"/>
        <v>1.2974195588410845E-2</v>
      </c>
      <c r="O471">
        <f t="shared" si="91"/>
        <v>21640.66</v>
      </c>
      <c r="P471">
        <f t="shared" ca="1" si="97"/>
        <v>21643</v>
      </c>
      <c r="Q471" t="str">
        <f t="shared" ca="1" si="92"/>
        <v>0101010010001011</v>
      </c>
      <c r="R471">
        <f t="shared" ca="1" si="93"/>
        <v>4.0579386577606202</v>
      </c>
      <c r="S471">
        <f t="shared" ca="1" si="94"/>
        <v>68.695263893127446</v>
      </c>
      <c r="T471" s="1">
        <f t="shared" ca="1" si="96"/>
        <v>2.6835035771710623E-2</v>
      </c>
      <c r="V471" s="4">
        <f t="shared" ca="1" si="95"/>
        <v>1.795264</v>
      </c>
      <c r="X471" s="2"/>
    </row>
    <row r="472" spans="8:24" x14ac:dyDescent="0.25">
      <c r="H472">
        <v>67</v>
      </c>
      <c r="I472">
        <v>4.013108525917664</v>
      </c>
      <c r="J472" s="4">
        <f t="shared" si="86"/>
        <v>4.5000000000000003E-5</v>
      </c>
      <c r="K472" s="9">
        <f t="shared" si="87"/>
        <v>2.3499999999999999E-4</v>
      </c>
      <c r="L472" s="4">
        <f t="shared" si="88"/>
        <v>1.2834999999999999E-2</v>
      </c>
      <c r="M472" s="5">
        <f t="shared" si="89"/>
        <v>4.0652988927764495</v>
      </c>
      <c r="N472" s="2">
        <f t="shared" si="90"/>
        <v>1.3004972709241979E-2</v>
      </c>
      <c r="O472">
        <f t="shared" si="91"/>
        <v>21688.7605</v>
      </c>
      <c r="P472">
        <f t="shared" ca="1" si="97"/>
        <v>21692</v>
      </c>
      <c r="Q472" t="str">
        <f t="shared" ca="1" si="92"/>
        <v>0101010010111100</v>
      </c>
      <c r="R472">
        <f t="shared" ca="1" si="93"/>
        <v>4.0671258773803709</v>
      </c>
      <c r="S472">
        <f t="shared" ca="1" si="94"/>
        <v>68.805510528564454</v>
      </c>
      <c r="T472" s="1">
        <f t="shared" ca="1" si="96"/>
        <v>2.6947918336782901E-2</v>
      </c>
      <c r="V472" s="4">
        <f t="shared" ca="1" si="95"/>
        <v>1.8055110000000001</v>
      </c>
      <c r="X472" s="2"/>
    </row>
    <row r="473" spans="8:24" x14ac:dyDescent="0.25">
      <c r="H473">
        <v>67.099999999999994</v>
      </c>
      <c r="I473">
        <v>4.0214056798206155</v>
      </c>
      <c r="J473" s="4">
        <f t="shared" si="86"/>
        <v>4.6E-5</v>
      </c>
      <c r="K473" s="9">
        <f t="shared" si="87"/>
        <v>2.3599999999999999E-4</v>
      </c>
      <c r="L473" s="4">
        <f t="shared" si="88"/>
        <v>1.2866000000000001E-2</v>
      </c>
      <c r="M473" s="5">
        <f t="shared" si="89"/>
        <v>4.073830841195436</v>
      </c>
      <c r="N473" s="2">
        <f t="shared" si="90"/>
        <v>1.3036526416096152E-2</v>
      </c>
      <c r="O473">
        <f t="shared" si="91"/>
        <v>21734.279200000001</v>
      </c>
      <c r="P473">
        <f t="shared" ca="1" si="97"/>
        <v>21733</v>
      </c>
      <c r="Q473" t="str">
        <f t="shared" ca="1" si="92"/>
        <v>0101010011100101</v>
      </c>
      <c r="R473">
        <f t="shared" ca="1" si="93"/>
        <v>4.0748131427764891</v>
      </c>
      <c r="S473">
        <f t="shared" ca="1" si="94"/>
        <v>68.897757713317873</v>
      </c>
      <c r="T473" s="1">
        <f t="shared" ca="1" si="96"/>
        <v>2.6792216293858102E-2</v>
      </c>
      <c r="V473" s="4">
        <f t="shared" ca="1" si="95"/>
        <v>1.797758</v>
      </c>
      <c r="X473" s="2"/>
    </row>
    <row r="474" spans="8:24" x14ac:dyDescent="0.25">
      <c r="H474">
        <v>67.2</v>
      </c>
      <c r="I474">
        <v>4.0297148385936792</v>
      </c>
      <c r="J474" s="4">
        <f t="shared" si="86"/>
        <v>4.6E-5</v>
      </c>
      <c r="K474" s="9">
        <f t="shared" si="87"/>
        <v>2.3599999999999999E-4</v>
      </c>
      <c r="L474" s="4">
        <f t="shared" si="88"/>
        <v>1.2895999999999999E-2</v>
      </c>
      <c r="M474" s="5">
        <f t="shared" si="89"/>
        <v>4.0823723646400776</v>
      </c>
      <c r="N474" s="2">
        <f t="shared" si="90"/>
        <v>1.3067308272556383E-2</v>
      </c>
      <c r="O474">
        <f t="shared" si="91"/>
        <v>21779.849099999999</v>
      </c>
      <c r="P474">
        <f t="shared" ca="1" si="97"/>
        <v>21784</v>
      </c>
      <c r="Q474" t="str">
        <f t="shared" ca="1" si="92"/>
        <v>0101010100011000</v>
      </c>
      <c r="R474">
        <f t="shared" ca="1" si="93"/>
        <v>4.0843753509521488</v>
      </c>
      <c r="S474">
        <f t="shared" ca="1" si="94"/>
        <v>69.012504211425792</v>
      </c>
      <c r="T474" s="1">
        <f t="shared" ca="1" si="96"/>
        <v>2.6971788860502818E-2</v>
      </c>
      <c r="V474" s="4">
        <f t="shared" ca="1" si="95"/>
        <v>1.8125039999999999</v>
      </c>
      <c r="X474" s="2"/>
    </row>
    <row r="475" spans="8:24" x14ac:dyDescent="0.25">
      <c r="H475">
        <v>67.300000000000011</v>
      </c>
      <c r="I475">
        <v>4.0380358866641162</v>
      </c>
      <c r="J475" s="4">
        <f t="shared" si="86"/>
        <v>4.6999999999999997E-5</v>
      </c>
      <c r="K475" s="9">
        <f t="shared" si="87"/>
        <v>2.3699999999999999E-4</v>
      </c>
      <c r="L475" s="4">
        <f t="shared" si="88"/>
        <v>1.2926999999999999E-2</v>
      </c>
      <c r="M475" s="5">
        <f t="shared" si="89"/>
        <v>4.0909295836256447</v>
      </c>
      <c r="N475" s="2">
        <f t="shared" si="90"/>
        <v>1.3098867480651557E-2</v>
      </c>
      <c r="O475">
        <f t="shared" si="91"/>
        <v>21825.502700000001</v>
      </c>
      <c r="P475">
        <f t="shared" ca="1" si="97"/>
        <v>21828</v>
      </c>
      <c r="Q475" t="str">
        <f t="shared" ca="1" si="92"/>
        <v>0101010101000100</v>
      </c>
      <c r="R475">
        <f t="shared" ca="1" si="93"/>
        <v>4.0926250991821291</v>
      </c>
      <c r="S475">
        <f t="shared" ca="1" si="94"/>
        <v>69.111501190185564</v>
      </c>
      <c r="T475" s="1">
        <f t="shared" ca="1" si="96"/>
        <v>2.6916808175119645E-2</v>
      </c>
      <c r="V475" s="4">
        <f t="shared" ca="1" si="95"/>
        <v>1.811501</v>
      </c>
      <c r="X475" s="2"/>
    </row>
    <row r="476" spans="8:24" x14ac:dyDescent="0.25">
      <c r="H476">
        <v>67.400000000000006</v>
      </c>
      <c r="I476">
        <v>4.0458802580317847</v>
      </c>
      <c r="J476" s="4">
        <f t="shared" si="86"/>
        <v>4.8000000000000001E-5</v>
      </c>
      <c r="K476" s="9">
        <f t="shared" si="87"/>
        <v>2.3699999999999999E-4</v>
      </c>
      <c r="L476" s="4">
        <f t="shared" si="88"/>
        <v>1.2957E-2</v>
      </c>
      <c r="M476" s="5">
        <f t="shared" si="89"/>
        <v>4.0990002528013321</v>
      </c>
      <c r="N476" s="2">
        <f t="shared" si="90"/>
        <v>1.3129403586301096E-2</v>
      </c>
      <c r="O476">
        <f t="shared" si="91"/>
        <v>21868.5605</v>
      </c>
      <c r="P476">
        <f t="shared" ca="1" si="97"/>
        <v>21873</v>
      </c>
      <c r="Q476" t="str">
        <f t="shared" ca="1" si="92"/>
        <v>0101010101110001</v>
      </c>
      <c r="R476">
        <f t="shared" ca="1" si="93"/>
        <v>4.1010623416900636</v>
      </c>
      <c r="S476">
        <f t="shared" ca="1" si="94"/>
        <v>69.212748100280777</v>
      </c>
      <c r="T476" s="1">
        <f t="shared" ca="1" si="96"/>
        <v>2.6895372407726575E-2</v>
      </c>
      <c r="V476" s="4">
        <f t="shared" ca="1" si="95"/>
        <v>1.812748</v>
      </c>
      <c r="X476" s="2"/>
    </row>
    <row r="477" spans="8:24" x14ac:dyDescent="0.25">
      <c r="H477">
        <v>67.5</v>
      </c>
      <c r="I477">
        <v>4.0542257320948458</v>
      </c>
      <c r="J477" s="4">
        <f t="shared" si="86"/>
        <v>4.8000000000000001E-5</v>
      </c>
      <c r="K477" s="9">
        <f t="shared" si="87"/>
        <v>2.3800000000000001E-4</v>
      </c>
      <c r="L477" s="4">
        <f t="shared" si="88"/>
        <v>1.2988E-2</v>
      </c>
      <c r="M477" s="5">
        <f t="shared" si="89"/>
        <v>4.1075842834644831</v>
      </c>
      <c r="N477" s="2">
        <f t="shared" si="90"/>
        <v>1.3161218663092687E-2</v>
      </c>
      <c r="O477">
        <f t="shared" si="91"/>
        <v>21914.357100000001</v>
      </c>
      <c r="P477">
        <f t="shared" ca="1" si="97"/>
        <v>21916</v>
      </c>
      <c r="Q477" t="str">
        <f t="shared" ca="1" si="92"/>
        <v>0101010110011100</v>
      </c>
      <c r="R477">
        <f t="shared" ca="1" si="93"/>
        <v>4.1091245956420899</v>
      </c>
      <c r="S477">
        <f t="shared" ca="1" si="94"/>
        <v>69.309495147705093</v>
      </c>
      <c r="T477" s="1">
        <f t="shared" ca="1" si="96"/>
        <v>2.6807335521556928E-2</v>
      </c>
      <c r="V477" s="4">
        <f t="shared" ca="1" si="95"/>
        <v>1.8094950000000001</v>
      </c>
      <c r="X477" s="2"/>
    </row>
    <row r="478" spans="8:24" x14ac:dyDescent="0.25">
      <c r="H478">
        <v>67.599999999999994</v>
      </c>
      <c r="I478">
        <v>4.0625827505156353</v>
      </c>
      <c r="J478" s="4">
        <f t="shared" si="86"/>
        <v>4.8999999999999998E-5</v>
      </c>
      <c r="K478" s="9">
        <f t="shared" si="87"/>
        <v>2.3800000000000001E-4</v>
      </c>
      <c r="L478" s="4">
        <f t="shared" si="88"/>
        <v>1.3018E-2</v>
      </c>
      <c r="M478" s="5">
        <f t="shared" si="89"/>
        <v>4.1161753663913174</v>
      </c>
      <c r="N478" s="2">
        <f t="shared" si="90"/>
        <v>1.3191759815570515E-2</v>
      </c>
      <c r="O478">
        <f t="shared" si="91"/>
        <v>21960.191299999999</v>
      </c>
      <c r="P478">
        <f t="shared" ca="1" si="97"/>
        <v>21965</v>
      </c>
      <c r="Q478" t="str">
        <f t="shared" ca="1" si="92"/>
        <v>0101010111001101</v>
      </c>
      <c r="R478">
        <f t="shared" ca="1" si="93"/>
        <v>4.1183118152618405</v>
      </c>
      <c r="S478">
        <f t="shared" ca="1" si="94"/>
        <v>69.419741783142101</v>
      </c>
      <c r="T478" s="1">
        <f t="shared" ca="1" si="96"/>
        <v>2.6919257147072582E-2</v>
      </c>
      <c r="V478" s="4">
        <f t="shared" ca="1" si="95"/>
        <v>1.819742</v>
      </c>
      <c r="X478" s="2"/>
    </row>
    <row r="479" spans="8:24" x14ac:dyDescent="0.25">
      <c r="H479">
        <v>67.7</v>
      </c>
      <c r="I479">
        <v>4.0714366819239096</v>
      </c>
      <c r="J479" s="4">
        <f t="shared" si="86"/>
        <v>4.8999999999999998E-5</v>
      </c>
      <c r="K479" s="9">
        <f t="shared" si="87"/>
        <v>2.3900000000000001E-4</v>
      </c>
      <c r="L479" s="4">
        <f t="shared" si="88"/>
        <v>1.3049E-2</v>
      </c>
      <c r="M479" s="5">
        <f t="shared" si="89"/>
        <v>4.1252756469996079</v>
      </c>
      <c r="N479" s="2">
        <f t="shared" si="90"/>
        <v>1.3223579115138622E-2</v>
      </c>
      <c r="O479">
        <f t="shared" si="91"/>
        <v>22008.742200000001</v>
      </c>
      <c r="P479">
        <f t="shared" ca="1" si="97"/>
        <v>22013</v>
      </c>
      <c r="Q479" t="str">
        <f t="shared" ca="1" si="92"/>
        <v>0101010111111101</v>
      </c>
      <c r="R479">
        <f t="shared" ca="1" si="93"/>
        <v>4.127311540603638</v>
      </c>
      <c r="S479">
        <f t="shared" ca="1" si="94"/>
        <v>69.527738487243667</v>
      </c>
      <c r="T479" s="1">
        <f t="shared" ca="1" si="96"/>
        <v>2.6997614287203309E-2</v>
      </c>
      <c r="V479" s="4">
        <f t="shared" ca="1" si="95"/>
        <v>1.8277380000000001</v>
      </c>
      <c r="X479" s="2"/>
    </row>
    <row r="480" spans="8:24" x14ac:dyDescent="0.25">
      <c r="H480">
        <v>67.800000000000011</v>
      </c>
      <c r="I480">
        <v>4.0788464719702064</v>
      </c>
      <c r="J480" s="4">
        <f t="shared" si="86"/>
        <v>5.0000000000000002E-5</v>
      </c>
      <c r="K480" s="9">
        <f t="shared" si="87"/>
        <v>2.3900000000000001E-4</v>
      </c>
      <c r="L480" s="4">
        <f t="shared" si="88"/>
        <v>1.3079E-2</v>
      </c>
      <c r="M480" s="5">
        <f t="shared" si="89"/>
        <v>4.1329080173470887</v>
      </c>
      <c r="N480" s="2">
        <f t="shared" si="90"/>
        <v>1.3254126074220409E-2</v>
      </c>
      <c r="O480">
        <f t="shared" si="91"/>
        <v>22049.461599999999</v>
      </c>
      <c r="P480">
        <f t="shared" ca="1" si="97"/>
        <v>22053</v>
      </c>
      <c r="Q480" t="str">
        <f t="shared" ca="1" si="92"/>
        <v>0101011000100101</v>
      </c>
      <c r="R480">
        <f t="shared" ca="1" si="93"/>
        <v>4.1348113117218022</v>
      </c>
      <c r="S480">
        <f t="shared" ca="1" si="94"/>
        <v>69.61773574066163</v>
      </c>
      <c r="T480" s="1">
        <f t="shared" ca="1" si="96"/>
        <v>2.6810261661675779E-2</v>
      </c>
      <c r="V480" s="4">
        <f t="shared" ca="1" si="95"/>
        <v>1.817736</v>
      </c>
      <c r="X480" s="2"/>
    </row>
    <row r="481" spans="8:24" x14ac:dyDescent="0.25">
      <c r="H481">
        <v>67.900000000000006</v>
      </c>
      <c r="I481">
        <v>4.0872384266898321</v>
      </c>
      <c r="J481" s="4">
        <f t="shared" si="86"/>
        <v>5.0000000000000002E-5</v>
      </c>
      <c r="K481" s="9">
        <f t="shared" si="87"/>
        <v>2.4000000000000001E-4</v>
      </c>
      <c r="L481" s="4">
        <f t="shared" si="88"/>
        <v>1.311E-2</v>
      </c>
      <c r="M481" s="5">
        <f t="shared" si="89"/>
        <v>4.1415412723908762</v>
      </c>
      <c r="N481" s="2">
        <f t="shared" si="90"/>
        <v>1.3285950079751741E-2</v>
      </c>
      <c r="O481">
        <f t="shared" si="91"/>
        <v>22095.5209</v>
      </c>
      <c r="P481">
        <f t="shared" ca="1" si="97"/>
        <v>22097</v>
      </c>
      <c r="Q481" t="str">
        <f t="shared" ca="1" si="92"/>
        <v>0101011001010001</v>
      </c>
      <c r="R481">
        <f t="shared" ca="1" si="93"/>
        <v>4.1430610599517825</v>
      </c>
      <c r="S481">
        <f t="shared" ca="1" si="94"/>
        <v>69.716732719421401</v>
      </c>
      <c r="T481" s="1">
        <f t="shared" ca="1" si="96"/>
        <v>2.6756004704291535E-2</v>
      </c>
      <c r="V481" s="4">
        <f t="shared" ca="1" si="95"/>
        <v>1.8167329999999999</v>
      </c>
      <c r="X481" s="2"/>
    </row>
    <row r="482" spans="8:24" x14ac:dyDescent="0.25">
      <c r="H482">
        <v>68</v>
      </c>
      <c r="I482">
        <v>4.0951589489212044</v>
      </c>
      <c r="J482" s="4">
        <f t="shared" si="86"/>
        <v>5.1E-5</v>
      </c>
      <c r="K482" s="9">
        <f t="shared" si="87"/>
        <v>2.4000000000000001E-4</v>
      </c>
      <c r="L482" s="4">
        <f t="shared" si="88"/>
        <v>1.3140000000000001E-2</v>
      </c>
      <c r="M482" s="5">
        <f t="shared" si="89"/>
        <v>4.1496921415410544</v>
      </c>
      <c r="N482" s="2">
        <f t="shared" si="90"/>
        <v>1.3316502069892988E-2</v>
      </c>
      <c r="O482">
        <f t="shared" si="91"/>
        <v>22139.006600000001</v>
      </c>
      <c r="P482">
        <f t="shared" ca="1" si="97"/>
        <v>22140</v>
      </c>
      <c r="Q482" t="str">
        <f t="shared" ca="1" si="92"/>
        <v>0101011001111100</v>
      </c>
      <c r="R482">
        <f t="shared" ca="1" si="93"/>
        <v>4.1511233139038088</v>
      </c>
      <c r="S482">
        <f t="shared" ca="1" si="94"/>
        <v>69.813479766845717</v>
      </c>
      <c r="T482" s="1">
        <f t="shared" ca="1" si="96"/>
        <v>2.6668820100672307E-2</v>
      </c>
      <c r="V482" s="4">
        <f t="shared" ca="1" si="95"/>
        <v>1.81348</v>
      </c>
      <c r="X482" s="2"/>
    </row>
    <row r="483" spans="8:24" x14ac:dyDescent="0.25">
      <c r="H483">
        <v>68.099999999999994</v>
      </c>
      <c r="I483">
        <v>4.103573950707764</v>
      </c>
      <c r="J483" s="4">
        <f t="shared" si="86"/>
        <v>5.1999999999999997E-5</v>
      </c>
      <c r="K483" s="9">
        <f t="shared" si="87"/>
        <v>2.41E-4</v>
      </c>
      <c r="L483" s="4">
        <f t="shared" si="88"/>
        <v>1.3171E-2</v>
      </c>
      <c r="M483" s="5">
        <f t="shared" si="89"/>
        <v>4.1583487988190093</v>
      </c>
      <c r="N483" s="2">
        <f t="shared" si="90"/>
        <v>1.334808358986635E-2</v>
      </c>
      <c r="O483">
        <f t="shared" si="91"/>
        <v>22185.190699999999</v>
      </c>
      <c r="P483">
        <f t="shared" ca="1" si="97"/>
        <v>22189</v>
      </c>
      <c r="Q483" t="str">
        <f t="shared" ca="1" si="92"/>
        <v>0101011010101101</v>
      </c>
      <c r="R483">
        <f t="shared" ca="1" si="93"/>
        <v>4.1603105335235595</v>
      </c>
      <c r="S483">
        <f t="shared" ca="1" si="94"/>
        <v>69.923726402282725</v>
      </c>
      <c r="T483" s="1">
        <f t="shared" ca="1" si="96"/>
        <v>2.6780123381537894E-2</v>
      </c>
      <c r="V483" s="4">
        <f t="shared" ca="1" si="95"/>
        <v>1.823726</v>
      </c>
      <c r="X483" s="2"/>
    </row>
    <row r="484" spans="8:24" x14ac:dyDescent="0.25">
      <c r="H484">
        <v>68.2</v>
      </c>
      <c r="I484">
        <v>4.1115192600529031</v>
      </c>
      <c r="J484" s="4">
        <f t="shared" si="86"/>
        <v>5.1999999999999997E-5</v>
      </c>
      <c r="K484" s="9">
        <f t="shared" si="87"/>
        <v>2.41E-4</v>
      </c>
      <c r="L484" s="4">
        <f t="shared" si="88"/>
        <v>1.3200999999999999E-2</v>
      </c>
      <c r="M484" s="5">
        <f t="shared" si="89"/>
        <v>4.1665268148781092</v>
      </c>
      <c r="N484" s="2">
        <f t="shared" si="90"/>
        <v>1.3378887789643541E-2</v>
      </c>
      <c r="O484">
        <f t="shared" si="91"/>
        <v>22228.821199999998</v>
      </c>
      <c r="P484">
        <f t="shared" ca="1" si="97"/>
        <v>22230</v>
      </c>
      <c r="Q484" t="str">
        <f t="shared" ca="1" si="92"/>
        <v>0101011011010110</v>
      </c>
      <c r="R484">
        <f t="shared" ca="1" si="93"/>
        <v>4.1679977989196777</v>
      </c>
      <c r="S484">
        <f t="shared" ca="1" si="94"/>
        <v>70.015973587036143</v>
      </c>
      <c r="T484" s="1">
        <f t="shared" ca="1" si="96"/>
        <v>2.6627178695544578E-2</v>
      </c>
      <c r="V484" s="4">
        <f t="shared" ca="1" si="95"/>
        <v>1.815974</v>
      </c>
      <c r="X484" s="2"/>
    </row>
    <row r="485" spans="8:24" x14ac:dyDescent="0.25">
      <c r="H485">
        <v>68.300000000000011</v>
      </c>
      <c r="I485">
        <v>4.1204364250899737</v>
      </c>
      <c r="J485" s="4">
        <f t="shared" si="86"/>
        <v>5.3000000000000001E-5</v>
      </c>
      <c r="K485" s="9">
        <f t="shared" si="87"/>
        <v>2.42E-4</v>
      </c>
      <c r="L485" s="4">
        <f t="shared" si="88"/>
        <v>1.3232000000000001E-2</v>
      </c>
      <c r="M485" s="5">
        <f t="shared" si="89"/>
        <v>4.1756934331412996</v>
      </c>
      <c r="N485" s="2">
        <f t="shared" si="90"/>
        <v>1.3410474607703563E-2</v>
      </c>
      <c r="O485">
        <f t="shared" si="91"/>
        <v>22277.725900000001</v>
      </c>
      <c r="P485">
        <f t="shared" ca="1" si="97"/>
        <v>22278</v>
      </c>
      <c r="Q485" t="str">
        <f t="shared" ca="1" si="92"/>
        <v>0101011100000110</v>
      </c>
      <c r="R485">
        <f t="shared" ca="1" si="93"/>
        <v>4.1769975242614743</v>
      </c>
      <c r="S485">
        <f t="shared" ca="1" si="94"/>
        <v>70.123970291137695</v>
      </c>
      <c r="T485" s="1">
        <f t="shared" ca="1" si="96"/>
        <v>2.6705275126466817E-2</v>
      </c>
      <c r="V485" s="4">
        <f t="shared" ca="1" si="95"/>
        <v>1.8239700000000001</v>
      </c>
      <c r="X485" s="2"/>
    </row>
    <row r="486" spans="8:24" x14ac:dyDescent="0.25">
      <c r="H486">
        <v>68.400000000000006</v>
      </c>
      <c r="I486">
        <v>4.1284050795775551</v>
      </c>
      <c r="J486" s="4">
        <f t="shared" si="86"/>
        <v>5.3000000000000001E-5</v>
      </c>
      <c r="K486" s="9">
        <f t="shared" si="87"/>
        <v>2.42E-4</v>
      </c>
      <c r="L486" s="4">
        <f t="shared" si="88"/>
        <v>1.3261999999999999E-2</v>
      </c>
      <c r="M486" s="5">
        <f t="shared" si="89"/>
        <v>4.1838961410035438</v>
      </c>
      <c r="N486" s="2">
        <f t="shared" si="90"/>
        <v>1.3441283099977898E-2</v>
      </c>
      <c r="O486">
        <f t="shared" si="91"/>
        <v>22321.4882</v>
      </c>
      <c r="P486">
        <f t="shared" ca="1" si="97"/>
        <v>22320</v>
      </c>
      <c r="Q486" t="str">
        <f t="shared" ca="1" si="92"/>
        <v>0101011100110000</v>
      </c>
      <c r="R486">
        <f t="shared" ca="1" si="93"/>
        <v>4.1848722839355466</v>
      </c>
      <c r="S486">
        <f t="shared" ca="1" si="94"/>
        <v>70.218467407226569</v>
      </c>
      <c r="T486" s="1">
        <f t="shared" ca="1" si="96"/>
        <v>2.6585780807405899E-2</v>
      </c>
      <c r="V486" s="4">
        <f t="shared" ca="1" si="95"/>
        <v>1.8184670000000001</v>
      </c>
      <c r="X486" s="2"/>
    </row>
    <row r="487" spans="8:24" x14ac:dyDescent="0.25">
      <c r="H487">
        <v>68.5</v>
      </c>
      <c r="I487">
        <v>4.1368638297236204</v>
      </c>
      <c r="J487" s="4">
        <f t="shared" si="86"/>
        <v>5.3999999999999998E-5</v>
      </c>
      <c r="K487" s="9">
        <f t="shared" si="87"/>
        <v>2.43E-4</v>
      </c>
      <c r="L487" s="4">
        <f t="shared" si="88"/>
        <v>1.3292999999999999E-2</v>
      </c>
      <c r="M487" s="5">
        <f t="shared" si="89"/>
        <v>4.1925992809715753</v>
      </c>
      <c r="N487" s="2">
        <f t="shared" si="90"/>
        <v>1.3472875478156239E-2</v>
      </c>
      <c r="O487">
        <f t="shared" si="91"/>
        <v>22367.920300000002</v>
      </c>
      <c r="P487">
        <f t="shared" ca="1" si="97"/>
        <v>22369</v>
      </c>
      <c r="Q487" t="str">
        <f t="shared" ca="1" si="92"/>
        <v>0101011101100001</v>
      </c>
      <c r="R487">
        <f t="shared" ca="1" si="93"/>
        <v>4.1940595035552981</v>
      </c>
      <c r="S487">
        <f t="shared" ca="1" si="94"/>
        <v>70.328714042663591</v>
      </c>
      <c r="T487" s="1">
        <f t="shared" ca="1" si="96"/>
        <v>2.6696555367351701E-2</v>
      </c>
      <c r="V487" s="4">
        <f t="shared" ca="1" si="95"/>
        <v>1.828714</v>
      </c>
      <c r="X487" s="2"/>
    </row>
    <row r="488" spans="8:24" x14ac:dyDescent="0.25">
      <c r="H488">
        <v>68.599999999999994</v>
      </c>
      <c r="I488">
        <v>4.1448563549047961</v>
      </c>
      <c r="J488" s="4">
        <f t="shared" si="86"/>
        <v>5.3999999999999998E-5</v>
      </c>
      <c r="K488" s="9">
        <f t="shared" si="87"/>
        <v>2.43E-4</v>
      </c>
      <c r="L488" s="4">
        <f t="shared" si="88"/>
        <v>1.3323E-2</v>
      </c>
      <c r="M488" s="5">
        <f t="shared" si="89"/>
        <v>4.2008272029963152</v>
      </c>
      <c r="N488" s="2">
        <f t="shared" si="90"/>
        <v>1.350368825816756E-2</v>
      </c>
      <c r="O488">
        <f t="shared" si="91"/>
        <v>22411.816999999999</v>
      </c>
      <c r="P488">
        <f t="shared" ca="1" si="97"/>
        <v>22416</v>
      </c>
      <c r="Q488" t="str">
        <f t="shared" ca="1" si="92"/>
        <v>0101011110010000</v>
      </c>
      <c r="R488">
        <f t="shared" ca="1" si="93"/>
        <v>4.2028717346191407</v>
      </c>
      <c r="S488">
        <f t="shared" ca="1" si="94"/>
        <v>70.434460815429702</v>
      </c>
      <c r="T488" s="1">
        <f t="shared" ca="1" si="96"/>
        <v>2.6741411303640057E-2</v>
      </c>
      <c r="V488" s="4">
        <f t="shared" ca="1" si="95"/>
        <v>1.8344609999999999</v>
      </c>
      <c r="X488" s="2"/>
    </row>
    <row r="489" spans="8:24" x14ac:dyDescent="0.25">
      <c r="H489">
        <v>68.7</v>
      </c>
      <c r="I489">
        <v>4.1528611327485789</v>
      </c>
      <c r="J489" s="4">
        <f t="shared" si="86"/>
        <v>5.5000000000000002E-5</v>
      </c>
      <c r="K489" s="9">
        <f t="shared" si="87"/>
        <v>2.4399999999999999E-4</v>
      </c>
      <c r="L489" s="4">
        <f t="shared" si="88"/>
        <v>1.3354E-2</v>
      </c>
      <c r="M489" s="5">
        <f t="shared" si="89"/>
        <v>4.209071296307469</v>
      </c>
      <c r="N489" s="2">
        <f t="shared" si="90"/>
        <v>1.3535286098451185E-2</v>
      </c>
      <c r="O489">
        <f t="shared" si="91"/>
        <v>22455.8001</v>
      </c>
      <c r="P489">
        <f t="shared" ca="1" si="97"/>
        <v>22458</v>
      </c>
      <c r="Q489" t="str">
        <f t="shared" ca="1" si="92"/>
        <v>0101011110111010</v>
      </c>
      <c r="R489">
        <f t="shared" ca="1" si="93"/>
        <v>4.2107464942932129</v>
      </c>
      <c r="S489">
        <f t="shared" ca="1" si="94"/>
        <v>70.528957931518562</v>
      </c>
      <c r="T489" s="1">
        <f t="shared" ca="1" si="96"/>
        <v>2.6622386193865488E-2</v>
      </c>
      <c r="V489" s="4">
        <f t="shared" ca="1" si="95"/>
        <v>1.8289580000000001</v>
      </c>
      <c r="X489" s="2"/>
    </row>
    <row r="490" spans="8:24" x14ac:dyDescent="0.25">
      <c r="H490">
        <v>68.800000000000011</v>
      </c>
      <c r="I490">
        <v>4.1608780482932666</v>
      </c>
      <c r="J490" s="4">
        <f t="shared" si="86"/>
        <v>5.5999999999999999E-5</v>
      </c>
      <c r="K490" s="9">
        <f t="shared" si="87"/>
        <v>2.4399999999999999E-4</v>
      </c>
      <c r="L490" s="4">
        <f t="shared" si="88"/>
        <v>1.3384E-2</v>
      </c>
      <c r="M490" s="5">
        <f t="shared" si="89"/>
        <v>4.2173239355750027</v>
      </c>
      <c r="N490" s="2">
        <f t="shared" si="90"/>
        <v>1.3565859567763461E-2</v>
      </c>
      <c r="O490">
        <f t="shared" si="91"/>
        <v>22499.828699999998</v>
      </c>
      <c r="P490">
        <f t="shared" ca="1" si="97"/>
        <v>22498</v>
      </c>
      <c r="Q490" t="str">
        <f t="shared" ca="1" si="92"/>
        <v>0101011111100010</v>
      </c>
      <c r="R490">
        <f t="shared" ca="1" si="93"/>
        <v>4.218246265411377</v>
      </c>
      <c r="S490">
        <f t="shared" ca="1" si="94"/>
        <v>70.618955184936539</v>
      </c>
      <c r="T490" s="1">
        <f t="shared" ca="1" si="96"/>
        <v>2.6438302106635565E-2</v>
      </c>
      <c r="V490" s="4">
        <f t="shared" ca="1" si="95"/>
        <v>1.8189550000000001</v>
      </c>
      <c r="X490" s="2"/>
    </row>
    <row r="491" spans="8:24" x14ac:dyDescent="0.25">
      <c r="H491">
        <v>68.900000000000006</v>
      </c>
      <c r="I491">
        <v>4.1693806934833866</v>
      </c>
      <c r="J491" s="4">
        <f t="shared" si="86"/>
        <v>5.5999999999999999E-5</v>
      </c>
      <c r="K491" s="9">
        <f t="shared" si="87"/>
        <v>2.4499999999999999E-4</v>
      </c>
      <c r="L491" s="4">
        <f t="shared" si="88"/>
        <v>1.3415E-2</v>
      </c>
      <c r="M491" s="5">
        <f t="shared" si="89"/>
        <v>4.2260747076160561</v>
      </c>
      <c r="N491" s="2">
        <f t="shared" si="90"/>
        <v>1.3597706302348571E-2</v>
      </c>
      <c r="O491">
        <f t="shared" si="91"/>
        <v>22546.514899999998</v>
      </c>
      <c r="P491">
        <f t="shared" ca="1" si="97"/>
        <v>22545</v>
      </c>
      <c r="Q491" t="str">
        <f t="shared" ca="1" si="92"/>
        <v>0101100000010001</v>
      </c>
      <c r="R491">
        <f t="shared" ca="1" si="93"/>
        <v>4.2270584964752196</v>
      </c>
      <c r="S491">
        <f t="shared" ca="1" si="94"/>
        <v>70.724701957702649</v>
      </c>
      <c r="T491" s="1">
        <f t="shared" ca="1" si="96"/>
        <v>2.6483337557367828E-2</v>
      </c>
      <c r="V491" s="4">
        <f t="shared" ca="1" si="95"/>
        <v>1.824702</v>
      </c>
      <c r="X491" s="2"/>
    </row>
    <row r="492" spans="8:24" x14ac:dyDescent="0.25">
      <c r="H492">
        <v>69</v>
      </c>
      <c r="I492">
        <v>4.1778933009403412</v>
      </c>
      <c r="J492" s="4">
        <f t="shared" si="86"/>
        <v>5.7000000000000003E-5</v>
      </c>
      <c r="K492" s="9">
        <f t="shared" si="87"/>
        <v>2.4499999999999999E-4</v>
      </c>
      <c r="L492" s="4">
        <f t="shared" si="88"/>
        <v>1.3445E-2</v>
      </c>
      <c r="M492" s="5">
        <f t="shared" si="89"/>
        <v>4.2348308215257555</v>
      </c>
      <c r="N492" s="2">
        <f t="shared" si="90"/>
        <v>1.3628284995358573E-2</v>
      </c>
      <c r="O492">
        <f t="shared" si="91"/>
        <v>22593.229599999999</v>
      </c>
      <c r="P492">
        <f t="shared" ca="1" si="97"/>
        <v>22598</v>
      </c>
      <c r="Q492" t="str">
        <f t="shared" ca="1" si="92"/>
        <v>0101100001000110</v>
      </c>
      <c r="R492">
        <f t="shared" ca="1" si="93"/>
        <v>4.2369956932067874</v>
      </c>
      <c r="S492">
        <f t="shared" ca="1" si="94"/>
        <v>70.843948318481452</v>
      </c>
      <c r="T492" s="1">
        <f t="shared" ca="1" si="96"/>
        <v>2.6723888673644232E-2</v>
      </c>
      <c r="V492" s="4">
        <f t="shared" ca="1" si="95"/>
        <v>1.8439479999999999</v>
      </c>
      <c r="X492" s="2"/>
    </row>
    <row r="493" spans="8:24" x14ac:dyDescent="0.25">
      <c r="H493">
        <v>69.099999999999994</v>
      </c>
      <c r="I493">
        <v>4.1859439958163076</v>
      </c>
      <c r="J493" s="4">
        <f t="shared" si="86"/>
        <v>5.7000000000000003E-5</v>
      </c>
      <c r="K493" s="9">
        <f t="shared" si="87"/>
        <v>2.4600000000000002E-4</v>
      </c>
      <c r="L493" s="4">
        <f t="shared" si="88"/>
        <v>1.3476E-2</v>
      </c>
      <c r="M493" s="5">
        <f t="shared" si="89"/>
        <v>4.2431245607895072</v>
      </c>
      <c r="N493" s="2">
        <f t="shared" si="90"/>
        <v>1.3660136167695834E-2</v>
      </c>
      <c r="O493">
        <f t="shared" si="91"/>
        <v>22637.477500000001</v>
      </c>
      <c r="P493">
        <f t="shared" ca="1" si="97"/>
        <v>22639</v>
      </c>
      <c r="Q493" t="str">
        <f t="shared" ca="1" si="92"/>
        <v>0101100001101111</v>
      </c>
      <c r="R493">
        <f t="shared" ca="1" si="93"/>
        <v>4.2446829586029056</v>
      </c>
      <c r="S493">
        <f t="shared" ca="1" si="94"/>
        <v>70.93619550323487</v>
      </c>
      <c r="T493" s="1">
        <f t="shared" ca="1" si="96"/>
        <v>2.6573017412950452E-2</v>
      </c>
      <c r="V493" s="4">
        <f t="shared" ca="1" si="95"/>
        <v>1.8361959999999999</v>
      </c>
      <c r="X493" s="2"/>
    </row>
    <row r="494" spans="8:24" x14ac:dyDescent="0.25">
      <c r="H494">
        <v>69.2</v>
      </c>
      <c r="I494">
        <v>4.1940063726999801</v>
      </c>
      <c r="J494" s="4">
        <f t="shared" si="86"/>
        <v>5.8E-5</v>
      </c>
      <c r="K494" s="9">
        <f t="shared" si="87"/>
        <v>2.4600000000000002E-4</v>
      </c>
      <c r="L494" s="4">
        <f t="shared" si="88"/>
        <v>1.3506000000000001E-2</v>
      </c>
      <c r="M494" s="5">
        <f t="shared" si="89"/>
        <v>4.2514253399939381</v>
      </c>
      <c r="N494" s="2">
        <f t="shared" si="90"/>
        <v>1.3690720087531326E-2</v>
      </c>
      <c r="O494">
        <f t="shared" si="91"/>
        <v>22681.762999999999</v>
      </c>
      <c r="P494">
        <f t="shared" ca="1" si="97"/>
        <v>22683</v>
      </c>
      <c r="Q494" t="str">
        <f t="shared" ca="1" si="92"/>
        <v>0101100010011011</v>
      </c>
      <c r="R494">
        <f t="shared" ca="1" si="93"/>
        <v>4.2529327068328859</v>
      </c>
      <c r="S494">
        <f t="shared" ca="1" si="94"/>
        <v>71.035192481994642</v>
      </c>
      <c r="T494" s="1">
        <f t="shared" ca="1" si="96"/>
        <v>2.6520122572176865E-2</v>
      </c>
      <c r="V494" s="4">
        <f t="shared" ca="1" si="95"/>
        <v>1.8351919999999999</v>
      </c>
      <c r="X494" s="2"/>
    </row>
    <row r="495" spans="8:24" x14ac:dyDescent="0.25">
      <c r="H495">
        <v>69.300000000000011</v>
      </c>
      <c r="I495">
        <v>4.2016104952927673</v>
      </c>
      <c r="J495" s="4">
        <f t="shared" si="86"/>
        <v>5.8E-5</v>
      </c>
      <c r="K495" s="9">
        <f t="shared" si="87"/>
        <v>2.4699999999999999E-4</v>
      </c>
      <c r="L495" s="4">
        <f t="shared" si="88"/>
        <v>1.3537E-2</v>
      </c>
      <c r="M495" s="5">
        <f t="shared" si="89"/>
        <v>4.259267413118148</v>
      </c>
      <c r="N495" s="2">
        <f t="shared" si="90"/>
        <v>1.372257563855005E-2</v>
      </c>
      <c r="O495">
        <f t="shared" si="91"/>
        <v>22723.601200000001</v>
      </c>
      <c r="P495">
        <f t="shared" ca="1" si="97"/>
        <v>22727</v>
      </c>
      <c r="Q495" t="str">
        <f t="shared" ca="1" si="92"/>
        <v>0101100011000111</v>
      </c>
      <c r="R495">
        <f t="shared" ca="1" si="93"/>
        <v>4.2611824550628663</v>
      </c>
      <c r="S495">
        <f t="shared" ca="1" si="94"/>
        <v>71.134189460754399</v>
      </c>
      <c r="T495" s="1">
        <f t="shared" ca="1" si="96"/>
        <v>2.6467380386066199E-2</v>
      </c>
      <c r="V495" s="4">
        <f t="shared" ca="1" si="95"/>
        <v>1.8341890000000001</v>
      </c>
      <c r="X495" s="2"/>
    </row>
    <row r="496" spans="8:24" x14ac:dyDescent="0.25">
      <c r="H496">
        <v>69.400000000000006</v>
      </c>
      <c r="I496">
        <v>4.2096968627381814</v>
      </c>
      <c r="J496" s="4">
        <f t="shared" si="86"/>
        <v>5.8999999999999998E-5</v>
      </c>
      <c r="K496" s="9">
        <f t="shared" si="87"/>
        <v>2.4699999999999999E-4</v>
      </c>
      <c r="L496" s="4">
        <f t="shared" si="88"/>
        <v>1.3566999999999999E-2</v>
      </c>
      <c r="M496" s="5">
        <f t="shared" si="89"/>
        <v>4.2675935170986588</v>
      </c>
      <c r="N496" s="2">
        <f t="shared" si="90"/>
        <v>1.3753164716667663E-2</v>
      </c>
      <c r="O496">
        <f t="shared" si="91"/>
        <v>22768.021700000001</v>
      </c>
      <c r="P496">
        <f t="shared" ca="1" si="97"/>
        <v>22770</v>
      </c>
      <c r="Q496" t="str">
        <f t="shared" ca="1" si="92"/>
        <v>0101100011110010</v>
      </c>
      <c r="R496">
        <f t="shared" ca="1" si="93"/>
        <v>4.2692447090148926</v>
      </c>
      <c r="S496">
        <f t="shared" ca="1" si="94"/>
        <v>71.230936508178715</v>
      </c>
      <c r="T496" s="1">
        <f t="shared" ca="1" si="96"/>
        <v>2.6382370434851716E-2</v>
      </c>
      <c r="V496" s="4">
        <f t="shared" ca="1" si="95"/>
        <v>1.830937</v>
      </c>
      <c r="X496" s="2"/>
    </row>
    <row r="497" spans="8:24" x14ac:dyDescent="0.25">
      <c r="H497">
        <v>69.5</v>
      </c>
      <c r="I497">
        <v>4.2177945701176851</v>
      </c>
      <c r="J497" s="4">
        <f t="shared" si="86"/>
        <v>6.0000000000000002E-5</v>
      </c>
      <c r="K497" s="9">
        <f t="shared" si="87"/>
        <v>2.4800000000000001E-4</v>
      </c>
      <c r="L497" s="4">
        <f t="shared" si="88"/>
        <v>1.3598000000000001E-2</v>
      </c>
      <c r="M497" s="5">
        <f t="shared" si="89"/>
        <v>4.2759359585987102</v>
      </c>
      <c r="N497" s="2">
        <f t="shared" si="90"/>
        <v>1.3784784326137264E-2</v>
      </c>
      <c r="O497">
        <f t="shared" si="91"/>
        <v>22812.529500000001</v>
      </c>
      <c r="P497">
        <f t="shared" ca="1" si="97"/>
        <v>22813</v>
      </c>
      <c r="Q497" t="str">
        <f t="shared" ca="1" si="92"/>
        <v>0101100100011101</v>
      </c>
      <c r="R497">
        <f t="shared" ca="1" si="93"/>
        <v>4.2773069629669189</v>
      </c>
      <c r="S497">
        <f t="shared" ca="1" si="94"/>
        <v>71.327683555603031</v>
      </c>
      <c r="T497" s="1">
        <f t="shared" ca="1" si="96"/>
        <v>2.6297605116590368E-2</v>
      </c>
      <c r="V497" s="4">
        <f t="shared" ca="1" si="95"/>
        <v>1.8276840000000001</v>
      </c>
      <c r="X497" s="2"/>
    </row>
    <row r="498" spans="8:24" x14ac:dyDescent="0.25">
      <c r="H498">
        <v>69.599999999999994</v>
      </c>
      <c r="I498">
        <v>4.2259035039753483</v>
      </c>
      <c r="J498" s="4">
        <f t="shared" si="86"/>
        <v>6.0000000000000002E-5</v>
      </c>
      <c r="K498" s="9">
        <f t="shared" si="87"/>
        <v>2.4800000000000001E-4</v>
      </c>
      <c r="L498" s="4">
        <f t="shared" si="88"/>
        <v>1.3627999999999999E-2</v>
      </c>
      <c r="M498" s="5">
        <f t="shared" si="89"/>
        <v>4.2842869764666354</v>
      </c>
      <c r="N498" s="2">
        <f t="shared" si="90"/>
        <v>1.3815618940746082E-2</v>
      </c>
      <c r="O498">
        <f t="shared" si="91"/>
        <v>22857.082900000001</v>
      </c>
      <c r="P498">
        <f t="shared" ca="1" si="97"/>
        <v>22856</v>
      </c>
      <c r="Q498" t="str">
        <f t="shared" ca="1" si="92"/>
        <v>0101100101001000</v>
      </c>
      <c r="R498">
        <f t="shared" ca="1" si="93"/>
        <v>4.2853692169189452</v>
      </c>
      <c r="S498">
        <f t="shared" ca="1" si="94"/>
        <v>71.424430603027346</v>
      </c>
      <c r="T498" s="1">
        <f t="shared" ca="1" si="96"/>
        <v>2.6213083376829774E-2</v>
      </c>
      <c r="V498" s="4">
        <f t="shared" ca="1" si="95"/>
        <v>1.8244309999999999</v>
      </c>
      <c r="X498" s="2"/>
    </row>
    <row r="499" spans="8:24" x14ac:dyDescent="0.25">
      <c r="H499">
        <v>69.7</v>
      </c>
      <c r="I499">
        <v>4.234023551677228</v>
      </c>
      <c r="J499" s="4">
        <f t="shared" si="86"/>
        <v>6.0999999999999999E-5</v>
      </c>
      <c r="K499" s="9">
        <f t="shared" si="87"/>
        <v>2.4899999999999998E-4</v>
      </c>
      <c r="L499" s="4">
        <f t="shared" si="88"/>
        <v>1.3658999999999999E-2</v>
      </c>
      <c r="M499" s="5">
        <f t="shared" si="89"/>
        <v>4.2926531082609651</v>
      </c>
      <c r="N499" s="2">
        <f t="shared" si="90"/>
        <v>1.3847243849296057E-2</v>
      </c>
      <c r="O499">
        <f t="shared" si="91"/>
        <v>22901.717100000002</v>
      </c>
      <c r="P499">
        <f t="shared" ca="1" si="97"/>
        <v>22902</v>
      </c>
      <c r="Q499" t="str">
        <f t="shared" ca="1" si="92"/>
        <v>0101100101110110</v>
      </c>
      <c r="R499">
        <f t="shared" ca="1" si="93"/>
        <v>4.2939939537048337</v>
      </c>
      <c r="S499">
        <f t="shared" ca="1" si="94"/>
        <v>71.527927444458015</v>
      </c>
      <c r="T499" s="1">
        <f t="shared" ca="1" si="96"/>
        <v>2.6225644827231168E-2</v>
      </c>
      <c r="V499" s="4">
        <f t="shared" ca="1" si="95"/>
        <v>1.8279270000000001</v>
      </c>
      <c r="X499" s="2"/>
    </row>
    <row r="500" spans="8:24" x14ac:dyDescent="0.25">
      <c r="H500">
        <v>69.800000000000011</v>
      </c>
      <c r="I500">
        <v>4.2421546003747839</v>
      </c>
      <c r="J500" s="4">
        <f t="shared" si="86"/>
        <v>6.0999999999999999E-5</v>
      </c>
      <c r="K500" s="9">
        <f t="shared" si="87"/>
        <v>2.4899999999999998E-4</v>
      </c>
      <c r="L500" s="4">
        <f t="shared" si="88"/>
        <v>1.3689E-2</v>
      </c>
      <c r="M500" s="5">
        <f t="shared" si="89"/>
        <v>4.3010275728576319</v>
      </c>
      <c r="N500" s="2">
        <f t="shared" si="90"/>
        <v>1.387808272655758E-2</v>
      </c>
      <c r="O500">
        <f t="shared" si="91"/>
        <v>22946.3956</v>
      </c>
      <c r="P500">
        <f t="shared" ca="1" si="97"/>
        <v>22945</v>
      </c>
      <c r="Q500" t="str">
        <f t="shared" ca="1" si="92"/>
        <v>0101100110100001</v>
      </c>
      <c r="R500">
        <f t="shared" ca="1" si="93"/>
        <v>4.30205620765686</v>
      </c>
      <c r="S500">
        <f t="shared" ca="1" si="94"/>
        <v>71.624674491882331</v>
      </c>
      <c r="T500" s="1">
        <f t="shared" ca="1" si="96"/>
        <v>2.614146836507621E-2</v>
      </c>
      <c r="V500" s="4">
        <f t="shared" ca="1" si="95"/>
        <v>1.8246739999999999</v>
      </c>
      <c r="X500" s="2"/>
    </row>
    <row r="501" spans="8:24" x14ac:dyDescent="0.25">
      <c r="H501">
        <v>69.900000000000006</v>
      </c>
      <c r="I501">
        <v>4.2498325085038147</v>
      </c>
      <c r="J501" s="4">
        <f t="shared" si="86"/>
        <v>6.2000000000000003E-5</v>
      </c>
      <c r="K501" s="9">
        <f t="shared" si="87"/>
        <v>2.5000000000000001E-4</v>
      </c>
      <c r="L501" s="4">
        <f t="shared" si="88"/>
        <v>1.372E-2</v>
      </c>
      <c r="M501" s="5">
        <f t="shared" si="89"/>
        <v>4.3089464581496273</v>
      </c>
      <c r="N501" s="2">
        <f t="shared" si="90"/>
        <v>1.3909712801040277E-2</v>
      </c>
      <c r="O501">
        <f t="shared" si="91"/>
        <v>22988.643599999999</v>
      </c>
      <c r="P501">
        <f t="shared" ca="1" si="97"/>
        <v>22992</v>
      </c>
      <c r="Q501" t="str">
        <f t="shared" ca="1" si="92"/>
        <v>0101100111010000</v>
      </c>
      <c r="R501">
        <f t="shared" ca="1" si="93"/>
        <v>4.3108684387207035</v>
      </c>
      <c r="S501">
        <f t="shared" ca="1" si="94"/>
        <v>71.730421264648456</v>
      </c>
      <c r="T501" s="1">
        <f t="shared" ca="1" si="96"/>
        <v>2.6186284186673105E-2</v>
      </c>
      <c r="V501" s="4">
        <f t="shared" ca="1" si="95"/>
        <v>1.8304210000000001</v>
      </c>
      <c r="X501" s="2"/>
    </row>
    <row r="502" spans="8:24" x14ac:dyDescent="0.25">
      <c r="H502">
        <v>70</v>
      </c>
      <c r="I502">
        <v>4.2584492527489077</v>
      </c>
      <c r="J502" s="4">
        <f t="shared" si="86"/>
        <v>6.3E-5</v>
      </c>
      <c r="K502" s="9">
        <f t="shared" si="87"/>
        <v>2.5000000000000001E-4</v>
      </c>
      <c r="L502" s="4">
        <f t="shared" si="88"/>
        <v>1.375E-2</v>
      </c>
      <c r="M502" s="5">
        <f t="shared" si="89"/>
        <v>4.317813389352505</v>
      </c>
      <c r="N502" s="2">
        <f t="shared" si="90"/>
        <v>1.3940317960881334E-2</v>
      </c>
      <c r="O502">
        <f t="shared" si="91"/>
        <v>23035.9496</v>
      </c>
      <c r="P502">
        <f t="shared" ca="1" si="97"/>
        <v>23038</v>
      </c>
      <c r="Q502" t="str">
        <f t="shared" ca="1" si="92"/>
        <v>0101100111111110</v>
      </c>
      <c r="R502">
        <f t="shared" ca="1" si="93"/>
        <v>4.319493175506592</v>
      </c>
      <c r="S502">
        <f t="shared" ca="1" si="94"/>
        <v>71.833918106079111</v>
      </c>
      <c r="T502" s="1">
        <f t="shared" ca="1" si="96"/>
        <v>2.6198830086844437E-2</v>
      </c>
      <c r="V502" s="4">
        <f t="shared" ca="1" si="95"/>
        <v>1.8339179999999999</v>
      </c>
      <c r="X502" s="2"/>
    </row>
    <row r="503" spans="8:24" x14ac:dyDescent="0.25">
      <c r="H503">
        <v>70.099999999999994</v>
      </c>
      <c r="I503">
        <v>4.2666126326087968</v>
      </c>
      <c r="J503" s="4">
        <f t="shared" si="86"/>
        <v>6.3E-5</v>
      </c>
      <c r="K503" s="9">
        <f t="shared" si="87"/>
        <v>2.5099999999999998E-4</v>
      </c>
      <c r="L503" s="4">
        <f t="shared" si="88"/>
        <v>1.3781E-2</v>
      </c>
      <c r="M503" s="5">
        <f t="shared" si="89"/>
        <v>4.326226561555595</v>
      </c>
      <c r="N503" s="2">
        <f t="shared" si="90"/>
        <v>1.3972191543985487E-2</v>
      </c>
      <c r="O503">
        <f t="shared" si="91"/>
        <v>23080.834699999999</v>
      </c>
      <c r="P503">
        <f t="shared" ca="1" si="97"/>
        <v>23080</v>
      </c>
      <c r="Q503" t="str">
        <f t="shared" ca="1" si="92"/>
        <v>0101101000101000</v>
      </c>
      <c r="R503">
        <f t="shared" ca="1" si="93"/>
        <v>4.3273679351806642</v>
      </c>
      <c r="S503">
        <f t="shared" ca="1" si="94"/>
        <v>71.928415222167985</v>
      </c>
      <c r="T503" s="1">
        <f t="shared" ca="1" si="96"/>
        <v>2.6082956093694588E-2</v>
      </c>
      <c r="V503" s="4">
        <f t="shared" ca="1" si="95"/>
        <v>1.8284149999999999</v>
      </c>
      <c r="X503" s="2"/>
    </row>
    <row r="504" spans="8:24" x14ac:dyDescent="0.25">
      <c r="H504">
        <v>70.2</v>
      </c>
      <c r="I504">
        <v>4.2743254133836475</v>
      </c>
      <c r="J504" s="4">
        <f t="shared" si="86"/>
        <v>6.3999999999999997E-5</v>
      </c>
      <c r="K504" s="9">
        <f t="shared" si="87"/>
        <v>2.5099999999999998E-4</v>
      </c>
      <c r="L504" s="4">
        <f t="shared" si="88"/>
        <v>1.3811E-2</v>
      </c>
      <c r="M504" s="5">
        <f t="shared" si="89"/>
        <v>4.3341779439292543</v>
      </c>
      <c r="N504" s="2">
        <f t="shared" si="90"/>
        <v>1.4002801555117501E-2</v>
      </c>
      <c r="O504">
        <f t="shared" si="91"/>
        <v>23123.256099999999</v>
      </c>
      <c r="P504">
        <f t="shared" ca="1" si="97"/>
        <v>23124</v>
      </c>
      <c r="Q504" t="str">
        <f t="shared" ca="1" si="92"/>
        <v>0101101001010100</v>
      </c>
      <c r="R504">
        <f t="shared" ca="1" si="93"/>
        <v>4.3356176834106446</v>
      </c>
      <c r="S504">
        <f t="shared" ca="1" si="94"/>
        <v>72.027412200927742</v>
      </c>
      <c r="T504" s="1">
        <f t="shared" ca="1" si="96"/>
        <v>2.6031512833728478E-2</v>
      </c>
      <c r="V504" s="4">
        <f t="shared" ca="1" si="95"/>
        <v>1.827412</v>
      </c>
      <c r="X504" s="2"/>
    </row>
    <row r="505" spans="8:24" x14ac:dyDescent="0.25">
      <c r="H505">
        <v>70.300000000000011</v>
      </c>
      <c r="I505">
        <v>4.28251074566474</v>
      </c>
      <c r="J505" s="4">
        <f t="shared" si="86"/>
        <v>6.3999999999999997E-5</v>
      </c>
      <c r="K505" s="9">
        <f t="shared" si="87"/>
        <v>2.52E-4</v>
      </c>
      <c r="L505" s="4">
        <f t="shared" si="88"/>
        <v>1.3842E-2</v>
      </c>
      <c r="M505" s="5">
        <f t="shared" si="89"/>
        <v>4.3426144115129013</v>
      </c>
      <c r="N505" s="2">
        <f t="shared" si="90"/>
        <v>1.4034679518085338E-2</v>
      </c>
      <c r="O505">
        <f t="shared" si="91"/>
        <v>23168.2654</v>
      </c>
      <c r="P505">
        <f t="shared" ca="1" si="97"/>
        <v>23167</v>
      </c>
      <c r="Q505" t="str">
        <f t="shared" ca="1" si="92"/>
        <v>0101101001111111</v>
      </c>
      <c r="R505">
        <f t="shared" ca="1" si="93"/>
        <v>4.3436799373626709</v>
      </c>
      <c r="S505">
        <f t="shared" ca="1" si="94"/>
        <v>72.124159248352058</v>
      </c>
      <c r="T505" s="1">
        <f t="shared" ca="1" si="96"/>
        <v>2.5948211214111609E-2</v>
      </c>
      <c r="V505" s="4">
        <f t="shared" ca="1" si="95"/>
        <v>1.8241590000000001</v>
      </c>
      <c r="X505" s="2"/>
    </row>
    <row r="506" spans="8:24" x14ac:dyDescent="0.25">
      <c r="H506">
        <v>70.400000000000006</v>
      </c>
      <c r="I506">
        <v>4.2902471687482793</v>
      </c>
      <c r="J506" s="4">
        <f t="shared" si="86"/>
        <v>6.4999999999999994E-5</v>
      </c>
      <c r="K506" s="9">
        <f t="shared" si="87"/>
        <v>2.52E-4</v>
      </c>
      <c r="L506" s="4">
        <f t="shared" si="88"/>
        <v>1.3872000000000001E-2</v>
      </c>
      <c r="M506" s="5">
        <f t="shared" si="89"/>
        <v>4.3505907591836754</v>
      </c>
      <c r="N506" s="2">
        <f t="shared" si="90"/>
        <v>1.4065294623340311E-2</v>
      </c>
      <c r="O506">
        <f t="shared" si="91"/>
        <v>23210.82</v>
      </c>
      <c r="P506">
        <f t="shared" ca="1" si="97"/>
        <v>23213</v>
      </c>
      <c r="Q506" t="str">
        <f t="shared" ca="1" si="92"/>
        <v>0101101010101101</v>
      </c>
      <c r="R506">
        <f t="shared" ca="1" si="93"/>
        <v>4.3523046741485594</v>
      </c>
      <c r="S506">
        <f t="shared" ca="1" si="94"/>
        <v>72.227656089782727</v>
      </c>
      <c r="T506" s="1">
        <f t="shared" ca="1" si="96"/>
        <v>2.5961024002595465E-2</v>
      </c>
      <c r="V506" s="4">
        <f t="shared" ca="1" si="95"/>
        <v>1.8276559999999999</v>
      </c>
      <c r="X506" s="2"/>
    </row>
    <row r="507" spans="8:24" x14ac:dyDescent="0.25">
      <c r="H507">
        <v>70.5</v>
      </c>
      <c r="I507">
        <v>4.2984540044932977</v>
      </c>
      <c r="J507" s="4">
        <f t="shared" si="86"/>
        <v>6.4999999999999994E-5</v>
      </c>
      <c r="K507" s="9">
        <f t="shared" si="87"/>
        <v>2.5300000000000002E-4</v>
      </c>
      <c r="L507" s="4">
        <f t="shared" si="88"/>
        <v>1.3903E-2</v>
      </c>
      <c r="M507" s="5">
        <f t="shared" si="89"/>
        <v>4.3590500712600262</v>
      </c>
      <c r="N507" s="2">
        <f t="shared" si="90"/>
        <v>1.4097176962551106E-2</v>
      </c>
      <c r="O507">
        <f t="shared" si="91"/>
        <v>23255.9512</v>
      </c>
      <c r="P507">
        <f t="shared" ca="1" si="97"/>
        <v>23261</v>
      </c>
      <c r="Q507" t="str">
        <f t="shared" ca="1" si="92"/>
        <v>0101101011011101</v>
      </c>
      <c r="R507">
        <f t="shared" ca="1" si="93"/>
        <v>4.3613043994903569</v>
      </c>
      <c r="S507">
        <f t="shared" ca="1" si="94"/>
        <v>72.335652793884293</v>
      </c>
      <c r="T507" s="1">
        <f t="shared" ca="1" si="96"/>
        <v>2.6037628282046709E-2</v>
      </c>
      <c r="V507" s="4">
        <f t="shared" ca="1" si="95"/>
        <v>1.835653</v>
      </c>
      <c r="X507" s="2"/>
    </row>
    <row r="508" spans="8:24" x14ac:dyDescent="0.25">
      <c r="H508">
        <v>70.599999999999994</v>
      </c>
      <c r="I508">
        <v>4.3066709479203569</v>
      </c>
      <c r="J508" s="4">
        <f t="shared" si="86"/>
        <v>6.6000000000000005E-5</v>
      </c>
      <c r="K508" s="9">
        <f t="shared" si="87"/>
        <v>2.5300000000000002E-4</v>
      </c>
      <c r="L508" s="4">
        <f t="shared" si="88"/>
        <v>1.3932999999999999E-2</v>
      </c>
      <c r="M508" s="5">
        <f t="shared" si="89"/>
        <v>4.3675147224340298</v>
      </c>
      <c r="N508" s="2">
        <f t="shared" si="90"/>
        <v>1.4127797375152084E-2</v>
      </c>
      <c r="O508">
        <f t="shared" si="91"/>
        <v>23301.111000000001</v>
      </c>
      <c r="P508">
        <f t="shared" ca="1" si="97"/>
        <v>23302</v>
      </c>
      <c r="Q508" t="str">
        <f t="shared" ca="1" si="92"/>
        <v>0101101100000110</v>
      </c>
      <c r="R508">
        <f t="shared" ca="1" si="93"/>
        <v>4.3689916648864751</v>
      </c>
      <c r="S508">
        <f t="shared" ca="1" si="94"/>
        <v>72.427899978637711</v>
      </c>
      <c r="T508" s="1">
        <f t="shared" ca="1" si="96"/>
        <v>2.5890934541610726E-2</v>
      </c>
      <c r="V508" s="4">
        <f t="shared" ca="1" si="95"/>
        <v>1.8279000000000001</v>
      </c>
      <c r="X508" s="2"/>
    </row>
    <row r="509" spans="8:24" x14ac:dyDescent="0.25">
      <c r="H509">
        <v>70.7</v>
      </c>
      <c r="I509">
        <v>4.3144415088048582</v>
      </c>
      <c r="J509" s="4">
        <f t="shared" si="86"/>
        <v>6.7000000000000002E-5</v>
      </c>
      <c r="K509" s="9">
        <f t="shared" si="87"/>
        <v>2.5399999999999999E-4</v>
      </c>
      <c r="L509" s="4">
        <f t="shared" si="88"/>
        <v>1.3964000000000001E-2</v>
      </c>
      <c r="M509" s="5">
        <f t="shared" si="89"/>
        <v>4.3755316224690164</v>
      </c>
      <c r="N509" s="2">
        <f t="shared" si="90"/>
        <v>1.4159448804552393E-2</v>
      </c>
      <c r="O509">
        <f t="shared" si="91"/>
        <v>23343.8819</v>
      </c>
      <c r="P509">
        <f t="shared" ca="1" si="97"/>
        <v>23343</v>
      </c>
      <c r="Q509" t="str">
        <f t="shared" ca="1" si="92"/>
        <v>0101101100101111</v>
      </c>
      <c r="R509">
        <f t="shared" ca="1" si="93"/>
        <v>4.3766789302825932</v>
      </c>
      <c r="S509">
        <f t="shared" ca="1" si="94"/>
        <v>72.52014716339113</v>
      </c>
      <c r="T509" s="1">
        <f t="shared" ca="1" si="96"/>
        <v>2.5744655776395002E-2</v>
      </c>
      <c r="V509" s="4">
        <f t="shared" ca="1" si="95"/>
        <v>1.820147</v>
      </c>
      <c r="X509" s="2"/>
    </row>
    <row r="510" spans="8:24" x14ac:dyDescent="0.25">
      <c r="H510">
        <v>70.800000000000011</v>
      </c>
      <c r="I510">
        <v>4.3217684309262321</v>
      </c>
      <c r="J510" s="4">
        <f t="shared" si="86"/>
        <v>6.7000000000000002E-5</v>
      </c>
      <c r="K510" s="9">
        <f t="shared" si="87"/>
        <v>2.5399999999999999E-4</v>
      </c>
      <c r="L510" s="4">
        <f t="shared" si="88"/>
        <v>1.3993999999999999E-2</v>
      </c>
      <c r="M510" s="5">
        <f t="shared" si="89"/>
        <v>4.3830956599394248</v>
      </c>
      <c r="N510" s="2">
        <f t="shared" si="90"/>
        <v>1.4190308896316605E-2</v>
      </c>
      <c r="O510">
        <f t="shared" si="91"/>
        <v>23384.236799999999</v>
      </c>
      <c r="P510">
        <f t="shared" ca="1" si="97"/>
        <v>23385</v>
      </c>
      <c r="Q510" t="str">
        <f t="shared" ca="1" si="92"/>
        <v>0101101101011001</v>
      </c>
      <c r="R510">
        <f t="shared" ca="1" si="93"/>
        <v>4.3845536899566655</v>
      </c>
      <c r="S510">
        <f t="shared" ca="1" si="94"/>
        <v>72.61464427947999</v>
      </c>
      <c r="T510" s="1">
        <f t="shared" ca="1" si="96"/>
        <v>2.5630568919208726E-2</v>
      </c>
      <c r="V510" s="4">
        <f t="shared" ca="1" si="95"/>
        <v>1.8146439999999999</v>
      </c>
      <c r="X510" s="2"/>
    </row>
    <row r="511" spans="8:24" x14ac:dyDescent="0.25">
      <c r="H511">
        <v>70.900000000000006</v>
      </c>
      <c r="I511">
        <v>4.3300178838393677</v>
      </c>
      <c r="J511" s="4">
        <f t="shared" si="86"/>
        <v>6.7999999999999999E-5</v>
      </c>
      <c r="K511" s="9">
        <f t="shared" si="87"/>
        <v>2.5500000000000002E-4</v>
      </c>
      <c r="L511" s="4">
        <f t="shared" si="88"/>
        <v>1.4024999999999999E-2</v>
      </c>
      <c r="M511" s="5">
        <f t="shared" si="89"/>
        <v>4.3915992498687775</v>
      </c>
      <c r="N511" s="2">
        <f t="shared" si="90"/>
        <v>1.4221965747357705E-2</v>
      </c>
      <c r="O511">
        <f t="shared" si="91"/>
        <v>23429.604200000002</v>
      </c>
      <c r="P511">
        <f t="shared" ca="1" si="97"/>
        <v>23432</v>
      </c>
      <c r="Q511" t="str">
        <f t="shared" ca="1" si="92"/>
        <v>0101101110001000</v>
      </c>
      <c r="R511">
        <f t="shared" ca="1" si="93"/>
        <v>4.393365921020508</v>
      </c>
      <c r="S511">
        <f t="shared" ca="1" si="94"/>
        <v>72.7203910522461</v>
      </c>
      <c r="T511" s="1">
        <f t="shared" ca="1" si="96"/>
        <v>2.5675473233372274E-2</v>
      </c>
      <c r="V511" s="4">
        <f t="shared" ca="1" si="95"/>
        <v>1.8203910000000001</v>
      </c>
      <c r="X511" s="2"/>
    </row>
    <row r="512" spans="8:24" x14ac:dyDescent="0.25">
      <c r="H512">
        <v>71</v>
      </c>
      <c r="I512">
        <v>4.3382770016821643</v>
      </c>
      <c r="J512" s="4">
        <f t="shared" si="86"/>
        <v>6.7999999999999999E-5</v>
      </c>
      <c r="K512" s="9">
        <f t="shared" si="87"/>
        <v>2.5500000000000002E-4</v>
      </c>
      <c r="L512" s="4">
        <f t="shared" si="88"/>
        <v>1.4055E-2</v>
      </c>
      <c r="M512" s="5">
        <f t="shared" si="89"/>
        <v>4.4001097287294577</v>
      </c>
      <c r="N512" s="2">
        <f t="shared" si="90"/>
        <v>1.425283056460382E-2</v>
      </c>
      <c r="O512">
        <f t="shared" si="91"/>
        <v>23475.0085</v>
      </c>
      <c r="P512">
        <f t="shared" ca="1" si="97"/>
        <v>23477</v>
      </c>
      <c r="Q512" t="str">
        <f t="shared" ca="1" si="92"/>
        <v>0101101110110101</v>
      </c>
      <c r="R512">
        <f t="shared" ca="1" si="93"/>
        <v>4.4018031635284425</v>
      </c>
      <c r="S512">
        <f t="shared" ca="1" si="94"/>
        <v>72.821637962341313</v>
      </c>
      <c r="T512" s="1">
        <f t="shared" ca="1" si="96"/>
        <v>2.565687270903258E-2</v>
      </c>
      <c r="V512" s="4">
        <f t="shared" ca="1" si="95"/>
        <v>1.8216380000000001</v>
      </c>
      <c r="X512" s="2"/>
    </row>
    <row r="513" spans="8:24" x14ac:dyDescent="0.25">
      <c r="H513">
        <v>71.099999999999994</v>
      </c>
      <c r="I513">
        <v>4.3460930907956961</v>
      </c>
      <c r="J513" s="4">
        <f t="shared" si="86"/>
        <v>6.8999999999999997E-5</v>
      </c>
      <c r="K513" s="9">
        <f t="shared" si="87"/>
        <v>2.5599999999999999E-4</v>
      </c>
      <c r="L513" s="4">
        <f t="shared" si="88"/>
        <v>1.4086E-2</v>
      </c>
      <c r="M513" s="5">
        <f t="shared" si="89"/>
        <v>4.4081748243839689</v>
      </c>
      <c r="N513" s="2">
        <f t="shared" si="90"/>
        <v>1.4284492368502565E-2</v>
      </c>
      <c r="O513">
        <f t="shared" si="91"/>
        <v>23518.036499999998</v>
      </c>
      <c r="P513">
        <f t="shared" ca="1" si="97"/>
        <v>23517</v>
      </c>
      <c r="Q513" t="str">
        <f t="shared" ca="1" si="92"/>
        <v>0101101111011101</v>
      </c>
      <c r="R513">
        <f t="shared" ca="1" si="93"/>
        <v>4.4093029346466066</v>
      </c>
      <c r="S513">
        <f t="shared" ca="1" si="94"/>
        <v>72.91163521575929</v>
      </c>
      <c r="T513" s="1">
        <f t="shared" ca="1" si="96"/>
        <v>2.5480101487472515E-2</v>
      </c>
      <c r="V513" s="4">
        <f t="shared" ca="1" si="95"/>
        <v>1.8116350000000001</v>
      </c>
      <c r="X513" s="2"/>
    </row>
    <row r="514" spans="8:24" x14ac:dyDescent="0.25">
      <c r="H514">
        <v>71.2</v>
      </c>
      <c r="I514">
        <v>4.3539205175592155</v>
      </c>
      <c r="J514" s="4">
        <f t="shared" si="86"/>
        <v>6.8999999999999997E-5</v>
      </c>
      <c r="K514" s="9">
        <f t="shared" si="87"/>
        <v>2.5599999999999999E-4</v>
      </c>
      <c r="L514" s="4">
        <f t="shared" si="88"/>
        <v>1.4116E-2</v>
      </c>
      <c r="M514" s="5">
        <f t="shared" si="89"/>
        <v>4.416248462122538</v>
      </c>
      <c r="N514" s="2">
        <f t="shared" si="90"/>
        <v>1.431536113531608E-2</v>
      </c>
      <c r="O514">
        <f t="shared" si="91"/>
        <v>23561.110199999999</v>
      </c>
      <c r="P514">
        <f t="shared" ca="1" si="97"/>
        <v>23561</v>
      </c>
      <c r="Q514" t="str">
        <f t="shared" ca="1" si="92"/>
        <v>0101110000001001</v>
      </c>
      <c r="R514">
        <f t="shared" ca="1" si="93"/>
        <v>4.417552682876587</v>
      </c>
      <c r="S514">
        <f t="shared" ca="1" si="94"/>
        <v>73.010632194519047</v>
      </c>
      <c r="T514" s="1">
        <f t="shared" ca="1" si="96"/>
        <v>2.5430227451110173E-2</v>
      </c>
      <c r="V514" s="4">
        <f t="shared" ca="1" si="95"/>
        <v>1.810632</v>
      </c>
      <c r="X514" s="2"/>
    </row>
    <row r="515" spans="8:24" x14ac:dyDescent="0.25">
      <c r="H515">
        <v>71.300000000000011</v>
      </c>
      <c r="I515">
        <v>4.3617591697134053</v>
      </c>
      <c r="J515" s="4">
        <f t="shared" ref="J515:J578" si="98">ROUND(H515*0.00000575 -0.00034,6)</f>
        <v>6.9999999999999994E-5</v>
      </c>
      <c r="K515" s="9">
        <f t="shared" ref="K515:K578" si="99">ROUND(H515*0.000005-0.0001,6)</f>
        <v>2.5700000000000001E-4</v>
      </c>
      <c r="L515" s="4">
        <f t="shared" ref="L515:L578" si="100">ROUND(K515+($C$24*(H515-25)),6)</f>
        <v>1.4147E-2</v>
      </c>
      <c r="M515" s="5">
        <f t="shared" ref="M515:M578" si="101">(I515-J515)/(1-L515)+$C$26+$D$27</f>
        <v>4.4243374511082338</v>
      </c>
      <c r="N515" s="2">
        <f t="shared" ref="N515:N578" si="102">ABS(I515-M515)/I515</f>
        <v>1.4347028104933256E-2</v>
      </c>
      <c r="O515">
        <f t="shared" ref="O515:O578" si="103">ROUND((M515*(2^($C$12-1)))/$C$44,4)</f>
        <v>23604.2657</v>
      </c>
      <c r="P515">
        <f t="shared" ca="1" si="97"/>
        <v>23605</v>
      </c>
      <c r="Q515" t="str">
        <f t="shared" ref="Q515:Q578" ca="1" si="104">_xlfn.BASE(P515,2,16)</f>
        <v>0101110000110101</v>
      </c>
      <c r="R515">
        <f t="shared" ref="R515:R578" ca="1" si="105">($C$16/2^($C$12-1)) * P515</f>
        <v>4.4258024311065673</v>
      </c>
      <c r="S515">
        <f t="shared" ref="S515:S578" ca="1" si="106">(R515+5/3)/(1/12)</f>
        <v>73.109629173278819</v>
      </c>
      <c r="T515" s="1">
        <f t="shared" ca="1" si="96"/>
        <v>2.5380493313868262E-2</v>
      </c>
      <c r="V515" s="4">
        <f t="shared" ref="V515:V578" ca="1" si="107">ROUND(ABS(H515-S515),6)</f>
        <v>1.8096289999999999</v>
      </c>
      <c r="X515" s="2"/>
    </row>
    <row r="516" spans="8:24" x14ac:dyDescent="0.25">
      <c r="H516">
        <v>71.400000000000006</v>
      </c>
      <c r="I516">
        <v>4.3696089348789062</v>
      </c>
      <c r="J516" s="4">
        <f t="shared" si="98"/>
        <v>7.1000000000000005E-5</v>
      </c>
      <c r="K516" s="9">
        <f t="shared" si="99"/>
        <v>2.5700000000000001E-4</v>
      </c>
      <c r="L516" s="4">
        <f t="shared" si="100"/>
        <v>1.4177E-2</v>
      </c>
      <c r="M516" s="5">
        <f t="shared" si="101"/>
        <v>4.4324337255398847</v>
      </c>
      <c r="N516" s="2">
        <f t="shared" si="102"/>
        <v>1.4377668939547677E-2</v>
      </c>
      <c r="O516">
        <f t="shared" si="103"/>
        <v>23647.4601</v>
      </c>
      <c r="P516">
        <f t="shared" ca="1" si="97"/>
        <v>23649</v>
      </c>
      <c r="Q516" t="str">
        <f t="shared" ca="1" si="104"/>
        <v>0101110001100001</v>
      </c>
      <c r="R516">
        <f t="shared" ca="1" si="105"/>
        <v>4.4340521793365477</v>
      </c>
      <c r="S516">
        <f t="shared" ca="1" si="106"/>
        <v>73.208626152038576</v>
      </c>
      <c r="T516" s="1">
        <f t="shared" ref="T516:T579" ca="1" si="108">ABS(H516-S516)/H516</f>
        <v>2.5330898487935159E-2</v>
      </c>
      <c r="V516" s="4">
        <f t="shared" ca="1" si="107"/>
        <v>1.8086260000000001</v>
      </c>
      <c r="X516" s="2"/>
    </row>
    <row r="517" spans="8:24" x14ac:dyDescent="0.25">
      <c r="H517">
        <v>71.5</v>
      </c>
      <c r="I517">
        <v>4.3779185112428358</v>
      </c>
      <c r="J517" s="4">
        <f t="shared" si="98"/>
        <v>7.1000000000000005E-5</v>
      </c>
      <c r="K517" s="9">
        <f t="shared" si="99"/>
        <v>2.5799999999999998E-4</v>
      </c>
      <c r="L517" s="4">
        <f t="shared" si="100"/>
        <v>1.4208E-2</v>
      </c>
      <c r="M517" s="5">
        <f t="shared" si="101"/>
        <v>4.441002449988269</v>
      </c>
      <c r="N517" s="2">
        <f t="shared" si="102"/>
        <v>1.440957354126823E-2</v>
      </c>
      <c r="O517">
        <f t="shared" si="103"/>
        <v>23693.1751</v>
      </c>
      <c r="P517">
        <f t="shared" ca="1" si="97"/>
        <v>23696</v>
      </c>
      <c r="Q517" t="str">
        <f t="shared" ca="1" si="104"/>
        <v>0101110010010000</v>
      </c>
      <c r="R517">
        <f t="shared" ca="1" si="105"/>
        <v>4.4428644104003912</v>
      </c>
      <c r="S517">
        <f t="shared" ca="1" si="106"/>
        <v>73.314372924804701</v>
      </c>
      <c r="T517" s="1">
        <f t="shared" ca="1" si="108"/>
        <v>2.537584510216365E-2</v>
      </c>
      <c r="V517" s="4">
        <f t="shared" ca="1" si="107"/>
        <v>1.814373</v>
      </c>
      <c r="X517" s="2"/>
    </row>
    <row r="518" spans="8:24" x14ac:dyDescent="0.25">
      <c r="H518">
        <v>71.599999999999994</v>
      </c>
      <c r="I518">
        <v>4.3857892268427765</v>
      </c>
      <c r="J518" s="4">
        <f t="shared" si="98"/>
        <v>7.2000000000000002E-5</v>
      </c>
      <c r="K518" s="9">
        <f t="shared" si="99"/>
        <v>2.5799999999999998E-4</v>
      </c>
      <c r="L518" s="4">
        <f t="shared" si="100"/>
        <v>1.4238000000000001E-2</v>
      </c>
      <c r="M518" s="5">
        <f t="shared" si="101"/>
        <v>4.4491209856322076</v>
      </c>
      <c r="N518" s="2">
        <f t="shared" si="102"/>
        <v>1.4440219425460647E-2</v>
      </c>
      <c r="O518">
        <f t="shared" si="103"/>
        <v>23736.4882</v>
      </c>
      <c r="P518">
        <f t="shared" ca="1" si="97"/>
        <v>23738</v>
      </c>
      <c r="Q518" t="str">
        <f t="shared" ca="1" si="104"/>
        <v>0101110010111010</v>
      </c>
      <c r="R518">
        <f t="shared" ca="1" si="105"/>
        <v>4.4507391700744634</v>
      </c>
      <c r="S518">
        <f t="shared" ca="1" si="106"/>
        <v>73.408870040893575</v>
      </c>
      <c r="T518" s="1">
        <f t="shared" ca="1" si="108"/>
        <v>2.5263548057172916E-2</v>
      </c>
      <c r="V518" s="4">
        <f t="shared" ca="1" si="107"/>
        <v>1.80887</v>
      </c>
      <c r="X518" s="2"/>
    </row>
    <row r="519" spans="8:24" x14ac:dyDescent="0.25">
      <c r="H519">
        <v>71.7</v>
      </c>
      <c r="I519">
        <v>4.3932237916366752</v>
      </c>
      <c r="J519" s="4">
        <f t="shared" si="98"/>
        <v>7.2000000000000002E-5</v>
      </c>
      <c r="K519" s="9">
        <f t="shared" si="99"/>
        <v>2.5900000000000001E-4</v>
      </c>
      <c r="L519" s="4">
        <f t="shared" si="100"/>
        <v>1.4269E-2</v>
      </c>
      <c r="M519" s="5">
        <f t="shared" si="101"/>
        <v>4.4568030872871756</v>
      </c>
      <c r="N519" s="2">
        <f t="shared" si="102"/>
        <v>1.4472127682531324E-2</v>
      </c>
      <c r="O519">
        <f t="shared" si="103"/>
        <v>23777.473000000002</v>
      </c>
      <c r="P519">
        <f t="shared" ca="1" si="97"/>
        <v>23776</v>
      </c>
      <c r="Q519" t="str">
        <f t="shared" ca="1" si="104"/>
        <v>0101110011100000</v>
      </c>
      <c r="R519">
        <f t="shared" ca="1" si="105"/>
        <v>4.4578639526367185</v>
      </c>
      <c r="S519">
        <f t="shared" ca="1" si="106"/>
        <v>73.494367431640626</v>
      </c>
      <c r="T519" s="1">
        <f t="shared" ca="1" si="108"/>
        <v>2.5026045071696278E-2</v>
      </c>
      <c r="V519" s="4">
        <f t="shared" ca="1" si="107"/>
        <v>1.794367</v>
      </c>
      <c r="X519" s="2"/>
    </row>
    <row r="520" spans="8:24" x14ac:dyDescent="0.25">
      <c r="H520">
        <v>71.800000000000011</v>
      </c>
      <c r="I520">
        <v>4.4011168931974085</v>
      </c>
      <c r="J520" s="4">
        <f t="shared" si="98"/>
        <v>7.2999999999999999E-5</v>
      </c>
      <c r="K520" s="9">
        <f t="shared" si="99"/>
        <v>2.5900000000000001E-4</v>
      </c>
      <c r="L520" s="4">
        <f t="shared" si="100"/>
        <v>1.4298999999999999E-2</v>
      </c>
      <c r="M520" s="5">
        <f t="shared" si="101"/>
        <v>4.4649453169423667</v>
      </c>
      <c r="N520" s="2">
        <f t="shared" si="102"/>
        <v>1.4502778565962359E-2</v>
      </c>
      <c r="O520">
        <f t="shared" si="103"/>
        <v>23820.9126</v>
      </c>
      <c r="P520">
        <f t="shared" ca="1" si="97"/>
        <v>23821</v>
      </c>
      <c r="Q520" t="str">
        <f t="shared" ca="1" si="104"/>
        <v>0101110100001101</v>
      </c>
      <c r="R520">
        <f t="shared" ca="1" si="105"/>
        <v>4.4663011951446538</v>
      </c>
      <c r="S520">
        <f t="shared" ca="1" si="106"/>
        <v>73.595614341735853</v>
      </c>
      <c r="T520" s="1">
        <f t="shared" ca="1" si="108"/>
        <v>2.5008556291585538E-2</v>
      </c>
      <c r="V520" s="4">
        <f t="shared" ca="1" si="107"/>
        <v>1.795614</v>
      </c>
      <c r="X520" s="2"/>
    </row>
    <row r="521" spans="8:24" x14ac:dyDescent="0.25">
      <c r="H521">
        <v>71.900000000000006</v>
      </c>
      <c r="I521">
        <v>4.4090205515720555</v>
      </c>
      <c r="J521" s="4">
        <f t="shared" si="98"/>
        <v>7.2999999999999999E-5</v>
      </c>
      <c r="K521" s="9">
        <f t="shared" si="99"/>
        <v>2.5999999999999998E-4</v>
      </c>
      <c r="L521" s="4">
        <f t="shared" si="100"/>
        <v>1.4330000000000001E-2</v>
      </c>
      <c r="M521" s="5">
        <f t="shared" si="101"/>
        <v>4.4731043051244885</v>
      </c>
      <c r="N521" s="2">
        <f t="shared" si="102"/>
        <v>1.4534691504121854E-2</v>
      </c>
      <c r="O521">
        <f t="shared" si="103"/>
        <v>23864.441500000001</v>
      </c>
      <c r="P521">
        <f t="shared" ca="1" si="97"/>
        <v>23868</v>
      </c>
      <c r="Q521" t="str">
        <f t="shared" ca="1" si="104"/>
        <v>0101110100111100</v>
      </c>
      <c r="R521">
        <f t="shared" ca="1" si="105"/>
        <v>4.4751134262084964</v>
      </c>
      <c r="S521">
        <f t="shared" ca="1" si="106"/>
        <v>73.701361114501964</v>
      </c>
      <c r="T521" s="1">
        <f t="shared" ca="1" si="108"/>
        <v>2.5053701175270626E-2</v>
      </c>
      <c r="V521" s="4">
        <f t="shared" ca="1" si="107"/>
        <v>1.801361</v>
      </c>
      <c r="X521" s="2"/>
    </row>
    <row r="522" spans="8:24" x14ac:dyDescent="0.25">
      <c r="H522">
        <v>72</v>
      </c>
      <c r="I522">
        <v>4.417378777763532</v>
      </c>
      <c r="J522" s="4">
        <f t="shared" si="98"/>
        <v>7.3999999999999996E-5</v>
      </c>
      <c r="K522" s="9">
        <f t="shared" si="99"/>
        <v>2.5999999999999998E-4</v>
      </c>
      <c r="L522" s="4">
        <f t="shared" si="100"/>
        <v>1.436E-2</v>
      </c>
      <c r="M522" s="5">
        <f t="shared" si="101"/>
        <v>4.4817194359842665</v>
      </c>
      <c r="N522" s="2">
        <f t="shared" si="102"/>
        <v>1.4565347790553148E-2</v>
      </c>
      <c r="O522">
        <f t="shared" si="103"/>
        <v>23910.4041</v>
      </c>
      <c r="P522">
        <f t="shared" ca="1" si="97"/>
        <v>23915</v>
      </c>
      <c r="Q522" t="str">
        <f t="shared" ca="1" si="104"/>
        <v>0101110101101011</v>
      </c>
      <c r="R522">
        <f t="shared" ca="1" si="105"/>
        <v>4.4839256572723389</v>
      </c>
      <c r="S522">
        <f t="shared" ca="1" si="106"/>
        <v>73.807107887268074</v>
      </c>
      <c r="T522" s="1">
        <f t="shared" ca="1" si="108"/>
        <v>2.5098720656501032E-2</v>
      </c>
      <c r="V522" s="4">
        <f t="shared" ca="1" si="107"/>
        <v>1.8071079999999999</v>
      </c>
      <c r="X522" s="2"/>
    </row>
    <row r="523" spans="8:24" x14ac:dyDescent="0.25">
      <c r="H523">
        <v>72.099999999999994</v>
      </c>
      <c r="I523">
        <v>4.4248590963307617</v>
      </c>
      <c r="J523" s="4">
        <f t="shared" si="98"/>
        <v>7.4999999999999993E-5</v>
      </c>
      <c r="K523" s="9">
        <f t="shared" si="99"/>
        <v>2.61E-4</v>
      </c>
      <c r="L523" s="4">
        <f t="shared" si="100"/>
        <v>1.4390999999999999E-2</v>
      </c>
      <c r="M523" s="5">
        <f t="shared" si="101"/>
        <v>4.489448921075966</v>
      </c>
      <c r="N523" s="2">
        <f t="shared" si="102"/>
        <v>1.4597035371988311E-2</v>
      </c>
      <c r="O523">
        <f t="shared" si="103"/>
        <v>23951.641599999999</v>
      </c>
      <c r="P523">
        <f t="shared" ca="1" si="97"/>
        <v>23956</v>
      </c>
      <c r="Q523" t="str">
        <f t="shared" ca="1" si="104"/>
        <v>0101110110010100</v>
      </c>
      <c r="R523">
        <f t="shared" ca="1" si="105"/>
        <v>4.4916129226684571</v>
      </c>
      <c r="S523">
        <f t="shared" ca="1" si="106"/>
        <v>73.899355072021493</v>
      </c>
      <c r="T523" s="1">
        <f t="shared" ca="1" si="108"/>
        <v>2.4956381026650466E-2</v>
      </c>
      <c r="V523" s="4">
        <f t="shared" ca="1" si="107"/>
        <v>1.799355</v>
      </c>
      <c r="X523" s="2"/>
    </row>
    <row r="524" spans="8:24" x14ac:dyDescent="0.25">
      <c r="H524">
        <v>72.2</v>
      </c>
      <c r="I524">
        <v>4.4327937628516647</v>
      </c>
      <c r="J524" s="4">
        <f t="shared" si="98"/>
        <v>7.4999999999999993E-5</v>
      </c>
      <c r="K524" s="9">
        <f t="shared" si="99"/>
        <v>2.61E-4</v>
      </c>
      <c r="L524" s="4">
        <f t="shared" si="100"/>
        <v>1.4421E-2</v>
      </c>
      <c r="M524" s="5">
        <f t="shared" si="101"/>
        <v>4.4976363400941626</v>
      </c>
      <c r="N524" s="2">
        <f t="shared" si="102"/>
        <v>1.4627925572784584E-2</v>
      </c>
      <c r="O524">
        <f t="shared" si="103"/>
        <v>23995.3223</v>
      </c>
      <c r="P524">
        <f t="shared" ca="1" si="97"/>
        <v>23994</v>
      </c>
      <c r="Q524" t="str">
        <f t="shared" ca="1" si="104"/>
        <v>0101110110111010</v>
      </c>
      <c r="R524">
        <f t="shared" ca="1" si="105"/>
        <v>4.4987377052307131</v>
      </c>
      <c r="S524">
        <f t="shared" ca="1" si="106"/>
        <v>73.984852462768572</v>
      </c>
      <c r="T524" s="1">
        <f t="shared" ca="1" si="108"/>
        <v>2.4720948237791814E-2</v>
      </c>
      <c r="V524" s="4">
        <f t="shared" ca="1" si="107"/>
        <v>1.7848520000000001</v>
      </c>
      <c r="X524" s="2"/>
    </row>
    <row r="525" spans="8:24" x14ac:dyDescent="0.25">
      <c r="H525">
        <v>72.300000000000011</v>
      </c>
      <c r="I525">
        <v>4.4402972218613002</v>
      </c>
      <c r="J525" s="4">
        <f t="shared" si="98"/>
        <v>7.6000000000000004E-5</v>
      </c>
      <c r="K525" s="9">
        <f t="shared" si="99"/>
        <v>2.6200000000000003E-4</v>
      </c>
      <c r="L525" s="4">
        <f t="shared" si="100"/>
        <v>1.4452E-2</v>
      </c>
      <c r="M525" s="5">
        <f t="shared" si="101"/>
        <v>4.5053902840301037</v>
      </c>
      <c r="N525" s="2">
        <f t="shared" si="102"/>
        <v>1.4659618245446541E-2</v>
      </c>
      <c r="O525">
        <f t="shared" si="103"/>
        <v>24036.690299999998</v>
      </c>
      <c r="P525">
        <f t="shared" ca="1" si="97"/>
        <v>24037</v>
      </c>
      <c r="Q525" t="str">
        <f t="shared" ca="1" si="104"/>
        <v>0101110111100101</v>
      </c>
      <c r="R525">
        <f t="shared" ca="1" si="105"/>
        <v>4.5067999591827395</v>
      </c>
      <c r="S525">
        <f t="shared" ca="1" si="106"/>
        <v>74.081599510192888</v>
      </c>
      <c r="T525" s="1">
        <f t="shared" ca="1" si="108"/>
        <v>2.4641763626457484E-2</v>
      </c>
      <c r="V525" s="4">
        <f t="shared" ca="1" si="107"/>
        <v>1.7816000000000001</v>
      </c>
      <c r="X525" s="2"/>
    </row>
    <row r="526" spans="8:24" x14ac:dyDescent="0.25">
      <c r="H526">
        <v>72.400000000000006</v>
      </c>
      <c r="I526">
        <v>4.4482529418777315</v>
      </c>
      <c r="J526" s="4">
        <f t="shared" si="98"/>
        <v>7.6000000000000004E-5</v>
      </c>
      <c r="K526" s="9">
        <f t="shared" si="99"/>
        <v>2.6200000000000003E-4</v>
      </c>
      <c r="L526" s="4">
        <f t="shared" si="100"/>
        <v>1.4482E-2</v>
      </c>
      <c r="M526" s="5">
        <f t="shared" si="101"/>
        <v>4.5136000579611242</v>
      </c>
      <c r="N526" s="2">
        <f t="shared" si="102"/>
        <v>1.4690512643331807E-2</v>
      </c>
      <c r="O526">
        <f t="shared" si="103"/>
        <v>24080.490300000001</v>
      </c>
      <c r="P526">
        <f t="shared" ca="1" si="97"/>
        <v>24081</v>
      </c>
      <c r="Q526" t="str">
        <f t="shared" ca="1" si="104"/>
        <v>0101111000010001</v>
      </c>
      <c r="R526">
        <f t="shared" ca="1" si="105"/>
        <v>4.5150497074127198</v>
      </c>
      <c r="S526">
        <f t="shared" ca="1" si="106"/>
        <v>74.180596488952645</v>
      </c>
      <c r="T526" s="1">
        <f t="shared" ca="1" si="108"/>
        <v>2.4593874156804408E-2</v>
      </c>
      <c r="V526" s="4">
        <f t="shared" ca="1" si="107"/>
        <v>1.7805960000000001</v>
      </c>
      <c r="X526" s="2"/>
    </row>
    <row r="527" spans="8:24" x14ac:dyDescent="0.25">
      <c r="H527">
        <v>72.5</v>
      </c>
      <c r="I527">
        <v>4.4557790931799062</v>
      </c>
      <c r="J527" s="4">
        <f t="shared" si="98"/>
        <v>7.7000000000000001E-5</v>
      </c>
      <c r="K527" s="9">
        <f t="shared" si="99"/>
        <v>2.63E-4</v>
      </c>
      <c r="L527" s="4">
        <f t="shared" si="100"/>
        <v>1.4513E-2</v>
      </c>
      <c r="M527" s="5">
        <f t="shared" si="101"/>
        <v>4.521378010492179</v>
      </c>
      <c r="N527" s="2">
        <f t="shared" si="102"/>
        <v>1.4722210401471588E-2</v>
      </c>
      <c r="O527">
        <f t="shared" si="103"/>
        <v>24121.986400000002</v>
      </c>
      <c r="P527">
        <f t="shared" ref="P527:P590" ca="1" si="109">ROUND(O527+$C$47+$C$49+RANDBETWEEN($B$45,$D$45) + 1,0)</f>
        <v>24127</v>
      </c>
      <c r="Q527" t="str">
        <f t="shared" ca="1" si="104"/>
        <v>0101111000111111</v>
      </c>
      <c r="R527">
        <f t="shared" ca="1" si="105"/>
        <v>4.5236744441986083</v>
      </c>
      <c r="S527">
        <f t="shared" ca="1" si="106"/>
        <v>74.284093330383314</v>
      </c>
      <c r="T527" s="1">
        <f t="shared" ca="1" si="108"/>
        <v>2.4608183867356054E-2</v>
      </c>
      <c r="V527" s="4">
        <f t="shared" ca="1" si="107"/>
        <v>1.7840929999999999</v>
      </c>
      <c r="X527" s="2"/>
    </row>
    <row r="528" spans="8:24" x14ac:dyDescent="0.25">
      <c r="H528">
        <v>72.599999999999994</v>
      </c>
      <c r="I528">
        <v>4.4637554252142779</v>
      </c>
      <c r="J528" s="4">
        <f t="shared" si="98"/>
        <v>7.7000000000000001E-5</v>
      </c>
      <c r="K528" s="9">
        <f t="shared" si="99"/>
        <v>2.63E-4</v>
      </c>
      <c r="L528" s="4">
        <f t="shared" si="100"/>
        <v>1.4543E-2</v>
      </c>
      <c r="M528" s="5">
        <f t="shared" si="101"/>
        <v>4.5296096955222582</v>
      </c>
      <c r="N528" s="2">
        <f t="shared" si="102"/>
        <v>1.475310899338062E-2</v>
      </c>
      <c r="O528">
        <f t="shared" si="103"/>
        <v>24165.903200000001</v>
      </c>
      <c r="P528">
        <f t="shared" ca="1" si="109"/>
        <v>24167</v>
      </c>
      <c r="Q528" t="str">
        <f t="shared" ca="1" si="104"/>
        <v>0101111001100111</v>
      </c>
      <c r="R528">
        <f t="shared" ca="1" si="105"/>
        <v>4.5311742153167724</v>
      </c>
      <c r="S528">
        <f t="shared" ca="1" si="106"/>
        <v>74.374090583801276</v>
      </c>
      <c r="T528" s="1">
        <f t="shared" ca="1" si="108"/>
        <v>2.4436509418750446E-2</v>
      </c>
      <c r="V528" s="4">
        <f t="shared" ca="1" si="107"/>
        <v>1.7740910000000001</v>
      </c>
      <c r="X528" s="2"/>
    </row>
    <row r="529" spans="8:24" x14ac:dyDescent="0.25">
      <c r="H529">
        <v>72.7</v>
      </c>
      <c r="I529">
        <v>4.4713038231887667</v>
      </c>
      <c r="J529" s="4">
        <f t="shared" si="98"/>
        <v>7.7999999999999999E-5</v>
      </c>
      <c r="K529" s="9">
        <f t="shared" si="99"/>
        <v>2.6400000000000002E-4</v>
      </c>
      <c r="L529" s="4">
        <f t="shared" si="100"/>
        <v>1.4574E-2</v>
      </c>
      <c r="M529" s="5">
        <f t="shared" si="101"/>
        <v>4.5374112088546132</v>
      </c>
      <c r="N529" s="2">
        <f t="shared" si="102"/>
        <v>1.4784811831172142E-2</v>
      </c>
      <c r="O529">
        <f t="shared" si="103"/>
        <v>24207.525099999999</v>
      </c>
      <c r="P529">
        <f t="shared" ca="1" si="109"/>
        <v>24206</v>
      </c>
      <c r="Q529" t="str">
        <f t="shared" ca="1" si="104"/>
        <v>0101111010001110</v>
      </c>
      <c r="R529">
        <f t="shared" ca="1" si="105"/>
        <v>4.5384864921569825</v>
      </c>
      <c r="S529">
        <f t="shared" ca="1" si="106"/>
        <v>74.461837905883797</v>
      </c>
      <c r="T529" s="1">
        <f t="shared" ca="1" si="108"/>
        <v>2.4234359090561135E-2</v>
      </c>
      <c r="V529" s="4">
        <f t="shared" ca="1" si="107"/>
        <v>1.761838</v>
      </c>
      <c r="X529" s="2"/>
    </row>
    <row r="530" spans="8:24" x14ac:dyDescent="0.25">
      <c r="H530">
        <v>72.800000000000011</v>
      </c>
      <c r="I530">
        <v>4.4788636407681919</v>
      </c>
      <c r="J530" s="4">
        <f t="shared" si="98"/>
        <v>7.8999999999999996E-5</v>
      </c>
      <c r="K530" s="9">
        <f t="shared" si="99"/>
        <v>2.6400000000000002E-4</v>
      </c>
      <c r="L530" s="4">
        <f t="shared" si="100"/>
        <v>1.4604000000000001E-2</v>
      </c>
      <c r="M530" s="5">
        <f t="shared" si="101"/>
        <v>4.5452201893819248</v>
      </c>
      <c r="N530" s="2">
        <f t="shared" si="102"/>
        <v>1.4815487573618525E-2</v>
      </c>
      <c r="O530">
        <f t="shared" si="103"/>
        <v>24249.186699999998</v>
      </c>
      <c r="P530">
        <f t="shared" ca="1" si="109"/>
        <v>24251</v>
      </c>
      <c r="Q530" t="str">
        <f t="shared" ca="1" si="104"/>
        <v>0101111010111011</v>
      </c>
      <c r="R530">
        <f t="shared" ca="1" si="105"/>
        <v>4.5469237346649169</v>
      </c>
      <c r="S530">
        <f t="shared" ca="1" si="106"/>
        <v>74.563084815979011</v>
      </c>
      <c r="T530" s="1">
        <f t="shared" ca="1" si="108"/>
        <v>2.4218198021689546E-2</v>
      </c>
      <c r="V530" s="4">
        <f t="shared" ca="1" si="107"/>
        <v>1.763085</v>
      </c>
      <c r="X530" s="2"/>
    </row>
    <row r="531" spans="8:24" x14ac:dyDescent="0.25">
      <c r="H531">
        <v>72.900000000000006</v>
      </c>
      <c r="I531">
        <v>4.4868705295237499</v>
      </c>
      <c r="J531" s="4">
        <f t="shared" si="98"/>
        <v>7.8999999999999996E-5</v>
      </c>
      <c r="K531" s="9">
        <f t="shared" si="99"/>
        <v>2.6499999999999999E-4</v>
      </c>
      <c r="L531" s="4">
        <f t="shared" si="100"/>
        <v>1.4635E-2</v>
      </c>
      <c r="M531" s="5">
        <f t="shared" si="101"/>
        <v>4.5534889920930306</v>
      </c>
      <c r="N531" s="2">
        <f t="shared" si="102"/>
        <v>1.4847422525550744E-2</v>
      </c>
      <c r="O531">
        <f t="shared" si="103"/>
        <v>24293.301599999999</v>
      </c>
      <c r="P531">
        <f t="shared" ca="1" si="109"/>
        <v>24298</v>
      </c>
      <c r="Q531" t="str">
        <f t="shared" ca="1" si="104"/>
        <v>0101111011101010</v>
      </c>
      <c r="R531">
        <f t="shared" ca="1" si="105"/>
        <v>4.5557359657287595</v>
      </c>
      <c r="S531">
        <f t="shared" ca="1" si="106"/>
        <v>74.668831588745121</v>
      </c>
      <c r="T531" s="1">
        <f t="shared" ca="1" si="108"/>
        <v>2.4263807801716258E-2</v>
      </c>
      <c r="V531" s="4">
        <f t="shared" ca="1" si="107"/>
        <v>1.768832</v>
      </c>
      <c r="X531" s="2"/>
    </row>
    <row r="532" spans="8:24" x14ac:dyDescent="0.25">
      <c r="H532">
        <v>73</v>
      </c>
      <c r="I532">
        <v>4.4948867709269136</v>
      </c>
      <c r="J532" s="4">
        <f t="shared" si="98"/>
        <v>8.0000000000000007E-5</v>
      </c>
      <c r="K532" s="9">
        <f t="shared" si="99"/>
        <v>2.6499999999999999E-4</v>
      </c>
      <c r="L532" s="4">
        <f t="shared" si="100"/>
        <v>1.4664999999999999E-2</v>
      </c>
      <c r="M532" s="5">
        <f t="shared" si="101"/>
        <v>4.5617621624695301</v>
      </c>
      <c r="N532" s="2">
        <f t="shared" si="102"/>
        <v>1.4878103710013111E-2</v>
      </c>
      <c r="O532">
        <f t="shared" si="103"/>
        <v>24337.439699999999</v>
      </c>
      <c r="P532">
        <f t="shared" ca="1" si="109"/>
        <v>24338</v>
      </c>
      <c r="Q532" t="str">
        <f t="shared" ca="1" si="104"/>
        <v>0101111100010010</v>
      </c>
      <c r="R532">
        <f t="shared" ca="1" si="105"/>
        <v>4.5632357368469236</v>
      </c>
      <c r="S532">
        <f t="shared" ca="1" si="106"/>
        <v>74.758828842163098</v>
      </c>
      <c r="T532" s="1">
        <f t="shared" ca="1" si="108"/>
        <v>2.4093545783056135E-2</v>
      </c>
      <c r="V532" s="4">
        <f t="shared" ca="1" si="107"/>
        <v>1.758829</v>
      </c>
      <c r="X532" s="2"/>
    </row>
    <row r="533" spans="8:24" x14ac:dyDescent="0.25">
      <c r="H533">
        <v>73.099999999999994</v>
      </c>
      <c r="I533">
        <v>4.5024783346726478</v>
      </c>
      <c r="J533" s="4">
        <f t="shared" si="98"/>
        <v>8.0000000000000007E-5</v>
      </c>
      <c r="K533" s="9">
        <f t="shared" si="99"/>
        <v>2.6600000000000001E-4</v>
      </c>
      <c r="L533" s="4">
        <f t="shared" si="100"/>
        <v>1.4696000000000001E-2</v>
      </c>
      <c r="M533" s="5">
        <f t="shared" si="101"/>
        <v>4.5696104778876858</v>
      </c>
      <c r="N533" s="2">
        <f t="shared" si="102"/>
        <v>1.4910042475511179E-2</v>
      </c>
      <c r="O533">
        <f t="shared" si="103"/>
        <v>24379.311300000001</v>
      </c>
      <c r="P533">
        <f t="shared" ca="1" si="109"/>
        <v>24383</v>
      </c>
      <c r="Q533" t="str">
        <f t="shared" ca="1" si="104"/>
        <v>0101111100111111</v>
      </c>
      <c r="R533">
        <f t="shared" ca="1" si="105"/>
        <v>4.5716729793548581</v>
      </c>
      <c r="S533">
        <f t="shared" ca="1" si="106"/>
        <v>74.860075752258311</v>
      </c>
      <c r="T533" s="1">
        <f t="shared" ca="1" si="108"/>
        <v>2.4077643669744415E-2</v>
      </c>
      <c r="V533" s="4">
        <f t="shared" ca="1" si="107"/>
        <v>1.760076</v>
      </c>
      <c r="X533" s="2"/>
    </row>
    <row r="534" spans="8:24" x14ac:dyDescent="0.25">
      <c r="H534">
        <v>73.2</v>
      </c>
      <c r="I534">
        <v>4.5100808746053458</v>
      </c>
      <c r="J534" s="4">
        <f t="shared" si="98"/>
        <v>8.1000000000000004E-5</v>
      </c>
      <c r="K534" s="9">
        <f t="shared" si="99"/>
        <v>2.6600000000000001E-4</v>
      </c>
      <c r="L534" s="4">
        <f t="shared" si="100"/>
        <v>1.4726E-2</v>
      </c>
      <c r="M534" s="5">
        <f t="shared" si="101"/>
        <v>4.5774647666510493</v>
      </c>
      <c r="N534" s="2">
        <f t="shared" si="102"/>
        <v>1.4940728097608652E-2</v>
      </c>
      <c r="O534">
        <f t="shared" si="103"/>
        <v>24421.214599999999</v>
      </c>
      <c r="P534">
        <f t="shared" ca="1" si="109"/>
        <v>24424</v>
      </c>
      <c r="Q534" t="str">
        <f t="shared" ca="1" si="104"/>
        <v>0101111101101000</v>
      </c>
      <c r="R534">
        <f t="shared" ca="1" si="105"/>
        <v>4.5793602447509762</v>
      </c>
      <c r="S534">
        <f t="shared" ca="1" si="106"/>
        <v>74.952322937011729</v>
      </c>
      <c r="T534" s="1">
        <f t="shared" ca="1" si="108"/>
        <v>2.3938837937318665E-2</v>
      </c>
      <c r="V534" s="4">
        <f t="shared" ca="1" si="107"/>
        <v>1.7523230000000001</v>
      </c>
      <c r="X534" s="2"/>
    </row>
    <row r="535" spans="8:24" x14ac:dyDescent="0.25">
      <c r="H535">
        <v>73.300000000000011</v>
      </c>
      <c r="I535">
        <v>4.518126365922396</v>
      </c>
      <c r="J535" s="4">
        <f t="shared" si="98"/>
        <v>8.1000000000000004E-5</v>
      </c>
      <c r="K535" s="9">
        <f t="shared" si="99"/>
        <v>2.6699999999999998E-4</v>
      </c>
      <c r="L535" s="4">
        <f t="shared" si="100"/>
        <v>1.4756999999999999E-2</v>
      </c>
      <c r="M535" s="5">
        <f t="shared" si="101"/>
        <v>4.585774788571344</v>
      </c>
      <c r="N535" s="2">
        <f t="shared" si="102"/>
        <v>1.4972671671863976E-2</v>
      </c>
      <c r="O535">
        <f t="shared" si="103"/>
        <v>24465.5494</v>
      </c>
      <c r="P535">
        <f t="shared" ca="1" si="109"/>
        <v>24466</v>
      </c>
      <c r="Q535" t="str">
        <f t="shared" ca="1" si="104"/>
        <v>0101111110010010</v>
      </c>
      <c r="R535">
        <f t="shared" ca="1" si="105"/>
        <v>4.5872350044250485</v>
      </c>
      <c r="S535">
        <f t="shared" ca="1" si="106"/>
        <v>75.046820053100589</v>
      </c>
      <c r="T535" s="1">
        <f t="shared" ca="1" si="108"/>
        <v>2.3831105772177046E-2</v>
      </c>
      <c r="V535" s="4">
        <f t="shared" ca="1" si="107"/>
        <v>1.74682</v>
      </c>
      <c r="X535" s="2"/>
    </row>
    <row r="536" spans="8:24" x14ac:dyDescent="0.25">
      <c r="H536">
        <v>73.400000000000006</v>
      </c>
      <c r="I536">
        <v>4.5257496099846071</v>
      </c>
      <c r="J536" s="4">
        <f t="shared" si="98"/>
        <v>8.2000000000000001E-5</v>
      </c>
      <c r="K536" s="9">
        <f t="shared" si="99"/>
        <v>2.6699999999999998E-4</v>
      </c>
      <c r="L536" s="4">
        <f t="shared" si="100"/>
        <v>1.4787E-2</v>
      </c>
      <c r="M536" s="5">
        <f t="shared" si="101"/>
        <v>4.5936510707213642</v>
      </c>
      <c r="N536" s="2">
        <f t="shared" si="102"/>
        <v>1.500336222466981E-2</v>
      </c>
      <c r="O536">
        <f t="shared" si="103"/>
        <v>24507.570100000001</v>
      </c>
      <c r="P536">
        <f t="shared" ca="1" si="109"/>
        <v>24510</v>
      </c>
      <c r="Q536" t="str">
        <f t="shared" ca="1" si="104"/>
        <v>0101111110111110</v>
      </c>
      <c r="R536">
        <f t="shared" ca="1" si="105"/>
        <v>4.5954847526550298</v>
      </c>
      <c r="S536">
        <f t="shared" ca="1" si="106"/>
        <v>75.145817031860361</v>
      </c>
      <c r="T536" s="1">
        <f t="shared" ca="1" si="108"/>
        <v>2.3784973186108376E-2</v>
      </c>
      <c r="V536" s="4">
        <f t="shared" ca="1" si="107"/>
        <v>1.745817</v>
      </c>
      <c r="X536" s="2"/>
    </row>
    <row r="537" spans="8:24" x14ac:dyDescent="0.25">
      <c r="H537">
        <v>73.5</v>
      </c>
      <c r="I537">
        <v>4.5333835006500003</v>
      </c>
      <c r="J537" s="4">
        <f t="shared" si="98"/>
        <v>8.2999999999999998E-5</v>
      </c>
      <c r="K537" s="9">
        <f t="shared" si="99"/>
        <v>2.6800000000000001E-4</v>
      </c>
      <c r="L537" s="4">
        <f t="shared" si="100"/>
        <v>1.4818E-2</v>
      </c>
      <c r="M537" s="5">
        <f t="shared" si="101"/>
        <v>4.6015433099731826</v>
      </c>
      <c r="N537" s="2">
        <f t="shared" si="102"/>
        <v>1.5035085673517258E-2</v>
      </c>
      <c r="O537">
        <f t="shared" si="103"/>
        <v>24549.675999999999</v>
      </c>
      <c r="P537">
        <f t="shared" ca="1" si="109"/>
        <v>24554</v>
      </c>
      <c r="Q537" t="str">
        <f t="shared" ca="1" si="104"/>
        <v>0101111111101010</v>
      </c>
      <c r="R537">
        <f t="shared" ca="1" si="105"/>
        <v>4.6037345008850101</v>
      </c>
      <c r="S537">
        <f t="shared" ca="1" si="106"/>
        <v>75.244814010620132</v>
      </c>
      <c r="T537" s="1">
        <f t="shared" ca="1" si="108"/>
        <v>2.3738966130886153E-2</v>
      </c>
      <c r="V537" s="4">
        <f t="shared" ca="1" si="107"/>
        <v>1.7448140000000001</v>
      </c>
      <c r="X537" s="2"/>
    </row>
    <row r="538" spans="8:24" x14ac:dyDescent="0.25">
      <c r="H538">
        <v>73.599999999999994</v>
      </c>
      <c r="I538">
        <v>4.5410279276778551</v>
      </c>
      <c r="J538" s="4">
        <f t="shared" si="98"/>
        <v>8.2999999999999998E-5</v>
      </c>
      <c r="K538" s="9">
        <f t="shared" si="99"/>
        <v>2.6800000000000001E-4</v>
      </c>
      <c r="L538" s="4">
        <f t="shared" si="100"/>
        <v>1.4848E-2</v>
      </c>
      <c r="M538" s="5">
        <f t="shared" si="101"/>
        <v>4.6094430773056896</v>
      </c>
      <c r="N538" s="2">
        <f t="shared" si="102"/>
        <v>1.5066005036181291E-2</v>
      </c>
      <c r="O538">
        <f t="shared" si="103"/>
        <v>24591.822</v>
      </c>
      <c r="P538">
        <f t="shared" ca="1" si="109"/>
        <v>24596</v>
      </c>
      <c r="Q538" t="str">
        <f t="shared" ca="1" si="104"/>
        <v>0110000000010100</v>
      </c>
      <c r="R538">
        <f t="shared" ca="1" si="105"/>
        <v>4.6116092605590824</v>
      </c>
      <c r="S538">
        <f t="shared" ca="1" si="106"/>
        <v>75.339311126708992</v>
      </c>
      <c r="T538" s="1">
        <f t="shared" ca="1" si="108"/>
        <v>2.3631944656372254E-2</v>
      </c>
      <c r="V538" s="4">
        <f t="shared" ca="1" si="107"/>
        <v>1.7393110000000001</v>
      </c>
      <c r="X538" s="2"/>
    </row>
    <row r="539" spans="8:24" x14ac:dyDescent="0.25">
      <c r="H539">
        <v>73.7</v>
      </c>
      <c r="I539">
        <v>4.5482543544104681</v>
      </c>
      <c r="J539" s="4">
        <f t="shared" si="98"/>
        <v>8.3999999999999995E-5</v>
      </c>
      <c r="K539" s="9">
        <f t="shared" si="99"/>
        <v>2.6899999999999998E-4</v>
      </c>
      <c r="L539" s="4">
        <f t="shared" si="100"/>
        <v>1.4879E-2</v>
      </c>
      <c r="M539" s="5">
        <f t="shared" si="101"/>
        <v>4.616922684044364</v>
      </c>
      <c r="N539" s="2">
        <f t="shared" si="102"/>
        <v>1.5097732950512725E-2</v>
      </c>
      <c r="O539">
        <f t="shared" si="103"/>
        <v>24631.7264</v>
      </c>
      <c r="P539">
        <f t="shared" ca="1" si="109"/>
        <v>24634</v>
      </c>
      <c r="Q539" t="str">
        <f t="shared" ca="1" si="104"/>
        <v>0110000000111010</v>
      </c>
      <c r="R539">
        <f t="shared" ca="1" si="105"/>
        <v>4.6187340431213384</v>
      </c>
      <c r="S539">
        <f t="shared" ca="1" si="106"/>
        <v>75.424808517456071</v>
      </c>
      <c r="T539" s="1">
        <f t="shared" ca="1" si="108"/>
        <v>2.3403100643908662E-2</v>
      </c>
      <c r="V539" s="4">
        <f t="shared" ca="1" si="107"/>
        <v>1.724809</v>
      </c>
      <c r="X539" s="2"/>
    </row>
    <row r="540" spans="8:24" x14ac:dyDescent="0.25">
      <c r="H540">
        <v>73.800000000000011</v>
      </c>
      <c r="I540">
        <v>4.5563479539842797</v>
      </c>
      <c r="J540" s="4">
        <f t="shared" si="98"/>
        <v>8.3999999999999995E-5</v>
      </c>
      <c r="K540" s="9">
        <f t="shared" si="99"/>
        <v>2.6899999999999998E-4</v>
      </c>
      <c r="L540" s="4">
        <f t="shared" si="100"/>
        <v>1.4909E-2</v>
      </c>
      <c r="M540" s="5">
        <f t="shared" si="101"/>
        <v>4.625279379531718</v>
      </c>
      <c r="N540" s="2">
        <f t="shared" si="102"/>
        <v>1.5128657039276698E-2</v>
      </c>
      <c r="O540">
        <f t="shared" si="103"/>
        <v>24676.3102</v>
      </c>
      <c r="P540">
        <f t="shared" ca="1" si="109"/>
        <v>24675</v>
      </c>
      <c r="Q540" t="str">
        <f t="shared" ca="1" si="104"/>
        <v>0110000001100011</v>
      </c>
      <c r="R540">
        <f t="shared" ca="1" si="105"/>
        <v>4.6264213085174566</v>
      </c>
      <c r="S540">
        <f t="shared" ca="1" si="106"/>
        <v>75.51705570220949</v>
      </c>
      <c r="T540" s="1">
        <f t="shared" ca="1" si="108"/>
        <v>2.326633742831271E-2</v>
      </c>
      <c r="V540" s="4">
        <f t="shared" ca="1" si="107"/>
        <v>1.7170559999999999</v>
      </c>
      <c r="X540" s="2"/>
    </row>
    <row r="541" spans="8:24" x14ac:dyDescent="0.25">
      <c r="H541">
        <v>73.900000000000006</v>
      </c>
      <c r="I541">
        <v>4.5640233351164223</v>
      </c>
      <c r="J541" s="4">
        <f t="shared" si="98"/>
        <v>8.5000000000000006E-5</v>
      </c>
      <c r="K541" s="9">
        <f t="shared" si="99"/>
        <v>2.7E-4</v>
      </c>
      <c r="L541" s="4">
        <f t="shared" si="100"/>
        <v>1.494E-2</v>
      </c>
      <c r="M541" s="5">
        <f t="shared" si="101"/>
        <v>4.6332157113235963</v>
      </c>
      <c r="N541" s="2">
        <f t="shared" si="102"/>
        <v>1.5160390542878106E-2</v>
      </c>
      <c r="O541">
        <f t="shared" si="103"/>
        <v>24718.651300000001</v>
      </c>
      <c r="P541">
        <f t="shared" ca="1" si="109"/>
        <v>24718</v>
      </c>
      <c r="Q541" t="str">
        <f t="shared" ca="1" si="104"/>
        <v>0110000010001110</v>
      </c>
      <c r="R541">
        <f t="shared" ca="1" si="105"/>
        <v>4.6344835624694829</v>
      </c>
      <c r="S541">
        <f t="shared" ca="1" si="106"/>
        <v>75.613802749633805</v>
      </c>
      <c r="T541" s="1">
        <f t="shared" ca="1" si="108"/>
        <v>2.3190835583677939E-2</v>
      </c>
      <c r="V541" s="4">
        <f t="shared" ca="1" si="107"/>
        <v>1.713803</v>
      </c>
      <c r="X541" s="2"/>
    </row>
    <row r="542" spans="8:24" x14ac:dyDescent="0.25">
      <c r="H542">
        <v>74</v>
      </c>
      <c r="I542">
        <v>4.5708574205386405</v>
      </c>
      <c r="J542" s="4">
        <f t="shared" si="98"/>
        <v>8.6000000000000003E-5</v>
      </c>
      <c r="K542" s="9">
        <f t="shared" si="99"/>
        <v>2.7E-4</v>
      </c>
      <c r="L542" s="4">
        <f t="shared" si="100"/>
        <v>1.4970000000000001E-2</v>
      </c>
      <c r="M542" s="5">
        <f t="shared" si="101"/>
        <v>4.6402937497118275</v>
      </c>
      <c r="N542" s="2">
        <f t="shared" si="102"/>
        <v>1.5191094970755934E-2</v>
      </c>
      <c r="O542">
        <f t="shared" si="103"/>
        <v>24756.4133</v>
      </c>
      <c r="P542">
        <f t="shared" ca="1" si="109"/>
        <v>24761</v>
      </c>
      <c r="Q542" t="str">
        <f t="shared" ca="1" si="104"/>
        <v>0110000010111001</v>
      </c>
      <c r="R542">
        <f t="shared" ca="1" si="105"/>
        <v>4.6425458164215092</v>
      </c>
      <c r="S542">
        <f t="shared" ca="1" si="106"/>
        <v>75.710549797058121</v>
      </c>
      <c r="T542" s="1">
        <f t="shared" ca="1" si="108"/>
        <v>2.311553779808272E-2</v>
      </c>
      <c r="V542" s="4">
        <f t="shared" ca="1" si="107"/>
        <v>1.71055</v>
      </c>
      <c r="X542" s="2"/>
    </row>
    <row r="543" spans="8:24" x14ac:dyDescent="0.25">
      <c r="H543">
        <v>74.099999999999994</v>
      </c>
      <c r="I543">
        <v>4.5785547074970081</v>
      </c>
      <c r="J543" s="4">
        <f t="shared" si="98"/>
        <v>8.6000000000000003E-5</v>
      </c>
      <c r="K543" s="9">
        <f t="shared" si="99"/>
        <v>2.7099999999999997E-4</v>
      </c>
      <c r="L543" s="4">
        <f t="shared" si="100"/>
        <v>1.5001E-2</v>
      </c>
      <c r="M543" s="5">
        <f t="shared" si="101"/>
        <v>4.6482543001962524</v>
      </c>
      <c r="N543" s="2">
        <f t="shared" si="102"/>
        <v>1.5223055560549913E-2</v>
      </c>
      <c r="O543">
        <f t="shared" si="103"/>
        <v>24798.883600000001</v>
      </c>
      <c r="P543">
        <f t="shared" ca="1" si="109"/>
        <v>24800</v>
      </c>
      <c r="Q543" t="str">
        <f t="shared" ca="1" si="104"/>
        <v>0110000011100000</v>
      </c>
      <c r="R543">
        <f t="shared" ca="1" si="105"/>
        <v>4.6498580932617193</v>
      </c>
      <c r="S543">
        <f t="shared" ca="1" si="106"/>
        <v>75.798297119140642</v>
      </c>
      <c r="T543" s="1">
        <f t="shared" ca="1" si="108"/>
        <v>2.2918989462087015E-2</v>
      </c>
      <c r="V543" s="4">
        <f t="shared" ca="1" si="107"/>
        <v>1.6982969999999999</v>
      </c>
      <c r="X543" s="2"/>
    </row>
    <row r="544" spans="8:24" x14ac:dyDescent="0.25">
      <c r="H544">
        <v>74.2</v>
      </c>
      <c r="I544">
        <v>4.5866857613701626</v>
      </c>
      <c r="J544" s="4">
        <f t="shared" si="98"/>
        <v>8.7000000000000001E-5</v>
      </c>
      <c r="K544" s="9">
        <f t="shared" si="99"/>
        <v>2.7099999999999997E-4</v>
      </c>
      <c r="L544" s="4">
        <f t="shared" si="100"/>
        <v>1.5030999999999999E-2</v>
      </c>
      <c r="M544" s="5">
        <f t="shared" si="101"/>
        <v>4.6566499956568812</v>
      </c>
      <c r="N544" s="2">
        <f t="shared" si="102"/>
        <v>1.5253766646926008E-2</v>
      </c>
      <c r="O544">
        <f t="shared" si="103"/>
        <v>24843.675500000001</v>
      </c>
      <c r="P544">
        <f t="shared" ca="1" si="109"/>
        <v>24847</v>
      </c>
      <c r="Q544" t="str">
        <f t="shared" ca="1" si="104"/>
        <v>0110000100001111</v>
      </c>
      <c r="R544">
        <f t="shared" ca="1" si="105"/>
        <v>4.6586703243255618</v>
      </c>
      <c r="S544">
        <f t="shared" ca="1" si="106"/>
        <v>75.904043891906753</v>
      </c>
      <c r="T544" s="1">
        <f t="shared" ca="1" si="108"/>
        <v>2.296555110386455E-2</v>
      </c>
      <c r="V544" s="4">
        <f t="shared" ca="1" si="107"/>
        <v>1.7040439999999999</v>
      </c>
      <c r="X544" s="2"/>
    </row>
    <row r="545" spans="8:24" x14ac:dyDescent="0.25">
      <c r="H545">
        <v>74.300000000000011</v>
      </c>
      <c r="I545">
        <v>4.5939788179735421</v>
      </c>
      <c r="J545" s="4">
        <f t="shared" si="98"/>
        <v>8.7000000000000001E-5</v>
      </c>
      <c r="K545" s="9">
        <f t="shared" si="99"/>
        <v>2.72E-4</v>
      </c>
      <c r="L545" s="4">
        <f t="shared" si="100"/>
        <v>1.5062000000000001E-2</v>
      </c>
      <c r="M545" s="5">
        <f t="shared" si="101"/>
        <v>4.6642011419780154</v>
      </c>
      <c r="N545" s="2">
        <f t="shared" si="102"/>
        <v>1.5285730907102691E-2</v>
      </c>
      <c r="O545">
        <f t="shared" si="103"/>
        <v>24883.961500000001</v>
      </c>
      <c r="P545">
        <f t="shared" ca="1" si="109"/>
        <v>24887</v>
      </c>
      <c r="Q545" t="str">
        <f t="shared" ca="1" si="104"/>
        <v>0110000100110111</v>
      </c>
      <c r="R545">
        <f t="shared" ca="1" si="105"/>
        <v>4.666170095443726</v>
      </c>
      <c r="S545">
        <f t="shared" ca="1" si="106"/>
        <v>75.994041145324715</v>
      </c>
      <c r="T545" s="1">
        <f t="shared" ca="1" si="108"/>
        <v>2.280001541486815E-2</v>
      </c>
      <c r="V545" s="4">
        <f t="shared" ca="1" si="107"/>
        <v>1.6940409999999999</v>
      </c>
      <c r="X545" s="2"/>
    </row>
    <row r="546" spans="8:24" x14ac:dyDescent="0.25">
      <c r="H546">
        <v>74.400000000000006</v>
      </c>
      <c r="I546">
        <v>4.6017054263967943</v>
      </c>
      <c r="J546" s="4">
        <f t="shared" si="98"/>
        <v>8.7999999999999998E-5</v>
      </c>
      <c r="K546" s="9">
        <f t="shared" si="99"/>
        <v>2.72E-4</v>
      </c>
      <c r="L546" s="4">
        <f t="shared" si="100"/>
        <v>1.5092E-2</v>
      </c>
      <c r="M546" s="5">
        <f t="shared" si="101"/>
        <v>4.6721872002875342</v>
      </c>
      <c r="N546" s="2">
        <f t="shared" si="102"/>
        <v>1.5316446264994467E-2</v>
      </c>
      <c r="O546">
        <f t="shared" si="103"/>
        <v>24926.567899999998</v>
      </c>
      <c r="P546">
        <f t="shared" ca="1" si="109"/>
        <v>24930</v>
      </c>
      <c r="Q546" t="str">
        <f t="shared" ca="1" si="104"/>
        <v>0110000101100010</v>
      </c>
      <c r="R546">
        <f t="shared" ca="1" si="105"/>
        <v>4.6742323493957523</v>
      </c>
      <c r="S546">
        <f t="shared" ca="1" si="106"/>
        <v>76.090788192749031</v>
      </c>
      <c r="T546" s="1">
        <f t="shared" ca="1" si="108"/>
        <v>2.2725647752003024E-2</v>
      </c>
      <c r="V546" s="4">
        <f t="shared" ca="1" si="107"/>
        <v>1.690788</v>
      </c>
      <c r="X546" s="2"/>
    </row>
    <row r="547" spans="8:24" x14ac:dyDescent="0.25">
      <c r="H547">
        <v>74.5</v>
      </c>
      <c r="I547">
        <v>4.6090204172722142</v>
      </c>
      <c r="J547" s="4">
        <f t="shared" si="98"/>
        <v>8.7999999999999998E-5</v>
      </c>
      <c r="K547" s="9">
        <f t="shared" si="99"/>
        <v>2.7300000000000002E-4</v>
      </c>
      <c r="L547" s="4">
        <f t="shared" si="100"/>
        <v>1.5122999999999999E-2</v>
      </c>
      <c r="M547" s="5">
        <f t="shared" si="101"/>
        <v>4.6797615744282934</v>
      </c>
      <c r="N547" s="2">
        <f t="shared" si="102"/>
        <v>1.5348414793516231E-2</v>
      </c>
      <c r="O547">
        <f t="shared" si="103"/>
        <v>24966.977900000002</v>
      </c>
      <c r="P547">
        <f t="shared" ca="1" si="109"/>
        <v>24972</v>
      </c>
      <c r="Q547" t="str">
        <f t="shared" ca="1" si="104"/>
        <v>0110000110001100</v>
      </c>
      <c r="R547">
        <f t="shared" ca="1" si="105"/>
        <v>4.6821071090698245</v>
      </c>
      <c r="S547">
        <f t="shared" ca="1" si="106"/>
        <v>76.185285308837905</v>
      </c>
      <c r="T547" s="1">
        <f t="shared" ca="1" si="108"/>
        <v>2.2621279313260471E-2</v>
      </c>
      <c r="V547" s="4">
        <f t="shared" ca="1" si="107"/>
        <v>1.6852849999999999</v>
      </c>
      <c r="X547" s="2"/>
    </row>
    <row r="548" spans="8:24" x14ac:dyDescent="0.25">
      <c r="H548">
        <v>74.599999999999994</v>
      </c>
      <c r="I548">
        <v>4.6167669372719544</v>
      </c>
      <c r="J548" s="4">
        <f t="shared" si="98"/>
        <v>8.8999999999999995E-5</v>
      </c>
      <c r="K548" s="9">
        <f t="shared" si="99"/>
        <v>2.7300000000000002E-4</v>
      </c>
      <c r="L548" s="4">
        <f t="shared" si="100"/>
        <v>1.5153E-2</v>
      </c>
      <c r="M548" s="5">
        <f t="shared" si="101"/>
        <v>4.6877688193170659</v>
      </c>
      <c r="N548" s="2">
        <f t="shared" si="102"/>
        <v>1.5379135011538285E-2</v>
      </c>
      <c r="O548">
        <f t="shared" si="103"/>
        <v>25009.697400000001</v>
      </c>
      <c r="P548">
        <f t="shared" ca="1" si="109"/>
        <v>25009</v>
      </c>
      <c r="Q548" t="str">
        <f t="shared" ca="1" si="104"/>
        <v>0110000110110001</v>
      </c>
      <c r="R548">
        <f t="shared" ca="1" si="105"/>
        <v>4.6890443973541265</v>
      </c>
      <c r="S548">
        <f t="shared" ca="1" si="106"/>
        <v>76.268532768249528</v>
      </c>
      <c r="T548" s="1">
        <f t="shared" ca="1" si="108"/>
        <v>2.2366390995302066E-2</v>
      </c>
      <c r="V548" s="4">
        <f t="shared" ca="1" si="107"/>
        <v>1.668533</v>
      </c>
      <c r="X548" s="2"/>
    </row>
    <row r="549" spans="8:24" x14ac:dyDescent="0.25">
      <c r="H549">
        <v>74.7</v>
      </c>
      <c r="I549">
        <v>4.6245228020358695</v>
      </c>
      <c r="J549" s="4">
        <f t="shared" si="98"/>
        <v>9.0000000000000006E-5</v>
      </c>
      <c r="K549" s="9">
        <f t="shared" si="99"/>
        <v>2.7399999999999999E-4</v>
      </c>
      <c r="L549" s="4">
        <f t="shared" si="100"/>
        <v>1.5184E-2</v>
      </c>
      <c r="M549" s="5">
        <f t="shared" si="101"/>
        <v>4.6957908090078444</v>
      </c>
      <c r="N549" s="2">
        <f t="shared" si="102"/>
        <v>1.5410888868490458E-2</v>
      </c>
      <c r="O549">
        <f t="shared" si="103"/>
        <v>25052.495500000001</v>
      </c>
      <c r="P549">
        <f t="shared" ca="1" si="109"/>
        <v>25053</v>
      </c>
      <c r="Q549" t="str">
        <f t="shared" ca="1" si="104"/>
        <v>0110000111011101</v>
      </c>
      <c r="R549">
        <f t="shared" ca="1" si="105"/>
        <v>4.6972941455841069</v>
      </c>
      <c r="S549">
        <f t="shared" ca="1" si="106"/>
        <v>76.367529747009286</v>
      </c>
      <c r="T549" s="1">
        <f t="shared" ca="1" si="108"/>
        <v>2.2323022048317039E-2</v>
      </c>
      <c r="V549" s="4">
        <f t="shared" ca="1" si="107"/>
        <v>1.66753</v>
      </c>
      <c r="X549" s="2"/>
    </row>
    <row r="550" spans="8:24" x14ac:dyDescent="0.25">
      <c r="H550">
        <v>74.800000000000011</v>
      </c>
      <c r="I550">
        <v>4.6318694243886807</v>
      </c>
      <c r="J550" s="4">
        <f t="shared" si="98"/>
        <v>9.0000000000000006E-5</v>
      </c>
      <c r="K550" s="9">
        <f t="shared" si="99"/>
        <v>2.7399999999999999E-4</v>
      </c>
      <c r="L550" s="4">
        <f t="shared" si="100"/>
        <v>1.5214E-2</v>
      </c>
      <c r="M550" s="5">
        <f t="shared" si="101"/>
        <v>4.7033939779573233</v>
      </c>
      <c r="N550" s="2">
        <f t="shared" si="102"/>
        <v>1.5441832878974673E-2</v>
      </c>
      <c r="O550">
        <f t="shared" si="103"/>
        <v>25093.059099999999</v>
      </c>
      <c r="P550">
        <f t="shared" ca="1" si="109"/>
        <v>25096</v>
      </c>
      <c r="Q550" t="str">
        <f t="shared" ca="1" si="104"/>
        <v>0110001000001000</v>
      </c>
      <c r="R550">
        <f t="shared" ca="1" si="105"/>
        <v>4.7053563995361332</v>
      </c>
      <c r="S550">
        <f t="shared" ca="1" si="106"/>
        <v>76.464276794433601</v>
      </c>
      <c r="T550" s="1">
        <f t="shared" ca="1" si="108"/>
        <v>2.2249689765154946E-2</v>
      </c>
      <c r="V550" s="4">
        <f t="shared" ca="1" si="107"/>
        <v>1.664277</v>
      </c>
      <c r="X550" s="2"/>
    </row>
    <row r="551" spans="8:24" x14ac:dyDescent="0.25">
      <c r="H551">
        <v>74.900000000000006</v>
      </c>
      <c r="I551">
        <v>4.6392269714706584</v>
      </c>
      <c r="J551" s="4">
        <f t="shared" si="98"/>
        <v>9.1000000000000003E-5</v>
      </c>
      <c r="K551" s="9">
        <f t="shared" si="99"/>
        <v>2.7500000000000002E-4</v>
      </c>
      <c r="L551" s="4">
        <f t="shared" si="100"/>
        <v>1.5245E-2</v>
      </c>
      <c r="M551" s="5">
        <f t="shared" si="101"/>
        <v>4.7110124724024329</v>
      </c>
      <c r="N551" s="2">
        <f t="shared" si="102"/>
        <v>1.5473591047220982E-2</v>
      </c>
      <c r="O551">
        <f t="shared" si="103"/>
        <v>25133.7045</v>
      </c>
      <c r="P551">
        <f t="shared" ca="1" si="109"/>
        <v>25133</v>
      </c>
      <c r="Q551" t="str">
        <f t="shared" ca="1" si="104"/>
        <v>0110001000101101</v>
      </c>
      <c r="R551">
        <f t="shared" ca="1" si="105"/>
        <v>4.7122936878204342</v>
      </c>
      <c r="S551">
        <f t="shared" ca="1" si="106"/>
        <v>76.547524253845225</v>
      </c>
      <c r="T551" s="1">
        <f t="shared" ca="1" si="108"/>
        <v>2.1996318475904126E-2</v>
      </c>
      <c r="V551" s="4">
        <f t="shared" ca="1" si="107"/>
        <v>1.647524</v>
      </c>
      <c r="X551" s="2"/>
    </row>
    <row r="552" spans="8:24" x14ac:dyDescent="0.25">
      <c r="H552">
        <v>75</v>
      </c>
      <c r="I552">
        <v>4.6470120232337786</v>
      </c>
      <c r="J552" s="4">
        <f t="shared" si="98"/>
        <v>9.1000000000000003E-5</v>
      </c>
      <c r="K552" s="9">
        <f t="shared" si="99"/>
        <v>2.7500000000000002E-4</v>
      </c>
      <c r="L552" s="4">
        <f t="shared" si="100"/>
        <v>1.5275E-2</v>
      </c>
      <c r="M552" s="5">
        <f t="shared" si="101"/>
        <v>4.7190618063761747</v>
      </c>
      <c r="N552" s="2">
        <f t="shared" si="102"/>
        <v>1.550453985962744E-2</v>
      </c>
      <c r="O552">
        <f t="shared" si="103"/>
        <v>25176.648499999999</v>
      </c>
      <c r="P552">
        <f t="shared" ca="1" si="109"/>
        <v>25177</v>
      </c>
      <c r="Q552" t="str">
        <f t="shared" ca="1" si="104"/>
        <v>0110001001011001</v>
      </c>
      <c r="R552">
        <f t="shared" ca="1" si="105"/>
        <v>4.7205434360504155</v>
      </c>
      <c r="S552">
        <f t="shared" ca="1" si="106"/>
        <v>76.646521232604996</v>
      </c>
      <c r="T552" s="1">
        <f t="shared" ca="1" si="108"/>
        <v>2.1953616434733286E-2</v>
      </c>
      <c r="V552" s="4">
        <f t="shared" ca="1" si="107"/>
        <v>1.6465209999999999</v>
      </c>
      <c r="X552" s="2"/>
    </row>
    <row r="553" spans="8:24" x14ac:dyDescent="0.25">
      <c r="H553">
        <v>75.099999999999994</v>
      </c>
      <c r="I553">
        <v>4.6543901973967783</v>
      </c>
      <c r="J553" s="4">
        <f t="shared" si="98"/>
        <v>9.2E-5</v>
      </c>
      <c r="K553" s="9">
        <f t="shared" si="99"/>
        <v>2.7599999999999999E-4</v>
      </c>
      <c r="L553" s="4">
        <f t="shared" si="100"/>
        <v>1.5306E-2</v>
      </c>
      <c r="M553" s="5">
        <f t="shared" si="101"/>
        <v>4.726702213732163</v>
      </c>
      <c r="N553" s="2">
        <f t="shared" si="102"/>
        <v>1.5536302988913391E-2</v>
      </c>
      <c r="O553">
        <f t="shared" si="103"/>
        <v>25217.410800000001</v>
      </c>
      <c r="P553">
        <f t="shared" ca="1" si="109"/>
        <v>25222</v>
      </c>
      <c r="Q553" t="str">
        <f t="shared" ca="1" si="104"/>
        <v>0110001010000110</v>
      </c>
      <c r="R553">
        <f t="shared" ca="1" si="105"/>
        <v>4.7289806785583499</v>
      </c>
      <c r="S553">
        <f t="shared" ca="1" si="106"/>
        <v>76.74776814270021</v>
      </c>
      <c r="T553" s="1">
        <f t="shared" ca="1" si="108"/>
        <v>2.1940987252998874E-2</v>
      </c>
      <c r="V553" s="4">
        <f t="shared" ca="1" si="107"/>
        <v>1.6477679999999999</v>
      </c>
      <c r="X553" s="2"/>
    </row>
    <row r="554" spans="8:24" x14ac:dyDescent="0.25">
      <c r="H554">
        <v>75.2</v>
      </c>
      <c r="I554">
        <v>4.6617789695857583</v>
      </c>
      <c r="J554" s="4">
        <f t="shared" si="98"/>
        <v>9.2E-5</v>
      </c>
      <c r="K554" s="9">
        <f t="shared" si="99"/>
        <v>2.7599999999999999E-4</v>
      </c>
      <c r="L554" s="4">
        <f t="shared" si="100"/>
        <v>1.5336000000000001E-2</v>
      </c>
      <c r="M554" s="5">
        <f t="shared" si="101"/>
        <v>4.7343500728144408</v>
      </c>
      <c r="N554" s="2">
        <f t="shared" si="102"/>
        <v>1.5567255269318578E-2</v>
      </c>
      <c r="O554">
        <f t="shared" si="103"/>
        <v>25258.212800000001</v>
      </c>
      <c r="P554">
        <f t="shared" ca="1" si="109"/>
        <v>25257</v>
      </c>
      <c r="Q554" t="str">
        <f t="shared" ca="1" si="104"/>
        <v>0110001010101001</v>
      </c>
      <c r="R554">
        <f t="shared" ca="1" si="105"/>
        <v>4.7355429782867429</v>
      </c>
      <c r="S554">
        <f t="shared" ca="1" si="106"/>
        <v>76.826515739440921</v>
      </c>
      <c r="T554" s="1">
        <f t="shared" ca="1" si="108"/>
        <v>2.1629198662778171E-2</v>
      </c>
      <c r="V554" s="4">
        <f t="shared" ca="1" si="107"/>
        <v>1.6265160000000001</v>
      </c>
      <c r="X554" s="2"/>
    </row>
    <row r="555" spans="8:24" x14ac:dyDescent="0.25">
      <c r="H555">
        <v>75.300000000000011</v>
      </c>
      <c r="I555">
        <v>4.6691782309002496</v>
      </c>
      <c r="J555" s="4">
        <f t="shared" si="98"/>
        <v>9.2999999999999997E-5</v>
      </c>
      <c r="K555" s="9">
        <f t="shared" si="99"/>
        <v>2.7700000000000001E-4</v>
      </c>
      <c r="L555" s="4">
        <f t="shared" si="100"/>
        <v>1.5367E-2</v>
      </c>
      <c r="M555" s="5">
        <f t="shared" si="101"/>
        <v>4.7420128510970585</v>
      </c>
      <c r="N555" s="2">
        <f t="shared" si="102"/>
        <v>1.5599023338795497E-2</v>
      </c>
      <c r="O555">
        <f t="shared" si="103"/>
        <v>25299.094499999999</v>
      </c>
      <c r="P555">
        <f t="shared" ca="1" si="109"/>
        <v>25300</v>
      </c>
      <c r="Q555" t="str">
        <f t="shared" ca="1" si="104"/>
        <v>0110001011010100</v>
      </c>
      <c r="R555">
        <f t="shared" ca="1" si="105"/>
        <v>4.7436052322387701</v>
      </c>
      <c r="S555">
        <f t="shared" ca="1" si="106"/>
        <v>76.923262786865251</v>
      </c>
      <c r="T555" s="1">
        <f t="shared" ca="1" si="108"/>
        <v>2.1557274725966E-2</v>
      </c>
      <c r="V555" s="4">
        <f t="shared" ca="1" si="107"/>
        <v>1.6232629999999999</v>
      </c>
      <c r="X555" s="2"/>
    </row>
    <row r="556" spans="8:24" x14ac:dyDescent="0.25">
      <c r="H556">
        <v>75.400000000000006</v>
      </c>
      <c r="I556">
        <v>4.6770009980452079</v>
      </c>
      <c r="J556" s="4">
        <f t="shared" si="98"/>
        <v>9.3999999999999994E-5</v>
      </c>
      <c r="K556" s="9">
        <f t="shared" si="99"/>
        <v>2.7700000000000001E-4</v>
      </c>
      <c r="L556" s="4">
        <f t="shared" si="100"/>
        <v>1.5396999999999999E-2</v>
      </c>
      <c r="M556" s="5">
        <f t="shared" si="101"/>
        <v>4.750101416529513</v>
      </c>
      <c r="N556" s="2">
        <f t="shared" si="102"/>
        <v>1.5629763285245842E-2</v>
      </c>
      <c r="O556">
        <f t="shared" si="103"/>
        <v>25342.247800000001</v>
      </c>
      <c r="P556">
        <f t="shared" ca="1" si="109"/>
        <v>25344</v>
      </c>
      <c r="Q556" t="str">
        <f t="shared" ca="1" si="104"/>
        <v>0110001100000000</v>
      </c>
      <c r="R556">
        <f t="shared" ca="1" si="105"/>
        <v>4.7518549804687504</v>
      </c>
      <c r="S556">
        <f t="shared" ca="1" si="106"/>
        <v>77.022259765625009</v>
      </c>
      <c r="T556" s="1">
        <f t="shared" ca="1" si="108"/>
        <v>2.1515381506962902E-2</v>
      </c>
      <c r="V556" s="4">
        <f t="shared" ca="1" si="107"/>
        <v>1.62226</v>
      </c>
      <c r="X556" s="2"/>
    </row>
    <row r="557" spans="8:24" x14ac:dyDescent="0.25">
      <c r="H557">
        <v>75.5</v>
      </c>
      <c r="I557">
        <v>4.6844200248908603</v>
      </c>
      <c r="J557" s="4">
        <f t="shared" si="98"/>
        <v>9.3999999999999994E-5</v>
      </c>
      <c r="K557" s="9">
        <f t="shared" si="99"/>
        <v>2.7799999999999998E-4</v>
      </c>
      <c r="L557" s="4">
        <f t="shared" si="100"/>
        <v>1.5428000000000001E-2</v>
      </c>
      <c r="M557" s="5">
        <f t="shared" si="101"/>
        <v>4.7577862564310793</v>
      </c>
      <c r="N557" s="2">
        <f t="shared" si="102"/>
        <v>1.5661753461556505E-2</v>
      </c>
      <c r="O557">
        <f t="shared" si="103"/>
        <v>25383.247100000001</v>
      </c>
      <c r="P557">
        <f t="shared" ca="1" si="109"/>
        <v>25387</v>
      </c>
      <c r="Q557" t="str">
        <f t="shared" ca="1" si="104"/>
        <v>0110001100101011</v>
      </c>
      <c r="R557">
        <f t="shared" ca="1" si="105"/>
        <v>4.7599172344207767</v>
      </c>
      <c r="S557">
        <f t="shared" ca="1" si="106"/>
        <v>77.119006813049324</v>
      </c>
      <c r="T557" s="1">
        <f t="shared" ca="1" si="108"/>
        <v>2.1443798848335423E-2</v>
      </c>
      <c r="V557" s="4">
        <f t="shared" ca="1" si="107"/>
        <v>1.6190070000000001</v>
      </c>
      <c r="X557" s="2"/>
    </row>
    <row r="558" spans="8:24" x14ac:dyDescent="0.25">
      <c r="H558">
        <v>75.599999999999994</v>
      </c>
      <c r="I558">
        <v>4.6918492179696241</v>
      </c>
      <c r="J558" s="4">
        <f t="shared" si="98"/>
        <v>9.5000000000000005E-5</v>
      </c>
      <c r="K558" s="9">
        <f t="shared" si="99"/>
        <v>2.7799999999999998E-4</v>
      </c>
      <c r="L558" s="4">
        <f t="shared" si="100"/>
        <v>1.5458E-2</v>
      </c>
      <c r="M558" s="5">
        <f t="shared" si="101"/>
        <v>4.7654760501894531</v>
      </c>
      <c r="N558" s="2">
        <f t="shared" si="102"/>
        <v>1.5692497520559855E-2</v>
      </c>
      <c r="O558">
        <f t="shared" si="103"/>
        <v>25424.2729</v>
      </c>
      <c r="P558">
        <f t="shared" ca="1" si="109"/>
        <v>25426</v>
      </c>
      <c r="Q558" t="str">
        <f t="shared" ca="1" si="104"/>
        <v>0110001101010010</v>
      </c>
      <c r="R558">
        <f t="shared" ca="1" si="105"/>
        <v>4.7672295112609868</v>
      </c>
      <c r="S558">
        <f t="shared" ca="1" si="106"/>
        <v>77.206754135131845</v>
      </c>
      <c r="T558" s="1">
        <f t="shared" ca="1" si="108"/>
        <v>2.1253361575818138E-2</v>
      </c>
      <c r="V558" s="4">
        <f t="shared" ca="1" si="107"/>
        <v>1.606754</v>
      </c>
      <c r="X558" s="2"/>
    </row>
    <row r="559" spans="8:24" x14ac:dyDescent="0.25">
      <c r="H559">
        <v>75.7</v>
      </c>
      <c r="I559">
        <v>4.6988780038281339</v>
      </c>
      <c r="J559" s="4">
        <f t="shared" si="98"/>
        <v>9.5000000000000005E-5</v>
      </c>
      <c r="K559" s="9">
        <f t="shared" si="99"/>
        <v>2.7900000000000001E-4</v>
      </c>
      <c r="L559" s="4">
        <f t="shared" si="100"/>
        <v>1.5488999999999999E-2</v>
      </c>
      <c r="M559" s="5">
        <f t="shared" si="101"/>
        <v>4.7727654698283049</v>
      </c>
      <c r="N559" s="2">
        <f t="shared" si="102"/>
        <v>1.5724491238115881E-2</v>
      </c>
      <c r="O559">
        <f t="shared" si="103"/>
        <v>25463.162700000001</v>
      </c>
      <c r="P559">
        <f t="shared" ca="1" si="109"/>
        <v>25463</v>
      </c>
      <c r="Q559" t="str">
        <f t="shared" ca="1" si="104"/>
        <v>0110001101110111</v>
      </c>
      <c r="R559">
        <f t="shared" ca="1" si="105"/>
        <v>4.7741667995452879</v>
      </c>
      <c r="S559">
        <f t="shared" ca="1" si="106"/>
        <v>77.290001594543469</v>
      </c>
      <c r="T559" s="1">
        <f t="shared" ca="1" si="108"/>
        <v>2.1003984075871413E-2</v>
      </c>
      <c r="V559" s="4">
        <f t="shared" ca="1" si="107"/>
        <v>1.5900019999999999</v>
      </c>
      <c r="X559" s="2"/>
    </row>
    <row r="560" spans="8:24" x14ac:dyDescent="0.25">
      <c r="H560">
        <v>75.800000000000011</v>
      </c>
      <c r="I560">
        <v>4.7063280906270082</v>
      </c>
      <c r="J560" s="4">
        <f t="shared" si="98"/>
        <v>9.6000000000000002E-5</v>
      </c>
      <c r="K560" s="9">
        <f t="shared" si="99"/>
        <v>2.7900000000000001E-4</v>
      </c>
      <c r="L560" s="4">
        <f t="shared" si="100"/>
        <v>1.5519E-2</v>
      </c>
      <c r="M560" s="5">
        <f t="shared" si="101"/>
        <v>4.7804774195997766</v>
      </c>
      <c r="N560" s="2">
        <f t="shared" si="102"/>
        <v>1.5755240082059328E-2</v>
      </c>
      <c r="O560">
        <f t="shared" si="103"/>
        <v>25504.306700000001</v>
      </c>
      <c r="P560">
        <f t="shared" ca="1" si="109"/>
        <v>25503</v>
      </c>
      <c r="Q560" t="str">
        <f t="shared" ca="1" si="104"/>
        <v>0110001110011111</v>
      </c>
      <c r="R560">
        <f t="shared" ca="1" si="105"/>
        <v>4.781666570663452</v>
      </c>
      <c r="S560">
        <f t="shared" ca="1" si="106"/>
        <v>77.379998847961431</v>
      </c>
      <c r="T560" s="1">
        <f t="shared" ca="1" si="108"/>
        <v>2.0844311978382848E-2</v>
      </c>
      <c r="V560" s="4">
        <f t="shared" ca="1" si="107"/>
        <v>1.5799989999999999</v>
      </c>
      <c r="X560" s="2"/>
    </row>
    <row r="561" spans="8:24" x14ac:dyDescent="0.25">
      <c r="H561">
        <v>75.900000000000006</v>
      </c>
      <c r="I561">
        <v>4.7137880206501963</v>
      </c>
      <c r="J561" s="4">
        <f t="shared" si="98"/>
        <v>9.6000000000000002E-5</v>
      </c>
      <c r="K561" s="9">
        <f t="shared" si="99"/>
        <v>2.7999999999999998E-4</v>
      </c>
      <c r="L561" s="4">
        <f t="shared" si="100"/>
        <v>1.555E-2</v>
      </c>
      <c r="M561" s="5">
        <f t="shared" si="101"/>
        <v>4.7882057176598058</v>
      </c>
      <c r="N561" s="2">
        <f t="shared" si="102"/>
        <v>1.5787238773487471E-2</v>
      </c>
      <c r="O561">
        <f t="shared" si="103"/>
        <v>25545.537899999999</v>
      </c>
      <c r="P561">
        <f t="shared" ca="1" si="109"/>
        <v>25548</v>
      </c>
      <c r="Q561" t="str">
        <f t="shared" ca="1" si="104"/>
        <v>0110001111001100</v>
      </c>
      <c r="R561">
        <f t="shared" ca="1" si="105"/>
        <v>4.7901038131713864</v>
      </c>
      <c r="S561">
        <f t="shared" ca="1" si="106"/>
        <v>77.481245758056644</v>
      </c>
      <c r="T561" s="1">
        <f t="shared" ca="1" si="108"/>
        <v>2.0833277444751497E-2</v>
      </c>
      <c r="V561" s="4">
        <f t="shared" ca="1" si="107"/>
        <v>1.5812459999999999</v>
      </c>
      <c r="X561" s="2"/>
    </row>
    <row r="562" spans="8:24" x14ac:dyDescent="0.25">
      <c r="H562">
        <v>76</v>
      </c>
      <c r="I562">
        <v>4.7208498690560932</v>
      </c>
      <c r="J562" s="4">
        <f t="shared" si="98"/>
        <v>9.7E-5</v>
      </c>
      <c r="K562" s="9">
        <f t="shared" si="99"/>
        <v>2.7999999999999998E-4</v>
      </c>
      <c r="L562" s="4">
        <f t="shared" si="100"/>
        <v>1.558E-2</v>
      </c>
      <c r="M562" s="5">
        <f t="shared" si="101"/>
        <v>4.7955242329656986</v>
      </c>
      <c r="N562" s="2">
        <f t="shared" si="102"/>
        <v>1.5817991671176822E-2</v>
      </c>
      <c r="O562">
        <f t="shared" si="103"/>
        <v>25584.582900000001</v>
      </c>
      <c r="P562">
        <f t="shared" ca="1" si="109"/>
        <v>25584</v>
      </c>
      <c r="Q562" t="str">
        <f t="shared" ca="1" si="104"/>
        <v>0110001111110000</v>
      </c>
      <c r="R562">
        <f t="shared" ca="1" si="105"/>
        <v>4.7968536071777343</v>
      </c>
      <c r="S562">
        <f t="shared" ca="1" si="106"/>
        <v>77.562243286132826</v>
      </c>
      <c r="T562" s="1">
        <f t="shared" ca="1" si="108"/>
        <v>2.0555832712274031E-2</v>
      </c>
      <c r="V562" s="4">
        <f t="shared" ca="1" si="107"/>
        <v>1.562243</v>
      </c>
      <c r="X562" s="2"/>
    </row>
    <row r="563" spans="8:24" x14ac:dyDescent="0.25">
      <c r="H563">
        <v>76.099999999999994</v>
      </c>
      <c r="I563">
        <v>4.7287369848233602</v>
      </c>
      <c r="J563" s="4">
        <f t="shared" si="98"/>
        <v>9.7999999999999997E-5</v>
      </c>
      <c r="K563" s="9">
        <f t="shared" si="99"/>
        <v>2.81E-4</v>
      </c>
      <c r="L563" s="4">
        <f t="shared" si="100"/>
        <v>1.5611E-2</v>
      </c>
      <c r="M563" s="5">
        <f t="shared" si="101"/>
        <v>4.8036864282162437</v>
      </c>
      <c r="N563" s="2">
        <f t="shared" si="102"/>
        <v>1.5849780529860271E-2</v>
      </c>
      <c r="O563">
        <f t="shared" si="103"/>
        <v>25628.129000000001</v>
      </c>
      <c r="P563">
        <f t="shared" ca="1" si="109"/>
        <v>25630</v>
      </c>
      <c r="Q563" t="str">
        <f t="shared" ca="1" si="104"/>
        <v>0110010000011110</v>
      </c>
      <c r="R563">
        <f t="shared" ca="1" si="105"/>
        <v>4.8054783439636228</v>
      </c>
      <c r="S563">
        <f t="shared" ca="1" si="106"/>
        <v>77.665740127563481</v>
      </c>
      <c r="T563" s="1">
        <f t="shared" ca="1" si="108"/>
        <v>2.057477171568314E-2</v>
      </c>
      <c r="V563" s="4">
        <f t="shared" ca="1" si="107"/>
        <v>1.5657399999999999</v>
      </c>
      <c r="X563" s="2"/>
    </row>
    <row r="564" spans="8:24" x14ac:dyDescent="0.25">
      <c r="H564">
        <v>76.2</v>
      </c>
      <c r="I564">
        <v>4.7362258067890339</v>
      </c>
      <c r="J564" s="4">
        <f t="shared" si="98"/>
        <v>9.7999999999999997E-5</v>
      </c>
      <c r="K564" s="9">
        <f t="shared" si="99"/>
        <v>2.81E-4</v>
      </c>
      <c r="L564" s="4">
        <f t="shared" si="100"/>
        <v>1.5640999999999999E-2</v>
      </c>
      <c r="M564" s="5">
        <f t="shared" si="101"/>
        <v>4.8114406427035599</v>
      </c>
      <c r="N564" s="2">
        <f t="shared" si="102"/>
        <v>1.5880753786424406E-2</v>
      </c>
      <c r="O564">
        <f t="shared" si="103"/>
        <v>25669.4984</v>
      </c>
      <c r="P564">
        <f t="shared" ca="1" si="109"/>
        <v>25672</v>
      </c>
      <c r="Q564" t="str">
        <f t="shared" ca="1" si="104"/>
        <v>0110010001001000</v>
      </c>
      <c r="R564">
        <f t="shared" ca="1" si="105"/>
        <v>4.8133531036376951</v>
      </c>
      <c r="S564">
        <f t="shared" ca="1" si="106"/>
        <v>77.760237243652355</v>
      </c>
      <c r="T564" s="1">
        <f t="shared" ca="1" si="108"/>
        <v>2.0475554378639793E-2</v>
      </c>
      <c r="V564" s="4">
        <f t="shared" ca="1" si="107"/>
        <v>1.5602370000000001</v>
      </c>
      <c r="X564" s="2"/>
    </row>
    <row r="565" spans="8:24" x14ac:dyDescent="0.25">
      <c r="H565">
        <v>76.300000000000011</v>
      </c>
      <c r="I565">
        <v>4.7433188623282527</v>
      </c>
      <c r="J565" s="4">
        <f t="shared" si="98"/>
        <v>9.8999999999999994E-5</v>
      </c>
      <c r="K565" s="9">
        <f t="shared" si="99"/>
        <v>2.8200000000000002E-4</v>
      </c>
      <c r="L565" s="4">
        <f t="shared" si="100"/>
        <v>1.5671999999999998E-2</v>
      </c>
      <c r="M565" s="5">
        <f t="shared" si="101"/>
        <v>4.818797142164251</v>
      </c>
      <c r="N565" s="2">
        <f t="shared" si="102"/>
        <v>1.5912546051974646E-2</v>
      </c>
      <c r="O565">
        <f t="shared" si="103"/>
        <v>25708.7461</v>
      </c>
      <c r="P565">
        <f t="shared" ca="1" si="109"/>
        <v>25709</v>
      </c>
      <c r="Q565" t="str">
        <f t="shared" ca="1" si="104"/>
        <v>0110010001101101</v>
      </c>
      <c r="R565">
        <f t="shared" ca="1" si="105"/>
        <v>4.820290391921997</v>
      </c>
      <c r="S565">
        <f t="shared" ca="1" si="106"/>
        <v>77.843484703063979</v>
      </c>
      <c r="T565" s="1">
        <f t="shared" ca="1" si="108"/>
        <v>2.0229157314075586E-2</v>
      </c>
      <c r="V565" s="4">
        <f t="shared" ca="1" si="107"/>
        <v>1.543485</v>
      </c>
      <c r="X565" s="2"/>
    </row>
    <row r="566" spans="8:24" x14ac:dyDescent="0.25">
      <c r="H566">
        <v>76.400000000000006</v>
      </c>
      <c r="I566">
        <v>4.7504229825898188</v>
      </c>
      <c r="J566" s="4">
        <f t="shared" si="98"/>
        <v>9.8999999999999994E-5</v>
      </c>
      <c r="K566" s="9">
        <f t="shared" si="99"/>
        <v>2.8200000000000002E-4</v>
      </c>
      <c r="L566" s="4">
        <f t="shared" si="100"/>
        <v>1.5702000000000001E-2</v>
      </c>
      <c r="M566" s="5">
        <f t="shared" si="101"/>
        <v>4.8261614591046813</v>
      </c>
      <c r="N566" s="2">
        <f t="shared" si="102"/>
        <v>1.5943522669969002E-2</v>
      </c>
      <c r="O566">
        <f t="shared" si="103"/>
        <v>25748.035400000001</v>
      </c>
      <c r="P566">
        <f t="shared" ca="1" si="109"/>
        <v>25752</v>
      </c>
      <c r="Q566" t="str">
        <f t="shared" ca="1" si="104"/>
        <v>0110010010011000</v>
      </c>
      <c r="R566">
        <f t="shared" ca="1" si="105"/>
        <v>4.8283526458740234</v>
      </c>
      <c r="S566">
        <f t="shared" ca="1" si="106"/>
        <v>77.940231750488294</v>
      </c>
      <c r="T566" s="1">
        <f t="shared" ca="1" si="108"/>
        <v>2.0160101446181789E-2</v>
      </c>
      <c r="V566" s="4">
        <f t="shared" ca="1" si="107"/>
        <v>1.540232</v>
      </c>
      <c r="X566" s="2"/>
    </row>
    <row r="567" spans="8:24" x14ac:dyDescent="0.25">
      <c r="H567">
        <v>76.5</v>
      </c>
      <c r="I567">
        <v>4.758344929670824</v>
      </c>
      <c r="J567" s="4">
        <f t="shared" si="98"/>
        <v>1E-4</v>
      </c>
      <c r="K567" s="9">
        <f t="shared" si="99"/>
        <v>2.8299999999999999E-4</v>
      </c>
      <c r="L567" s="4">
        <f t="shared" si="100"/>
        <v>1.5733E-2</v>
      </c>
      <c r="M567" s="5">
        <f t="shared" si="101"/>
        <v>4.8343610190698501</v>
      </c>
      <c r="N567" s="2">
        <f t="shared" si="102"/>
        <v>1.5975321361220599E-2</v>
      </c>
      <c r="O567">
        <f t="shared" si="103"/>
        <v>25791.7808</v>
      </c>
      <c r="P567">
        <f t="shared" ca="1" si="109"/>
        <v>25790</v>
      </c>
      <c r="Q567" t="str">
        <f t="shared" ca="1" si="104"/>
        <v>0110010010111110</v>
      </c>
      <c r="R567">
        <f t="shared" ca="1" si="105"/>
        <v>4.8354774284362794</v>
      </c>
      <c r="S567">
        <f t="shared" ca="1" si="106"/>
        <v>78.02572914123536</v>
      </c>
      <c r="T567" s="1">
        <f t="shared" ca="1" si="108"/>
        <v>1.9944171780854374E-2</v>
      </c>
      <c r="V567" s="4">
        <f t="shared" ca="1" si="107"/>
        <v>1.5257289999999999</v>
      </c>
      <c r="X567" s="2"/>
    </row>
    <row r="568" spans="8:24" x14ac:dyDescent="0.25">
      <c r="H568">
        <v>76.599999999999994</v>
      </c>
      <c r="I568">
        <v>4.7654691055465204</v>
      </c>
      <c r="J568" s="4">
        <f t="shared" si="98"/>
        <v>1E-4</v>
      </c>
      <c r="K568" s="9">
        <f t="shared" si="99"/>
        <v>2.8299999999999999E-4</v>
      </c>
      <c r="L568" s="4">
        <f t="shared" si="100"/>
        <v>1.5762999999999999E-2</v>
      </c>
      <c r="M568" s="5">
        <f t="shared" si="101"/>
        <v>4.8417466436361574</v>
      </c>
      <c r="N568" s="2">
        <f t="shared" si="102"/>
        <v>1.6006302086998679E-2</v>
      </c>
      <c r="O568">
        <f t="shared" si="103"/>
        <v>25831.1839</v>
      </c>
      <c r="P568">
        <f t="shared" ca="1" si="109"/>
        <v>25830</v>
      </c>
      <c r="Q568" t="str">
        <f t="shared" ca="1" si="104"/>
        <v>0110010011100110</v>
      </c>
      <c r="R568">
        <f t="shared" ca="1" si="105"/>
        <v>4.8429771995544435</v>
      </c>
      <c r="S568">
        <f t="shared" ca="1" si="106"/>
        <v>78.115726394653336</v>
      </c>
      <c r="T568" s="1">
        <f t="shared" ca="1" si="108"/>
        <v>1.9787550844038406E-2</v>
      </c>
      <c r="V568" s="4">
        <f t="shared" ca="1" si="107"/>
        <v>1.5157259999999999</v>
      </c>
      <c r="X568" s="2"/>
    </row>
    <row r="569" spans="8:24" x14ac:dyDescent="0.25">
      <c r="H569">
        <v>76.7</v>
      </c>
      <c r="I569">
        <v>4.7726040222064894</v>
      </c>
      <c r="J569" s="4">
        <f t="shared" si="98"/>
        <v>1.01E-4</v>
      </c>
      <c r="K569" s="9">
        <f t="shared" si="99"/>
        <v>2.8400000000000002E-4</v>
      </c>
      <c r="L569" s="4">
        <f t="shared" si="100"/>
        <v>1.5793999999999999E-2</v>
      </c>
      <c r="M569" s="5">
        <f t="shared" si="101"/>
        <v>4.8491475424397832</v>
      </c>
      <c r="N569" s="2">
        <f t="shared" si="102"/>
        <v>1.6038104120338459E-2</v>
      </c>
      <c r="O569">
        <f t="shared" si="103"/>
        <v>25870.668399999999</v>
      </c>
      <c r="P569">
        <f t="shared" ca="1" si="109"/>
        <v>25869</v>
      </c>
      <c r="Q569" t="str">
        <f t="shared" ca="1" si="104"/>
        <v>0110010100001101</v>
      </c>
      <c r="R569">
        <f t="shared" ca="1" si="105"/>
        <v>4.8502894763946536</v>
      </c>
      <c r="S569">
        <f t="shared" ca="1" si="106"/>
        <v>78.203473716735857</v>
      </c>
      <c r="T569" s="1">
        <f t="shared" ca="1" si="108"/>
        <v>1.9602004129541776E-2</v>
      </c>
      <c r="V569" s="4">
        <f t="shared" ca="1" si="107"/>
        <v>1.503474</v>
      </c>
      <c r="X569" s="2"/>
    </row>
    <row r="570" spans="8:24" x14ac:dyDescent="0.25">
      <c r="H570">
        <v>76.800000000000011</v>
      </c>
      <c r="I570">
        <v>4.7801503943729688</v>
      </c>
      <c r="J570" s="4">
        <f t="shared" si="98"/>
        <v>1.02E-4</v>
      </c>
      <c r="K570" s="9">
        <f t="shared" si="99"/>
        <v>2.8400000000000002E-4</v>
      </c>
      <c r="L570" s="4">
        <f t="shared" si="100"/>
        <v>1.5824000000000001E-2</v>
      </c>
      <c r="M570" s="5">
        <f t="shared" si="101"/>
        <v>4.8569620439646659</v>
      </c>
      <c r="N570" s="2">
        <f t="shared" si="102"/>
        <v>1.6068877180541671E-2</v>
      </c>
      <c r="O570">
        <f t="shared" si="103"/>
        <v>25912.359499999999</v>
      </c>
      <c r="P570">
        <f t="shared" ca="1" si="109"/>
        <v>25915</v>
      </c>
      <c r="Q570" t="str">
        <f t="shared" ca="1" si="104"/>
        <v>0110010100111011</v>
      </c>
      <c r="R570">
        <f t="shared" ca="1" si="105"/>
        <v>4.8589142131805421</v>
      </c>
      <c r="S570">
        <f t="shared" ca="1" si="106"/>
        <v>78.306970558166512</v>
      </c>
      <c r="T570" s="1">
        <f t="shared" ca="1" si="108"/>
        <v>1.9622012476126306E-2</v>
      </c>
      <c r="V570" s="4">
        <f t="shared" ca="1" si="107"/>
        <v>1.5069710000000001</v>
      </c>
      <c r="X570" s="2"/>
    </row>
    <row r="571" spans="8:24" x14ac:dyDescent="0.25">
      <c r="H571">
        <v>76.900000000000006</v>
      </c>
      <c r="I571">
        <v>4.7873055994001321</v>
      </c>
      <c r="J571" s="4">
        <f t="shared" si="98"/>
        <v>1.02E-4</v>
      </c>
      <c r="K571" s="9">
        <f t="shared" si="99"/>
        <v>2.8499999999999999E-4</v>
      </c>
      <c r="L571" s="4">
        <f t="shared" si="100"/>
        <v>1.5855000000000001E-2</v>
      </c>
      <c r="M571" s="5">
        <f t="shared" si="101"/>
        <v>4.8643855121045494</v>
      </c>
      <c r="N571" s="2">
        <f t="shared" si="102"/>
        <v>1.6100896653448587E-2</v>
      </c>
      <c r="O571">
        <f t="shared" si="103"/>
        <v>25951.964400000001</v>
      </c>
      <c r="P571">
        <f t="shared" ca="1" si="109"/>
        <v>25957</v>
      </c>
      <c r="Q571" t="str">
        <f t="shared" ca="1" si="104"/>
        <v>0110010101100101</v>
      </c>
      <c r="R571">
        <f t="shared" ca="1" si="105"/>
        <v>4.8667889728546143</v>
      </c>
      <c r="S571">
        <f t="shared" ca="1" si="106"/>
        <v>78.401467674255386</v>
      </c>
      <c r="T571" s="1">
        <f t="shared" ca="1" si="108"/>
        <v>1.952493724649389E-2</v>
      </c>
      <c r="V571" s="4">
        <f t="shared" ca="1" si="107"/>
        <v>1.501468</v>
      </c>
      <c r="X571" s="2"/>
    </row>
    <row r="572" spans="8:24" x14ac:dyDescent="0.25">
      <c r="H572">
        <v>77</v>
      </c>
      <c r="I572">
        <v>4.7944712228992694</v>
      </c>
      <c r="J572" s="4">
        <f t="shared" si="98"/>
        <v>1.03E-4</v>
      </c>
      <c r="K572" s="9">
        <f t="shared" si="99"/>
        <v>2.8499999999999999E-4</v>
      </c>
      <c r="L572" s="4">
        <f t="shared" si="100"/>
        <v>1.5885E-2</v>
      </c>
      <c r="M572" s="5">
        <f t="shared" si="101"/>
        <v>4.8718140680400861</v>
      </c>
      <c r="N572" s="2">
        <f t="shared" si="102"/>
        <v>1.6131673660155294E-2</v>
      </c>
      <c r="O572">
        <f t="shared" si="103"/>
        <v>25991.5965</v>
      </c>
      <c r="P572">
        <f t="shared" ca="1" si="109"/>
        <v>25991</v>
      </c>
      <c r="Q572" t="str">
        <f t="shared" ca="1" si="104"/>
        <v>0110010110000111</v>
      </c>
      <c r="R572">
        <f t="shared" ca="1" si="105"/>
        <v>4.8731637783050541</v>
      </c>
      <c r="S572">
        <f t="shared" ca="1" si="106"/>
        <v>78.477965339660656</v>
      </c>
      <c r="T572" s="1">
        <f t="shared" ca="1" si="108"/>
        <v>1.9194355060528002E-2</v>
      </c>
      <c r="V572" s="4">
        <f t="shared" ca="1" si="107"/>
        <v>1.477965</v>
      </c>
      <c r="X572" s="2"/>
    </row>
    <row r="573" spans="8:24" x14ac:dyDescent="0.25">
      <c r="H573">
        <v>77.099999999999994</v>
      </c>
      <c r="I573">
        <v>4.8016471574234059</v>
      </c>
      <c r="J573" s="4">
        <f t="shared" si="98"/>
        <v>1.03E-4</v>
      </c>
      <c r="K573" s="9">
        <f t="shared" si="99"/>
        <v>2.8600000000000001E-4</v>
      </c>
      <c r="L573" s="4">
        <f t="shared" si="100"/>
        <v>1.5916E-2</v>
      </c>
      <c r="M573" s="5">
        <f t="shared" si="101"/>
        <v>4.8792595289583067</v>
      </c>
      <c r="N573" s="2">
        <f t="shared" si="102"/>
        <v>1.6163697370997196E-2</v>
      </c>
      <c r="O573">
        <f t="shared" si="103"/>
        <v>26031.3187</v>
      </c>
      <c r="P573">
        <f t="shared" ca="1" si="109"/>
        <v>26035</v>
      </c>
      <c r="Q573" t="str">
        <f t="shared" ca="1" si="104"/>
        <v>0110010110110011</v>
      </c>
      <c r="R573">
        <f t="shared" ca="1" si="105"/>
        <v>4.8814135265350345</v>
      </c>
      <c r="S573">
        <f t="shared" ca="1" si="106"/>
        <v>78.576962318420428</v>
      </c>
      <c r="T573" s="1">
        <f t="shared" ca="1" si="108"/>
        <v>1.9156450303766972E-2</v>
      </c>
      <c r="V573" s="4">
        <f t="shared" ca="1" si="107"/>
        <v>1.4769620000000001</v>
      </c>
      <c r="X573" s="2"/>
    </row>
    <row r="574" spans="8:24" x14ac:dyDescent="0.25">
      <c r="H574">
        <v>77.2</v>
      </c>
      <c r="I574">
        <v>4.8092306547737316</v>
      </c>
      <c r="J574" s="4">
        <f t="shared" si="98"/>
        <v>1.0399999999999999E-4</v>
      </c>
      <c r="K574" s="9">
        <f t="shared" si="99"/>
        <v>2.8600000000000001E-4</v>
      </c>
      <c r="L574" s="4">
        <f t="shared" si="100"/>
        <v>1.5945999999999998E-2</v>
      </c>
      <c r="M574" s="5">
        <f t="shared" si="101"/>
        <v>4.8871136440741374</v>
      </c>
      <c r="N574" s="2">
        <f t="shared" si="102"/>
        <v>1.6194479926450966E-2</v>
      </c>
      <c r="O574">
        <f t="shared" si="103"/>
        <v>26073.2212</v>
      </c>
      <c r="P574">
        <f t="shared" ca="1" si="109"/>
        <v>26073</v>
      </c>
      <c r="Q574" t="str">
        <f t="shared" ca="1" si="104"/>
        <v>0110010111011001</v>
      </c>
      <c r="R574">
        <f t="shared" ca="1" si="105"/>
        <v>4.8885383090972905</v>
      </c>
      <c r="S574">
        <f t="shared" ca="1" si="106"/>
        <v>78.662459709167493</v>
      </c>
      <c r="T574" s="1">
        <f t="shared" ca="1" si="108"/>
        <v>1.8943778616159198E-2</v>
      </c>
      <c r="V574" s="4">
        <f t="shared" ca="1" si="107"/>
        <v>1.4624600000000001</v>
      </c>
      <c r="X574" s="2"/>
    </row>
    <row r="575" spans="8:24" x14ac:dyDescent="0.25">
      <c r="H575">
        <v>77.300000000000011</v>
      </c>
      <c r="I575">
        <v>4.8164260282163109</v>
      </c>
      <c r="J575" s="4">
        <f t="shared" si="98"/>
        <v>1.0399999999999999E-4</v>
      </c>
      <c r="K575" s="9">
        <f t="shared" si="99"/>
        <v>2.8699999999999998E-4</v>
      </c>
      <c r="L575" s="4">
        <f t="shared" si="100"/>
        <v>1.5977000000000002E-2</v>
      </c>
      <c r="M575" s="5">
        <f t="shared" si="101"/>
        <v>4.8945798030638619</v>
      </c>
      <c r="N575" s="2">
        <f t="shared" si="102"/>
        <v>1.6226507869050357E-2</v>
      </c>
      <c r="O575">
        <f t="shared" si="103"/>
        <v>26113.053899999999</v>
      </c>
      <c r="P575">
        <f t="shared" ca="1" si="109"/>
        <v>26113</v>
      </c>
      <c r="Q575" t="str">
        <f t="shared" ca="1" si="104"/>
        <v>0110011000000001</v>
      </c>
      <c r="R575">
        <f t="shared" ca="1" si="105"/>
        <v>4.8960380802154546</v>
      </c>
      <c r="S575">
        <f t="shared" ca="1" si="106"/>
        <v>78.75245696258547</v>
      </c>
      <c r="T575" s="1">
        <f t="shared" ca="1" si="108"/>
        <v>1.8789870149876559E-2</v>
      </c>
      <c r="V575" s="4">
        <f t="shared" ca="1" si="107"/>
        <v>1.4524570000000001</v>
      </c>
      <c r="X575" s="2"/>
    </row>
    <row r="576" spans="8:24" x14ac:dyDescent="0.25">
      <c r="H576">
        <v>77.400000000000006</v>
      </c>
      <c r="I576">
        <v>4.8232357598133957</v>
      </c>
      <c r="J576" s="4">
        <f t="shared" si="98"/>
        <v>1.05E-4</v>
      </c>
      <c r="K576" s="9">
        <f t="shared" si="99"/>
        <v>2.8699999999999998E-4</v>
      </c>
      <c r="L576" s="4">
        <f t="shared" si="100"/>
        <v>1.6007E-2</v>
      </c>
      <c r="M576" s="5">
        <f t="shared" si="101"/>
        <v>4.9016485192551125</v>
      </c>
      <c r="N576" s="2">
        <f t="shared" si="102"/>
        <v>1.6257293515494764E-2</v>
      </c>
      <c r="O576">
        <f t="shared" si="103"/>
        <v>26150.766100000001</v>
      </c>
      <c r="P576">
        <f t="shared" ca="1" si="109"/>
        <v>26155</v>
      </c>
      <c r="Q576" t="str">
        <f t="shared" ca="1" si="104"/>
        <v>0110011000101011</v>
      </c>
      <c r="R576">
        <f t="shared" ca="1" si="105"/>
        <v>4.9039128398895269</v>
      </c>
      <c r="S576">
        <f t="shared" ca="1" si="106"/>
        <v>78.846954078674329</v>
      </c>
      <c r="T576" s="1">
        <f t="shared" ca="1" si="108"/>
        <v>1.8694497140495137E-2</v>
      </c>
      <c r="V576" s="4">
        <f t="shared" ca="1" si="107"/>
        <v>1.4469540000000001</v>
      </c>
      <c r="X576" s="2"/>
    </row>
    <row r="577" spans="8:24" x14ac:dyDescent="0.25">
      <c r="H577">
        <v>77.5</v>
      </c>
      <c r="I577">
        <v>4.830846647530425</v>
      </c>
      <c r="J577" s="4">
        <f t="shared" si="98"/>
        <v>1.06E-4</v>
      </c>
      <c r="K577" s="9">
        <f t="shared" si="99"/>
        <v>2.8800000000000001E-4</v>
      </c>
      <c r="L577" s="4">
        <f t="shared" si="100"/>
        <v>1.6038E-2</v>
      </c>
      <c r="M577" s="5">
        <f t="shared" si="101"/>
        <v>4.9095368696417392</v>
      </c>
      <c r="N577" s="2">
        <f t="shared" si="102"/>
        <v>1.6289116143138459E-2</v>
      </c>
      <c r="O577">
        <f t="shared" si="103"/>
        <v>26192.851200000001</v>
      </c>
      <c r="P577">
        <f t="shared" ca="1" si="109"/>
        <v>26191</v>
      </c>
      <c r="Q577" t="str">
        <f t="shared" ca="1" si="104"/>
        <v>0110011001001111</v>
      </c>
      <c r="R577">
        <f t="shared" ca="1" si="105"/>
        <v>4.9106626338958739</v>
      </c>
      <c r="S577">
        <f t="shared" ca="1" si="106"/>
        <v>78.927951606750497</v>
      </c>
      <c r="T577" s="1">
        <f t="shared" ca="1" si="108"/>
        <v>1.8425182022587059E-2</v>
      </c>
      <c r="V577" s="4">
        <f t="shared" ca="1" si="107"/>
        <v>1.4279520000000001</v>
      </c>
      <c r="X577" s="2"/>
    </row>
    <row r="578" spans="8:24" x14ac:dyDescent="0.25">
      <c r="H578">
        <v>77.599999999999994</v>
      </c>
      <c r="I578">
        <v>4.8380716817654843</v>
      </c>
      <c r="J578" s="4">
        <f t="shared" si="98"/>
        <v>1.06E-4</v>
      </c>
      <c r="K578" s="9">
        <f t="shared" si="99"/>
        <v>2.8800000000000001E-4</v>
      </c>
      <c r="L578" s="4">
        <f t="shared" si="100"/>
        <v>1.6067999999999999E-2</v>
      </c>
      <c r="M578" s="5">
        <f t="shared" si="101"/>
        <v>4.9170295811310991</v>
      </c>
      <c r="N578" s="2">
        <f t="shared" si="102"/>
        <v>1.6320117716156265E-2</v>
      </c>
      <c r="O578">
        <f t="shared" si="103"/>
        <v>26232.8256</v>
      </c>
      <c r="P578">
        <f t="shared" ca="1" si="109"/>
        <v>26235</v>
      </c>
      <c r="Q578" t="str">
        <f t="shared" ca="1" si="104"/>
        <v>0110011001111011</v>
      </c>
      <c r="R578">
        <f t="shared" ca="1" si="105"/>
        <v>4.9189123821258542</v>
      </c>
      <c r="S578">
        <f t="shared" ca="1" si="106"/>
        <v>79.026948585510254</v>
      </c>
      <c r="T578" s="1">
        <f t="shared" ca="1" si="108"/>
        <v>1.8388512699874487E-2</v>
      </c>
      <c r="V578" s="4">
        <f t="shared" ca="1" si="107"/>
        <v>1.426949</v>
      </c>
      <c r="X578" s="2"/>
    </row>
    <row r="579" spans="8:24" x14ac:dyDescent="0.25">
      <c r="H579">
        <v>77.7</v>
      </c>
      <c r="I579">
        <v>4.8449133320441602</v>
      </c>
      <c r="J579" s="4">
        <f t="shared" ref="J579:J602" si="110">ROUND(H579*0.00000575 -0.00034,6)</f>
        <v>1.07E-4</v>
      </c>
      <c r="K579" s="9">
        <f t="shared" ref="K579:K602" si="111">ROUND(H579*0.000005-0.0001,6)</f>
        <v>2.8899999999999998E-4</v>
      </c>
      <c r="L579" s="4">
        <f t="shared" ref="L579:L602" si="112">ROUND(K579+($C$24*(H579-25)),6)</f>
        <v>1.6098999999999999E-2</v>
      </c>
      <c r="M579" s="5">
        <f t="shared" ref="M579:M602" si="113">(I579-J579)/(1-L579)+$C$26+$D$27</f>
        <v>4.9241370811719474</v>
      </c>
      <c r="N579" s="2">
        <f t="shared" ref="N579:N602" si="114">ABS(I579-M579)/I579</f>
        <v>1.6351943512343738E-2</v>
      </c>
      <c r="O579">
        <f t="shared" ref="O579:O602" si="115">ROUND((M579*(2^($C$12-1)))/$C$44,4)</f>
        <v>26270.7448</v>
      </c>
      <c r="P579">
        <f t="shared" ca="1" si="109"/>
        <v>26274</v>
      </c>
      <c r="Q579" t="str">
        <f t="shared" ref="Q579:Q602" ca="1" si="116">_xlfn.BASE(P579,2,16)</f>
        <v>0110011010100010</v>
      </c>
      <c r="R579">
        <f t="shared" ref="R579:R602" ca="1" si="117">($C$16/2^($C$12-1)) * P579</f>
        <v>4.9262246589660643</v>
      </c>
      <c r="S579">
        <f t="shared" ref="S579:S602" ca="1" si="118">(R579+5/3)/(1/12)</f>
        <v>79.114695907592775</v>
      </c>
      <c r="T579" s="1">
        <f t="shared" ca="1" si="108"/>
        <v>1.820715453787352E-2</v>
      </c>
      <c r="V579" s="4">
        <f t="shared" ref="V579:V602" ca="1" si="119">ROUND(ABS(H579-S579),6)</f>
        <v>1.414696</v>
      </c>
      <c r="X579" s="2"/>
    </row>
    <row r="580" spans="8:24" x14ac:dyDescent="0.25">
      <c r="H580">
        <v>77.800000000000011</v>
      </c>
      <c r="I580">
        <v>4.8521584684919743</v>
      </c>
      <c r="J580" s="4">
        <f t="shared" si="110"/>
        <v>1.07E-4</v>
      </c>
      <c r="K580" s="9">
        <f t="shared" si="111"/>
        <v>2.8899999999999998E-4</v>
      </c>
      <c r="L580" s="4">
        <f t="shared" si="112"/>
        <v>1.6129000000000001E-2</v>
      </c>
      <c r="M580" s="5">
        <f t="shared" si="113"/>
        <v>4.9316511341527232</v>
      </c>
      <c r="N580" s="2">
        <f t="shared" si="114"/>
        <v>1.6382949191981928E-2</v>
      </c>
      <c r="O580">
        <f t="shared" si="115"/>
        <v>26310.832999999999</v>
      </c>
      <c r="P580">
        <f t="shared" ca="1" si="109"/>
        <v>26311</v>
      </c>
      <c r="Q580" t="str">
        <f t="shared" ca="1" si="116"/>
        <v>0110011011000111</v>
      </c>
      <c r="R580">
        <f t="shared" ca="1" si="117"/>
        <v>4.9331619472503663</v>
      </c>
      <c r="S580">
        <f t="shared" ca="1" si="118"/>
        <v>79.197943367004399</v>
      </c>
      <c r="T580" s="1">
        <f t="shared" ref="T580:T602" ca="1" si="120">ABS(H580-S580)/H580</f>
        <v>1.7968423740416288E-2</v>
      </c>
      <c r="V580" s="4">
        <f t="shared" ca="1" si="119"/>
        <v>1.3979429999999999</v>
      </c>
      <c r="X580" s="2"/>
    </row>
    <row r="581" spans="8:24" x14ac:dyDescent="0.25">
      <c r="H581">
        <v>77.900000000000006</v>
      </c>
      <c r="I581">
        <v>4.8594130698894524</v>
      </c>
      <c r="J581" s="4">
        <f t="shared" si="110"/>
        <v>1.08E-4</v>
      </c>
      <c r="K581" s="9">
        <f t="shared" si="111"/>
        <v>2.9E-4</v>
      </c>
      <c r="L581" s="4">
        <f t="shared" si="112"/>
        <v>1.6160000000000001E-2</v>
      </c>
      <c r="M581" s="5">
        <f t="shared" si="113"/>
        <v>4.9391792696062904</v>
      </c>
      <c r="N581" s="2">
        <f t="shared" si="114"/>
        <v>1.6414780667874478E-2</v>
      </c>
      <c r="O581">
        <f t="shared" si="115"/>
        <v>26350.996299999999</v>
      </c>
      <c r="P581">
        <f t="shared" ca="1" si="109"/>
        <v>26354</v>
      </c>
      <c r="Q581" t="str">
        <f t="shared" ca="1" si="116"/>
        <v>0110011011110010</v>
      </c>
      <c r="R581">
        <f t="shared" ca="1" si="117"/>
        <v>4.9412242012023926</v>
      </c>
      <c r="S581">
        <f t="shared" ca="1" si="118"/>
        <v>79.294690414428715</v>
      </c>
      <c r="T581" s="1">
        <f t="shared" ca="1" si="120"/>
        <v>1.7903599671742088E-2</v>
      </c>
      <c r="V581" s="4">
        <f t="shared" ca="1" si="119"/>
        <v>1.39469</v>
      </c>
      <c r="X581" s="2"/>
    </row>
    <row r="582" spans="8:24" x14ac:dyDescent="0.25">
      <c r="H582">
        <v>78</v>
      </c>
      <c r="I582">
        <v>4.8666770319611752</v>
      </c>
      <c r="J582" s="4">
        <f t="shared" si="110"/>
        <v>1.0900000000000001E-4</v>
      </c>
      <c r="K582" s="9">
        <f t="shared" si="111"/>
        <v>2.9E-4</v>
      </c>
      <c r="L582" s="4">
        <f t="shared" si="112"/>
        <v>1.619E-2</v>
      </c>
      <c r="M582" s="5">
        <f t="shared" si="113"/>
        <v>4.9467123661491295</v>
      </c>
      <c r="N582" s="2">
        <f t="shared" si="114"/>
        <v>1.6445581587258444E-2</v>
      </c>
      <c r="O582">
        <f t="shared" si="115"/>
        <v>26391.186099999999</v>
      </c>
      <c r="P582">
        <f t="shared" ca="1" si="109"/>
        <v>26396</v>
      </c>
      <c r="Q582" t="str">
        <f t="shared" ca="1" si="116"/>
        <v>0110011100011100</v>
      </c>
      <c r="R582">
        <f t="shared" ca="1" si="117"/>
        <v>4.9490989608764648</v>
      </c>
      <c r="S582">
        <f t="shared" ca="1" si="118"/>
        <v>79.389187530517589</v>
      </c>
      <c r="T582" s="1">
        <f t="shared" ca="1" si="120"/>
        <v>1.7810096545097291E-2</v>
      </c>
      <c r="V582" s="4">
        <f t="shared" ca="1" si="119"/>
        <v>1.3891880000000001</v>
      </c>
      <c r="X582" s="2"/>
    </row>
    <row r="583" spans="8:24" x14ac:dyDescent="0.25">
      <c r="H583">
        <v>78.099999999999994</v>
      </c>
      <c r="I583">
        <v>4.873560604442182</v>
      </c>
      <c r="J583" s="4">
        <f t="shared" si="110"/>
        <v>1.0900000000000001E-4</v>
      </c>
      <c r="K583" s="9">
        <f t="shared" si="111"/>
        <v>2.9100000000000003E-4</v>
      </c>
      <c r="L583" s="4">
        <f t="shared" si="112"/>
        <v>1.6220999999999999E-2</v>
      </c>
      <c r="M583" s="5">
        <f t="shared" si="113"/>
        <v>4.9538653128641519</v>
      </c>
      <c r="N583" s="2">
        <f t="shared" si="114"/>
        <v>1.6477625896100131E-2</v>
      </c>
      <c r="O583">
        <f t="shared" si="115"/>
        <v>26429.347699999998</v>
      </c>
      <c r="P583">
        <f t="shared" ca="1" si="109"/>
        <v>26433</v>
      </c>
      <c r="Q583" t="str">
        <f t="shared" ca="1" si="116"/>
        <v>0110011101000001</v>
      </c>
      <c r="R583">
        <f t="shared" ca="1" si="117"/>
        <v>4.9560362491607668</v>
      </c>
      <c r="S583">
        <f t="shared" ca="1" si="118"/>
        <v>79.472434989929212</v>
      </c>
      <c r="T583" s="1">
        <f t="shared" ca="1" si="120"/>
        <v>1.7572791164266556E-2</v>
      </c>
      <c r="V583" s="4">
        <f t="shared" ca="1" si="119"/>
        <v>1.3724350000000001</v>
      </c>
      <c r="X583" s="2"/>
    </row>
    <row r="584" spans="8:24" x14ac:dyDescent="0.25">
      <c r="H584">
        <v>78.2</v>
      </c>
      <c r="I584">
        <v>4.8812326229407175</v>
      </c>
      <c r="J584" s="4">
        <f t="shared" si="110"/>
        <v>1.1E-4</v>
      </c>
      <c r="K584" s="9">
        <f t="shared" si="111"/>
        <v>2.9100000000000003E-4</v>
      </c>
      <c r="L584" s="4">
        <f t="shared" si="112"/>
        <v>1.6251000000000002E-2</v>
      </c>
      <c r="M584" s="5">
        <f t="shared" si="113"/>
        <v>4.9618141216740419</v>
      </c>
      <c r="N584" s="2">
        <f t="shared" si="114"/>
        <v>1.6508432389517588E-2</v>
      </c>
      <c r="O584">
        <f t="shared" si="115"/>
        <v>26471.755399999998</v>
      </c>
      <c r="P584">
        <f t="shared" ca="1" si="109"/>
        <v>26474</v>
      </c>
      <c r="Q584" t="str">
        <f t="shared" ca="1" si="116"/>
        <v>0110011101101010</v>
      </c>
      <c r="R584">
        <f t="shared" ca="1" si="117"/>
        <v>4.963723514556885</v>
      </c>
      <c r="S584">
        <f t="shared" ca="1" si="118"/>
        <v>79.56468217468263</v>
      </c>
      <c r="T584" s="1">
        <f t="shared" ca="1" si="120"/>
        <v>1.7451178704381426E-2</v>
      </c>
      <c r="V584" s="4">
        <f t="shared" ca="1" si="119"/>
        <v>1.364682</v>
      </c>
      <c r="X584" s="2"/>
    </row>
    <row r="585" spans="8:24" x14ac:dyDescent="0.25">
      <c r="H585">
        <v>78.300000000000011</v>
      </c>
      <c r="I585">
        <v>4.8881360958303626</v>
      </c>
      <c r="J585" s="4">
        <f t="shared" si="110"/>
        <v>1.1E-4</v>
      </c>
      <c r="K585" s="9">
        <f t="shared" si="111"/>
        <v>2.92E-4</v>
      </c>
      <c r="L585" s="4">
        <f t="shared" si="112"/>
        <v>1.6282000000000001E-2</v>
      </c>
      <c r="M585" s="5">
        <f t="shared" si="113"/>
        <v>4.9689882176338775</v>
      </c>
      <c r="N585" s="2">
        <f t="shared" si="114"/>
        <v>1.6540480915104384E-2</v>
      </c>
      <c r="O585">
        <f t="shared" si="115"/>
        <v>26510.029900000001</v>
      </c>
      <c r="P585">
        <f t="shared" ca="1" si="109"/>
        <v>26510</v>
      </c>
      <c r="Q585" t="str">
        <f t="shared" ca="1" si="116"/>
        <v>0110011110001110</v>
      </c>
      <c r="R585">
        <f t="shared" ca="1" si="117"/>
        <v>4.9704733085632329</v>
      </c>
      <c r="S585">
        <f t="shared" ca="1" si="118"/>
        <v>79.645679702758798</v>
      </c>
      <c r="T585" s="1">
        <f t="shared" ca="1" si="120"/>
        <v>1.7186203100367645E-2</v>
      </c>
      <c r="V585" s="4">
        <f t="shared" ca="1" si="119"/>
        <v>1.34568</v>
      </c>
      <c r="X585" s="2"/>
    </row>
    <row r="586" spans="8:24" x14ac:dyDescent="0.25">
      <c r="H586">
        <v>78.400000000000006</v>
      </c>
      <c r="I586">
        <v>4.8950502098802611</v>
      </c>
      <c r="J586" s="4">
        <f t="shared" si="110"/>
        <v>1.11E-4</v>
      </c>
      <c r="K586" s="9">
        <f t="shared" si="111"/>
        <v>2.92E-4</v>
      </c>
      <c r="L586" s="4">
        <f t="shared" si="112"/>
        <v>1.6312E-2</v>
      </c>
      <c r="M586" s="5">
        <f t="shared" si="113"/>
        <v>4.9761675081776549</v>
      </c>
      <c r="N586" s="2">
        <f t="shared" si="114"/>
        <v>1.6571290348292057E-2</v>
      </c>
      <c r="O586">
        <f t="shared" si="115"/>
        <v>26548.3321</v>
      </c>
      <c r="P586">
        <f t="shared" ca="1" si="109"/>
        <v>26551</v>
      </c>
      <c r="Q586" t="str">
        <f t="shared" ca="1" si="116"/>
        <v>0110011110110111</v>
      </c>
      <c r="R586">
        <f t="shared" ca="1" si="117"/>
        <v>4.9781605739593511</v>
      </c>
      <c r="S586">
        <f t="shared" ca="1" si="118"/>
        <v>79.737926887512216</v>
      </c>
      <c r="T586" s="1">
        <f t="shared" ca="1" si="120"/>
        <v>1.7065393973370035E-2</v>
      </c>
      <c r="V586" s="4">
        <f t="shared" ca="1" si="119"/>
        <v>1.3379270000000001</v>
      </c>
      <c r="X586" s="2"/>
    </row>
    <row r="587" spans="8:24" x14ac:dyDescent="0.25">
      <c r="H587">
        <v>78.5</v>
      </c>
      <c r="I587">
        <v>4.9023611135115335</v>
      </c>
      <c r="J587" s="4">
        <f t="shared" si="110"/>
        <v>1.11E-4</v>
      </c>
      <c r="K587" s="9">
        <f t="shared" si="111"/>
        <v>2.9300000000000002E-4</v>
      </c>
      <c r="L587" s="4">
        <f t="shared" si="112"/>
        <v>1.6343E-2</v>
      </c>
      <c r="M587" s="5">
        <f t="shared" si="113"/>
        <v>4.9837567013883222</v>
      </c>
      <c r="N587" s="2">
        <f t="shared" si="114"/>
        <v>1.6603343978976181E-2</v>
      </c>
      <c r="O587">
        <f t="shared" si="115"/>
        <v>26588.821199999998</v>
      </c>
      <c r="P587">
        <f t="shared" ca="1" si="109"/>
        <v>26592</v>
      </c>
      <c r="Q587" t="str">
        <f t="shared" ca="1" si="116"/>
        <v>0110011111100000</v>
      </c>
      <c r="R587">
        <f t="shared" ca="1" si="117"/>
        <v>4.9858478393554693</v>
      </c>
      <c r="S587">
        <f t="shared" ca="1" si="118"/>
        <v>79.830174072265635</v>
      </c>
      <c r="T587" s="1">
        <f t="shared" ca="1" si="120"/>
        <v>1.6944892640326559E-2</v>
      </c>
      <c r="V587" s="4">
        <f t="shared" ca="1" si="119"/>
        <v>1.330174</v>
      </c>
      <c r="X587" s="2"/>
    </row>
    <row r="588" spans="8:24" x14ac:dyDescent="0.25">
      <c r="H588">
        <v>78.599999999999994</v>
      </c>
      <c r="I588">
        <v>4.9096807565813689</v>
      </c>
      <c r="J588" s="4">
        <f t="shared" si="110"/>
        <v>1.12E-4</v>
      </c>
      <c r="K588" s="9">
        <f t="shared" si="111"/>
        <v>2.9300000000000002E-4</v>
      </c>
      <c r="L588" s="4">
        <f t="shared" si="112"/>
        <v>1.6372999999999999E-2</v>
      </c>
      <c r="M588" s="5">
        <f t="shared" si="113"/>
        <v>4.9913491668563079</v>
      </c>
      <c r="N588" s="2">
        <f t="shared" si="114"/>
        <v>1.663415898588996E-2</v>
      </c>
      <c r="O588">
        <f t="shared" si="115"/>
        <v>26629.327700000002</v>
      </c>
      <c r="P588">
        <f t="shared" ca="1" si="109"/>
        <v>26629</v>
      </c>
      <c r="Q588" t="str">
        <f t="shared" ca="1" si="116"/>
        <v>0110100000000101</v>
      </c>
      <c r="R588">
        <f t="shared" ca="1" si="117"/>
        <v>4.9927851276397703</v>
      </c>
      <c r="S588">
        <f t="shared" ca="1" si="118"/>
        <v>79.913421531677258</v>
      </c>
      <c r="T588" s="1">
        <f t="shared" ca="1" si="120"/>
        <v>1.6710197604036438E-2</v>
      </c>
      <c r="V588" s="4">
        <f t="shared" ca="1" si="119"/>
        <v>1.3134220000000001</v>
      </c>
      <c r="X588" s="2"/>
    </row>
    <row r="589" spans="8:24" x14ac:dyDescent="0.25">
      <c r="H589">
        <v>78.7</v>
      </c>
      <c r="I589">
        <v>4.9166244669968755</v>
      </c>
      <c r="J589" s="4">
        <f t="shared" si="110"/>
        <v>1.13E-4</v>
      </c>
      <c r="K589" s="9">
        <f t="shared" si="111"/>
        <v>2.9399999999999999E-4</v>
      </c>
      <c r="L589" s="4">
        <f t="shared" si="112"/>
        <v>1.6403999999999998E-2</v>
      </c>
      <c r="M589" s="5">
        <f t="shared" si="113"/>
        <v>4.9985649754216928</v>
      </c>
      <c r="N589" s="2">
        <f t="shared" si="114"/>
        <v>1.666600916438659E-2</v>
      </c>
      <c r="O589">
        <f t="shared" si="115"/>
        <v>26667.824700000001</v>
      </c>
      <c r="P589">
        <f t="shared" ca="1" si="109"/>
        <v>26668</v>
      </c>
      <c r="Q589" t="str">
        <f t="shared" ca="1" si="116"/>
        <v>0110100000101100</v>
      </c>
      <c r="R589">
        <f t="shared" ca="1" si="117"/>
        <v>5.0000974044799804</v>
      </c>
      <c r="S589">
        <f t="shared" ca="1" si="118"/>
        <v>80.001168853759779</v>
      </c>
      <c r="T589" s="1">
        <f t="shared" ca="1" si="120"/>
        <v>1.6533276413720155E-2</v>
      </c>
      <c r="V589" s="4">
        <f t="shared" ca="1" si="119"/>
        <v>1.301169</v>
      </c>
      <c r="X589" s="2"/>
    </row>
    <row r="590" spans="8:24" x14ac:dyDescent="0.25">
      <c r="H590">
        <v>78.800000000000011</v>
      </c>
      <c r="I590">
        <v>4.9239621241694103</v>
      </c>
      <c r="J590" s="4">
        <f t="shared" si="110"/>
        <v>1.13E-4</v>
      </c>
      <c r="K590" s="9">
        <f t="shared" si="111"/>
        <v>2.9399999999999999E-4</v>
      </c>
      <c r="L590" s="4">
        <f t="shared" si="112"/>
        <v>1.6434000000000001E-2</v>
      </c>
      <c r="M590" s="5">
        <f t="shared" si="113"/>
        <v>5.0061776952410009</v>
      </c>
      <c r="N590" s="2">
        <f t="shared" si="114"/>
        <v>1.6697035638847241E-2</v>
      </c>
      <c r="O590">
        <f t="shared" si="115"/>
        <v>26708.439299999998</v>
      </c>
      <c r="P590">
        <f t="shared" ca="1" si="109"/>
        <v>26708</v>
      </c>
      <c r="Q590" t="str">
        <f t="shared" ca="1" si="116"/>
        <v>0110100001010100</v>
      </c>
      <c r="R590">
        <f t="shared" ca="1" si="117"/>
        <v>5.0075971755981445</v>
      </c>
      <c r="S590">
        <f t="shared" ca="1" si="118"/>
        <v>80.091166107177742</v>
      </c>
      <c r="T590" s="1">
        <f t="shared" ca="1" si="120"/>
        <v>1.6385356690072718E-2</v>
      </c>
      <c r="V590" s="4">
        <f t="shared" ca="1" si="119"/>
        <v>1.291166</v>
      </c>
      <c r="X590" s="2"/>
    </row>
    <row r="591" spans="8:24" x14ac:dyDescent="0.25">
      <c r="H591">
        <v>78.900000000000006</v>
      </c>
      <c r="I591">
        <v>4.9309253252189968</v>
      </c>
      <c r="J591" s="4">
        <f t="shared" si="110"/>
        <v>1.1400000000000001E-4</v>
      </c>
      <c r="K591" s="9">
        <f t="shared" si="111"/>
        <v>2.9500000000000001E-4</v>
      </c>
      <c r="L591" s="4">
        <f t="shared" si="112"/>
        <v>1.6465E-2</v>
      </c>
      <c r="M591" s="5">
        <f t="shared" si="113"/>
        <v>5.0134142356387894</v>
      </c>
      <c r="N591" s="2">
        <f t="shared" si="114"/>
        <v>1.6728890619759889E-2</v>
      </c>
      <c r="O591">
        <f t="shared" si="115"/>
        <v>26747.046999999999</v>
      </c>
      <c r="P591">
        <f t="shared" ref="P591:P602" ca="1" si="121">ROUND(O591+$C$47+$C$49+RANDBETWEEN($B$45,$D$45) + 1,0)</f>
        <v>26752</v>
      </c>
      <c r="Q591" t="str">
        <f t="shared" ca="1" si="116"/>
        <v>0110100010000000</v>
      </c>
      <c r="R591">
        <f t="shared" ca="1" si="117"/>
        <v>5.0158469238281249</v>
      </c>
      <c r="S591">
        <f t="shared" ca="1" si="118"/>
        <v>80.190163085937513</v>
      </c>
      <c r="T591" s="1">
        <f t="shared" ca="1" si="120"/>
        <v>1.635187688133723E-2</v>
      </c>
      <c r="V591" s="4">
        <f t="shared" ca="1" si="119"/>
        <v>1.2901629999999999</v>
      </c>
      <c r="X591" s="2"/>
    </row>
    <row r="592" spans="8:24" x14ac:dyDescent="0.25">
      <c r="H592">
        <v>79</v>
      </c>
      <c r="I592">
        <v>4.937898534937414</v>
      </c>
      <c r="J592" s="4">
        <f t="shared" si="110"/>
        <v>1.1400000000000001E-4</v>
      </c>
      <c r="K592" s="9">
        <f t="shared" si="111"/>
        <v>2.9500000000000001E-4</v>
      </c>
      <c r="L592" s="4">
        <f t="shared" si="112"/>
        <v>1.6494999999999999E-2</v>
      </c>
      <c r="M592" s="5">
        <f t="shared" si="113"/>
        <v>5.0206573207329033</v>
      </c>
      <c r="N592" s="2">
        <f t="shared" si="114"/>
        <v>1.6759920279839888E-2</v>
      </c>
      <c r="O592">
        <f t="shared" si="115"/>
        <v>26785.6895</v>
      </c>
      <c r="P592">
        <f t="shared" ca="1" si="121"/>
        <v>26788</v>
      </c>
      <c r="Q592" t="str">
        <f t="shared" ca="1" si="116"/>
        <v>0110100010100100</v>
      </c>
      <c r="R592">
        <f t="shared" ca="1" si="117"/>
        <v>5.0225967178344728</v>
      </c>
      <c r="S592">
        <f t="shared" ca="1" si="118"/>
        <v>80.271160614013681</v>
      </c>
      <c r="T592" s="1">
        <f t="shared" ca="1" si="120"/>
        <v>1.6090640683717478E-2</v>
      </c>
      <c r="V592" s="4">
        <f t="shared" ca="1" si="119"/>
        <v>1.271161</v>
      </c>
      <c r="X592" s="2"/>
    </row>
    <row r="593" spans="8:24" x14ac:dyDescent="0.25">
      <c r="H593">
        <v>79.099999999999994</v>
      </c>
      <c r="I593">
        <v>4.9445004359531568</v>
      </c>
      <c r="J593" s="4">
        <f t="shared" si="110"/>
        <v>1.15E-4</v>
      </c>
      <c r="K593" s="9">
        <f t="shared" si="111"/>
        <v>2.9599999999999998E-4</v>
      </c>
      <c r="L593" s="4">
        <f t="shared" si="112"/>
        <v>1.6525999999999999E-2</v>
      </c>
      <c r="M593" s="5">
        <f t="shared" si="113"/>
        <v>5.0275273951778665</v>
      </c>
      <c r="N593" s="2">
        <f t="shared" si="114"/>
        <v>1.6791779129190127E-2</v>
      </c>
      <c r="O593">
        <f t="shared" si="115"/>
        <v>26822.342000000001</v>
      </c>
      <c r="P593">
        <f t="shared" ca="1" si="121"/>
        <v>26823</v>
      </c>
      <c r="Q593" t="str">
        <f t="shared" ca="1" si="116"/>
        <v>0110100011000111</v>
      </c>
      <c r="R593">
        <f t="shared" ca="1" si="117"/>
        <v>5.0291590175628667</v>
      </c>
      <c r="S593">
        <f t="shared" ca="1" si="118"/>
        <v>80.349908210754407</v>
      </c>
      <c r="T593" s="1">
        <f t="shared" ca="1" si="120"/>
        <v>1.5801620869208756E-2</v>
      </c>
      <c r="V593" s="4">
        <f t="shared" ca="1" si="119"/>
        <v>1.249908</v>
      </c>
      <c r="X593" s="2"/>
    </row>
    <row r="594" spans="8:24" x14ac:dyDescent="0.25">
      <c r="H594">
        <v>79.2</v>
      </c>
      <c r="I594">
        <v>4.9514941843894169</v>
      </c>
      <c r="J594" s="4">
        <f t="shared" si="110"/>
        <v>1.15E-4</v>
      </c>
      <c r="K594" s="9">
        <f t="shared" si="111"/>
        <v>2.9599999999999998E-4</v>
      </c>
      <c r="L594" s="4">
        <f t="shared" si="112"/>
        <v>1.6556000000000001E-2</v>
      </c>
      <c r="M594" s="5">
        <f t="shared" si="113"/>
        <v>5.0347922445420554</v>
      </c>
      <c r="N594" s="2">
        <f t="shared" si="114"/>
        <v>1.6822812882473424E-2</v>
      </c>
      <c r="O594">
        <f t="shared" si="115"/>
        <v>26861.100699999999</v>
      </c>
      <c r="P594">
        <f t="shared" ca="1" si="121"/>
        <v>26862</v>
      </c>
      <c r="Q594" t="str">
        <f t="shared" ca="1" si="116"/>
        <v>0110100011101110</v>
      </c>
      <c r="R594">
        <f t="shared" ca="1" si="117"/>
        <v>5.0364712944030758</v>
      </c>
      <c r="S594">
        <f t="shared" ca="1" si="118"/>
        <v>80.437655532836914</v>
      </c>
      <c r="T594" s="1">
        <f t="shared" ca="1" si="120"/>
        <v>1.5626963798445841E-2</v>
      </c>
      <c r="V594" s="4">
        <f t="shared" ca="1" si="119"/>
        <v>1.2376560000000001</v>
      </c>
      <c r="X594" s="2"/>
    </row>
    <row r="595" spans="8:24" x14ac:dyDescent="0.25">
      <c r="H595">
        <v>79.300000000000011</v>
      </c>
      <c r="I595">
        <v>4.9584976262807077</v>
      </c>
      <c r="J595" s="4">
        <f t="shared" si="110"/>
        <v>1.16E-4</v>
      </c>
      <c r="K595" s="9">
        <f t="shared" si="111"/>
        <v>2.9700000000000001E-4</v>
      </c>
      <c r="L595" s="4">
        <f t="shared" si="112"/>
        <v>1.6587000000000001E-2</v>
      </c>
      <c r="M595" s="5">
        <f t="shared" si="113"/>
        <v>5.0420715042761355</v>
      </c>
      <c r="N595" s="2">
        <f t="shared" si="114"/>
        <v>1.6854677423353993E-2</v>
      </c>
      <c r="O595">
        <f t="shared" si="115"/>
        <v>26899.936300000001</v>
      </c>
      <c r="P595">
        <f t="shared" ca="1" si="121"/>
        <v>26899</v>
      </c>
      <c r="Q595" t="str">
        <f t="shared" ca="1" si="116"/>
        <v>0110100100010011</v>
      </c>
      <c r="R595">
        <f t="shared" ca="1" si="117"/>
        <v>5.0434085826873778</v>
      </c>
      <c r="S595">
        <f t="shared" ca="1" si="118"/>
        <v>80.520902992248537</v>
      </c>
      <c r="T595" s="1">
        <f t="shared" ca="1" si="120"/>
        <v>1.5396002424319363E-2</v>
      </c>
      <c r="V595" s="4">
        <f t="shared" ca="1" si="119"/>
        <v>1.2209030000000001</v>
      </c>
      <c r="X595" s="2"/>
    </row>
    <row r="596" spans="8:24" x14ac:dyDescent="0.25">
      <c r="H596">
        <v>79.400000000000006</v>
      </c>
      <c r="I596">
        <v>4.9658893678497913</v>
      </c>
      <c r="J596" s="4">
        <f t="shared" si="110"/>
        <v>1.17E-4</v>
      </c>
      <c r="K596" s="9">
        <f t="shared" si="111"/>
        <v>2.9700000000000001E-4</v>
      </c>
      <c r="L596" s="4">
        <f t="shared" si="112"/>
        <v>1.6617E-2</v>
      </c>
      <c r="M596" s="5">
        <f t="shared" si="113"/>
        <v>5.0497409494203085</v>
      </c>
      <c r="N596" s="2">
        <f t="shared" si="114"/>
        <v>1.688551140776311E-2</v>
      </c>
      <c r="O596">
        <f t="shared" si="115"/>
        <v>26940.853500000001</v>
      </c>
      <c r="P596">
        <f t="shared" ca="1" si="121"/>
        <v>26941</v>
      </c>
      <c r="Q596" t="str">
        <f t="shared" ca="1" si="116"/>
        <v>0110100100111101</v>
      </c>
      <c r="R596">
        <f t="shared" ca="1" si="117"/>
        <v>5.05128334236145</v>
      </c>
      <c r="S596">
        <f t="shared" ca="1" si="118"/>
        <v>80.615400108337411</v>
      </c>
      <c r="T596" s="1">
        <f t="shared" ca="1" si="120"/>
        <v>1.5307306150345156E-2</v>
      </c>
      <c r="V596" s="4">
        <f t="shared" ca="1" si="119"/>
        <v>1.2154</v>
      </c>
      <c r="X596" s="2"/>
    </row>
    <row r="597" spans="8:24" x14ac:dyDescent="0.25">
      <c r="H597">
        <v>79.5</v>
      </c>
      <c r="I597">
        <v>4.9725331752448589</v>
      </c>
      <c r="J597" s="4">
        <f t="shared" si="110"/>
        <v>1.17E-4</v>
      </c>
      <c r="K597" s="9">
        <f t="shared" si="111"/>
        <v>2.9799999999999998E-4</v>
      </c>
      <c r="L597" s="4">
        <f t="shared" si="112"/>
        <v>1.6648E-2</v>
      </c>
      <c r="M597" s="5">
        <f t="shared" si="113"/>
        <v>5.056656425838213</v>
      </c>
      <c r="N597" s="2">
        <f t="shared" si="114"/>
        <v>1.6917584584885469E-2</v>
      </c>
      <c r="O597">
        <f t="shared" si="115"/>
        <v>26977.748200000002</v>
      </c>
      <c r="P597">
        <f t="shared" ca="1" si="121"/>
        <v>26976</v>
      </c>
      <c r="Q597" t="str">
        <f t="shared" ca="1" si="116"/>
        <v>0110100101100000</v>
      </c>
      <c r="R597">
        <f t="shared" ca="1" si="117"/>
        <v>5.0578456420898439</v>
      </c>
      <c r="S597">
        <f t="shared" ca="1" si="118"/>
        <v>80.694147705078137</v>
      </c>
      <c r="T597" s="1">
        <f t="shared" ca="1" si="120"/>
        <v>1.5020725850039463E-2</v>
      </c>
      <c r="V597" s="4">
        <f t="shared" ca="1" si="119"/>
        <v>1.194148</v>
      </c>
      <c r="X597" s="2"/>
    </row>
    <row r="598" spans="8:24" x14ac:dyDescent="0.25">
      <c r="H598">
        <v>79.599999999999994</v>
      </c>
      <c r="I598">
        <v>4.9795650755986109</v>
      </c>
      <c r="J598" s="4">
        <f t="shared" si="110"/>
        <v>1.18E-4</v>
      </c>
      <c r="K598" s="9">
        <f t="shared" si="111"/>
        <v>2.9799999999999998E-4</v>
      </c>
      <c r="L598" s="4">
        <f t="shared" si="112"/>
        <v>1.6677999999999998E-2</v>
      </c>
      <c r="M598" s="5">
        <f t="shared" si="113"/>
        <v>5.0639608472856414</v>
      </c>
      <c r="N598" s="2">
        <f t="shared" si="114"/>
        <v>1.6948422283021371E-2</v>
      </c>
      <c r="O598">
        <f t="shared" si="115"/>
        <v>27016.718000000001</v>
      </c>
      <c r="P598">
        <f t="shared" ca="1" si="121"/>
        <v>27016</v>
      </c>
      <c r="Q598" t="str">
        <f t="shared" ca="1" si="116"/>
        <v>0110100110001000</v>
      </c>
      <c r="R598">
        <f t="shared" ca="1" si="117"/>
        <v>5.065345413208008</v>
      </c>
      <c r="S598">
        <f t="shared" ca="1" si="118"/>
        <v>80.7841449584961</v>
      </c>
      <c r="T598" s="1">
        <f t="shared" ca="1" si="120"/>
        <v>1.4876192945930974E-2</v>
      </c>
      <c r="V598" s="4">
        <f t="shared" ca="1" si="119"/>
        <v>1.184145</v>
      </c>
      <c r="X598" s="2"/>
    </row>
    <row r="599" spans="8:24" x14ac:dyDescent="0.25">
      <c r="H599">
        <v>79.7</v>
      </c>
      <c r="I599">
        <v>4.9866062559969251</v>
      </c>
      <c r="J599" s="4">
        <f t="shared" si="110"/>
        <v>1.18E-4</v>
      </c>
      <c r="K599" s="9">
        <f t="shared" si="111"/>
        <v>2.99E-4</v>
      </c>
      <c r="L599" s="4">
        <f t="shared" si="112"/>
        <v>1.6709000000000002E-2</v>
      </c>
      <c r="M599" s="5">
        <f t="shared" si="113"/>
        <v>5.071281326560424</v>
      </c>
      <c r="N599" s="2">
        <f t="shared" si="114"/>
        <v>1.6980500608338202E-2</v>
      </c>
      <c r="O599">
        <f t="shared" si="115"/>
        <v>27055.773499999999</v>
      </c>
      <c r="P599">
        <f t="shared" ca="1" si="121"/>
        <v>27060</v>
      </c>
      <c r="Q599" t="str">
        <f t="shared" ca="1" si="116"/>
        <v>0110100110110100</v>
      </c>
      <c r="R599">
        <f t="shared" ca="1" si="117"/>
        <v>5.0735951614379884</v>
      </c>
      <c r="S599">
        <f t="shared" ca="1" si="118"/>
        <v>80.883141937255871</v>
      </c>
      <c r="T599" s="1">
        <f t="shared" ca="1" si="120"/>
        <v>1.484494275101466E-2</v>
      </c>
      <c r="V599" s="4">
        <f t="shared" ca="1" si="119"/>
        <v>1.1831419999999999</v>
      </c>
      <c r="X599" s="2"/>
    </row>
    <row r="600" spans="8:24" x14ac:dyDescent="0.25">
      <c r="H600">
        <v>79.800000000000011</v>
      </c>
      <c r="I600">
        <v>4.9936566138811109</v>
      </c>
      <c r="J600" s="4">
        <f t="shared" si="110"/>
        <v>1.1900000000000001E-4</v>
      </c>
      <c r="K600" s="9">
        <f t="shared" si="111"/>
        <v>2.99E-4</v>
      </c>
      <c r="L600" s="4">
        <f t="shared" si="112"/>
        <v>1.6739E-2</v>
      </c>
      <c r="M600" s="5">
        <f t="shared" si="113"/>
        <v>5.0786054191299268</v>
      </c>
      <c r="N600" s="2">
        <f t="shared" si="114"/>
        <v>1.7011342953113663E-2</v>
      </c>
      <c r="O600">
        <f t="shared" si="115"/>
        <v>27094.8482</v>
      </c>
      <c r="P600">
        <f t="shared" ca="1" si="121"/>
        <v>27098</v>
      </c>
      <c r="Q600" t="str">
        <f t="shared" ca="1" si="116"/>
        <v>0110100111011010</v>
      </c>
      <c r="R600">
        <f t="shared" ca="1" si="117"/>
        <v>5.0807199440002444</v>
      </c>
      <c r="S600">
        <f t="shared" ca="1" si="118"/>
        <v>80.968639328002936</v>
      </c>
      <c r="T600" s="1">
        <f t="shared" ca="1" si="120"/>
        <v>1.4644603107806076E-2</v>
      </c>
      <c r="V600" s="4">
        <f t="shared" ca="1" si="119"/>
        <v>1.168639</v>
      </c>
      <c r="X600" s="2"/>
    </row>
    <row r="601" spans="8:24" x14ac:dyDescent="0.25">
      <c r="H601">
        <v>79.900000000000006</v>
      </c>
      <c r="I601">
        <v>5.0003414789903164</v>
      </c>
      <c r="J601" s="4">
        <f t="shared" si="110"/>
        <v>1.1900000000000001E-4</v>
      </c>
      <c r="K601" s="9">
        <f t="shared" si="111"/>
        <v>2.9999999999999997E-4</v>
      </c>
      <c r="L601" s="4">
        <f t="shared" si="112"/>
        <v>1.677E-2</v>
      </c>
      <c r="M601" s="5">
        <f t="shared" si="113"/>
        <v>5.085564421681922</v>
      </c>
      <c r="N601" s="2">
        <f t="shared" si="114"/>
        <v>1.7043424544040148E-2</v>
      </c>
      <c r="O601">
        <f t="shared" si="115"/>
        <v>27131.975200000001</v>
      </c>
      <c r="P601">
        <f t="shared" ca="1" si="121"/>
        <v>27133</v>
      </c>
      <c r="Q601" t="str">
        <f t="shared" ca="1" si="116"/>
        <v>0110100111111101</v>
      </c>
      <c r="R601">
        <f t="shared" ca="1" si="117"/>
        <v>5.0872822437286374</v>
      </c>
      <c r="S601">
        <f t="shared" ca="1" si="118"/>
        <v>81.047386924743662</v>
      </c>
      <c r="T601" s="1">
        <f t="shared" ca="1" si="120"/>
        <v>1.4360286917943138E-2</v>
      </c>
      <c r="V601" s="4">
        <f t="shared" ca="1" si="119"/>
        <v>1.1473869999999999</v>
      </c>
      <c r="X601" s="2"/>
    </row>
    <row r="602" spans="8:24" x14ac:dyDescent="0.25">
      <c r="H602">
        <v>80</v>
      </c>
      <c r="I602">
        <v>5.0022676892994067</v>
      </c>
      <c r="J602" s="4">
        <f t="shared" si="110"/>
        <v>1.2E-4</v>
      </c>
      <c r="K602" s="9">
        <f t="shared" si="111"/>
        <v>2.9999999999999997E-4</v>
      </c>
      <c r="L602" s="4">
        <f t="shared" si="112"/>
        <v>1.6799999999999999E-2</v>
      </c>
      <c r="M602" s="5">
        <f t="shared" si="113"/>
        <v>5.08767770026384</v>
      </c>
      <c r="N602" s="2">
        <f t="shared" si="114"/>
        <v>1.7074258370286349E-2</v>
      </c>
      <c r="O602">
        <f t="shared" si="115"/>
        <v>27143.2497</v>
      </c>
      <c r="P602">
        <f t="shared" ca="1" si="121"/>
        <v>27147</v>
      </c>
      <c r="Q602" t="str">
        <f t="shared" ca="1" si="116"/>
        <v>0110101000001011</v>
      </c>
      <c r="R602">
        <f t="shared" ca="1" si="117"/>
        <v>5.0899071636199951</v>
      </c>
      <c r="S602">
        <f t="shared" ca="1" si="118"/>
        <v>81.078885963439944</v>
      </c>
      <c r="T602" s="1">
        <f t="shared" ca="1" si="120"/>
        <v>1.3486074542999304E-2</v>
      </c>
      <c r="V602" s="4">
        <f t="shared" ca="1" si="119"/>
        <v>1.078886</v>
      </c>
      <c r="X602" s="2"/>
    </row>
  </sheetData>
  <mergeCells count="5">
    <mergeCell ref="A43:E43"/>
    <mergeCell ref="A2:E2"/>
    <mergeCell ref="A8:E8"/>
    <mergeCell ref="E23:E24"/>
    <mergeCell ref="A32:E3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Cal_NTC</vt:lpstr>
      <vt:lpstr>Cal_Error</vt:lpstr>
      <vt:lpstr>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cp:lastPrinted>2025-11-29T04:36:41Z</cp:lastPrinted>
  <dcterms:created xsi:type="dcterms:W3CDTF">2025-11-26T07:35:39Z</dcterms:created>
  <dcterms:modified xsi:type="dcterms:W3CDTF">2025-11-29T09:04:00Z</dcterms:modified>
</cp:coreProperties>
</file>