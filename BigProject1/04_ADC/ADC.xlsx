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ocument_forme\project_tiny\Cource_report\DTUD\BigProject1\04_ADC\"/>
    </mc:Choice>
  </mc:AlternateContent>
  <xr:revisionPtr revIDLastSave="0" documentId="13_ncr:1_{E7EA3F49-FA68-47E5-9406-3A07918AA8C4}" xr6:coauthVersionLast="47" xr6:coauthVersionMax="47" xr10:uidLastSave="{00000000-0000-0000-0000-000000000000}"/>
  <bookViews>
    <workbookView xWindow="-120" yWindow="-120" windowWidth="29040" windowHeight="15720" activeTab="2" xr2:uid="{E6E4C7D1-E780-4FA1-B8FF-60F1C49D2116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3" l="1"/>
  <c r="O10" i="3"/>
  <c r="L5" i="3"/>
  <c r="J2" i="3"/>
  <c r="Z3" i="3"/>
  <c r="Z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X243" i="3"/>
  <c r="X244" i="3"/>
  <c r="X245" i="3"/>
  <c r="X246" i="3"/>
  <c r="X247" i="3"/>
  <c r="X248" i="3"/>
  <c r="X249" i="3"/>
  <c r="X250" i="3"/>
  <c r="X251" i="3"/>
  <c r="X252" i="3"/>
  <c r="X253" i="3"/>
  <c r="X254" i="3"/>
  <c r="X255" i="3"/>
  <c r="X256" i="3"/>
  <c r="X257" i="3"/>
  <c r="X258" i="3"/>
  <c r="X259" i="3"/>
  <c r="X260" i="3"/>
  <c r="X261" i="3"/>
  <c r="X262" i="3"/>
  <c r="X263" i="3"/>
  <c r="X264" i="3"/>
  <c r="X265" i="3"/>
  <c r="X266" i="3"/>
  <c r="X267" i="3"/>
  <c r="X268" i="3"/>
  <c r="X269" i="3"/>
  <c r="X270" i="3"/>
  <c r="X271" i="3"/>
  <c r="X272" i="3"/>
  <c r="X273" i="3"/>
  <c r="X274" i="3"/>
  <c r="X275" i="3"/>
  <c r="X276" i="3"/>
  <c r="X277" i="3"/>
  <c r="X278" i="3"/>
  <c r="X279" i="3"/>
  <c r="X280" i="3"/>
  <c r="X281" i="3"/>
  <c r="X282" i="3"/>
  <c r="X283" i="3"/>
  <c r="X284" i="3"/>
  <c r="X285" i="3"/>
  <c r="X286" i="3"/>
  <c r="X287" i="3"/>
  <c r="X288" i="3"/>
  <c r="X289" i="3"/>
  <c r="X290" i="3"/>
  <c r="X291" i="3"/>
  <c r="X292" i="3"/>
  <c r="X293" i="3"/>
  <c r="X294" i="3"/>
  <c r="X295" i="3"/>
  <c r="X296" i="3"/>
  <c r="X297" i="3"/>
  <c r="X298" i="3"/>
  <c r="X299" i="3"/>
  <c r="X300" i="3"/>
  <c r="X301" i="3"/>
  <c r="X302" i="3"/>
  <c r="X303" i="3"/>
  <c r="X304" i="3"/>
  <c r="X305" i="3"/>
  <c r="X306" i="3"/>
  <c r="X307" i="3"/>
  <c r="X308" i="3"/>
  <c r="X309" i="3"/>
  <c r="X310" i="3"/>
  <c r="X311" i="3"/>
  <c r="X312" i="3"/>
  <c r="X313" i="3"/>
  <c r="X314" i="3"/>
  <c r="X315" i="3"/>
  <c r="X316" i="3"/>
  <c r="X317" i="3"/>
  <c r="X318" i="3"/>
  <c r="X319" i="3"/>
  <c r="X320" i="3"/>
  <c r="X321" i="3"/>
  <c r="X322" i="3"/>
  <c r="X323" i="3"/>
  <c r="X324" i="3"/>
  <c r="X325" i="3"/>
  <c r="X326" i="3"/>
  <c r="X327" i="3"/>
  <c r="X328" i="3"/>
  <c r="X329" i="3"/>
  <c r="X330" i="3"/>
  <c r="X331" i="3"/>
  <c r="X332" i="3"/>
  <c r="X333" i="3"/>
  <c r="X334" i="3"/>
  <c r="X335" i="3"/>
  <c r="X336" i="3"/>
  <c r="X337" i="3"/>
  <c r="X338" i="3"/>
  <c r="X339" i="3"/>
  <c r="X340" i="3"/>
  <c r="X341" i="3"/>
  <c r="X342" i="3"/>
  <c r="X343" i="3"/>
  <c r="X344" i="3"/>
  <c r="X345" i="3"/>
  <c r="X346" i="3"/>
  <c r="X347" i="3"/>
  <c r="X348" i="3"/>
  <c r="X349" i="3"/>
  <c r="X350" i="3"/>
  <c r="X351" i="3"/>
  <c r="X352" i="3"/>
  <c r="X353" i="3"/>
  <c r="X354" i="3"/>
  <c r="X355" i="3"/>
  <c r="X356" i="3"/>
  <c r="X357" i="3"/>
  <c r="X358" i="3"/>
  <c r="X359" i="3"/>
  <c r="X360" i="3"/>
  <c r="X361" i="3"/>
  <c r="X362" i="3"/>
  <c r="X363" i="3"/>
  <c r="X364" i="3"/>
  <c r="X365" i="3"/>
  <c r="X366" i="3"/>
  <c r="X367" i="3"/>
  <c r="X368" i="3"/>
  <c r="X369" i="3"/>
  <c r="X370" i="3"/>
  <c r="X371" i="3"/>
  <c r="X372" i="3"/>
  <c r="X373" i="3"/>
  <c r="X374" i="3"/>
  <c r="X375" i="3"/>
  <c r="X376" i="3"/>
  <c r="X377" i="3"/>
  <c r="X378" i="3"/>
  <c r="X379" i="3"/>
  <c r="X380" i="3"/>
  <c r="X381" i="3"/>
  <c r="X382" i="3"/>
  <c r="X383" i="3"/>
  <c r="X384" i="3"/>
  <c r="X385" i="3"/>
  <c r="X386" i="3"/>
  <c r="X387" i="3"/>
  <c r="X388" i="3"/>
  <c r="X389" i="3"/>
  <c r="X390" i="3"/>
  <c r="X391" i="3"/>
  <c r="X392" i="3"/>
  <c r="X393" i="3"/>
  <c r="X394" i="3"/>
  <c r="X395" i="3"/>
  <c r="X396" i="3"/>
  <c r="X397" i="3"/>
  <c r="X398" i="3"/>
  <c r="X399" i="3"/>
  <c r="X400" i="3"/>
  <c r="X401" i="3"/>
  <c r="X402" i="3"/>
  <c r="X403" i="3"/>
  <c r="X404" i="3"/>
  <c r="X405" i="3"/>
  <c r="X406" i="3"/>
  <c r="X407" i="3"/>
  <c r="X408" i="3"/>
  <c r="X409" i="3"/>
  <c r="X410" i="3"/>
  <c r="X411" i="3"/>
  <c r="X412" i="3"/>
  <c r="X413" i="3"/>
  <c r="X414" i="3"/>
  <c r="X415" i="3"/>
  <c r="X416" i="3"/>
  <c r="X417" i="3"/>
  <c r="X418" i="3"/>
  <c r="X419" i="3"/>
  <c r="X420" i="3"/>
  <c r="X421" i="3"/>
  <c r="X422" i="3"/>
  <c r="X423" i="3"/>
  <c r="X424" i="3"/>
  <c r="X425" i="3"/>
  <c r="X426" i="3"/>
  <c r="X427" i="3"/>
  <c r="X428" i="3"/>
  <c r="X429" i="3"/>
  <c r="X430" i="3"/>
  <c r="X431" i="3"/>
  <c r="X432" i="3"/>
  <c r="X433" i="3"/>
  <c r="X434" i="3"/>
  <c r="X435" i="3"/>
  <c r="X436" i="3"/>
  <c r="X437" i="3"/>
  <c r="X438" i="3"/>
  <c r="X439" i="3"/>
  <c r="X440" i="3"/>
  <c r="X441" i="3"/>
  <c r="X442" i="3"/>
  <c r="X443" i="3"/>
  <c r="X444" i="3"/>
  <c r="X445" i="3"/>
  <c r="X446" i="3"/>
  <c r="X447" i="3"/>
  <c r="X448" i="3"/>
  <c r="X449" i="3"/>
  <c r="X450" i="3"/>
  <c r="X451" i="3"/>
  <c r="X452" i="3"/>
  <c r="X453" i="3"/>
  <c r="X454" i="3"/>
  <c r="X455" i="3"/>
  <c r="X456" i="3"/>
  <c r="X457" i="3"/>
  <c r="X458" i="3"/>
  <c r="X459" i="3"/>
  <c r="X460" i="3"/>
  <c r="X461" i="3"/>
  <c r="X462" i="3"/>
  <c r="X463" i="3"/>
  <c r="X464" i="3"/>
  <c r="X465" i="3"/>
  <c r="X466" i="3"/>
  <c r="X467" i="3"/>
  <c r="X468" i="3"/>
  <c r="X469" i="3"/>
  <c r="X470" i="3"/>
  <c r="X471" i="3"/>
  <c r="X472" i="3"/>
  <c r="X473" i="3"/>
  <c r="X474" i="3"/>
  <c r="X475" i="3"/>
  <c r="X476" i="3"/>
  <c r="X477" i="3"/>
  <c r="X478" i="3"/>
  <c r="X479" i="3"/>
  <c r="X480" i="3"/>
  <c r="X481" i="3"/>
  <c r="X482" i="3"/>
  <c r="X483" i="3"/>
  <c r="X484" i="3"/>
  <c r="X485" i="3"/>
  <c r="X486" i="3"/>
  <c r="X487" i="3"/>
  <c r="X488" i="3"/>
  <c r="X489" i="3"/>
  <c r="X490" i="3"/>
  <c r="X491" i="3"/>
  <c r="X492" i="3"/>
  <c r="X493" i="3"/>
  <c r="X494" i="3"/>
  <c r="X495" i="3"/>
  <c r="X496" i="3"/>
  <c r="X497" i="3"/>
  <c r="X498" i="3"/>
  <c r="X499" i="3"/>
  <c r="X500" i="3"/>
  <c r="X501" i="3"/>
  <c r="X502" i="3"/>
  <c r="X503" i="3"/>
  <c r="X504" i="3"/>
  <c r="X505" i="3"/>
  <c r="X506" i="3"/>
  <c r="X507" i="3"/>
  <c r="X508" i="3"/>
  <c r="X509" i="3"/>
  <c r="X510" i="3"/>
  <c r="X511" i="3"/>
  <c r="X512" i="3"/>
  <c r="X513" i="3"/>
  <c r="X514" i="3"/>
  <c r="X515" i="3"/>
  <c r="X516" i="3"/>
  <c r="X517" i="3"/>
  <c r="X518" i="3"/>
  <c r="X519" i="3"/>
  <c r="X520" i="3"/>
  <c r="X521" i="3"/>
  <c r="X522" i="3"/>
  <c r="X523" i="3"/>
  <c r="X524" i="3"/>
  <c r="X525" i="3"/>
  <c r="X526" i="3"/>
  <c r="X527" i="3"/>
  <c r="X528" i="3"/>
  <c r="X529" i="3"/>
  <c r="X530" i="3"/>
  <c r="X531" i="3"/>
  <c r="X532" i="3"/>
  <c r="X533" i="3"/>
  <c r="X534" i="3"/>
  <c r="X535" i="3"/>
  <c r="X536" i="3"/>
  <c r="X537" i="3"/>
  <c r="X538" i="3"/>
  <c r="X539" i="3"/>
  <c r="X540" i="3"/>
  <c r="X541" i="3"/>
  <c r="X542" i="3"/>
  <c r="X543" i="3"/>
  <c r="X544" i="3"/>
  <c r="X545" i="3"/>
  <c r="X546" i="3"/>
  <c r="X547" i="3"/>
  <c r="X548" i="3"/>
  <c r="X549" i="3"/>
  <c r="X550" i="3"/>
  <c r="X551" i="3"/>
  <c r="X552" i="3"/>
  <c r="X553" i="3"/>
  <c r="X554" i="3"/>
  <c r="X555" i="3"/>
  <c r="X556" i="3"/>
  <c r="X557" i="3"/>
  <c r="X558" i="3"/>
  <c r="X559" i="3"/>
  <c r="X560" i="3"/>
  <c r="X561" i="3"/>
  <c r="X562" i="3"/>
  <c r="X563" i="3"/>
  <c r="X564" i="3"/>
  <c r="X565" i="3"/>
  <c r="X566" i="3"/>
  <c r="X567" i="3"/>
  <c r="X568" i="3"/>
  <c r="X569" i="3"/>
  <c r="X570" i="3"/>
  <c r="X571" i="3"/>
  <c r="X572" i="3"/>
  <c r="X573" i="3"/>
  <c r="X574" i="3"/>
  <c r="X575" i="3"/>
  <c r="X576" i="3"/>
  <c r="X577" i="3"/>
  <c r="X578" i="3"/>
  <c r="X579" i="3"/>
  <c r="X580" i="3"/>
  <c r="X581" i="3"/>
  <c r="X582" i="3"/>
  <c r="X583" i="3"/>
  <c r="X584" i="3"/>
  <c r="X585" i="3"/>
  <c r="X586" i="3"/>
  <c r="X587" i="3"/>
  <c r="X588" i="3"/>
  <c r="X589" i="3"/>
  <c r="X590" i="3"/>
  <c r="X591" i="3"/>
  <c r="X592" i="3"/>
  <c r="X593" i="3"/>
  <c r="X594" i="3"/>
  <c r="X595" i="3"/>
  <c r="X596" i="3"/>
  <c r="X597" i="3"/>
  <c r="X598" i="3"/>
  <c r="X599" i="3"/>
  <c r="X600" i="3"/>
  <c r="X601" i="3"/>
  <c r="X602" i="3"/>
  <c r="X2" i="3"/>
  <c r="W2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W305" i="3"/>
  <c r="W306" i="3"/>
  <c r="W307" i="3"/>
  <c r="W308" i="3"/>
  <c r="W309" i="3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W362" i="3"/>
  <c r="W363" i="3"/>
  <c r="W364" i="3"/>
  <c r="W365" i="3"/>
  <c r="W366" i="3"/>
  <c r="W367" i="3"/>
  <c r="W368" i="3"/>
  <c r="W369" i="3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W414" i="3"/>
  <c r="W415" i="3"/>
  <c r="W416" i="3"/>
  <c r="W417" i="3"/>
  <c r="W418" i="3"/>
  <c r="W419" i="3"/>
  <c r="W420" i="3"/>
  <c r="W421" i="3"/>
  <c r="W422" i="3"/>
  <c r="W423" i="3"/>
  <c r="W424" i="3"/>
  <c r="W425" i="3"/>
  <c r="W426" i="3"/>
  <c r="W427" i="3"/>
  <c r="W428" i="3"/>
  <c r="W429" i="3"/>
  <c r="W430" i="3"/>
  <c r="W431" i="3"/>
  <c r="W432" i="3"/>
  <c r="W433" i="3"/>
  <c r="W434" i="3"/>
  <c r="W435" i="3"/>
  <c r="W436" i="3"/>
  <c r="W437" i="3"/>
  <c r="W438" i="3"/>
  <c r="W439" i="3"/>
  <c r="W440" i="3"/>
  <c r="W441" i="3"/>
  <c r="W442" i="3"/>
  <c r="W443" i="3"/>
  <c r="W444" i="3"/>
  <c r="W445" i="3"/>
  <c r="W446" i="3"/>
  <c r="W447" i="3"/>
  <c r="W448" i="3"/>
  <c r="W449" i="3"/>
  <c r="W450" i="3"/>
  <c r="W451" i="3"/>
  <c r="W452" i="3"/>
  <c r="W453" i="3"/>
  <c r="W454" i="3"/>
  <c r="W455" i="3"/>
  <c r="W456" i="3"/>
  <c r="W457" i="3"/>
  <c r="W458" i="3"/>
  <c r="W459" i="3"/>
  <c r="W460" i="3"/>
  <c r="W461" i="3"/>
  <c r="W462" i="3"/>
  <c r="W463" i="3"/>
  <c r="W464" i="3"/>
  <c r="W465" i="3"/>
  <c r="W466" i="3"/>
  <c r="W467" i="3"/>
  <c r="W468" i="3"/>
  <c r="W469" i="3"/>
  <c r="W470" i="3"/>
  <c r="W471" i="3"/>
  <c r="W472" i="3"/>
  <c r="W473" i="3"/>
  <c r="W474" i="3"/>
  <c r="W475" i="3"/>
  <c r="W476" i="3"/>
  <c r="W477" i="3"/>
  <c r="W478" i="3"/>
  <c r="W479" i="3"/>
  <c r="W480" i="3"/>
  <c r="W481" i="3"/>
  <c r="W482" i="3"/>
  <c r="W483" i="3"/>
  <c r="W484" i="3"/>
  <c r="W485" i="3"/>
  <c r="W486" i="3"/>
  <c r="W487" i="3"/>
  <c r="W488" i="3"/>
  <c r="W489" i="3"/>
  <c r="W490" i="3"/>
  <c r="W491" i="3"/>
  <c r="W492" i="3"/>
  <c r="W493" i="3"/>
  <c r="W494" i="3"/>
  <c r="W495" i="3"/>
  <c r="W496" i="3"/>
  <c r="W497" i="3"/>
  <c r="W498" i="3"/>
  <c r="W499" i="3"/>
  <c r="W500" i="3"/>
  <c r="W501" i="3"/>
  <c r="W502" i="3"/>
  <c r="W503" i="3"/>
  <c r="W504" i="3"/>
  <c r="W505" i="3"/>
  <c r="W506" i="3"/>
  <c r="W507" i="3"/>
  <c r="W508" i="3"/>
  <c r="W509" i="3"/>
  <c r="W510" i="3"/>
  <c r="W511" i="3"/>
  <c r="W512" i="3"/>
  <c r="W513" i="3"/>
  <c r="W514" i="3"/>
  <c r="W515" i="3"/>
  <c r="W516" i="3"/>
  <c r="W517" i="3"/>
  <c r="W518" i="3"/>
  <c r="W519" i="3"/>
  <c r="W520" i="3"/>
  <c r="W521" i="3"/>
  <c r="W522" i="3"/>
  <c r="W523" i="3"/>
  <c r="W524" i="3"/>
  <c r="W525" i="3"/>
  <c r="W526" i="3"/>
  <c r="W527" i="3"/>
  <c r="W528" i="3"/>
  <c r="W529" i="3"/>
  <c r="W530" i="3"/>
  <c r="W531" i="3"/>
  <c r="W532" i="3"/>
  <c r="W533" i="3"/>
  <c r="W534" i="3"/>
  <c r="W535" i="3"/>
  <c r="W536" i="3"/>
  <c r="W537" i="3"/>
  <c r="W538" i="3"/>
  <c r="W539" i="3"/>
  <c r="W540" i="3"/>
  <c r="W541" i="3"/>
  <c r="W542" i="3"/>
  <c r="W543" i="3"/>
  <c r="W544" i="3"/>
  <c r="W545" i="3"/>
  <c r="W546" i="3"/>
  <c r="W547" i="3"/>
  <c r="W548" i="3"/>
  <c r="W549" i="3"/>
  <c r="W550" i="3"/>
  <c r="W551" i="3"/>
  <c r="W552" i="3"/>
  <c r="W553" i="3"/>
  <c r="W554" i="3"/>
  <c r="W555" i="3"/>
  <c r="W556" i="3"/>
  <c r="W557" i="3"/>
  <c r="W558" i="3"/>
  <c r="W559" i="3"/>
  <c r="W560" i="3"/>
  <c r="W561" i="3"/>
  <c r="W562" i="3"/>
  <c r="W563" i="3"/>
  <c r="W564" i="3"/>
  <c r="W565" i="3"/>
  <c r="W566" i="3"/>
  <c r="W567" i="3"/>
  <c r="W568" i="3"/>
  <c r="W569" i="3"/>
  <c r="W570" i="3"/>
  <c r="W571" i="3"/>
  <c r="W572" i="3"/>
  <c r="W573" i="3"/>
  <c r="W574" i="3"/>
  <c r="W575" i="3"/>
  <c r="W576" i="3"/>
  <c r="W577" i="3"/>
  <c r="W578" i="3"/>
  <c r="W579" i="3"/>
  <c r="W580" i="3"/>
  <c r="W581" i="3"/>
  <c r="W582" i="3"/>
  <c r="W583" i="3"/>
  <c r="W584" i="3"/>
  <c r="W585" i="3"/>
  <c r="W586" i="3"/>
  <c r="W587" i="3"/>
  <c r="W588" i="3"/>
  <c r="W589" i="3"/>
  <c r="W590" i="3"/>
  <c r="W591" i="3"/>
  <c r="W592" i="3"/>
  <c r="W593" i="3"/>
  <c r="W594" i="3"/>
  <c r="W595" i="3"/>
  <c r="W596" i="3"/>
  <c r="W597" i="3"/>
  <c r="W598" i="3"/>
  <c r="W599" i="3"/>
  <c r="W600" i="3"/>
  <c r="W601" i="3"/>
  <c r="W602" i="3"/>
  <c r="W3" i="3"/>
  <c r="W4" i="3"/>
  <c r="W5" i="3"/>
  <c r="W6" i="3"/>
  <c r="W7" i="3"/>
  <c r="W8" i="3"/>
  <c r="W9" i="3"/>
  <c r="W10" i="3"/>
  <c r="I2" i="3"/>
  <c r="L18" i="3"/>
  <c r="C16" i="3"/>
  <c r="D35" i="3"/>
  <c r="D36" i="3"/>
  <c r="D37" i="3"/>
  <c r="D38" i="3"/>
  <c r="D39" i="3"/>
  <c r="D40" i="3"/>
  <c r="D41" i="3"/>
  <c r="D34" i="3"/>
  <c r="C49" i="3"/>
  <c r="C47" i="3"/>
  <c r="C15" i="3"/>
  <c r="B15" i="3"/>
  <c r="O336" i="3"/>
  <c r="P336" i="3" s="1"/>
  <c r="Q336" i="3" s="1"/>
  <c r="O360" i="3"/>
  <c r="P360" i="3" s="1"/>
  <c r="Q360" i="3" s="1"/>
  <c r="L2" i="3"/>
  <c r="N25" i="3"/>
  <c r="N43" i="3"/>
  <c r="N45" i="3"/>
  <c r="N61" i="3"/>
  <c r="N85" i="3"/>
  <c r="N91" i="3"/>
  <c r="N107" i="3"/>
  <c r="N109" i="3"/>
  <c r="N125" i="3"/>
  <c r="N149" i="3"/>
  <c r="N155" i="3"/>
  <c r="N171" i="3"/>
  <c r="N173" i="3"/>
  <c r="N189" i="3"/>
  <c r="N213" i="3"/>
  <c r="N219" i="3"/>
  <c r="N235" i="3"/>
  <c r="N237" i="3"/>
  <c r="N253" i="3"/>
  <c r="N277" i="3"/>
  <c r="N283" i="3"/>
  <c r="N299" i="3"/>
  <c r="N301" i="3"/>
  <c r="N317" i="3"/>
  <c r="N341" i="3"/>
  <c r="N347" i="3"/>
  <c r="N363" i="3"/>
  <c r="N365" i="3"/>
  <c r="N381" i="3"/>
  <c r="N405" i="3"/>
  <c r="N420" i="3"/>
  <c r="N421" i="3"/>
  <c r="N437" i="3"/>
  <c r="N453" i="3"/>
  <c r="N469" i="3"/>
  <c r="N485" i="3"/>
  <c r="N501" i="3"/>
  <c r="N517" i="3"/>
  <c r="N529" i="3"/>
  <c r="N531" i="3"/>
  <c r="N537" i="3"/>
  <c r="N539" i="3"/>
  <c r="N545" i="3"/>
  <c r="N547" i="3"/>
  <c r="N553" i="3"/>
  <c r="N555" i="3"/>
  <c r="N561" i="3"/>
  <c r="N563" i="3"/>
  <c r="N569" i="3"/>
  <c r="N571" i="3"/>
  <c r="N577" i="3"/>
  <c r="N579" i="3"/>
  <c r="N585" i="3"/>
  <c r="N587" i="3"/>
  <c r="N593" i="3"/>
  <c r="N595" i="3"/>
  <c r="N601" i="3"/>
  <c r="M4" i="3"/>
  <c r="N4" i="3" s="1"/>
  <c r="M5" i="3"/>
  <c r="N5" i="3" s="1"/>
  <c r="M6" i="3"/>
  <c r="N6" i="3" s="1"/>
  <c r="M7" i="3"/>
  <c r="N7" i="3" s="1"/>
  <c r="M8" i="3"/>
  <c r="N8" i="3" s="1"/>
  <c r="M9" i="3"/>
  <c r="N9" i="3" s="1"/>
  <c r="M10" i="3"/>
  <c r="N10" i="3" s="1"/>
  <c r="M11" i="3"/>
  <c r="N11" i="3" s="1"/>
  <c r="M12" i="3"/>
  <c r="N12" i="3" s="1"/>
  <c r="M13" i="3"/>
  <c r="N13" i="3" s="1"/>
  <c r="M14" i="3"/>
  <c r="N14" i="3" s="1"/>
  <c r="M15" i="3"/>
  <c r="N15" i="3" s="1"/>
  <c r="M16" i="3"/>
  <c r="N16" i="3" s="1"/>
  <c r="M17" i="3"/>
  <c r="N17" i="3" s="1"/>
  <c r="M18" i="3"/>
  <c r="N18" i="3" s="1"/>
  <c r="M19" i="3"/>
  <c r="N19" i="3" s="1"/>
  <c r="M20" i="3"/>
  <c r="N20" i="3" s="1"/>
  <c r="M21" i="3"/>
  <c r="N21" i="3" s="1"/>
  <c r="M22" i="3"/>
  <c r="N22" i="3" s="1"/>
  <c r="M23" i="3"/>
  <c r="N23" i="3" s="1"/>
  <c r="M24" i="3"/>
  <c r="N24" i="3" s="1"/>
  <c r="M25" i="3"/>
  <c r="M26" i="3"/>
  <c r="N26" i="3" s="1"/>
  <c r="M27" i="3"/>
  <c r="N27" i="3" s="1"/>
  <c r="M28" i="3"/>
  <c r="N28" i="3" s="1"/>
  <c r="M29" i="3"/>
  <c r="N29" i="3" s="1"/>
  <c r="M30" i="3"/>
  <c r="N30" i="3" s="1"/>
  <c r="M31" i="3"/>
  <c r="N31" i="3" s="1"/>
  <c r="M32" i="3"/>
  <c r="N32" i="3" s="1"/>
  <c r="M33" i="3"/>
  <c r="N33" i="3" s="1"/>
  <c r="M34" i="3"/>
  <c r="N34" i="3" s="1"/>
  <c r="M35" i="3"/>
  <c r="N35" i="3" s="1"/>
  <c r="M36" i="3"/>
  <c r="N36" i="3" s="1"/>
  <c r="M37" i="3"/>
  <c r="N37" i="3" s="1"/>
  <c r="M38" i="3"/>
  <c r="N38" i="3" s="1"/>
  <c r="M39" i="3"/>
  <c r="N39" i="3" s="1"/>
  <c r="M40" i="3"/>
  <c r="N40" i="3" s="1"/>
  <c r="M41" i="3"/>
  <c r="N41" i="3" s="1"/>
  <c r="M42" i="3"/>
  <c r="N42" i="3" s="1"/>
  <c r="M43" i="3"/>
  <c r="M44" i="3"/>
  <c r="N44" i="3" s="1"/>
  <c r="M45" i="3"/>
  <c r="M46" i="3"/>
  <c r="N46" i="3" s="1"/>
  <c r="M47" i="3"/>
  <c r="N47" i="3" s="1"/>
  <c r="M48" i="3"/>
  <c r="N48" i="3" s="1"/>
  <c r="M49" i="3"/>
  <c r="N49" i="3" s="1"/>
  <c r="M50" i="3"/>
  <c r="N50" i="3" s="1"/>
  <c r="M51" i="3"/>
  <c r="N51" i="3" s="1"/>
  <c r="M52" i="3"/>
  <c r="N52" i="3" s="1"/>
  <c r="M53" i="3"/>
  <c r="N53" i="3" s="1"/>
  <c r="M54" i="3"/>
  <c r="N54" i="3" s="1"/>
  <c r="M55" i="3"/>
  <c r="N55" i="3" s="1"/>
  <c r="M56" i="3"/>
  <c r="N56" i="3" s="1"/>
  <c r="M57" i="3"/>
  <c r="N57" i="3" s="1"/>
  <c r="M58" i="3"/>
  <c r="N58" i="3" s="1"/>
  <c r="M59" i="3"/>
  <c r="N59" i="3" s="1"/>
  <c r="M60" i="3"/>
  <c r="N60" i="3" s="1"/>
  <c r="M61" i="3"/>
  <c r="M62" i="3"/>
  <c r="N62" i="3" s="1"/>
  <c r="M63" i="3"/>
  <c r="N63" i="3" s="1"/>
  <c r="M64" i="3"/>
  <c r="N64" i="3" s="1"/>
  <c r="M65" i="3"/>
  <c r="N65" i="3" s="1"/>
  <c r="M66" i="3"/>
  <c r="N66" i="3" s="1"/>
  <c r="M67" i="3"/>
  <c r="N67" i="3" s="1"/>
  <c r="M68" i="3"/>
  <c r="N68" i="3" s="1"/>
  <c r="M69" i="3"/>
  <c r="N69" i="3" s="1"/>
  <c r="M70" i="3"/>
  <c r="N70" i="3" s="1"/>
  <c r="M71" i="3"/>
  <c r="N71" i="3" s="1"/>
  <c r="M72" i="3"/>
  <c r="N72" i="3" s="1"/>
  <c r="M73" i="3"/>
  <c r="N73" i="3" s="1"/>
  <c r="M74" i="3"/>
  <c r="N74" i="3" s="1"/>
  <c r="M75" i="3"/>
  <c r="N75" i="3" s="1"/>
  <c r="M76" i="3"/>
  <c r="N76" i="3" s="1"/>
  <c r="M77" i="3"/>
  <c r="N77" i="3" s="1"/>
  <c r="M78" i="3"/>
  <c r="N78" i="3" s="1"/>
  <c r="M79" i="3"/>
  <c r="N79" i="3" s="1"/>
  <c r="M80" i="3"/>
  <c r="N80" i="3" s="1"/>
  <c r="M81" i="3"/>
  <c r="N81" i="3" s="1"/>
  <c r="M82" i="3"/>
  <c r="N82" i="3" s="1"/>
  <c r="M83" i="3"/>
  <c r="N83" i="3" s="1"/>
  <c r="M84" i="3"/>
  <c r="N84" i="3" s="1"/>
  <c r="M85" i="3"/>
  <c r="M86" i="3"/>
  <c r="N86" i="3" s="1"/>
  <c r="M87" i="3"/>
  <c r="N87" i="3" s="1"/>
  <c r="M88" i="3"/>
  <c r="N88" i="3" s="1"/>
  <c r="M89" i="3"/>
  <c r="N89" i="3" s="1"/>
  <c r="M90" i="3"/>
  <c r="N90" i="3" s="1"/>
  <c r="M91" i="3"/>
  <c r="M92" i="3"/>
  <c r="N92" i="3" s="1"/>
  <c r="M93" i="3"/>
  <c r="N93" i="3" s="1"/>
  <c r="M94" i="3"/>
  <c r="N94" i="3" s="1"/>
  <c r="M95" i="3"/>
  <c r="N95" i="3" s="1"/>
  <c r="M96" i="3"/>
  <c r="N96" i="3" s="1"/>
  <c r="M97" i="3"/>
  <c r="N97" i="3" s="1"/>
  <c r="M98" i="3"/>
  <c r="N98" i="3" s="1"/>
  <c r="M99" i="3"/>
  <c r="N99" i="3" s="1"/>
  <c r="M100" i="3"/>
  <c r="N100" i="3" s="1"/>
  <c r="M101" i="3"/>
  <c r="N101" i="3" s="1"/>
  <c r="M102" i="3"/>
  <c r="N102" i="3" s="1"/>
  <c r="M103" i="3"/>
  <c r="N103" i="3" s="1"/>
  <c r="M104" i="3"/>
  <c r="N104" i="3" s="1"/>
  <c r="M105" i="3"/>
  <c r="N105" i="3" s="1"/>
  <c r="M106" i="3"/>
  <c r="N106" i="3" s="1"/>
  <c r="M107" i="3"/>
  <c r="M108" i="3"/>
  <c r="N108" i="3" s="1"/>
  <c r="M109" i="3"/>
  <c r="M110" i="3"/>
  <c r="N110" i="3" s="1"/>
  <c r="M111" i="3"/>
  <c r="N111" i="3" s="1"/>
  <c r="M112" i="3"/>
  <c r="N112" i="3" s="1"/>
  <c r="M113" i="3"/>
  <c r="N113" i="3" s="1"/>
  <c r="M114" i="3"/>
  <c r="N114" i="3" s="1"/>
  <c r="M115" i="3"/>
  <c r="N115" i="3" s="1"/>
  <c r="M116" i="3"/>
  <c r="N116" i="3" s="1"/>
  <c r="M117" i="3"/>
  <c r="N117" i="3" s="1"/>
  <c r="M118" i="3"/>
  <c r="N118" i="3" s="1"/>
  <c r="M119" i="3"/>
  <c r="N119" i="3" s="1"/>
  <c r="M120" i="3"/>
  <c r="N120" i="3" s="1"/>
  <c r="M121" i="3"/>
  <c r="N121" i="3" s="1"/>
  <c r="M122" i="3"/>
  <c r="N122" i="3" s="1"/>
  <c r="M123" i="3"/>
  <c r="N123" i="3" s="1"/>
  <c r="M124" i="3"/>
  <c r="N124" i="3" s="1"/>
  <c r="M125" i="3"/>
  <c r="M126" i="3"/>
  <c r="N126" i="3" s="1"/>
  <c r="M127" i="3"/>
  <c r="N127" i="3" s="1"/>
  <c r="M128" i="3"/>
  <c r="N128" i="3" s="1"/>
  <c r="M129" i="3"/>
  <c r="N129" i="3" s="1"/>
  <c r="M130" i="3"/>
  <c r="N130" i="3" s="1"/>
  <c r="M131" i="3"/>
  <c r="N131" i="3" s="1"/>
  <c r="M132" i="3"/>
  <c r="N132" i="3" s="1"/>
  <c r="M133" i="3"/>
  <c r="N133" i="3" s="1"/>
  <c r="M134" i="3"/>
  <c r="N134" i="3" s="1"/>
  <c r="M135" i="3"/>
  <c r="N135" i="3" s="1"/>
  <c r="M136" i="3"/>
  <c r="N136" i="3" s="1"/>
  <c r="M137" i="3"/>
  <c r="N137" i="3" s="1"/>
  <c r="M138" i="3"/>
  <c r="N138" i="3" s="1"/>
  <c r="M139" i="3"/>
  <c r="N139" i="3" s="1"/>
  <c r="M140" i="3"/>
  <c r="N140" i="3" s="1"/>
  <c r="M141" i="3"/>
  <c r="N141" i="3" s="1"/>
  <c r="M142" i="3"/>
  <c r="N142" i="3" s="1"/>
  <c r="M143" i="3"/>
  <c r="N143" i="3" s="1"/>
  <c r="M144" i="3"/>
  <c r="N144" i="3" s="1"/>
  <c r="M145" i="3"/>
  <c r="N145" i="3" s="1"/>
  <c r="M146" i="3"/>
  <c r="N146" i="3" s="1"/>
  <c r="M147" i="3"/>
  <c r="N147" i="3" s="1"/>
  <c r="M148" i="3"/>
  <c r="N148" i="3" s="1"/>
  <c r="M149" i="3"/>
  <c r="M150" i="3"/>
  <c r="N150" i="3" s="1"/>
  <c r="M151" i="3"/>
  <c r="N151" i="3" s="1"/>
  <c r="M152" i="3"/>
  <c r="N152" i="3" s="1"/>
  <c r="M153" i="3"/>
  <c r="N153" i="3" s="1"/>
  <c r="M154" i="3"/>
  <c r="N154" i="3" s="1"/>
  <c r="M155" i="3"/>
  <c r="M156" i="3"/>
  <c r="N156" i="3" s="1"/>
  <c r="M157" i="3"/>
  <c r="N157" i="3" s="1"/>
  <c r="M158" i="3"/>
  <c r="N158" i="3" s="1"/>
  <c r="M159" i="3"/>
  <c r="N159" i="3" s="1"/>
  <c r="M160" i="3"/>
  <c r="N160" i="3" s="1"/>
  <c r="M161" i="3"/>
  <c r="N161" i="3" s="1"/>
  <c r="M162" i="3"/>
  <c r="N162" i="3" s="1"/>
  <c r="M163" i="3"/>
  <c r="N163" i="3" s="1"/>
  <c r="M164" i="3"/>
  <c r="N164" i="3" s="1"/>
  <c r="M165" i="3"/>
  <c r="N165" i="3" s="1"/>
  <c r="M166" i="3"/>
  <c r="N166" i="3" s="1"/>
  <c r="M167" i="3"/>
  <c r="N167" i="3" s="1"/>
  <c r="M168" i="3"/>
  <c r="N168" i="3" s="1"/>
  <c r="M169" i="3"/>
  <c r="N169" i="3" s="1"/>
  <c r="M170" i="3"/>
  <c r="N170" i="3" s="1"/>
  <c r="M171" i="3"/>
  <c r="M172" i="3"/>
  <c r="N172" i="3" s="1"/>
  <c r="M173" i="3"/>
  <c r="M174" i="3"/>
  <c r="N174" i="3" s="1"/>
  <c r="M175" i="3"/>
  <c r="N175" i="3" s="1"/>
  <c r="M176" i="3"/>
  <c r="N176" i="3" s="1"/>
  <c r="M177" i="3"/>
  <c r="N177" i="3" s="1"/>
  <c r="M178" i="3"/>
  <c r="N178" i="3" s="1"/>
  <c r="M179" i="3"/>
  <c r="N179" i="3" s="1"/>
  <c r="M180" i="3"/>
  <c r="N180" i="3" s="1"/>
  <c r="M181" i="3"/>
  <c r="N181" i="3" s="1"/>
  <c r="M182" i="3"/>
  <c r="N182" i="3" s="1"/>
  <c r="M183" i="3"/>
  <c r="N183" i="3" s="1"/>
  <c r="M184" i="3"/>
  <c r="N184" i="3" s="1"/>
  <c r="M185" i="3"/>
  <c r="N185" i="3" s="1"/>
  <c r="M186" i="3"/>
  <c r="N186" i="3" s="1"/>
  <c r="M187" i="3"/>
  <c r="N187" i="3" s="1"/>
  <c r="M188" i="3"/>
  <c r="N188" i="3" s="1"/>
  <c r="M189" i="3"/>
  <c r="M190" i="3"/>
  <c r="N190" i="3" s="1"/>
  <c r="M191" i="3"/>
  <c r="N191" i="3" s="1"/>
  <c r="M192" i="3"/>
  <c r="N192" i="3" s="1"/>
  <c r="M193" i="3"/>
  <c r="N193" i="3" s="1"/>
  <c r="M194" i="3"/>
  <c r="N194" i="3" s="1"/>
  <c r="M195" i="3"/>
  <c r="N195" i="3" s="1"/>
  <c r="M196" i="3"/>
  <c r="N196" i="3" s="1"/>
  <c r="M197" i="3"/>
  <c r="N197" i="3" s="1"/>
  <c r="M198" i="3"/>
  <c r="N198" i="3" s="1"/>
  <c r="M199" i="3"/>
  <c r="N199" i="3" s="1"/>
  <c r="M200" i="3"/>
  <c r="N200" i="3" s="1"/>
  <c r="M201" i="3"/>
  <c r="N201" i="3" s="1"/>
  <c r="M202" i="3"/>
  <c r="N202" i="3" s="1"/>
  <c r="M203" i="3"/>
  <c r="N203" i="3" s="1"/>
  <c r="M204" i="3"/>
  <c r="N204" i="3" s="1"/>
  <c r="M205" i="3"/>
  <c r="N205" i="3" s="1"/>
  <c r="M206" i="3"/>
  <c r="N206" i="3" s="1"/>
  <c r="M207" i="3"/>
  <c r="N207" i="3" s="1"/>
  <c r="M208" i="3"/>
  <c r="N208" i="3" s="1"/>
  <c r="M209" i="3"/>
  <c r="N209" i="3" s="1"/>
  <c r="M210" i="3"/>
  <c r="N210" i="3" s="1"/>
  <c r="M211" i="3"/>
  <c r="N211" i="3" s="1"/>
  <c r="M212" i="3"/>
  <c r="N212" i="3" s="1"/>
  <c r="M213" i="3"/>
  <c r="M214" i="3"/>
  <c r="N214" i="3" s="1"/>
  <c r="M215" i="3"/>
  <c r="N215" i="3" s="1"/>
  <c r="M216" i="3"/>
  <c r="N216" i="3" s="1"/>
  <c r="M217" i="3"/>
  <c r="N217" i="3" s="1"/>
  <c r="M218" i="3"/>
  <c r="N218" i="3" s="1"/>
  <c r="M219" i="3"/>
  <c r="M220" i="3"/>
  <c r="N220" i="3" s="1"/>
  <c r="M221" i="3"/>
  <c r="N221" i="3" s="1"/>
  <c r="M222" i="3"/>
  <c r="N222" i="3" s="1"/>
  <c r="M223" i="3"/>
  <c r="N223" i="3" s="1"/>
  <c r="M224" i="3"/>
  <c r="N224" i="3" s="1"/>
  <c r="M225" i="3"/>
  <c r="N225" i="3" s="1"/>
  <c r="M226" i="3"/>
  <c r="N226" i="3" s="1"/>
  <c r="M227" i="3"/>
  <c r="N227" i="3" s="1"/>
  <c r="M228" i="3"/>
  <c r="N228" i="3" s="1"/>
  <c r="M229" i="3"/>
  <c r="N229" i="3" s="1"/>
  <c r="M230" i="3"/>
  <c r="N230" i="3" s="1"/>
  <c r="M231" i="3"/>
  <c r="N231" i="3" s="1"/>
  <c r="M232" i="3"/>
  <c r="N232" i="3" s="1"/>
  <c r="M233" i="3"/>
  <c r="N233" i="3" s="1"/>
  <c r="M234" i="3"/>
  <c r="N234" i="3" s="1"/>
  <c r="M235" i="3"/>
  <c r="M236" i="3"/>
  <c r="N236" i="3" s="1"/>
  <c r="M237" i="3"/>
  <c r="M238" i="3"/>
  <c r="N238" i="3" s="1"/>
  <c r="M239" i="3"/>
  <c r="N239" i="3" s="1"/>
  <c r="M240" i="3"/>
  <c r="N240" i="3" s="1"/>
  <c r="M241" i="3"/>
  <c r="N241" i="3" s="1"/>
  <c r="M242" i="3"/>
  <c r="N242" i="3" s="1"/>
  <c r="M243" i="3"/>
  <c r="N243" i="3" s="1"/>
  <c r="M244" i="3"/>
  <c r="N244" i="3" s="1"/>
  <c r="M245" i="3"/>
  <c r="N245" i="3" s="1"/>
  <c r="M246" i="3"/>
  <c r="N246" i="3" s="1"/>
  <c r="M247" i="3"/>
  <c r="N247" i="3" s="1"/>
  <c r="M248" i="3"/>
  <c r="N248" i="3" s="1"/>
  <c r="M249" i="3"/>
  <c r="N249" i="3" s="1"/>
  <c r="M250" i="3"/>
  <c r="N250" i="3" s="1"/>
  <c r="M251" i="3"/>
  <c r="N251" i="3" s="1"/>
  <c r="M252" i="3"/>
  <c r="N252" i="3" s="1"/>
  <c r="M253" i="3"/>
  <c r="M254" i="3"/>
  <c r="N254" i="3" s="1"/>
  <c r="M255" i="3"/>
  <c r="N255" i="3" s="1"/>
  <c r="M256" i="3"/>
  <c r="N256" i="3" s="1"/>
  <c r="M257" i="3"/>
  <c r="N257" i="3" s="1"/>
  <c r="M258" i="3"/>
  <c r="N258" i="3" s="1"/>
  <c r="M259" i="3"/>
  <c r="N259" i="3" s="1"/>
  <c r="M260" i="3"/>
  <c r="N260" i="3" s="1"/>
  <c r="M261" i="3"/>
  <c r="N261" i="3" s="1"/>
  <c r="M262" i="3"/>
  <c r="N262" i="3" s="1"/>
  <c r="M263" i="3"/>
  <c r="N263" i="3" s="1"/>
  <c r="M264" i="3"/>
  <c r="N264" i="3" s="1"/>
  <c r="M265" i="3"/>
  <c r="N265" i="3" s="1"/>
  <c r="M266" i="3"/>
  <c r="N266" i="3" s="1"/>
  <c r="M267" i="3"/>
  <c r="N267" i="3" s="1"/>
  <c r="M268" i="3"/>
  <c r="N268" i="3" s="1"/>
  <c r="M269" i="3"/>
  <c r="N269" i="3" s="1"/>
  <c r="M270" i="3"/>
  <c r="N270" i="3" s="1"/>
  <c r="M271" i="3"/>
  <c r="N271" i="3" s="1"/>
  <c r="M272" i="3"/>
  <c r="N272" i="3" s="1"/>
  <c r="M273" i="3"/>
  <c r="N273" i="3" s="1"/>
  <c r="M274" i="3"/>
  <c r="N274" i="3" s="1"/>
  <c r="M275" i="3"/>
  <c r="N275" i="3" s="1"/>
  <c r="M276" i="3"/>
  <c r="N276" i="3" s="1"/>
  <c r="M277" i="3"/>
  <c r="M278" i="3"/>
  <c r="N278" i="3" s="1"/>
  <c r="M279" i="3"/>
  <c r="N279" i="3" s="1"/>
  <c r="M280" i="3"/>
  <c r="N280" i="3" s="1"/>
  <c r="M281" i="3"/>
  <c r="N281" i="3" s="1"/>
  <c r="M282" i="3"/>
  <c r="N282" i="3" s="1"/>
  <c r="M283" i="3"/>
  <c r="M284" i="3"/>
  <c r="N284" i="3" s="1"/>
  <c r="M285" i="3"/>
  <c r="N285" i="3" s="1"/>
  <c r="M286" i="3"/>
  <c r="N286" i="3" s="1"/>
  <c r="M287" i="3"/>
  <c r="N287" i="3" s="1"/>
  <c r="M288" i="3"/>
  <c r="N288" i="3" s="1"/>
  <c r="M289" i="3"/>
  <c r="N289" i="3" s="1"/>
  <c r="M290" i="3"/>
  <c r="N290" i="3" s="1"/>
  <c r="M291" i="3"/>
  <c r="N291" i="3" s="1"/>
  <c r="M292" i="3"/>
  <c r="N292" i="3" s="1"/>
  <c r="M293" i="3"/>
  <c r="N293" i="3" s="1"/>
  <c r="M294" i="3"/>
  <c r="N294" i="3" s="1"/>
  <c r="M295" i="3"/>
  <c r="N295" i="3" s="1"/>
  <c r="M296" i="3"/>
  <c r="N296" i="3" s="1"/>
  <c r="M297" i="3"/>
  <c r="N297" i="3" s="1"/>
  <c r="M298" i="3"/>
  <c r="N298" i="3" s="1"/>
  <c r="M299" i="3"/>
  <c r="M300" i="3"/>
  <c r="N300" i="3" s="1"/>
  <c r="M301" i="3"/>
  <c r="M302" i="3"/>
  <c r="N302" i="3" s="1"/>
  <c r="M303" i="3"/>
  <c r="N303" i="3" s="1"/>
  <c r="M304" i="3"/>
  <c r="N304" i="3" s="1"/>
  <c r="M305" i="3"/>
  <c r="N305" i="3" s="1"/>
  <c r="M306" i="3"/>
  <c r="N306" i="3" s="1"/>
  <c r="M307" i="3"/>
  <c r="N307" i="3" s="1"/>
  <c r="M308" i="3"/>
  <c r="N308" i="3" s="1"/>
  <c r="M309" i="3"/>
  <c r="N309" i="3" s="1"/>
  <c r="M310" i="3"/>
  <c r="N310" i="3" s="1"/>
  <c r="M311" i="3"/>
  <c r="N311" i="3" s="1"/>
  <c r="M312" i="3"/>
  <c r="M313" i="3"/>
  <c r="N313" i="3" s="1"/>
  <c r="M314" i="3"/>
  <c r="N314" i="3" s="1"/>
  <c r="M315" i="3"/>
  <c r="N315" i="3" s="1"/>
  <c r="M316" i="3"/>
  <c r="N316" i="3" s="1"/>
  <c r="M317" i="3"/>
  <c r="M318" i="3"/>
  <c r="N318" i="3" s="1"/>
  <c r="M319" i="3"/>
  <c r="N319" i="3" s="1"/>
  <c r="M320" i="3"/>
  <c r="N320" i="3" s="1"/>
  <c r="M321" i="3"/>
  <c r="N321" i="3" s="1"/>
  <c r="M322" i="3"/>
  <c r="N322" i="3" s="1"/>
  <c r="M323" i="3"/>
  <c r="N323" i="3" s="1"/>
  <c r="M324" i="3"/>
  <c r="N324" i="3" s="1"/>
  <c r="M325" i="3"/>
  <c r="N325" i="3" s="1"/>
  <c r="M326" i="3"/>
  <c r="N326" i="3" s="1"/>
  <c r="M327" i="3"/>
  <c r="N327" i="3" s="1"/>
  <c r="M328" i="3"/>
  <c r="M329" i="3"/>
  <c r="N329" i="3" s="1"/>
  <c r="M330" i="3"/>
  <c r="M331" i="3"/>
  <c r="N331" i="3" s="1"/>
  <c r="M332" i="3"/>
  <c r="N332" i="3" s="1"/>
  <c r="M333" i="3"/>
  <c r="N333" i="3" s="1"/>
  <c r="M334" i="3"/>
  <c r="N334" i="3" s="1"/>
  <c r="M335" i="3"/>
  <c r="N335" i="3" s="1"/>
  <c r="M336" i="3"/>
  <c r="N336" i="3" s="1"/>
  <c r="M337" i="3"/>
  <c r="N337" i="3" s="1"/>
  <c r="M338" i="3"/>
  <c r="N338" i="3" s="1"/>
  <c r="M339" i="3"/>
  <c r="N339" i="3" s="1"/>
  <c r="M340" i="3"/>
  <c r="N340" i="3" s="1"/>
  <c r="M341" i="3"/>
  <c r="M342" i="3"/>
  <c r="N342" i="3" s="1"/>
  <c r="M343" i="3"/>
  <c r="N343" i="3" s="1"/>
  <c r="M344" i="3"/>
  <c r="N344" i="3" s="1"/>
  <c r="M345" i="3"/>
  <c r="N345" i="3" s="1"/>
  <c r="M346" i="3"/>
  <c r="N346" i="3" s="1"/>
  <c r="M347" i="3"/>
  <c r="M348" i="3"/>
  <c r="N348" i="3" s="1"/>
  <c r="M349" i="3"/>
  <c r="N349" i="3" s="1"/>
  <c r="M350" i="3"/>
  <c r="N350" i="3" s="1"/>
  <c r="M351" i="3"/>
  <c r="N351" i="3" s="1"/>
  <c r="M352" i="3"/>
  <c r="M353" i="3"/>
  <c r="N353" i="3" s="1"/>
  <c r="M354" i="3"/>
  <c r="N354" i="3" s="1"/>
  <c r="M355" i="3"/>
  <c r="N355" i="3" s="1"/>
  <c r="M356" i="3"/>
  <c r="N356" i="3" s="1"/>
  <c r="M357" i="3"/>
  <c r="N357" i="3" s="1"/>
  <c r="M358" i="3"/>
  <c r="N358" i="3" s="1"/>
  <c r="M359" i="3"/>
  <c r="N359" i="3" s="1"/>
  <c r="M360" i="3"/>
  <c r="N360" i="3" s="1"/>
  <c r="M361" i="3"/>
  <c r="N361" i="3" s="1"/>
  <c r="M362" i="3"/>
  <c r="M363" i="3"/>
  <c r="M364" i="3"/>
  <c r="N364" i="3" s="1"/>
  <c r="M365" i="3"/>
  <c r="M366" i="3"/>
  <c r="N366" i="3" s="1"/>
  <c r="M367" i="3"/>
  <c r="N367" i="3" s="1"/>
  <c r="M368" i="3"/>
  <c r="M369" i="3"/>
  <c r="N369" i="3" s="1"/>
  <c r="M370" i="3"/>
  <c r="N370" i="3" s="1"/>
  <c r="M371" i="3"/>
  <c r="N371" i="3" s="1"/>
  <c r="M372" i="3"/>
  <c r="N372" i="3" s="1"/>
  <c r="M373" i="3"/>
  <c r="N373" i="3" s="1"/>
  <c r="M374" i="3"/>
  <c r="N374" i="3" s="1"/>
  <c r="M375" i="3"/>
  <c r="N375" i="3" s="1"/>
  <c r="M376" i="3"/>
  <c r="N376" i="3" s="1"/>
  <c r="M377" i="3"/>
  <c r="N377" i="3" s="1"/>
  <c r="M378" i="3"/>
  <c r="N378" i="3" s="1"/>
  <c r="M379" i="3"/>
  <c r="N379" i="3" s="1"/>
  <c r="M380" i="3"/>
  <c r="N380" i="3" s="1"/>
  <c r="M381" i="3"/>
  <c r="M382" i="3"/>
  <c r="N382" i="3" s="1"/>
  <c r="M383" i="3"/>
  <c r="N383" i="3" s="1"/>
  <c r="M384" i="3"/>
  <c r="M385" i="3"/>
  <c r="N385" i="3" s="1"/>
  <c r="M386" i="3"/>
  <c r="N386" i="3" s="1"/>
  <c r="M387" i="3"/>
  <c r="N387" i="3" s="1"/>
  <c r="M388" i="3"/>
  <c r="N388" i="3" s="1"/>
  <c r="M389" i="3"/>
  <c r="N389" i="3" s="1"/>
  <c r="M390" i="3"/>
  <c r="N390" i="3" s="1"/>
  <c r="M391" i="3"/>
  <c r="N391" i="3" s="1"/>
  <c r="M392" i="3"/>
  <c r="M393" i="3"/>
  <c r="N393" i="3" s="1"/>
  <c r="M394" i="3"/>
  <c r="M395" i="3"/>
  <c r="N395" i="3" s="1"/>
  <c r="M396" i="3"/>
  <c r="N396" i="3" s="1"/>
  <c r="M397" i="3"/>
  <c r="N397" i="3" s="1"/>
  <c r="M398" i="3"/>
  <c r="N398" i="3" s="1"/>
  <c r="M399" i="3"/>
  <c r="N399" i="3" s="1"/>
  <c r="M400" i="3"/>
  <c r="M401" i="3"/>
  <c r="N401" i="3" s="1"/>
  <c r="M402" i="3"/>
  <c r="N402" i="3" s="1"/>
  <c r="M403" i="3"/>
  <c r="N403" i="3" s="1"/>
  <c r="M404" i="3"/>
  <c r="N404" i="3" s="1"/>
  <c r="M405" i="3"/>
  <c r="M406" i="3"/>
  <c r="N406" i="3" s="1"/>
  <c r="M407" i="3"/>
  <c r="N407" i="3" s="1"/>
  <c r="M408" i="3"/>
  <c r="N408" i="3" s="1"/>
  <c r="M409" i="3"/>
  <c r="N409" i="3" s="1"/>
  <c r="M410" i="3"/>
  <c r="N410" i="3" s="1"/>
  <c r="M411" i="3"/>
  <c r="N411" i="3" s="1"/>
  <c r="M412" i="3"/>
  <c r="N412" i="3" s="1"/>
  <c r="M413" i="3"/>
  <c r="N413" i="3" s="1"/>
  <c r="M414" i="3"/>
  <c r="N414" i="3" s="1"/>
  <c r="M415" i="3"/>
  <c r="N415" i="3" s="1"/>
  <c r="M416" i="3"/>
  <c r="M417" i="3"/>
  <c r="N417" i="3" s="1"/>
  <c r="M418" i="3"/>
  <c r="N418" i="3" s="1"/>
  <c r="M419" i="3"/>
  <c r="N419" i="3" s="1"/>
  <c r="M420" i="3"/>
  <c r="M421" i="3"/>
  <c r="M422" i="3"/>
  <c r="N422" i="3" s="1"/>
  <c r="M423" i="3"/>
  <c r="N423" i="3" s="1"/>
  <c r="M424" i="3"/>
  <c r="M425" i="3"/>
  <c r="N425" i="3" s="1"/>
  <c r="M426" i="3"/>
  <c r="O426" i="3" s="1"/>
  <c r="P426" i="3" s="1"/>
  <c r="Q426" i="3" s="1"/>
  <c r="M427" i="3"/>
  <c r="N427" i="3" s="1"/>
  <c r="M428" i="3"/>
  <c r="N428" i="3" s="1"/>
  <c r="M429" i="3"/>
  <c r="N429" i="3" s="1"/>
  <c r="M430" i="3"/>
  <c r="N430" i="3" s="1"/>
  <c r="M431" i="3"/>
  <c r="N431" i="3" s="1"/>
  <c r="M432" i="3"/>
  <c r="M433" i="3"/>
  <c r="N433" i="3" s="1"/>
  <c r="M434" i="3"/>
  <c r="N434" i="3" s="1"/>
  <c r="M435" i="3"/>
  <c r="N435" i="3" s="1"/>
  <c r="M436" i="3"/>
  <c r="N436" i="3" s="1"/>
  <c r="M437" i="3"/>
  <c r="M438" i="3"/>
  <c r="N438" i="3" s="1"/>
  <c r="M439" i="3"/>
  <c r="N439" i="3" s="1"/>
  <c r="M440" i="3"/>
  <c r="N440" i="3" s="1"/>
  <c r="M441" i="3"/>
  <c r="N441" i="3" s="1"/>
  <c r="M442" i="3"/>
  <c r="N442" i="3" s="1"/>
  <c r="M443" i="3"/>
  <c r="N443" i="3" s="1"/>
  <c r="M444" i="3"/>
  <c r="N444" i="3" s="1"/>
  <c r="M445" i="3"/>
  <c r="N445" i="3" s="1"/>
  <c r="M446" i="3"/>
  <c r="N446" i="3" s="1"/>
  <c r="M447" i="3"/>
  <c r="N447" i="3" s="1"/>
  <c r="M448" i="3"/>
  <c r="M449" i="3"/>
  <c r="N449" i="3" s="1"/>
  <c r="M450" i="3"/>
  <c r="N450" i="3" s="1"/>
  <c r="M451" i="3"/>
  <c r="N451" i="3" s="1"/>
  <c r="M452" i="3"/>
  <c r="N452" i="3" s="1"/>
  <c r="M453" i="3"/>
  <c r="M454" i="3"/>
  <c r="N454" i="3" s="1"/>
  <c r="M455" i="3"/>
  <c r="N455" i="3" s="1"/>
  <c r="M456" i="3"/>
  <c r="M457" i="3"/>
  <c r="N457" i="3" s="1"/>
  <c r="M458" i="3"/>
  <c r="O458" i="3" s="1"/>
  <c r="P458" i="3" s="1"/>
  <c r="Q458" i="3" s="1"/>
  <c r="M459" i="3"/>
  <c r="N459" i="3" s="1"/>
  <c r="M460" i="3"/>
  <c r="N460" i="3" s="1"/>
  <c r="M461" i="3"/>
  <c r="N461" i="3" s="1"/>
  <c r="M462" i="3"/>
  <c r="N462" i="3" s="1"/>
  <c r="M463" i="3"/>
  <c r="N463" i="3" s="1"/>
  <c r="M464" i="3"/>
  <c r="M465" i="3"/>
  <c r="N465" i="3" s="1"/>
  <c r="M466" i="3"/>
  <c r="N466" i="3" s="1"/>
  <c r="M467" i="3"/>
  <c r="N467" i="3" s="1"/>
  <c r="M468" i="3"/>
  <c r="N468" i="3" s="1"/>
  <c r="M469" i="3"/>
  <c r="M470" i="3"/>
  <c r="N470" i="3" s="1"/>
  <c r="M471" i="3"/>
  <c r="N471" i="3" s="1"/>
  <c r="M472" i="3"/>
  <c r="N472" i="3" s="1"/>
  <c r="M473" i="3"/>
  <c r="N473" i="3" s="1"/>
  <c r="M474" i="3"/>
  <c r="N474" i="3" s="1"/>
  <c r="M475" i="3"/>
  <c r="N475" i="3" s="1"/>
  <c r="M476" i="3"/>
  <c r="N476" i="3" s="1"/>
  <c r="M477" i="3"/>
  <c r="N477" i="3" s="1"/>
  <c r="M478" i="3"/>
  <c r="N478" i="3" s="1"/>
  <c r="M479" i="3"/>
  <c r="N479" i="3" s="1"/>
  <c r="M480" i="3"/>
  <c r="M481" i="3"/>
  <c r="N481" i="3" s="1"/>
  <c r="M482" i="3"/>
  <c r="N482" i="3" s="1"/>
  <c r="M483" i="3"/>
  <c r="N483" i="3" s="1"/>
  <c r="M484" i="3"/>
  <c r="N484" i="3" s="1"/>
  <c r="M485" i="3"/>
  <c r="M486" i="3"/>
  <c r="N486" i="3" s="1"/>
  <c r="M487" i="3"/>
  <c r="N487" i="3" s="1"/>
  <c r="M488" i="3"/>
  <c r="M489" i="3"/>
  <c r="N489" i="3" s="1"/>
  <c r="M490" i="3"/>
  <c r="O490" i="3" s="1"/>
  <c r="P490" i="3" s="1"/>
  <c r="Q490" i="3" s="1"/>
  <c r="M491" i="3"/>
  <c r="N491" i="3" s="1"/>
  <c r="M492" i="3"/>
  <c r="N492" i="3" s="1"/>
  <c r="M493" i="3"/>
  <c r="N493" i="3" s="1"/>
  <c r="M494" i="3"/>
  <c r="N494" i="3" s="1"/>
  <c r="M495" i="3"/>
  <c r="N495" i="3" s="1"/>
  <c r="M496" i="3"/>
  <c r="N496" i="3" s="1"/>
  <c r="M497" i="3"/>
  <c r="N497" i="3" s="1"/>
  <c r="M498" i="3"/>
  <c r="N498" i="3" s="1"/>
  <c r="M499" i="3"/>
  <c r="N499" i="3" s="1"/>
  <c r="M500" i="3"/>
  <c r="N500" i="3" s="1"/>
  <c r="M501" i="3"/>
  <c r="M502" i="3"/>
  <c r="N502" i="3" s="1"/>
  <c r="M503" i="3"/>
  <c r="N503" i="3" s="1"/>
  <c r="M504" i="3"/>
  <c r="N504" i="3" s="1"/>
  <c r="M505" i="3"/>
  <c r="N505" i="3" s="1"/>
  <c r="M506" i="3"/>
  <c r="N506" i="3" s="1"/>
  <c r="M507" i="3"/>
  <c r="N507" i="3" s="1"/>
  <c r="M508" i="3"/>
  <c r="N508" i="3" s="1"/>
  <c r="M509" i="3"/>
  <c r="N509" i="3" s="1"/>
  <c r="M510" i="3"/>
  <c r="N510" i="3" s="1"/>
  <c r="M511" i="3"/>
  <c r="N511" i="3" s="1"/>
  <c r="M512" i="3"/>
  <c r="M513" i="3"/>
  <c r="N513" i="3" s="1"/>
  <c r="M514" i="3"/>
  <c r="N514" i="3" s="1"/>
  <c r="M515" i="3"/>
  <c r="N515" i="3" s="1"/>
  <c r="M516" i="3"/>
  <c r="N516" i="3" s="1"/>
  <c r="M517" i="3"/>
  <c r="M518" i="3"/>
  <c r="N518" i="3" s="1"/>
  <c r="M519" i="3"/>
  <c r="N519" i="3" s="1"/>
  <c r="M520" i="3"/>
  <c r="M521" i="3"/>
  <c r="N521" i="3" s="1"/>
  <c r="M522" i="3"/>
  <c r="O522" i="3" s="1"/>
  <c r="P522" i="3" s="1"/>
  <c r="Q522" i="3" s="1"/>
  <c r="M523" i="3"/>
  <c r="N523" i="3" s="1"/>
  <c r="M524" i="3"/>
  <c r="N524" i="3" s="1"/>
  <c r="M525" i="3"/>
  <c r="N525" i="3" s="1"/>
  <c r="M526" i="3"/>
  <c r="N526" i="3" s="1"/>
  <c r="M527" i="3"/>
  <c r="N527" i="3" s="1"/>
  <c r="M528" i="3"/>
  <c r="O528" i="3" s="1"/>
  <c r="P528" i="3" s="1"/>
  <c r="Q528" i="3" s="1"/>
  <c r="M529" i="3"/>
  <c r="M530" i="3"/>
  <c r="N530" i="3" s="1"/>
  <c r="M531" i="3"/>
  <c r="M532" i="3"/>
  <c r="N532" i="3" s="1"/>
  <c r="M533" i="3"/>
  <c r="N533" i="3" s="1"/>
  <c r="M534" i="3"/>
  <c r="N534" i="3" s="1"/>
  <c r="M535" i="3"/>
  <c r="N535" i="3" s="1"/>
  <c r="M536" i="3"/>
  <c r="N536" i="3" s="1"/>
  <c r="M537" i="3"/>
  <c r="M538" i="3"/>
  <c r="N538" i="3" s="1"/>
  <c r="M539" i="3"/>
  <c r="M540" i="3"/>
  <c r="N540" i="3" s="1"/>
  <c r="M541" i="3"/>
  <c r="N541" i="3" s="1"/>
  <c r="M542" i="3"/>
  <c r="N542" i="3" s="1"/>
  <c r="M543" i="3"/>
  <c r="N543" i="3" s="1"/>
  <c r="M544" i="3"/>
  <c r="O544" i="3" s="1"/>
  <c r="P544" i="3" s="1"/>
  <c r="Q544" i="3" s="1"/>
  <c r="M545" i="3"/>
  <c r="M546" i="3"/>
  <c r="N546" i="3" s="1"/>
  <c r="M547" i="3"/>
  <c r="M548" i="3"/>
  <c r="N548" i="3" s="1"/>
  <c r="M549" i="3"/>
  <c r="N549" i="3" s="1"/>
  <c r="M550" i="3"/>
  <c r="N550" i="3" s="1"/>
  <c r="M551" i="3"/>
  <c r="N551" i="3" s="1"/>
  <c r="M552" i="3"/>
  <c r="O552" i="3" s="1"/>
  <c r="P552" i="3" s="1"/>
  <c r="Q552" i="3" s="1"/>
  <c r="M553" i="3"/>
  <c r="M554" i="3"/>
  <c r="O554" i="3" s="1"/>
  <c r="P554" i="3" s="1"/>
  <c r="Q554" i="3" s="1"/>
  <c r="M555" i="3"/>
  <c r="M556" i="3"/>
  <c r="N556" i="3" s="1"/>
  <c r="M557" i="3"/>
  <c r="N557" i="3" s="1"/>
  <c r="M558" i="3"/>
  <c r="N558" i="3" s="1"/>
  <c r="M559" i="3"/>
  <c r="N559" i="3" s="1"/>
  <c r="M560" i="3"/>
  <c r="O560" i="3" s="1"/>
  <c r="P560" i="3" s="1"/>
  <c r="Q560" i="3" s="1"/>
  <c r="M561" i="3"/>
  <c r="M562" i="3"/>
  <c r="N562" i="3" s="1"/>
  <c r="M563" i="3"/>
  <c r="M564" i="3"/>
  <c r="N564" i="3" s="1"/>
  <c r="M565" i="3"/>
  <c r="N565" i="3" s="1"/>
  <c r="M566" i="3"/>
  <c r="N566" i="3" s="1"/>
  <c r="M567" i="3"/>
  <c r="N567" i="3" s="1"/>
  <c r="M568" i="3"/>
  <c r="N568" i="3" s="1"/>
  <c r="M569" i="3"/>
  <c r="M570" i="3"/>
  <c r="N570" i="3" s="1"/>
  <c r="M571" i="3"/>
  <c r="M572" i="3"/>
  <c r="N572" i="3" s="1"/>
  <c r="M573" i="3"/>
  <c r="N573" i="3" s="1"/>
  <c r="M574" i="3"/>
  <c r="N574" i="3" s="1"/>
  <c r="M575" i="3"/>
  <c r="N575" i="3" s="1"/>
  <c r="M576" i="3"/>
  <c r="O576" i="3" s="1"/>
  <c r="P576" i="3" s="1"/>
  <c r="Q576" i="3" s="1"/>
  <c r="M577" i="3"/>
  <c r="M578" i="3"/>
  <c r="N578" i="3" s="1"/>
  <c r="M579" i="3"/>
  <c r="M580" i="3"/>
  <c r="N580" i="3" s="1"/>
  <c r="M581" i="3"/>
  <c r="N581" i="3" s="1"/>
  <c r="M582" i="3"/>
  <c r="N582" i="3" s="1"/>
  <c r="M583" i="3"/>
  <c r="N583" i="3" s="1"/>
  <c r="M584" i="3"/>
  <c r="O584" i="3" s="1"/>
  <c r="P584" i="3" s="1"/>
  <c r="Q584" i="3" s="1"/>
  <c r="M585" i="3"/>
  <c r="M586" i="3"/>
  <c r="O586" i="3" s="1"/>
  <c r="P586" i="3" s="1"/>
  <c r="Q586" i="3" s="1"/>
  <c r="M587" i="3"/>
  <c r="O587" i="3" s="1"/>
  <c r="P587" i="3" s="1"/>
  <c r="Q587" i="3" s="1"/>
  <c r="M588" i="3"/>
  <c r="N588" i="3" s="1"/>
  <c r="M589" i="3"/>
  <c r="N589" i="3" s="1"/>
  <c r="M590" i="3"/>
  <c r="N590" i="3" s="1"/>
  <c r="M591" i="3"/>
  <c r="N591" i="3" s="1"/>
  <c r="M592" i="3"/>
  <c r="O592" i="3" s="1"/>
  <c r="P592" i="3" s="1"/>
  <c r="Q592" i="3" s="1"/>
  <c r="M593" i="3"/>
  <c r="M594" i="3"/>
  <c r="N594" i="3" s="1"/>
  <c r="M595" i="3"/>
  <c r="M596" i="3"/>
  <c r="N596" i="3" s="1"/>
  <c r="M597" i="3"/>
  <c r="N597" i="3" s="1"/>
  <c r="M598" i="3"/>
  <c r="N598" i="3" s="1"/>
  <c r="M599" i="3"/>
  <c r="N599" i="3" s="1"/>
  <c r="M600" i="3"/>
  <c r="N600" i="3" s="1"/>
  <c r="M601" i="3"/>
  <c r="M602" i="3"/>
  <c r="N602" i="3" s="1"/>
  <c r="M3" i="3"/>
  <c r="N3" i="3" s="1"/>
  <c r="L3" i="3"/>
  <c r="L4" i="3"/>
  <c r="L6" i="3"/>
  <c r="L7" i="3"/>
  <c r="L8" i="3"/>
  <c r="L9" i="3"/>
  <c r="L10" i="3"/>
  <c r="L11" i="3"/>
  <c r="L12" i="3"/>
  <c r="L13" i="3"/>
  <c r="L14" i="3"/>
  <c r="L15" i="3"/>
  <c r="L16" i="3"/>
  <c r="L17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D27" i="3"/>
  <c r="B27" i="3"/>
  <c r="C26" i="3"/>
  <c r="D20" i="3"/>
  <c r="B20" i="3"/>
  <c r="D30" i="3"/>
  <c r="B30" i="3"/>
  <c r="D29" i="3"/>
  <c r="B29" i="3"/>
  <c r="C24" i="3"/>
  <c r="C17" i="3"/>
  <c r="D16" i="3"/>
  <c r="C44" i="3" s="1"/>
  <c r="O47" i="3" s="1"/>
  <c r="P47" i="3" s="1"/>
  <c r="Q47" i="3" s="1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2" i="2"/>
  <c r="D13" i="2"/>
  <c r="G83" i="2"/>
  <c r="K83" i="2" s="1"/>
  <c r="G107" i="2"/>
  <c r="K107" i="2" s="1"/>
  <c r="G131" i="2"/>
  <c r="K131" i="2" s="1"/>
  <c r="G147" i="2"/>
  <c r="K147" i="2" s="1"/>
  <c r="G171" i="2"/>
  <c r="K171" i="2" s="1"/>
  <c r="G195" i="2"/>
  <c r="K195" i="2" s="1"/>
  <c r="G211" i="2"/>
  <c r="K211" i="2" s="1"/>
  <c r="G235" i="2"/>
  <c r="K235" i="2" s="1"/>
  <c r="G259" i="2"/>
  <c r="K259" i="2" s="1"/>
  <c r="G275" i="2"/>
  <c r="K275" i="2" s="1"/>
  <c r="G299" i="2"/>
  <c r="K299" i="2" s="1"/>
  <c r="G323" i="2"/>
  <c r="K323" i="2" s="1"/>
  <c r="G339" i="2"/>
  <c r="K339" i="2" s="1"/>
  <c r="G363" i="2"/>
  <c r="K363" i="2" s="1"/>
  <c r="G387" i="2"/>
  <c r="K387" i="2" s="1"/>
  <c r="G403" i="2"/>
  <c r="K403" i="2" s="1"/>
  <c r="G427" i="2"/>
  <c r="K427" i="2" s="1"/>
  <c r="G451" i="2"/>
  <c r="K451" i="2" s="1"/>
  <c r="G467" i="2"/>
  <c r="K467" i="2" s="1"/>
  <c r="G491" i="2"/>
  <c r="K491" i="2" s="1"/>
  <c r="G515" i="2"/>
  <c r="K515" i="2" s="1"/>
  <c r="G531" i="2"/>
  <c r="K531" i="2" s="1"/>
  <c r="G555" i="2"/>
  <c r="K555" i="2" s="1"/>
  <c r="G579" i="2"/>
  <c r="K579" i="2" s="1"/>
  <c r="G595" i="2"/>
  <c r="K595" i="2" s="1"/>
  <c r="F3" i="2"/>
  <c r="F9" i="2"/>
  <c r="F10" i="2"/>
  <c r="F11" i="2"/>
  <c r="F17" i="2"/>
  <c r="F18" i="2"/>
  <c r="F19" i="2"/>
  <c r="F25" i="2"/>
  <c r="F26" i="2"/>
  <c r="F27" i="2"/>
  <c r="F33" i="2"/>
  <c r="F34" i="2"/>
  <c r="F35" i="2"/>
  <c r="F41" i="2"/>
  <c r="F42" i="2"/>
  <c r="F43" i="2"/>
  <c r="F49" i="2"/>
  <c r="F50" i="2"/>
  <c r="F51" i="2"/>
  <c r="F57" i="2"/>
  <c r="F58" i="2"/>
  <c r="F59" i="2"/>
  <c r="F65" i="2"/>
  <c r="F66" i="2"/>
  <c r="F67" i="2"/>
  <c r="F73" i="2"/>
  <c r="F74" i="2"/>
  <c r="F75" i="2"/>
  <c r="F81" i="2"/>
  <c r="F82" i="2"/>
  <c r="F83" i="2"/>
  <c r="J83" i="2" s="1"/>
  <c r="F89" i="2"/>
  <c r="F90" i="2"/>
  <c r="F91" i="2"/>
  <c r="J91" i="2" s="1"/>
  <c r="F97" i="2"/>
  <c r="F98" i="2"/>
  <c r="F99" i="2"/>
  <c r="J99" i="2" s="1"/>
  <c r="F105" i="2"/>
  <c r="F106" i="2"/>
  <c r="F107" i="2"/>
  <c r="J107" i="2" s="1"/>
  <c r="F113" i="2"/>
  <c r="F114" i="2"/>
  <c r="F115" i="2"/>
  <c r="J115" i="2" s="1"/>
  <c r="F121" i="2"/>
  <c r="F122" i="2"/>
  <c r="F123" i="2"/>
  <c r="J123" i="2" s="1"/>
  <c r="F129" i="2"/>
  <c r="F130" i="2"/>
  <c r="F131" i="2"/>
  <c r="J131" i="2" s="1"/>
  <c r="F137" i="2"/>
  <c r="F138" i="2"/>
  <c r="F139" i="2"/>
  <c r="J139" i="2" s="1"/>
  <c r="F145" i="2"/>
  <c r="F146" i="2"/>
  <c r="F147" i="2"/>
  <c r="J147" i="2" s="1"/>
  <c r="F153" i="2"/>
  <c r="F154" i="2"/>
  <c r="F155" i="2"/>
  <c r="J155" i="2" s="1"/>
  <c r="F161" i="2"/>
  <c r="F162" i="2"/>
  <c r="F163" i="2"/>
  <c r="J163" i="2" s="1"/>
  <c r="F169" i="2"/>
  <c r="F170" i="2"/>
  <c r="F171" i="2"/>
  <c r="J171" i="2" s="1"/>
  <c r="F177" i="2"/>
  <c r="F178" i="2"/>
  <c r="F179" i="2"/>
  <c r="J179" i="2" s="1"/>
  <c r="F185" i="2"/>
  <c r="F186" i="2"/>
  <c r="F187" i="2"/>
  <c r="J187" i="2" s="1"/>
  <c r="F193" i="2"/>
  <c r="F194" i="2"/>
  <c r="F195" i="2"/>
  <c r="J195" i="2" s="1"/>
  <c r="F201" i="2"/>
  <c r="F202" i="2"/>
  <c r="F203" i="2"/>
  <c r="J203" i="2" s="1"/>
  <c r="F209" i="2"/>
  <c r="F210" i="2"/>
  <c r="F211" i="2"/>
  <c r="J211" i="2" s="1"/>
  <c r="F217" i="2"/>
  <c r="F218" i="2"/>
  <c r="F219" i="2"/>
  <c r="J219" i="2" s="1"/>
  <c r="F225" i="2"/>
  <c r="F226" i="2"/>
  <c r="F227" i="2"/>
  <c r="J227" i="2" s="1"/>
  <c r="F233" i="2"/>
  <c r="F234" i="2"/>
  <c r="F235" i="2"/>
  <c r="J235" i="2" s="1"/>
  <c r="F241" i="2"/>
  <c r="F242" i="2"/>
  <c r="F243" i="2"/>
  <c r="J243" i="2" s="1"/>
  <c r="F249" i="2"/>
  <c r="F250" i="2"/>
  <c r="F251" i="2"/>
  <c r="J251" i="2" s="1"/>
  <c r="F257" i="2"/>
  <c r="F258" i="2"/>
  <c r="F259" i="2"/>
  <c r="J259" i="2" s="1"/>
  <c r="F265" i="2"/>
  <c r="F266" i="2"/>
  <c r="F267" i="2"/>
  <c r="J267" i="2" s="1"/>
  <c r="F273" i="2"/>
  <c r="F274" i="2"/>
  <c r="F275" i="2"/>
  <c r="J275" i="2" s="1"/>
  <c r="F281" i="2"/>
  <c r="F282" i="2"/>
  <c r="F283" i="2"/>
  <c r="J283" i="2" s="1"/>
  <c r="F289" i="2"/>
  <c r="F290" i="2"/>
  <c r="F291" i="2"/>
  <c r="J291" i="2" s="1"/>
  <c r="F297" i="2"/>
  <c r="F298" i="2"/>
  <c r="F299" i="2"/>
  <c r="J299" i="2" s="1"/>
  <c r="F305" i="2"/>
  <c r="F306" i="2"/>
  <c r="F307" i="2"/>
  <c r="J307" i="2" s="1"/>
  <c r="F313" i="2"/>
  <c r="F314" i="2"/>
  <c r="F315" i="2"/>
  <c r="J315" i="2" s="1"/>
  <c r="F321" i="2"/>
  <c r="F322" i="2"/>
  <c r="F323" i="2"/>
  <c r="J323" i="2" s="1"/>
  <c r="F329" i="2"/>
  <c r="F330" i="2"/>
  <c r="F331" i="2"/>
  <c r="J331" i="2" s="1"/>
  <c r="F337" i="2"/>
  <c r="F338" i="2"/>
  <c r="F339" i="2"/>
  <c r="J339" i="2" s="1"/>
  <c r="F345" i="2"/>
  <c r="F346" i="2"/>
  <c r="F347" i="2"/>
  <c r="J347" i="2" s="1"/>
  <c r="F353" i="2"/>
  <c r="F354" i="2"/>
  <c r="F355" i="2"/>
  <c r="J355" i="2" s="1"/>
  <c r="F361" i="2"/>
  <c r="F362" i="2"/>
  <c r="F363" i="2"/>
  <c r="J363" i="2" s="1"/>
  <c r="F369" i="2"/>
  <c r="F370" i="2"/>
  <c r="F371" i="2"/>
  <c r="J371" i="2" s="1"/>
  <c r="F377" i="2"/>
  <c r="F378" i="2"/>
  <c r="F379" i="2"/>
  <c r="J379" i="2" s="1"/>
  <c r="F385" i="2"/>
  <c r="F386" i="2"/>
  <c r="F387" i="2"/>
  <c r="J387" i="2" s="1"/>
  <c r="F393" i="2"/>
  <c r="F394" i="2"/>
  <c r="F395" i="2"/>
  <c r="J395" i="2" s="1"/>
  <c r="F401" i="2"/>
  <c r="F402" i="2"/>
  <c r="F403" i="2"/>
  <c r="J403" i="2" s="1"/>
  <c r="F409" i="2"/>
  <c r="F410" i="2"/>
  <c r="F411" i="2"/>
  <c r="J411" i="2" s="1"/>
  <c r="F417" i="2"/>
  <c r="F418" i="2"/>
  <c r="F419" i="2"/>
  <c r="J419" i="2" s="1"/>
  <c r="F425" i="2"/>
  <c r="F426" i="2"/>
  <c r="F427" i="2"/>
  <c r="J427" i="2" s="1"/>
  <c r="F433" i="2"/>
  <c r="F434" i="2"/>
  <c r="F435" i="2"/>
  <c r="J435" i="2" s="1"/>
  <c r="F441" i="2"/>
  <c r="F442" i="2"/>
  <c r="F443" i="2"/>
  <c r="J443" i="2" s="1"/>
  <c r="F449" i="2"/>
  <c r="F450" i="2"/>
  <c r="F451" i="2"/>
  <c r="J451" i="2" s="1"/>
  <c r="F457" i="2"/>
  <c r="F458" i="2"/>
  <c r="F459" i="2"/>
  <c r="J459" i="2" s="1"/>
  <c r="F465" i="2"/>
  <c r="F466" i="2"/>
  <c r="F467" i="2"/>
  <c r="J467" i="2" s="1"/>
  <c r="F473" i="2"/>
  <c r="F474" i="2"/>
  <c r="F475" i="2"/>
  <c r="J475" i="2" s="1"/>
  <c r="F481" i="2"/>
  <c r="F482" i="2"/>
  <c r="F483" i="2"/>
  <c r="J483" i="2" s="1"/>
  <c r="F489" i="2"/>
  <c r="F490" i="2"/>
  <c r="F491" i="2"/>
  <c r="J491" i="2" s="1"/>
  <c r="F497" i="2"/>
  <c r="F498" i="2"/>
  <c r="F499" i="2"/>
  <c r="J499" i="2" s="1"/>
  <c r="F505" i="2"/>
  <c r="F506" i="2"/>
  <c r="F507" i="2"/>
  <c r="J507" i="2" s="1"/>
  <c r="F513" i="2"/>
  <c r="F514" i="2"/>
  <c r="F515" i="2"/>
  <c r="J515" i="2" s="1"/>
  <c r="F521" i="2"/>
  <c r="F522" i="2"/>
  <c r="F523" i="2"/>
  <c r="J523" i="2" s="1"/>
  <c r="F529" i="2"/>
  <c r="F530" i="2"/>
  <c r="F531" i="2"/>
  <c r="J531" i="2" s="1"/>
  <c r="F537" i="2"/>
  <c r="F538" i="2"/>
  <c r="F539" i="2"/>
  <c r="J539" i="2" s="1"/>
  <c r="F545" i="2"/>
  <c r="F546" i="2"/>
  <c r="F547" i="2"/>
  <c r="J547" i="2" s="1"/>
  <c r="F553" i="2"/>
  <c r="F554" i="2"/>
  <c r="F555" i="2"/>
  <c r="J555" i="2" s="1"/>
  <c r="F561" i="2"/>
  <c r="F562" i="2"/>
  <c r="F563" i="2"/>
  <c r="J563" i="2" s="1"/>
  <c r="F569" i="2"/>
  <c r="F570" i="2"/>
  <c r="F571" i="2"/>
  <c r="J571" i="2" s="1"/>
  <c r="F577" i="2"/>
  <c r="F578" i="2"/>
  <c r="F579" i="2"/>
  <c r="J579" i="2" s="1"/>
  <c r="F585" i="2"/>
  <c r="F586" i="2"/>
  <c r="F587" i="2"/>
  <c r="J587" i="2" s="1"/>
  <c r="F593" i="2"/>
  <c r="F594" i="2"/>
  <c r="F595" i="2"/>
  <c r="J595" i="2" s="1"/>
  <c r="F601" i="2"/>
  <c r="F602" i="2"/>
  <c r="F2" i="2"/>
  <c r="J2" i="2" s="1"/>
  <c r="E2" i="2" a="1"/>
  <c r="E2" i="2" s="1"/>
  <c r="F3" i="1"/>
  <c r="H3" i="1" s="1"/>
  <c r="I3" i="1" s="1"/>
  <c r="F4" i="1"/>
  <c r="H4" i="1" s="1"/>
  <c r="I4" i="1" s="1"/>
  <c r="F5" i="1"/>
  <c r="H5" i="1" s="1"/>
  <c r="I5" i="1" s="1"/>
  <c r="F6" i="1"/>
  <c r="C6" i="1" s="1"/>
  <c r="F7" i="1"/>
  <c r="H7" i="1" s="1"/>
  <c r="I7" i="1" s="1"/>
  <c r="F8" i="1"/>
  <c r="F9" i="1"/>
  <c r="F10" i="1"/>
  <c r="H10" i="1" s="1"/>
  <c r="I10" i="1" s="1"/>
  <c r="F11" i="1"/>
  <c r="H11" i="1" s="1"/>
  <c r="L11" i="1" s="1"/>
  <c r="F12" i="1"/>
  <c r="H12" i="1" s="1"/>
  <c r="I12" i="1" s="1"/>
  <c r="F13" i="1"/>
  <c r="H13" i="1" s="1"/>
  <c r="I13" i="1" s="1"/>
  <c r="F14" i="1"/>
  <c r="H14" i="1" s="1"/>
  <c r="I14" i="1" s="1"/>
  <c r="F15" i="1"/>
  <c r="H15" i="1" s="1"/>
  <c r="I15" i="1" s="1"/>
  <c r="F16" i="1"/>
  <c r="F17" i="1"/>
  <c r="F18" i="1"/>
  <c r="H18" i="1" s="1"/>
  <c r="I18" i="1" s="1"/>
  <c r="F19" i="1"/>
  <c r="H19" i="1" s="1"/>
  <c r="L19" i="1" s="1"/>
  <c r="F20" i="1"/>
  <c r="H20" i="1" s="1"/>
  <c r="L20" i="1" s="1"/>
  <c r="F21" i="1"/>
  <c r="H21" i="1" s="1"/>
  <c r="I21" i="1" s="1"/>
  <c r="F22" i="1"/>
  <c r="H22" i="1" s="1"/>
  <c r="I22" i="1" s="1"/>
  <c r="F23" i="1"/>
  <c r="H23" i="1" s="1"/>
  <c r="I23" i="1" s="1"/>
  <c r="F24" i="1"/>
  <c r="F25" i="1"/>
  <c r="F26" i="1"/>
  <c r="F27" i="1"/>
  <c r="H27" i="1" s="1"/>
  <c r="L27" i="1" s="1"/>
  <c r="F28" i="1"/>
  <c r="H28" i="1" s="1"/>
  <c r="L28" i="1" s="1"/>
  <c r="F29" i="1"/>
  <c r="H29" i="1" s="1"/>
  <c r="I29" i="1" s="1"/>
  <c r="F30" i="1"/>
  <c r="H30" i="1" s="1"/>
  <c r="I30" i="1" s="1"/>
  <c r="F31" i="1"/>
  <c r="H31" i="1" s="1"/>
  <c r="I31" i="1" s="1"/>
  <c r="F32" i="1"/>
  <c r="H32" i="1" s="1"/>
  <c r="I32" i="1" s="1"/>
  <c r="F33" i="1"/>
  <c r="F34" i="1"/>
  <c r="H34" i="1" s="1"/>
  <c r="I34" i="1" s="1"/>
  <c r="F35" i="1"/>
  <c r="H35" i="1" s="1"/>
  <c r="L35" i="1" s="1"/>
  <c r="F36" i="1"/>
  <c r="H36" i="1" s="1"/>
  <c r="I36" i="1" s="1"/>
  <c r="F37" i="1"/>
  <c r="H37" i="1" s="1"/>
  <c r="I37" i="1" s="1"/>
  <c r="F38" i="1"/>
  <c r="H38" i="1" s="1"/>
  <c r="I38" i="1" s="1"/>
  <c r="F39" i="1"/>
  <c r="H39" i="1" s="1"/>
  <c r="I39" i="1" s="1"/>
  <c r="F40" i="1"/>
  <c r="H40" i="1" s="1"/>
  <c r="I40" i="1" s="1"/>
  <c r="F41" i="1"/>
  <c r="F42" i="1"/>
  <c r="H42" i="1" s="1"/>
  <c r="I42" i="1" s="1"/>
  <c r="F43" i="1"/>
  <c r="H43" i="1" s="1"/>
  <c r="L43" i="1" s="1"/>
  <c r="F44" i="1"/>
  <c r="H44" i="1" s="1"/>
  <c r="I44" i="1" s="1"/>
  <c r="F45" i="1"/>
  <c r="H45" i="1" s="1"/>
  <c r="I45" i="1" s="1"/>
  <c r="F46" i="1"/>
  <c r="F47" i="1"/>
  <c r="H47" i="1" s="1"/>
  <c r="I47" i="1" s="1"/>
  <c r="F48" i="1"/>
  <c r="H48" i="1" s="1"/>
  <c r="I48" i="1" s="1"/>
  <c r="F49" i="1"/>
  <c r="F50" i="1"/>
  <c r="H50" i="1" s="1"/>
  <c r="I50" i="1" s="1"/>
  <c r="F51" i="1"/>
  <c r="H51" i="1" s="1"/>
  <c r="L51" i="1" s="1"/>
  <c r="F52" i="1"/>
  <c r="H52" i="1" s="1"/>
  <c r="I52" i="1" s="1"/>
  <c r="F53" i="1"/>
  <c r="H53" i="1" s="1"/>
  <c r="I53" i="1" s="1"/>
  <c r="F54" i="1"/>
  <c r="H54" i="1" s="1"/>
  <c r="I54" i="1" s="1"/>
  <c r="F55" i="1"/>
  <c r="H55" i="1" s="1"/>
  <c r="I55" i="1" s="1"/>
  <c r="F56" i="1"/>
  <c r="H56" i="1" s="1"/>
  <c r="I56" i="1" s="1"/>
  <c r="F57" i="1"/>
  <c r="F58" i="1"/>
  <c r="H58" i="1" s="1"/>
  <c r="I58" i="1" s="1"/>
  <c r="F59" i="1"/>
  <c r="H59" i="1" s="1"/>
  <c r="L59" i="1" s="1"/>
  <c r="F60" i="1"/>
  <c r="H60" i="1" s="1"/>
  <c r="I60" i="1" s="1"/>
  <c r="F61" i="1"/>
  <c r="H61" i="1" s="1"/>
  <c r="I61" i="1" s="1"/>
  <c r="F62" i="1"/>
  <c r="H62" i="1" s="1"/>
  <c r="I62" i="1" s="1"/>
  <c r="F63" i="1"/>
  <c r="H63" i="1" s="1"/>
  <c r="I63" i="1" s="1"/>
  <c r="F64" i="1"/>
  <c r="H64" i="1" s="1"/>
  <c r="I64" i="1" s="1"/>
  <c r="F65" i="1"/>
  <c r="F66" i="1"/>
  <c r="H66" i="1" s="1"/>
  <c r="I66" i="1" s="1"/>
  <c r="F67" i="1"/>
  <c r="H67" i="1" s="1"/>
  <c r="L67" i="1" s="1"/>
  <c r="M67" i="1" s="1"/>
  <c r="N67" i="1" s="1"/>
  <c r="O67" i="1" s="1"/>
  <c r="F68" i="1"/>
  <c r="H68" i="1" s="1"/>
  <c r="I68" i="1" s="1"/>
  <c r="F69" i="1"/>
  <c r="H69" i="1" s="1"/>
  <c r="I69" i="1" s="1"/>
  <c r="F70" i="1"/>
  <c r="H70" i="1" s="1"/>
  <c r="I70" i="1" s="1"/>
  <c r="F71" i="1"/>
  <c r="H71" i="1" s="1"/>
  <c r="I71" i="1" s="1"/>
  <c r="F72" i="1"/>
  <c r="H72" i="1" s="1"/>
  <c r="I72" i="1" s="1"/>
  <c r="F73" i="1"/>
  <c r="F74" i="1"/>
  <c r="H74" i="1" s="1"/>
  <c r="I74" i="1" s="1"/>
  <c r="F75" i="1"/>
  <c r="H75" i="1" s="1"/>
  <c r="I75" i="1" s="1"/>
  <c r="F76" i="1"/>
  <c r="H76" i="1" s="1"/>
  <c r="I76" i="1" s="1"/>
  <c r="F77" i="1"/>
  <c r="H77" i="1" s="1"/>
  <c r="I77" i="1" s="1"/>
  <c r="F78" i="1"/>
  <c r="H78" i="1" s="1"/>
  <c r="I78" i="1" s="1"/>
  <c r="F79" i="1"/>
  <c r="H79" i="1" s="1"/>
  <c r="I79" i="1" s="1"/>
  <c r="F80" i="1"/>
  <c r="H80" i="1" s="1"/>
  <c r="I80" i="1" s="1"/>
  <c r="F81" i="1"/>
  <c r="F82" i="1"/>
  <c r="H82" i="1" s="1"/>
  <c r="I82" i="1" s="1"/>
  <c r="F83" i="1"/>
  <c r="H83" i="1" s="1"/>
  <c r="L83" i="1" s="1"/>
  <c r="F84" i="1"/>
  <c r="H84" i="1" s="1"/>
  <c r="I84" i="1" s="1"/>
  <c r="F85" i="1"/>
  <c r="H85" i="1" s="1"/>
  <c r="I85" i="1" s="1"/>
  <c r="F86" i="1"/>
  <c r="H86" i="1" s="1"/>
  <c r="I86" i="1" s="1"/>
  <c r="F87" i="1"/>
  <c r="H87" i="1" s="1"/>
  <c r="I87" i="1" s="1"/>
  <c r="F88" i="1"/>
  <c r="H88" i="1" s="1"/>
  <c r="I88" i="1" s="1"/>
  <c r="F89" i="1"/>
  <c r="F90" i="1"/>
  <c r="F91" i="1"/>
  <c r="H91" i="1" s="1"/>
  <c r="L91" i="1" s="1"/>
  <c r="F92" i="1"/>
  <c r="H92" i="1" s="1"/>
  <c r="I92" i="1" s="1"/>
  <c r="F93" i="1"/>
  <c r="H93" i="1" s="1"/>
  <c r="I93" i="1" s="1"/>
  <c r="F94" i="1"/>
  <c r="H94" i="1" s="1"/>
  <c r="I94" i="1" s="1"/>
  <c r="F95" i="1"/>
  <c r="H95" i="1" s="1"/>
  <c r="I95" i="1" s="1"/>
  <c r="F96" i="1"/>
  <c r="H96" i="1" s="1"/>
  <c r="I96" i="1" s="1"/>
  <c r="F97" i="1"/>
  <c r="F98" i="1"/>
  <c r="H98" i="1" s="1"/>
  <c r="I98" i="1" s="1"/>
  <c r="F99" i="1"/>
  <c r="H99" i="1" s="1"/>
  <c r="I99" i="1" s="1"/>
  <c r="F100" i="1"/>
  <c r="H100" i="1" s="1"/>
  <c r="I100" i="1" s="1"/>
  <c r="F101" i="1"/>
  <c r="H101" i="1" s="1"/>
  <c r="I101" i="1" s="1"/>
  <c r="F102" i="1"/>
  <c r="H102" i="1" s="1"/>
  <c r="I102" i="1" s="1"/>
  <c r="F103" i="1"/>
  <c r="H103" i="1" s="1"/>
  <c r="I103" i="1" s="1"/>
  <c r="F104" i="1"/>
  <c r="H104" i="1" s="1"/>
  <c r="I104" i="1" s="1"/>
  <c r="F105" i="1"/>
  <c r="F106" i="1"/>
  <c r="H106" i="1" s="1"/>
  <c r="I106" i="1" s="1"/>
  <c r="F107" i="1"/>
  <c r="H107" i="1" s="1"/>
  <c r="L107" i="1" s="1"/>
  <c r="F108" i="1"/>
  <c r="H108" i="1" s="1"/>
  <c r="I108" i="1" s="1"/>
  <c r="F109" i="1"/>
  <c r="H109" i="1" s="1"/>
  <c r="I109" i="1" s="1"/>
  <c r="F110" i="1"/>
  <c r="H110" i="1" s="1"/>
  <c r="I110" i="1" s="1"/>
  <c r="F111" i="1"/>
  <c r="H111" i="1" s="1"/>
  <c r="I111" i="1" s="1"/>
  <c r="F112" i="1"/>
  <c r="H112" i="1" s="1"/>
  <c r="I112" i="1" s="1"/>
  <c r="F113" i="1"/>
  <c r="F114" i="1"/>
  <c r="H114" i="1" s="1"/>
  <c r="I114" i="1" s="1"/>
  <c r="F115" i="1"/>
  <c r="H115" i="1" s="1"/>
  <c r="L115" i="1" s="1"/>
  <c r="F116" i="1"/>
  <c r="H116" i="1" s="1"/>
  <c r="L116" i="1" s="1"/>
  <c r="F117" i="1"/>
  <c r="H117" i="1" s="1"/>
  <c r="I117" i="1" s="1"/>
  <c r="F118" i="1"/>
  <c r="H118" i="1" s="1"/>
  <c r="I118" i="1" s="1"/>
  <c r="F119" i="1"/>
  <c r="H119" i="1" s="1"/>
  <c r="I119" i="1" s="1"/>
  <c r="F120" i="1"/>
  <c r="H120" i="1" s="1"/>
  <c r="I120" i="1" s="1"/>
  <c r="F121" i="1"/>
  <c r="F122" i="1"/>
  <c r="H122" i="1" s="1"/>
  <c r="I122" i="1" s="1"/>
  <c r="F123" i="1"/>
  <c r="H123" i="1" s="1"/>
  <c r="L123" i="1" s="1"/>
  <c r="F124" i="1"/>
  <c r="H124" i="1" s="1"/>
  <c r="L124" i="1" s="1"/>
  <c r="F125" i="1"/>
  <c r="H125" i="1" s="1"/>
  <c r="I125" i="1" s="1"/>
  <c r="F126" i="1"/>
  <c r="H126" i="1" s="1"/>
  <c r="I126" i="1" s="1"/>
  <c r="F127" i="1"/>
  <c r="H127" i="1" s="1"/>
  <c r="I127" i="1" s="1"/>
  <c r="F128" i="1"/>
  <c r="H128" i="1" s="1"/>
  <c r="I128" i="1" s="1"/>
  <c r="F129" i="1"/>
  <c r="F130" i="1"/>
  <c r="H130" i="1" s="1"/>
  <c r="I130" i="1" s="1"/>
  <c r="F131" i="1"/>
  <c r="H131" i="1" s="1"/>
  <c r="I131" i="1" s="1"/>
  <c r="F132" i="1"/>
  <c r="H132" i="1" s="1"/>
  <c r="I132" i="1" s="1"/>
  <c r="F133" i="1"/>
  <c r="H133" i="1" s="1"/>
  <c r="I133" i="1" s="1"/>
  <c r="F134" i="1"/>
  <c r="H134" i="1" s="1"/>
  <c r="I134" i="1" s="1"/>
  <c r="F135" i="1"/>
  <c r="H135" i="1" s="1"/>
  <c r="I135" i="1" s="1"/>
  <c r="F136" i="1"/>
  <c r="H136" i="1" s="1"/>
  <c r="I136" i="1" s="1"/>
  <c r="F137" i="1"/>
  <c r="F138" i="1"/>
  <c r="H138" i="1" s="1"/>
  <c r="I138" i="1" s="1"/>
  <c r="F139" i="1"/>
  <c r="H139" i="1" s="1"/>
  <c r="L139" i="1" s="1"/>
  <c r="M139" i="1" s="1"/>
  <c r="N139" i="1" s="1"/>
  <c r="O139" i="1" s="1"/>
  <c r="F140" i="1"/>
  <c r="H140" i="1" s="1"/>
  <c r="L140" i="1" s="1"/>
  <c r="F141" i="1"/>
  <c r="H141" i="1" s="1"/>
  <c r="I141" i="1" s="1"/>
  <c r="F142" i="1"/>
  <c r="H142" i="1" s="1"/>
  <c r="I142" i="1" s="1"/>
  <c r="F143" i="1"/>
  <c r="H143" i="1" s="1"/>
  <c r="I143" i="1" s="1"/>
  <c r="F144" i="1"/>
  <c r="H144" i="1" s="1"/>
  <c r="I144" i="1" s="1"/>
  <c r="F145" i="1"/>
  <c r="F146" i="1"/>
  <c r="H146" i="1" s="1"/>
  <c r="I146" i="1" s="1"/>
  <c r="F147" i="1"/>
  <c r="H147" i="1" s="1"/>
  <c r="I147" i="1" s="1"/>
  <c r="F148" i="1"/>
  <c r="H148" i="1" s="1"/>
  <c r="L148" i="1" s="1"/>
  <c r="F149" i="1"/>
  <c r="H149" i="1" s="1"/>
  <c r="I149" i="1" s="1"/>
  <c r="F150" i="1"/>
  <c r="H150" i="1" s="1"/>
  <c r="I150" i="1" s="1"/>
  <c r="F151" i="1"/>
  <c r="H151" i="1" s="1"/>
  <c r="I151" i="1" s="1"/>
  <c r="F152" i="1"/>
  <c r="H152" i="1" s="1"/>
  <c r="I152" i="1" s="1"/>
  <c r="F153" i="1"/>
  <c r="F154" i="1"/>
  <c r="F155" i="1"/>
  <c r="H155" i="1" s="1"/>
  <c r="I155" i="1" s="1"/>
  <c r="F156" i="1"/>
  <c r="H156" i="1" s="1"/>
  <c r="L156" i="1" s="1"/>
  <c r="F157" i="1"/>
  <c r="H157" i="1" s="1"/>
  <c r="I157" i="1" s="1"/>
  <c r="F158" i="1"/>
  <c r="H158" i="1" s="1"/>
  <c r="I158" i="1" s="1"/>
  <c r="F159" i="1"/>
  <c r="H159" i="1" s="1"/>
  <c r="I159" i="1" s="1"/>
  <c r="F160" i="1"/>
  <c r="H160" i="1" s="1"/>
  <c r="I160" i="1" s="1"/>
  <c r="F161" i="1"/>
  <c r="F162" i="1"/>
  <c r="H162" i="1" s="1"/>
  <c r="I162" i="1" s="1"/>
  <c r="F163" i="1"/>
  <c r="H163" i="1" s="1"/>
  <c r="I163" i="1" s="1"/>
  <c r="F164" i="1"/>
  <c r="H164" i="1" s="1"/>
  <c r="I164" i="1" s="1"/>
  <c r="F165" i="1"/>
  <c r="H165" i="1" s="1"/>
  <c r="I165" i="1" s="1"/>
  <c r="F166" i="1"/>
  <c r="H166" i="1" s="1"/>
  <c r="I166" i="1" s="1"/>
  <c r="F167" i="1"/>
  <c r="H167" i="1" s="1"/>
  <c r="I167" i="1" s="1"/>
  <c r="F168" i="1"/>
  <c r="H168" i="1" s="1"/>
  <c r="I168" i="1" s="1"/>
  <c r="F169" i="1"/>
  <c r="F170" i="1"/>
  <c r="H170" i="1" s="1"/>
  <c r="I170" i="1" s="1"/>
  <c r="F171" i="1"/>
  <c r="H171" i="1" s="1"/>
  <c r="I171" i="1" s="1"/>
  <c r="F172" i="1"/>
  <c r="H172" i="1" s="1"/>
  <c r="I172" i="1" s="1"/>
  <c r="F173" i="1"/>
  <c r="H173" i="1" s="1"/>
  <c r="I173" i="1" s="1"/>
  <c r="F174" i="1"/>
  <c r="H174" i="1" s="1"/>
  <c r="I174" i="1" s="1"/>
  <c r="F175" i="1"/>
  <c r="H175" i="1" s="1"/>
  <c r="I175" i="1" s="1"/>
  <c r="F176" i="1"/>
  <c r="H176" i="1" s="1"/>
  <c r="I176" i="1" s="1"/>
  <c r="F177" i="1"/>
  <c r="F178" i="1"/>
  <c r="H178" i="1" s="1"/>
  <c r="I178" i="1" s="1"/>
  <c r="F179" i="1"/>
  <c r="H179" i="1" s="1"/>
  <c r="I179" i="1" s="1"/>
  <c r="F180" i="1"/>
  <c r="H180" i="1" s="1"/>
  <c r="L180" i="1" s="1"/>
  <c r="F181" i="1"/>
  <c r="H181" i="1" s="1"/>
  <c r="I181" i="1" s="1"/>
  <c r="F182" i="1"/>
  <c r="H182" i="1" s="1"/>
  <c r="I182" i="1" s="1"/>
  <c r="F183" i="1"/>
  <c r="H183" i="1" s="1"/>
  <c r="I183" i="1" s="1"/>
  <c r="F184" i="1"/>
  <c r="H184" i="1" s="1"/>
  <c r="I184" i="1" s="1"/>
  <c r="F185" i="1"/>
  <c r="F186" i="1"/>
  <c r="H186" i="1" s="1"/>
  <c r="I186" i="1" s="1"/>
  <c r="F187" i="1"/>
  <c r="H187" i="1" s="1"/>
  <c r="I187" i="1" s="1"/>
  <c r="F188" i="1"/>
  <c r="H188" i="1" s="1"/>
  <c r="L188" i="1" s="1"/>
  <c r="F189" i="1"/>
  <c r="H189" i="1" s="1"/>
  <c r="I189" i="1" s="1"/>
  <c r="F190" i="1"/>
  <c r="H190" i="1" s="1"/>
  <c r="I190" i="1" s="1"/>
  <c r="F191" i="1"/>
  <c r="H191" i="1" s="1"/>
  <c r="I191" i="1" s="1"/>
  <c r="F192" i="1"/>
  <c r="H192" i="1" s="1"/>
  <c r="I192" i="1" s="1"/>
  <c r="F193" i="1"/>
  <c r="F194" i="1"/>
  <c r="H194" i="1" s="1"/>
  <c r="I194" i="1" s="1"/>
  <c r="F195" i="1"/>
  <c r="H195" i="1" s="1"/>
  <c r="I195" i="1" s="1"/>
  <c r="F196" i="1"/>
  <c r="H196" i="1" s="1"/>
  <c r="I196" i="1" s="1"/>
  <c r="F197" i="1"/>
  <c r="H197" i="1" s="1"/>
  <c r="I197" i="1" s="1"/>
  <c r="F198" i="1"/>
  <c r="H198" i="1" s="1"/>
  <c r="I198" i="1" s="1"/>
  <c r="F199" i="1"/>
  <c r="H199" i="1" s="1"/>
  <c r="I199" i="1" s="1"/>
  <c r="F200" i="1"/>
  <c r="H200" i="1" s="1"/>
  <c r="I200" i="1" s="1"/>
  <c r="F201" i="1"/>
  <c r="F202" i="1"/>
  <c r="H202" i="1" s="1"/>
  <c r="I202" i="1" s="1"/>
  <c r="F203" i="1"/>
  <c r="H203" i="1" s="1"/>
  <c r="L203" i="1" s="1"/>
  <c r="F204" i="1"/>
  <c r="H204" i="1" s="1"/>
  <c r="I204" i="1" s="1"/>
  <c r="F205" i="1"/>
  <c r="H205" i="1" s="1"/>
  <c r="I205" i="1" s="1"/>
  <c r="F206" i="1"/>
  <c r="H206" i="1" s="1"/>
  <c r="I206" i="1" s="1"/>
  <c r="F207" i="1"/>
  <c r="H207" i="1" s="1"/>
  <c r="I207" i="1" s="1"/>
  <c r="F208" i="1"/>
  <c r="H208" i="1" s="1"/>
  <c r="I208" i="1" s="1"/>
  <c r="F209" i="1"/>
  <c r="F210" i="1"/>
  <c r="H210" i="1" s="1"/>
  <c r="I210" i="1" s="1"/>
  <c r="F211" i="1"/>
  <c r="H211" i="1" s="1"/>
  <c r="L211" i="1" s="1"/>
  <c r="M211" i="1" s="1"/>
  <c r="N211" i="1" s="1"/>
  <c r="O211" i="1" s="1"/>
  <c r="F212" i="1"/>
  <c r="H212" i="1" s="1"/>
  <c r="I212" i="1" s="1"/>
  <c r="F213" i="1"/>
  <c r="H213" i="1" s="1"/>
  <c r="I213" i="1" s="1"/>
  <c r="F214" i="1"/>
  <c r="H214" i="1" s="1"/>
  <c r="I214" i="1" s="1"/>
  <c r="F215" i="1"/>
  <c r="H215" i="1" s="1"/>
  <c r="I215" i="1" s="1"/>
  <c r="F216" i="1"/>
  <c r="H216" i="1" s="1"/>
  <c r="I216" i="1" s="1"/>
  <c r="F217" i="1"/>
  <c r="F218" i="1"/>
  <c r="F219" i="1"/>
  <c r="H219" i="1" s="1"/>
  <c r="L219" i="1" s="1"/>
  <c r="M219" i="1" s="1"/>
  <c r="N219" i="1" s="1"/>
  <c r="O219" i="1" s="1"/>
  <c r="F220" i="1"/>
  <c r="H220" i="1" s="1"/>
  <c r="I220" i="1" s="1"/>
  <c r="F221" i="1"/>
  <c r="H221" i="1" s="1"/>
  <c r="I221" i="1" s="1"/>
  <c r="F222" i="1"/>
  <c r="H222" i="1" s="1"/>
  <c r="I222" i="1" s="1"/>
  <c r="F223" i="1"/>
  <c r="H223" i="1" s="1"/>
  <c r="I223" i="1" s="1"/>
  <c r="F224" i="1"/>
  <c r="H224" i="1" s="1"/>
  <c r="I224" i="1" s="1"/>
  <c r="F225" i="1"/>
  <c r="F226" i="1"/>
  <c r="H226" i="1" s="1"/>
  <c r="I226" i="1" s="1"/>
  <c r="F227" i="1"/>
  <c r="H227" i="1" s="1"/>
  <c r="I227" i="1" s="1"/>
  <c r="F228" i="1"/>
  <c r="H228" i="1" s="1"/>
  <c r="I228" i="1" s="1"/>
  <c r="F229" i="1"/>
  <c r="H229" i="1" s="1"/>
  <c r="I229" i="1" s="1"/>
  <c r="F230" i="1"/>
  <c r="H230" i="1" s="1"/>
  <c r="I230" i="1" s="1"/>
  <c r="F231" i="1"/>
  <c r="H231" i="1" s="1"/>
  <c r="I231" i="1" s="1"/>
  <c r="F232" i="1"/>
  <c r="H232" i="1" s="1"/>
  <c r="I232" i="1" s="1"/>
  <c r="F233" i="1"/>
  <c r="F234" i="1"/>
  <c r="H234" i="1" s="1"/>
  <c r="I234" i="1" s="1"/>
  <c r="F235" i="1"/>
  <c r="H235" i="1" s="1"/>
  <c r="I235" i="1" s="1"/>
  <c r="F236" i="1"/>
  <c r="H236" i="1" s="1"/>
  <c r="I236" i="1" s="1"/>
  <c r="F237" i="1"/>
  <c r="H237" i="1" s="1"/>
  <c r="I237" i="1" s="1"/>
  <c r="F238" i="1"/>
  <c r="H238" i="1" s="1"/>
  <c r="I238" i="1" s="1"/>
  <c r="F239" i="1"/>
  <c r="H239" i="1" s="1"/>
  <c r="I239" i="1" s="1"/>
  <c r="F240" i="1"/>
  <c r="H240" i="1" s="1"/>
  <c r="I240" i="1" s="1"/>
  <c r="F241" i="1"/>
  <c r="F242" i="1"/>
  <c r="H242" i="1" s="1"/>
  <c r="I242" i="1" s="1"/>
  <c r="F243" i="1"/>
  <c r="H243" i="1" s="1"/>
  <c r="I243" i="1" s="1"/>
  <c r="F244" i="1"/>
  <c r="H244" i="1" s="1"/>
  <c r="I244" i="1" s="1"/>
  <c r="F245" i="1"/>
  <c r="H245" i="1" s="1"/>
  <c r="I245" i="1" s="1"/>
  <c r="F246" i="1"/>
  <c r="H246" i="1" s="1"/>
  <c r="I246" i="1" s="1"/>
  <c r="F247" i="1"/>
  <c r="H247" i="1" s="1"/>
  <c r="I247" i="1" s="1"/>
  <c r="F248" i="1"/>
  <c r="H248" i="1" s="1"/>
  <c r="I248" i="1" s="1"/>
  <c r="F249" i="1"/>
  <c r="F250" i="1"/>
  <c r="H250" i="1" s="1"/>
  <c r="I250" i="1" s="1"/>
  <c r="F251" i="1"/>
  <c r="H251" i="1" s="1"/>
  <c r="I251" i="1" s="1"/>
  <c r="F252" i="1"/>
  <c r="H252" i="1" s="1"/>
  <c r="I252" i="1" s="1"/>
  <c r="F253" i="1"/>
  <c r="H253" i="1" s="1"/>
  <c r="I253" i="1" s="1"/>
  <c r="F254" i="1"/>
  <c r="H254" i="1" s="1"/>
  <c r="I254" i="1" s="1"/>
  <c r="F255" i="1"/>
  <c r="H255" i="1" s="1"/>
  <c r="I255" i="1" s="1"/>
  <c r="F256" i="1"/>
  <c r="H256" i="1" s="1"/>
  <c r="I256" i="1" s="1"/>
  <c r="F257" i="1"/>
  <c r="F258" i="1"/>
  <c r="H258" i="1" s="1"/>
  <c r="I258" i="1" s="1"/>
  <c r="F259" i="1"/>
  <c r="H259" i="1" s="1"/>
  <c r="I259" i="1" s="1"/>
  <c r="F260" i="1"/>
  <c r="H260" i="1" s="1"/>
  <c r="I260" i="1" s="1"/>
  <c r="F261" i="1"/>
  <c r="H261" i="1" s="1"/>
  <c r="I261" i="1" s="1"/>
  <c r="F262" i="1"/>
  <c r="H262" i="1" s="1"/>
  <c r="I262" i="1" s="1"/>
  <c r="F263" i="1"/>
  <c r="H263" i="1" s="1"/>
  <c r="I263" i="1" s="1"/>
  <c r="F264" i="1"/>
  <c r="H264" i="1" s="1"/>
  <c r="I264" i="1" s="1"/>
  <c r="F265" i="1"/>
  <c r="F266" i="1"/>
  <c r="H266" i="1" s="1"/>
  <c r="I266" i="1" s="1"/>
  <c r="F267" i="1"/>
  <c r="H267" i="1" s="1"/>
  <c r="I267" i="1" s="1"/>
  <c r="F268" i="1"/>
  <c r="H268" i="1" s="1"/>
  <c r="I268" i="1" s="1"/>
  <c r="F269" i="1"/>
  <c r="H269" i="1" s="1"/>
  <c r="I269" i="1" s="1"/>
  <c r="F270" i="1"/>
  <c r="H270" i="1" s="1"/>
  <c r="I270" i="1" s="1"/>
  <c r="F271" i="1"/>
  <c r="H271" i="1" s="1"/>
  <c r="I271" i="1" s="1"/>
  <c r="F272" i="1"/>
  <c r="H272" i="1" s="1"/>
  <c r="I272" i="1" s="1"/>
  <c r="F273" i="1"/>
  <c r="F274" i="1"/>
  <c r="H274" i="1" s="1"/>
  <c r="I274" i="1" s="1"/>
  <c r="F275" i="1"/>
  <c r="H275" i="1" s="1"/>
  <c r="L275" i="1" s="1"/>
  <c r="F276" i="1"/>
  <c r="H276" i="1" s="1"/>
  <c r="L276" i="1" s="1"/>
  <c r="F277" i="1"/>
  <c r="H277" i="1" s="1"/>
  <c r="I277" i="1" s="1"/>
  <c r="F278" i="1"/>
  <c r="H278" i="1" s="1"/>
  <c r="I278" i="1" s="1"/>
  <c r="F279" i="1"/>
  <c r="H279" i="1" s="1"/>
  <c r="I279" i="1" s="1"/>
  <c r="F280" i="1"/>
  <c r="H280" i="1" s="1"/>
  <c r="I280" i="1" s="1"/>
  <c r="F281" i="1"/>
  <c r="F282" i="1"/>
  <c r="F283" i="1"/>
  <c r="H283" i="1" s="1"/>
  <c r="L283" i="1" s="1"/>
  <c r="F284" i="1"/>
  <c r="H284" i="1" s="1"/>
  <c r="L284" i="1" s="1"/>
  <c r="F285" i="1"/>
  <c r="H285" i="1" s="1"/>
  <c r="I285" i="1" s="1"/>
  <c r="F286" i="1"/>
  <c r="H286" i="1" s="1"/>
  <c r="I286" i="1" s="1"/>
  <c r="F287" i="1"/>
  <c r="H287" i="1" s="1"/>
  <c r="I287" i="1" s="1"/>
  <c r="F288" i="1"/>
  <c r="H288" i="1" s="1"/>
  <c r="I288" i="1" s="1"/>
  <c r="F289" i="1"/>
  <c r="F290" i="1"/>
  <c r="H290" i="1" s="1"/>
  <c r="I290" i="1" s="1"/>
  <c r="F291" i="1"/>
  <c r="H291" i="1" s="1"/>
  <c r="L291" i="1" s="1"/>
  <c r="F292" i="1"/>
  <c r="H292" i="1" s="1"/>
  <c r="I292" i="1" s="1"/>
  <c r="F293" i="1"/>
  <c r="H293" i="1" s="1"/>
  <c r="I293" i="1" s="1"/>
  <c r="F294" i="1"/>
  <c r="H294" i="1" s="1"/>
  <c r="I294" i="1" s="1"/>
  <c r="F295" i="1"/>
  <c r="H295" i="1" s="1"/>
  <c r="I295" i="1" s="1"/>
  <c r="F296" i="1"/>
  <c r="H296" i="1" s="1"/>
  <c r="I296" i="1" s="1"/>
  <c r="F297" i="1"/>
  <c r="F298" i="1"/>
  <c r="H298" i="1" s="1"/>
  <c r="I298" i="1" s="1"/>
  <c r="F299" i="1"/>
  <c r="H299" i="1" s="1"/>
  <c r="L299" i="1" s="1"/>
  <c r="F300" i="1"/>
  <c r="H300" i="1" s="1"/>
  <c r="I300" i="1" s="1"/>
  <c r="F301" i="1"/>
  <c r="H301" i="1" s="1"/>
  <c r="I301" i="1" s="1"/>
  <c r="F302" i="1"/>
  <c r="H302" i="1" s="1"/>
  <c r="I302" i="1" s="1"/>
  <c r="F303" i="1"/>
  <c r="H303" i="1" s="1"/>
  <c r="I303" i="1" s="1"/>
  <c r="F304" i="1"/>
  <c r="H304" i="1" s="1"/>
  <c r="I304" i="1" s="1"/>
  <c r="F305" i="1"/>
  <c r="F306" i="1"/>
  <c r="H306" i="1" s="1"/>
  <c r="I306" i="1" s="1"/>
  <c r="F307" i="1"/>
  <c r="H307" i="1" s="1"/>
  <c r="L307" i="1" s="1"/>
  <c r="F308" i="1"/>
  <c r="H308" i="1" s="1"/>
  <c r="L308" i="1" s="1"/>
  <c r="F309" i="1"/>
  <c r="H309" i="1" s="1"/>
  <c r="I309" i="1" s="1"/>
  <c r="F310" i="1"/>
  <c r="H310" i="1" s="1"/>
  <c r="I310" i="1" s="1"/>
  <c r="F311" i="1"/>
  <c r="H311" i="1" s="1"/>
  <c r="I311" i="1" s="1"/>
  <c r="F312" i="1"/>
  <c r="H312" i="1" s="1"/>
  <c r="I312" i="1" s="1"/>
  <c r="F313" i="1"/>
  <c r="F314" i="1"/>
  <c r="H314" i="1" s="1"/>
  <c r="I314" i="1" s="1"/>
  <c r="F315" i="1"/>
  <c r="H315" i="1" s="1"/>
  <c r="L315" i="1" s="1"/>
  <c r="F316" i="1"/>
  <c r="H316" i="1" s="1"/>
  <c r="I316" i="1" s="1"/>
  <c r="F317" i="1"/>
  <c r="H317" i="1" s="1"/>
  <c r="I317" i="1" s="1"/>
  <c r="F318" i="1"/>
  <c r="H318" i="1" s="1"/>
  <c r="I318" i="1" s="1"/>
  <c r="F319" i="1"/>
  <c r="H319" i="1" s="1"/>
  <c r="I319" i="1" s="1"/>
  <c r="F320" i="1"/>
  <c r="H320" i="1" s="1"/>
  <c r="I320" i="1" s="1"/>
  <c r="F321" i="1"/>
  <c r="F322" i="1"/>
  <c r="H322" i="1" s="1"/>
  <c r="I322" i="1" s="1"/>
  <c r="F323" i="1"/>
  <c r="H323" i="1" s="1"/>
  <c r="L323" i="1" s="1"/>
  <c r="F324" i="1"/>
  <c r="H324" i="1" s="1"/>
  <c r="I324" i="1" s="1"/>
  <c r="F325" i="1"/>
  <c r="H325" i="1" s="1"/>
  <c r="I325" i="1" s="1"/>
  <c r="F326" i="1"/>
  <c r="H326" i="1" s="1"/>
  <c r="I326" i="1" s="1"/>
  <c r="F327" i="1"/>
  <c r="H327" i="1" s="1"/>
  <c r="I327" i="1" s="1"/>
  <c r="F328" i="1"/>
  <c r="H328" i="1" s="1"/>
  <c r="I328" i="1" s="1"/>
  <c r="F329" i="1"/>
  <c r="F330" i="1"/>
  <c r="H330" i="1" s="1"/>
  <c r="I330" i="1" s="1"/>
  <c r="F331" i="1"/>
  <c r="H331" i="1" s="1"/>
  <c r="I331" i="1" s="1"/>
  <c r="F332" i="1"/>
  <c r="H332" i="1" s="1"/>
  <c r="I332" i="1" s="1"/>
  <c r="F333" i="1"/>
  <c r="H333" i="1" s="1"/>
  <c r="I333" i="1" s="1"/>
  <c r="F334" i="1"/>
  <c r="H334" i="1" s="1"/>
  <c r="I334" i="1" s="1"/>
  <c r="F335" i="1"/>
  <c r="H335" i="1" s="1"/>
  <c r="I335" i="1" s="1"/>
  <c r="F336" i="1"/>
  <c r="H336" i="1" s="1"/>
  <c r="I336" i="1" s="1"/>
  <c r="F337" i="1"/>
  <c r="F338" i="1"/>
  <c r="H338" i="1" s="1"/>
  <c r="I338" i="1" s="1"/>
  <c r="F339" i="1"/>
  <c r="H339" i="1" s="1"/>
  <c r="L339" i="1" s="1"/>
  <c r="F340" i="1"/>
  <c r="H340" i="1" s="1"/>
  <c r="I340" i="1" s="1"/>
  <c r="F341" i="1"/>
  <c r="H341" i="1" s="1"/>
  <c r="I341" i="1" s="1"/>
  <c r="F342" i="1"/>
  <c r="H342" i="1" s="1"/>
  <c r="I342" i="1" s="1"/>
  <c r="F343" i="1"/>
  <c r="H343" i="1" s="1"/>
  <c r="I343" i="1" s="1"/>
  <c r="F344" i="1"/>
  <c r="H344" i="1" s="1"/>
  <c r="I344" i="1" s="1"/>
  <c r="F345" i="1"/>
  <c r="F346" i="1"/>
  <c r="F347" i="1"/>
  <c r="H347" i="1" s="1"/>
  <c r="L347" i="1" s="1"/>
  <c r="F348" i="1"/>
  <c r="H348" i="1" s="1"/>
  <c r="L348" i="1" s="1"/>
  <c r="F349" i="1"/>
  <c r="H349" i="1" s="1"/>
  <c r="I349" i="1" s="1"/>
  <c r="F350" i="1"/>
  <c r="H350" i="1" s="1"/>
  <c r="I350" i="1" s="1"/>
  <c r="F351" i="1"/>
  <c r="H351" i="1" s="1"/>
  <c r="I351" i="1" s="1"/>
  <c r="F352" i="1"/>
  <c r="H352" i="1" s="1"/>
  <c r="I352" i="1" s="1"/>
  <c r="F353" i="1"/>
  <c r="F354" i="1"/>
  <c r="H354" i="1" s="1"/>
  <c r="I354" i="1" s="1"/>
  <c r="F355" i="1"/>
  <c r="H355" i="1" s="1"/>
  <c r="L355" i="1" s="1"/>
  <c r="F356" i="1"/>
  <c r="H356" i="1" s="1"/>
  <c r="I356" i="1" s="1"/>
  <c r="F357" i="1"/>
  <c r="H357" i="1" s="1"/>
  <c r="I357" i="1" s="1"/>
  <c r="F358" i="1"/>
  <c r="H358" i="1" s="1"/>
  <c r="I358" i="1" s="1"/>
  <c r="F359" i="1"/>
  <c r="H359" i="1" s="1"/>
  <c r="I359" i="1" s="1"/>
  <c r="F360" i="1"/>
  <c r="H360" i="1" s="1"/>
  <c r="I360" i="1" s="1"/>
  <c r="F361" i="1"/>
  <c r="F362" i="1"/>
  <c r="H362" i="1" s="1"/>
  <c r="I362" i="1" s="1"/>
  <c r="F363" i="1"/>
  <c r="H363" i="1" s="1"/>
  <c r="L363" i="1" s="1"/>
  <c r="F364" i="1"/>
  <c r="H364" i="1" s="1"/>
  <c r="I364" i="1" s="1"/>
  <c r="F365" i="1"/>
  <c r="H365" i="1" s="1"/>
  <c r="I365" i="1" s="1"/>
  <c r="F366" i="1"/>
  <c r="H366" i="1" s="1"/>
  <c r="I366" i="1" s="1"/>
  <c r="F367" i="1"/>
  <c r="H367" i="1" s="1"/>
  <c r="I367" i="1" s="1"/>
  <c r="F368" i="1"/>
  <c r="H368" i="1" s="1"/>
  <c r="I368" i="1" s="1"/>
  <c r="F369" i="1"/>
  <c r="F370" i="1"/>
  <c r="H370" i="1" s="1"/>
  <c r="I370" i="1" s="1"/>
  <c r="F371" i="1"/>
  <c r="H371" i="1" s="1"/>
  <c r="L371" i="1" s="1"/>
  <c r="F372" i="1"/>
  <c r="H372" i="1" s="1"/>
  <c r="I372" i="1" s="1"/>
  <c r="F373" i="1"/>
  <c r="H373" i="1" s="1"/>
  <c r="I373" i="1" s="1"/>
  <c r="F374" i="1"/>
  <c r="H374" i="1" s="1"/>
  <c r="I374" i="1" s="1"/>
  <c r="F375" i="1"/>
  <c r="H375" i="1" s="1"/>
  <c r="I375" i="1" s="1"/>
  <c r="F376" i="1"/>
  <c r="H376" i="1" s="1"/>
  <c r="I376" i="1" s="1"/>
  <c r="F377" i="1"/>
  <c r="F378" i="1"/>
  <c r="H378" i="1" s="1"/>
  <c r="I378" i="1" s="1"/>
  <c r="F379" i="1"/>
  <c r="H379" i="1" s="1"/>
  <c r="I379" i="1" s="1"/>
  <c r="F380" i="1"/>
  <c r="H380" i="1" s="1"/>
  <c r="I380" i="1" s="1"/>
  <c r="F381" i="1"/>
  <c r="H381" i="1" s="1"/>
  <c r="I381" i="1" s="1"/>
  <c r="F382" i="1"/>
  <c r="H382" i="1" s="1"/>
  <c r="I382" i="1" s="1"/>
  <c r="F383" i="1"/>
  <c r="H383" i="1" s="1"/>
  <c r="I383" i="1" s="1"/>
  <c r="F384" i="1"/>
  <c r="H384" i="1" s="1"/>
  <c r="I384" i="1" s="1"/>
  <c r="F385" i="1"/>
  <c r="F386" i="1"/>
  <c r="H386" i="1" s="1"/>
  <c r="I386" i="1" s="1"/>
  <c r="F387" i="1"/>
  <c r="H387" i="1" s="1"/>
  <c r="I387" i="1" s="1"/>
  <c r="F388" i="1"/>
  <c r="H388" i="1" s="1"/>
  <c r="I388" i="1" s="1"/>
  <c r="F389" i="1"/>
  <c r="H389" i="1" s="1"/>
  <c r="I389" i="1" s="1"/>
  <c r="F390" i="1"/>
  <c r="H390" i="1" s="1"/>
  <c r="I390" i="1" s="1"/>
  <c r="F391" i="1"/>
  <c r="H391" i="1" s="1"/>
  <c r="I391" i="1" s="1"/>
  <c r="F392" i="1"/>
  <c r="H392" i="1" s="1"/>
  <c r="I392" i="1" s="1"/>
  <c r="F393" i="1"/>
  <c r="F394" i="1"/>
  <c r="H394" i="1" s="1"/>
  <c r="I394" i="1" s="1"/>
  <c r="F395" i="1"/>
  <c r="H395" i="1" s="1"/>
  <c r="I395" i="1" s="1"/>
  <c r="F396" i="1"/>
  <c r="H396" i="1" s="1"/>
  <c r="I396" i="1" s="1"/>
  <c r="F397" i="1"/>
  <c r="H397" i="1" s="1"/>
  <c r="I397" i="1" s="1"/>
  <c r="F398" i="1"/>
  <c r="H398" i="1" s="1"/>
  <c r="I398" i="1" s="1"/>
  <c r="F399" i="1"/>
  <c r="H399" i="1" s="1"/>
  <c r="I399" i="1" s="1"/>
  <c r="F400" i="1"/>
  <c r="H400" i="1" s="1"/>
  <c r="I400" i="1" s="1"/>
  <c r="F401" i="1"/>
  <c r="F402" i="1"/>
  <c r="H402" i="1" s="1"/>
  <c r="I402" i="1" s="1"/>
  <c r="F403" i="1"/>
  <c r="H403" i="1" s="1"/>
  <c r="L403" i="1" s="1"/>
  <c r="F404" i="1"/>
  <c r="H404" i="1" s="1"/>
  <c r="I404" i="1" s="1"/>
  <c r="F405" i="1"/>
  <c r="H405" i="1" s="1"/>
  <c r="I405" i="1" s="1"/>
  <c r="F406" i="1"/>
  <c r="H406" i="1" s="1"/>
  <c r="I406" i="1" s="1"/>
  <c r="F407" i="1"/>
  <c r="H407" i="1" s="1"/>
  <c r="I407" i="1" s="1"/>
  <c r="F408" i="1"/>
  <c r="H408" i="1" s="1"/>
  <c r="I408" i="1" s="1"/>
  <c r="F409" i="1"/>
  <c r="F410" i="1"/>
  <c r="F411" i="1"/>
  <c r="H411" i="1" s="1"/>
  <c r="I411" i="1" s="1"/>
  <c r="F412" i="1"/>
  <c r="H412" i="1" s="1"/>
  <c r="L412" i="1" s="1"/>
  <c r="F413" i="1"/>
  <c r="H413" i="1" s="1"/>
  <c r="I413" i="1" s="1"/>
  <c r="F414" i="1"/>
  <c r="H414" i="1" s="1"/>
  <c r="I414" i="1" s="1"/>
  <c r="F415" i="1"/>
  <c r="H415" i="1" s="1"/>
  <c r="I415" i="1" s="1"/>
  <c r="F416" i="1"/>
  <c r="H416" i="1" s="1"/>
  <c r="I416" i="1" s="1"/>
  <c r="F417" i="1"/>
  <c r="F418" i="1"/>
  <c r="H418" i="1" s="1"/>
  <c r="I418" i="1" s="1"/>
  <c r="F419" i="1"/>
  <c r="H419" i="1" s="1"/>
  <c r="I419" i="1" s="1"/>
  <c r="F420" i="1"/>
  <c r="H420" i="1" s="1"/>
  <c r="I420" i="1" s="1"/>
  <c r="F421" i="1"/>
  <c r="H421" i="1" s="1"/>
  <c r="I421" i="1" s="1"/>
  <c r="F422" i="1"/>
  <c r="H422" i="1" s="1"/>
  <c r="I422" i="1" s="1"/>
  <c r="F423" i="1"/>
  <c r="H423" i="1" s="1"/>
  <c r="I423" i="1" s="1"/>
  <c r="F424" i="1"/>
  <c r="H424" i="1" s="1"/>
  <c r="I424" i="1" s="1"/>
  <c r="F425" i="1"/>
  <c r="F426" i="1"/>
  <c r="H426" i="1" s="1"/>
  <c r="I426" i="1" s="1"/>
  <c r="F427" i="1"/>
  <c r="H427" i="1" s="1"/>
  <c r="I427" i="1" s="1"/>
  <c r="F428" i="1"/>
  <c r="H428" i="1" s="1"/>
  <c r="I428" i="1" s="1"/>
  <c r="F429" i="1"/>
  <c r="H429" i="1" s="1"/>
  <c r="I429" i="1" s="1"/>
  <c r="F430" i="1"/>
  <c r="H430" i="1" s="1"/>
  <c r="I430" i="1" s="1"/>
  <c r="F431" i="1"/>
  <c r="H431" i="1" s="1"/>
  <c r="I431" i="1" s="1"/>
  <c r="F432" i="1"/>
  <c r="H432" i="1" s="1"/>
  <c r="I432" i="1" s="1"/>
  <c r="F433" i="1"/>
  <c r="F434" i="1"/>
  <c r="H434" i="1" s="1"/>
  <c r="I434" i="1" s="1"/>
  <c r="F435" i="1"/>
  <c r="H435" i="1" s="1"/>
  <c r="I435" i="1" s="1"/>
  <c r="F436" i="1"/>
  <c r="H436" i="1" s="1"/>
  <c r="I436" i="1" s="1"/>
  <c r="F437" i="1"/>
  <c r="H437" i="1" s="1"/>
  <c r="I437" i="1" s="1"/>
  <c r="F438" i="1"/>
  <c r="H438" i="1" s="1"/>
  <c r="I438" i="1" s="1"/>
  <c r="F439" i="1"/>
  <c r="H439" i="1" s="1"/>
  <c r="I439" i="1" s="1"/>
  <c r="F440" i="1"/>
  <c r="H440" i="1" s="1"/>
  <c r="I440" i="1" s="1"/>
  <c r="F441" i="1"/>
  <c r="F442" i="1"/>
  <c r="H442" i="1" s="1"/>
  <c r="I442" i="1" s="1"/>
  <c r="F443" i="1"/>
  <c r="H443" i="1" s="1"/>
  <c r="I443" i="1" s="1"/>
  <c r="F444" i="1"/>
  <c r="H444" i="1" s="1"/>
  <c r="L444" i="1" s="1"/>
  <c r="F445" i="1"/>
  <c r="H445" i="1" s="1"/>
  <c r="I445" i="1" s="1"/>
  <c r="F446" i="1"/>
  <c r="H446" i="1" s="1"/>
  <c r="I446" i="1" s="1"/>
  <c r="F447" i="1"/>
  <c r="H447" i="1" s="1"/>
  <c r="I447" i="1" s="1"/>
  <c r="F448" i="1"/>
  <c r="H448" i="1" s="1"/>
  <c r="I448" i="1" s="1"/>
  <c r="F449" i="1"/>
  <c r="F450" i="1"/>
  <c r="H450" i="1" s="1"/>
  <c r="I450" i="1" s="1"/>
  <c r="F451" i="1"/>
  <c r="H451" i="1" s="1"/>
  <c r="I451" i="1" s="1"/>
  <c r="F452" i="1"/>
  <c r="H452" i="1" s="1"/>
  <c r="I452" i="1" s="1"/>
  <c r="F453" i="1"/>
  <c r="H453" i="1" s="1"/>
  <c r="I453" i="1" s="1"/>
  <c r="F454" i="1"/>
  <c r="H454" i="1" s="1"/>
  <c r="I454" i="1" s="1"/>
  <c r="F455" i="1"/>
  <c r="H455" i="1" s="1"/>
  <c r="I455" i="1" s="1"/>
  <c r="F456" i="1"/>
  <c r="H456" i="1" s="1"/>
  <c r="I456" i="1" s="1"/>
  <c r="F457" i="1"/>
  <c r="F458" i="1"/>
  <c r="F459" i="1"/>
  <c r="H459" i="1" s="1"/>
  <c r="I459" i="1" s="1"/>
  <c r="F460" i="1"/>
  <c r="H460" i="1" s="1"/>
  <c r="I460" i="1" s="1"/>
  <c r="F461" i="1"/>
  <c r="H461" i="1" s="1"/>
  <c r="I461" i="1" s="1"/>
  <c r="F462" i="1"/>
  <c r="H462" i="1" s="1"/>
  <c r="I462" i="1" s="1"/>
  <c r="F463" i="1"/>
  <c r="H463" i="1" s="1"/>
  <c r="I463" i="1" s="1"/>
  <c r="F464" i="1"/>
  <c r="H464" i="1" s="1"/>
  <c r="I464" i="1" s="1"/>
  <c r="F465" i="1"/>
  <c r="F466" i="1"/>
  <c r="H466" i="1" s="1"/>
  <c r="I466" i="1" s="1"/>
  <c r="F467" i="1"/>
  <c r="H467" i="1" s="1"/>
  <c r="L467" i="1" s="1"/>
  <c r="F468" i="1"/>
  <c r="H468" i="1" s="1"/>
  <c r="L468" i="1" s="1"/>
  <c r="F469" i="1"/>
  <c r="H469" i="1" s="1"/>
  <c r="I469" i="1" s="1"/>
  <c r="F470" i="1"/>
  <c r="H470" i="1" s="1"/>
  <c r="I470" i="1" s="1"/>
  <c r="F471" i="1"/>
  <c r="H471" i="1" s="1"/>
  <c r="I471" i="1" s="1"/>
  <c r="F472" i="1"/>
  <c r="H472" i="1" s="1"/>
  <c r="I472" i="1" s="1"/>
  <c r="F473" i="1"/>
  <c r="F474" i="1"/>
  <c r="F475" i="1"/>
  <c r="H475" i="1" s="1"/>
  <c r="L475" i="1" s="1"/>
  <c r="M475" i="1" s="1"/>
  <c r="N475" i="1" s="1"/>
  <c r="O475" i="1" s="1"/>
  <c r="F476" i="1"/>
  <c r="H476" i="1" s="1"/>
  <c r="I476" i="1" s="1"/>
  <c r="F477" i="1"/>
  <c r="F478" i="1"/>
  <c r="H478" i="1" s="1"/>
  <c r="I478" i="1" s="1"/>
  <c r="F479" i="1"/>
  <c r="H479" i="1" s="1"/>
  <c r="I479" i="1" s="1"/>
  <c r="F480" i="1"/>
  <c r="H480" i="1" s="1"/>
  <c r="I480" i="1" s="1"/>
  <c r="F481" i="1"/>
  <c r="F482" i="1"/>
  <c r="F483" i="1"/>
  <c r="H483" i="1" s="1"/>
  <c r="I483" i="1" s="1"/>
  <c r="F484" i="1"/>
  <c r="H484" i="1" s="1"/>
  <c r="I484" i="1" s="1"/>
  <c r="F485" i="1"/>
  <c r="H485" i="1" s="1"/>
  <c r="I485" i="1" s="1"/>
  <c r="F486" i="1"/>
  <c r="F487" i="1"/>
  <c r="H487" i="1" s="1"/>
  <c r="I487" i="1" s="1"/>
  <c r="F488" i="1"/>
  <c r="H488" i="1" s="1"/>
  <c r="I488" i="1" s="1"/>
  <c r="F489" i="1"/>
  <c r="F490" i="1"/>
  <c r="H490" i="1" s="1"/>
  <c r="I490" i="1" s="1"/>
  <c r="F491" i="1"/>
  <c r="H491" i="1" s="1"/>
  <c r="I491" i="1" s="1"/>
  <c r="F492" i="1"/>
  <c r="H492" i="1" s="1"/>
  <c r="I492" i="1" s="1"/>
  <c r="F493" i="1"/>
  <c r="H493" i="1" s="1"/>
  <c r="I493" i="1" s="1"/>
  <c r="F494" i="1"/>
  <c r="F495" i="1"/>
  <c r="H495" i="1" s="1"/>
  <c r="I495" i="1" s="1"/>
  <c r="F496" i="1"/>
  <c r="H496" i="1" s="1"/>
  <c r="I496" i="1" s="1"/>
  <c r="F497" i="1"/>
  <c r="F498" i="1"/>
  <c r="F499" i="1"/>
  <c r="H499" i="1" s="1"/>
  <c r="I499" i="1" s="1"/>
  <c r="F500" i="1"/>
  <c r="H500" i="1" s="1"/>
  <c r="I500" i="1" s="1"/>
  <c r="F501" i="1"/>
  <c r="H501" i="1" s="1"/>
  <c r="I501" i="1" s="1"/>
  <c r="F502" i="1"/>
  <c r="H502" i="1" s="1"/>
  <c r="I502" i="1" s="1"/>
  <c r="F503" i="1"/>
  <c r="H503" i="1" s="1"/>
  <c r="I503" i="1" s="1"/>
  <c r="F504" i="1"/>
  <c r="H504" i="1" s="1"/>
  <c r="I504" i="1" s="1"/>
  <c r="F505" i="1"/>
  <c r="F506" i="1"/>
  <c r="F507" i="1"/>
  <c r="H507" i="1" s="1"/>
  <c r="I507" i="1" s="1"/>
  <c r="F508" i="1"/>
  <c r="H508" i="1" s="1"/>
  <c r="I508" i="1" s="1"/>
  <c r="F509" i="1"/>
  <c r="F510" i="1"/>
  <c r="F511" i="1"/>
  <c r="H511" i="1" s="1"/>
  <c r="I511" i="1" s="1"/>
  <c r="F512" i="1"/>
  <c r="H512" i="1" s="1"/>
  <c r="I512" i="1" s="1"/>
  <c r="F513" i="1"/>
  <c r="F514" i="1"/>
  <c r="H514" i="1" s="1"/>
  <c r="I514" i="1" s="1"/>
  <c r="F515" i="1"/>
  <c r="H515" i="1" s="1"/>
  <c r="I515" i="1" s="1"/>
  <c r="F516" i="1"/>
  <c r="H516" i="1" s="1"/>
  <c r="I516" i="1" s="1"/>
  <c r="F517" i="1"/>
  <c r="H517" i="1" s="1"/>
  <c r="I517" i="1" s="1"/>
  <c r="F518" i="1"/>
  <c r="F519" i="1"/>
  <c r="H519" i="1" s="1"/>
  <c r="I519" i="1" s="1"/>
  <c r="F520" i="1"/>
  <c r="H520" i="1" s="1"/>
  <c r="I520" i="1" s="1"/>
  <c r="F521" i="1"/>
  <c r="F522" i="1"/>
  <c r="F523" i="1"/>
  <c r="H523" i="1" s="1"/>
  <c r="I523" i="1" s="1"/>
  <c r="F524" i="1"/>
  <c r="H524" i="1" s="1"/>
  <c r="I524" i="1" s="1"/>
  <c r="F525" i="1"/>
  <c r="H525" i="1" s="1"/>
  <c r="I525" i="1" s="1"/>
  <c r="F526" i="1"/>
  <c r="F527" i="1"/>
  <c r="H527" i="1" s="1"/>
  <c r="I527" i="1" s="1"/>
  <c r="F528" i="1"/>
  <c r="H528" i="1" s="1"/>
  <c r="I528" i="1" s="1"/>
  <c r="F529" i="1"/>
  <c r="F530" i="1"/>
  <c r="F531" i="1"/>
  <c r="H531" i="1" s="1"/>
  <c r="I531" i="1" s="1"/>
  <c r="F532" i="1"/>
  <c r="H532" i="1" s="1"/>
  <c r="L532" i="1" s="1"/>
  <c r="F533" i="1"/>
  <c r="H533" i="1" s="1"/>
  <c r="I533" i="1" s="1"/>
  <c r="F534" i="1"/>
  <c r="H534" i="1" s="1"/>
  <c r="I534" i="1" s="1"/>
  <c r="F535" i="1"/>
  <c r="H535" i="1" s="1"/>
  <c r="I535" i="1" s="1"/>
  <c r="F536" i="1"/>
  <c r="H536" i="1" s="1"/>
  <c r="I536" i="1" s="1"/>
  <c r="F537" i="1"/>
  <c r="F538" i="1"/>
  <c r="F539" i="1"/>
  <c r="H539" i="1" s="1"/>
  <c r="I539" i="1" s="1"/>
  <c r="F540" i="1"/>
  <c r="H540" i="1" s="1"/>
  <c r="I540" i="1" s="1"/>
  <c r="F541" i="1"/>
  <c r="H541" i="1" s="1"/>
  <c r="I541" i="1" s="1"/>
  <c r="F542" i="1"/>
  <c r="H542" i="1" s="1"/>
  <c r="I542" i="1" s="1"/>
  <c r="F543" i="1"/>
  <c r="H543" i="1" s="1"/>
  <c r="I543" i="1" s="1"/>
  <c r="F544" i="1"/>
  <c r="H544" i="1" s="1"/>
  <c r="I544" i="1" s="1"/>
  <c r="F545" i="1"/>
  <c r="F546" i="1"/>
  <c r="F547" i="1"/>
  <c r="H547" i="1" s="1"/>
  <c r="I547" i="1" s="1"/>
  <c r="F548" i="1"/>
  <c r="H548" i="1" s="1"/>
  <c r="I548" i="1" s="1"/>
  <c r="F549" i="1"/>
  <c r="H549" i="1" s="1"/>
  <c r="I549" i="1" s="1"/>
  <c r="F550" i="1"/>
  <c r="H550" i="1" s="1"/>
  <c r="I550" i="1" s="1"/>
  <c r="F551" i="1"/>
  <c r="H551" i="1" s="1"/>
  <c r="I551" i="1" s="1"/>
  <c r="F552" i="1"/>
  <c r="H552" i="1" s="1"/>
  <c r="I552" i="1" s="1"/>
  <c r="F553" i="1"/>
  <c r="F554" i="1"/>
  <c r="H554" i="1" s="1"/>
  <c r="I554" i="1" s="1"/>
  <c r="F555" i="1"/>
  <c r="H555" i="1" s="1"/>
  <c r="I555" i="1" s="1"/>
  <c r="F556" i="1"/>
  <c r="H556" i="1" s="1"/>
  <c r="I556" i="1" s="1"/>
  <c r="F557" i="1"/>
  <c r="H557" i="1" s="1"/>
  <c r="I557" i="1" s="1"/>
  <c r="F558" i="1"/>
  <c r="H558" i="1" s="1"/>
  <c r="I558" i="1" s="1"/>
  <c r="F559" i="1"/>
  <c r="H559" i="1" s="1"/>
  <c r="I559" i="1" s="1"/>
  <c r="F560" i="1"/>
  <c r="H560" i="1" s="1"/>
  <c r="I560" i="1" s="1"/>
  <c r="F561" i="1"/>
  <c r="F562" i="1"/>
  <c r="F563" i="1"/>
  <c r="H563" i="1" s="1"/>
  <c r="I563" i="1" s="1"/>
  <c r="F564" i="1"/>
  <c r="H564" i="1" s="1"/>
  <c r="L564" i="1" s="1"/>
  <c r="F565" i="1"/>
  <c r="H565" i="1" s="1"/>
  <c r="I565" i="1" s="1"/>
  <c r="F566" i="1"/>
  <c r="H566" i="1" s="1"/>
  <c r="I566" i="1" s="1"/>
  <c r="F567" i="1"/>
  <c r="H567" i="1" s="1"/>
  <c r="I567" i="1" s="1"/>
  <c r="F568" i="1"/>
  <c r="H568" i="1" s="1"/>
  <c r="I568" i="1" s="1"/>
  <c r="F569" i="1"/>
  <c r="F570" i="1"/>
  <c r="F571" i="1"/>
  <c r="H571" i="1" s="1"/>
  <c r="I571" i="1" s="1"/>
  <c r="F572" i="1"/>
  <c r="H572" i="1" s="1"/>
  <c r="I572" i="1" s="1"/>
  <c r="F573" i="1"/>
  <c r="F574" i="1"/>
  <c r="H574" i="1" s="1"/>
  <c r="I574" i="1" s="1"/>
  <c r="F575" i="1"/>
  <c r="H575" i="1" s="1"/>
  <c r="I575" i="1" s="1"/>
  <c r="F576" i="1"/>
  <c r="H576" i="1" s="1"/>
  <c r="I576" i="1" s="1"/>
  <c r="F577" i="1"/>
  <c r="F578" i="1"/>
  <c r="H578" i="1" s="1"/>
  <c r="I578" i="1" s="1"/>
  <c r="F579" i="1"/>
  <c r="H579" i="1" s="1"/>
  <c r="I579" i="1" s="1"/>
  <c r="F580" i="1"/>
  <c r="H580" i="1" s="1"/>
  <c r="I580" i="1" s="1"/>
  <c r="F581" i="1"/>
  <c r="H581" i="1" s="1"/>
  <c r="I581" i="1" s="1"/>
  <c r="F582" i="1"/>
  <c r="H582" i="1" s="1"/>
  <c r="I582" i="1" s="1"/>
  <c r="F583" i="1"/>
  <c r="H583" i="1" s="1"/>
  <c r="I583" i="1" s="1"/>
  <c r="F584" i="1"/>
  <c r="H584" i="1" s="1"/>
  <c r="I584" i="1" s="1"/>
  <c r="F585" i="1"/>
  <c r="F586" i="1"/>
  <c r="F587" i="1"/>
  <c r="H587" i="1" s="1"/>
  <c r="I587" i="1" s="1"/>
  <c r="F588" i="1"/>
  <c r="H588" i="1" s="1"/>
  <c r="I588" i="1" s="1"/>
  <c r="F589" i="1"/>
  <c r="H589" i="1" s="1"/>
  <c r="I589" i="1" s="1"/>
  <c r="F590" i="1"/>
  <c r="H590" i="1" s="1"/>
  <c r="I590" i="1" s="1"/>
  <c r="F591" i="1"/>
  <c r="H591" i="1" s="1"/>
  <c r="I591" i="1" s="1"/>
  <c r="F592" i="1"/>
  <c r="H592" i="1" s="1"/>
  <c r="I592" i="1" s="1"/>
  <c r="F593" i="1"/>
  <c r="F594" i="1"/>
  <c r="H594" i="1" s="1"/>
  <c r="I594" i="1" s="1"/>
  <c r="F595" i="1"/>
  <c r="H595" i="1" s="1"/>
  <c r="I595" i="1" s="1"/>
  <c r="F596" i="1"/>
  <c r="H596" i="1" s="1"/>
  <c r="L596" i="1" s="1"/>
  <c r="F597" i="1"/>
  <c r="H597" i="1" s="1"/>
  <c r="I597" i="1" s="1"/>
  <c r="F598" i="1"/>
  <c r="F599" i="1"/>
  <c r="H599" i="1" s="1"/>
  <c r="I599" i="1" s="1"/>
  <c r="F600" i="1"/>
  <c r="H600" i="1" s="1"/>
  <c r="I600" i="1" s="1"/>
  <c r="F601" i="1"/>
  <c r="F602" i="1"/>
  <c r="F2" i="1"/>
  <c r="C2" i="1" s="1"/>
  <c r="J258" i="1"/>
  <c r="K258" i="1" s="1"/>
  <c r="J370" i="1"/>
  <c r="K370" i="1" s="1"/>
  <c r="J402" i="1"/>
  <c r="K402" i="1" s="1"/>
  <c r="J530" i="1"/>
  <c r="K530" i="1" s="1"/>
  <c r="G48" i="1"/>
  <c r="J48" i="1" s="1"/>
  <c r="K48" i="1" s="1"/>
  <c r="G77" i="1"/>
  <c r="J77" i="1" s="1"/>
  <c r="K77" i="1" s="1"/>
  <c r="G139" i="1"/>
  <c r="J139" i="1" s="1"/>
  <c r="K139" i="1" s="1"/>
  <c r="G157" i="1"/>
  <c r="J157" i="1" s="1"/>
  <c r="K157" i="1" s="1"/>
  <c r="G183" i="1"/>
  <c r="J183" i="1" s="1"/>
  <c r="K183" i="1" s="1"/>
  <c r="G264" i="1"/>
  <c r="J264" i="1" s="1"/>
  <c r="K264" i="1" s="1"/>
  <c r="G283" i="1"/>
  <c r="J283" i="1" s="1"/>
  <c r="K283" i="1" s="1"/>
  <c r="G347" i="1"/>
  <c r="J347" i="1" s="1"/>
  <c r="K347" i="1" s="1"/>
  <c r="G355" i="1"/>
  <c r="J355" i="1" s="1"/>
  <c r="K355" i="1" s="1"/>
  <c r="G363" i="1"/>
  <c r="J363" i="1" s="1"/>
  <c r="K363" i="1" s="1"/>
  <c r="G406" i="1"/>
  <c r="J406" i="1" s="1"/>
  <c r="K406" i="1" s="1"/>
  <c r="G414" i="1"/>
  <c r="J414" i="1" s="1"/>
  <c r="K414" i="1" s="1"/>
  <c r="G422" i="1"/>
  <c r="J422" i="1" s="1"/>
  <c r="K422" i="1" s="1"/>
  <c r="G467" i="1"/>
  <c r="J467" i="1" s="1"/>
  <c r="K467" i="1" s="1"/>
  <c r="G475" i="1"/>
  <c r="J475" i="1" s="1"/>
  <c r="K475" i="1" s="1"/>
  <c r="G483" i="1"/>
  <c r="J483" i="1" s="1"/>
  <c r="K483" i="1" s="1"/>
  <c r="G526" i="1"/>
  <c r="J526" i="1" s="1"/>
  <c r="K526" i="1" s="1"/>
  <c r="G534" i="1"/>
  <c r="J534" i="1" s="1"/>
  <c r="K534" i="1" s="1"/>
  <c r="G542" i="1"/>
  <c r="J542" i="1" s="1"/>
  <c r="K542" i="1" s="1"/>
  <c r="G587" i="1"/>
  <c r="J587" i="1" s="1"/>
  <c r="K587" i="1" s="1"/>
  <c r="G595" i="1"/>
  <c r="J595" i="1" s="1"/>
  <c r="K595" i="1" s="1"/>
  <c r="G2" i="1"/>
  <c r="J2" i="1" s="1"/>
  <c r="K2" i="1" s="1"/>
  <c r="E3" i="1"/>
  <c r="G3" i="1" s="1"/>
  <c r="J3" i="1" s="1"/>
  <c r="K3" i="1" s="1"/>
  <c r="E4" i="1"/>
  <c r="G4" i="1" s="1"/>
  <c r="J4" i="1" s="1"/>
  <c r="K4" i="1" s="1"/>
  <c r="E5" i="1"/>
  <c r="G5" i="1" s="1"/>
  <c r="J5" i="1" s="1"/>
  <c r="K5" i="1" s="1"/>
  <c r="E6" i="1"/>
  <c r="G6" i="1" s="1"/>
  <c r="J6" i="1" s="1"/>
  <c r="K6" i="1" s="1"/>
  <c r="E7" i="1"/>
  <c r="G7" i="1" s="1"/>
  <c r="J7" i="1" s="1"/>
  <c r="K7" i="1" s="1"/>
  <c r="E8" i="1"/>
  <c r="G8" i="1" s="1"/>
  <c r="J8" i="1" s="1"/>
  <c r="K8" i="1" s="1"/>
  <c r="E9" i="1"/>
  <c r="G9" i="1" s="1"/>
  <c r="J9" i="1" s="1"/>
  <c r="K9" i="1" s="1"/>
  <c r="E10" i="1"/>
  <c r="G10" i="1" s="1"/>
  <c r="J10" i="1" s="1"/>
  <c r="K10" i="1" s="1"/>
  <c r="E11" i="1"/>
  <c r="G11" i="1" s="1"/>
  <c r="J11" i="1" s="1"/>
  <c r="K11" i="1" s="1"/>
  <c r="E12" i="1"/>
  <c r="G12" i="1" s="1"/>
  <c r="J12" i="1" s="1"/>
  <c r="K12" i="1" s="1"/>
  <c r="E13" i="1"/>
  <c r="G13" i="1" s="1"/>
  <c r="J13" i="1" s="1"/>
  <c r="K13" i="1" s="1"/>
  <c r="E14" i="1"/>
  <c r="G14" i="1" s="1"/>
  <c r="J14" i="1" s="1"/>
  <c r="K14" i="1" s="1"/>
  <c r="E15" i="1"/>
  <c r="G15" i="1" s="1"/>
  <c r="J15" i="1" s="1"/>
  <c r="K15" i="1" s="1"/>
  <c r="E16" i="1"/>
  <c r="G16" i="1" s="1"/>
  <c r="J16" i="1" s="1"/>
  <c r="K16" i="1" s="1"/>
  <c r="E17" i="1"/>
  <c r="G17" i="1" s="1"/>
  <c r="J17" i="1" s="1"/>
  <c r="K17" i="1" s="1"/>
  <c r="E18" i="1"/>
  <c r="G18" i="1" s="1"/>
  <c r="J18" i="1" s="1"/>
  <c r="K18" i="1" s="1"/>
  <c r="E19" i="1"/>
  <c r="G19" i="1" s="1"/>
  <c r="J19" i="1" s="1"/>
  <c r="K19" i="1" s="1"/>
  <c r="E20" i="1"/>
  <c r="G20" i="1" s="1"/>
  <c r="J20" i="1" s="1"/>
  <c r="K20" i="1" s="1"/>
  <c r="E21" i="1"/>
  <c r="G21" i="1" s="1"/>
  <c r="J21" i="1" s="1"/>
  <c r="K21" i="1" s="1"/>
  <c r="E22" i="1"/>
  <c r="G22" i="1" s="1"/>
  <c r="J22" i="1" s="1"/>
  <c r="K22" i="1" s="1"/>
  <c r="E23" i="1"/>
  <c r="G23" i="1" s="1"/>
  <c r="J23" i="1" s="1"/>
  <c r="K23" i="1" s="1"/>
  <c r="E24" i="1"/>
  <c r="G24" i="1" s="1"/>
  <c r="J24" i="1" s="1"/>
  <c r="K24" i="1" s="1"/>
  <c r="E25" i="1"/>
  <c r="G25" i="1" s="1"/>
  <c r="J25" i="1" s="1"/>
  <c r="K25" i="1" s="1"/>
  <c r="E26" i="1"/>
  <c r="G26" i="1" s="1"/>
  <c r="J26" i="1" s="1"/>
  <c r="K26" i="1" s="1"/>
  <c r="E27" i="1"/>
  <c r="G27" i="1" s="1"/>
  <c r="J27" i="1" s="1"/>
  <c r="K27" i="1" s="1"/>
  <c r="E28" i="1"/>
  <c r="G28" i="1" s="1"/>
  <c r="J28" i="1" s="1"/>
  <c r="K28" i="1" s="1"/>
  <c r="E29" i="1"/>
  <c r="G29" i="1" s="1"/>
  <c r="J29" i="1" s="1"/>
  <c r="K29" i="1" s="1"/>
  <c r="E30" i="1"/>
  <c r="G30" i="1" s="1"/>
  <c r="J30" i="1" s="1"/>
  <c r="K30" i="1" s="1"/>
  <c r="E31" i="1"/>
  <c r="G31" i="1" s="1"/>
  <c r="J31" i="1" s="1"/>
  <c r="K31" i="1" s="1"/>
  <c r="E32" i="1"/>
  <c r="G32" i="1" s="1"/>
  <c r="J32" i="1" s="1"/>
  <c r="K32" i="1" s="1"/>
  <c r="E33" i="1"/>
  <c r="G33" i="1" s="1"/>
  <c r="J33" i="1" s="1"/>
  <c r="K33" i="1" s="1"/>
  <c r="E34" i="1"/>
  <c r="G34" i="1" s="1"/>
  <c r="J34" i="1" s="1"/>
  <c r="K34" i="1" s="1"/>
  <c r="E35" i="1"/>
  <c r="G35" i="1" s="1"/>
  <c r="J35" i="1" s="1"/>
  <c r="K35" i="1" s="1"/>
  <c r="E36" i="1"/>
  <c r="G36" i="1" s="1"/>
  <c r="J36" i="1" s="1"/>
  <c r="K36" i="1" s="1"/>
  <c r="E37" i="1"/>
  <c r="G37" i="1" s="1"/>
  <c r="J37" i="1" s="1"/>
  <c r="K37" i="1" s="1"/>
  <c r="E38" i="1"/>
  <c r="G38" i="1" s="1"/>
  <c r="J38" i="1" s="1"/>
  <c r="K38" i="1" s="1"/>
  <c r="E39" i="1"/>
  <c r="G39" i="1" s="1"/>
  <c r="J39" i="1" s="1"/>
  <c r="K39" i="1" s="1"/>
  <c r="E40" i="1"/>
  <c r="G40" i="1" s="1"/>
  <c r="J40" i="1" s="1"/>
  <c r="K40" i="1" s="1"/>
  <c r="E41" i="1"/>
  <c r="G41" i="1" s="1"/>
  <c r="J41" i="1" s="1"/>
  <c r="K41" i="1" s="1"/>
  <c r="E42" i="1"/>
  <c r="G42" i="1" s="1"/>
  <c r="J42" i="1" s="1"/>
  <c r="K42" i="1" s="1"/>
  <c r="E43" i="1"/>
  <c r="G43" i="1" s="1"/>
  <c r="J43" i="1" s="1"/>
  <c r="K43" i="1" s="1"/>
  <c r="E44" i="1"/>
  <c r="G44" i="1" s="1"/>
  <c r="J44" i="1" s="1"/>
  <c r="K44" i="1" s="1"/>
  <c r="E45" i="1"/>
  <c r="G45" i="1" s="1"/>
  <c r="J45" i="1" s="1"/>
  <c r="K45" i="1" s="1"/>
  <c r="E46" i="1"/>
  <c r="G46" i="1" s="1"/>
  <c r="J46" i="1" s="1"/>
  <c r="K46" i="1" s="1"/>
  <c r="E47" i="1"/>
  <c r="G47" i="1" s="1"/>
  <c r="J47" i="1" s="1"/>
  <c r="K47" i="1" s="1"/>
  <c r="E48" i="1"/>
  <c r="E49" i="1"/>
  <c r="G49" i="1" s="1"/>
  <c r="J49" i="1" s="1"/>
  <c r="K49" i="1" s="1"/>
  <c r="E50" i="1"/>
  <c r="G50" i="1" s="1"/>
  <c r="J50" i="1" s="1"/>
  <c r="K50" i="1" s="1"/>
  <c r="E51" i="1"/>
  <c r="G51" i="1" s="1"/>
  <c r="J51" i="1" s="1"/>
  <c r="K51" i="1" s="1"/>
  <c r="E52" i="1"/>
  <c r="G52" i="1" s="1"/>
  <c r="J52" i="1" s="1"/>
  <c r="K52" i="1" s="1"/>
  <c r="E53" i="1"/>
  <c r="G53" i="1" s="1"/>
  <c r="J53" i="1" s="1"/>
  <c r="K53" i="1" s="1"/>
  <c r="E54" i="1"/>
  <c r="G54" i="1" s="1"/>
  <c r="J54" i="1" s="1"/>
  <c r="K54" i="1" s="1"/>
  <c r="E55" i="1"/>
  <c r="G55" i="1" s="1"/>
  <c r="J55" i="1" s="1"/>
  <c r="K55" i="1" s="1"/>
  <c r="E56" i="1"/>
  <c r="G56" i="1" s="1"/>
  <c r="J56" i="1" s="1"/>
  <c r="K56" i="1" s="1"/>
  <c r="E57" i="1"/>
  <c r="G57" i="1" s="1"/>
  <c r="J57" i="1" s="1"/>
  <c r="K57" i="1" s="1"/>
  <c r="E58" i="1"/>
  <c r="G58" i="1" s="1"/>
  <c r="J58" i="1" s="1"/>
  <c r="K58" i="1" s="1"/>
  <c r="E59" i="1"/>
  <c r="G59" i="1" s="1"/>
  <c r="J59" i="1" s="1"/>
  <c r="K59" i="1" s="1"/>
  <c r="E60" i="1"/>
  <c r="G60" i="1" s="1"/>
  <c r="J60" i="1" s="1"/>
  <c r="K60" i="1" s="1"/>
  <c r="E61" i="1"/>
  <c r="G61" i="1" s="1"/>
  <c r="J61" i="1" s="1"/>
  <c r="K61" i="1" s="1"/>
  <c r="E62" i="1"/>
  <c r="G62" i="1" s="1"/>
  <c r="J62" i="1" s="1"/>
  <c r="K62" i="1" s="1"/>
  <c r="E63" i="1"/>
  <c r="G63" i="1" s="1"/>
  <c r="J63" i="1" s="1"/>
  <c r="K63" i="1" s="1"/>
  <c r="E64" i="1"/>
  <c r="G64" i="1" s="1"/>
  <c r="J64" i="1" s="1"/>
  <c r="K64" i="1" s="1"/>
  <c r="E65" i="1"/>
  <c r="G65" i="1" s="1"/>
  <c r="J65" i="1" s="1"/>
  <c r="K65" i="1" s="1"/>
  <c r="E66" i="1"/>
  <c r="G66" i="1" s="1"/>
  <c r="J66" i="1" s="1"/>
  <c r="K66" i="1" s="1"/>
  <c r="E67" i="1"/>
  <c r="G67" i="1" s="1"/>
  <c r="J67" i="1" s="1"/>
  <c r="K67" i="1" s="1"/>
  <c r="E68" i="1"/>
  <c r="G68" i="1" s="1"/>
  <c r="J68" i="1" s="1"/>
  <c r="K68" i="1" s="1"/>
  <c r="E69" i="1"/>
  <c r="G69" i="1" s="1"/>
  <c r="J69" i="1" s="1"/>
  <c r="K69" i="1" s="1"/>
  <c r="E70" i="1"/>
  <c r="G70" i="1" s="1"/>
  <c r="J70" i="1" s="1"/>
  <c r="K70" i="1" s="1"/>
  <c r="E71" i="1"/>
  <c r="G71" i="1" s="1"/>
  <c r="J71" i="1" s="1"/>
  <c r="K71" i="1" s="1"/>
  <c r="E72" i="1"/>
  <c r="G72" i="1" s="1"/>
  <c r="J72" i="1" s="1"/>
  <c r="K72" i="1" s="1"/>
  <c r="E73" i="1"/>
  <c r="G73" i="1" s="1"/>
  <c r="J73" i="1" s="1"/>
  <c r="K73" i="1" s="1"/>
  <c r="E74" i="1"/>
  <c r="G74" i="1" s="1"/>
  <c r="J74" i="1" s="1"/>
  <c r="K74" i="1" s="1"/>
  <c r="E75" i="1"/>
  <c r="G75" i="1" s="1"/>
  <c r="J75" i="1" s="1"/>
  <c r="K75" i="1" s="1"/>
  <c r="E76" i="1"/>
  <c r="G76" i="1" s="1"/>
  <c r="J76" i="1" s="1"/>
  <c r="K76" i="1" s="1"/>
  <c r="E77" i="1"/>
  <c r="E78" i="1"/>
  <c r="G78" i="1" s="1"/>
  <c r="J78" i="1" s="1"/>
  <c r="K78" i="1" s="1"/>
  <c r="E79" i="1"/>
  <c r="G79" i="1" s="1"/>
  <c r="J79" i="1" s="1"/>
  <c r="K79" i="1" s="1"/>
  <c r="E80" i="1"/>
  <c r="G80" i="1" s="1"/>
  <c r="J80" i="1" s="1"/>
  <c r="K80" i="1" s="1"/>
  <c r="E81" i="1"/>
  <c r="G81" i="1" s="1"/>
  <c r="J81" i="1" s="1"/>
  <c r="K81" i="1" s="1"/>
  <c r="E82" i="1"/>
  <c r="G82" i="1" s="1"/>
  <c r="J82" i="1" s="1"/>
  <c r="K82" i="1" s="1"/>
  <c r="E83" i="1"/>
  <c r="G83" i="1" s="1"/>
  <c r="J83" i="1" s="1"/>
  <c r="K83" i="1" s="1"/>
  <c r="E84" i="1"/>
  <c r="G84" i="1" s="1"/>
  <c r="J84" i="1" s="1"/>
  <c r="K84" i="1" s="1"/>
  <c r="E85" i="1"/>
  <c r="G85" i="1" s="1"/>
  <c r="J85" i="1" s="1"/>
  <c r="K85" i="1" s="1"/>
  <c r="E86" i="1"/>
  <c r="G86" i="1" s="1"/>
  <c r="J86" i="1" s="1"/>
  <c r="K86" i="1" s="1"/>
  <c r="E87" i="1"/>
  <c r="G87" i="1" s="1"/>
  <c r="J87" i="1" s="1"/>
  <c r="K87" i="1" s="1"/>
  <c r="E88" i="1"/>
  <c r="G88" i="1" s="1"/>
  <c r="J88" i="1" s="1"/>
  <c r="K88" i="1" s="1"/>
  <c r="E89" i="1"/>
  <c r="G89" i="1" s="1"/>
  <c r="J89" i="1" s="1"/>
  <c r="K89" i="1" s="1"/>
  <c r="E90" i="1"/>
  <c r="G90" i="1" s="1"/>
  <c r="J90" i="1" s="1"/>
  <c r="K90" i="1" s="1"/>
  <c r="E91" i="1"/>
  <c r="G91" i="1" s="1"/>
  <c r="J91" i="1" s="1"/>
  <c r="K91" i="1" s="1"/>
  <c r="E92" i="1"/>
  <c r="G92" i="1" s="1"/>
  <c r="J92" i="1" s="1"/>
  <c r="K92" i="1" s="1"/>
  <c r="E93" i="1"/>
  <c r="G93" i="1" s="1"/>
  <c r="J93" i="1" s="1"/>
  <c r="K93" i="1" s="1"/>
  <c r="E94" i="1"/>
  <c r="G94" i="1" s="1"/>
  <c r="J94" i="1" s="1"/>
  <c r="K94" i="1" s="1"/>
  <c r="E95" i="1"/>
  <c r="G95" i="1" s="1"/>
  <c r="J95" i="1" s="1"/>
  <c r="K95" i="1" s="1"/>
  <c r="E96" i="1"/>
  <c r="G96" i="1" s="1"/>
  <c r="J96" i="1" s="1"/>
  <c r="K96" i="1" s="1"/>
  <c r="E97" i="1"/>
  <c r="G97" i="1" s="1"/>
  <c r="J97" i="1" s="1"/>
  <c r="K97" i="1" s="1"/>
  <c r="E98" i="1"/>
  <c r="G98" i="1" s="1"/>
  <c r="J98" i="1" s="1"/>
  <c r="K98" i="1" s="1"/>
  <c r="E99" i="1"/>
  <c r="G99" i="1" s="1"/>
  <c r="J99" i="1" s="1"/>
  <c r="K99" i="1" s="1"/>
  <c r="E100" i="1"/>
  <c r="G100" i="1" s="1"/>
  <c r="J100" i="1" s="1"/>
  <c r="K100" i="1" s="1"/>
  <c r="E101" i="1"/>
  <c r="G101" i="1" s="1"/>
  <c r="J101" i="1" s="1"/>
  <c r="K101" i="1" s="1"/>
  <c r="E102" i="1"/>
  <c r="G102" i="1" s="1"/>
  <c r="J102" i="1" s="1"/>
  <c r="K102" i="1" s="1"/>
  <c r="E103" i="1"/>
  <c r="G103" i="1" s="1"/>
  <c r="J103" i="1" s="1"/>
  <c r="K103" i="1" s="1"/>
  <c r="E104" i="1"/>
  <c r="G104" i="1" s="1"/>
  <c r="J104" i="1" s="1"/>
  <c r="K104" i="1" s="1"/>
  <c r="E105" i="1"/>
  <c r="G105" i="1" s="1"/>
  <c r="J105" i="1" s="1"/>
  <c r="K105" i="1" s="1"/>
  <c r="E106" i="1"/>
  <c r="G106" i="1" s="1"/>
  <c r="J106" i="1" s="1"/>
  <c r="K106" i="1" s="1"/>
  <c r="E107" i="1"/>
  <c r="G107" i="1" s="1"/>
  <c r="J107" i="1" s="1"/>
  <c r="K107" i="1" s="1"/>
  <c r="E108" i="1"/>
  <c r="G108" i="1" s="1"/>
  <c r="J108" i="1" s="1"/>
  <c r="K108" i="1" s="1"/>
  <c r="E109" i="1"/>
  <c r="G109" i="1" s="1"/>
  <c r="J109" i="1" s="1"/>
  <c r="K109" i="1" s="1"/>
  <c r="E110" i="1"/>
  <c r="G110" i="1" s="1"/>
  <c r="J110" i="1" s="1"/>
  <c r="K110" i="1" s="1"/>
  <c r="E111" i="1"/>
  <c r="G111" i="1" s="1"/>
  <c r="J111" i="1" s="1"/>
  <c r="K111" i="1" s="1"/>
  <c r="E112" i="1"/>
  <c r="G112" i="1" s="1"/>
  <c r="J112" i="1" s="1"/>
  <c r="K112" i="1" s="1"/>
  <c r="E113" i="1"/>
  <c r="G113" i="1" s="1"/>
  <c r="J113" i="1" s="1"/>
  <c r="K113" i="1" s="1"/>
  <c r="E114" i="1"/>
  <c r="G114" i="1" s="1"/>
  <c r="J114" i="1" s="1"/>
  <c r="K114" i="1" s="1"/>
  <c r="E115" i="1"/>
  <c r="G115" i="1" s="1"/>
  <c r="J115" i="1" s="1"/>
  <c r="K115" i="1" s="1"/>
  <c r="E116" i="1"/>
  <c r="G116" i="1" s="1"/>
  <c r="J116" i="1" s="1"/>
  <c r="K116" i="1" s="1"/>
  <c r="E117" i="1"/>
  <c r="G117" i="1" s="1"/>
  <c r="J117" i="1" s="1"/>
  <c r="K117" i="1" s="1"/>
  <c r="E118" i="1"/>
  <c r="G118" i="1" s="1"/>
  <c r="J118" i="1" s="1"/>
  <c r="K118" i="1" s="1"/>
  <c r="E119" i="1"/>
  <c r="G119" i="1" s="1"/>
  <c r="J119" i="1" s="1"/>
  <c r="K119" i="1" s="1"/>
  <c r="E120" i="1"/>
  <c r="G120" i="1" s="1"/>
  <c r="J120" i="1" s="1"/>
  <c r="K120" i="1" s="1"/>
  <c r="E121" i="1"/>
  <c r="G121" i="1" s="1"/>
  <c r="J121" i="1" s="1"/>
  <c r="K121" i="1" s="1"/>
  <c r="E122" i="1"/>
  <c r="G122" i="1" s="1"/>
  <c r="J122" i="1" s="1"/>
  <c r="K122" i="1" s="1"/>
  <c r="E123" i="1"/>
  <c r="G123" i="1" s="1"/>
  <c r="J123" i="1" s="1"/>
  <c r="K123" i="1" s="1"/>
  <c r="E124" i="1"/>
  <c r="G124" i="1" s="1"/>
  <c r="J124" i="1" s="1"/>
  <c r="K124" i="1" s="1"/>
  <c r="E125" i="1"/>
  <c r="G125" i="1" s="1"/>
  <c r="J125" i="1" s="1"/>
  <c r="K125" i="1" s="1"/>
  <c r="E126" i="1"/>
  <c r="G126" i="1" s="1"/>
  <c r="J126" i="1" s="1"/>
  <c r="K126" i="1" s="1"/>
  <c r="E127" i="1"/>
  <c r="G127" i="1" s="1"/>
  <c r="J127" i="1" s="1"/>
  <c r="K127" i="1" s="1"/>
  <c r="E128" i="1"/>
  <c r="G128" i="1" s="1"/>
  <c r="J128" i="1" s="1"/>
  <c r="K128" i="1" s="1"/>
  <c r="E129" i="1"/>
  <c r="G129" i="1" s="1"/>
  <c r="J129" i="1" s="1"/>
  <c r="K129" i="1" s="1"/>
  <c r="E130" i="1"/>
  <c r="G130" i="1" s="1"/>
  <c r="J130" i="1" s="1"/>
  <c r="K130" i="1" s="1"/>
  <c r="E131" i="1"/>
  <c r="G131" i="1" s="1"/>
  <c r="J131" i="1" s="1"/>
  <c r="K131" i="1" s="1"/>
  <c r="E132" i="1"/>
  <c r="G132" i="1" s="1"/>
  <c r="J132" i="1" s="1"/>
  <c r="K132" i="1" s="1"/>
  <c r="E133" i="1"/>
  <c r="G133" i="1" s="1"/>
  <c r="J133" i="1" s="1"/>
  <c r="K133" i="1" s="1"/>
  <c r="E134" i="1"/>
  <c r="G134" i="1" s="1"/>
  <c r="J134" i="1" s="1"/>
  <c r="K134" i="1" s="1"/>
  <c r="E135" i="1"/>
  <c r="G135" i="1" s="1"/>
  <c r="J135" i="1" s="1"/>
  <c r="K135" i="1" s="1"/>
  <c r="E136" i="1"/>
  <c r="G136" i="1" s="1"/>
  <c r="J136" i="1" s="1"/>
  <c r="K136" i="1" s="1"/>
  <c r="E137" i="1"/>
  <c r="G137" i="1" s="1"/>
  <c r="J137" i="1" s="1"/>
  <c r="K137" i="1" s="1"/>
  <c r="E138" i="1"/>
  <c r="G138" i="1" s="1"/>
  <c r="J138" i="1" s="1"/>
  <c r="K138" i="1" s="1"/>
  <c r="E139" i="1"/>
  <c r="E140" i="1"/>
  <c r="G140" i="1" s="1"/>
  <c r="J140" i="1" s="1"/>
  <c r="K140" i="1" s="1"/>
  <c r="E141" i="1"/>
  <c r="G141" i="1" s="1"/>
  <c r="J141" i="1" s="1"/>
  <c r="K141" i="1" s="1"/>
  <c r="E142" i="1"/>
  <c r="G142" i="1" s="1"/>
  <c r="J142" i="1" s="1"/>
  <c r="K142" i="1" s="1"/>
  <c r="E143" i="1"/>
  <c r="G143" i="1" s="1"/>
  <c r="J143" i="1" s="1"/>
  <c r="K143" i="1" s="1"/>
  <c r="E144" i="1"/>
  <c r="G144" i="1" s="1"/>
  <c r="J144" i="1" s="1"/>
  <c r="K144" i="1" s="1"/>
  <c r="E145" i="1"/>
  <c r="G145" i="1" s="1"/>
  <c r="J145" i="1" s="1"/>
  <c r="K145" i="1" s="1"/>
  <c r="E146" i="1"/>
  <c r="G146" i="1" s="1"/>
  <c r="J146" i="1" s="1"/>
  <c r="K146" i="1" s="1"/>
  <c r="E147" i="1"/>
  <c r="G147" i="1" s="1"/>
  <c r="J147" i="1" s="1"/>
  <c r="K147" i="1" s="1"/>
  <c r="E148" i="1"/>
  <c r="G148" i="1" s="1"/>
  <c r="J148" i="1" s="1"/>
  <c r="K148" i="1" s="1"/>
  <c r="E149" i="1"/>
  <c r="G149" i="1" s="1"/>
  <c r="J149" i="1" s="1"/>
  <c r="K149" i="1" s="1"/>
  <c r="E150" i="1"/>
  <c r="G150" i="1" s="1"/>
  <c r="J150" i="1" s="1"/>
  <c r="K150" i="1" s="1"/>
  <c r="E151" i="1"/>
  <c r="G151" i="1" s="1"/>
  <c r="J151" i="1" s="1"/>
  <c r="K151" i="1" s="1"/>
  <c r="E152" i="1"/>
  <c r="G152" i="1" s="1"/>
  <c r="J152" i="1" s="1"/>
  <c r="K152" i="1" s="1"/>
  <c r="E153" i="1"/>
  <c r="G153" i="1" s="1"/>
  <c r="J153" i="1" s="1"/>
  <c r="K153" i="1" s="1"/>
  <c r="E154" i="1"/>
  <c r="G154" i="1" s="1"/>
  <c r="J154" i="1" s="1"/>
  <c r="K154" i="1" s="1"/>
  <c r="E155" i="1"/>
  <c r="G155" i="1" s="1"/>
  <c r="J155" i="1" s="1"/>
  <c r="K155" i="1" s="1"/>
  <c r="E156" i="1"/>
  <c r="G156" i="1" s="1"/>
  <c r="J156" i="1" s="1"/>
  <c r="K156" i="1" s="1"/>
  <c r="E157" i="1"/>
  <c r="E158" i="1"/>
  <c r="G158" i="1" s="1"/>
  <c r="J158" i="1" s="1"/>
  <c r="K158" i="1" s="1"/>
  <c r="E159" i="1"/>
  <c r="G159" i="1" s="1"/>
  <c r="J159" i="1" s="1"/>
  <c r="K159" i="1" s="1"/>
  <c r="E160" i="1"/>
  <c r="G160" i="1" s="1"/>
  <c r="J160" i="1" s="1"/>
  <c r="K160" i="1" s="1"/>
  <c r="E161" i="1"/>
  <c r="G161" i="1" s="1"/>
  <c r="J161" i="1" s="1"/>
  <c r="K161" i="1" s="1"/>
  <c r="E162" i="1"/>
  <c r="G162" i="1" s="1"/>
  <c r="J162" i="1" s="1"/>
  <c r="K162" i="1" s="1"/>
  <c r="E163" i="1"/>
  <c r="G163" i="1" s="1"/>
  <c r="J163" i="1" s="1"/>
  <c r="K163" i="1" s="1"/>
  <c r="E164" i="1"/>
  <c r="G164" i="1" s="1"/>
  <c r="J164" i="1" s="1"/>
  <c r="K164" i="1" s="1"/>
  <c r="E165" i="1"/>
  <c r="G165" i="1" s="1"/>
  <c r="J165" i="1" s="1"/>
  <c r="K165" i="1" s="1"/>
  <c r="E166" i="1"/>
  <c r="G166" i="1" s="1"/>
  <c r="J166" i="1" s="1"/>
  <c r="K166" i="1" s="1"/>
  <c r="E167" i="1"/>
  <c r="G167" i="1" s="1"/>
  <c r="J167" i="1" s="1"/>
  <c r="K167" i="1" s="1"/>
  <c r="E168" i="1"/>
  <c r="G168" i="1" s="1"/>
  <c r="J168" i="1" s="1"/>
  <c r="K168" i="1" s="1"/>
  <c r="E169" i="1"/>
  <c r="G169" i="1" s="1"/>
  <c r="J169" i="1" s="1"/>
  <c r="K169" i="1" s="1"/>
  <c r="E170" i="1"/>
  <c r="G170" i="1" s="1"/>
  <c r="J170" i="1" s="1"/>
  <c r="K170" i="1" s="1"/>
  <c r="E171" i="1"/>
  <c r="G171" i="1" s="1"/>
  <c r="J171" i="1" s="1"/>
  <c r="K171" i="1" s="1"/>
  <c r="E172" i="1"/>
  <c r="G172" i="1" s="1"/>
  <c r="J172" i="1" s="1"/>
  <c r="K172" i="1" s="1"/>
  <c r="E173" i="1"/>
  <c r="G173" i="1" s="1"/>
  <c r="J173" i="1" s="1"/>
  <c r="K173" i="1" s="1"/>
  <c r="E174" i="1"/>
  <c r="G174" i="1" s="1"/>
  <c r="J174" i="1" s="1"/>
  <c r="K174" i="1" s="1"/>
  <c r="E175" i="1"/>
  <c r="G175" i="1" s="1"/>
  <c r="J175" i="1" s="1"/>
  <c r="K175" i="1" s="1"/>
  <c r="E176" i="1"/>
  <c r="G176" i="1" s="1"/>
  <c r="J176" i="1" s="1"/>
  <c r="K176" i="1" s="1"/>
  <c r="E177" i="1"/>
  <c r="G177" i="1" s="1"/>
  <c r="J177" i="1" s="1"/>
  <c r="K177" i="1" s="1"/>
  <c r="E178" i="1"/>
  <c r="G178" i="1" s="1"/>
  <c r="J178" i="1" s="1"/>
  <c r="K178" i="1" s="1"/>
  <c r="E179" i="1"/>
  <c r="G179" i="1" s="1"/>
  <c r="J179" i="1" s="1"/>
  <c r="K179" i="1" s="1"/>
  <c r="E180" i="1"/>
  <c r="G180" i="1" s="1"/>
  <c r="J180" i="1" s="1"/>
  <c r="K180" i="1" s="1"/>
  <c r="E181" i="1"/>
  <c r="G181" i="1" s="1"/>
  <c r="J181" i="1" s="1"/>
  <c r="K181" i="1" s="1"/>
  <c r="E182" i="1"/>
  <c r="G182" i="1" s="1"/>
  <c r="J182" i="1" s="1"/>
  <c r="K182" i="1" s="1"/>
  <c r="E183" i="1"/>
  <c r="E184" i="1"/>
  <c r="G184" i="1" s="1"/>
  <c r="J184" i="1" s="1"/>
  <c r="K184" i="1" s="1"/>
  <c r="E185" i="1"/>
  <c r="G185" i="1" s="1"/>
  <c r="J185" i="1" s="1"/>
  <c r="K185" i="1" s="1"/>
  <c r="E186" i="1"/>
  <c r="G186" i="1" s="1"/>
  <c r="J186" i="1" s="1"/>
  <c r="K186" i="1" s="1"/>
  <c r="E187" i="1"/>
  <c r="G187" i="1" s="1"/>
  <c r="J187" i="1" s="1"/>
  <c r="K187" i="1" s="1"/>
  <c r="E188" i="1"/>
  <c r="G188" i="1" s="1"/>
  <c r="J188" i="1" s="1"/>
  <c r="K188" i="1" s="1"/>
  <c r="E189" i="1"/>
  <c r="G189" i="1" s="1"/>
  <c r="J189" i="1" s="1"/>
  <c r="K189" i="1" s="1"/>
  <c r="E190" i="1"/>
  <c r="G190" i="1" s="1"/>
  <c r="J190" i="1" s="1"/>
  <c r="K190" i="1" s="1"/>
  <c r="E191" i="1"/>
  <c r="G191" i="1" s="1"/>
  <c r="J191" i="1" s="1"/>
  <c r="K191" i="1" s="1"/>
  <c r="E192" i="1"/>
  <c r="G192" i="1" s="1"/>
  <c r="J192" i="1" s="1"/>
  <c r="K192" i="1" s="1"/>
  <c r="E193" i="1"/>
  <c r="G193" i="1" s="1"/>
  <c r="J193" i="1" s="1"/>
  <c r="K193" i="1" s="1"/>
  <c r="E194" i="1"/>
  <c r="G194" i="1" s="1"/>
  <c r="J194" i="1" s="1"/>
  <c r="K194" i="1" s="1"/>
  <c r="E195" i="1"/>
  <c r="G195" i="1" s="1"/>
  <c r="J195" i="1" s="1"/>
  <c r="K195" i="1" s="1"/>
  <c r="E196" i="1"/>
  <c r="G196" i="1" s="1"/>
  <c r="J196" i="1" s="1"/>
  <c r="K196" i="1" s="1"/>
  <c r="E197" i="1"/>
  <c r="G197" i="1" s="1"/>
  <c r="J197" i="1" s="1"/>
  <c r="K197" i="1" s="1"/>
  <c r="E198" i="1"/>
  <c r="G198" i="1" s="1"/>
  <c r="J198" i="1" s="1"/>
  <c r="K198" i="1" s="1"/>
  <c r="E199" i="1"/>
  <c r="G199" i="1" s="1"/>
  <c r="J199" i="1" s="1"/>
  <c r="K199" i="1" s="1"/>
  <c r="E200" i="1"/>
  <c r="G200" i="1" s="1"/>
  <c r="J200" i="1" s="1"/>
  <c r="K200" i="1" s="1"/>
  <c r="E201" i="1"/>
  <c r="G201" i="1" s="1"/>
  <c r="J201" i="1" s="1"/>
  <c r="K201" i="1" s="1"/>
  <c r="E202" i="1"/>
  <c r="G202" i="1" s="1"/>
  <c r="J202" i="1" s="1"/>
  <c r="K202" i="1" s="1"/>
  <c r="E203" i="1"/>
  <c r="G203" i="1" s="1"/>
  <c r="J203" i="1" s="1"/>
  <c r="K203" i="1" s="1"/>
  <c r="E204" i="1"/>
  <c r="G204" i="1" s="1"/>
  <c r="J204" i="1" s="1"/>
  <c r="K204" i="1" s="1"/>
  <c r="E205" i="1"/>
  <c r="G205" i="1" s="1"/>
  <c r="J205" i="1" s="1"/>
  <c r="K205" i="1" s="1"/>
  <c r="E206" i="1"/>
  <c r="G206" i="1" s="1"/>
  <c r="J206" i="1" s="1"/>
  <c r="K206" i="1" s="1"/>
  <c r="E207" i="1"/>
  <c r="G207" i="1" s="1"/>
  <c r="J207" i="1" s="1"/>
  <c r="K207" i="1" s="1"/>
  <c r="E208" i="1"/>
  <c r="G208" i="1" s="1"/>
  <c r="J208" i="1" s="1"/>
  <c r="K208" i="1" s="1"/>
  <c r="E209" i="1"/>
  <c r="G209" i="1" s="1"/>
  <c r="J209" i="1" s="1"/>
  <c r="K209" i="1" s="1"/>
  <c r="E210" i="1"/>
  <c r="G210" i="1" s="1"/>
  <c r="J210" i="1" s="1"/>
  <c r="K210" i="1" s="1"/>
  <c r="E211" i="1"/>
  <c r="G211" i="1" s="1"/>
  <c r="J211" i="1" s="1"/>
  <c r="K211" i="1" s="1"/>
  <c r="E212" i="1"/>
  <c r="G212" i="1" s="1"/>
  <c r="J212" i="1" s="1"/>
  <c r="K212" i="1" s="1"/>
  <c r="E213" i="1"/>
  <c r="G213" i="1" s="1"/>
  <c r="J213" i="1" s="1"/>
  <c r="K213" i="1" s="1"/>
  <c r="E214" i="1"/>
  <c r="G214" i="1" s="1"/>
  <c r="J214" i="1" s="1"/>
  <c r="K214" i="1" s="1"/>
  <c r="E215" i="1"/>
  <c r="G215" i="1" s="1"/>
  <c r="J215" i="1" s="1"/>
  <c r="K215" i="1" s="1"/>
  <c r="E216" i="1"/>
  <c r="G216" i="1" s="1"/>
  <c r="J216" i="1" s="1"/>
  <c r="K216" i="1" s="1"/>
  <c r="E217" i="1"/>
  <c r="G217" i="1" s="1"/>
  <c r="J217" i="1" s="1"/>
  <c r="K217" i="1" s="1"/>
  <c r="E218" i="1"/>
  <c r="G218" i="1" s="1"/>
  <c r="J218" i="1" s="1"/>
  <c r="K218" i="1" s="1"/>
  <c r="E219" i="1"/>
  <c r="G219" i="1" s="1"/>
  <c r="J219" i="1" s="1"/>
  <c r="K219" i="1" s="1"/>
  <c r="E220" i="1"/>
  <c r="G220" i="1" s="1"/>
  <c r="J220" i="1" s="1"/>
  <c r="K220" i="1" s="1"/>
  <c r="E221" i="1"/>
  <c r="G221" i="1" s="1"/>
  <c r="J221" i="1" s="1"/>
  <c r="K221" i="1" s="1"/>
  <c r="E222" i="1"/>
  <c r="G222" i="1" s="1"/>
  <c r="J222" i="1" s="1"/>
  <c r="K222" i="1" s="1"/>
  <c r="E223" i="1"/>
  <c r="G223" i="1" s="1"/>
  <c r="J223" i="1" s="1"/>
  <c r="K223" i="1" s="1"/>
  <c r="E224" i="1"/>
  <c r="G224" i="1" s="1"/>
  <c r="J224" i="1" s="1"/>
  <c r="K224" i="1" s="1"/>
  <c r="E225" i="1"/>
  <c r="G225" i="1" s="1"/>
  <c r="J225" i="1" s="1"/>
  <c r="K225" i="1" s="1"/>
  <c r="E226" i="1"/>
  <c r="G226" i="1" s="1"/>
  <c r="J226" i="1" s="1"/>
  <c r="K226" i="1" s="1"/>
  <c r="E227" i="1"/>
  <c r="G227" i="1" s="1"/>
  <c r="J227" i="1" s="1"/>
  <c r="K227" i="1" s="1"/>
  <c r="E228" i="1"/>
  <c r="G228" i="1" s="1"/>
  <c r="J228" i="1" s="1"/>
  <c r="K228" i="1" s="1"/>
  <c r="E229" i="1"/>
  <c r="G229" i="1" s="1"/>
  <c r="J229" i="1" s="1"/>
  <c r="K229" i="1" s="1"/>
  <c r="E230" i="1"/>
  <c r="G230" i="1" s="1"/>
  <c r="J230" i="1" s="1"/>
  <c r="K230" i="1" s="1"/>
  <c r="E231" i="1"/>
  <c r="G231" i="1" s="1"/>
  <c r="J231" i="1" s="1"/>
  <c r="K231" i="1" s="1"/>
  <c r="E232" i="1"/>
  <c r="G232" i="1" s="1"/>
  <c r="J232" i="1" s="1"/>
  <c r="K232" i="1" s="1"/>
  <c r="E233" i="1"/>
  <c r="G233" i="1" s="1"/>
  <c r="J233" i="1" s="1"/>
  <c r="K233" i="1" s="1"/>
  <c r="E234" i="1"/>
  <c r="G234" i="1" s="1"/>
  <c r="J234" i="1" s="1"/>
  <c r="K234" i="1" s="1"/>
  <c r="E235" i="1"/>
  <c r="G235" i="1" s="1"/>
  <c r="J235" i="1" s="1"/>
  <c r="K235" i="1" s="1"/>
  <c r="E236" i="1"/>
  <c r="G236" i="1" s="1"/>
  <c r="J236" i="1" s="1"/>
  <c r="K236" i="1" s="1"/>
  <c r="E237" i="1"/>
  <c r="G237" i="1" s="1"/>
  <c r="J237" i="1" s="1"/>
  <c r="K237" i="1" s="1"/>
  <c r="E238" i="1"/>
  <c r="G238" i="1" s="1"/>
  <c r="J238" i="1" s="1"/>
  <c r="K238" i="1" s="1"/>
  <c r="E239" i="1"/>
  <c r="G239" i="1" s="1"/>
  <c r="J239" i="1" s="1"/>
  <c r="K239" i="1" s="1"/>
  <c r="E240" i="1"/>
  <c r="G240" i="1" s="1"/>
  <c r="J240" i="1" s="1"/>
  <c r="K240" i="1" s="1"/>
  <c r="E241" i="1"/>
  <c r="G241" i="1" s="1"/>
  <c r="J241" i="1" s="1"/>
  <c r="K241" i="1" s="1"/>
  <c r="E242" i="1"/>
  <c r="G242" i="1" s="1"/>
  <c r="J242" i="1" s="1"/>
  <c r="K242" i="1" s="1"/>
  <c r="E243" i="1"/>
  <c r="G243" i="1" s="1"/>
  <c r="J243" i="1" s="1"/>
  <c r="K243" i="1" s="1"/>
  <c r="E244" i="1"/>
  <c r="G244" i="1" s="1"/>
  <c r="J244" i="1" s="1"/>
  <c r="K244" i="1" s="1"/>
  <c r="E245" i="1"/>
  <c r="G245" i="1" s="1"/>
  <c r="J245" i="1" s="1"/>
  <c r="K245" i="1" s="1"/>
  <c r="E246" i="1"/>
  <c r="G246" i="1" s="1"/>
  <c r="J246" i="1" s="1"/>
  <c r="K246" i="1" s="1"/>
  <c r="E247" i="1"/>
  <c r="G247" i="1" s="1"/>
  <c r="J247" i="1" s="1"/>
  <c r="K247" i="1" s="1"/>
  <c r="E248" i="1"/>
  <c r="G248" i="1" s="1"/>
  <c r="J248" i="1" s="1"/>
  <c r="K248" i="1" s="1"/>
  <c r="E249" i="1"/>
  <c r="G249" i="1" s="1"/>
  <c r="J249" i="1" s="1"/>
  <c r="K249" i="1" s="1"/>
  <c r="E250" i="1"/>
  <c r="G250" i="1" s="1"/>
  <c r="J250" i="1" s="1"/>
  <c r="K250" i="1" s="1"/>
  <c r="E251" i="1"/>
  <c r="G251" i="1" s="1"/>
  <c r="J251" i="1" s="1"/>
  <c r="K251" i="1" s="1"/>
  <c r="E252" i="1"/>
  <c r="G252" i="1" s="1"/>
  <c r="J252" i="1" s="1"/>
  <c r="K252" i="1" s="1"/>
  <c r="E253" i="1"/>
  <c r="G253" i="1" s="1"/>
  <c r="J253" i="1" s="1"/>
  <c r="K253" i="1" s="1"/>
  <c r="E254" i="1"/>
  <c r="G254" i="1" s="1"/>
  <c r="J254" i="1" s="1"/>
  <c r="K254" i="1" s="1"/>
  <c r="E255" i="1"/>
  <c r="G255" i="1" s="1"/>
  <c r="J255" i="1" s="1"/>
  <c r="K255" i="1" s="1"/>
  <c r="E256" i="1"/>
  <c r="G256" i="1" s="1"/>
  <c r="J256" i="1" s="1"/>
  <c r="K256" i="1" s="1"/>
  <c r="E257" i="1"/>
  <c r="G257" i="1" s="1"/>
  <c r="J257" i="1" s="1"/>
  <c r="K257" i="1" s="1"/>
  <c r="E258" i="1"/>
  <c r="G258" i="1" s="1"/>
  <c r="E259" i="1"/>
  <c r="G259" i="1" s="1"/>
  <c r="J259" i="1" s="1"/>
  <c r="K259" i="1" s="1"/>
  <c r="E260" i="1"/>
  <c r="G260" i="1" s="1"/>
  <c r="J260" i="1" s="1"/>
  <c r="K260" i="1" s="1"/>
  <c r="E261" i="1"/>
  <c r="G261" i="1" s="1"/>
  <c r="J261" i="1" s="1"/>
  <c r="K261" i="1" s="1"/>
  <c r="E262" i="1"/>
  <c r="G262" i="1" s="1"/>
  <c r="J262" i="1" s="1"/>
  <c r="K262" i="1" s="1"/>
  <c r="E263" i="1"/>
  <c r="G263" i="1" s="1"/>
  <c r="J263" i="1" s="1"/>
  <c r="K263" i="1" s="1"/>
  <c r="E264" i="1"/>
  <c r="E265" i="1"/>
  <c r="G265" i="1" s="1"/>
  <c r="J265" i="1" s="1"/>
  <c r="K265" i="1" s="1"/>
  <c r="E266" i="1"/>
  <c r="G266" i="1" s="1"/>
  <c r="J266" i="1" s="1"/>
  <c r="K266" i="1" s="1"/>
  <c r="E267" i="1"/>
  <c r="G267" i="1" s="1"/>
  <c r="J267" i="1" s="1"/>
  <c r="K267" i="1" s="1"/>
  <c r="E268" i="1"/>
  <c r="G268" i="1" s="1"/>
  <c r="J268" i="1" s="1"/>
  <c r="K268" i="1" s="1"/>
  <c r="E269" i="1"/>
  <c r="G269" i="1" s="1"/>
  <c r="J269" i="1" s="1"/>
  <c r="K269" i="1" s="1"/>
  <c r="E270" i="1"/>
  <c r="G270" i="1" s="1"/>
  <c r="J270" i="1" s="1"/>
  <c r="K270" i="1" s="1"/>
  <c r="E271" i="1"/>
  <c r="G271" i="1" s="1"/>
  <c r="J271" i="1" s="1"/>
  <c r="K271" i="1" s="1"/>
  <c r="E272" i="1"/>
  <c r="G272" i="1" s="1"/>
  <c r="J272" i="1" s="1"/>
  <c r="K272" i="1" s="1"/>
  <c r="E273" i="1"/>
  <c r="G273" i="1" s="1"/>
  <c r="J273" i="1" s="1"/>
  <c r="K273" i="1" s="1"/>
  <c r="E274" i="1"/>
  <c r="G274" i="1" s="1"/>
  <c r="J274" i="1" s="1"/>
  <c r="K274" i="1" s="1"/>
  <c r="E275" i="1"/>
  <c r="G275" i="1" s="1"/>
  <c r="J275" i="1" s="1"/>
  <c r="K275" i="1" s="1"/>
  <c r="E276" i="1"/>
  <c r="G276" i="1" s="1"/>
  <c r="J276" i="1" s="1"/>
  <c r="K276" i="1" s="1"/>
  <c r="E277" i="1"/>
  <c r="G277" i="1" s="1"/>
  <c r="J277" i="1" s="1"/>
  <c r="K277" i="1" s="1"/>
  <c r="E278" i="1"/>
  <c r="G278" i="1" s="1"/>
  <c r="J278" i="1" s="1"/>
  <c r="K278" i="1" s="1"/>
  <c r="E279" i="1"/>
  <c r="G279" i="1" s="1"/>
  <c r="J279" i="1" s="1"/>
  <c r="K279" i="1" s="1"/>
  <c r="E280" i="1"/>
  <c r="G280" i="1" s="1"/>
  <c r="J280" i="1" s="1"/>
  <c r="K280" i="1" s="1"/>
  <c r="E281" i="1"/>
  <c r="G281" i="1" s="1"/>
  <c r="J281" i="1" s="1"/>
  <c r="K281" i="1" s="1"/>
  <c r="E282" i="1"/>
  <c r="G282" i="1" s="1"/>
  <c r="J282" i="1" s="1"/>
  <c r="K282" i="1" s="1"/>
  <c r="E283" i="1"/>
  <c r="E284" i="1"/>
  <c r="G284" i="1" s="1"/>
  <c r="J284" i="1" s="1"/>
  <c r="K284" i="1" s="1"/>
  <c r="E285" i="1"/>
  <c r="G285" i="1" s="1"/>
  <c r="J285" i="1" s="1"/>
  <c r="K285" i="1" s="1"/>
  <c r="E286" i="1"/>
  <c r="G286" i="1" s="1"/>
  <c r="J286" i="1" s="1"/>
  <c r="K286" i="1" s="1"/>
  <c r="E287" i="1"/>
  <c r="G287" i="1" s="1"/>
  <c r="J287" i="1" s="1"/>
  <c r="K287" i="1" s="1"/>
  <c r="E288" i="1"/>
  <c r="G288" i="1" s="1"/>
  <c r="J288" i="1" s="1"/>
  <c r="K288" i="1" s="1"/>
  <c r="E289" i="1"/>
  <c r="G289" i="1" s="1"/>
  <c r="J289" i="1" s="1"/>
  <c r="K289" i="1" s="1"/>
  <c r="E290" i="1"/>
  <c r="G290" i="1" s="1"/>
  <c r="J290" i="1" s="1"/>
  <c r="K290" i="1" s="1"/>
  <c r="E291" i="1"/>
  <c r="G291" i="1" s="1"/>
  <c r="J291" i="1" s="1"/>
  <c r="K291" i="1" s="1"/>
  <c r="E292" i="1"/>
  <c r="G292" i="1" s="1"/>
  <c r="J292" i="1" s="1"/>
  <c r="K292" i="1" s="1"/>
  <c r="E293" i="1"/>
  <c r="G293" i="1" s="1"/>
  <c r="J293" i="1" s="1"/>
  <c r="K293" i="1" s="1"/>
  <c r="E294" i="1"/>
  <c r="G294" i="1" s="1"/>
  <c r="J294" i="1" s="1"/>
  <c r="K294" i="1" s="1"/>
  <c r="E295" i="1"/>
  <c r="G295" i="1" s="1"/>
  <c r="J295" i="1" s="1"/>
  <c r="K295" i="1" s="1"/>
  <c r="E296" i="1"/>
  <c r="G296" i="1" s="1"/>
  <c r="J296" i="1" s="1"/>
  <c r="K296" i="1" s="1"/>
  <c r="E297" i="1"/>
  <c r="G297" i="1" s="1"/>
  <c r="J297" i="1" s="1"/>
  <c r="K297" i="1" s="1"/>
  <c r="E298" i="1"/>
  <c r="G298" i="1" s="1"/>
  <c r="J298" i="1" s="1"/>
  <c r="K298" i="1" s="1"/>
  <c r="E299" i="1"/>
  <c r="G299" i="1" s="1"/>
  <c r="J299" i="1" s="1"/>
  <c r="K299" i="1" s="1"/>
  <c r="E300" i="1"/>
  <c r="G300" i="1" s="1"/>
  <c r="J300" i="1" s="1"/>
  <c r="K300" i="1" s="1"/>
  <c r="E301" i="1"/>
  <c r="G301" i="1" s="1"/>
  <c r="J301" i="1" s="1"/>
  <c r="K301" i="1" s="1"/>
  <c r="E302" i="1"/>
  <c r="G302" i="1" s="1"/>
  <c r="J302" i="1" s="1"/>
  <c r="K302" i="1" s="1"/>
  <c r="E303" i="1"/>
  <c r="G303" i="1" s="1"/>
  <c r="J303" i="1" s="1"/>
  <c r="K303" i="1" s="1"/>
  <c r="E304" i="1"/>
  <c r="G304" i="1" s="1"/>
  <c r="J304" i="1" s="1"/>
  <c r="K304" i="1" s="1"/>
  <c r="E305" i="1"/>
  <c r="G305" i="1" s="1"/>
  <c r="J305" i="1" s="1"/>
  <c r="K305" i="1" s="1"/>
  <c r="E306" i="1"/>
  <c r="G306" i="1" s="1"/>
  <c r="J306" i="1" s="1"/>
  <c r="K306" i="1" s="1"/>
  <c r="E307" i="1"/>
  <c r="G307" i="1" s="1"/>
  <c r="J307" i="1" s="1"/>
  <c r="K307" i="1" s="1"/>
  <c r="E308" i="1"/>
  <c r="G308" i="1" s="1"/>
  <c r="J308" i="1" s="1"/>
  <c r="K308" i="1" s="1"/>
  <c r="E309" i="1"/>
  <c r="G309" i="1" s="1"/>
  <c r="J309" i="1" s="1"/>
  <c r="K309" i="1" s="1"/>
  <c r="E310" i="1"/>
  <c r="G310" i="1" s="1"/>
  <c r="J310" i="1" s="1"/>
  <c r="K310" i="1" s="1"/>
  <c r="E311" i="1"/>
  <c r="G311" i="1" s="1"/>
  <c r="J311" i="1" s="1"/>
  <c r="K311" i="1" s="1"/>
  <c r="E312" i="1"/>
  <c r="G312" i="1" s="1"/>
  <c r="J312" i="1" s="1"/>
  <c r="K312" i="1" s="1"/>
  <c r="E313" i="1"/>
  <c r="G313" i="1" s="1"/>
  <c r="J313" i="1" s="1"/>
  <c r="K313" i="1" s="1"/>
  <c r="E314" i="1"/>
  <c r="G314" i="1" s="1"/>
  <c r="J314" i="1" s="1"/>
  <c r="K314" i="1" s="1"/>
  <c r="E315" i="1"/>
  <c r="G315" i="1" s="1"/>
  <c r="J315" i="1" s="1"/>
  <c r="K315" i="1" s="1"/>
  <c r="E316" i="1"/>
  <c r="G316" i="1" s="1"/>
  <c r="J316" i="1" s="1"/>
  <c r="K316" i="1" s="1"/>
  <c r="E317" i="1"/>
  <c r="G317" i="1" s="1"/>
  <c r="J317" i="1" s="1"/>
  <c r="K317" i="1" s="1"/>
  <c r="E318" i="1"/>
  <c r="G318" i="1" s="1"/>
  <c r="J318" i="1" s="1"/>
  <c r="K318" i="1" s="1"/>
  <c r="E319" i="1"/>
  <c r="G319" i="1" s="1"/>
  <c r="J319" i="1" s="1"/>
  <c r="K319" i="1" s="1"/>
  <c r="E320" i="1"/>
  <c r="G320" i="1" s="1"/>
  <c r="J320" i="1" s="1"/>
  <c r="K320" i="1" s="1"/>
  <c r="E321" i="1"/>
  <c r="G321" i="1" s="1"/>
  <c r="J321" i="1" s="1"/>
  <c r="K321" i="1" s="1"/>
  <c r="E322" i="1"/>
  <c r="G322" i="1" s="1"/>
  <c r="J322" i="1" s="1"/>
  <c r="K322" i="1" s="1"/>
  <c r="E323" i="1"/>
  <c r="G323" i="1" s="1"/>
  <c r="J323" i="1" s="1"/>
  <c r="K323" i="1" s="1"/>
  <c r="E324" i="1"/>
  <c r="G324" i="1" s="1"/>
  <c r="J324" i="1" s="1"/>
  <c r="K324" i="1" s="1"/>
  <c r="E325" i="1"/>
  <c r="G325" i="1" s="1"/>
  <c r="J325" i="1" s="1"/>
  <c r="K325" i="1" s="1"/>
  <c r="E326" i="1"/>
  <c r="G326" i="1" s="1"/>
  <c r="J326" i="1" s="1"/>
  <c r="K326" i="1" s="1"/>
  <c r="E327" i="1"/>
  <c r="G327" i="1" s="1"/>
  <c r="J327" i="1" s="1"/>
  <c r="K327" i="1" s="1"/>
  <c r="E328" i="1"/>
  <c r="G328" i="1" s="1"/>
  <c r="J328" i="1" s="1"/>
  <c r="K328" i="1" s="1"/>
  <c r="E329" i="1"/>
  <c r="G329" i="1" s="1"/>
  <c r="J329" i="1" s="1"/>
  <c r="K329" i="1" s="1"/>
  <c r="E330" i="1"/>
  <c r="G330" i="1" s="1"/>
  <c r="J330" i="1" s="1"/>
  <c r="K330" i="1" s="1"/>
  <c r="E331" i="1"/>
  <c r="G331" i="1" s="1"/>
  <c r="J331" i="1" s="1"/>
  <c r="K331" i="1" s="1"/>
  <c r="E332" i="1"/>
  <c r="G332" i="1" s="1"/>
  <c r="J332" i="1" s="1"/>
  <c r="K332" i="1" s="1"/>
  <c r="E333" i="1"/>
  <c r="G333" i="1" s="1"/>
  <c r="J333" i="1" s="1"/>
  <c r="K333" i="1" s="1"/>
  <c r="E334" i="1"/>
  <c r="G334" i="1" s="1"/>
  <c r="J334" i="1" s="1"/>
  <c r="K334" i="1" s="1"/>
  <c r="E335" i="1"/>
  <c r="G335" i="1" s="1"/>
  <c r="J335" i="1" s="1"/>
  <c r="K335" i="1" s="1"/>
  <c r="E336" i="1"/>
  <c r="G336" i="1" s="1"/>
  <c r="J336" i="1" s="1"/>
  <c r="K336" i="1" s="1"/>
  <c r="E337" i="1"/>
  <c r="G337" i="1" s="1"/>
  <c r="J337" i="1" s="1"/>
  <c r="K337" i="1" s="1"/>
  <c r="E338" i="1"/>
  <c r="G338" i="1" s="1"/>
  <c r="J338" i="1" s="1"/>
  <c r="K338" i="1" s="1"/>
  <c r="E339" i="1"/>
  <c r="G339" i="1" s="1"/>
  <c r="J339" i="1" s="1"/>
  <c r="K339" i="1" s="1"/>
  <c r="E340" i="1"/>
  <c r="G340" i="1" s="1"/>
  <c r="J340" i="1" s="1"/>
  <c r="K340" i="1" s="1"/>
  <c r="E341" i="1"/>
  <c r="G341" i="1" s="1"/>
  <c r="J341" i="1" s="1"/>
  <c r="K341" i="1" s="1"/>
  <c r="E342" i="1"/>
  <c r="G342" i="1" s="1"/>
  <c r="J342" i="1" s="1"/>
  <c r="K342" i="1" s="1"/>
  <c r="E343" i="1"/>
  <c r="G343" i="1" s="1"/>
  <c r="J343" i="1" s="1"/>
  <c r="K343" i="1" s="1"/>
  <c r="E344" i="1"/>
  <c r="G344" i="1" s="1"/>
  <c r="J344" i="1" s="1"/>
  <c r="K344" i="1" s="1"/>
  <c r="E345" i="1"/>
  <c r="G345" i="1" s="1"/>
  <c r="J345" i="1" s="1"/>
  <c r="K345" i="1" s="1"/>
  <c r="E346" i="1"/>
  <c r="G346" i="1" s="1"/>
  <c r="J346" i="1" s="1"/>
  <c r="K346" i="1" s="1"/>
  <c r="E347" i="1"/>
  <c r="E348" i="1"/>
  <c r="G348" i="1" s="1"/>
  <c r="J348" i="1" s="1"/>
  <c r="K348" i="1" s="1"/>
  <c r="E349" i="1"/>
  <c r="G349" i="1" s="1"/>
  <c r="J349" i="1" s="1"/>
  <c r="K349" i="1" s="1"/>
  <c r="E350" i="1"/>
  <c r="G350" i="1" s="1"/>
  <c r="J350" i="1" s="1"/>
  <c r="K350" i="1" s="1"/>
  <c r="E351" i="1"/>
  <c r="G351" i="1" s="1"/>
  <c r="J351" i="1" s="1"/>
  <c r="K351" i="1" s="1"/>
  <c r="E352" i="1"/>
  <c r="G352" i="1" s="1"/>
  <c r="J352" i="1" s="1"/>
  <c r="K352" i="1" s="1"/>
  <c r="E353" i="1"/>
  <c r="G353" i="1" s="1"/>
  <c r="J353" i="1" s="1"/>
  <c r="K353" i="1" s="1"/>
  <c r="E354" i="1"/>
  <c r="G354" i="1" s="1"/>
  <c r="J354" i="1" s="1"/>
  <c r="K354" i="1" s="1"/>
  <c r="E355" i="1"/>
  <c r="E356" i="1"/>
  <c r="G356" i="1" s="1"/>
  <c r="J356" i="1" s="1"/>
  <c r="K356" i="1" s="1"/>
  <c r="E357" i="1"/>
  <c r="G357" i="1" s="1"/>
  <c r="J357" i="1" s="1"/>
  <c r="K357" i="1" s="1"/>
  <c r="E358" i="1"/>
  <c r="G358" i="1" s="1"/>
  <c r="J358" i="1" s="1"/>
  <c r="K358" i="1" s="1"/>
  <c r="E359" i="1"/>
  <c r="G359" i="1" s="1"/>
  <c r="J359" i="1" s="1"/>
  <c r="K359" i="1" s="1"/>
  <c r="E360" i="1"/>
  <c r="G360" i="1" s="1"/>
  <c r="J360" i="1" s="1"/>
  <c r="K360" i="1" s="1"/>
  <c r="E361" i="1"/>
  <c r="G361" i="1" s="1"/>
  <c r="J361" i="1" s="1"/>
  <c r="K361" i="1" s="1"/>
  <c r="E362" i="1"/>
  <c r="G362" i="1" s="1"/>
  <c r="J362" i="1" s="1"/>
  <c r="K362" i="1" s="1"/>
  <c r="E363" i="1"/>
  <c r="E364" i="1"/>
  <c r="G364" i="1" s="1"/>
  <c r="J364" i="1" s="1"/>
  <c r="K364" i="1" s="1"/>
  <c r="E365" i="1"/>
  <c r="G365" i="1" s="1"/>
  <c r="J365" i="1" s="1"/>
  <c r="K365" i="1" s="1"/>
  <c r="E366" i="1"/>
  <c r="G366" i="1" s="1"/>
  <c r="J366" i="1" s="1"/>
  <c r="K366" i="1" s="1"/>
  <c r="E367" i="1"/>
  <c r="G367" i="1" s="1"/>
  <c r="J367" i="1" s="1"/>
  <c r="K367" i="1" s="1"/>
  <c r="E368" i="1"/>
  <c r="G368" i="1" s="1"/>
  <c r="J368" i="1" s="1"/>
  <c r="K368" i="1" s="1"/>
  <c r="E369" i="1"/>
  <c r="G369" i="1" s="1"/>
  <c r="J369" i="1" s="1"/>
  <c r="K369" i="1" s="1"/>
  <c r="E370" i="1"/>
  <c r="G370" i="1" s="1"/>
  <c r="E371" i="1"/>
  <c r="G371" i="1" s="1"/>
  <c r="J371" i="1" s="1"/>
  <c r="K371" i="1" s="1"/>
  <c r="E372" i="1"/>
  <c r="G372" i="1" s="1"/>
  <c r="J372" i="1" s="1"/>
  <c r="K372" i="1" s="1"/>
  <c r="E373" i="1"/>
  <c r="G373" i="1" s="1"/>
  <c r="J373" i="1" s="1"/>
  <c r="K373" i="1" s="1"/>
  <c r="E374" i="1"/>
  <c r="G374" i="1" s="1"/>
  <c r="J374" i="1" s="1"/>
  <c r="K374" i="1" s="1"/>
  <c r="E375" i="1"/>
  <c r="G375" i="1" s="1"/>
  <c r="J375" i="1" s="1"/>
  <c r="K375" i="1" s="1"/>
  <c r="E376" i="1"/>
  <c r="G376" i="1" s="1"/>
  <c r="J376" i="1" s="1"/>
  <c r="K376" i="1" s="1"/>
  <c r="E377" i="1"/>
  <c r="G377" i="1" s="1"/>
  <c r="J377" i="1" s="1"/>
  <c r="K377" i="1" s="1"/>
  <c r="E378" i="1"/>
  <c r="G378" i="1" s="1"/>
  <c r="J378" i="1" s="1"/>
  <c r="K378" i="1" s="1"/>
  <c r="E379" i="1"/>
  <c r="G379" i="1" s="1"/>
  <c r="J379" i="1" s="1"/>
  <c r="K379" i="1" s="1"/>
  <c r="E380" i="1"/>
  <c r="G380" i="1" s="1"/>
  <c r="J380" i="1" s="1"/>
  <c r="K380" i="1" s="1"/>
  <c r="E381" i="1"/>
  <c r="G381" i="1" s="1"/>
  <c r="J381" i="1" s="1"/>
  <c r="K381" i="1" s="1"/>
  <c r="E382" i="1"/>
  <c r="G382" i="1" s="1"/>
  <c r="J382" i="1" s="1"/>
  <c r="K382" i="1" s="1"/>
  <c r="E383" i="1"/>
  <c r="G383" i="1" s="1"/>
  <c r="J383" i="1" s="1"/>
  <c r="K383" i="1" s="1"/>
  <c r="E384" i="1"/>
  <c r="G384" i="1" s="1"/>
  <c r="J384" i="1" s="1"/>
  <c r="K384" i="1" s="1"/>
  <c r="E385" i="1"/>
  <c r="G385" i="1" s="1"/>
  <c r="J385" i="1" s="1"/>
  <c r="K385" i="1" s="1"/>
  <c r="E386" i="1"/>
  <c r="G386" i="1" s="1"/>
  <c r="J386" i="1" s="1"/>
  <c r="K386" i="1" s="1"/>
  <c r="E387" i="1"/>
  <c r="G387" i="1" s="1"/>
  <c r="J387" i="1" s="1"/>
  <c r="K387" i="1" s="1"/>
  <c r="E388" i="1"/>
  <c r="G388" i="1" s="1"/>
  <c r="J388" i="1" s="1"/>
  <c r="K388" i="1" s="1"/>
  <c r="E389" i="1"/>
  <c r="G389" i="1" s="1"/>
  <c r="J389" i="1" s="1"/>
  <c r="K389" i="1" s="1"/>
  <c r="E390" i="1"/>
  <c r="G390" i="1" s="1"/>
  <c r="J390" i="1" s="1"/>
  <c r="K390" i="1" s="1"/>
  <c r="E391" i="1"/>
  <c r="G391" i="1" s="1"/>
  <c r="J391" i="1" s="1"/>
  <c r="K391" i="1" s="1"/>
  <c r="E392" i="1"/>
  <c r="G392" i="1" s="1"/>
  <c r="J392" i="1" s="1"/>
  <c r="K392" i="1" s="1"/>
  <c r="E393" i="1"/>
  <c r="G393" i="1" s="1"/>
  <c r="J393" i="1" s="1"/>
  <c r="K393" i="1" s="1"/>
  <c r="E394" i="1"/>
  <c r="G394" i="1" s="1"/>
  <c r="J394" i="1" s="1"/>
  <c r="K394" i="1" s="1"/>
  <c r="E395" i="1"/>
  <c r="G395" i="1" s="1"/>
  <c r="J395" i="1" s="1"/>
  <c r="K395" i="1" s="1"/>
  <c r="E396" i="1"/>
  <c r="G396" i="1" s="1"/>
  <c r="J396" i="1" s="1"/>
  <c r="K396" i="1" s="1"/>
  <c r="E397" i="1"/>
  <c r="G397" i="1" s="1"/>
  <c r="J397" i="1" s="1"/>
  <c r="K397" i="1" s="1"/>
  <c r="E398" i="1"/>
  <c r="G398" i="1" s="1"/>
  <c r="J398" i="1" s="1"/>
  <c r="K398" i="1" s="1"/>
  <c r="E399" i="1"/>
  <c r="G399" i="1" s="1"/>
  <c r="J399" i="1" s="1"/>
  <c r="K399" i="1" s="1"/>
  <c r="E400" i="1"/>
  <c r="G400" i="1" s="1"/>
  <c r="J400" i="1" s="1"/>
  <c r="K400" i="1" s="1"/>
  <c r="E401" i="1"/>
  <c r="G401" i="1" s="1"/>
  <c r="J401" i="1" s="1"/>
  <c r="K401" i="1" s="1"/>
  <c r="E402" i="1"/>
  <c r="G402" i="1" s="1"/>
  <c r="E403" i="1"/>
  <c r="G403" i="1" s="1"/>
  <c r="J403" i="1" s="1"/>
  <c r="K403" i="1" s="1"/>
  <c r="E404" i="1"/>
  <c r="G404" i="1" s="1"/>
  <c r="J404" i="1" s="1"/>
  <c r="K404" i="1" s="1"/>
  <c r="E405" i="1"/>
  <c r="G405" i="1" s="1"/>
  <c r="J405" i="1" s="1"/>
  <c r="K405" i="1" s="1"/>
  <c r="E406" i="1"/>
  <c r="E407" i="1"/>
  <c r="G407" i="1" s="1"/>
  <c r="J407" i="1" s="1"/>
  <c r="K407" i="1" s="1"/>
  <c r="E408" i="1"/>
  <c r="G408" i="1" s="1"/>
  <c r="J408" i="1" s="1"/>
  <c r="K408" i="1" s="1"/>
  <c r="E409" i="1"/>
  <c r="G409" i="1" s="1"/>
  <c r="J409" i="1" s="1"/>
  <c r="K409" i="1" s="1"/>
  <c r="E410" i="1"/>
  <c r="G410" i="1" s="1"/>
  <c r="J410" i="1" s="1"/>
  <c r="K410" i="1" s="1"/>
  <c r="E411" i="1"/>
  <c r="G411" i="1" s="1"/>
  <c r="J411" i="1" s="1"/>
  <c r="K411" i="1" s="1"/>
  <c r="E412" i="1"/>
  <c r="G412" i="1" s="1"/>
  <c r="J412" i="1" s="1"/>
  <c r="K412" i="1" s="1"/>
  <c r="E413" i="1"/>
  <c r="G413" i="1" s="1"/>
  <c r="J413" i="1" s="1"/>
  <c r="K413" i="1" s="1"/>
  <c r="E414" i="1"/>
  <c r="E415" i="1"/>
  <c r="G415" i="1" s="1"/>
  <c r="J415" i="1" s="1"/>
  <c r="K415" i="1" s="1"/>
  <c r="E416" i="1"/>
  <c r="G416" i="1" s="1"/>
  <c r="J416" i="1" s="1"/>
  <c r="K416" i="1" s="1"/>
  <c r="E417" i="1"/>
  <c r="G417" i="1" s="1"/>
  <c r="J417" i="1" s="1"/>
  <c r="K417" i="1" s="1"/>
  <c r="E418" i="1"/>
  <c r="G418" i="1" s="1"/>
  <c r="J418" i="1" s="1"/>
  <c r="K418" i="1" s="1"/>
  <c r="E419" i="1"/>
  <c r="G419" i="1" s="1"/>
  <c r="J419" i="1" s="1"/>
  <c r="K419" i="1" s="1"/>
  <c r="E420" i="1"/>
  <c r="G420" i="1" s="1"/>
  <c r="J420" i="1" s="1"/>
  <c r="K420" i="1" s="1"/>
  <c r="E421" i="1"/>
  <c r="G421" i="1" s="1"/>
  <c r="J421" i="1" s="1"/>
  <c r="K421" i="1" s="1"/>
  <c r="E422" i="1"/>
  <c r="E423" i="1"/>
  <c r="G423" i="1" s="1"/>
  <c r="J423" i="1" s="1"/>
  <c r="K423" i="1" s="1"/>
  <c r="E424" i="1"/>
  <c r="G424" i="1" s="1"/>
  <c r="J424" i="1" s="1"/>
  <c r="K424" i="1" s="1"/>
  <c r="E425" i="1"/>
  <c r="G425" i="1" s="1"/>
  <c r="J425" i="1" s="1"/>
  <c r="K425" i="1" s="1"/>
  <c r="E426" i="1"/>
  <c r="G426" i="1" s="1"/>
  <c r="J426" i="1" s="1"/>
  <c r="K426" i="1" s="1"/>
  <c r="E427" i="1"/>
  <c r="G427" i="1" s="1"/>
  <c r="J427" i="1" s="1"/>
  <c r="K427" i="1" s="1"/>
  <c r="E428" i="1"/>
  <c r="G428" i="1" s="1"/>
  <c r="J428" i="1" s="1"/>
  <c r="K428" i="1" s="1"/>
  <c r="E429" i="1"/>
  <c r="G429" i="1" s="1"/>
  <c r="J429" i="1" s="1"/>
  <c r="K429" i="1" s="1"/>
  <c r="E430" i="1"/>
  <c r="G430" i="1" s="1"/>
  <c r="J430" i="1" s="1"/>
  <c r="K430" i="1" s="1"/>
  <c r="E431" i="1"/>
  <c r="G431" i="1" s="1"/>
  <c r="J431" i="1" s="1"/>
  <c r="K431" i="1" s="1"/>
  <c r="E432" i="1"/>
  <c r="G432" i="1" s="1"/>
  <c r="J432" i="1" s="1"/>
  <c r="K432" i="1" s="1"/>
  <c r="E433" i="1"/>
  <c r="G433" i="1" s="1"/>
  <c r="J433" i="1" s="1"/>
  <c r="K433" i="1" s="1"/>
  <c r="E434" i="1"/>
  <c r="G434" i="1" s="1"/>
  <c r="J434" i="1" s="1"/>
  <c r="K434" i="1" s="1"/>
  <c r="E435" i="1"/>
  <c r="G435" i="1" s="1"/>
  <c r="J435" i="1" s="1"/>
  <c r="K435" i="1" s="1"/>
  <c r="E436" i="1"/>
  <c r="G436" i="1" s="1"/>
  <c r="J436" i="1" s="1"/>
  <c r="K436" i="1" s="1"/>
  <c r="E437" i="1"/>
  <c r="G437" i="1" s="1"/>
  <c r="J437" i="1" s="1"/>
  <c r="K437" i="1" s="1"/>
  <c r="E438" i="1"/>
  <c r="G438" i="1" s="1"/>
  <c r="J438" i="1" s="1"/>
  <c r="K438" i="1" s="1"/>
  <c r="E439" i="1"/>
  <c r="G439" i="1" s="1"/>
  <c r="J439" i="1" s="1"/>
  <c r="K439" i="1" s="1"/>
  <c r="E440" i="1"/>
  <c r="G440" i="1" s="1"/>
  <c r="J440" i="1" s="1"/>
  <c r="K440" i="1" s="1"/>
  <c r="E441" i="1"/>
  <c r="G441" i="1" s="1"/>
  <c r="J441" i="1" s="1"/>
  <c r="K441" i="1" s="1"/>
  <c r="E442" i="1"/>
  <c r="G442" i="1" s="1"/>
  <c r="J442" i="1" s="1"/>
  <c r="K442" i="1" s="1"/>
  <c r="E443" i="1"/>
  <c r="G443" i="1" s="1"/>
  <c r="J443" i="1" s="1"/>
  <c r="K443" i="1" s="1"/>
  <c r="E444" i="1"/>
  <c r="G444" i="1" s="1"/>
  <c r="J444" i="1" s="1"/>
  <c r="K444" i="1" s="1"/>
  <c r="E445" i="1"/>
  <c r="G445" i="1" s="1"/>
  <c r="J445" i="1" s="1"/>
  <c r="K445" i="1" s="1"/>
  <c r="E446" i="1"/>
  <c r="G446" i="1" s="1"/>
  <c r="J446" i="1" s="1"/>
  <c r="K446" i="1" s="1"/>
  <c r="E447" i="1"/>
  <c r="G447" i="1" s="1"/>
  <c r="J447" i="1" s="1"/>
  <c r="K447" i="1" s="1"/>
  <c r="E448" i="1"/>
  <c r="G448" i="1" s="1"/>
  <c r="J448" i="1" s="1"/>
  <c r="K448" i="1" s="1"/>
  <c r="E449" i="1"/>
  <c r="G449" i="1" s="1"/>
  <c r="J449" i="1" s="1"/>
  <c r="K449" i="1" s="1"/>
  <c r="E450" i="1"/>
  <c r="G450" i="1" s="1"/>
  <c r="J450" i="1" s="1"/>
  <c r="K450" i="1" s="1"/>
  <c r="E451" i="1"/>
  <c r="G451" i="1" s="1"/>
  <c r="J451" i="1" s="1"/>
  <c r="K451" i="1" s="1"/>
  <c r="E452" i="1"/>
  <c r="G452" i="1" s="1"/>
  <c r="J452" i="1" s="1"/>
  <c r="K452" i="1" s="1"/>
  <c r="E453" i="1"/>
  <c r="G453" i="1" s="1"/>
  <c r="J453" i="1" s="1"/>
  <c r="K453" i="1" s="1"/>
  <c r="E454" i="1"/>
  <c r="G454" i="1" s="1"/>
  <c r="J454" i="1" s="1"/>
  <c r="K454" i="1" s="1"/>
  <c r="E455" i="1"/>
  <c r="G455" i="1" s="1"/>
  <c r="J455" i="1" s="1"/>
  <c r="K455" i="1" s="1"/>
  <c r="E456" i="1"/>
  <c r="G456" i="1" s="1"/>
  <c r="J456" i="1" s="1"/>
  <c r="K456" i="1" s="1"/>
  <c r="E457" i="1"/>
  <c r="G457" i="1" s="1"/>
  <c r="J457" i="1" s="1"/>
  <c r="K457" i="1" s="1"/>
  <c r="E458" i="1"/>
  <c r="G458" i="1" s="1"/>
  <c r="J458" i="1" s="1"/>
  <c r="K458" i="1" s="1"/>
  <c r="E459" i="1"/>
  <c r="G459" i="1" s="1"/>
  <c r="J459" i="1" s="1"/>
  <c r="K459" i="1" s="1"/>
  <c r="E460" i="1"/>
  <c r="G460" i="1" s="1"/>
  <c r="J460" i="1" s="1"/>
  <c r="K460" i="1" s="1"/>
  <c r="E461" i="1"/>
  <c r="G461" i="1" s="1"/>
  <c r="J461" i="1" s="1"/>
  <c r="K461" i="1" s="1"/>
  <c r="E462" i="1"/>
  <c r="G462" i="1" s="1"/>
  <c r="J462" i="1" s="1"/>
  <c r="K462" i="1" s="1"/>
  <c r="E463" i="1"/>
  <c r="G463" i="1" s="1"/>
  <c r="J463" i="1" s="1"/>
  <c r="K463" i="1" s="1"/>
  <c r="E464" i="1"/>
  <c r="G464" i="1" s="1"/>
  <c r="J464" i="1" s="1"/>
  <c r="K464" i="1" s="1"/>
  <c r="E465" i="1"/>
  <c r="G465" i="1" s="1"/>
  <c r="J465" i="1" s="1"/>
  <c r="K465" i="1" s="1"/>
  <c r="E466" i="1"/>
  <c r="G466" i="1" s="1"/>
  <c r="J466" i="1" s="1"/>
  <c r="K466" i="1" s="1"/>
  <c r="E467" i="1"/>
  <c r="E468" i="1"/>
  <c r="G468" i="1" s="1"/>
  <c r="J468" i="1" s="1"/>
  <c r="K468" i="1" s="1"/>
  <c r="E469" i="1"/>
  <c r="G469" i="1" s="1"/>
  <c r="J469" i="1" s="1"/>
  <c r="K469" i="1" s="1"/>
  <c r="E470" i="1"/>
  <c r="G470" i="1" s="1"/>
  <c r="J470" i="1" s="1"/>
  <c r="K470" i="1" s="1"/>
  <c r="E471" i="1"/>
  <c r="G471" i="1" s="1"/>
  <c r="J471" i="1" s="1"/>
  <c r="K471" i="1" s="1"/>
  <c r="E472" i="1"/>
  <c r="G472" i="1" s="1"/>
  <c r="J472" i="1" s="1"/>
  <c r="K472" i="1" s="1"/>
  <c r="E473" i="1"/>
  <c r="G473" i="1" s="1"/>
  <c r="J473" i="1" s="1"/>
  <c r="K473" i="1" s="1"/>
  <c r="E474" i="1"/>
  <c r="G474" i="1" s="1"/>
  <c r="J474" i="1" s="1"/>
  <c r="K474" i="1" s="1"/>
  <c r="E475" i="1"/>
  <c r="E476" i="1"/>
  <c r="G476" i="1" s="1"/>
  <c r="J476" i="1" s="1"/>
  <c r="K476" i="1" s="1"/>
  <c r="E477" i="1"/>
  <c r="G477" i="1" s="1"/>
  <c r="J477" i="1" s="1"/>
  <c r="K477" i="1" s="1"/>
  <c r="E478" i="1"/>
  <c r="G478" i="1" s="1"/>
  <c r="J478" i="1" s="1"/>
  <c r="K478" i="1" s="1"/>
  <c r="E479" i="1"/>
  <c r="G479" i="1" s="1"/>
  <c r="J479" i="1" s="1"/>
  <c r="K479" i="1" s="1"/>
  <c r="E480" i="1"/>
  <c r="G480" i="1" s="1"/>
  <c r="J480" i="1" s="1"/>
  <c r="K480" i="1" s="1"/>
  <c r="E481" i="1"/>
  <c r="G481" i="1" s="1"/>
  <c r="J481" i="1" s="1"/>
  <c r="K481" i="1" s="1"/>
  <c r="E482" i="1"/>
  <c r="G482" i="1" s="1"/>
  <c r="J482" i="1" s="1"/>
  <c r="K482" i="1" s="1"/>
  <c r="E483" i="1"/>
  <c r="E484" i="1"/>
  <c r="G484" i="1" s="1"/>
  <c r="J484" i="1" s="1"/>
  <c r="K484" i="1" s="1"/>
  <c r="E485" i="1"/>
  <c r="G485" i="1" s="1"/>
  <c r="J485" i="1" s="1"/>
  <c r="K485" i="1" s="1"/>
  <c r="E486" i="1"/>
  <c r="G486" i="1" s="1"/>
  <c r="J486" i="1" s="1"/>
  <c r="K486" i="1" s="1"/>
  <c r="E487" i="1"/>
  <c r="G487" i="1" s="1"/>
  <c r="J487" i="1" s="1"/>
  <c r="K487" i="1" s="1"/>
  <c r="E488" i="1"/>
  <c r="G488" i="1" s="1"/>
  <c r="J488" i="1" s="1"/>
  <c r="K488" i="1" s="1"/>
  <c r="E489" i="1"/>
  <c r="G489" i="1" s="1"/>
  <c r="J489" i="1" s="1"/>
  <c r="K489" i="1" s="1"/>
  <c r="E490" i="1"/>
  <c r="G490" i="1" s="1"/>
  <c r="J490" i="1" s="1"/>
  <c r="K490" i="1" s="1"/>
  <c r="E491" i="1"/>
  <c r="G491" i="1" s="1"/>
  <c r="J491" i="1" s="1"/>
  <c r="K491" i="1" s="1"/>
  <c r="E492" i="1"/>
  <c r="G492" i="1" s="1"/>
  <c r="J492" i="1" s="1"/>
  <c r="K492" i="1" s="1"/>
  <c r="E493" i="1"/>
  <c r="G493" i="1" s="1"/>
  <c r="J493" i="1" s="1"/>
  <c r="K493" i="1" s="1"/>
  <c r="E494" i="1"/>
  <c r="G494" i="1" s="1"/>
  <c r="J494" i="1" s="1"/>
  <c r="K494" i="1" s="1"/>
  <c r="E495" i="1"/>
  <c r="G495" i="1" s="1"/>
  <c r="J495" i="1" s="1"/>
  <c r="K495" i="1" s="1"/>
  <c r="E496" i="1"/>
  <c r="G496" i="1" s="1"/>
  <c r="J496" i="1" s="1"/>
  <c r="K496" i="1" s="1"/>
  <c r="E497" i="1"/>
  <c r="G497" i="1" s="1"/>
  <c r="J497" i="1" s="1"/>
  <c r="K497" i="1" s="1"/>
  <c r="E498" i="1"/>
  <c r="G498" i="1" s="1"/>
  <c r="J498" i="1" s="1"/>
  <c r="K498" i="1" s="1"/>
  <c r="E499" i="1"/>
  <c r="G499" i="1" s="1"/>
  <c r="J499" i="1" s="1"/>
  <c r="K499" i="1" s="1"/>
  <c r="E500" i="1"/>
  <c r="G500" i="1" s="1"/>
  <c r="J500" i="1" s="1"/>
  <c r="K500" i="1" s="1"/>
  <c r="E501" i="1"/>
  <c r="G501" i="1" s="1"/>
  <c r="J501" i="1" s="1"/>
  <c r="K501" i="1" s="1"/>
  <c r="E502" i="1"/>
  <c r="G502" i="1" s="1"/>
  <c r="J502" i="1" s="1"/>
  <c r="K502" i="1" s="1"/>
  <c r="E503" i="1"/>
  <c r="G503" i="1" s="1"/>
  <c r="J503" i="1" s="1"/>
  <c r="K503" i="1" s="1"/>
  <c r="E504" i="1"/>
  <c r="G504" i="1" s="1"/>
  <c r="J504" i="1" s="1"/>
  <c r="K504" i="1" s="1"/>
  <c r="E505" i="1"/>
  <c r="G505" i="1" s="1"/>
  <c r="J505" i="1" s="1"/>
  <c r="K505" i="1" s="1"/>
  <c r="E506" i="1"/>
  <c r="G506" i="1" s="1"/>
  <c r="J506" i="1" s="1"/>
  <c r="K506" i="1" s="1"/>
  <c r="E507" i="1"/>
  <c r="G507" i="1" s="1"/>
  <c r="J507" i="1" s="1"/>
  <c r="K507" i="1" s="1"/>
  <c r="E508" i="1"/>
  <c r="G508" i="1" s="1"/>
  <c r="J508" i="1" s="1"/>
  <c r="K508" i="1" s="1"/>
  <c r="E509" i="1"/>
  <c r="G509" i="1" s="1"/>
  <c r="J509" i="1" s="1"/>
  <c r="K509" i="1" s="1"/>
  <c r="E510" i="1"/>
  <c r="G510" i="1" s="1"/>
  <c r="J510" i="1" s="1"/>
  <c r="K510" i="1" s="1"/>
  <c r="E511" i="1"/>
  <c r="G511" i="1" s="1"/>
  <c r="J511" i="1" s="1"/>
  <c r="K511" i="1" s="1"/>
  <c r="E512" i="1"/>
  <c r="G512" i="1" s="1"/>
  <c r="J512" i="1" s="1"/>
  <c r="K512" i="1" s="1"/>
  <c r="E513" i="1"/>
  <c r="G513" i="1" s="1"/>
  <c r="J513" i="1" s="1"/>
  <c r="K513" i="1" s="1"/>
  <c r="E514" i="1"/>
  <c r="G514" i="1" s="1"/>
  <c r="J514" i="1" s="1"/>
  <c r="K514" i="1" s="1"/>
  <c r="E515" i="1"/>
  <c r="G515" i="1" s="1"/>
  <c r="J515" i="1" s="1"/>
  <c r="K515" i="1" s="1"/>
  <c r="E516" i="1"/>
  <c r="G516" i="1" s="1"/>
  <c r="J516" i="1" s="1"/>
  <c r="K516" i="1" s="1"/>
  <c r="E517" i="1"/>
  <c r="G517" i="1" s="1"/>
  <c r="J517" i="1" s="1"/>
  <c r="K517" i="1" s="1"/>
  <c r="E518" i="1"/>
  <c r="G518" i="1" s="1"/>
  <c r="J518" i="1" s="1"/>
  <c r="K518" i="1" s="1"/>
  <c r="E519" i="1"/>
  <c r="G519" i="1" s="1"/>
  <c r="J519" i="1" s="1"/>
  <c r="K519" i="1" s="1"/>
  <c r="E520" i="1"/>
  <c r="G520" i="1" s="1"/>
  <c r="J520" i="1" s="1"/>
  <c r="K520" i="1" s="1"/>
  <c r="E521" i="1"/>
  <c r="G521" i="1" s="1"/>
  <c r="J521" i="1" s="1"/>
  <c r="K521" i="1" s="1"/>
  <c r="E522" i="1"/>
  <c r="G522" i="1" s="1"/>
  <c r="J522" i="1" s="1"/>
  <c r="K522" i="1" s="1"/>
  <c r="E523" i="1"/>
  <c r="G523" i="1" s="1"/>
  <c r="J523" i="1" s="1"/>
  <c r="K523" i="1" s="1"/>
  <c r="E524" i="1"/>
  <c r="G524" i="1" s="1"/>
  <c r="J524" i="1" s="1"/>
  <c r="K524" i="1" s="1"/>
  <c r="E525" i="1"/>
  <c r="G525" i="1" s="1"/>
  <c r="J525" i="1" s="1"/>
  <c r="K525" i="1" s="1"/>
  <c r="E526" i="1"/>
  <c r="E527" i="1"/>
  <c r="G527" i="1" s="1"/>
  <c r="J527" i="1" s="1"/>
  <c r="K527" i="1" s="1"/>
  <c r="E528" i="1"/>
  <c r="G528" i="1" s="1"/>
  <c r="J528" i="1" s="1"/>
  <c r="K528" i="1" s="1"/>
  <c r="E529" i="1"/>
  <c r="G529" i="1" s="1"/>
  <c r="J529" i="1" s="1"/>
  <c r="K529" i="1" s="1"/>
  <c r="E530" i="1"/>
  <c r="G530" i="1" s="1"/>
  <c r="E531" i="1"/>
  <c r="G531" i="1" s="1"/>
  <c r="J531" i="1" s="1"/>
  <c r="K531" i="1" s="1"/>
  <c r="E532" i="1"/>
  <c r="G532" i="1" s="1"/>
  <c r="J532" i="1" s="1"/>
  <c r="K532" i="1" s="1"/>
  <c r="E533" i="1"/>
  <c r="G533" i="1" s="1"/>
  <c r="J533" i="1" s="1"/>
  <c r="K533" i="1" s="1"/>
  <c r="E534" i="1"/>
  <c r="E535" i="1"/>
  <c r="G535" i="1" s="1"/>
  <c r="J535" i="1" s="1"/>
  <c r="K535" i="1" s="1"/>
  <c r="E536" i="1"/>
  <c r="G536" i="1" s="1"/>
  <c r="J536" i="1" s="1"/>
  <c r="K536" i="1" s="1"/>
  <c r="E537" i="1"/>
  <c r="G537" i="1" s="1"/>
  <c r="J537" i="1" s="1"/>
  <c r="K537" i="1" s="1"/>
  <c r="E538" i="1"/>
  <c r="G538" i="1" s="1"/>
  <c r="J538" i="1" s="1"/>
  <c r="K538" i="1" s="1"/>
  <c r="E539" i="1"/>
  <c r="G539" i="1" s="1"/>
  <c r="J539" i="1" s="1"/>
  <c r="K539" i="1" s="1"/>
  <c r="E540" i="1"/>
  <c r="G540" i="1" s="1"/>
  <c r="J540" i="1" s="1"/>
  <c r="K540" i="1" s="1"/>
  <c r="E541" i="1"/>
  <c r="G541" i="1" s="1"/>
  <c r="J541" i="1" s="1"/>
  <c r="K541" i="1" s="1"/>
  <c r="E542" i="1"/>
  <c r="E543" i="1"/>
  <c r="G543" i="1" s="1"/>
  <c r="J543" i="1" s="1"/>
  <c r="K543" i="1" s="1"/>
  <c r="E544" i="1"/>
  <c r="G544" i="1" s="1"/>
  <c r="J544" i="1" s="1"/>
  <c r="K544" i="1" s="1"/>
  <c r="E545" i="1"/>
  <c r="G545" i="1" s="1"/>
  <c r="J545" i="1" s="1"/>
  <c r="K545" i="1" s="1"/>
  <c r="E546" i="1"/>
  <c r="G546" i="1" s="1"/>
  <c r="J546" i="1" s="1"/>
  <c r="K546" i="1" s="1"/>
  <c r="E547" i="1"/>
  <c r="G547" i="1" s="1"/>
  <c r="J547" i="1" s="1"/>
  <c r="K547" i="1" s="1"/>
  <c r="E548" i="1"/>
  <c r="G548" i="1" s="1"/>
  <c r="J548" i="1" s="1"/>
  <c r="K548" i="1" s="1"/>
  <c r="E549" i="1"/>
  <c r="G549" i="1" s="1"/>
  <c r="J549" i="1" s="1"/>
  <c r="K549" i="1" s="1"/>
  <c r="E550" i="1"/>
  <c r="G550" i="1" s="1"/>
  <c r="J550" i="1" s="1"/>
  <c r="K550" i="1" s="1"/>
  <c r="E551" i="1"/>
  <c r="G551" i="1" s="1"/>
  <c r="J551" i="1" s="1"/>
  <c r="K551" i="1" s="1"/>
  <c r="E552" i="1"/>
  <c r="G552" i="1" s="1"/>
  <c r="J552" i="1" s="1"/>
  <c r="K552" i="1" s="1"/>
  <c r="E553" i="1"/>
  <c r="G553" i="1" s="1"/>
  <c r="J553" i="1" s="1"/>
  <c r="K553" i="1" s="1"/>
  <c r="E554" i="1"/>
  <c r="G554" i="1" s="1"/>
  <c r="J554" i="1" s="1"/>
  <c r="K554" i="1" s="1"/>
  <c r="E555" i="1"/>
  <c r="G555" i="1" s="1"/>
  <c r="J555" i="1" s="1"/>
  <c r="K555" i="1" s="1"/>
  <c r="E556" i="1"/>
  <c r="G556" i="1" s="1"/>
  <c r="J556" i="1" s="1"/>
  <c r="K556" i="1" s="1"/>
  <c r="E557" i="1"/>
  <c r="G557" i="1" s="1"/>
  <c r="J557" i="1" s="1"/>
  <c r="K557" i="1" s="1"/>
  <c r="E558" i="1"/>
  <c r="G558" i="1" s="1"/>
  <c r="J558" i="1" s="1"/>
  <c r="K558" i="1" s="1"/>
  <c r="E559" i="1"/>
  <c r="G559" i="1" s="1"/>
  <c r="J559" i="1" s="1"/>
  <c r="K559" i="1" s="1"/>
  <c r="E560" i="1"/>
  <c r="G560" i="1" s="1"/>
  <c r="J560" i="1" s="1"/>
  <c r="K560" i="1" s="1"/>
  <c r="E561" i="1"/>
  <c r="G561" i="1" s="1"/>
  <c r="J561" i="1" s="1"/>
  <c r="K561" i="1" s="1"/>
  <c r="E562" i="1"/>
  <c r="G562" i="1" s="1"/>
  <c r="J562" i="1" s="1"/>
  <c r="K562" i="1" s="1"/>
  <c r="E563" i="1"/>
  <c r="G563" i="1" s="1"/>
  <c r="J563" i="1" s="1"/>
  <c r="K563" i="1" s="1"/>
  <c r="E564" i="1"/>
  <c r="G564" i="1" s="1"/>
  <c r="J564" i="1" s="1"/>
  <c r="K564" i="1" s="1"/>
  <c r="E565" i="1"/>
  <c r="G565" i="1" s="1"/>
  <c r="J565" i="1" s="1"/>
  <c r="K565" i="1" s="1"/>
  <c r="E566" i="1"/>
  <c r="G566" i="1" s="1"/>
  <c r="J566" i="1" s="1"/>
  <c r="K566" i="1" s="1"/>
  <c r="E567" i="1"/>
  <c r="G567" i="1" s="1"/>
  <c r="J567" i="1" s="1"/>
  <c r="K567" i="1" s="1"/>
  <c r="E568" i="1"/>
  <c r="G568" i="1" s="1"/>
  <c r="J568" i="1" s="1"/>
  <c r="K568" i="1" s="1"/>
  <c r="E569" i="1"/>
  <c r="G569" i="1" s="1"/>
  <c r="J569" i="1" s="1"/>
  <c r="K569" i="1" s="1"/>
  <c r="E570" i="1"/>
  <c r="G570" i="1" s="1"/>
  <c r="J570" i="1" s="1"/>
  <c r="K570" i="1" s="1"/>
  <c r="E571" i="1"/>
  <c r="G571" i="1" s="1"/>
  <c r="J571" i="1" s="1"/>
  <c r="K571" i="1" s="1"/>
  <c r="E572" i="1"/>
  <c r="G572" i="1" s="1"/>
  <c r="J572" i="1" s="1"/>
  <c r="K572" i="1" s="1"/>
  <c r="E573" i="1"/>
  <c r="G573" i="1" s="1"/>
  <c r="J573" i="1" s="1"/>
  <c r="K573" i="1" s="1"/>
  <c r="E574" i="1"/>
  <c r="G574" i="1" s="1"/>
  <c r="J574" i="1" s="1"/>
  <c r="K574" i="1" s="1"/>
  <c r="E575" i="1"/>
  <c r="G575" i="1" s="1"/>
  <c r="J575" i="1" s="1"/>
  <c r="K575" i="1" s="1"/>
  <c r="E576" i="1"/>
  <c r="G576" i="1" s="1"/>
  <c r="J576" i="1" s="1"/>
  <c r="K576" i="1" s="1"/>
  <c r="E577" i="1"/>
  <c r="G577" i="1" s="1"/>
  <c r="J577" i="1" s="1"/>
  <c r="K577" i="1" s="1"/>
  <c r="E578" i="1"/>
  <c r="G578" i="1" s="1"/>
  <c r="J578" i="1" s="1"/>
  <c r="K578" i="1" s="1"/>
  <c r="E579" i="1"/>
  <c r="G579" i="1" s="1"/>
  <c r="J579" i="1" s="1"/>
  <c r="K579" i="1" s="1"/>
  <c r="E580" i="1"/>
  <c r="G580" i="1" s="1"/>
  <c r="J580" i="1" s="1"/>
  <c r="K580" i="1" s="1"/>
  <c r="E581" i="1"/>
  <c r="G581" i="1" s="1"/>
  <c r="J581" i="1" s="1"/>
  <c r="K581" i="1" s="1"/>
  <c r="E582" i="1"/>
  <c r="G582" i="1" s="1"/>
  <c r="J582" i="1" s="1"/>
  <c r="K582" i="1" s="1"/>
  <c r="E583" i="1"/>
  <c r="G583" i="1" s="1"/>
  <c r="J583" i="1" s="1"/>
  <c r="K583" i="1" s="1"/>
  <c r="E584" i="1"/>
  <c r="G584" i="1" s="1"/>
  <c r="J584" i="1" s="1"/>
  <c r="K584" i="1" s="1"/>
  <c r="E585" i="1"/>
  <c r="G585" i="1" s="1"/>
  <c r="J585" i="1" s="1"/>
  <c r="K585" i="1" s="1"/>
  <c r="E586" i="1"/>
  <c r="G586" i="1" s="1"/>
  <c r="J586" i="1" s="1"/>
  <c r="K586" i="1" s="1"/>
  <c r="E587" i="1"/>
  <c r="E588" i="1"/>
  <c r="G588" i="1" s="1"/>
  <c r="J588" i="1" s="1"/>
  <c r="K588" i="1" s="1"/>
  <c r="E589" i="1"/>
  <c r="G589" i="1" s="1"/>
  <c r="J589" i="1" s="1"/>
  <c r="K589" i="1" s="1"/>
  <c r="E590" i="1"/>
  <c r="G590" i="1" s="1"/>
  <c r="J590" i="1" s="1"/>
  <c r="K590" i="1" s="1"/>
  <c r="E591" i="1"/>
  <c r="G591" i="1" s="1"/>
  <c r="J591" i="1" s="1"/>
  <c r="K591" i="1" s="1"/>
  <c r="E592" i="1"/>
  <c r="G592" i="1" s="1"/>
  <c r="J592" i="1" s="1"/>
  <c r="K592" i="1" s="1"/>
  <c r="E593" i="1"/>
  <c r="G593" i="1" s="1"/>
  <c r="J593" i="1" s="1"/>
  <c r="K593" i="1" s="1"/>
  <c r="E594" i="1"/>
  <c r="G594" i="1" s="1"/>
  <c r="J594" i="1" s="1"/>
  <c r="K594" i="1" s="1"/>
  <c r="E595" i="1"/>
  <c r="E596" i="1"/>
  <c r="G596" i="1" s="1"/>
  <c r="J596" i="1" s="1"/>
  <c r="K596" i="1" s="1"/>
  <c r="E597" i="1"/>
  <c r="G597" i="1" s="1"/>
  <c r="J597" i="1" s="1"/>
  <c r="K597" i="1" s="1"/>
  <c r="E598" i="1"/>
  <c r="G598" i="1" s="1"/>
  <c r="J598" i="1" s="1"/>
  <c r="K598" i="1" s="1"/>
  <c r="E599" i="1"/>
  <c r="G599" i="1" s="1"/>
  <c r="J599" i="1" s="1"/>
  <c r="K599" i="1" s="1"/>
  <c r="E600" i="1"/>
  <c r="G600" i="1" s="1"/>
  <c r="J600" i="1" s="1"/>
  <c r="K600" i="1" s="1"/>
  <c r="E601" i="1"/>
  <c r="G601" i="1" s="1"/>
  <c r="J601" i="1" s="1"/>
  <c r="K601" i="1" s="1"/>
  <c r="E602" i="1"/>
  <c r="G602" i="1" s="1"/>
  <c r="J602" i="1" s="1"/>
  <c r="K602" i="1" s="1"/>
  <c r="E2" i="1"/>
  <c r="M2" i="3" l="1"/>
  <c r="N2" i="3" s="1"/>
  <c r="N522" i="3"/>
  <c r="N490" i="3"/>
  <c r="N458" i="3"/>
  <c r="N426" i="3"/>
  <c r="R587" i="3"/>
  <c r="N586" i="3"/>
  <c r="N554" i="3"/>
  <c r="N592" i="3"/>
  <c r="N584" i="3"/>
  <c r="N576" i="3"/>
  <c r="N560" i="3"/>
  <c r="N552" i="3"/>
  <c r="N544" i="3"/>
  <c r="N528" i="3"/>
  <c r="O394" i="3"/>
  <c r="P394" i="3" s="1"/>
  <c r="Q394" i="3" s="1"/>
  <c r="N394" i="3"/>
  <c r="O520" i="3"/>
  <c r="P520" i="3" s="1"/>
  <c r="Q520" i="3" s="1"/>
  <c r="N520" i="3"/>
  <c r="O512" i="3"/>
  <c r="P512" i="3" s="1"/>
  <c r="Q512" i="3" s="1"/>
  <c r="N512" i="3"/>
  <c r="N488" i="3"/>
  <c r="O488" i="3"/>
  <c r="P488" i="3" s="1"/>
  <c r="Q488" i="3" s="1"/>
  <c r="O480" i="3"/>
  <c r="P480" i="3" s="1"/>
  <c r="Q480" i="3" s="1"/>
  <c r="N480" i="3"/>
  <c r="N464" i="3"/>
  <c r="O464" i="3"/>
  <c r="P464" i="3" s="1"/>
  <c r="Q464" i="3" s="1"/>
  <c r="O456" i="3"/>
  <c r="P456" i="3" s="1"/>
  <c r="Q456" i="3" s="1"/>
  <c r="N456" i="3"/>
  <c r="O448" i="3"/>
  <c r="P448" i="3" s="1"/>
  <c r="N448" i="3"/>
  <c r="O432" i="3"/>
  <c r="P432" i="3" s="1"/>
  <c r="Q432" i="3" s="1"/>
  <c r="N432" i="3"/>
  <c r="O424" i="3"/>
  <c r="P424" i="3" s="1"/>
  <c r="N424" i="3"/>
  <c r="O416" i="3"/>
  <c r="P416" i="3" s="1"/>
  <c r="Q416" i="3" s="1"/>
  <c r="N416" i="3"/>
  <c r="O400" i="3"/>
  <c r="P400" i="3" s="1"/>
  <c r="Q400" i="3" s="1"/>
  <c r="N400" i="3"/>
  <c r="O392" i="3"/>
  <c r="P392" i="3" s="1"/>
  <c r="Q392" i="3" s="1"/>
  <c r="N392" i="3"/>
  <c r="O384" i="3"/>
  <c r="P384" i="3" s="1"/>
  <c r="N384" i="3"/>
  <c r="O368" i="3"/>
  <c r="P368" i="3" s="1"/>
  <c r="N368" i="3"/>
  <c r="O352" i="3"/>
  <c r="P352" i="3" s="1"/>
  <c r="Q352" i="3" s="1"/>
  <c r="N352" i="3"/>
  <c r="O328" i="3"/>
  <c r="P328" i="3" s="1"/>
  <c r="Q328" i="3" s="1"/>
  <c r="N328" i="3"/>
  <c r="O312" i="3"/>
  <c r="P312" i="3" s="1"/>
  <c r="N312" i="3"/>
  <c r="O362" i="3"/>
  <c r="P362" i="3" s="1"/>
  <c r="Q362" i="3" s="1"/>
  <c r="N362" i="3"/>
  <c r="O330" i="3"/>
  <c r="P330" i="3" s="1"/>
  <c r="Q330" i="3" s="1"/>
  <c r="N330" i="3"/>
  <c r="O496" i="3"/>
  <c r="P496" i="3" s="1"/>
  <c r="Q496" i="3" s="1"/>
  <c r="R554" i="3"/>
  <c r="R490" i="3"/>
  <c r="R426" i="3"/>
  <c r="R362" i="3"/>
  <c r="R592" i="3"/>
  <c r="R584" i="3"/>
  <c r="R576" i="3"/>
  <c r="R560" i="3"/>
  <c r="R552" i="3"/>
  <c r="R544" i="3"/>
  <c r="R528" i="3"/>
  <c r="R360" i="3"/>
  <c r="R336" i="3"/>
  <c r="R47" i="3"/>
  <c r="R586" i="3"/>
  <c r="R522" i="3"/>
  <c r="R458" i="3"/>
  <c r="O578" i="3"/>
  <c r="P578" i="3" s="1"/>
  <c r="Q578" i="3" s="1"/>
  <c r="O546" i="3"/>
  <c r="P546" i="3" s="1"/>
  <c r="Q546" i="3" s="1"/>
  <c r="O514" i="3"/>
  <c r="P514" i="3" s="1"/>
  <c r="Q514" i="3" s="1"/>
  <c r="O482" i="3"/>
  <c r="P482" i="3" s="1"/>
  <c r="Q482" i="3" s="1"/>
  <c r="O450" i="3"/>
  <c r="P450" i="3" s="1"/>
  <c r="Q450" i="3" s="1"/>
  <c r="O418" i="3"/>
  <c r="P418" i="3" s="1"/>
  <c r="Q418" i="3" s="1"/>
  <c r="O386" i="3"/>
  <c r="P386" i="3" s="1"/>
  <c r="Q386" i="3" s="1"/>
  <c r="O354" i="3"/>
  <c r="P354" i="3" s="1"/>
  <c r="Q354" i="3" s="1"/>
  <c r="O320" i="3"/>
  <c r="P320" i="3" s="1"/>
  <c r="Q320" i="3" s="1"/>
  <c r="O602" i="3"/>
  <c r="P602" i="3" s="1"/>
  <c r="Q602" i="3" s="1"/>
  <c r="O570" i="3"/>
  <c r="P570" i="3" s="1"/>
  <c r="Q570" i="3" s="1"/>
  <c r="O538" i="3"/>
  <c r="P538" i="3" s="1"/>
  <c r="Q538" i="3" s="1"/>
  <c r="O506" i="3"/>
  <c r="P506" i="3" s="1"/>
  <c r="Q506" i="3" s="1"/>
  <c r="O474" i="3"/>
  <c r="P474" i="3" s="1"/>
  <c r="Q474" i="3" s="1"/>
  <c r="O442" i="3"/>
  <c r="P442" i="3" s="1"/>
  <c r="Q442" i="3" s="1"/>
  <c r="O410" i="3"/>
  <c r="P410" i="3" s="1"/>
  <c r="Q410" i="3" s="1"/>
  <c r="O378" i="3"/>
  <c r="P378" i="3" s="1"/>
  <c r="Q378" i="3" s="1"/>
  <c r="O346" i="3"/>
  <c r="P346" i="3" s="1"/>
  <c r="Q346" i="3" s="1"/>
  <c r="O2" i="3"/>
  <c r="R2" i="3" s="1"/>
  <c r="O18" i="3"/>
  <c r="P18" i="3" s="1"/>
  <c r="O34" i="3"/>
  <c r="P34" i="3" s="1"/>
  <c r="Q34" i="3" s="1"/>
  <c r="O50" i="3"/>
  <c r="P50" i="3" s="1"/>
  <c r="O66" i="3"/>
  <c r="P66" i="3" s="1"/>
  <c r="Q66" i="3" s="1"/>
  <c r="O82" i="3"/>
  <c r="P82" i="3" s="1"/>
  <c r="O98" i="3"/>
  <c r="P98" i="3" s="1"/>
  <c r="Q98" i="3" s="1"/>
  <c r="O114" i="3"/>
  <c r="P114" i="3" s="1"/>
  <c r="Q114" i="3" s="1"/>
  <c r="O130" i="3"/>
  <c r="P130" i="3" s="1"/>
  <c r="Q130" i="3" s="1"/>
  <c r="O146" i="3"/>
  <c r="P146" i="3" s="1"/>
  <c r="Q146" i="3" s="1"/>
  <c r="O162" i="3"/>
  <c r="P162" i="3" s="1"/>
  <c r="Q162" i="3" s="1"/>
  <c r="O178" i="3"/>
  <c r="P178" i="3" s="1"/>
  <c r="Q178" i="3" s="1"/>
  <c r="O194" i="3"/>
  <c r="P194" i="3" s="1"/>
  <c r="Q194" i="3" s="1"/>
  <c r="O210" i="3"/>
  <c r="P210" i="3" s="1"/>
  <c r="Q210" i="3" s="1"/>
  <c r="O226" i="3"/>
  <c r="P226" i="3" s="1"/>
  <c r="Q226" i="3" s="1"/>
  <c r="O242" i="3"/>
  <c r="P242" i="3" s="1"/>
  <c r="Q242" i="3" s="1"/>
  <c r="O251" i="3"/>
  <c r="P251" i="3" s="1"/>
  <c r="O259" i="3"/>
  <c r="P259" i="3" s="1"/>
  <c r="Q259" i="3" s="1"/>
  <c r="O267" i="3"/>
  <c r="P267" i="3" s="1"/>
  <c r="Q267" i="3" s="1"/>
  <c r="O275" i="3"/>
  <c r="P275" i="3" s="1"/>
  <c r="Q275" i="3" s="1"/>
  <c r="O283" i="3"/>
  <c r="P283" i="3" s="1"/>
  <c r="Q283" i="3" s="1"/>
  <c r="O291" i="3"/>
  <c r="P291" i="3" s="1"/>
  <c r="Q291" i="3" s="1"/>
  <c r="O299" i="3"/>
  <c r="P299" i="3" s="1"/>
  <c r="Q299" i="3" s="1"/>
  <c r="O307" i="3"/>
  <c r="P307" i="3" s="1"/>
  <c r="Q307" i="3" s="1"/>
  <c r="O315" i="3"/>
  <c r="P315" i="3" s="1"/>
  <c r="O323" i="3"/>
  <c r="P323" i="3" s="1"/>
  <c r="Q323" i="3" s="1"/>
  <c r="O331" i="3"/>
  <c r="P331" i="3" s="1"/>
  <c r="O339" i="3"/>
  <c r="P339" i="3" s="1"/>
  <c r="Q339" i="3" s="1"/>
  <c r="O347" i="3"/>
  <c r="P347" i="3" s="1"/>
  <c r="Q347" i="3" s="1"/>
  <c r="O355" i="3"/>
  <c r="P355" i="3" s="1"/>
  <c r="Q355" i="3" s="1"/>
  <c r="O363" i="3"/>
  <c r="P363" i="3" s="1"/>
  <c r="O371" i="3"/>
  <c r="P371" i="3" s="1"/>
  <c r="Q371" i="3" s="1"/>
  <c r="O379" i="3"/>
  <c r="P379" i="3" s="1"/>
  <c r="Q379" i="3" s="1"/>
  <c r="O387" i="3"/>
  <c r="P387" i="3" s="1"/>
  <c r="O395" i="3"/>
  <c r="P395" i="3" s="1"/>
  <c r="Q395" i="3" s="1"/>
  <c r="O403" i="3"/>
  <c r="P403" i="3" s="1"/>
  <c r="Q403" i="3" s="1"/>
  <c r="O411" i="3"/>
  <c r="P411" i="3" s="1"/>
  <c r="Q411" i="3" s="1"/>
  <c r="O419" i="3"/>
  <c r="P419" i="3" s="1"/>
  <c r="Q419" i="3" s="1"/>
  <c r="O427" i="3"/>
  <c r="P427" i="3" s="1"/>
  <c r="Q427" i="3" s="1"/>
  <c r="O435" i="3"/>
  <c r="P435" i="3" s="1"/>
  <c r="Q435" i="3" s="1"/>
  <c r="O443" i="3"/>
  <c r="P443" i="3" s="1"/>
  <c r="O451" i="3"/>
  <c r="P451" i="3" s="1"/>
  <c r="Q451" i="3" s="1"/>
  <c r="O459" i="3"/>
  <c r="P459" i="3" s="1"/>
  <c r="Q459" i="3" s="1"/>
  <c r="O467" i="3"/>
  <c r="P467" i="3" s="1"/>
  <c r="Q467" i="3" s="1"/>
  <c r="O475" i="3"/>
  <c r="P475" i="3" s="1"/>
  <c r="Q475" i="3" s="1"/>
  <c r="O483" i="3"/>
  <c r="P483" i="3" s="1"/>
  <c r="Q483" i="3" s="1"/>
  <c r="O491" i="3"/>
  <c r="P491" i="3" s="1"/>
  <c r="Q491" i="3" s="1"/>
  <c r="O499" i="3"/>
  <c r="P499" i="3" s="1"/>
  <c r="Q499" i="3" s="1"/>
  <c r="O507" i="3"/>
  <c r="P507" i="3" s="1"/>
  <c r="Q507" i="3" s="1"/>
  <c r="O515" i="3"/>
  <c r="P515" i="3" s="1"/>
  <c r="Q515" i="3" s="1"/>
  <c r="O523" i="3"/>
  <c r="P523" i="3" s="1"/>
  <c r="Q523" i="3" s="1"/>
  <c r="O531" i="3"/>
  <c r="P531" i="3" s="1"/>
  <c r="Q531" i="3" s="1"/>
  <c r="O539" i="3"/>
  <c r="P539" i="3" s="1"/>
  <c r="Q539" i="3" s="1"/>
  <c r="O547" i="3"/>
  <c r="P547" i="3" s="1"/>
  <c r="Q547" i="3" s="1"/>
  <c r="O555" i="3"/>
  <c r="P555" i="3" s="1"/>
  <c r="Q555" i="3" s="1"/>
  <c r="O563" i="3"/>
  <c r="P563" i="3" s="1"/>
  <c r="Q563" i="3" s="1"/>
  <c r="O571" i="3"/>
  <c r="P571" i="3" s="1"/>
  <c r="Q571" i="3" s="1"/>
  <c r="O579" i="3"/>
  <c r="P579" i="3" s="1"/>
  <c r="O595" i="3"/>
  <c r="P595" i="3" s="1"/>
  <c r="Q595" i="3" s="1"/>
  <c r="O31" i="3"/>
  <c r="P31" i="3" s="1"/>
  <c r="Q31" i="3" s="1"/>
  <c r="O111" i="3"/>
  <c r="P111" i="3" s="1"/>
  <c r="Q111" i="3" s="1"/>
  <c r="O143" i="3"/>
  <c r="P143" i="3" s="1"/>
  <c r="Q143" i="3" s="1"/>
  <c r="O175" i="3"/>
  <c r="P175" i="3" s="1"/>
  <c r="Q175" i="3" s="1"/>
  <c r="O207" i="3"/>
  <c r="P207" i="3" s="1"/>
  <c r="Q207" i="3" s="1"/>
  <c r="O248" i="3"/>
  <c r="P248" i="3" s="1"/>
  <c r="Q248" i="3" s="1"/>
  <c r="O256" i="3"/>
  <c r="P256" i="3" s="1"/>
  <c r="Q256" i="3" s="1"/>
  <c r="O280" i="3"/>
  <c r="P280" i="3" s="1"/>
  <c r="Q280" i="3" s="1"/>
  <c r="O304" i="3"/>
  <c r="P304" i="3" s="1"/>
  <c r="Q304" i="3" s="1"/>
  <c r="O23" i="3"/>
  <c r="P23" i="3" s="1"/>
  <c r="Q23" i="3" s="1"/>
  <c r="O39" i="3"/>
  <c r="P39" i="3" s="1"/>
  <c r="Q39" i="3" s="1"/>
  <c r="O55" i="3"/>
  <c r="P55" i="3" s="1"/>
  <c r="O71" i="3"/>
  <c r="P71" i="3" s="1"/>
  <c r="Q71" i="3" s="1"/>
  <c r="O87" i="3"/>
  <c r="P87" i="3" s="1"/>
  <c r="Q87" i="3" s="1"/>
  <c r="O103" i="3"/>
  <c r="P103" i="3" s="1"/>
  <c r="Q103" i="3" s="1"/>
  <c r="O119" i="3"/>
  <c r="P119" i="3" s="1"/>
  <c r="O135" i="3"/>
  <c r="P135" i="3" s="1"/>
  <c r="Q135" i="3" s="1"/>
  <c r="O151" i="3"/>
  <c r="P151" i="3" s="1"/>
  <c r="Q151" i="3" s="1"/>
  <c r="O167" i="3"/>
  <c r="P167" i="3" s="1"/>
  <c r="Q167" i="3" s="1"/>
  <c r="O183" i="3"/>
  <c r="P183" i="3" s="1"/>
  <c r="Q183" i="3" s="1"/>
  <c r="O199" i="3"/>
  <c r="P199" i="3" s="1"/>
  <c r="Q199" i="3" s="1"/>
  <c r="O215" i="3"/>
  <c r="P215" i="3" s="1"/>
  <c r="Q215" i="3" s="1"/>
  <c r="O231" i="3"/>
  <c r="P231" i="3" s="1"/>
  <c r="Q231" i="3" s="1"/>
  <c r="O243" i="3"/>
  <c r="P243" i="3" s="1"/>
  <c r="O252" i="3"/>
  <c r="P252" i="3" s="1"/>
  <c r="O260" i="3"/>
  <c r="P260" i="3" s="1"/>
  <c r="Q260" i="3" s="1"/>
  <c r="O268" i="3"/>
  <c r="P268" i="3" s="1"/>
  <c r="Q268" i="3" s="1"/>
  <c r="O276" i="3"/>
  <c r="P276" i="3" s="1"/>
  <c r="Q276" i="3" s="1"/>
  <c r="O284" i="3"/>
  <c r="P284" i="3" s="1"/>
  <c r="Q284" i="3" s="1"/>
  <c r="O292" i="3"/>
  <c r="P292" i="3" s="1"/>
  <c r="Q292" i="3" s="1"/>
  <c r="O300" i="3"/>
  <c r="P300" i="3" s="1"/>
  <c r="Q300" i="3" s="1"/>
  <c r="O308" i="3"/>
  <c r="P308" i="3" s="1"/>
  <c r="Q308" i="3" s="1"/>
  <c r="O316" i="3"/>
  <c r="P316" i="3" s="1"/>
  <c r="Q316" i="3" s="1"/>
  <c r="O324" i="3"/>
  <c r="P324" i="3" s="1"/>
  <c r="Q324" i="3" s="1"/>
  <c r="O332" i="3"/>
  <c r="P332" i="3" s="1"/>
  <c r="Q332" i="3" s="1"/>
  <c r="O340" i="3"/>
  <c r="P340" i="3" s="1"/>
  <c r="Q340" i="3" s="1"/>
  <c r="O348" i="3"/>
  <c r="P348" i="3" s="1"/>
  <c r="Q348" i="3" s="1"/>
  <c r="O356" i="3"/>
  <c r="P356" i="3" s="1"/>
  <c r="Q356" i="3" s="1"/>
  <c r="O364" i="3"/>
  <c r="P364" i="3" s="1"/>
  <c r="Q364" i="3" s="1"/>
  <c r="O372" i="3"/>
  <c r="P372" i="3" s="1"/>
  <c r="Q372" i="3" s="1"/>
  <c r="O380" i="3"/>
  <c r="P380" i="3" s="1"/>
  <c r="Q380" i="3" s="1"/>
  <c r="O388" i="3"/>
  <c r="P388" i="3" s="1"/>
  <c r="Q388" i="3" s="1"/>
  <c r="O396" i="3"/>
  <c r="P396" i="3" s="1"/>
  <c r="Q396" i="3" s="1"/>
  <c r="O404" i="3"/>
  <c r="P404" i="3" s="1"/>
  <c r="Q404" i="3" s="1"/>
  <c r="O412" i="3"/>
  <c r="P412" i="3" s="1"/>
  <c r="O420" i="3"/>
  <c r="P420" i="3" s="1"/>
  <c r="Q420" i="3" s="1"/>
  <c r="O428" i="3"/>
  <c r="P428" i="3" s="1"/>
  <c r="O436" i="3"/>
  <c r="P436" i="3" s="1"/>
  <c r="Q436" i="3" s="1"/>
  <c r="O444" i="3"/>
  <c r="P444" i="3" s="1"/>
  <c r="Q444" i="3" s="1"/>
  <c r="O452" i="3"/>
  <c r="P452" i="3" s="1"/>
  <c r="O460" i="3"/>
  <c r="P460" i="3" s="1"/>
  <c r="Q460" i="3" s="1"/>
  <c r="O468" i="3"/>
  <c r="P468" i="3" s="1"/>
  <c r="Q468" i="3" s="1"/>
  <c r="O476" i="3"/>
  <c r="P476" i="3" s="1"/>
  <c r="Q476" i="3" s="1"/>
  <c r="O484" i="3"/>
  <c r="P484" i="3" s="1"/>
  <c r="Q484" i="3" s="1"/>
  <c r="O492" i="3"/>
  <c r="P492" i="3" s="1"/>
  <c r="Q492" i="3" s="1"/>
  <c r="O500" i="3"/>
  <c r="P500" i="3" s="1"/>
  <c r="Q500" i="3" s="1"/>
  <c r="O508" i="3"/>
  <c r="P508" i="3" s="1"/>
  <c r="Q508" i="3" s="1"/>
  <c r="O516" i="3"/>
  <c r="P516" i="3" s="1"/>
  <c r="Q516" i="3" s="1"/>
  <c r="O524" i="3"/>
  <c r="P524" i="3" s="1"/>
  <c r="Q524" i="3" s="1"/>
  <c r="O532" i="3"/>
  <c r="P532" i="3" s="1"/>
  <c r="Q532" i="3" s="1"/>
  <c r="O540" i="3"/>
  <c r="P540" i="3" s="1"/>
  <c r="Q540" i="3" s="1"/>
  <c r="O548" i="3"/>
  <c r="P548" i="3" s="1"/>
  <c r="Q548" i="3" s="1"/>
  <c r="O556" i="3"/>
  <c r="P556" i="3" s="1"/>
  <c r="Q556" i="3" s="1"/>
  <c r="O564" i="3"/>
  <c r="P564" i="3" s="1"/>
  <c r="O572" i="3"/>
  <c r="P572" i="3" s="1"/>
  <c r="Q572" i="3" s="1"/>
  <c r="O580" i="3"/>
  <c r="P580" i="3" s="1"/>
  <c r="Q580" i="3" s="1"/>
  <c r="O588" i="3"/>
  <c r="P588" i="3" s="1"/>
  <c r="Q588" i="3" s="1"/>
  <c r="O596" i="3"/>
  <c r="P596" i="3" s="1"/>
  <c r="Q596" i="3" s="1"/>
  <c r="O15" i="3"/>
  <c r="P15" i="3" s="1"/>
  <c r="Q15" i="3" s="1"/>
  <c r="O95" i="3"/>
  <c r="P95" i="3" s="1"/>
  <c r="Q95" i="3" s="1"/>
  <c r="O127" i="3"/>
  <c r="P127" i="3" s="1"/>
  <c r="Q127" i="3" s="1"/>
  <c r="O159" i="3"/>
  <c r="P159" i="3" s="1"/>
  <c r="Q159" i="3" s="1"/>
  <c r="O191" i="3"/>
  <c r="P191" i="3" s="1"/>
  <c r="Q191" i="3" s="1"/>
  <c r="O239" i="3"/>
  <c r="P239" i="3" s="1"/>
  <c r="O272" i="3"/>
  <c r="P272" i="3" s="1"/>
  <c r="Q272" i="3" s="1"/>
  <c r="O296" i="3"/>
  <c r="P296" i="3" s="1"/>
  <c r="Q296" i="3" s="1"/>
  <c r="O24" i="3"/>
  <c r="P24" i="3" s="1"/>
  <c r="Q24" i="3" s="1"/>
  <c r="O40" i="3"/>
  <c r="P40" i="3" s="1"/>
  <c r="Q40" i="3" s="1"/>
  <c r="O56" i="3"/>
  <c r="P56" i="3" s="1"/>
  <c r="Q56" i="3" s="1"/>
  <c r="O72" i="3"/>
  <c r="P72" i="3" s="1"/>
  <c r="Q72" i="3" s="1"/>
  <c r="O88" i="3"/>
  <c r="P88" i="3" s="1"/>
  <c r="Q88" i="3" s="1"/>
  <c r="O104" i="3"/>
  <c r="P104" i="3" s="1"/>
  <c r="Q104" i="3" s="1"/>
  <c r="O120" i="3"/>
  <c r="P120" i="3" s="1"/>
  <c r="Q120" i="3" s="1"/>
  <c r="O136" i="3"/>
  <c r="P136" i="3" s="1"/>
  <c r="Q136" i="3" s="1"/>
  <c r="O152" i="3"/>
  <c r="P152" i="3" s="1"/>
  <c r="Q152" i="3" s="1"/>
  <c r="O168" i="3"/>
  <c r="P168" i="3" s="1"/>
  <c r="Q168" i="3" s="1"/>
  <c r="O184" i="3"/>
  <c r="P184" i="3" s="1"/>
  <c r="Q184" i="3" s="1"/>
  <c r="O200" i="3"/>
  <c r="P200" i="3" s="1"/>
  <c r="Q200" i="3" s="1"/>
  <c r="O216" i="3"/>
  <c r="P216" i="3" s="1"/>
  <c r="Q216" i="3" s="1"/>
  <c r="O232" i="3"/>
  <c r="P232" i="3" s="1"/>
  <c r="Q232" i="3" s="1"/>
  <c r="O245" i="3"/>
  <c r="P245" i="3" s="1"/>
  <c r="Q245" i="3" s="1"/>
  <c r="O253" i="3"/>
  <c r="P253" i="3" s="1"/>
  <c r="Q253" i="3" s="1"/>
  <c r="O261" i="3"/>
  <c r="P261" i="3" s="1"/>
  <c r="Q261" i="3" s="1"/>
  <c r="O269" i="3"/>
  <c r="P269" i="3" s="1"/>
  <c r="O277" i="3"/>
  <c r="P277" i="3" s="1"/>
  <c r="Q277" i="3" s="1"/>
  <c r="O285" i="3"/>
  <c r="P285" i="3" s="1"/>
  <c r="Q285" i="3" s="1"/>
  <c r="O293" i="3"/>
  <c r="P293" i="3" s="1"/>
  <c r="Q293" i="3" s="1"/>
  <c r="O301" i="3"/>
  <c r="P301" i="3" s="1"/>
  <c r="O309" i="3"/>
  <c r="P309" i="3" s="1"/>
  <c r="Q309" i="3" s="1"/>
  <c r="O317" i="3"/>
  <c r="P317" i="3" s="1"/>
  <c r="O325" i="3"/>
  <c r="P325" i="3" s="1"/>
  <c r="Q325" i="3" s="1"/>
  <c r="O333" i="3"/>
  <c r="P333" i="3" s="1"/>
  <c r="Q333" i="3" s="1"/>
  <c r="O341" i="3"/>
  <c r="P341" i="3" s="1"/>
  <c r="Q341" i="3" s="1"/>
  <c r="O349" i="3"/>
  <c r="P349" i="3" s="1"/>
  <c r="Q349" i="3" s="1"/>
  <c r="O357" i="3"/>
  <c r="P357" i="3" s="1"/>
  <c r="Q357" i="3" s="1"/>
  <c r="O365" i="3"/>
  <c r="P365" i="3" s="1"/>
  <c r="Q365" i="3" s="1"/>
  <c r="O373" i="3"/>
  <c r="P373" i="3" s="1"/>
  <c r="Q373" i="3" s="1"/>
  <c r="O381" i="3"/>
  <c r="P381" i="3" s="1"/>
  <c r="Q381" i="3" s="1"/>
  <c r="O389" i="3"/>
  <c r="P389" i="3" s="1"/>
  <c r="Q389" i="3" s="1"/>
  <c r="O397" i="3"/>
  <c r="P397" i="3" s="1"/>
  <c r="Q397" i="3" s="1"/>
  <c r="O405" i="3"/>
  <c r="P405" i="3" s="1"/>
  <c r="Q405" i="3" s="1"/>
  <c r="O413" i="3"/>
  <c r="P413" i="3" s="1"/>
  <c r="Q413" i="3" s="1"/>
  <c r="O421" i="3"/>
  <c r="P421" i="3" s="1"/>
  <c r="Q421" i="3" s="1"/>
  <c r="O429" i="3"/>
  <c r="P429" i="3" s="1"/>
  <c r="O437" i="3"/>
  <c r="P437" i="3" s="1"/>
  <c r="Q437" i="3" s="1"/>
  <c r="O445" i="3"/>
  <c r="P445" i="3" s="1"/>
  <c r="O453" i="3"/>
  <c r="P453" i="3" s="1"/>
  <c r="Q453" i="3" s="1"/>
  <c r="O461" i="3"/>
  <c r="P461" i="3" s="1"/>
  <c r="Q461" i="3" s="1"/>
  <c r="O469" i="3"/>
  <c r="P469" i="3" s="1"/>
  <c r="Q469" i="3" s="1"/>
  <c r="O477" i="3"/>
  <c r="P477" i="3" s="1"/>
  <c r="Q477" i="3" s="1"/>
  <c r="O485" i="3"/>
  <c r="P485" i="3" s="1"/>
  <c r="O493" i="3"/>
  <c r="P493" i="3" s="1"/>
  <c r="O501" i="3"/>
  <c r="P501" i="3" s="1"/>
  <c r="Q501" i="3" s="1"/>
  <c r="O509" i="3"/>
  <c r="P509" i="3" s="1"/>
  <c r="Q509" i="3" s="1"/>
  <c r="O517" i="3"/>
  <c r="P517" i="3" s="1"/>
  <c r="Q517" i="3" s="1"/>
  <c r="O525" i="3"/>
  <c r="P525" i="3" s="1"/>
  <c r="O533" i="3"/>
  <c r="P533" i="3" s="1"/>
  <c r="Q533" i="3" s="1"/>
  <c r="O541" i="3"/>
  <c r="P541" i="3" s="1"/>
  <c r="Q541" i="3" s="1"/>
  <c r="O549" i="3"/>
  <c r="P549" i="3" s="1"/>
  <c r="Q549" i="3" s="1"/>
  <c r="O557" i="3"/>
  <c r="P557" i="3" s="1"/>
  <c r="Q557" i="3" s="1"/>
  <c r="O565" i="3"/>
  <c r="P565" i="3" s="1"/>
  <c r="Q565" i="3" s="1"/>
  <c r="O573" i="3"/>
  <c r="P573" i="3" s="1"/>
  <c r="O581" i="3"/>
  <c r="P581" i="3" s="1"/>
  <c r="Q581" i="3" s="1"/>
  <c r="O589" i="3"/>
  <c r="P589" i="3" s="1"/>
  <c r="O597" i="3"/>
  <c r="P597" i="3" s="1"/>
  <c r="Q597" i="3" s="1"/>
  <c r="O79" i="3"/>
  <c r="P79" i="3" s="1"/>
  <c r="Q79" i="3" s="1"/>
  <c r="O223" i="3"/>
  <c r="P223" i="3" s="1"/>
  <c r="Q223" i="3" s="1"/>
  <c r="O264" i="3"/>
  <c r="P264" i="3" s="1"/>
  <c r="Q264" i="3" s="1"/>
  <c r="O288" i="3"/>
  <c r="P288" i="3" s="1"/>
  <c r="Q288" i="3" s="1"/>
  <c r="O9" i="3"/>
  <c r="P9" i="3" s="1"/>
  <c r="Q9" i="3" s="1"/>
  <c r="O25" i="3"/>
  <c r="P25" i="3" s="1"/>
  <c r="Q25" i="3" s="1"/>
  <c r="O41" i="3"/>
  <c r="P41" i="3" s="1"/>
  <c r="Q41" i="3" s="1"/>
  <c r="O57" i="3"/>
  <c r="P57" i="3" s="1"/>
  <c r="Q57" i="3" s="1"/>
  <c r="O73" i="3"/>
  <c r="P73" i="3" s="1"/>
  <c r="Q73" i="3" s="1"/>
  <c r="O89" i="3"/>
  <c r="P89" i="3" s="1"/>
  <c r="Q89" i="3" s="1"/>
  <c r="O105" i="3"/>
  <c r="P105" i="3" s="1"/>
  <c r="Q105" i="3" s="1"/>
  <c r="O121" i="3"/>
  <c r="P121" i="3" s="1"/>
  <c r="Q121" i="3" s="1"/>
  <c r="O137" i="3"/>
  <c r="P137" i="3" s="1"/>
  <c r="Q137" i="3" s="1"/>
  <c r="O153" i="3"/>
  <c r="P153" i="3" s="1"/>
  <c r="Q153" i="3" s="1"/>
  <c r="O169" i="3"/>
  <c r="P169" i="3" s="1"/>
  <c r="Q169" i="3" s="1"/>
  <c r="O185" i="3"/>
  <c r="P185" i="3" s="1"/>
  <c r="Q185" i="3" s="1"/>
  <c r="O201" i="3"/>
  <c r="P201" i="3" s="1"/>
  <c r="Q201" i="3" s="1"/>
  <c r="O217" i="3"/>
  <c r="P217" i="3" s="1"/>
  <c r="Q217" i="3" s="1"/>
  <c r="O233" i="3"/>
  <c r="P233" i="3" s="1"/>
  <c r="Q233" i="3" s="1"/>
  <c r="O246" i="3"/>
  <c r="P246" i="3" s="1"/>
  <c r="Q246" i="3" s="1"/>
  <c r="O254" i="3"/>
  <c r="P254" i="3" s="1"/>
  <c r="O262" i="3"/>
  <c r="P262" i="3" s="1"/>
  <c r="Q262" i="3" s="1"/>
  <c r="O270" i="3"/>
  <c r="P270" i="3" s="1"/>
  <c r="O278" i="3"/>
  <c r="P278" i="3" s="1"/>
  <c r="Q278" i="3" s="1"/>
  <c r="O286" i="3"/>
  <c r="P286" i="3" s="1"/>
  <c r="Q286" i="3" s="1"/>
  <c r="O294" i="3"/>
  <c r="P294" i="3" s="1"/>
  <c r="Q294" i="3" s="1"/>
  <c r="O302" i="3"/>
  <c r="P302" i="3" s="1"/>
  <c r="Q302" i="3" s="1"/>
  <c r="O310" i="3"/>
  <c r="P310" i="3" s="1"/>
  <c r="Q310" i="3" s="1"/>
  <c r="O318" i="3"/>
  <c r="P318" i="3" s="1"/>
  <c r="Q318" i="3" s="1"/>
  <c r="O326" i="3"/>
  <c r="P326" i="3" s="1"/>
  <c r="Q326" i="3" s="1"/>
  <c r="O334" i="3"/>
  <c r="P334" i="3" s="1"/>
  <c r="Q334" i="3" s="1"/>
  <c r="O342" i="3"/>
  <c r="P342" i="3" s="1"/>
  <c r="Q342" i="3" s="1"/>
  <c r="O350" i="3"/>
  <c r="P350" i="3" s="1"/>
  <c r="Q350" i="3" s="1"/>
  <c r="O358" i="3"/>
  <c r="P358" i="3" s="1"/>
  <c r="Q358" i="3" s="1"/>
  <c r="O366" i="3"/>
  <c r="P366" i="3" s="1"/>
  <c r="Q366" i="3" s="1"/>
  <c r="O374" i="3"/>
  <c r="P374" i="3" s="1"/>
  <c r="Q374" i="3" s="1"/>
  <c r="O382" i="3"/>
  <c r="P382" i="3" s="1"/>
  <c r="Q382" i="3" s="1"/>
  <c r="O390" i="3"/>
  <c r="P390" i="3" s="1"/>
  <c r="Q390" i="3" s="1"/>
  <c r="O398" i="3"/>
  <c r="P398" i="3" s="1"/>
  <c r="Q398" i="3" s="1"/>
  <c r="O406" i="3"/>
  <c r="P406" i="3" s="1"/>
  <c r="Q406" i="3" s="1"/>
  <c r="O414" i="3"/>
  <c r="P414" i="3" s="1"/>
  <c r="Q414" i="3" s="1"/>
  <c r="O422" i="3"/>
  <c r="P422" i="3" s="1"/>
  <c r="Q422" i="3" s="1"/>
  <c r="O430" i="3"/>
  <c r="P430" i="3" s="1"/>
  <c r="Q430" i="3" s="1"/>
  <c r="O438" i="3"/>
  <c r="P438" i="3" s="1"/>
  <c r="Q438" i="3" s="1"/>
  <c r="O446" i="3"/>
  <c r="P446" i="3" s="1"/>
  <c r="Q446" i="3" s="1"/>
  <c r="O454" i="3"/>
  <c r="P454" i="3" s="1"/>
  <c r="Q454" i="3" s="1"/>
  <c r="O462" i="3"/>
  <c r="P462" i="3" s="1"/>
  <c r="Q462" i="3" s="1"/>
  <c r="O470" i="3"/>
  <c r="P470" i="3" s="1"/>
  <c r="Q470" i="3" s="1"/>
  <c r="O478" i="3"/>
  <c r="P478" i="3" s="1"/>
  <c r="Q478" i="3" s="1"/>
  <c r="O486" i="3"/>
  <c r="P486" i="3" s="1"/>
  <c r="Q486" i="3" s="1"/>
  <c r="O494" i="3"/>
  <c r="P494" i="3" s="1"/>
  <c r="Q494" i="3" s="1"/>
  <c r="O502" i="3"/>
  <c r="P502" i="3" s="1"/>
  <c r="Q502" i="3" s="1"/>
  <c r="O510" i="3"/>
  <c r="P510" i="3" s="1"/>
  <c r="Q510" i="3" s="1"/>
  <c r="O518" i="3"/>
  <c r="P518" i="3" s="1"/>
  <c r="Q518" i="3" s="1"/>
  <c r="O526" i="3"/>
  <c r="P526" i="3" s="1"/>
  <c r="Q526" i="3" s="1"/>
  <c r="O534" i="3"/>
  <c r="P534" i="3" s="1"/>
  <c r="Q534" i="3" s="1"/>
  <c r="O542" i="3"/>
  <c r="P542" i="3" s="1"/>
  <c r="Q542" i="3" s="1"/>
  <c r="O550" i="3"/>
  <c r="P550" i="3" s="1"/>
  <c r="Q550" i="3" s="1"/>
  <c r="O558" i="3"/>
  <c r="P558" i="3" s="1"/>
  <c r="Q558" i="3" s="1"/>
  <c r="O566" i="3"/>
  <c r="P566" i="3" s="1"/>
  <c r="Q566" i="3" s="1"/>
  <c r="O574" i="3"/>
  <c r="P574" i="3" s="1"/>
  <c r="Q574" i="3" s="1"/>
  <c r="O582" i="3"/>
  <c r="P582" i="3" s="1"/>
  <c r="Q582" i="3" s="1"/>
  <c r="O590" i="3"/>
  <c r="P590" i="3" s="1"/>
  <c r="Q590" i="3" s="1"/>
  <c r="O598" i="3"/>
  <c r="P598" i="3" s="1"/>
  <c r="Q598" i="3" s="1"/>
  <c r="O63" i="3"/>
  <c r="P63" i="3" s="1"/>
  <c r="Q63" i="3" s="1"/>
  <c r="P10" i="3"/>
  <c r="Q10" i="3" s="1"/>
  <c r="O26" i="3"/>
  <c r="P26" i="3" s="1"/>
  <c r="Q26" i="3" s="1"/>
  <c r="O42" i="3"/>
  <c r="P42" i="3" s="1"/>
  <c r="Q42" i="3" s="1"/>
  <c r="O58" i="3"/>
  <c r="P58" i="3" s="1"/>
  <c r="Q58" i="3" s="1"/>
  <c r="O74" i="3"/>
  <c r="P74" i="3" s="1"/>
  <c r="Q74" i="3" s="1"/>
  <c r="O90" i="3"/>
  <c r="P90" i="3" s="1"/>
  <c r="Q90" i="3" s="1"/>
  <c r="O106" i="3"/>
  <c r="P106" i="3" s="1"/>
  <c r="Q106" i="3" s="1"/>
  <c r="O122" i="3"/>
  <c r="P122" i="3" s="1"/>
  <c r="Q122" i="3" s="1"/>
  <c r="O138" i="3"/>
  <c r="P138" i="3" s="1"/>
  <c r="Q138" i="3" s="1"/>
  <c r="O154" i="3"/>
  <c r="P154" i="3" s="1"/>
  <c r="Q154" i="3" s="1"/>
  <c r="O170" i="3"/>
  <c r="P170" i="3" s="1"/>
  <c r="Q170" i="3" s="1"/>
  <c r="O186" i="3"/>
  <c r="P186" i="3" s="1"/>
  <c r="Q186" i="3" s="1"/>
  <c r="O202" i="3"/>
  <c r="P202" i="3" s="1"/>
  <c r="Q202" i="3" s="1"/>
  <c r="O218" i="3"/>
  <c r="P218" i="3" s="1"/>
  <c r="Q218" i="3" s="1"/>
  <c r="O234" i="3"/>
  <c r="P234" i="3" s="1"/>
  <c r="Q234" i="3" s="1"/>
  <c r="O247" i="3"/>
  <c r="P247" i="3" s="1"/>
  <c r="Q247" i="3" s="1"/>
  <c r="O255" i="3"/>
  <c r="P255" i="3" s="1"/>
  <c r="Q255" i="3" s="1"/>
  <c r="O263" i="3"/>
  <c r="P263" i="3" s="1"/>
  <c r="Q263" i="3" s="1"/>
  <c r="O271" i="3"/>
  <c r="P271" i="3" s="1"/>
  <c r="O279" i="3"/>
  <c r="P279" i="3" s="1"/>
  <c r="Q279" i="3" s="1"/>
  <c r="O287" i="3"/>
  <c r="P287" i="3" s="1"/>
  <c r="Q287" i="3" s="1"/>
  <c r="O295" i="3"/>
  <c r="P295" i="3" s="1"/>
  <c r="Q295" i="3" s="1"/>
  <c r="O303" i="3"/>
  <c r="P303" i="3" s="1"/>
  <c r="Q303" i="3" s="1"/>
  <c r="O311" i="3"/>
  <c r="P311" i="3" s="1"/>
  <c r="Q311" i="3" s="1"/>
  <c r="O319" i="3"/>
  <c r="P319" i="3" s="1"/>
  <c r="Q319" i="3" s="1"/>
  <c r="O327" i="3"/>
  <c r="P327" i="3" s="1"/>
  <c r="Q327" i="3" s="1"/>
  <c r="O335" i="3"/>
  <c r="P335" i="3" s="1"/>
  <c r="Q335" i="3" s="1"/>
  <c r="O343" i="3"/>
  <c r="P343" i="3" s="1"/>
  <c r="Q343" i="3" s="1"/>
  <c r="O351" i="3"/>
  <c r="P351" i="3" s="1"/>
  <c r="Q351" i="3" s="1"/>
  <c r="O359" i="3"/>
  <c r="P359" i="3" s="1"/>
  <c r="Q359" i="3" s="1"/>
  <c r="O367" i="3"/>
  <c r="P367" i="3" s="1"/>
  <c r="O375" i="3"/>
  <c r="P375" i="3" s="1"/>
  <c r="Q375" i="3" s="1"/>
  <c r="O383" i="3"/>
  <c r="P383" i="3" s="1"/>
  <c r="Q383" i="3" s="1"/>
  <c r="O391" i="3"/>
  <c r="P391" i="3" s="1"/>
  <c r="Q391" i="3" s="1"/>
  <c r="O399" i="3"/>
  <c r="P399" i="3" s="1"/>
  <c r="O407" i="3"/>
  <c r="P407" i="3" s="1"/>
  <c r="Q407" i="3" s="1"/>
  <c r="O415" i="3"/>
  <c r="P415" i="3" s="1"/>
  <c r="Q415" i="3" s="1"/>
  <c r="O423" i="3"/>
  <c r="P423" i="3" s="1"/>
  <c r="Q423" i="3" s="1"/>
  <c r="O431" i="3"/>
  <c r="P431" i="3" s="1"/>
  <c r="Q431" i="3" s="1"/>
  <c r="O439" i="3"/>
  <c r="P439" i="3" s="1"/>
  <c r="Q439" i="3" s="1"/>
  <c r="O447" i="3"/>
  <c r="P447" i="3" s="1"/>
  <c r="Q447" i="3" s="1"/>
  <c r="O455" i="3"/>
  <c r="P455" i="3" s="1"/>
  <c r="Q455" i="3" s="1"/>
  <c r="O463" i="3"/>
  <c r="P463" i="3" s="1"/>
  <c r="Q463" i="3" s="1"/>
  <c r="O471" i="3"/>
  <c r="P471" i="3" s="1"/>
  <c r="Q471" i="3" s="1"/>
  <c r="O479" i="3"/>
  <c r="P479" i="3" s="1"/>
  <c r="Q479" i="3" s="1"/>
  <c r="O487" i="3"/>
  <c r="P487" i="3" s="1"/>
  <c r="Q487" i="3" s="1"/>
  <c r="O495" i="3"/>
  <c r="P495" i="3" s="1"/>
  <c r="Q495" i="3" s="1"/>
  <c r="O503" i="3"/>
  <c r="P503" i="3" s="1"/>
  <c r="Q503" i="3" s="1"/>
  <c r="O511" i="3"/>
  <c r="P511" i="3" s="1"/>
  <c r="Q511" i="3" s="1"/>
  <c r="O519" i="3"/>
  <c r="P519" i="3" s="1"/>
  <c r="Q519" i="3" s="1"/>
  <c r="O527" i="3"/>
  <c r="P527" i="3" s="1"/>
  <c r="Q527" i="3" s="1"/>
  <c r="O535" i="3"/>
  <c r="P535" i="3" s="1"/>
  <c r="Q535" i="3" s="1"/>
  <c r="O543" i="3"/>
  <c r="P543" i="3" s="1"/>
  <c r="Q543" i="3" s="1"/>
  <c r="O551" i="3"/>
  <c r="P551" i="3" s="1"/>
  <c r="Q551" i="3" s="1"/>
  <c r="O559" i="3"/>
  <c r="P559" i="3" s="1"/>
  <c r="O567" i="3"/>
  <c r="P567" i="3" s="1"/>
  <c r="Q567" i="3" s="1"/>
  <c r="O575" i="3"/>
  <c r="P575" i="3" s="1"/>
  <c r="Q575" i="3" s="1"/>
  <c r="O583" i="3"/>
  <c r="P583" i="3" s="1"/>
  <c r="Q583" i="3" s="1"/>
  <c r="O591" i="3"/>
  <c r="P591" i="3" s="1"/>
  <c r="Q591" i="3" s="1"/>
  <c r="O599" i="3"/>
  <c r="P599" i="3" s="1"/>
  <c r="Q599" i="3" s="1"/>
  <c r="O16" i="3"/>
  <c r="P16" i="3" s="1"/>
  <c r="Q16" i="3" s="1"/>
  <c r="O32" i="3"/>
  <c r="P32" i="3" s="1"/>
  <c r="Q32" i="3" s="1"/>
  <c r="O48" i="3"/>
  <c r="P48" i="3" s="1"/>
  <c r="Q48" i="3" s="1"/>
  <c r="O64" i="3"/>
  <c r="P64" i="3" s="1"/>
  <c r="Q64" i="3" s="1"/>
  <c r="O80" i="3"/>
  <c r="P80" i="3" s="1"/>
  <c r="Q80" i="3" s="1"/>
  <c r="O96" i="3"/>
  <c r="P96" i="3" s="1"/>
  <c r="Q96" i="3" s="1"/>
  <c r="O112" i="3"/>
  <c r="P112" i="3" s="1"/>
  <c r="Q112" i="3" s="1"/>
  <c r="O128" i="3"/>
  <c r="P128" i="3" s="1"/>
  <c r="Q128" i="3" s="1"/>
  <c r="O144" i="3"/>
  <c r="P144" i="3" s="1"/>
  <c r="Q144" i="3" s="1"/>
  <c r="O160" i="3"/>
  <c r="P160" i="3" s="1"/>
  <c r="Q160" i="3" s="1"/>
  <c r="O176" i="3"/>
  <c r="P176" i="3" s="1"/>
  <c r="Q176" i="3" s="1"/>
  <c r="O192" i="3"/>
  <c r="P192" i="3" s="1"/>
  <c r="Q192" i="3" s="1"/>
  <c r="O208" i="3"/>
  <c r="P208" i="3" s="1"/>
  <c r="Q208" i="3" s="1"/>
  <c r="O224" i="3"/>
  <c r="P224" i="3" s="1"/>
  <c r="Q224" i="3" s="1"/>
  <c r="O240" i="3"/>
  <c r="P240" i="3" s="1"/>
  <c r="Q240" i="3" s="1"/>
  <c r="O249" i="3"/>
  <c r="P249" i="3" s="1"/>
  <c r="Q249" i="3" s="1"/>
  <c r="O257" i="3"/>
  <c r="P257" i="3" s="1"/>
  <c r="Q257" i="3" s="1"/>
  <c r="O265" i="3"/>
  <c r="P265" i="3" s="1"/>
  <c r="Q265" i="3" s="1"/>
  <c r="O273" i="3"/>
  <c r="P273" i="3" s="1"/>
  <c r="Q273" i="3" s="1"/>
  <c r="O281" i="3"/>
  <c r="P281" i="3" s="1"/>
  <c r="Q281" i="3" s="1"/>
  <c r="O289" i="3"/>
  <c r="P289" i="3" s="1"/>
  <c r="Q289" i="3" s="1"/>
  <c r="O297" i="3"/>
  <c r="P297" i="3" s="1"/>
  <c r="Q297" i="3" s="1"/>
  <c r="O305" i="3"/>
  <c r="P305" i="3" s="1"/>
  <c r="Q305" i="3" s="1"/>
  <c r="O313" i="3"/>
  <c r="P313" i="3" s="1"/>
  <c r="Q313" i="3" s="1"/>
  <c r="O321" i="3"/>
  <c r="P321" i="3" s="1"/>
  <c r="Q321" i="3" s="1"/>
  <c r="O329" i="3"/>
  <c r="P329" i="3" s="1"/>
  <c r="Q329" i="3" s="1"/>
  <c r="O337" i="3"/>
  <c r="P337" i="3" s="1"/>
  <c r="Q337" i="3" s="1"/>
  <c r="O345" i="3"/>
  <c r="P345" i="3" s="1"/>
  <c r="Q345" i="3" s="1"/>
  <c r="O353" i="3"/>
  <c r="P353" i="3" s="1"/>
  <c r="Q353" i="3" s="1"/>
  <c r="O361" i="3"/>
  <c r="P361" i="3" s="1"/>
  <c r="Q361" i="3" s="1"/>
  <c r="O369" i="3"/>
  <c r="P369" i="3" s="1"/>
  <c r="Q369" i="3" s="1"/>
  <c r="O377" i="3"/>
  <c r="P377" i="3" s="1"/>
  <c r="Q377" i="3" s="1"/>
  <c r="O385" i="3"/>
  <c r="P385" i="3" s="1"/>
  <c r="Q385" i="3" s="1"/>
  <c r="O393" i="3"/>
  <c r="P393" i="3" s="1"/>
  <c r="Q393" i="3" s="1"/>
  <c r="O401" i="3"/>
  <c r="P401" i="3" s="1"/>
  <c r="Q401" i="3" s="1"/>
  <c r="O409" i="3"/>
  <c r="P409" i="3" s="1"/>
  <c r="Q409" i="3" s="1"/>
  <c r="O417" i="3"/>
  <c r="P417" i="3" s="1"/>
  <c r="Q417" i="3" s="1"/>
  <c r="O425" i="3"/>
  <c r="P425" i="3" s="1"/>
  <c r="Q425" i="3" s="1"/>
  <c r="O433" i="3"/>
  <c r="P433" i="3" s="1"/>
  <c r="Q433" i="3" s="1"/>
  <c r="O441" i="3"/>
  <c r="P441" i="3" s="1"/>
  <c r="Q441" i="3" s="1"/>
  <c r="O449" i="3"/>
  <c r="P449" i="3" s="1"/>
  <c r="Q449" i="3" s="1"/>
  <c r="O457" i="3"/>
  <c r="P457" i="3" s="1"/>
  <c r="Q457" i="3" s="1"/>
  <c r="O465" i="3"/>
  <c r="P465" i="3" s="1"/>
  <c r="Q465" i="3" s="1"/>
  <c r="O473" i="3"/>
  <c r="P473" i="3" s="1"/>
  <c r="Q473" i="3" s="1"/>
  <c r="O481" i="3"/>
  <c r="P481" i="3" s="1"/>
  <c r="Q481" i="3" s="1"/>
  <c r="O489" i="3"/>
  <c r="P489" i="3" s="1"/>
  <c r="Q489" i="3" s="1"/>
  <c r="O497" i="3"/>
  <c r="P497" i="3" s="1"/>
  <c r="Q497" i="3" s="1"/>
  <c r="O505" i="3"/>
  <c r="P505" i="3" s="1"/>
  <c r="Q505" i="3" s="1"/>
  <c r="O513" i="3"/>
  <c r="P513" i="3" s="1"/>
  <c r="Q513" i="3" s="1"/>
  <c r="O521" i="3"/>
  <c r="P521" i="3" s="1"/>
  <c r="Q521" i="3" s="1"/>
  <c r="O529" i="3"/>
  <c r="P529" i="3" s="1"/>
  <c r="Q529" i="3" s="1"/>
  <c r="O537" i="3"/>
  <c r="P537" i="3" s="1"/>
  <c r="Q537" i="3" s="1"/>
  <c r="O545" i="3"/>
  <c r="P545" i="3" s="1"/>
  <c r="Q545" i="3" s="1"/>
  <c r="O553" i="3"/>
  <c r="P553" i="3" s="1"/>
  <c r="Q553" i="3" s="1"/>
  <c r="O561" i="3"/>
  <c r="P561" i="3" s="1"/>
  <c r="Q561" i="3" s="1"/>
  <c r="O569" i="3"/>
  <c r="P569" i="3" s="1"/>
  <c r="Q569" i="3" s="1"/>
  <c r="O577" i="3"/>
  <c r="P577" i="3" s="1"/>
  <c r="Q577" i="3" s="1"/>
  <c r="O585" i="3"/>
  <c r="P585" i="3" s="1"/>
  <c r="Q585" i="3" s="1"/>
  <c r="O593" i="3"/>
  <c r="P593" i="3" s="1"/>
  <c r="Q593" i="3" s="1"/>
  <c r="O601" i="3"/>
  <c r="P601" i="3" s="1"/>
  <c r="Q601" i="3" s="1"/>
  <c r="O17" i="3"/>
  <c r="P17" i="3" s="1"/>
  <c r="Q17" i="3" s="1"/>
  <c r="O33" i="3"/>
  <c r="P33" i="3" s="1"/>
  <c r="Q33" i="3" s="1"/>
  <c r="O49" i="3"/>
  <c r="P49" i="3" s="1"/>
  <c r="Q49" i="3" s="1"/>
  <c r="O65" i="3"/>
  <c r="P65" i="3" s="1"/>
  <c r="Q65" i="3" s="1"/>
  <c r="O81" i="3"/>
  <c r="P81" i="3" s="1"/>
  <c r="Q81" i="3" s="1"/>
  <c r="O97" i="3"/>
  <c r="P97" i="3" s="1"/>
  <c r="Q97" i="3" s="1"/>
  <c r="O113" i="3"/>
  <c r="P113" i="3" s="1"/>
  <c r="Q113" i="3" s="1"/>
  <c r="O129" i="3"/>
  <c r="P129" i="3" s="1"/>
  <c r="Q129" i="3" s="1"/>
  <c r="O145" i="3"/>
  <c r="P145" i="3" s="1"/>
  <c r="Q145" i="3" s="1"/>
  <c r="O161" i="3"/>
  <c r="P161" i="3" s="1"/>
  <c r="Q161" i="3" s="1"/>
  <c r="O177" i="3"/>
  <c r="P177" i="3" s="1"/>
  <c r="Q177" i="3" s="1"/>
  <c r="O193" i="3"/>
  <c r="P193" i="3" s="1"/>
  <c r="Q193" i="3" s="1"/>
  <c r="O209" i="3"/>
  <c r="P209" i="3" s="1"/>
  <c r="Q209" i="3" s="1"/>
  <c r="O225" i="3"/>
  <c r="P225" i="3" s="1"/>
  <c r="Q225" i="3" s="1"/>
  <c r="O241" i="3"/>
  <c r="P241" i="3" s="1"/>
  <c r="Q241" i="3" s="1"/>
  <c r="O250" i="3"/>
  <c r="P250" i="3" s="1"/>
  <c r="Q250" i="3" s="1"/>
  <c r="O258" i="3"/>
  <c r="P258" i="3" s="1"/>
  <c r="Q258" i="3" s="1"/>
  <c r="O266" i="3"/>
  <c r="P266" i="3" s="1"/>
  <c r="Q266" i="3" s="1"/>
  <c r="O274" i="3"/>
  <c r="P274" i="3" s="1"/>
  <c r="Q274" i="3" s="1"/>
  <c r="O282" i="3"/>
  <c r="P282" i="3" s="1"/>
  <c r="Q282" i="3" s="1"/>
  <c r="O290" i="3"/>
  <c r="P290" i="3" s="1"/>
  <c r="Q290" i="3" s="1"/>
  <c r="O298" i="3"/>
  <c r="P298" i="3" s="1"/>
  <c r="Q298" i="3" s="1"/>
  <c r="O306" i="3"/>
  <c r="P306" i="3" s="1"/>
  <c r="Q306" i="3" s="1"/>
  <c r="O314" i="3"/>
  <c r="P314" i="3" s="1"/>
  <c r="Q314" i="3" s="1"/>
  <c r="O322" i="3"/>
  <c r="P322" i="3" s="1"/>
  <c r="Q322" i="3" s="1"/>
  <c r="O600" i="3"/>
  <c r="P600" i="3" s="1"/>
  <c r="Q600" i="3" s="1"/>
  <c r="O568" i="3"/>
  <c r="P568" i="3" s="1"/>
  <c r="Q568" i="3" s="1"/>
  <c r="O536" i="3"/>
  <c r="P536" i="3" s="1"/>
  <c r="Q536" i="3" s="1"/>
  <c r="O504" i="3"/>
  <c r="P504" i="3" s="1"/>
  <c r="Q504" i="3" s="1"/>
  <c r="O472" i="3"/>
  <c r="P472" i="3" s="1"/>
  <c r="Q472" i="3" s="1"/>
  <c r="O440" i="3"/>
  <c r="P440" i="3" s="1"/>
  <c r="Q440" i="3" s="1"/>
  <c r="O408" i="3"/>
  <c r="P408" i="3" s="1"/>
  <c r="Q408" i="3" s="1"/>
  <c r="O376" i="3"/>
  <c r="P376" i="3" s="1"/>
  <c r="Q376" i="3" s="1"/>
  <c r="O344" i="3"/>
  <c r="P344" i="3" s="1"/>
  <c r="Q344" i="3" s="1"/>
  <c r="O594" i="3"/>
  <c r="P594" i="3" s="1"/>
  <c r="Q594" i="3" s="1"/>
  <c r="O562" i="3"/>
  <c r="P562" i="3" s="1"/>
  <c r="Q562" i="3" s="1"/>
  <c r="O530" i="3"/>
  <c r="P530" i="3" s="1"/>
  <c r="Q530" i="3" s="1"/>
  <c r="O498" i="3"/>
  <c r="P498" i="3" s="1"/>
  <c r="Q498" i="3" s="1"/>
  <c r="O466" i="3"/>
  <c r="P466" i="3" s="1"/>
  <c r="Q466" i="3" s="1"/>
  <c r="O434" i="3"/>
  <c r="P434" i="3" s="1"/>
  <c r="Q434" i="3" s="1"/>
  <c r="O402" i="3"/>
  <c r="P402" i="3" s="1"/>
  <c r="Q402" i="3" s="1"/>
  <c r="O370" i="3"/>
  <c r="P370" i="3" s="1"/>
  <c r="Q370" i="3" s="1"/>
  <c r="O338" i="3"/>
  <c r="P338" i="3" s="1"/>
  <c r="Q338" i="3" s="1"/>
  <c r="O8" i="3"/>
  <c r="P8" i="3" s="1"/>
  <c r="Q8" i="3" s="1"/>
  <c r="O7" i="3"/>
  <c r="P7" i="3" s="1"/>
  <c r="Q7" i="3" s="1"/>
  <c r="O238" i="3"/>
  <c r="P238" i="3" s="1"/>
  <c r="Q238" i="3" s="1"/>
  <c r="O230" i="3"/>
  <c r="P230" i="3" s="1"/>
  <c r="O222" i="3"/>
  <c r="P222" i="3" s="1"/>
  <c r="O214" i="3"/>
  <c r="P214" i="3" s="1"/>
  <c r="Q214" i="3" s="1"/>
  <c r="O206" i="3"/>
  <c r="P206" i="3" s="1"/>
  <c r="Q206" i="3" s="1"/>
  <c r="O198" i="3"/>
  <c r="P198" i="3" s="1"/>
  <c r="O190" i="3"/>
  <c r="P190" i="3" s="1"/>
  <c r="O182" i="3"/>
  <c r="P182" i="3" s="1"/>
  <c r="Q182" i="3" s="1"/>
  <c r="O174" i="3"/>
  <c r="P174" i="3" s="1"/>
  <c r="Q174" i="3" s="1"/>
  <c r="O166" i="3"/>
  <c r="P166" i="3" s="1"/>
  <c r="O158" i="3"/>
  <c r="P158" i="3" s="1"/>
  <c r="O150" i="3"/>
  <c r="P150" i="3" s="1"/>
  <c r="Q150" i="3" s="1"/>
  <c r="O142" i="3"/>
  <c r="P142" i="3" s="1"/>
  <c r="Q142" i="3" s="1"/>
  <c r="O134" i="3"/>
  <c r="P134" i="3" s="1"/>
  <c r="O126" i="3"/>
  <c r="P126" i="3" s="1"/>
  <c r="O118" i="3"/>
  <c r="P118" i="3" s="1"/>
  <c r="Q118" i="3" s="1"/>
  <c r="O110" i="3"/>
  <c r="P110" i="3" s="1"/>
  <c r="Q110" i="3" s="1"/>
  <c r="O102" i="3"/>
  <c r="P102" i="3" s="1"/>
  <c r="O94" i="3"/>
  <c r="P94" i="3" s="1"/>
  <c r="O86" i="3"/>
  <c r="P86" i="3" s="1"/>
  <c r="Q86" i="3" s="1"/>
  <c r="O78" i="3"/>
  <c r="P78" i="3" s="1"/>
  <c r="Q78" i="3" s="1"/>
  <c r="O70" i="3"/>
  <c r="P70" i="3" s="1"/>
  <c r="O62" i="3"/>
  <c r="P62" i="3" s="1"/>
  <c r="O54" i="3"/>
  <c r="P54" i="3" s="1"/>
  <c r="Q54" i="3" s="1"/>
  <c r="O46" i="3"/>
  <c r="P46" i="3" s="1"/>
  <c r="Q46" i="3" s="1"/>
  <c r="O38" i="3"/>
  <c r="P38" i="3" s="1"/>
  <c r="O30" i="3"/>
  <c r="P30" i="3" s="1"/>
  <c r="O22" i="3"/>
  <c r="P22" i="3" s="1"/>
  <c r="Q22" i="3" s="1"/>
  <c r="O14" i="3"/>
  <c r="P14" i="3" s="1"/>
  <c r="Q14" i="3" s="1"/>
  <c r="O6" i="3"/>
  <c r="P6" i="3" s="1"/>
  <c r="Q6" i="3" s="1"/>
  <c r="O237" i="3"/>
  <c r="P237" i="3" s="1"/>
  <c r="Q237" i="3" s="1"/>
  <c r="O229" i="3"/>
  <c r="P229" i="3" s="1"/>
  <c r="Q229" i="3" s="1"/>
  <c r="O221" i="3"/>
  <c r="P221" i="3" s="1"/>
  <c r="O213" i="3"/>
  <c r="P213" i="3" s="1"/>
  <c r="Q213" i="3" s="1"/>
  <c r="O205" i="3"/>
  <c r="P205" i="3" s="1"/>
  <c r="Q205" i="3" s="1"/>
  <c r="O197" i="3"/>
  <c r="P197" i="3" s="1"/>
  <c r="Q197" i="3" s="1"/>
  <c r="O189" i="3"/>
  <c r="P189" i="3" s="1"/>
  <c r="Q189" i="3" s="1"/>
  <c r="O181" i="3"/>
  <c r="P181" i="3" s="1"/>
  <c r="Q181" i="3" s="1"/>
  <c r="O173" i="3"/>
  <c r="P173" i="3" s="1"/>
  <c r="Q173" i="3" s="1"/>
  <c r="O165" i="3"/>
  <c r="P165" i="3" s="1"/>
  <c r="Q165" i="3" s="1"/>
  <c r="O157" i="3"/>
  <c r="P157" i="3" s="1"/>
  <c r="Q157" i="3" s="1"/>
  <c r="O149" i="3"/>
  <c r="P149" i="3" s="1"/>
  <c r="Q149" i="3" s="1"/>
  <c r="O141" i="3"/>
  <c r="P141" i="3" s="1"/>
  <c r="Q141" i="3" s="1"/>
  <c r="O133" i="3"/>
  <c r="P133" i="3" s="1"/>
  <c r="Q133" i="3" s="1"/>
  <c r="O125" i="3"/>
  <c r="P125" i="3" s="1"/>
  <c r="Q125" i="3" s="1"/>
  <c r="O117" i="3"/>
  <c r="P117" i="3" s="1"/>
  <c r="Q117" i="3" s="1"/>
  <c r="O109" i="3"/>
  <c r="P109" i="3" s="1"/>
  <c r="Q109" i="3" s="1"/>
  <c r="O101" i="3"/>
  <c r="P101" i="3" s="1"/>
  <c r="Q101" i="3" s="1"/>
  <c r="O93" i="3"/>
  <c r="P93" i="3" s="1"/>
  <c r="Q93" i="3" s="1"/>
  <c r="O85" i="3"/>
  <c r="P85" i="3" s="1"/>
  <c r="O77" i="3"/>
  <c r="P77" i="3" s="1"/>
  <c r="O69" i="3"/>
  <c r="P69" i="3" s="1"/>
  <c r="Q69" i="3" s="1"/>
  <c r="O61" i="3"/>
  <c r="P61" i="3" s="1"/>
  <c r="O53" i="3"/>
  <c r="P53" i="3" s="1"/>
  <c r="Q53" i="3" s="1"/>
  <c r="O45" i="3"/>
  <c r="P45" i="3" s="1"/>
  <c r="Q45" i="3" s="1"/>
  <c r="O37" i="3"/>
  <c r="P37" i="3" s="1"/>
  <c r="O29" i="3"/>
  <c r="P29" i="3" s="1"/>
  <c r="Q29" i="3" s="1"/>
  <c r="O21" i="3"/>
  <c r="P21" i="3" s="1"/>
  <c r="Q21" i="3" s="1"/>
  <c r="O13" i="3"/>
  <c r="P13" i="3" s="1"/>
  <c r="Q13" i="3" s="1"/>
  <c r="O5" i="3"/>
  <c r="P5" i="3" s="1"/>
  <c r="Q5" i="3" s="1"/>
  <c r="O244" i="3"/>
  <c r="P244" i="3" s="1"/>
  <c r="Q244" i="3" s="1"/>
  <c r="O236" i="3"/>
  <c r="P236" i="3" s="1"/>
  <c r="Q236" i="3" s="1"/>
  <c r="O228" i="3"/>
  <c r="P228" i="3" s="1"/>
  <c r="Q228" i="3" s="1"/>
  <c r="O220" i="3"/>
  <c r="P220" i="3" s="1"/>
  <c r="Q220" i="3" s="1"/>
  <c r="O212" i="3"/>
  <c r="P212" i="3" s="1"/>
  <c r="Q212" i="3" s="1"/>
  <c r="O204" i="3"/>
  <c r="P204" i="3" s="1"/>
  <c r="Q204" i="3" s="1"/>
  <c r="O196" i="3"/>
  <c r="P196" i="3" s="1"/>
  <c r="Q196" i="3" s="1"/>
  <c r="O188" i="3"/>
  <c r="P188" i="3" s="1"/>
  <c r="Q188" i="3" s="1"/>
  <c r="O180" i="3"/>
  <c r="P180" i="3" s="1"/>
  <c r="Q180" i="3" s="1"/>
  <c r="O172" i="3"/>
  <c r="P172" i="3" s="1"/>
  <c r="Q172" i="3" s="1"/>
  <c r="O164" i="3"/>
  <c r="P164" i="3" s="1"/>
  <c r="Q164" i="3" s="1"/>
  <c r="O156" i="3"/>
  <c r="P156" i="3" s="1"/>
  <c r="Q156" i="3" s="1"/>
  <c r="O148" i="3"/>
  <c r="P148" i="3" s="1"/>
  <c r="Q148" i="3" s="1"/>
  <c r="O140" i="3"/>
  <c r="P140" i="3" s="1"/>
  <c r="Q140" i="3" s="1"/>
  <c r="O132" i="3"/>
  <c r="P132" i="3" s="1"/>
  <c r="Q132" i="3" s="1"/>
  <c r="O124" i="3"/>
  <c r="P124" i="3" s="1"/>
  <c r="Q124" i="3" s="1"/>
  <c r="O116" i="3"/>
  <c r="P116" i="3" s="1"/>
  <c r="Q116" i="3" s="1"/>
  <c r="O108" i="3"/>
  <c r="P108" i="3" s="1"/>
  <c r="Q108" i="3" s="1"/>
  <c r="O100" i="3"/>
  <c r="P100" i="3" s="1"/>
  <c r="Q100" i="3" s="1"/>
  <c r="O92" i="3"/>
  <c r="P92" i="3" s="1"/>
  <c r="Q92" i="3" s="1"/>
  <c r="O84" i="3"/>
  <c r="P84" i="3" s="1"/>
  <c r="Q84" i="3" s="1"/>
  <c r="O76" i="3"/>
  <c r="P76" i="3" s="1"/>
  <c r="Q76" i="3" s="1"/>
  <c r="O68" i="3"/>
  <c r="P68" i="3" s="1"/>
  <c r="Q68" i="3" s="1"/>
  <c r="O60" i="3"/>
  <c r="P60" i="3" s="1"/>
  <c r="Q60" i="3" s="1"/>
  <c r="O52" i="3"/>
  <c r="P52" i="3" s="1"/>
  <c r="Q52" i="3" s="1"/>
  <c r="O44" i="3"/>
  <c r="P44" i="3" s="1"/>
  <c r="Q44" i="3" s="1"/>
  <c r="O36" i="3"/>
  <c r="P36" i="3" s="1"/>
  <c r="Q36" i="3" s="1"/>
  <c r="O28" i="3"/>
  <c r="P28" i="3" s="1"/>
  <c r="Q28" i="3" s="1"/>
  <c r="O20" i="3"/>
  <c r="P20" i="3" s="1"/>
  <c r="Q20" i="3" s="1"/>
  <c r="O12" i="3"/>
  <c r="P12" i="3" s="1"/>
  <c r="Q12" i="3" s="1"/>
  <c r="O4" i="3"/>
  <c r="P4" i="3" s="1"/>
  <c r="O235" i="3"/>
  <c r="P235" i="3" s="1"/>
  <c r="Q235" i="3" s="1"/>
  <c r="O227" i="3"/>
  <c r="P227" i="3" s="1"/>
  <c r="Q227" i="3" s="1"/>
  <c r="O219" i="3"/>
  <c r="P219" i="3" s="1"/>
  <c r="Q219" i="3" s="1"/>
  <c r="O211" i="3"/>
  <c r="P211" i="3" s="1"/>
  <c r="Q211" i="3" s="1"/>
  <c r="O203" i="3"/>
  <c r="P203" i="3" s="1"/>
  <c r="Q203" i="3" s="1"/>
  <c r="O195" i="3"/>
  <c r="P195" i="3" s="1"/>
  <c r="O187" i="3"/>
  <c r="P187" i="3" s="1"/>
  <c r="Q187" i="3" s="1"/>
  <c r="O179" i="3"/>
  <c r="P179" i="3" s="1"/>
  <c r="O171" i="3"/>
  <c r="P171" i="3" s="1"/>
  <c r="Q171" i="3" s="1"/>
  <c r="O163" i="3"/>
  <c r="P163" i="3" s="1"/>
  <c r="Q163" i="3" s="1"/>
  <c r="O155" i="3"/>
  <c r="P155" i="3" s="1"/>
  <c r="Q155" i="3" s="1"/>
  <c r="O147" i="3"/>
  <c r="P147" i="3" s="1"/>
  <c r="Q147" i="3" s="1"/>
  <c r="O139" i="3"/>
  <c r="P139" i="3" s="1"/>
  <c r="O131" i="3"/>
  <c r="P131" i="3" s="1"/>
  <c r="Q131" i="3" s="1"/>
  <c r="O123" i="3"/>
  <c r="P123" i="3" s="1"/>
  <c r="Q123" i="3" s="1"/>
  <c r="O115" i="3"/>
  <c r="P115" i="3" s="1"/>
  <c r="O107" i="3"/>
  <c r="P107" i="3" s="1"/>
  <c r="Q107" i="3" s="1"/>
  <c r="O99" i="3"/>
  <c r="P99" i="3" s="1"/>
  <c r="Q99" i="3" s="1"/>
  <c r="O91" i="3"/>
  <c r="P91" i="3" s="1"/>
  <c r="Q91" i="3" s="1"/>
  <c r="O83" i="3"/>
  <c r="P83" i="3" s="1"/>
  <c r="Q83" i="3" s="1"/>
  <c r="O75" i="3"/>
  <c r="P75" i="3" s="1"/>
  <c r="Q75" i="3" s="1"/>
  <c r="O67" i="3"/>
  <c r="P67" i="3" s="1"/>
  <c r="Q67" i="3" s="1"/>
  <c r="O59" i="3"/>
  <c r="P59" i="3" s="1"/>
  <c r="Q59" i="3" s="1"/>
  <c r="O51" i="3"/>
  <c r="P51" i="3" s="1"/>
  <c r="Q51" i="3" s="1"/>
  <c r="O43" i="3"/>
  <c r="P43" i="3" s="1"/>
  <c r="Q43" i="3" s="1"/>
  <c r="O35" i="3"/>
  <c r="P35" i="3" s="1"/>
  <c r="Q35" i="3" s="1"/>
  <c r="O27" i="3"/>
  <c r="P27" i="3" s="1"/>
  <c r="Q27" i="3" s="1"/>
  <c r="O19" i="3"/>
  <c r="P19" i="3" s="1"/>
  <c r="Q19" i="3" s="1"/>
  <c r="O11" i="3"/>
  <c r="P11" i="3" s="1"/>
  <c r="Q11" i="3" s="1"/>
  <c r="O3" i="3"/>
  <c r="P3" i="3" s="1"/>
  <c r="Q3" i="3" s="1"/>
  <c r="B16" i="3"/>
  <c r="J594" i="2"/>
  <c r="G594" i="2"/>
  <c r="K594" i="2" s="1"/>
  <c r="L594" i="2" s="1"/>
  <c r="J402" i="2"/>
  <c r="G402" i="2"/>
  <c r="K402" i="2" s="1"/>
  <c r="L402" i="2" s="1"/>
  <c r="J274" i="2"/>
  <c r="G274" i="2"/>
  <c r="K274" i="2" s="1"/>
  <c r="J59" i="2"/>
  <c r="G59" i="2"/>
  <c r="K59" i="2" s="1"/>
  <c r="J593" i="2"/>
  <c r="G593" i="2"/>
  <c r="K593" i="2" s="1"/>
  <c r="L593" i="2" s="1"/>
  <c r="J570" i="2"/>
  <c r="G570" i="2"/>
  <c r="K570" i="2" s="1"/>
  <c r="L570" i="2" s="1"/>
  <c r="J529" i="2"/>
  <c r="G529" i="2"/>
  <c r="J465" i="2"/>
  <c r="G465" i="2"/>
  <c r="J442" i="2"/>
  <c r="G442" i="2"/>
  <c r="N442" i="2" s="1"/>
  <c r="J401" i="2"/>
  <c r="G401" i="2"/>
  <c r="K401" i="2" s="1"/>
  <c r="L401" i="2" s="1"/>
  <c r="J378" i="2"/>
  <c r="G378" i="2"/>
  <c r="K378" i="2" s="1"/>
  <c r="J337" i="2"/>
  <c r="G337" i="2"/>
  <c r="K337" i="2" s="1"/>
  <c r="J314" i="2"/>
  <c r="G314" i="2"/>
  <c r="K314" i="2" s="1"/>
  <c r="L314" i="2" s="1"/>
  <c r="J273" i="2"/>
  <c r="G273" i="2"/>
  <c r="K273" i="2" s="1"/>
  <c r="L273" i="2" s="1"/>
  <c r="J250" i="2"/>
  <c r="G250" i="2"/>
  <c r="K250" i="2" s="1"/>
  <c r="J209" i="2"/>
  <c r="G209" i="2"/>
  <c r="K209" i="2" s="1"/>
  <c r="J186" i="2"/>
  <c r="G186" i="2"/>
  <c r="H186" i="2" s="1"/>
  <c r="J145" i="2"/>
  <c r="G145" i="2"/>
  <c r="K145" i="2" s="1"/>
  <c r="L145" i="2" s="1"/>
  <c r="J122" i="2"/>
  <c r="G122" i="2"/>
  <c r="K122" i="2" s="1"/>
  <c r="J81" i="2"/>
  <c r="G81" i="2"/>
  <c r="J58" i="2"/>
  <c r="G58" i="2"/>
  <c r="K58" i="2" s="1"/>
  <c r="J35" i="2"/>
  <c r="G35" i="2"/>
  <c r="K35" i="2" s="1"/>
  <c r="L35" i="2" s="1"/>
  <c r="J17" i="2"/>
  <c r="G17" i="2"/>
  <c r="K17" i="2" s="1"/>
  <c r="J569" i="2"/>
  <c r="G569" i="2"/>
  <c r="K569" i="2" s="1"/>
  <c r="J546" i="2"/>
  <c r="G546" i="2"/>
  <c r="K546" i="2" s="1"/>
  <c r="L546" i="2" s="1"/>
  <c r="J505" i="2"/>
  <c r="G505" i="2"/>
  <c r="K505" i="2" s="1"/>
  <c r="L505" i="2" s="1"/>
  <c r="J482" i="2"/>
  <c r="G482" i="2"/>
  <c r="K482" i="2" s="1"/>
  <c r="J441" i="2"/>
  <c r="G441" i="2"/>
  <c r="J418" i="2"/>
  <c r="G418" i="2"/>
  <c r="I418" i="2" s="1"/>
  <c r="J377" i="2"/>
  <c r="G377" i="2"/>
  <c r="K377" i="2" s="1"/>
  <c r="L377" i="2" s="1"/>
  <c r="J354" i="2"/>
  <c r="G354" i="2"/>
  <c r="K354" i="2" s="1"/>
  <c r="J313" i="2"/>
  <c r="G313" i="2"/>
  <c r="K313" i="2" s="1"/>
  <c r="J290" i="2"/>
  <c r="G290" i="2"/>
  <c r="H290" i="2" s="1"/>
  <c r="J249" i="2"/>
  <c r="G249" i="2"/>
  <c r="K249" i="2" s="1"/>
  <c r="L249" i="2" s="1"/>
  <c r="J226" i="2"/>
  <c r="G226" i="2"/>
  <c r="K226" i="2" s="1"/>
  <c r="J185" i="2"/>
  <c r="G185" i="2"/>
  <c r="K185" i="2" s="1"/>
  <c r="J162" i="2"/>
  <c r="G162" i="2"/>
  <c r="I162" i="2" s="1"/>
  <c r="J121" i="2"/>
  <c r="G121" i="2"/>
  <c r="K121" i="2" s="1"/>
  <c r="L121" i="2" s="1"/>
  <c r="J98" i="2"/>
  <c r="G98" i="2"/>
  <c r="J75" i="2"/>
  <c r="G75" i="2"/>
  <c r="J57" i="2"/>
  <c r="G57" i="2"/>
  <c r="I57" i="2" s="1"/>
  <c r="J34" i="2"/>
  <c r="G34" i="2"/>
  <c r="K34" i="2" s="1"/>
  <c r="L34" i="2" s="1"/>
  <c r="J11" i="2"/>
  <c r="G11" i="2"/>
  <c r="J586" i="2"/>
  <c r="G586" i="2"/>
  <c r="K586" i="2" s="1"/>
  <c r="J545" i="2"/>
  <c r="G545" i="2"/>
  <c r="K545" i="2" s="1"/>
  <c r="J522" i="2"/>
  <c r="G522" i="2"/>
  <c r="K522" i="2" s="1"/>
  <c r="L522" i="2" s="1"/>
  <c r="J481" i="2"/>
  <c r="G481" i="2"/>
  <c r="K481" i="2" s="1"/>
  <c r="J458" i="2"/>
  <c r="G458" i="2"/>
  <c r="K458" i="2" s="1"/>
  <c r="J417" i="2"/>
  <c r="G417" i="2"/>
  <c r="K417" i="2" s="1"/>
  <c r="J394" i="2"/>
  <c r="G394" i="2"/>
  <c r="K394" i="2" s="1"/>
  <c r="L394" i="2" s="1"/>
  <c r="J353" i="2"/>
  <c r="G353" i="2"/>
  <c r="K353" i="2" s="1"/>
  <c r="J330" i="2"/>
  <c r="G330" i="2"/>
  <c r="J289" i="2"/>
  <c r="G289" i="2"/>
  <c r="K289" i="2" s="1"/>
  <c r="J266" i="2"/>
  <c r="G266" i="2"/>
  <c r="K266" i="2" s="1"/>
  <c r="L266" i="2" s="1"/>
  <c r="J225" i="2"/>
  <c r="G225" i="2"/>
  <c r="K225" i="2" s="1"/>
  <c r="J202" i="2"/>
  <c r="G202" i="2"/>
  <c r="K202" i="2" s="1"/>
  <c r="J161" i="2"/>
  <c r="G161" i="2"/>
  <c r="I161" i="2" s="1"/>
  <c r="J138" i="2"/>
  <c r="G138" i="2"/>
  <c r="K138" i="2" s="1"/>
  <c r="L138" i="2" s="1"/>
  <c r="J97" i="2"/>
  <c r="G97" i="2"/>
  <c r="K97" i="2" s="1"/>
  <c r="J74" i="2"/>
  <c r="G74" i="2"/>
  <c r="J51" i="2"/>
  <c r="G51" i="2"/>
  <c r="K51" i="2" s="1"/>
  <c r="J33" i="2"/>
  <c r="G33" i="2"/>
  <c r="K33" i="2" s="1"/>
  <c r="L33" i="2" s="1"/>
  <c r="J10" i="2"/>
  <c r="G10" i="2"/>
  <c r="K10" i="2" s="1"/>
  <c r="G571" i="2"/>
  <c r="H571" i="2" s="1"/>
  <c r="G507" i="2"/>
  <c r="G443" i="2"/>
  <c r="K443" i="2" s="1"/>
  <c r="L443" i="2" s="1"/>
  <c r="G379" i="2"/>
  <c r="I379" i="2" s="1"/>
  <c r="G315" i="2"/>
  <c r="K315" i="2" s="1"/>
  <c r="L315" i="2" s="1"/>
  <c r="G251" i="2"/>
  <c r="K251" i="2" s="1"/>
  <c r="L251" i="2" s="1"/>
  <c r="G187" i="2"/>
  <c r="K187" i="2" s="1"/>
  <c r="L187" i="2" s="1"/>
  <c r="G123" i="2"/>
  <c r="J506" i="2"/>
  <c r="G506" i="2"/>
  <c r="J585" i="2"/>
  <c r="G585" i="2"/>
  <c r="I585" i="2" s="1"/>
  <c r="J562" i="2"/>
  <c r="G562" i="2"/>
  <c r="K562" i="2" s="1"/>
  <c r="L562" i="2" s="1"/>
  <c r="J521" i="2"/>
  <c r="G521" i="2"/>
  <c r="J498" i="2"/>
  <c r="G498" i="2"/>
  <c r="K498" i="2" s="1"/>
  <c r="J457" i="2"/>
  <c r="G457" i="2"/>
  <c r="K457" i="2" s="1"/>
  <c r="L457" i="2" s="1"/>
  <c r="J434" i="2"/>
  <c r="G434" i="2"/>
  <c r="K434" i="2" s="1"/>
  <c r="L434" i="2" s="1"/>
  <c r="J393" i="2"/>
  <c r="G393" i="2"/>
  <c r="J370" i="2"/>
  <c r="G370" i="2"/>
  <c r="K370" i="2" s="1"/>
  <c r="J329" i="2"/>
  <c r="G329" i="2"/>
  <c r="I329" i="2" s="1"/>
  <c r="J306" i="2"/>
  <c r="G306" i="2"/>
  <c r="K306" i="2" s="1"/>
  <c r="L306" i="2" s="1"/>
  <c r="J265" i="2"/>
  <c r="G265" i="2"/>
  <c r="J242" i="2"/>
  <c r="G242" i="2"/>
  <c r="K242" i="2" s="1"/>
  <c r="J201" i="2"/>
  <c r="G201" i="2"/>
  <c r="K201" i="2" s="1"/>
  <c r="L201" i="2" s="1"/>
  <c r="J178" i="2"/>
  <c r="G178" i="2"/>
  <c r="K178" i="2" s="1"/>
  <c r="L178" i="2" s="1"/>
  <c r="J137" i="2"/>
  <c r="G137" i="2"/>
  <c r="J114" i="2"/>
  <c r="G114" i="2"/>
  <c r="K114" i="2" s="1"/>
  <c r="J73" i="2"/>
  <c r="G73" i="2"/>
  <c r="H73" i="2" s="1"/>
  <c r="J50" i="2"/>
  <c r="G50" i="2"/>
  <c r="K50" i="2" s="1"/>
  <c r="L50" i="2" s="1"/>
  <c r="J27" i="2"/>
  <c r="G27" i="2"/>
  <c r="J9" i="2"/>
  <c r="G9" i="2"/>
  <c r="G547" i="2"/>
  <c r="K547" i="2" s="1"/>
  <c r="L547" i="2" s="1"/>
  <c r="G483" i="2"/>
  <c r="I483" i="2" s="1"/>
  <c r="G419" i="2"/>
  <c r="K419" i="2" s="1"/>
  <c r="L419" i="2" s="1"/>
  <c r="G355" i="2"/>
  <c r="K355" i="2" s="1"/>
  <c r="L355" i="2" s="1"/>
  <c r="G291" i="2"/>
  <c r="K291" i="2" s="1"/>
  <c r="G227" i="2"/>
  <c r="K227" i="2" s="1"/>
  <c r="G163" i="2"/>
  <c r="I163" i="2" s="1"/>
  <c r="G99" i="2"/>
  <c r="K99" i="2" s="1"/>
  <c r="J602" i="2"/>
  <c r="G602" i="2"/>
  <c r="K602" i="2" s="1"/>
  <c r="L602" i="2" s="1"/>
  <c r="J561" i="2"/>
  <c r="G561" i="2"/>
  <c r="K561" i="2" s="1"/>
  <c r="L561" i="2" s="1"/>
  <c r="J538" i="2"/>
  <c r="G538" i="2"/>
  <c r="J497" i="2"/>
  <c r="G497" i="2"/>
  <c r="J474" i="2"/>
  <c r="G474" i="2"/>
  <c r="J433" i="2"/>
  <c r="G433" i="2"/>
  <c r="K433" i="2" s="1"/>
  <c r="L433" i="2" s="1"/>
  <c r="J410" i="2"/>
  <c r="G410" i="2"/>
  <c r="J369" i="2"/>
  <c r="G369" i="2"/>
  <c r="J346" i="2"/>
  <c r="G346" i="2"/>
  <c r="K346" i="2" s="1"/>
  <c r="L346" i="2" s="1"/>
  <c r="J305" i="2"/>
  <c r="G305" i="2"/>
  <c r="K305" i="2" s="1"/>
  <c r="L305" i="2" s="1"/>
  <c r="J282" i="2"/>
  <c r="G282" i="2"/>
  <c r="K282" i="2" s="1"/>
  <c r="J241" i="2"/>
  <c r="G241" i="2"/>
  <c r="K241" i="2" s="1"/>
  <c r="J218" i="2"/>
  <c r="G218" i="2"/>
  <c r="K218" i="2" s="1"/>
  <c r="J177" i="2"/>
  <c r="G177" i="2"/>
  <c r="K177" i="2" s="1"/>
  <c r="L177" i="2" s="1"/>
  <c r="J154" i="2"/>
  <c r="G154" i="2"/>
  <c r="J113" i="2"/>
  <c r="G113" i="2"/>
  <c r="K113" i="2" s="1"/>
  <c r="J90" i="2"/>
  <c r="G90" i="2"/>
  <c r="I90" i="2" s="1"/>
  <c r="J67" i="2"/>
  <c r="G67" i="2"/>
  <c r="K67" i="2" s="1"/>
  <c r="L67" i="2" s="1"/>
  <c r="J49" i="2"/>
  <c r="G49" i="2"/>
  <c r="J26" i="2"/>
  <c r="G26" i="2"/>
  <c r="K26" i="2" s="1"/>
  <c r="J3" i="2"/>
  <c r="G3" i="2"/>
  <c r="K3" i="2" s="1"/>
  <c r="G587" i="2"/>
  <c r="K587" i="2" s="1"/>
  <c r="L587" i="2" s="1"/>
  <c r="G523" i="2"/>
  <c r="H523" i="2" s="1"/>
  <c r="G459" i="2"/>
  <c r="K459" i="2" s="1"/>
  <c r="L459" i="2" s="1"/>
  <c r="G395" i="2"/>
  <c r="K395" i="2" s="1"/>
  <c r="G331" i="2"/>
  <c r="G267" i="2"/>
  <c r="G203" i="2"/>
  <c r="K203" i="2" s="1"/>
  <c r="L203" i="2" s="1"/>
  <c r="G139" i="2"/>
  <c r="H139" i="2" s="1"/>
  <c r="J553" i="2"/>
  <c r="G553" i="2"/>
  <c r="H553" i="2" s="1"/>
  <c r="J489" i="2"/>
  <c r="G489" i="2"/>
  <c r="K489" i="2" s="1"/>
  <c r="J425" i="2"/>
  <c r="G425" i="2"/>
  <c r="K425" i="2" s="1"/>
  <c r="J361" i="2"/>
  <c r="G361" i="2"/>
  <c r="I361" i="2" s="1"/>
  <c r="J297" i="2"/>
  <c r="G297" i="2"/>
  <c r="I297" i="2" s="1"/>
  <c r="J233" i="2"/>
  <c r="G233" i="2"/>
  <c r="K233" i="2" s="1"/>
  <c r="J105" i="2"/>
  <c r="G105" i="2"/>
  <c r="K105" i="2" s="1"/>
  <c r="J601" i="2"/>
  <c r="G601" i="2"/>
  <c r="I601" i="2" s="1"/>
  <c r="J578" i="2"/>
  <c r="G578" i="2"/>
  <c r="I578" i="2" s="1"/>
  <c r="J537" i="2"/>
  <c r="G537" i="2"/>
  <c r="K537" i="2" s="1"/>
  <c r="J514" i="2"/>
  <c r="G514" i="2"/>
  <c r="K514" i="2" s="1"/>
  <c r="J473" i="2"/>
  <c r="G473" i="2"/>
  <c r="I473" i="2" s="1"/>
  <c r="J450" i="2"/>
  <c r="G450" i="2"/>
  <c r="I450" i="2" s="1"/>
  <c r="J409" i="2"/>
  <c r="G409" i="2"/>
  <c r="K409" i="2" s="1"/>
  <c r="J386" i="2"/>
  <c r="G386" i="2"/>
  <c r="K386" i="2" s="1"/>
  <c r="J345" i="2"/>
  <c r="G345" i="2"/>
  <c r="K345" i="2" s="1"/>
  <c r="J322" i="2"/>
  <c r="G322" i="2"/>
  <c r="I322" i="2" s="1"/>
  <c r="J281" i="2"/>
  <c r="G281" i="2"/>
  <c r="K281" i="2" s="1"/>
  <c r="J258" i="2"/>
  <c r="G258" i="2"/>
  <c r="K258" i="2" s="1"/>
  <c r="J217" i="2"/>
  <c r="G217" i="2"/>
  <c r="J194" i="2"/>
  <c r="G194" i="2"/>
  <c r="I194" i="2" s="1"/>
  <c r="J153" i="2"/>
  <c r="G153" i="2"/>
  <c r="K153" i="2" s="1"/>
  <c r="J130" i="2"/>
  <c r="G130" i="2"/>
  <c r="J89" i="2"/>
  <c r="G89" i="2"/>
  <c r="J66" i="2"/>
  <c r="G66" i="2"/>
  <c r="I66" i="2" s="1"/>
  <c r="J43" i="2"/>
  <c r="G43" i="2"/>
  <c r="J25" i="2"/>
  <c r="G25" i="2"/>
  <c r="K25" i="2" s="1"/>
  <c r="G563" i="2"/>
  <c r="K563" i="2" s="1"/>
  <c r="L563" i="2" s="1"/>
  <c r="G499" i="2"/>
  <c r="G435" i="2"/>
  <c r="K435" i="2" s="1"/>
  <c r="L435" i="2" s="1"/>
  <c r="G371" i="2"/>
  <c r="I371" i="2" s="1"/>
  <c r="G307" i="2"/>
  <c r="K307" i="2" s="1"/>
  <c r="G243" i="2"/>
  <c r="G179" i="2"/>
  <c r="K179" i="2" s="1"/>
  <c r="L179" i="2" s="1"/>
  <c r="G115" i="2"/>
  <c r="J530" i="2"/>
  <c r="G530" i="2"/>
  <c r="J466" i="2"/>
  <c r="G466" i="2"/>
  <c r="J338" i="2"/>
  <c r="G338" i="2"/>
  <c r="K338" i="2" s="1"/>
  <c r="J210" i="2"/>
  <c r="G210" i="2"/>
  <c r="K210" i="2" s="1"/>
  <c r="J169" i="2"/>
  <c r="G169" i="2"/>
  <c r="J146" i="2"/>
  <c r="G146" i="2"/>
  <c r="I146" i="2" s="1"/>
  <c r="J82" i="2"/>
  <c r="G82" i="2"/>
  <c r="K82" i="2" s="1"/>
  <c r="J41" i="2"/>
  <c r="G41" i="2"/>
  <c r="K41" i="2" s="1"/>
  <c r="J18" i="2"/>
  <c r="G18" i="2"/>
  <c r="I18" i="2" s="1"/>
  <c r="J577" i="2"/>
  <c r="G577" i="2"/>
  <c r="I577" i="2" s="1"/>
  <c r="J554" i="2"/>
  <c r="G554" i="2"/>
  <c r="K554" i="2" s="1"/>
  <c r="J513" i="2"/>
  <c r="G513" i="2"/>
  <c r="K513" i="2" s="1"/>
  <c r="J490" i="2"/>
  <c r="G490" i="2"/>
  <c r="J449" i="2"/>
  <c r="G449" i="2"/>
  <c r="J426" i="2"/>
  <c r="G426" i="2"/>
  <c r="J385" i="2"/>
  <c r="G385" i="2"/>
  <c r="J362" i="2"/>
  <c r="G362" i="2"/>
  <c r="J321" i="2"/>
  <c r="G321" i="2"/>
  <c r="J298" i="2"/>
  <c r="G298" i="2"/>
  <c r="K298" i="2" s="1"/>
  <c r="J257" i="2"/>
  <c r="G257" i="2"/>
  <c r="K257" i="2" s="1"/>
  <c r="J234" i="2"/>
  <c r="G234" i="2"/>
  <c r="J193" i="2"/>
  <c r="G193" i="2"/>
  <c r="I193" i="2" s="1"/>
  <c r="J170" i="2"/>
  <c r="G170" i="2"/>
  <c r="J129" i="2"/>
  <c r="G129" i="2"/>
  <c r="J106" i="2"/>
  <c r="G106" i="2"/>
  <c r="J65" i="2"/>
  <c r="G65" i="2"/>
  <c r="I65" i="2" s="1"/>
  <c r="J42" i="2"/>
  <c r="G42" i="2"/>
  <c r="J19" i="2"/>
  <c r="G19" i="2"/>
  <c r="K19" i="2" s="1"/>
  <c r="G2" i="2"/>
  <c r="G539" i="2"/>
  <c r="G475" i="2"/>
  <c r="K475" i="2" s="1"/>
  <c r="L475" i="2" s="1"/>
  <c r="G411" i="2"/>
  <c r="I411" i="2" s="1"/>
  <c r="G347" i="2"/>
  <c r="I347" i="2" s="1"/>
  <c r="G283" i="2"/>
  <c r="K283" i="2" s="1"/>
  <c r="G219" i="2"/>
  <c r="K219" i="2" s="1"/>
  <c r="L219" i="2" s="1"/>
  <c r="G155" i="2"/>
  <c r="G91" i="2"/>
  <c r="K91" i="2" s="1"/>
  <c r="L91" i="2" s="1"/>
  <c r="F600" i="2"/>
  <c r="F592" i="2"/>
  <c r="F584" i="2"/>
  <c r="F576" i="2"/>
  <c r="F568" i="2"/>
  <c r="F560" i="2"/>
  <c r="F552" i="2"/>
  <c r="F544" i="2"/>
  <c r="F536" i="2"/>
  <c r="F528" i="2"/>
  <c r="F520" i="2"/>
  <c r="F512" i="2"/>
  <c r="F504" i="2"/>
  <c r="F496" i="2"/>
  <c r="F488" i="2"/>
  <c r="F480" i="2"/>
  <c r="F472" i="2"/>
  <c r="F464" i="2"/>
  <c r="F456" i="2"/>
  <c r="F448" i="2"/>
  <c r="F440" i="2"/>
  <c r="F432" i="2"/>
  <c r="F424" i="2"/>
  <c r="F416" i="2"/>
  <c r="F408" i="2"/>
  <c r="F400" i="2"/>
  <c r="F392" i="2"/>
  <c r="F384" i="2"/>
  <c r="F376" i="2"/>
  <c r="F368" i="2"/>
  <c r="F360" i="2"/>
  <c r="F352" i="2"/>
  <c r="F344" i="2"/>
  <c r="F336" i="2"/>
  <c r="F328" i="2"/>
  <c r="F320" i="2"/>
  <c r="F312" i="2"/>
  <c r="F304" i="2"/>
  <c r="F296" i="2"/>
  <c r="F288" i="2"/>
  <c r="F280" i="2"/>
  <c r="F272" i="2"/>
  <c r="F264" i="2"/>
  <c r="F256" i="2"/>
  <c r="F248" i="2"/>
  <c r="F240" i="2"/>
  <c r="F232" i="2"/>
  <c r="F224" i="2"/>
  <c r="F216" i="2"/>
  <c r="F208" i="2"/>
  <c r="F200" i="2"/>
  <c r="F192" i="2"/>
  <c r="F184" i="2"/>
  <c r="F176" i="2"/>
  <c r="F168" i="2"/>
  <c r="F160" i="2"/>
  <c r="F152" i="2"/>
  <c r="F144" i="2"/>
  <c r="F136" i="2"/>
  <c r="F128" i="2"/>
  <c r="F120" i="2"/>
  <c r="F112" i="2"/>
  <c r="F104" i="2"/>
  <c r="F96" i="2"/>
  <c r="F88" i="2"/>
  <c r="F80" i="2"/>
  <c r="F72" i="2"/>
  <c r="F64" i="2"/>
  <c r="F56" i="2"/>
  <c r="F48" i="2"/>
  <c r="F40" i="2"/>
  <c r="F32" i="2"/>
  <c r="F24" i="2"/>
  <c r="F16" i="2"/>
  <c r="F8" i="2"/>
  <c r="F599" i="2"/>
  <c r="F591" i="2"/>
  <c r="F583" i="2"/>
  <c r="F575" i="2"/>
  <c r="F567" i="2"/>
  <c r="F559" i="2"/>
  <c r="F551" i="2"/>
  <c r="F543" i="2"/>
  <c r="F535" i="2"/>
  <c r="F527" i="2"/>
  <c r="F519" i="2"/>
  <c r="F511" i="2"/>
  <c r="F503" i="2"/>
  <c r="F495" i="2"/>
  <c r="F487" i="2"/>
  <c r="F479" i="2"/>
  <c r="F471" i="2"/>
  <c r="F463" i="2"/>
  <c r="F455" i="2"/>
  <c r="F447" i="2"/>
  <c r="F439" i="2"/>
  <c r="F431" i="2"/>
  <c r="F423" i="2"/>
  <c r="F415" i="2"/>
  <c r="F407" i="2"/>
  <c r="F399" i="2"/>
  <c r="F391" i="2"/>
  <c r="F383" i="2"/>
  <c r="F375" i="2"/>
  <c r="F367" i="2"/>
  <c r="F359" i="2"/>
  <c r="F351" i="2"/>
  <c r="F343" i="2"/>
  <c r="F335" i="2"/>
  <c r="F327" i="2"/>
  <c r="F319" i="2"/>
  <c r="F311" i="2"/>
  <c r="F303" i="2"/>
  <c r="F295" i="2"/>
  <c r="F287" i="2"/>
  <c r="F279" i="2"/>
  <c r="F271" i="2"/>
  <c r="F263" i="2"/>
  <c r="F255" i="2"/>
  <c r="F247" i="2"/>
  <c r="F239" i="2"/>
  <c r="F231" i="2"/>
  <c r="F223" i="2"/>
  <c r="F215" i="2"/>
  <c r="F207" i="2"/>
  <c r="F199" i="2"/>
  <c r="F191" i="2"/>
  <c r="F183" i="2"/>
  <c r="F175" i="2"/>
  <c r="F167" i="2"/>
  <c r="F159" i="2"/>
  <c r="F151" i="2"/>
  <c r="F143" i="2"/>
  <c r="F135" i="2"/>
  <c r="F127" i="2"/>
  <c r="F119" i="2"/>
  <c r="F111" i="2"/>
  <c r="F103" i="2"/>
  <c r="F95" i="2"/>
  <c r="F87" i="2"/>
  <c r="F79" i="2"/>
  <c r="F71" i="2"/>
  <c r="F63" i="2"/>
  <c r="F55" i="2"/>
  <c r="F47" i="2"/>
  <c r="F39" i="2"/>
  <c r="F31" i="2"/>
  <c r="F23" i="2"/>
  <c r="F15" i="2"/>
  <c r="F7" i="2"/>
  <c r="F598" i="2"/>
  <c r="F590" i="2"/>
  <c r="F582" i="2"/>
  <c r="F574" i="2"/>
  <c r="F566" i="2"/>
  <c r="F558" i="2"/>
  <c r="F550" i="2"/>
  <c r="F542" i="2"/>
  <c r="F534" i="2"/>
  <c r="F526" i="2"/>
  <c r="F518" i="2"/>
  <c r="F510" i="2"/>
  <c r="F502" i="2"/>
  <c r="F494" i="2"/>
  <c r="F486" i="2"/>
  <c r="F478" i="2"/>
  <c r="F470" i="2"/>
  <c r="F462" i="2"/>
  <c r="F454" i="2"/>
  <c r="F446" i="2"/>
  <c r="F438" i="2"/>
  <c r="F430" i="2"/>
  <c r="F422" i="2"/>
  <c r="F414" i="2"/>
  <c r="F406" i="2"/>
  <c r="F398" i="2"/>
  <c r="F390" i="2"/>
  <c r="F382" i="2"/>
  <c r="F374" i="2"/>
  <c r="F366" i="2"/>
  <c r="F358" i="2"/>
  <c r="F350" i="2"/>
  <c r="F342" i="2"/>
  <c r="F334" i="2"/>
  <c r="F326" i="2"/>
  <c r="F318" i="2"/>
  <c r="F310" i="2"/>
  <c r="F302" i="2"/>
  <c r="F294" i="2"/>
  <c r="F286" i="2"/>
  <c r="F278" i="2"/>
  <c r="F270" i="2"/>
  <c r="F262" i="2"/>
  <c r="F254" i="2"/>
  <c r="F246" i="2"/>
  <c r="F238" i="2"/>
  <c r="F230" i="2"/>
  <c r="F222" i="2"/>
  <c r="F214" i="2"/>
  <c r="F206" i="2"/>
  <c r="F198" i="2"/>
  <c r="F190" i="2"/>
  <c r="F182" i="2"/>
  <c r="F174" i="2"/>
  <c r="F166" i="2"/>
  <c r="F158" i="2"/>
  <c r="F150" i="2"/>
  <c r="F142" i="2"/>
  <c r="F134" i="2"/>
  <c r="F126" i="2"/>
  <c r="F118" i="2"/>
  <c r="F110" i="2"/>
  <c r="F102" i="2"/>
  <c r="F94" i="2"/>
  <c r="F86" i="2"/>
  <c r="F78" i="2"/>
  <c r="F70" i="2"/>
  <c r="F62" i="2"/>
  <c r="F54" i="2"/>
  <c r="F46" i="2"/>
  <c r="F38" i="2"/>
  <c r="F30" i="2"/>
  <c r="F22" i="2"/>
  <c r="F14" i="2"/>
  <c r="F6" i="2"/>
  <c r="F597" i="2"/>
  <c r="F589" i="2"/>
  <c r="F581" i="2"/>
  <c r="F573" i="2"/>
  <c r="F565" i="2"/>
  <c r="F557" i="2"/>
  <c r="F549" i="2"/>
  <c r="F541" i="2"/>
  <c r="F533" i="2"/>
  <c r="F525" i="2"/>
  <c r="F517" i="2"/>
  <c r="F509" i="2"/>
  <c r="F501" i="2"/>
  <c r="F493" i="2"/>
  <c r="F485" i="2"/>
  <c r="F477" i="2"/>
  <c r="F469" i="2"/>
  <c r="F461" i="2"/>
  <c r="F453" i="2"/>
  <c r="F445" i="2"/>
  <c r="F437" i="2"/>
  <c r="F429" i="2"/>
  <c r="F421" i="2"/>
  <c r="F413" i="2"/>
  <c r="F405" i="2"/>
  <c r="F397" i="2"/>
  <c r="F389" i="2"/>
  <c r="F381" i="2"/>
  <c r="F373" i="2"/>
  <c r="F365" i="2"/>
  <c r="F357" i="2"/>
  <c r="F349" i="2"/>
  <c r="F341" i="2"/>
  <c r="F333" i="2"/>
  <c r="F325" i="2"/>
  <c r="F317" i="2"/>
  <c r="F309" i="2"/>
  <c r="F301" i="2"/>
  <c r="F293" i="2"/>
  <c r="F285" i="2"/>
  <c r="F277" i="2"/>
  <c r="F269" i="2"/>
  <c r="F261" i="2"/>
  <c r="F253" i="2"/>
  <c r="F245" i="2"/>
  <c r="F237" i="2"/>
  <c r="F229" i="2"/>
  <c r="F221" i="2"/>
  <c r="F213" i="2"/>
  <c r="F205" i="2"/>
  <c r="F197" i="2"/>
  <c r="F189" i="2"/>
  <c r="F181" i="2"/>
  <c r="F173" i="2"/>
  <c r="F165" i="2"/>
  <c r="F157" i="2"/>
  <c r="F149" i="2"/>
  <c r="F141" i="2"/>
  <c r="F133" i="2"/>
  <c r="F125" i="2"/>
  <c r="F117" i="2"/>
  <c r="F109" i="2"/>
  <c r="F101" i="2"/>
  <c r="F93" i="2"/>
  <c r="F85" i="2"/>
  <c r="F77" i="2"/>
  <c r="F69" i="2"/>
  <c r="F61" i="2"/>
  <c r="F53" i="2"/>
  <c r="F45" i="2"/>
  <c r="F37" i="2"/>
  <c r="F29" i="2"/>
  <c r="F21" i="2"/>
  <c r="F13" i="2"/>
  <c r="F5" i="2"/>
  <c r="F596" i="2"/>
  <c r="F588" i="2"/>
  <c r="F580" i="2"/>
  <c r="F572" i="2"/>
  <c r="F564" i="2"/>
  <c r="F556" i="2"/>
  <c r="F548" i="2"/>
  <c r="F540" i="2"/>
  <c r="F532" i="2"/>
  <c r="F524" i="2"/>
  <c r="F516" i="2"/>
  <c r="F508" i="2"/>
  <c r="F500" i="2"/>
  <c r="F492" i="2"/>
  <c r="F484" i="2"/>
  <c r="F476" i="2"/>
  <c r="F468" i="2"/>
  <c r="F460" i="2"/>
  <c r="F452" i="2"/>
  <c r="F444" i="2"/>
  <c r="F436" i="2"/>
  <c r="F428" i="2"/>
  <c r="F420" i="2"/>
  <c r="F412" i="2"/>
  <c r="F404" i="2"/>
  <c r="F396" i="2"/>
  <c r="F388" i="2"/>
  <c r="F380" i="2"/>
  <c r="F372" i="2"/>
  <c r="F364" i="2"/>
  <c r="F356" i="2"/>
  <c r="F348" i="2"/>
  <c r="F340" i="2"/>
  <c r="F332" i="2"/>
  <c r="F324" i="2"/>
  <c r="F316" i="2"/>
  <c r="F308" i="2"/>
  <c r="F300" i="2"/>
  <c r="F292" i="2"/>
  <c r="F284" i="2"/>
  <c r="F276" i="2"/>
  <c r="F268" i="2"/>
  <c r="F260" i="2"/>
  <c r="F252" i="2"/>
  <c r="F244" i="2"/>
  <c r="F236" i="2"/>
  <c r="F228" i="2"/>
  <c r="F220" i="2"/>
  <c r="F212" i="2"/>
  <c r="F204" i="2"/>
  <c r="F196" i="2"/>
  <c r="F188" i="2"/>
  <c r="F180" i="2"/>
  <c r="F172" i="2"/>
  <c r="F164" i="2"/>
  <c r="F156" i="2"/>
  <c r="F148" i="2"/>
  <c r="F140" i="2"/>
  <c r="F132" i="2"/>
  <c r="F124" i="2"/>
  <c r="F116" i="2"/>
  <c r="F108" i="2"/>
  <c r="F100" i="2"/>
  <c r="F92" i="2"/>
  <c r="F84" i="2"/>
  <c r="F76" i="2"/>
  <c r="F68" i="2"/>
  <c r="F60" i="2"/>
  <c r="F52" i="2"/>
  <c r="F44" i="2"/>
  <c r="F36" i="2"/>
  <c r="F28" i="2"/>
  <c r="F20" i="2"/>
  <c r="F12" i="2"/>
  <c r="F4" i="2"/>
  <c r="N595" i="2"/>
  <c r="N579" i="2"/>
  <c r="N555" i="2"/>
  <c r="N531" i="2"/>
  <c r="N515" i="2"/>
  <c r="N491" i="2"/>
  <c r="N467" i="2"/>
  <c r="N451" i="2"/>
  <c r="N443" i="2"/>
  <c r="N427" i="2"/>
  <c r="N403" i="2"/>
  <c r="N387" i="2"/>
  <c r="N363" i="2"/>
  <c r="N339" i="2"/>
  <c r="N323" i="2"/>
  <c r="N299" i="2"/>
  <c r="N275" i="2"/>
  <c r="N259" i="2"/>
  <c r="N235" i="2"/>
  <c r="N211" i="2"/>
  <c r="N195" i="2"/>
  <c r="N171" i="2"/>
  <c r="N147" i="2"/>
  <c r="N131" i="2"/>
  <c r="N107" i="2"/>
  <c r="N83" i="2"/>
  <c r="L595" i="2"/>
  <c r="L579" i="2"/>
  <c r="L555" i="2"/>
  <c r="L531" i="2"/>
  <c r="L515" i="2"/>
  <c r="L491" i="2"/>
  <c r="L467" i="2"/>
  <c r="L451" i="2"/>
  <c r="L427" i="2"/>
  <c r="L403" i="2"/>
  <c r="L387" i="2"/>
  <c r="L363" i="2"/>
  <c r="L339" i="2"/>
  <c r="L323" i="2"/>
  <c r="L299" i="2"/>
  <c r="L275" i="2"/>
  <c r="L259" i="2"/>
  <c r="L235" i="2"/>
  <c r="L211" i="2"/>
  <c r="L195" i="2"/>
  <c r="L171" i="2"/>
  <c r="L147" i="2"/>
  <c r="L131" i="2"/>
  <c r="L107" i="2"/>
  <c r="L83" i="2"/>
  <c r="H147" i="2"/>
  <c r="H403" i="2"/>
  <c r="H323" i="2"/>
  <c r="H259" i="2"/>
  <c r="H387" i="2"/>
  <c r="H83" i="2"/>
  <c r="H467" i="2"/>
  <c r="H275" i="2"/>
  <c r="H195" i="2"/>
  <c r="H107" i="2"/>
  <c r="H339" i="2"/>
  <c r="H235" i="2"/>
  <c r="H131" i="2"/>
  <c r="H555" i="2"/>
  <c r="H211" i="2"/>
  <c r="H363" i="2"/>
  <c r="H299" i="2"/>
  <c r="H171" i="2"/>
  <c r="H531" i="2"/>
  <c r="H579" i="2"/>
  <c r="H595" i="2"/>
  <c r="H427" i="2"/>
  <c r="H515" i="2"/>
  <c r="H451" i="2"/>
  <c r="H491" i="2"/>
  <c r="I595" i="2"/>
  <c r="I579" i="2"/>
  <c r="I555" i="2"/>
  <c r="I531" i="2"/>
  <c r="I515" i="2"/>
  <c r="I491" i="2"/>
  <c r="I467" i="2"/>
  <c r="I451" i="2"/>
  <c r="I427" i="2"/>
  <c r="I403" i="2"/>
  <c r="I387" i="2"/>
  <c r="I363" i="2"/>
  <c r="I339" i="2"/>
  <c r="I323" i="2"/>
  <c r="I299" i="2"/>
  <c r="I275" i="2"/>
  <c r="I259" i="2"/>
  <c r="I235" i="2"/>
  <c r="I211" i="2"/>
  <c r="I195" i="2"/>
  <c r="I171" i="2"/>
  <c r="I147" i="2"/>
  <c r="I131" i="2"/>
  <c r="I107" i="2"/>
  <c r="I83" i="2"/>
  <c r="H2" i="1"/>
  <c r="I2" i="1" s="1"/>
  <c r="C5" i="1"/>
  <c r="C4" i="1"/>
  <c r="C3" i="1"/>
  <c r="H6" i="1"/>
  <c r="I6" i="1" s="1"/>
  <c r="I596" i="1"/>
  <c r="I564" i="1"/>
  <c r="I532" i="1"/>
  <c r="I468" i="1"/>
  <c r="I444" i="1"/>
  <c r="I412" i="1"/>
  <c r="I348" i="1"/>
  <c r="I308" i="1"/>
  <c r="I284" i="1"/>
  <c r="I276" i="1"/>
  <c r="I188" i="1"/>
  <c r="I180" i="1"/>
  <c r="I156" i="1"/>
  <c r="I148" i="1"/>
  <c r="I140" i="1"/>
  <c r="I124" i="1"/>
  <c r="I116" i="1"/>
  <c r="I28" i="1"/>
  <c r="I20" i="1"/>
  <c r="I475" i="1"/>
  <c r="I467" i="1"/>
  <c r="I403" i="1"/>
  <c r="I371" i="1"/>
  <c r="I363" i="1"/>
  <c r="I355" i="1"/>
  <c r="I347" i="1"/>
  <c r="I339" i="1"/>
  <c r="I323" i="1"/>
  <c r="I315" i="1"/>
  <c r="I307" i="1"/>
  <c r="I299" i="1"/>
  <c r="I291" i="1"/>
  <c r="I283" i="1"/>
  <c r="I275" i="1"/>
  <c r="I219" i="1"/>
  <c r="I211" i="1"/>
  <c r="I203" i="1"/>
  <c r="I139" i="1"/>
  <c r="I123" i="1"/>
  <c r="I115" i="1"/>
  <c r="I107" i="1"/>
  <c r="I91" i="1"/>
  <c r="I83" i="1"/>
  <c r="I67" i="1"/>
  <c r="I59" i="1"/>
  <c r="I51" i="1"/>
  <c r="I43" i="1"/>
  <c r="I35" i="1"/>
  <c r="I27" i="1"/>
  <c r="I19" i="1"/>
  <c r="I11" i="1"/>
  <c r="L597" i="1"/>
  <c r="M597" i="1" s="1"/>
  <c r="N597" i="1" s="1"/>
  <c r="O597" i="1" s="1"/>
  <c r="L357" i="1"/>
  <c r="M357" i="1" s="1"/>
  <c r="N357" i="1" s="1"/>
  <c r="O357" i="1" s="1"/>
  <c r="L213" i="1"/>
  <c r="M213" i="1" s="1"/>
  <c r="N213" i="1" s="1"/>
  <c r="O213" i="1" s="1"/>
  <c r="L197" i="1"/>
  <c r="M197" i="1" s="1"/>
  <c r="N197" i="1" s="1"/>
  <c r="O197" i="1" s="1"/>
  <c r="L181" i="1"/>
  <c r="M181" i="1" s="1"/>
  <c r="N181" i="1" s="1"/>
  <c r="O181" i="1" s="1"/>
  <c r="L157" i="1"/>
  <c r="M157" i="1" s="1"/>
  <c r="N157" i="1" s="1"/>
  <c r="O157" i="1" s="1"/>
  <c r="L125" i="1"/>
  <c r="M125" i="1" s="1"/>
  <c r="N125" i="1" s="1"/>
  <c r="O125" i="1" s="1"/>
  <c r="L109" i="1"/>
  <c r="M109" i="1" s="1"/>
  <c r="N109" i="1" s="1"/>
  <c r="O109" i="1" s="1"/>
  <c r="L85" i="1"/>
  <c r="M85" i="1" s="1"/>
  <c r="N85" i="1" s="1"/>
  <c r="O85" i="1" s="1"/>
  <c r="L45" i="1"/>
  <c r="M45" i="1" s="1"/>
  <c r="N45" i="1" s="1"/>
  <c r="O45" i="1" s="1"/>
  <c r="L37" i="1"/>
  <c r="M37" i="1" s="1"/>
  <c r="N37" i="1" s="1"/>
  <c r="O37" i="1" s="1"/>
  <c r="L29" i="1"/>
  <c r="M29" i="1" s="1"/>
  <c r="N29" i="1" s="1"/>
  <c r="O29" i="1" s="1"/>
  <c r="L5" i="1"/>
  <c r="M5" i="1" s="1"/>
  <c r="N5" i="1" s="1"/>
  <c r="O5" i="1" s="1"/>
  <c r="L429" i="1"/>
  <c r="M429" i="1" s="1"/>
  <c r="N429" i="1" s="1"/>
  <c r="O429" i="1" s="1"/>
  <c r="L30" i="1"/>
  <c r="M30" i="1" s="1"/>
  <c r="N30" i="1" s="1"/>
  <c r="O30" i="1" s="1"/>
  <c r="L60" i="1"/>
  <c r="M60" i="1" s="1"/>
  <c r="N60" i="1" s="1"/>
  <c r="O60" i="1" s="1"/>
  <c r="H602" i="1"/>
  <c r="I602" i="1" s="1"/>
  <c r="H546" i="1"/>
  <c r="I546" i="1" s="1"/>
  <c r="H522" i="1"/>
  <c r="I522" i="1" s="1"/>
  <c r="H482" i="1"/>
  <c r="I482" i="1" s="1"/>
  <c r="H458" i="1"/>
  <c r="I458" i="1" s="1"/>
  <c r="H601" i="1"/>
  <c r="I601" i="1" s="1"/>
  <c r="H593" i="1"/>
  <c r="I593" i="1" s="1"/>
  <c r="H585" i="1"/>
  <c r="I585" i="1" s="1"/>
  <c r="H577" i="1"/>
  <c r="I577" i="1" s="1"/>
  <c r="H569" i="1"/>
  <c r="I569" i="1" s="1"/>
  <c r="H561" i="1"/>
  <c r="I561" i="1" s="1"/>
  <c r="H553" i="1"/>
  <c r="I553" i="1" s="1"/>
  <c r="H545" i="1"/>
  <c r="I545" i="1" s="1"/>
  <c r="H537" i="1"/>
  <c r="I537" i="1" s="1"/>
  <c r="H529" i="1"/>
  <c r="I529" i="1" s="1"/>
  <c r="H521" i="1"/>
  <c r="I521" i="1" s="1"/>
  <c r="H513" i="1"/>
  <c r="I513" i="1" s="1"/>
  <c r="H505" i="1"/>
  <c r="I505" i="1" s="1"/>
  <c r="H497" i="1"/>
  <c r="I497" i="1" s="1"/>
  <c r="H489" i="1"/>
  <c r="I489" i="1" s="1"/>
  <c r="H481" i="1"/>
  <c r="I481" i="1" s="1"/>
  <c r="H473" i="1"/>
  <c r="I473" i="1" s="1"/>
  <c r="H465" i="1"/>
  <c r="I465" i="1" s="1"/>
  <c r="H457" i="1"/>
  <c r="I457" i="1" s="1"/>
  <c r="H449" i="1"/>
  <c r="I449" i="1" s="1"/>
  <c r="H441" i="1"/>
  <c r="I441" i="1" s="1"/>
  <c r="H433" i="1"/>
  <c r="I433" i="1" s="1"/>
  <c r="H425" i="1"/>
  <c r="I425" i="1" s="1"/>
  <c r="H417" i="1"/>
  <c r="I417" i="1" s="1"/>
  <c r="H409" i="1"/>
  <c r="I409" i="1" s="1"/>
  <c r="H401" i="1"/>
  <c r="I401" i="1" s="1"/>
  <c r="H393" i="1"/>
  <c r="I393" i="1" s="1"/>
  <c r="H385" i="1"/>
  <c r="I385" i="1" s="1"/>
  <c r="H377" i="1"/>
  <c r="I377" i="1" s="1"/>
  <c r="H369" i="1"/>
  <c r="I369" i="1" s="1"/>
  <c r="H361" i="1"/>
  <c r="I361" i="1" s="1"/>
  <c r="H353" i="1"/>
  <c r="I353" i="1" s="1"/>
  <c r="H345" i="1"/>
  <c r="I345" i="1" s="1"/>
  <c r="H337" i="1"/>
  <c r="I337" i="1" s="1"/>
  <c r="H329" i="1"/>
  <c r="I329" i="1" s="1"/>
  <c r="H321" i="1"/>
  <c r="I321" i="1" s="1"/>
  <c r="H313" i="1"/>
  <c r="I313" i="1" s="1"/>
  <c r="H305" i="1"/>
  <c r="I305" i="1" s="1"/>
  <c r="H297" i="1"/>
  <c r="I297" i="1" s="1"/>
  <c r="H289" i="1"/>
  <c r="I289" i="1" s="1"/>
  <c r="H281" i="1"/>
  <c r="I281" i="1" s="1"/>
  <c r="H273" i="1"/>
  <c r="I273" i="1" s="1"/>
  <c r="H265" i="1"/>
  <c r="I265" i="1" s="1"/>
  <c r="H257" i="1"/>
  <c r="I257" i="1" s="1"/>
  <c r="H249" i="1"/>
  <c r="I249" i="1" s="1"/>
  <c r="H241" i="1"/>
  <c r="I241" i="1" s="1"/>
  <c r="H233" i="1"/>
  <c r="I233" i="1" s="1"/>
  <c r="H225" i="1"/>
  <c r="I225" i="1" s="1"/>
  <c r="H217" i="1"/>
  <c r="I217" i="1" s="1"/>
  <c r="H209" i="1"/>
  <c r="I209" i="1" s="1"/>
  <c r="H201" i="1"/>
  <c r="I201" i="1" s="1"/>
  <c r="H193" i="1"/>
  <c r="I193" i="1" s="1"/>
  <c r="H185" i="1"/>
  <c r="I185" i="1" s="1"/>
  <c r="H177" i="1"/>
  <c r="I177" i="1" s="1"/>
  <c r="H169" i="1"/>
  <c r="I169" i="1" s="1"/>
  <c r="H161" i="1"/>
  <c r="I161" i="1" s="1"/>
  <c r="H153" i="1"/>
  <c r="I153" i="1" s="1"/>
  <c r="H145" i="1"/>
  <c r="I145" i="1" s="1"/>
  <c r="H137" i="1"/>
  <c r="I137" i="1" s="1"/>
  <c r="H129" i="1"/>
  <c r="I129" i="1" s="1"/>
  <c r="H121" i="1"/>
  <c r="I121" i="1" s="1"/>
  <c r="H113" i="1"/>
  <c r="I113" i="1" s="1"/>
  <c r="H105" i="1"/>
  <c r="I105" i="1" s="1"/>
  <c r="H97" i="1"/>
  <c r="I97" i="1" s="1"/>
  <c r="H89" i="1"/>
  <c r="I89" i="1" s="1"/>
  <c r="L554" i="1"/>
  <c r="M554" i="1" s="1"/>
  <c r="N554" i="1" s="1"/>
  <c r="O554" i="1" s="1"/>
  <c r="H498" i="1"/>
  <c r="I498" i="1" s="1"/>
  <c r="H506" i="1"/>
  <c r="I506" i="1" s="1"/>
  <c r="H598" i="1"/>
  <c r="I598" i="1" s="1"/>
  <c r="H526" i="1"/>
  <c r="I526" i="1" s="1"/>
  <c r="H518" i="1"/>
  <c r="I518" i="1" s="1"/>
  <c r="H510" i="1"/>
  <c r="I510" i="1" s="1"/>
  <c r="H494" i="1"/>
  <c r="I494" i="1" s="1"/>
  <c r="H486" i="1"/>
  <c r="I486" i="1" s="1"/>
  <c r="H24" i="1"/>
  <c r="I24" i="1" s="1"/>
  <c r="L578" i="1"/>
  <c r="M578" i="1" s="1"/>
  <c r="N578" i="1" s="1"/>
  <c r="O578" i="1" s="1"/>
  <c r="H474" i="1"/>
  <c r="I474" i="1" s="1"/>
  <c r="H573" i="1"/>
  <c r="I573" i="1" s="1"/>
  <c r="H509" i="1"/>
  <c r="I509" i="1" s="1"/>
  <c r="H477" i="1"/>
  <c r="I477" i="1" s="1"/>
  <c r="H8" i="1"/>
  <c r="I8" i="1" s="1"/>
  <c r="H530" i="1"/>
  <c r="I530" i="1" s="1"/>
  <c r="L594" i="1"/>
  <c r="M594" i="1" s="1"/>
  <c r="N594" i="1" s="1"/>
  <c r="O594" i="1" s="1"/>
  <c r="H586" i="1"/>
  <c r="I586" i="1" s="1"/>
  <c r="H562" i="1"/>
  <c r="I562" i="1" s="1"/>
  <c r="H538" i="1"/>
  <c r="I538" i="1" s="1"/>
  <c r="L514" i="1"/>
  <c r="M514" i="1" s="1"/>
  <c r="N514" i="1" s="1"/>
  <c r="O514" i="1" s="1"/>
  <c r="L490" i="1"/>
  <c r="M490" i="1" s="1"/>
  <c r="N490" i="1" s="1"/>
  <c r="O490" i="1" s="1"/>
  <c r="L466" i="1"/>
  <c r="M466" i="1" s="1"/>
  <c r="N466" i="1" s="1"/>
  <c r="O466" i="1" s="1"/>
  <c r="H570" i="1"/>
  <c r="I570" i="1" s="1"/>
  <c r="H16" i="1"/>
  <c r="I16" i="1" s="1"/>
  <c r="L450" i="1"/>
  <c r="M450" i="1" s="1"/>
  <c r="N450" i="1" s="1"/>
  <c r="O450" i="1" s="1"/>
  <c r="L442" i="1"/>
  <c r="M442" i="1" s="1"/>
  <c r="N442" i="1" s="1"/>
  <c r="O442" i="1" s="1"/>
  <c r="L434" i="1"/>
  <c r="M434" i="1" s="1"/>
  <c r="N434" i="1" s="1"/>
  <c r="O434" i="1" s="1"/>
  <c r="L426" i="1"/>
  <c r="M426" i="1" s="1"/>
  <c r="N426" i="1" s="1"/>
  <c r="O426" i="1" s="1"/>
  <c r="L418" i="1"/>
  <c r="M418" i="1" s="1"/>
  <c r="N418" i="1" s="1"/>
  <c r="O418" i="1" s="1"/>
  <c r="L402" i="1"/>
  <c r="M402" i="1" s="1"/>
  <c r="N402" i="1" s="1"/>
  <c r="O402" i="1" s="1"/>
  <c r="L394" i="1"/>
  <c r="M394" i="1" s="1"/>
  <c r="N394" i="1" s="1"/>
  <c r="O394" i="1" s="1"/>
  <c r="L386" i="1"/>
  <c r="M386" i="1" s="1"/>
  <c r="N386" i="1" s="1"/>
  <c r="O386" i="1" s="1"/>
  <c r="L378" i="1"/>
  <c r="M378" i="1" s="1"/>
  <c r="N378" i="1" s="1"/>
  <c r="O378" i="1" s="1"/>
  <c r="L370" i="1"/>
  <c r="M370" i="1" s="1"/>
  <c r="N370" i="1" s="1"/>
  <c r="O370" i="1" s="1"/>
  <c r="L362" i="1"/>
  <c r="M362" i="1" s="1"/>
  <c r="N362" i="1" s="1"/>
  <c r="O362" i="1" s="1"/>
  <c r="L354" i="1"/>
  <c r="M354" i="1" s="1"/>
  <c r="N354" i="1" s="1"/>
  <c r="O354" i="1" s="1"/>
  <c r="L338" i="1"/>
  <c r="M338" i="1" s="1"/>
  <c r="N338" i="1" s="1"/>
  <c r="O338" i="1" s="1"/>
  <c r="L330" i="1"/>
  <c r="M330" i="1" s="1"/>
  <c r="N330" i="1" s="1"/>
  <c r="O330" i="1" s="1"/>
  <c r="L322" i="1"/>
  <c r="M322" i="1" s="1"/>
  <c r="N322" i="1" s="1"/>
  <c r="O322" i="1" s="1"/>
  <c r="L314" i="1"/>
  <c r="M314" i="1" s="1"/>
  <c r="N314" i="1" s="1"/>
  <c r="O314" i="1" s="1"/>
  <c r="L306" i="1"/>
  <c r="M306" i="1" s="1"/>
  <c r="N306" i="1" s="1"/>
  <c r="O306" i="1" s="1"/>
  <c r="L298" i="1"/>
  <c r="M298" i="1" s="1"/>
  <c r="N298" i="1" s="1"/>
  <c r="O298" i="1" s="1"/>
  <c r="L290" i="1"/>
  <c r="M290" i="1" s="1"/>
  <c r="N290" i="1" s="1"/>
  <c r="O290" i="1" s="1"/>
  <c r="L274" i="1"/>
  <c r="M274" i="1" s="1"/>
  <c r="N274" i="1" s="1"/>
  <c r="O274" i="1" s="1"/>
  <c r="L266" i="1"/>
  <c r="M266" i="1" s="1"/>
  <c r="N266" i="1" s="1"/>
  <c r="O266" i="1" s="1"/>
  <c r="L258" i="1"/>
  <c r="M258" i="1" s="1"/>
  <c r="N258" i="1" s="1"/>
  <c r="O258" i="1" s="1"/>
  <c r="L250" i="1"/>
  <c r="M250" i="1" s="1"/>
  <c r="N250" i="1" s="1"/>
  <c r="O250" i="1" s="1"/>
  <c r="L242" i="1"/>
  <c r="M242" i="1" s="1"/>
  <c r="N242" i="1" s="1"/>
  <c r="O242" i="1" s="1"/>
  <c r="L234" i="1"/>
  <c r="M234" i="1" s="1"/>
  <c r="N234" i="1" s="1"/>
  <c r="O234" i="1" s="1"/>
  <c r="L226" i="1"/>
  <c r="M226" i="1" s="1"/>
  <c r="N226" i="1" s="1"/>
  <c r="O226" i="1" s="1"/>
  <c r="L210" i="1"/>
  <c r="M210" i="1" s="1"/>
  <c r="N210" i="1" s="1"/>
  <c r="O210" i="1" s="1"/>
  <c r="L202" i="1"/>
  <c r="M202" i="1" s="1"/>
  <c r="N202" i="1" s="1"/>
  <c r="O202" i="1" s="1"/>
  <c r="L194" i="1"/>
  <c r="M194" i="1" s="1"/>
  <c r="N194" i="1" s="1"/>
  <c r="O194" i="1" s="1"/>
  <c r="L186" i="1"/>
  <c r="M186" i="1" s="1"/>
  <c r="N186" i="1" s="1"/>
  <c r="O186" i="1" s="1"/>
  <c r="L178" i="1"/>
  <c r="M178" i="1" s="1"/>
  <c r="N178" i="1" s="1"/>
  <c r="O178" i="1" s="1"/>
  <c r="L170" i="1"/>
  <c r="M170" i="1" s="1"/>
  <c r="N170" i="1" s="1"/>
  <c r="O170" i="1" s="1"/>
  <c r="L162" i="1"/>
  <c r="M162" i="1" s="1"/>
  <c r="N162" i="1" s="1"/>
  <c r="O162" i="1" s="1"/>
  <c r="L146" i="1"/>
  <c r="M146" i="1" s="1"/>
  <c r="N146" i="1" s="1"/>
  <c r="O146" i="1" s="1"/>
  <c r="L138" i="1"/>
  <c r="M138" i="1" s="1"/>
  <c r="N138" i="1" s="1"/>
  <c r="O138" i="1" s="1"/>
  <c r="L130" i="1"/>
  <c r="M130" i="1" s="1"/>
  <c r="N130" i="1" s="1"/>
  <c r="O130" i="1" s="1"/>
  <c r="L122" i="1"/>
  <c r="M122" i="1" s="1"/>
  <c r="N122" i="1" s="1"/>
  <c r="O122" i="1" s="1"/>
  <c r="L114" i="1"/>
  <c r="M114" i="1" s="1"/>
  <c r="N114" i="1" s="1"/>
  <c r="O114" i="1" s="1"/>
  <c r="L106" i="1"/>
  <c r="M106" i="1" s="1"/>
  <c r="N106" i="1" s="1"/>
  <c r="O106" i="1" s="1"/>
  <c r="L98" i="1"/>
  <c r="M98" i="1" s="1"/>
  <c r="N98" i="1" s="1"/>
  <c r="O98" i="1" s="1"/>
  <c r="L82" i="1"/>
  <c r="M82" i="1" s="1"/>
  <c r="N82" i="1" s="1"/>
  <c r="O82" i="1" s="1"/>
  <c r="L74" i="1"/>
  <c r="M74" i="1" s="1"/>
  <c r="N74" i="1" s="1"/>
  <c r="O74" i="1" s="1"/>
  <c r="L66" i="1"/>
  <c r="M66" i="1" s="1"/>
  <c r="N66" i="1" s="1"/>
  <c r="O66" i="1" s="1"/>
  <c r="L58" i="1"/>
  <c r="M58" i="1" s="1"/>
  <c r="N58" i="1" s="1"/>
  <c r="O58" i="1" s="1"/>
  <c r="L50" i="1"/>
  <c r="M50" i="1" s="1"/>
  <c r="N50" i="1" s="1"/>
  <c r="O50" i="1" s="1"/>
  <c r="L42" i="1"/>
  <c r="M42" i="1" s="1"/>
  <c r="N42" i="1" s="1"/>
  <c r="O42" i="1" s="1"/>
  <c r="L34" i="1"/>
  <c r="M34" i="1" s="1"/>
  <c r="N34" i="1" s="1"/>
  <c r="O34" i="1" s="1"/>
  <c r="L18" i="1"/>
  <c r="M18" i="1" s="1"/>
  <c r="N18" i="1" s="1"/>
  <c r="O18" i="1" s="1"/>
  <c r="L10" i="1"/>
  <c r="M10" i="1" s="1"/>
  <c r="N10" i="1" s="1"/>
  <c r="O10" i="1" s="1"/>
  <c r="H410" i="1"/>
  <c r="I410" i="1" s="1"/>
  <c r="H346" i="1"/>
  <c r="I346" i="1" s="1"/>
  <c r="H282" i="1"/>
  <c r="I282" i="1" s="1"/>
  <c r="H218" i="1"/>
  <c r="I218" i="1" s="1"/>
  <c r="H154" i="1"/>
  <c r="I154" i="1" s="1"/>
  <c r="H90" i="1"/>
  <c r="I90" i="1" s="1"/>
  <c r="H26" i="1"/>
  <c r="I26" i="1" s="1"/>
  <c r="H81" i="1"/>
  <c r="I81" i="1" s="1"/>
  <c r="H73" i="1"/>
  <c r="I73" i="1" s="1"/>
  <c r="H65" i="1"/>
  <c r="I65" i="1" s="1"/>
  <c r="H57" i="1"/>
  <c r="I57" i="1" s="1"/>
  <c r="H49" i="1"/>
  <c r="I49" i="1" s="1"/>
  <c r="H41" i="1"/>
  <c r="I41" i="1" s="1"/>
  <c r="H33" i="1"/>
  <c r="I33" i="1" s="1"/>
  <c r="H25" i="1"/>
  <c r="I25" i="1" s="1"/>
  <c r="H17" i="1"/>
  <c r="I17" i="1" s="1"/>
  <c r="H9" i="1"/>
  <c r="I9" i="1" s="1"/>
  <c r="H46" i="1"/>
  <c r="I46" i="1" s="1"/>
  <c r="B25" i="1"/>
  <c r="L588" i="1"/>
  <c r="M588" i="1" s="1"/>
  <c r="N588" i="1" s="1"/>
  <c r="O588" i="1" s="1"/>
  <c r="L572" i="1"/>
  <c r="M572" i="1" s="1"/>
  <c r="N572" i="1" s="1"/>
  <c r="O572" i="1" s="1"/>
  <c r="L556" i="1"/>
  <c r="M556" i="1" s="1"/>
  <c r="N556" i="1" s="1"/>
  <c r="O556" i="1" s="1"/>
  <c r="L540" i="1"/>
  <c r="M540" i="1" s="1"/>
  <c r="N540" i="1" s="1"/>
  <c r="O540" i="1" s="1"/>
  <c r="L524" i="1"/>
  <c r="M524" i="1" s="1"/>
  <c r="N524" i="1" s="1"/>
  <c r="O524" i="1" s="1"/>
  <c r="L492" i="1"/>
  <c r="M492" i="1" s="1"/>
  <c r="N492" i="1" s="1"/>
  <c r="O492" i="1" s="1"/>
  <c r="L476" i="1"/>
  <c r="M476" i="1" s="1"/>
  <c r="N476" i="1" s="1"/>
  <c r="O476" i="1" s="1"/>
  <c r="L396" i="1"/>
  <c r="M396" i="1" s="1"/>
  <c r="N396" i="1" s="1"/>
  <c r="O396" i="1" s="1"/>
  <c r="L388" i="1"/>
  <c r="M388" i="1" s="1"/>
  <c r="N388" i="1" s="1"/>
  <c r="O388" i="1" s="1"/>
  <c r="L372" i="1"/>
  <c r="M372" i="1" s="1"/>
  <c r="N372" i="1" s="1"/>
  <c r="O372" i="1" s="1"/>
  <c r="L356" i="1"/>
  <c r="M356" i="1" s="1"/>
  <c r="N356" i="1" s="1"/>
  <c r="O356" i="1" s="1"/>
  <c r="L340" i="1"/>
  <c r="M340" i="1" s="1"/>
  <c r="N340" i="1" s="1"/>
  <c r="O340" i="1" s="1"/>
  <c r="L316" i="1"/>
  <c r="M316" i="1" s="1"/>
  <c r="N316" i="1" s="1"/>
  <c r="O316" i="1" s="1"/>
  <c r="L300" i="1"/>
  <c r="M300" i="1" s="1"/>
  <c r="N300" i="1" s="1"/>
  <c r="O300" i="1" s="1"/>
  <c r="L260" i="1"/>
  <c r="M260" i="1" s="1"/>
  <c r="N260" i="1" s="1"/>
  <c r="O260" i="1" s="1"/>
  <c r="L252" i="1"/>
  <c r="M252" i="1" s="1"/>
  <c r="N252" i="1" s="1"/>
  <c r="O252" i="1" s="1"/>
  <c r="L244" i="1"/>
  <c r="M244" i="1" s="1"/>
  <c r="N244" i="1" s="1"/>
  <c r="O244" i="1" s="1"/>
  <c r="L236" i="1"/>
  <c r="M236" i="1" s="1"/>
  <c r="N236" i="1" s="1"/>
  <c r="O236" i="1" s="1"/>
  <c r="L228" i="1"/>
  <c r="M228" i="1" s="1"/>
  <c r="N228" i="1" s="1"/>
  <c r="O228" i="1" s="1"/>
  <c r="L587" i="1"/>
  <c r="M587" i="1" s="1"/>
  <c r="N587" i="1" s="1"/>
  <c r="O587" i="1" s="1"/>
  <c r="L508" i="1"/>
  <c r="M508" i="1" s="1"/>
  <c r="N508" i="1" s="1"/>
  <c r="O508" i="1" s="1"/>
  <c r="L245" i="1"/>
  <c r="M245" i="1" s="1"/>
  <c r="N245" i="1" s="1"/>
  <c r="O245" i="1" s="1"/>
  <c r="L69" i="1"/>
  <c r="M69" i="1" s="1"/>
  <c r="N69" i="1" s="1"/>
  <c r="O69" i="1" s="1"/>
  <c r="L3" i="1"/>
  <c r="M3" i="1" s="1"/>
  <c r="N3" i="1" s="1"/>
  <c r="O3" i="1" s="1"/>
  <c r="L581" i="1"/>
  <c r="M581" i="1" s="1"/>
  <c r="N581" i="1" s="1"/>
  <c r="O581" i="1" s="1"/>
  <c r="L557" i="1"/>
  <c r="M557" i="1" s="1"/>
  <c r="N557" i="1" s="1"/>
  <c r="O557" i="1" s="1"/>
  <c r="L525" i="1"/>
  <c r="M525" i="1" s="1"/>
  <c r="N525" i="1" s="1"/>
  <c r="O525" i="1" s="1"/>
  <c r="L507" i="1"/>
  <c r="M507" i="1" s="1"/>
  <c r="N507" i="1" s="1"/>
  <c r="O507" i="1" s="1"/>
  <c r="L485" i="1"/>
  <c r="M485" i="1" s="1"/>
  <c r="N485" i="1" s="1"/>
  <c r="O485" i="1" s="1"/>
  <c r="L461" i="1"/>
  <c r="M461" i="1" s="1"/>
  <c r="N461" i="1" s="1"/>
  <c r="O461" i="1" s="1"/>
  <c r="L421" i="1"/>
  <c r="M421" i="1" s="1"/>
  <c r="N421" i="1" s="1"/>
  <c r="O421" i="1" s="1"/>
  <c r="L397" i="1"/>
  <c r="M397" i="1" s="1"/>
  <c r="N397" i="1" s="1"/>
  <c r="O397" i="1" s="1"/>
  <c r="L379" i="1"/>
  <c r="M379" i="1" s="1"/>
  <c r="N379" i="1" s="1"/>
  <c r="O379" i="1" s="1"/>
  <c r="L334" i="1"/>
  <c r="M334" i="1" s="1"/>
  <c r="N334" i="1" s="1"/>
  <c r="O334" i="1" s="1"/>
  <c r="L309" i="1"/>
  <c r="M309" i="1" s="1"/>
  <c r="N309" i="1" s="1"/>
  <c r="O309" i="1" s="1"/>
  <c r="L285" i="1"/>
  <c r="M285" i="1" s="1"/>
  <c r="N285" i="1" s="1"/>
  <c r="O285" i="1" s="1"/>
  <c r="L267" i="1"/>
  <c r="M267" i="1" s="1"/>
  <c r="N267" i="1" s="1"/>
  <c r="O267" i="1" s="1"/>
  <c r="L221" i="1"/>
  <c r="M221" i="1" s="1"/>
  <c r="N221" i="1" s="1"/>
  <c r="O221" i="1" s="1"/>
  <c r="L204" i="1"/>
  <c r="M204" i="1" s="1"/>
  <c r="N204" i="1" s="1"/>
  <c r="O204" i="1" s="1"/>
  <c r="L117" i="1"/>
  <c r="M117" i="1" s="1"/>
  <c r="N117" i="1" s="1"/>
  <c r="O117" i="1" s="1"/>
  <c r="L93" i="1"/>
  <c r="M93" i="1" s="1"/>
  <c r="N93" i="1" s="1"/>
  <c r="O93" i="1" s="1"/>
  <c r="L14" i="1"/>
  <c r="M14" i="1" s="1"/>
  <c r="N14" i="1" s="1"/>
  <c r="O14" i="1" s="1"/>
  <c r="L595" i="1"/>
  <c r="M595" i="1" s="1"/>
  <c r="N595" i="1" s="1"/>
  <c r="O595" i="1" s="1"/>
  <c r="L571" i="1"/>
  <c r="M571" i="1" s="1"/>
  <c r="N571" i="1" s="1"/>
  <c r="O571" i="1" s="1"/>
  <c r="L555" i="1"/>
  <c r="M555" i="1" s="1"/>
  <c r="N555" i="1" s="1"/>
  <c r="O555" i="1" s="1"/>
  <c r="L547" i="1"/>
  <c r="M547" i="1" s="1"/>
  <c r="N547" i="1" s="1"/>
  <c r="O547" i="1" s="1"/>
  <c r="L539" i="1"/>
  <c r="M539" i="1" s="1"/>
  <c r="N539" i="1" s="1"/>
  <c r="O539" i="1" s="1"/>
  <c r="L531" i="1"/>
  <c r="M531" i="1" s="1"/>
  <c r="N531" i="1" s="1"/>
  <c r="O531" i="1" s="1"/>
  <c r="L515" i="1"/>
  <c r="M515" i="1" s="1"/>
  <c r="N515" i="1" s="1"/>
  <c r="O515" i="1" s="1"/>
  <c r="L499" i="1"/>
  <c r="M499" i="1" s="1"/>
  <c r="N499" i="1" s="1"/>
  <c r="O499" i="1" s="1"/>
  <c r="L483" i="1"/>
  <c r="M483" i="1" s="1"/>
  <c r="N483" i="1" s="1"/>
  <c r="O483" i="1" s="1"/>
  <c r="L443" i="1"/>
  <c r="M443" i="1" s="1"/>
  <c r="N443" i="1" s="1"/>
  <c r="O443" i="1" s="1"/>
  <c r="L435" i="1"/>
  <c r="M435" i="1" s="1"/>
  <c r="N435" i="1" s="1"/>
  <c r="O435" i="1" s="1"/>
  <c r="L427" i="1"/>
  <c r="M427" i="1" s="1"/>
  <c r="N427" i="1" s="1"/>
  <c r="O427" i="1" s="1"/>
  <c r="L47" i="1"/>
  <c r="M47" i="1" s="1"/>
  <c r="N47" i="1" s="1"/>
  <c r="O47" i="1" s="1"/>
  <c r="L579" i="1"/>
  <c r="M579" i="1" s="1"/>
  <c r="N579" i="1" s="1"/>
  <c r="O579" i="1" s="1"/>
  <c r="L502" i="1"/>
  <c r="M502" i="1" s="1"/>
  <c r="N502" i="1" s="1"/>
  <c r="O502" i="1" s="1"/>
  <c r="L459" i="1"/>
  <c r="M459" i="1" s="1"/>
  <c r="N459" i="1" s="1"/>
  <c r="O459" i="1" s="1"/>
  <c r="L419" i="1"/>
  <c r="M419" i="1" s="1"/>
  <c r="N419" i="1" s="1"/>
  <c r="O419" i="1" s="1"/>
  <c r="L373" i="1"/>
  <c r="M373" i="1" s="1"/>
  <c r="N373" i="1" s="1"/>
  <c r="O373" i="1" s="1"/>
  <c r="L333" i="1"/>
  <c r="M333" i="1" s="1"/>
  <c r="N333" i="1" s="1"/>
  <c r="O333" i="1" s="1"/>
  <c r="L261" i="1"/>
  <c r="M261" i="1" s="1"/>
  <c r="N261" i="1" s="1"/>
  <c r="O261" i="1" s="1"/>
  <c r="L243" i="1"/>
  <c r="M243" i="1" s="1"/>
  <c r="N243" i="1" s="1"/>
  <c r="O243" i="1" s="1"/>
  <c r="L220" i="1"/>
  <c r="M220" i="1" s="1"/>
  <c r="N220" i="1" s="1"/>
  <c r="O220" i="1" s="1"/>
  <c r="L179" i="1"/>
  <c r="M179" i="1" s="1"/>
  <c r="N179" i="1" s="1"/>
  <c r="O179" i="1" s="1"/>
  <c r="L134" i="1"/>
  <c r="M134" i="1" s="1"/>
  <c r="N134" i="1" s="1"/>
  <c r="O134" i="1" s="1"/>
  <c r="L92" i="1"/>
  <c r="M92" i="1" s="1"/>
  <c r="N92" i="1" s="1"/>
  <c r="O92" i="1" s="1"/>
  <c r="L62" i="1"/>
  <c r="M62" i="1" s="1"/>
  <c r="N62" i="1" s="1"/>
  <c r="O62" i="1" s="1"/>
  <c r="L13" i="1"/>
  <c r="M13" i="1" s="1"/>
  <c r="N13" i="1" s="1"/>
  <c r="O13" i="1" s="1"/>
  <c r="L398" i="1"/>
  <c r="M398" i="1" s="1"/>
  <c r="N398" i="1" s="1"/>
  <c r="O398" i="1" s="1"/>
  <c r="L549" i="1"/>
  <c r="M549" i="1" s="1"/>
  <c r="N549" i="1" s="1"/>
  <c r="O549" i="1" s="1"/>
  <c r="L523" i="1"/>
  <c r="M523" i="1" s="1"/>
  <c r="N523" i="1" s="1"/>
  <c r="O523" i="1" s="1"/>
  <c r="L501" i="1"/>
  <c r="M501" i="1" s="1"/>
  <c r="N501" i="1" s="1"/>
  <c r="O501" i="1" s="1"/>
  <c r="L453" i="1"/>
  <c r="M453" i="1" s="1"/>
  <c r="N453" i="1" s="1"/>
  <c r="O453" i="1" s="1"/>
  <c r="L413" i="1"/>
  <c r="M413" i="1" s="1"/>
  <c r="N413" i="1" s="1"/>
  <c r="O413" i="1" s="1"/>
  <c r="L395" i="1"/>
  <c r="M395" i="1" s="1"/>
  <c r="N395" i="1" s="1"/>
  <c r="O395" i="1" s="1"/>
  <c r="L349" i="1"/>
  <c r="M349" i="1" s="1"/>
  <c r="N349" i="1" s="1"/>
  <c r="O349" i="1" s="1"/>
  <c r="L331" i="1"/>
  <c r="M331" i="1" s="1"/>
  <c r="N331" i="1" s="1"/>
  <c r="O331" i="1" s="1"/>
  <c r="L237" i="1"/>
  <c r="M237" i="1" s="1"/>
  <c r="N237" i="1" s="1"/>
  <c r="O237" i="1" s="1"/>
  <c r="L173" i="1"/>
  <c r="M173" i="1" s="1"/>
  <c r="N173" i="1" s="1"/>
  <c r="O173" i="1" s="1"/>
  <c r="L155" i="1"/>
  <c r="M155" i="1" s="1"/>
  <c r="N155" i="1" s="1"/>
  <c r="O155" i="1" s="1"/>
  <c r="L133" i="1"/>
  <c r="M133" i="1" s="1"/>
  <c r="N133" i="1" s="1"/>
  <c r="O133" i="1" s="1"/>
  <c r="L61" i="1"/>
  <c r="M61" i="1" s="1"/>
  <c r="N61" i="1" s="1"/>
  <c r="O61" i="1" s="1"/>
  <c r="L44" i="1"/>
  <c r="M44" i="1" s="1"/>
  <c r="N44" i="1" s="1"/>
  <c r="O44" i="1" s="1"/>
  <c r="L12" i="1"/>
  <c r="M12" i="1" s="1"/>
  <c r="N12" i="1" s="1"/>
  <c r="O12" i="1" s="1"/>
  <c r="L451" i="1"/>
  <c r="M451" i="1" s="1"/>
  <c r="N451" i="1" s="1"/>
  <c r="O451" i="1" s="1"/>
  <c r="L389" i="1"/>
  <c r="M389" i="1" s="1"/>
  <c r="N389" i="1" s="1"/>
  <c r="O389" i="1" s="1"/>
  <c r="L325" i="1"/>
  <c r="M325" i="1" s="1"/>
  <c r="N325" i="1" s="1"/>
  <c r="O325" i="1" s="1"/>
  <c r="L301" i="1"/>
  <c r="M301" i="1" s="1"/>
  <c r="N301" i="1" s="1"/>
  <c r="O301" i="1" s="1"/>
  <c r="L277" i="1"/>
  <c r="M277" i="1" s="1"/>
  <c r="N277" i="1" s="1"/>
  <c r="O277" i="1" s="1"/>
  <c r="L259" i="1"/>
  <c r="M259" i="1" s="1"/>
  <c r="N259" i="1" s="1"/>
  <c r="O259" i="1" s="1"/>
  <c r="L195" i="1"/>
  <c r="M195" i="1" s="1"/>
  <c r="N195" i="1" s="1"/>
  <c r="O195" i="1" s="1"/>
  <c r="L171" i="1"/>
  <c r="M171" i="1" s="1"/>
  <c r="N171" i="1" s="1"/>
  <c r="O171" i="1" s="1"/>
  <c r="L149" i="1"/>
  <c r="M149" i="1" s="1"/>
  <c r="N149" i="1" s="1"/>
  <c r="O149" i="1" s="1"/>
  <c r="L131" i="1"/>
  <c r="M131" i="1" s="1"/>
  <c r="N131" i="1" s="1"/>
  <c r="O131" i="1" s="1"/>
  <c r="L227" i="1"/>
  <c r="M227" i="1" s="1"/>
  <c r="N227" i="1" s="1"/>
  <c r="O227" i="1" s="1"/>
  <c r="L205" i="1"/>
  <c r="M205" i="1" s="1"/>
  <c r="N205" i="1" s="1"/>
  <c r="O205" i="1" s="1"/>
  <c r="L158" i="1"/>
  <c r="M158" i="1" s="1"/>
  <c r="N158" i="1" s="1"/>
  <c r="O158" i="1" s="1"/>
  <c r="L99" i="1"/>
  <c r="M99" i="1" s="1"/>
  <c r="N99" i="1" s="1"/>
  <c r="O99" i="1" s="1"/>
  <c r="L565" i="1"/>
  <c r="M565" i="1" s="1"/>
  <c r="N565" i="1" s="1"/>
  <c r="O565" i="1" s="1"/>
  <c r="L517" i="1"/>
  <c r="M517" i="1" s="1"/>
  <c r="N517" i="1" s="1"/>
  <c r="O517" i="1" s="1"/>
  <c r="L493" i="1"/>
  <c r="M493" i="1" s="1"/>
  <c r="N493" i="1" s="1"/>
  <c r="O493" i="1" s="1"/>
  <c r="L469" i="1"/>
  <c r="M469" i="1" s="1"/>
  <c r="N469" i="1" s="1"/>
  <c r="O469" i="1" s="1"/>
  <c r="L445" i="1"/>
  <c r="M445" i="1" s="1"/>
  <c r="N445" i="1" s="1"/>
  <c r="O445" i="1" s="1"/>
  <c r="L411" i="1"/>
  <c r="M411" i="1" s="1"/>
  <c r="N411" i="1" s="1"/>
  <c r="O411" i="1" s="1"/>
  <c r="L366" i="1"/>
  <c r="M366" i="1" s="1"/>
  <c r="N366" i="1" s="1"/>
  <c r="O366" i="1" s="1"/>
  <c r="L253" i="1"/>
  <c r="M253" i="1" s="1"/>
  <c r="N253" i="1" s="1"/>
  <c r="O253" i="1" s="1"/>
  <c r="L235" i="1"/>
  <c r="M235" i="1" s="1"/>
  <c r="N235" i="1" s="1"/>
  <c r="O235" i="1" s="1"/>
  <c r="L212" i="1"/>
  <c r="M212" i="1" s="1"/>
  <c r="N212" i="1" s="1"/>
  <c r="O212" i="1" s="1"/>
  <c r="L189" i="1"/>
  <c r="M189" i="1" s="1"/>
  <c r="N189" i="1" s="1"/>
  <c r="O189" i="1" s="1"/>
  <c r="L166" i="1"/>
  <c r="M166" i="1" s="1"/>
  <c r="N166" i="1" s="1"/>
  <c r="O166" i="1" s="1"/>
  <c r="L126" i="1"/>
  <c r="M126" i="1" s="1"/>
  <c r="N126" i="1" s="1"/>
  <c r="O126" i="1" s="1"/>
  <c r="L39" i="1"/>
  <c r="M39" i="1" s="1"/>
  <c r="N39" i="1" s="1"/>
  <c r="O39" i="1" s="1"/>
  <c r="L21" i="1"/>
  <c r="M21" i="1" s="1"/>
  <c r="N21" i="1" s="1"/>
  <c r="O21" i="1" s="1"/>
  <c r="L599" i="1"/>
  <c r="M599" i="1" s="1"/>
  <c r="N599" i="1" s="1"/>
  <c r="O599" i="1" s="1"/>
  <c r="L591" i="1"/>
  <c r="M591" i="1" s="1"/>
  <c r="N591" i="1" s="1"/>
  <c r="O591" i="1" s="1"/>
  <c r="L583" i="1"/>
  <c r="M583" i="1" s="1"/>
  <c r="N583" i="1" s="1"/>
  <c r="O583" i="1" s="1"/>
  <c r="L575" i="1"/>
  <c r="M575" i="1" s="1"/>
  <c r="N575" i="1" s="1"/>
  <c r="O575" i="1" s="1"/>
  <c r="L567" i="1"/>
  <c r="M567" i="1" s="1"/>
  <c r="N567" i="1" s="1"/>
  <c r="O567" i="1" s="1"/>
  <c r="L559" i="1"/>
  <c r="M559" i="1" s="1"/>
  <c r="N559" i="1" s="1"/>
  <c r="O559" i="1" s="1"/>
  <c r="L551" i="1"/>
  <c r="M551" i="1" s="1"/>
  <c r="N551" i="1" s="1"/>
  <c r="O551" i="1" s="1"/>
  <c r="L543" i="1"/>
  <c r="M543" i="1" s="1"/>
  <c r="N543" i="1" s="1"/>
  <c r="O543" i="1" s="1"/>
  <c r="L535" i="1"/>
  <c r="M535" i="1" s="1"/>
  <c r="N535" i="1" s="1"/>
  <c r="O535" i="1" s="1"/>
  <c r="L527" i="1"/>
  <c r="M527" i="1" s="1"/>
  <c r="N527" i="1" s="1"/>
  <c r="O527" i="1" s="1"/>
  <c r="L519" i="1"/>
  <c r="M519" i="1" s="1"/>
  <c r="N519" i="1" s="1"/>
  <c r="O519" i="1" s="1"/>
  <c r="L511" i="1"/>
  <c r="M511" i="1" s="1"/>
  <c r="N511" i="1" s="1"/>
  <c r="O511" i="1" s="1"/>
  <c r="L503" i="1"/>
  <c r="M503" i="1" s="1"/>
  <c r="N503" i="1" s="1"/>
  <c r="O503" i="1" s="1"/>
  <c r="L495" i="1"/>
  <c r="M495" i="1" s="1"/>
  <c r="N495" i="1" s="1"/>
  <c r="O495" i="1" s="1"/>
  <c r="L487" i="1"/>
  <c r="M487" i="1" s="1"/>
  <c r="N487" i="1" s="1"/>
  <c r="O487" i="1" s="1"/>
  <c r="L479" i="1"/>
  <c r="M479" i="1" s="1"/>
  <c r="N479" i="1" s="1"/>
  <c r="O479" i="1" s="1"/>
  <c r="L471" i="1"/>
  <c r="M471" i="1" s="1"/>
  <c r="N471" i="1" s="1"/>
  <c r="O471" i="1" s="1"/>
  <c r="L463" i="1"/>
  <c r="M463" i="1" s="1"/>
  <c r="N463" i="1" s="1"/>
  <c r="O463" i="1" s="1"/>
  <c r="L455" i="1"/>
  <c r="M455" i="1" s="1"/>
  <c r="N455" i="1" s="1"/>
  <c r="O455" i="1" s="1"/>
  <c r="L447" i="1"/>
  <c r="M447" i="1" s="1"/>
  <c r="N447" i="1" s="1"/>
  <c r="O447" i="1" s="1"/>
  <c r="L439" i="1"/>
  <c r="M439" i="1" s="1"/>
  <c r="N439" i="1" s="1"/>
  <c r="O439" i="1" s="1"/>
  <c r="L431" i="1"/>
  <c r="M431" i="1" s="1"/>
  <c r="N431" i="1" s="1"/>
  <c r="O431" i="1" s="1"/>
  <c r="L423" i="1"/>
  <c r="M423" i="1" s="1"/>
  <c r="N423" i="1" s="1"/>
  <c r="O423" i="1" s="1"/>
  <c r="L415" i="1"/>
  <c r="M415" i="1" s="1"/>
  <c r="N415" i="1" s="1"/>
  <c r="O415" i="1" s="1"/>
  <c r="L407" i="1"/>
  <c r="M407" i="1" s="1"/>
  <c r="N407" i="1" s="1"/>
  <c r="O407" i="1" s="1"/>
  <c r="L399" i="1"/>
  <c r="M399" i="1" s="1"/>
  <c r="N399" i="1" s="1"/>
  <c r="O399" i="1" s="1"/>
  <c r="L391" i="1"/>
  <c r="M391" i="1" s="1"/>
  <c r="N391" i="1" s="1"/>
  <c r="O391" i="1" s="1"/>
  <c r="L383" i="1"/>
  <c r="M383" i="1" s="1"/>
  <c r="N383" i="1" s="1"/>
  <c r="O383" i="1" s="1"/>
  <c r="L375" i="1"/>
  <c r="M375" i="1" s="1"/>
  <c r="N375" i="1" s="1"/>
  <c r="O375" i="1" s="1"/>
  <c r="L367" i="1"/>
  <c r="M367" i="1" s="1"/>
  <c r="N367" i="1" s="1"/>
  <c r="O367" i="1" s="1"/>
  <c r="L359" i="1"/>
  <c r="M359" i="1" s="1"/>
  <c r="N359" i="1" s="1"/>
  <c r="O359" i="1" s="1"/>
  <c r="L351" i="1"/>
  <c r="M351" i="1" s="1"/>
  <c r="N351" i="1" s="1"/>
  <c r="O351" i="1" s="1"/>
  <c r="L343" i="1"/>
  <c r="M343" i="1" s="1"/>
  <c r="N343" i="1" s="1"/>
  <c r="O343" i="1" s="1"/>
  <c r="L335" i="1"/>
  <c r="M335" i="1" s="1"/>
  <c r="N335" i="1" s="1"/>
  <c r="O335" i="1" s="1"/>
  <c r="L327" i="1"/>
  <c r="M327" i="1" s="1"/>
  <c r="N327" i="1" s="1"/>
  <c r="O327" i="1" s="1"/>
  <c r="L319" i="1"/>
  <c r="M319" i="1" s="1"/>
  <c r="N319" i="1" s="1"/>
  <c r="O319" i="1" s="1"/>
  <c r="L311" i="1"/>
  <c r="M311" i="1" s="1"/>
  <c r="N311" i="1" s="1"/>
  <c r="O311" i="1" s="1"/>
  <c r="L303" i="1"/>
  <c r="M303" i="1" s="1"/>
  <c r="N303" i="1" s="1"/>
  <c r="O303" i="1" s="1"/>
  <c r="L295" i="1"/>
  <c r="M295" i="1" s="1"/>
  <c r="N295" i="1" s="1"/>
  <c r="O295" i="1" s="1"/>
  <c r="L287" i="1"/>
  <c r="M287" i="1" s="1"/>
  <c r="N287" i="1" s="1"/>
  <c r="O287" i="1" s="1"/>
  <c r="L279" i="1"/>
  <c r="M279" i="1" s="1"/>
  <c r="N279" i="1" s="1"/>
  <c r="O279" i="1" s="1"/>
  <c r="L271" i="1"/>
  <c r="M271" i="1" s="1"/>
  <c r="N271" i="1" s="1"/>
  <c r="O271" i="1" s="1"/>
  <c r="L263" i="1"/>
  <c r="M263" i="1" s="1"/>
  <c r="N263" i="1" s="1"/>
  <c r="O263" i="1" s="1"/>
  <c r="L255" i="1"/>
  <c r="M255" i="1" s="1"/>
  <c r="N255" i="1" s="1"/>
  <c r="O255" i="1" s="1"/>
  <c r="L247" i="1"/>
  <c r="M247" i="1" s="1"/>
  <c r="N247" i="1" s="1"/>
  <c r="O247" i="1" s="1"/>
  <c r="L239" i="1"/>
  <c r="M239" i="1" s="1"/>
  <c r="N239" i="1" s="1"/>
  <c r="O239" i="1" s="1"/>
  <c r="L231" i="1"/>
  <c r="M231" i="1" s="1"/>
  <c r="N231" i="1" s="1"/>
  <c r="O231" i="1" s="1"/>
  <c r="L223" i="1"/>
  <c r="M223" i="1" s="1"/>
  <c r="N223" i="1" s="1"/>
  <c r="O223" i="1" s="1"/>
  <c r="L215" i="1"/>
  <c r="M215" i="1" s="1"/>
  <c r="N215" i="1" s="1"/>
  <c r="O215" i="1" s="1"/>
  <c r="L207" i="1"/>
  <c r="M207" i="1" s="1"/>
  <c r="N207" i="1" s="1"/>
  <c r="O207" i="1" s="1"/>
  <c r="L199" i="1"/>
  <c r="M199" i="1" s="1"/>
  <c r="N199" i="1" s="1"/>
  <c r="O199" i="1" s="1"/>
  <c r="L191" i="1"/>
  <c r="M191" i="1" s="1"/>
  <c r="N191" i="1" s="1"/>
  <c r="O191" i="1" s="1"/>
  <c r="L183" i="1"/>
  <c r="M183" i="1" s="1"/>
  <c r="N183" i="1" s="1"/>
  <c r="O183" i="1" s="1"/>
  <c r="L175" i="1"/>
  <c r="M175" i="1" s="1"/>
  <c r="N175" i="1" s="1"/>
  <c r="O175" i="1" s="1"/>
  <c r="L167" i="1"/>
  <c r="M167" i="1" s="1"/>
  <c r="N167" i="1" s="1"/>
  <c r="O167" i="1" s="1"/>
  <c r="L159" i="1"/>
  <c r="M159" i="1" s="1"/>
  <c r="N159" i="1" s="1"/>
  <c r="O159" i="1" s="1"/>
  <c r="L151" i="1"/>
  <c r="M151" i="1" s="1"/>
  <c r="N151" i="1" s="1"/>
  <c r="O151" i="1" s="1"/>
  <c r="L143" i="1"/>
  <c r="M143" i="1" s="1"/>
  <c r="N143" i="1" s="1"/>
  <c r="O143" i="1" s="1"/>
  <c r="L135" i="1"/>
  <c r="M135" i="1" s="1"/>
  <c r="N135" i="1" s="1"/>
  <c r="O135" i="1" s="1"/>
  <c r="L127" i="1"/>
  <c r="M127" i="1" s="1"/>
  <c r="N127" i="1" s="1"/>
  <c r="O127" i="1" s="1"/>
  <c r="L119" i="1"/>
  <c r="M119" i="1" s="1"/>
  <c r="N119" i="1" s="1"/>
  <c r="O119" i="1" s="1"/>
  <c r="L111" i="1"/>
  <c r="M111" i="1" s="1"/>
  <c r="N111" i="1" s="1"/>
  <c r="O111" i="1" s="1"/>
  <c r="L558" i="1"/>
  <c r="M558" i="1" s="1"/>
  <c r="N558" i="1" s="1"/>
  <c r="O558" i="1" s="1"/>
  <c r="L380" i="1"/>
  <c r="M380" i="1" s="1"/>
  <c r="N380" i="1" s="1"/>
  <c r="O380" i="1" s="1"/>
  <c r="L268" i="1"/>
  <c r="M268" i="1" s="1"/>
  <c r="N268" i="1" s="1"/>
  <c r="O268" i="1" s="1"/>
  <c r="L541" i="1"/>
  <c r="M541" i="1" s="1"/>
  <c r="N541" i="1" s="1"/>
  <c r="O541" i="1" s="1"/>
  <c r="L589" i="1"/>
  <c r="M589" i="1" s="1"/>
  <c r="N589" i="1" s="1"/>
  <c r="O589" i="1" s="1"/>
  <c r="L533" i="1"/>
  <c r="M533" i="1" s="1"/>
  <c r="N533" i="1" s="1"/>
  <c r="O533" i="1" s="1"/>
  <c r="L405" i="1"/>
  <c r="M405" i="1" s="1"/>
  <c r="N405" i="1" s="1"/>
  <c r="O405" i="1" s="1"/>
  <c r="L387" i="1"/>
  <c r="M387" i="1" s="1"/>
  <c r="N387" i="1" s="1"/>
  <c r="O387" i="1" s="1"/>
  <c r="L365" i="1"/>
  <c r="M365" i="1" s="1"/>
  <c r="N365" i="1" s="1"/>
  <c r="O365" i="1" s="1"/>
  <c r="L341" i="1"/>
  <c r="M341" i="1" s="1"/>
  <c r="N341" i="1" s="1"/>
  <c r="O341" i="1" s="1"/>
  <c r="L317" i="1"/>
  <c r="M317" i="1" s="1"/>
  <c r="N317" i="1" s="1"/>
  <c r="O317" i="1" s="1"/>
  <c r="L229" i="1"/>
  <c r="M229" i="1" s="1"/>
  <c r="N229" i="1" s="1"/>
  <c r="O229" i="1" s="1"/>
  <c r="L165" i="1"/>
  <c r="M165" i="1" s="1"/>
  <c r="N165" i="1" s="1"/>
  <c r="O165" i="1" s="1"/>
  <c r="L147" i="1"/>
  <c r="M147" i="1" s="1"/>
  <c r="N147" i="1" s="1"/>
  <c r="O147" i="1" s="1"/>
  <c r="L101" i="1"/>
  <c r="M101" i="1" s="1"/>
  <c r="N101" i="1" s="1"/>
  <c r="O101" i="1" s="1"/>
  <c r="L77" i="1"/>
  <c r="M77" i="1" s="1"/>
  <c r="N77" i="1" s="1"/>
  <c r="O77" i="1" s="1"/>
  <c r="L53" i="1"/>
  <c r="M53" i="1" s="1"/>
  <c r="N53" i="1" s="1"/>
  <c r="O53" i="1" s="1"/>
  <c r="L7" i="1"/>
  <c r="M7" i="1" s="1"/>
  <c r="N7" i="1" s="1"/>
  <c r="O7" i="1" s="1"/>
  <c r="L462" i="1"/>
  <c r="M462" i="1" s="1"/>
  <c r="N462" i="1" s="1"/>
  <c r="O462" i="1" s="1"/>
  <c r="L563" i="1"/>
  <c r="M563" i="1" s="1"/>
  <c r="N563" i="1" s="1"/>
  <c r="O563" i="1" s="1"/>
  <c r="L491" i="1"/>
  <c r="M491" i="1" s="1"/>
  <c r="N491" i="1" s="1"/>
  <c r="O491" i="1" s="1"/>
  <c r="L437" i="1"/>
  <c r="M437" i="1" s="1"/>
  <c r="N437" i="1" s="1"/>
  <c r="O437" i="1" s="1"/>
  <c r="L381" i="1"/>
  <c r="M381" i="1" s="1"/>
  <c r="N381" i="1" s="1"/>
  <c r="O381" i="1" s="1"/>
  <c r="L293" i="1"/>
  <c r="M293" i="1" s="1"/>
  <c r="N293" i="1" s="1"/>
  <c r="O293" i="1" s="1"/>
  <c r="L269" i="1"/>
  <c r="M269" i="1" s="1"/>
  <c r="N269" i="1" s="1"/>
  <c r="O269" i="1" s="1"/>
  <c r="L251" i="1"/>
  <c r="M251" i="1" s="1"/>
  <c r="N251" i="1" s="1"/>
  <c r="O251" i="1" s="1"/>
  <c r="L206" i="1"/>
  <c r="M206" i="1" s="1"/>
  <c r="N206" i="1" s="1"/>
  <c r="O206" i="1" s="1"/>
  <c r="L187" i="1"/>
  <c r="M187" i="1" s="1"/>
  <c r="N187" i="1" s="1"/>
  <c r="O187" i="1" s="1"/>
  <c r="L163" i="1"/>
  <c r="M163" i="1" s="1"/>
  <c r="N163" i="1" s="1"/>
  <c r="O163" i="1" s="1"/>
  <c r="L141" i="1"/>
  <c r="M141" i="1" s="1"/>
  <c r="N141" i="1" s="1"/>
  <c r="O141" i="1" s="1"/>
  <c r="L100" i="1"/>
  <c r="M100" i="1" s="1"/>
  <c r="N100" i="1" s="1"/>
  <c r="O100" i="1" s="1"/>
  <c r="L75" i="1"/>
  <c r="M75" i="1" s="1"/>
  <c r="N75" i="1" s="1"/>
  <c r="O75" i="1" s="1"/>
  <c r="L103" i="1"/>
  <c r="M103" i="1" s="1"/>
  <c r="N103" i="1" s="1"/>
  <c r="O103" i="1" s="1"/>
  <c r="L95" i="1"/>
  <c r="M95" i="1" s="1"/>
  <c r="N95" i="1" s="1"/>
  <c r="O95" i="1" s="1"/>
  <c r="L87" i="1"/>
  <c r="M87" i="1" s="1"/>
  <c r="N87" i="1" s="1"/>
  <c r="O87" i="1" s="1"/>
  <c r="L79" i="1"/>
  <c r="M79" i="1" s="1"/>
  <c r="N79" i="1" s="1"/>
  <c r="O79" i="1" s="1"/>
  <c r="L71" i="1"/>
  <c r="M71" i="1" s="1"/>
  <c r="N71" i="1" s="1"/>
  <c r="O71" i="1" s="1"/>
  <c r="L63" i="1"/>
  <c r="M63" i="1" s="1"/>
  <c r="N63" i="1" s="1"/>
  <c r="O63" i="1" s="1"/>
  <c r="L55" i="1"/>
  <c r="M55" i="1" s="1"/>
  <c r="N55" i="1" s="1"/>
  <c r="O55" i="1" s="1"/>
  <c r="L31" i="1"/>
  <c r="M31" i="1" s="1"/>
  <c r="N31" i="1" s="1"/>
  <c r="O31" i="1" s="1"/>
  <c r="L23" i="1"/>
  <c r="M23" i="1" s="1"/>
  <c r="N23" i="1" s="1"/>
  <c r="O23" i="1" s="1"/>
  <c r="L15" i="1"/>
  <c r="M15" i="1" s="1"/>
  <c r="N15" i="1" s="1"/>
  <c r="O15" i="1" s="1"/>
  <c r="M284" i="1"/>
  <c r="N284" i="1" s="1"/>
  <c r="O284" i="1" s="1"/>
  <c r="M188" i="1"/>
  <c r="N188" i="1" s="1"/>
  <c r="O188" i="1" s="1"/>
  <c r="M156" i="1"/>
  <c r="N156" i="1" s="1"/>
  <c r="O156" i="1" s="1"/>
  <c r="M28" i="1"/>
  <c r="N28" i="1" s="1"/>
  <c r="O28" i="1" s="1"/>
  <c r="M596" i="1"/>
  <c r="N596" i="1" s="1"/>
  <c r="O596" i="1" s="1"/>
  <c r="M180" i="1"/>
  <c r="N180" i="1" s="1"/>
  <c r="O180" i="1" s="1"/>
  <c r="M564" i="1"/>
  <c r="N564" i="1" s="1"/>
  <c r="O564" i="1" s="1"/>
  <c r="M532" i="1"/>
  <c r="N532" i="1" s="1"/>
  <c r="O532" i="1" s="1"/>
  <c r="M468" i="1"/>
  <c r="N468" i="1" s="1"/>
  <c r="O468" i="1" s="1"/>
  <c r="M444" i="1"/>
  <c r="N444" i="1" s="1"/>
  <c r="O444" i="1" s="1"/>
  <c r="M412" i="1"/>
  <c r="N412" i="1" s="1"/>
  <c r="O412" i="1" s="1"/>
  <c r="M148" i="1"/>
  <c r="N148" i="1" s="1"/>
  <c r="O148" i="1" s="1"/>
  <c r="M124" i="1"/>
  <c r="N124" i="1" s="1"/>
  <c r="O124" i="1" s="1"/>
  <c r="M348" i="1"/>
  <c r="N348" i="1" s="1"/>
  <c r="O348" i="1" s="1"/>
  <c r="M308" i="1"/>
  <c r="N308" i="1" s="1"/>
  <c r="O308" i="1" s="1"/>
  <c r="M276" i="1"/>
  <c r="N276" i="1" s="1"/>
  <c r="O276" i="1" s="1"/>
  <c r="M140" i="1"/>
  <c r="N140" i="1" s="1"/>
  <c r="O140" i="1" s="1"/>
  <c r="M116" i="1"/>
  <c r="N116" i="1" s="1"/>
  <c r="O116" i="1" s="1"/>
  <c r="M20" i="1"/>
  <c r="N20" i="1" s="1"/>
  <c r="O20" i="1" s="1"/>
  <c r="L448" i="1"/>
  <c r="M448" i="1" s="1"/>
  <c r="N448" i="1" s="1"/>
  <c r="O448" i="1" s="1"/>
  <c r="M107" i="1"/>
  <c r="N107" i="1" s="1"/>
  <c r="O107" i="1" s="1"/>
  <c r="M203" i="1"/>
  <c r="N203" i="1" s="1"/>
  <c r="O203" i="1" s="1"/>
  <c r="M467" i="1"/>
  <c r="N467" i="1" s="1"/>
  <c r="O467" i="1" s="1"/>
  <c r="M363" i="1"/>
  <c r="N363" i="1" s="1"/>
  <c r="O363" i="1" s="1"/>
  <c r="M403" i="1"/>
  <c r="N403" i="1" s="1"/>
  <c r="O403" i="1" s="1"/>
  <c r="M299" i="1"/>
  <c r="N299" i="1" s="1"/>
  <c r="O299" i="1" s="1"/>
  <c r="M371" i="1"/>
  <c r="N371" i="1" s="1"/>
  <c r="O371" i="1" s="1"/>
  <c r="M339" i="1"/>
  <c r="N339" i="1" s="1"/>
  <c r="O339" i="1" s="1"/>
  <c r="M307" i="1"/>
  <c r="N307" i="1" s="1"/>
  <c r="O307" i="1" s="1"/>
  <c r="M275" i="1"/>
  <c r="N275" i="1" s="1"/>
  <c r="O275" i="1" s="1"/>
  <c r="M11" i="1"/>
  <c r="N11" i="1" s="1"/>
  <c r="O11" i="1" s="1"/>
  <c r="M115" i="1"/>
  <c r="N115" i="1" s="1"/>
  <c r="O115" i="1" s="1"/>
  <c r="M83" i="1"/>
  <c r="N83" i="1" s="1"/>
  <c r="O83" i="1" s="1"/>
  <c r="M51" i="1"/>
  <c r="N51" i="1" s="1"/>
  <c r="O51" i="1" s="1"/>
  <c r="M19" i="1"/>
  <c r="N19" i="1" s="1"/>
  <c r="O19" i="1" s="1"/>
  <c r="M347" i="1"/>
  <c r="N347" i="1" s="1"/>
  <c r="O347" i="1" s="1"/>
  <c r="M315" i="1"/>
  <c r="N315" i="1" s="1"/>
  <c r="O315" i="1" s="1"/>
  <c r="M283" i="1"/>
  <c r="N283" i="1" s="1"/>
  <c r="O283" i="1" s="1"/>
  <c r="M123" i="1"/>
  <c r="N123" i="1" s="1"/>
  <c r="O123" i="1" s="1"/>
  <c r="M91" i="1"/>
  <c r="N91" i="1" s="1"/>
  <c r="O91" i="1" s="1"/>
  <c r="M59" i="1"/>
  <c r="N59" i="1" s="1"/>
  <c r="O59" i="1" s="1"/>
  <c r="M355" i="1"/>
  <c r="N355" i="1" s="1"/>
  <c r="O355" i="1" s="1"/>
  <c r="M323" i="1"/>
  <c r="N323" i="1" s="1"/>
  <c r="O323" i="1" s="1"/>
  <c r="M291" i="1"/>
  <c r="N291" i="1" s="1"/>
  <c r="O291" i="1" s="1"/>
  <c r="S2" i="3" l="1"/>
  <c r="T2" i="3" s="1"/>
  <c r="R70" i="3"/>
  <c r="S70" i="3" s="1"/>
  <c r="T70" i="3" s="1"/>
  <c r="Q70" i="3"/>
  <c r="R399" i="3"/>
  <c r="S399" i="3" s="1"/>
  <c r="T399" i="3" s="1"/>
  <c r="Q399" i="3"/>
  <c r="R61" i="3"/>
  <c r="S61" i="3" s="1"/>
  <c r="T61" i="3" s="1"/>
  <c r="Q61" i="3"/>
  <c r="R493" i="3"/>
  <c r="S493" i="3" s="1"/>
  <c r="T493" i="3" s="1"/>
  <c r="Q493" i="3"/>
  <c r="R429" i="3"/>
  <c r="S429" i="3" s="1"/>
  <c r="T429" i="3" s="1"/>
  <c r="Q429" i="3"/>
  <c r="R301" i="3"/>
  <c r="S301" i="3" s="1"/>
  <c r="T301" i="3" s="1"/>
  <c r="Q301" i="3"/>
  <c r="R239" i="3"/>
  <c r="S239" i="3" s="1"/>
  <c r="T239" i="3" s="1"/>
  <c r="Q239" i="3"/>
  <c r="R452" i="3"/>
  <c r="S452" i="3" s="1"/>
  <c r="T452" i="3" s="1"/>
  <c r="Q452" i="3"/>
  <c r="R198" i="3"/>
  <c r="S198" i="3" s="1"/>
  <c r="T198" i="3" s="1"/>
  <c r="Q198" i="3"/>
  <c r="R485" i="3"/>
  <c r="S485" i="3" s="1"/>
  <c r="T485" i="3" s="1"/>
  <c r="Q485" i="3"/>
  <c r="R252" i="3"/>
  <c r="S252" i="3" s="1"/>
  <c r="T252" i="3" s="1"/>
  <c r="Q252" i="3"/>
  <c r="R50" i="3"/>
  <c r="S50" i="3" s="1"/>
  <c r="T50" i="3" s="1"/>
  <c r="Q50" i="3"/>
  <c r="R115" i="3"/>
  <c r="S115" i="3" s="1"/>
  <c r="T115" i="3" s="1"/>
  <c r="Q115" i="3"/>
  <c r="R179" i="3"/>
  <c r="S179" i="3" s="1"/>
  <c r="T179" i="3" s="1"/>
  <c r="Q179" i="3"/>
  <c r="R4" i="3"/>
  <c r="S4" i="3" s="1"/>
  <c r="T4" i="3" s="1"/>
  <c r="Q4" i="3"/>
  <c r="R77" i="3"/>
  <c r="S77" i="3" s="1"/>
  <c r="T77" i="3" s="1"/>
  <c r="Q77" i="3"/>
  <c r="R30" i="3"/>
  <c r="S30" i="3" s="1"/>
  <c r="T30" i="3" s="1"/>
  <c r="Q30" i="3"/>
  <c r="R94" i="3"/>
  <c r="S94" i="3" s="1"/>
  <c r="T94" i="3" s="1"/>
  <c r="Q94" i="3"/>
  <c r="R158" i="3"/>
  <c r="S158" i="3" s="1"/>
  <c r="T158" i="3" s="1"/>
  <c r="Q158" i="3"/>
  <c r="R222" i="3"/>
  <c r="S222" i="3" s="1"/>
  <c r="T222" i="3" s="1"/>
  <c r="Q222" i="3"/>
  <c r="R564" i="3"/>
  <c r="S564" i="3" s="1"/>
  <c r="T564" i="3" s="1"/>
  <c r="Q564" i="3"/>
  <c r="R243" i="3"/>
  <c r="S243" i="3" s="1"/>
  <c r="T243" i="3" s="1"/>
  <c r="Q243" i="3"/>
  <c r="R119" i="3"/>
  <c r="S119" i="3" s="1"/>
  <c r="T119" i="3" s="1"/>
  <c r="Q119" i="3"/>
  <c r="R331" i="3"/>
  <c r="S331" i="3" s="1"/>
  <c r="T331" i="3" s="1"/>
  <c r="Q331" i="3"/>
  <c r="R448" i="3"/>
  <c r="S448" i="3" s="1"/>
  <c r="T448" i="3" s="1"/>
  <c r="Q448" i="3"/>
  <c r="R134" i="3"/>
  <c r="S134" i="3" s="1"/>
  <c r="T134" i="3" s="1"/>
  <c r="Q134" i="3"/>
  <c r="R271" i="3"/>
  <c r="S271" i="3" s="1"/>
  <c r="T271" i="3" s="1"/>
  <c r="Q271" i="3"/>
  <c r="R85" i="3"/>
  <c r="S85" i="3" s="1"/>
  <c r="T85" i="3" s="1"/>
  <c r="Q85" i="3"/>
  <c r="R38" i="3"/>
  <c r="S38" i="3" s="1"/>
  <c r="T38" i="3" s="1"/>
  <c r="Q38" i="3"/>
  <c r="R102" i="3"/>
  <c r="S102" i="3" s="1"/>
  <c r="T102" i="3" s="1"/>
  <c r="Q102" i="3"/>
  <c r="R166" i="3"/>
  <c r="S166" i="3" s="1"/>
  <c r="T166" i="3" s="1"/>
  <c r="Q166" i="3"/>
  <c r="R230" i="3"/>
  <c r="S230" i="3" s="1"/>
  <c r="T230" i="3" s="1"/>
  <c r="Q230" i="3"/>
  <c r="R559" i="3"/>
  <c r="S559" i="3" s="1"/>
  <c r="T559" i="3" s="1"/>
  <c r="Q559" i="3"/>
  <c r="R367" i="3"/>
  <c r="S367" i="3" s="1"/>
  <c r="T367" i="3" s="1"/>
  <c r="Q367" i="3"/>
  <c r="R428" i="3"/>
  <c r="S428" i="3" s="1"/>
  <c r="T428" i="3" s="1"/>
  <c r="Q428" i="3"/>
  <c r="R579" i="3"/>
  <c r="S579" i="3" s="1"/>
  <c r="T579" i="3" s="1"/>
  <c r="Q579" i="3"/>
  <c r="R387" i="3"/>
  <c r="S387" i="3" s="1"/>
  <c r="T387" i="3" s="1"/>
  <c r="Q387" i="3"/>
  <c r="R18" i="3"/>
  <c r="S18" i="3" s="1"/>
  <c r="T18" i="3" s="1"/>
  <c r="Q18" i="3"/>
  <c r="R82" i="3"/>
  <c r="S82" i="3" s="1"/>
  <c r="T82" i="3" s="1"/>
  <c r="Q82" i="3"/>
  <c r="R195" i="3"/>
  <c r="S195" i="3" s="1"/>
  <c r="T195" i="3" s="1"/>
  <c r="Q195" i="3"/>
  <c r="R221" i="3"/>
  <c r="S221" i="3" s="1"/>
  <c r="T221" i="3" s="1"/>
  <c r="Q221" i="3"/>
  <c r="R270" i="3"/>
  <c r="S270" i="3" s="1"/>
  <c r="T270" i="3" s="1"/>
  <c r="Q270" i="3"/>
  <c r="R589" i="3"/>
  <c r="S589" i="3" s="1"/>
  <c r="T589" i="3" s="1"/>
  <c r="Q589" i="3"/>
  <c r="R525" i="3"/>
  <c r="S525" i="3" s="1"/>
  <c r="T525" i="3" s="1"/>
  <c r="Q525" i="3"/>
  <c r="R269" i="3"/>
  <c r="S269" i="3" s="1"/>
  <c r="T269" i="3" s="1"/>
  <c r="Q269" i="3"/>
  <c r="R443" i="3"/>
  <c r="S443" i="3" s="1"/>
  <c r="T443" i="3" s="1"/>
  <c r="Q443" i="3"/>
  <c r="R315" i="3"/>
  <c r="S315" i="3" s="1"/>
  <c r="T315" i="3" s="1"/>
  <c r="Q315" i="3"/>
  <c r="R251" i="3"/>
  <c r="S251" i="3" s="1"/>
  <c r="T251" i="3" s="1"/>
  <c r="Q251" i="3"/>
  <c r="R368" i="3"/>
  <c r="S368" i="3" s="1"/>
  <c r="T368" i="3" s="1"/>
  <c r="Q368" i="3"/>
  <c r="R139" i="3"/>
  <c r="S139" i="3" s="1"/>
  <c r="T139" i="3" s="1"/>
  <c r="Q139" i="3"/>
  <c r="R37" i="3"/>
  <c r="S37" i="3" s="1"/>
  <c r="T37" i="3" s="1"/>
  <c r="Q37" i="3"/>
  <c r="R412" i="3"/>
  <c r="S412" i="3" s="1"/>
  <c r="T412" i="3" s="1"/>
  <c r="Q412" i="3"/>
  <c r="R62" i="3"/>
  <c r="S62" i="3" s="1"/>
  <c r="T62" i="3" s="1"/>
  <c r="Q62" i="3"/>
  <c r="R126" i="3"/>
  <c r="S126" i="3" s="1"/>
  <c r="T126" i="3" s="1"/>
  <c r="Q126" i="3"/>
  <c r="R190" i="3"/>
  <c r="S190" i="3" s="1"/>
  <c r="T190" i="3" s="1"/>
  <c r="Q190" i="3"/>
  <c r="R254" i="3"/>
  <c r="S254" i="3" s="1"/>
  <c r="T254" i="3" s="1"/>
  <c r="Q254" i="3"/>
  <c r="R573" i="3"/>
  <c r="S573" i="3" s="1"/>
  <c r="T573" i="3" s="1"/>
  <c r="Q573" i="3"/>
  <c r="R445" i="3"/>
  <c r="S445" i="3" s="1"/>
  <c r="T445" i="3" s="1"/>
  <c r="Q445" i="3"/>
  <c r="R317" i="3"/>
  <c r="S317" i="3" s="1"/>
  <c r="T317" i="3" s="1"/>
  <c r="Q317" i="3"/>
  <c r="R55" i="3"/>
  <c r="S55" i="3" s="1"/>
  <c r="T55" i="3" s="1"/>
  <c r="Q55" i="3"/>
  <c r="R363" i="3"/>
  <c r="S363" i="3" s="1"/>
  <c r="T363" i="3" s="1"/>
  <c r="Q363" i="3"/>
  <c r="R312" i="3"/>
  <c r="S312" i="3" s="1"/>
  <c r="T312" i="3" s="1"/>
  <c r="Q312" i="3"/>
  <c r="R384" i="3"/>
  <c r="S384" i="3" s="1"/>
  <c r="T384" i="3" s="1"/>
  <c r="Q384" i="3"/>
  <c r="R424" i="3"/>
  <c r="S424" i="3" s="1"/>
  <c r="T424" i="3" s="1"/>
  <c r="Q424" i="3"/>
  <c r="S47" i="3"/>
  <c r="T47" i="3" s="1"/>
  <c r="S544" i="3"/>
  <c r="T544" i="3" s="1"/>
  <c r="S336" i="3"/>
  <c r="T336" i="3" s="1"/>
  <c r="S552" i="3"/>
  <c r="T552" i="3" s="1"/>
  <c r="S592" i="3"/>
  <c r="T592" i="3" s="1"/>
  <c r="S587" i="3"/>
  <c r="T587" i="3" s="1"/>
  <c r="S584" i="3"/>
  <c r="T584" i="3" s="1"/>
  <c r="S360" i="3"/>
  <c r="T360" i="3" s="1"/>
  <c r="S560" i="3"/>
  <c r="T560" i="3" s="1"/>
  <c r="S362" i="3"/>
  <c r="T362" i="3" s="1"/>
  <c r="S458" i="3"/>
  <c r="T458" i="3" s="1"/>
  <c r="S426" i="3"/>
  <c r="T426" i="3" s="1"/>
  <c r="S522" i="3"/>
  <c r="T522" i="3" s="1"/>
  <c r="S528" i="3"/>
  <c r="T528" i="3" s="1"/>
  <c r="S576" i="3"/>
  <c r="T576" i="3" s="1"/>
  <c r="S490" i="3"/>
  <c r="T490" i="3" s="1"/>
  <c r="S586" i="3"/>
  <c r="T586" i="3" s="1"/>
  <c r="S554" i="3"/>
  <c r="T554" i="3" s="1"/>
  <c r="R456" i="3"/>
  <c r="R464" i="3"/>
  <c r="R488" i="3"/>
  <c r="R512" i="3"/>
  <c r="R416" i="3"/>
  <c r="R129" i="3"/>
  <c r="R520" i="3"/>
  <c r="R422" i="3"/>
  <c r="R28" i="3"/>
  <c r="R330" i="3"/>
  <c r="R358" i="3"/>
  <c r="R352" i="3"/>
  <c r="R400" i="3"/>
  <c r="R27" i="3"/>
  <c r="R212" i="3"/>
  <c r="R174" i="3"/>
  <c r="R585" i="3"/>
  <c r="R160" i="3"/>
  <c r="R218" i="3"/>
  <c r="R397" i="3"/>
  <c r="R548" i="3"/>
  <c r="R215" i="3"/>
  <c r="R248" i="3"/>
  <c r="R570" i="3"/>
  <c r="R328" i="3"/>
  <c r="R394" i="3"/>
  <c r="R11" i="3"/>
  <c r="R75" i="3"/>
  <c r="R203" i="3"/>
  <c r="R92" i="3"/>
  <c r="R220" i="3"/>
  <c r="R101" i="3"/>
  <c r="R165" i="3"/>
  <c r="R229" i="3"/>
  <c r="R54" i="3"/>
  <c r="R118" i="3"/>
  <c r="R182" i="3"/>
  <c r="R7" i="3"/>
  <c r="R530" i="3"/>
  <c r="R504" i="3"/>
  <c r="R290" i="3"/>
  <c r="R209" i="3"/>
  <c r="R81" i="3"/>
  <c r="R577" i="3"/>
  <c r="R513" i="3"/>
  <c r="R321" i="3"/>
  <c r="R257" i="3"/>
  <c r="R144" i="3"/>
  <c r="R16" i="3"/>
  <c r="R543" i="3"/>
  <c r="R479" i="3"/>
  <c r="R415" i="3"/>
  <c r="R351" i="3"/>
  <c r="R287" i="3"/>
  <c r="R74" i="3"/>
  <c r="R582" i="3"/>
  <c r="R518" i="3"/>
  <c r="R454" i="3"/>
  <c r="R390" i="3"/>
  <c r="R326" i="3"/>
  <c r="R262" i="3"/>
  <c r="R153" i="3"/>
  <c r="R25" i="3"/>
  <c r="R581" i="3"/>
  <c r="R517" i="3"/>
  <c r="R453" i="3"/>
  <c r="R389" i="3"/>
  <c r="R325" i="3"/>
  <c r="R261" i="3"/>
  <c r="R152" i="3"/>
  <c r="R24" i="3"/>
  <c r="R15" i="3"/>
  <c r="R540" i="3"/>
  <c r="R476" i="3"/>
  <c r="R348" i="3"/>
  <c r="R284" i="3"/>
  <c r="R199" i="3"/>
  <c r="R71" i="3"/>
  <c r="R207" i="3"/>
  <c r="R563" i="3"/>
  <c r="R499" i="3"/>
  <c r="R435" i="3"/>
  <c r="R371" i="3"/>
  <c r="R307" i="3"/>
  <c r="R242" i="3"/>
  <c r="R114" i="3"/>
  <c r="R346" i="3"/>
  <c r="R602" i="3"/>
  <c r="R546" i="3"/>
  <c r="R12" i="3"/>
  <c r="R202" i="3"/>
  <c r="R382" i="3"/>
  <c r="R461" i="3"/>
  <c r="R392" i="3"/>
  <c r="R67" i="3"/>
  <c r="R225" i="3"/>
  <c r="R265" i="3"/>
  <c r="R295" i="3"/>
  <c r="R398" i="3"/>
  <c r="R40" i="3"/>
  <c r="R292" i="3"/>
  <c r="R130" i="3"/>
  <c r="R147" i="3"/>
  <c r="R36" i="3"/>
  <c r="R100" i="3"/>
  <c r="R164" i="3"/>
  <c r="R228" i="3"/>
  <c r="R45" i="3"/>
  <c r="R109" i="3"/>
  <c r="R173" i="3"/>
  <c r="R237" i="3"/>
  <c r="R8" i="3"/>
  <c r="R562" i="3"/>
  <c r="R536" i="3"/>
  <c r="R282" i="3"/>
  <c r="R65" i="3"/>
  <c r="R569" i="3"/>
  <c r="R505" i="3"/>
  <c r="R441" i="3"/>
  <c r="R377" i="3"/>
  <c r="R313" i="3"/>
  <c r="R249" i="3"/>
  <c r="R128" i="3"/>
  <c r="R599" i="3"/>
  <c r="R535" i="3"/>
  <c r="R471" i="3"/>
  <c r="R407" i="3"/>
  <c r="R343" i="3"/>
  <c r="R279" i="3"/>
  <c r="R186" i="3"/>
  <c r="R58" i="3"/>
  <c r="R137" i="3"/>
  <c r="R9" i="3"/>
  <c r="R509" i="3"/>
  <c r="R381" i="3"/>
  <c r="R253" i="3"/>
  <c r="R136" i="3"/>
  <c r="R296" i="3"/>
  <c r="R596" i="3"/>
  <c r="R532" i="3"/>
  <c r="R468" i="3"/>
  <c r="R404" i="3"/>
  <c r="R340" i="3"/>
  <c r="R276" i="3"/>
  <c r="R183" i="3"/>
  <c r="R175" i="3"/>
  <c r="R555" i="3"/>
  <c r="R491" i="3"/>
  <c r="R427" i="3"/>
  <c r="R299" i="3"/>
  <c r="R226" i="3"/>
  <c r="R98" i="3"/>
  <c r="R320" i="3"/>
  <c r="R578" i="3"/>
  <c r="R131" i="3"/>
  <c r="R46" i="3"/>
  <c r="R97" i="3"/>
  <c r="R551" i="3"/>
  <c r="R496" i="3"/>
  <c r="R91" i="3"/>
  <c r="R219" i="3"/>
  <c r="R44" i="3"/>
  <c r="R108" i="3"/>
  <c r="R172" i="3"/>
  <c r="R236" i="3"/>
  <c r="R53" i="3"/>
  <c r="R117" i="3"/>
  <c r="R181" i="3"/>
  <c r="R6" i="3"/>
  <c r="R338" i="3"/>
  <c r="R594" i="3"/>
  <c r="R568" i="3"/>
  <c r="R274" i="3"/>
  <c r="R177" i="3"/>
  <c r="R49" i="3"/>
  <c r="R561" i="3"/>
  <c r="R497" i="3"/>
  <c r="R433" i="3"/>
  <c r="R369" i="3"/>
  <c r="R305" i="3"/>
  <c r="R240" i="3"/>
  <c r="R112" i="3"/>
  <c r="R591" i="3"/>
  <c r="R527" i="3"/>
  <c r="R463" i="3"/>
  <c r="R335" i="3"/>
  <c r="R170" i="3"/>
  <c r="R42" i="3"/>
  <c r="R566" i="3"/>
  <c r="R502" i="3"/>
  <c r="R438" i="3"/>
  <c r="R374" i="3"/>
  <c r="R246" i="3"/>
  <c r="R121" i="3"/>
  <c r="R288" i="3"/>
  <c r="R565" i="3"/>
  <c r="R501" i="3"/>
  <c r="R437" i="3"/>
  <c r="R309" i="3"/>
  <c r="R245" i="3"/>
  <c r="R120" i="3"/>
  <c r="R272" i="3"/>
  <c r="R588" i="3"/>
  <c r="R524" i="3"/>
  <c r="R460" i="3"/>
  <c r="R396" i="3"/>
  <c r="R332" i="3"/>
  <c r="R268" i="3"/>
  <c r="R167" i="3"/>
  <c r="R39" i="3"/>
  <c r="R143" i="3"/>
  <c r="R547" i="3"/>
  <c r="R483" i="3"/>
  <c r="R419" i="3"/>
  <c r="R355" i="3"/>
  <c r="R291" i="3"/>
  <c r="R210" i="3"/>
  <c r="R410" i="3"/>
  <c r="R354" i="3"/>
  <c r="R76" i="3"/>
  <c r="R446" i="3"/>
  <c r="R193" i="3"/>
  <c r="R155" i="3"/>
  <c r="R93" i="3"/>
  <c r="R498" i="3"/>
  <c r="R457" i="3"/>
  <c r="R359" i="3"/>
  <c r="R462" i="3"/>
  <c r="R95" i="3"/>
  <c r="R571" i="3"/>
  <c r="R480" i="3"/>
  <c r="R35" i="3"/>
  <c r="R99" i="3"/>
  <c r="R163" i="3"/>
  <c r="R227" i="3"/>
  <c r="R52" i="3"/>
  <c r="R116" i="3"/>
  <c r="R180" i="3"/>
  <c r="R244" i="3"/>
  <c r="R125" i="3"/>
  <c r="R189" i="3"/>
  <c r="R14" i="3"/>
  <c r="R78" i="3"/>
  <c r="R142" i="3"/>
  <c r="R206" i="3"/>
  <c r="R370" i="3"/>
  <c r="R344" i="3"/>
  <c r="R600" i="3"/>
  <c r="R266" i="3"/>
  <c r="R161" i="3"/>
  <c r="R33" i="3"/>
  <c r="R553" i="3"/>
  <c r="R489" i="3"/>
  <c r="R425" i="3"/>
  <c r="R361" i="3"/>
  <c r="R297" i="3"/>
  <c r="R224" i="3"/>
  <c r="R96" i="3"/>
  <c r="R583" i="3"/>
  <c r="R519" i="3"/>
  <c r="R455" i="3"/>
  <c r="R391" i="3"/>
  <c r="R327" i="3"/>
  <c r="R263" i="3"/>
  <c r="R154" i="3"/>
  <c r="R26" i="3"/>
  <c r="R558" i="3"/>
  <c r="R494" i="3"/>
  <c r="R430" i="3"/>
  <c r="R366" i="3"/>
  <c r="R302" i="3"/>
  <c r="R233" i="3"/>
  <c r="R105" i="3"/>
  <c r="R264" i="3"/>
  <c r="R557" i="3"/>
  <c r="R365" i="3"/>
  <c r="R232" i="3"/>
  <c r="R104" i="3"/>
  <c r="R580" i="3"/>
  <c r="R516" i="3"/>
  <c r="R388" i="3"/>
  <c r="R324" i="3"/>
  <c r="R260" i="3"/>
  <c r="R111" i="3"/>
  <c r="R539" i="3"/>
  <c r="R475" i="3"/>
  <c r="R411" i="3"/>
  <c r="R347" i="3"/>
  <c r="R283" i="3"/>
  <c r="R194" i="3"/>
  <c r="R66" i="3"/>
  <c r="R442" i="3"/>
  <c r="R386" i="3"/>
  <c r="R13" i="3"/>
  <c r="R486" i="3"/>
  <c r="R357" i="3"/>
  <c r="R385" i="3"/>
  <c r="R84" i="3"/>
  <c r="R157" i="3"/>
  <c r="R472" i="3"/>
  <c r="R329" i="3"/>
  <c r="R423" i="3"/>
  <c r="R526" i="3"/>
  <c r="R41" i="3"/>
  <c r="R168" i="3"/>
  <c r="R356" i="3"/>
  <c r="R379" i="3"/>
  <c r="R83" i="3"/>
  <c r="R43" i="3"/>
  <c r="R107" i="3"/>
  <c r="R171" i="3"/>
  <c r="R235" i="3"/>
  <c r="R60" i="3"/>
  <c r="R124" i="3"/>
  <c r="R188" i="3"/>
  <c r="R5" i="3"/>
  <c r="R69" i="3"/>
  <c r="R133" i="3"/>
  <c r="R197" i="3"/>
  <c r="R22" i="3"/>
  <c r="R86" i="3"/>
  <c r="R150" i="3"/>
  <c r="R214" i="3"/>
  <c r="R402" i="3"/>
  <c r="R376" i="3"/>
  <c r="R322" i="3"/>
  <c r="R258" i="3"/>
  <c r="R145" i="3"/>
  <c r="R17" i="3"/>
  <c r="R545" i="3"/>
  <c r="R481" i="3"/>
  <c r="R417" i="3"/>
  <c r="R353" i="3"/>
  <c r="R289" i="3"/>
  <c r="R208" i="3"/>
  <c r="R80" i="3"/>
  <c r="R575" i="3"/>
  <c r="R511" i="3"/>
  <c r="R447" i="3"/>
  <c r="R383" i="3"/>
  <c r="R319" i="3"/>
  <c r="R255" i="3"/>
  <c r="R138" i="3"/>
  <c r="R10" i="3"/>
  <c r="R294" i="3"/>
  <c r="R217" i="3"/>
  <c r="R89" i="3"/>
  <c r="R223" i="3"/>
  <c r="R549" i="3"/>
  <c r="R421" i="3"/>
  <c r="R293" i="3"/>
  <c r="R216" i="3"/>
  <c r="R88" i="3"/>
  <c r="R191" i="3"/>
  <c r="R572" i="3"/>
  <c r="R508" i="3"/>
  <c r="R444" i="3"/>
  <c r="R380" i="3"/>
  <c r="R316" i="3"/>
  <c r="R135" i="3"/>
  <c r="R304" i="3"/>
  <c r="R31" i="3"/>
  <c r="R531" i="3"/>
  <c r="R467" i="3"/>
  <c r="R403" i="3"/>
  <c r="R339" i="3"/>
  <c r="R275" i="3"/>
  <c r="R178" i="3"/>
  <c r="R474" i="3"/>
  <c r="R418" i="3"/>
  <c r="R510" i="3"/>
  <c r="R449" i="3"/>
  <c r="R378" i="3"/>
  <c r="R3" i="3"/>
  <c r="R148" i="3"/>
  <c r="R110" i="3"/>
  <c r="R298" i="3"/>
  <c r="R393" i="3"/>
  <c r="R487" i="3"/>
  <c r="R590" i="3"/>
  <c r="R169" i="3"/>
  <c r="R333" i="3"/>
  <c r="R484" i="3"/>
  <c r="R87" i="3"/>
  <c r="R507" i="3"/>
  <c r="R514" i="3"/>
  <c r="R211" i="3"/>
  <c r="R51" i="3"/>
  <c r="R68" i="3"/>
  <c r="R132" i="3"/>
  <c r="R196" i="3"/>
  <c r="R141" i="3"/>
  <c r="R205" i="3"/>
  <c r="R434" i="3"/>
  <c r="R408" i="3"/>
  <c r="R314" i="3"/>
  <c r="R250" i="3"/>
  <c r="R601" i="3"/>
  <c r="R537" i="3"/>
  <c r="R473" i="3"/>
  <c r="R409" i="3"/>
  <c r="R345" i="3"/>
  <c r="R281" i="3"/>
  <c r="R192" i="3"/>
  <c r="R64" i="3"/>
  <c r="R567" i="3"/>
  <c r="R503" i="3"/>
  <c r="R439" i="3"/>
  <c r="R375" i="3"/>
  <c r="R311" i="3"/>
  <c r="R247" i="3"/>
  <c r="R122" i="3"/>
  <c r="R63" i="3"/>
  <c r="R542" i="3"/>
  <c r="R478" i="3"/>
  <c r="R414" i="3"/>
  <c r="R350" i="3"/>
  <c r="R286" i="3"/>
  <c r="R201" i="3"/>
  <c r="R73" i="3"/>
  <c r="R79" i="3"/>
  <c r="R541" i="3"/>
  <c r="R477" i="3"/>
  <c r="R413" i="3"/>
  <c r="R349" i="3"/>
  <c r="R285" i="3"/>
  <c r="R200" i="3"/>
  <c r="R72" i="3"/>
  <c r="R159" i="3"/>
  <c r="R500" i="3"/>
  <c r="R436" i="3"/>
  <c r="R308" i="3"/>
  <c r="R280" i="3"/>
  <c r="R595" i="3"/>
  <c r="R523" i="3"/>
  <c r="R459" i="3"/>
  <c r="R395" i="3"/>
  <c r="R267" i="3"/>
  <c r="R162" i="3"/>
  <c r="R34" i="3"/>
  <c r="R506" i="3"/>
  <c r="R450" i="3"/>
  <c r="R310" i="3"/>
  <c r="R550" i="3"/>
  <c r="R151" i="3"/>
  <c r="R373" i="3"/>
  <c r="R156" i="3"/>
  <c r="R20" i="3"/>
  <c r="R29" i="3"/>
  <c r="R238" i="3"/>
  <c r="R521" i="3"/>
  <c r="R32" i="3"/>
  <c r="R90" i="3"/>
  <c r="R334" i="3"/>
  <c r="R420" i="3"/>
  <c r="R432" i="3"/>
  <c r="R19" i="3"/>
  <c r="R59" i="3"/>
  <c r="R123" i="3"/>
  <c r="R187" i="3"/>
  <c r="R140" i="3"/>
  <c r="R204" i="3"/>
  <c r="R21" i="3"/>
  <c r="R149" i="3"/>
  <c r="R213" i="3"/>
  <c r="R466" i="3"/>
  <c r="R440" i="3"/>
  <c r="R306" i="3"/>
  <c r="R241" i="3"/>
  <c r="R113" i="3"/>
  <c r="R593" i="3"/>
  <c r="R529" i="3"/>
  <c r="R465" i="3"/>
  <c r="R401" i="3"/>
  <c r="R337" i="3"/>
  <c r="R273" i="3"/>
  <c r="R176" i="3"/>
  <c r="R48" i="3"/>
  <c r="R495" i="3"/>
  <c r="R431" i="3"/>
  <c r="R303" i="3"/>
  <c r="R234" i="3"/>
  <c r="R106" i="3"/>
  <c r="R598" i="3"/>
  <c r="R534" i="3"/>
  <c r="R470" i="3"/>
  <c r="R406" i="3"/>
  <c r="R342" i="3"/>
  <c r="R278" i="3"/>
  <c r="R185" i="3"/>
  <c r="R57" i="3"/>
  <c r="R597" i="3"/>
  <c r="R533" i="3"/>
  <c r="R469" i="3"/>
  <c r="R405" i="3"/>
  <c r="R341" i="3"/>
  <c r="R277" i="3"/>
  <c r="R184" i="3"/>
  <c r="R56" i="3"/>
  <c r="R127" i="3"/>
  <c r="R556" i="3"/>
  <c r="R492" i="3"/>
  <c r="R364" i="3"/>
  <c r="R300" i="3"/>
  <c r="R231" i="3"/>
  <c r="R103" i="3"/>
  <c r="R256" i="3"/>
  <c r="R515" i="3"/>
  <c r="R451" i="3"/>
  <c r="R323" i="3"/>
  <c r="R259" i="3"/>
  <c r="R146" i="3"/>
  <c r="R538" i="3"/>
  <c r="R482" i="3"/>
  <c r="R23" i="3"/>
  <c r="R318" i="3"/>
  <c r="R574" i="3"/>
  <c r="R372" i="3"/>
  <c r="Q2" i="3"/>
  <c r="K2" i="2"/>
  <c r="N2" i="2"/>
  <c r="P2" i="2" s="1"/>
  <c r="I91" i="2"/>
  <c r="I563" i="2"/>
  <c r="H377" i="2"/>
  <c r="N401" i="2"/>
  <c r="O401" i="2" s="1"/>
  <c r="I315" i="2"/>
  <c r="I249" i="2"/>
  <c r="I401" i="2"/>
  <c r="N570" i="2"/>
  <c r="P570" i="2" s="1"/>
  <c r="H33" i="2"/>
  <c r="N203" i="2"/>
  <c r="O203" i="2" s="1"/>
  <c r="I419" i="2"/>
  <c r="N138" i="2"/>
  <c r="O138" i="2" s="1"/>
  <c r="H402" i="2"/>
  <c r="H138" i="2"/>
  <c r="H594" i="2"/>
  <c r="I34" i="2"/>
  <c r="H162" i="2"/>
  <c r="I522" i="2"/>
  <c r="I33" i="2"/>
  <c r="I443" i="2"/>
  <c r="H34" i="2"/>
  <c r="I570" i="2"/>
  <c r="H394" i="2"/>
  <c r="H2" i="2"/>
  <c r="I145" i="2"/>
  <c r="H562" i="2"/>
  <c r="H273" i="2"/>
  <c r="H58" i="2"/>
  <c r="H145" i="2"/>
  <c r="N377" i="2"/>
  <c r="O377" i="2" s="1"/>
  <c r="I2" i="2"/>
  <c r="I203" i="2"/>
  <c r="I306" i="2"/>
  <c r="H547" i="2"/>
  <c r="I377" i="2"/>
  <c r="H563" i="2"/>
  <c r="H203" i="2"/>
  <c r="I562" i="2"/>
  <c r="N91" i="2"/>
  <c r="P91" i="2" s="1"/>
  <c r="I251" i="2"/>
  <c r="N249" i="2"/>
  <c r="O249" i="2" s="1"/>
  <c r="I355" i="2"/>
  <c r="N593" i="2"/>
  <c r="O593" i="2" s="1"/>
  <c r="I442" i="2"/>
  <c r="N33" i="2"/>
  <c r="P33" i="2" s="1"/>
  <c r="H291" i="2"/>
  <c r="N459" i="2"/>
  <c r="O459" i="2" s="1"/>
  <c r="H307" i="2"/>
  <c r="H347" i="2"/>
  <c r="H187" i="2"/>
  <c r="I561" i="2"/>
  <c r="I307" i="2"/>
  <c r="I459" i="2"/>
  <c r="H459" i="2"/>
  <c r="I187" i="2"/>
  <c r="I291" i="2"/>
  <c r="N306" i="2"/>
  <c r="P306" i="2" s="1"/>
  <c r="N562" i="2"/>
  <c r="O562" i="2" s="1"/>
  <c r="H355" i="2"/>
  <c r="H561" i="2"/>
  <c r="I35" i="2"/>
  <c r="I73" i="2"/>
  <c r="I433" i="2"/>
  <c r="I178" i="2"/>
  <c r="I266" i="2"/>
  <c r="H434" i="2"/>
  <c r="H251" i="2"/>
  <c r="H401" i="2"/>
  <c r="N505" i="2"/>
  <c r="O505" i="2" s="1"/>
  <c r="N35" i="2"/>
  <c r="P35" i="2" s="1"/>
  <c r="I121" i="2"/>
  <c r="I505" i="2"/>
  <c r="H178" i="2"/>
  <c r="I394" i="2"/>
  <c r="H522" i="2"/>
  <c r="H35" i="2"/>
  <c r="H505" i="2"/>
  <c r="I177" i="2"/>
  <c r="I402" i="2"/>
  <c r="I434" i="2"/>
  <c r="H50" i="2"/>
  <c r="H570" i="2"/>
  <c r="H121" i="2"/>
  <c r="N145" i="2"/>
  <c r="P145" i="2" s="1"/>
  <c r="N266" i="2"/>
  <c r="O266" i="2" s="1"/>
  <c r="I273" i="2"/>
  <c r="I138" i="2"/>
  <c r="I186" i="2"/>
  <c r="H266" i="2"/>
  <c r="H249" i="2"/>
  <c r="N273" i="2"/>
  <c r="P273" i="2" s="1"/>
  <c r="N402" i="2"/>
  <c r="O402" i="2" s="1"/>
  <c r="I547" i="2"/>
  <c r="H91" i="2"/>
  <c r="H443" i="2"/>
  <c r="N547" i="2"/>
  <c r="O547" i="2" s="1"/>
  <c r="I58" i="2"/>
  <c r="N563" i="2"/>
  <c r="O563" i="2" s="1"/>
  <c r="I289" i="2"/>
  <c r="I546" i="2"/>
  <c r="H306" i="2"/>
  <c r="N394" i="2"/>
  <c r="O394" i="2" s="1"/>
  <c r="I67" i="2"/>
  <c r="I50" i="2"/>
  <c r="N522" i="2"/>
  <c r="O522" i="2" s="1"/>
  <c r="I523" i="2"/>
  <c r="I305" i="2"/>
  <c r="N121" i="2"/>
  <c r="O121" i="2" s="1"/>
  <c r="N34" i="2"/>
  <c r="O34" i="2" s="1"/>
  <c r="H179" i="2"/>
  <c r="N315" i="2"/>
  <c r="O315" i="2" s="1"/>
  <c r="I587" i="2"/>
  <c r="H419" i="2"/>
  <c r="H315" i="2"/>
  <c r="N475" i="2"/>
  <c r="O475" i="2" s="1"/>
  <c r="N587" i="2"/>
  <c r="O587" i="2" s="1"/>
  <c r="I435" i="2"/>
  <c r="N50" i="2"/>
  <c r="O50" i="2" s="1"/>
  <c r="N178" i="2"/>
  <c r="O178" i="2" s="1"/>
  <c r="N435" i="2"/>
  <c r="O435" i="2" s="1"/>
  <c r="H475" i="2"/>
  <c r="I51" i="2"/>
  <c r="I417" i="2"/>
  <c r="I290" i="2"/>
  <c r="H546" i="2"/>
  <c r="H90" i="2"/>
  <c r="I593" i="2"/>
  <c r="H418" i="2"/>
  <c r="I594" i="2"/>
  <c r="I314" i="2"/>
  <c r="H442" i="2"/>
  <c r="I553" i="2"/>
  <c r="H329" i="2"/>
  <c r="N418" i="2"/>
  <c r="O418" i="2" s="1"/>
  <c r="I545" i="2"/>
  <c r="I3" i="2"/>
  <c r="N177" i="2"/>
  <c r="P177" i="2" s="1"/>
  <c r="I345" i="2"/>
  <c r="I346" i="2"/>
  <c r="I201" i="2"/>
  <c r="I602" i="2"/>
  <c r="H314" i="2"/>
  <c r="H417" i="2"/>
  <c r="H379" i="2"/>
  <c r="H545" i="2"/>
  <c r="N314" i="2"/>
  <c r="O314" i="2" s="1"/>
  <c r="N594" i="2"/>
  <c r="O594" i="2" s="1"/>
  <c r="H593" i="2"/>
  <c r="H67" i="2"/>
  <c r="H305" i="2"/>
  <c r="H163" i="2"/>
  <c r="I219" i="2"/>
  <c r="N163" i="2"/>
  <c r="P163" i="2" s="1"/>
  <c r="I475" i="2"/>
  <c r="I457" i="2"/>
  <c r="H602" i="2"/>
  <c r="H219" i="2"/>
  <c r="H289" i="2"/>
  <c r="I218" i="2"/>
  <c r="H587" i="2"/>
  <c r="H435" i="2"/>
  <c r="N419" i="2"/>
  <c r="P419" i="2" s="1"/>
  <c r="I267" i="2"/>
  <c r="K267" i="2"/>
  <c r="L267" i="2" s="1"/>
  <c r="H369" i="2"/>
  <c r="K369" i="2"/>
  <c r="L369" i="2" s="1"/>
  <c r="N497" i="2"/>
  <c r="O497" i="2" s="1"/>
  <c r="K497" i="2"/>
  <c r="L497" i="2" s="1"/>
  <c r="I330" i="2"/>
  <c r="K330" i="2"/>
  <c r="L330" i="2" s="1"/>
  <c r="I465" i="2"/>
  <c r="K465" i="2"/>
  <c r="L465" i="2" s="1"/>
  <c r="H177" i="2"/>
  <c r="K331" i="2"/>
  <c r="L331" i="2" s="1"/>
  <c r="K163" i="2"/>
  <c r="L163" i="2" s="1"/>
  <c r="K571" i="2"/>
  <c r="L571" i="2" s="1"/>
  <c r="I155" i="2"/>
  <c r="K155" i="2"/>
  <c r="L155" i="2" s="1"/>
  <c r="I129" i="2"/>
  <c r="K129" i="2"/>
  <c r="L129" i="2" s="1"/>
  <c r="I385" i="2"/>
  <c r="K385" i="2"/>
  <c r="L385" i="2" s="1"/>
  <c r="I115" i="2"/>
  <c r="K115" i="2"/>
  <c r="L115" i="2" s="1"/>
  <c r="H130" i="2"/>
  <c r="K130" i="2"/>
  <c r="L130" i="2" s="1"/>
  <c r="N9" i="2"/>
  <c r="O9" i="2" s="1"/>
  <c r="K9" i="2"/>
  <c r="L9" i="2" s="1"/>
  <c r="I506" i="2"/>
  <c r="K506" i="2"/>
  <c r="L506" i="2" s="1"/>
  <c r="K507" i="2"/>
  <c r="L507" i="2" s="1"/>
  <c r="H74" i="2"/>
  <c r="K74" i="2"/>
  <c r="H75" i="2"/>
  <c r="K75" i="2"/>
  <c r="L75" i="2" s="1"/>
  <c r="H441" i="2"/>
  <c r="K441" i="2"/>
  <c r="L441" i="2" s="1"/>
  <c r="I81" i="2"/>
  <c r="K81" i="2"/>
  <c r="L81" i="2" s="1"/>
  <c r="H42" i="2"/>
  <c r="K42" i="2"/>
  <c r="L42" i="2" s="1"/>
  <c r="I170" i="2"/>
  <c r="K170" i="2"/>
  <c r="L170" i="2" s="1"/>
  <c r="I426" i="2"/>
  <c r="K426" i="2"/>
  <c r="L426" i="2" s="1"/>
  <c r="I243" i="2"/>
  <c r="K243" i="2"/>
  <c r="L243" i="2" s="1"/>
  <c r="H43" i="2"/>
  <c r="K43" i="2"/>
  <c r="L43" i="2" s="1"/>
  <c r="H49" i="2"/>
  <c r="K49" i="2"/>
  <c r="L49" i="2" s="1"/>
  <c r="N154" i="2"/>
  <c r="O154" i="2" s="1"/>
  <c r="K154" i="2"/>
  <c r="L154" i="2" s="1"/>
  <c r="I410" i="2"/>
  <c r="K410" i="2"/>
  <c r="L410" i="2" s="1"/>
  <c r="I538" i="2"/>
  <c r="K538" i="2"/>
  <c r="L538" i="2" s="1"/>
  <c r="K27" i="2"/>
  <c r="L27" i="2" s="1"/>
  <c r="K137" i="2"/>
  <c r="L137" i="2" s="1"/>
  <c r="N265" i="2"/>
  <c r="O265" i="2" s="1"/>
  <c r="K265" i="2"/>
  <c r="L265" i="2" s="1"/>
  <c r="N393" i="2"/>
  <c r="P393" i="2" s="1"/>
  <c r="K393" i="2"/>
  <c r="L393" i="2" s="1"/>
  <c r="I521" i="2"/>
  <c r="K521" i="2"/>
  <c r="L521" i="2" s="1"/>
  <c r="I123" i="2"/>
  <c r="K123" i="2"/>
  <c r="L123" i="2" s="1"/>
  <c r="N11" i="2"/>
  <c r="P11" i="2" s="1"/>
  <c r="K11" i="2"/>
  <c r="L11" i="2" s="1"/>
  <c r="H98" i="2"/>
  <c r="K98" i="2"/>
  <c r="L98" i="2" s="1"/>
  <c r="H529" i="2"/>
  <c r="K529" i="2"/>
  <c r="L529" i="2" s="1"/>
  <c r="H433" i="2"/>
  <c r="N434" i="2"/>
  <c r="O434" i="2" s="1"/>
  <c r="K347" i="2"/>
  <c r="L347" i="2" s="1"/>
  <c r="K411" i="2"/>
  <c r="L411" i="2" s="1"/>
  <c r="K65" i="2"/>
  <c r="L65" i="2" s="1"/>
  <c r="K193" i="2"/>
  <c r="L193" i="2" s="1"/>
  <c r="K321" i="2"/>
  <c r="L321" i="2" s="1"/>
  <c r="K449" i="2"/>
  <c r="L449" i="2" s="1"/>
  <c r="K577" i="2"/>
  <c r="L577" i="2" s="1"/>
  <c r="K146" i="2"/>
  <c r="L146" i="2" s="1"/>
  <c r="K466" i="2"/>
  <c r="L466" i="2" s="1"/>
  <c r="K371" i="2"/>
  <c r="L371" i="2" s="1"/>
  <c r="K66" i="2"/>
  <c r="L66" i="2" s="1"/>
  <c r="H194" i="2"/>
  <c r="K194" i="2"/>
  <c r="L194" i="2" s="1"/>
  <c r="H322" i="2"/>
  <c r="K322" i="2"/>
  <c r="L322" i="2" s="1"/>
  <c r="H450" i="2"/>
  <c r="K450" i="2"/>
  <c r="L450" i="2" s="1"/>
  <c r="H578" i="2"/>
  <c r="K578" i="2"/>
  <c r="L578" i="2" s="1"/>
  <c r="K297" i="2"/>
  <c r="L297" i="2" s="1"/>
  <c r="K553" i="2"/>
  <c r="L553" i="2" s="1"/>
  <c r="K523" i="2"/>
  <c r="L523" i="2" s="1"/>
  <c r="H66" i="2"/>
  <c r="H297" i="2"/>
  <c r="N251" i="2"/>
  <c r="O251" i="2" s="1"/>
  <c r="K539" i="2"/>
  <c r="L539" i="2" s="1"/>
  <c r="H106" i="2"/>
  <c r="K106" i="2"/>
  <c r="L106" i="2" s="1"/>
  <c r="H234" i="2"/>
  <c r="K234" i="2"/>
  <c r="L234" i="2" s="1"/>
  <c r="H362" i="2"/>
  <c r="K362" i="2"/>
  <c r="L362" i="2" s="1"/>
  <c r="I490" i="2"/>
  <c r="K490" i="2"/>
  <c r="L490" i="2" s="1"/>
  <c r="H18" i="2"/>
  <c r="K18" i="2"/>
  <c r="L18" i="2" s="1"/>
  <c r="K169" i="2"/>
  <c r="L169" i="2" s="1"/>
  <c r="K530" i="2"/>
  <c r="L530" i="2" s="1"/>
  <c r="I499" i="2"/>
  <c r="K499" i="2"/>
  <c r="L499" i="2" s="1"/>
  <c r="I89" i="2"/>
  <c r="K89" i="2"/>
  <c r="L89" i="2" s="1"/>
  <c r="N217" i="2"/>
  <c r="P217" i="2" s="1"/>
  <c r="K217" i="2"/>
  <c r="L217" i="2" s="1"/>
  <c r="N473" i="2"/>
  <c r="P473" i="2" s="1"/>
  <c r="K473" i="2"/>
  <c r="L473" i="2" s="1"/>
  <c r="K601" i="2"/>
  <c r="L601" i="2" s="1"/>
  <c r="K361" i="2"/>
  <c r="L361" i="2" s="1"/>
  <c r="K139" i="2"/>
  <c r="L139" i="2" s="1"/>
  <c r="K90" i="2"/>
  <c r="L90" i="2" s="1"/>
  <c r="H474" i="2"/>
  <c r="K474" i="2"/>
  <c r="L474" i="2" s="1"/>
  <c r="H483" i="2"/>
  <c r="K483" i="2"/>
  <c r="L483" i="2" s="1"/>
  <c r="K73" i="2"/>
  <c r="L73" i="2" s="1"/>
  <c r="K329" i="2"/>
  <c r="L329" i="2" s="1"/>
  <c r="K585" i="2"/>
  <c r="L585" i="2" s="1"/>
  <c r="K379" i="2"/>
  <c r="L379" i="2" s="1"/>
  <c r="H161" i="2"/>
  <c r="K161" i="2"/>
  <c r="L161" i="2" s="1"/>
  <c r="K57" i="2"/>
  <c r="L57" i="2" s="1"/>
  <c r="K162" i="2"/>
  <c r="L162" i="2" s="1"/>
  <c r="K290" i="2"/>
  <c r="L290" i="2" s="1"/>
  <c r="K418" i="2"/>
  <c r="L418" i="2" s="1"/>
  <c r="K186" i="2"/>
  <c r="L186" i="2" s="1"/>
  <c r="K442" i="2"/>
  <c r="L442" i="2" s="1"/>
  <c r="I106" i="2"/>
  <c r="I466" i="2"/>
  <c r="H361" i="2"/>
  <c r="H146" i="2"/>
  <c r="H601" i="2"/>
  <c r="N433" i="2"/>
  <c r="O433" i="2" s="1"/>
  <c r="N561" i="2"/>
  <c r="O561" i="2" s="1"/>
  <c r="N73" i="2"/>
  <c r="O73" i="2" s="1"/>
  <c r="N355" i="2"/>
  <c r="O355" i="2" s="1"/>
  <c r="I321" i="2"/>
  <c r="I449" i="2"/>
  <c r="N346" i="2"/>
  <c r="O346" i="2" s="1"/>
  <c r="N3" i="2"/>
  <c r="O3" i="2" s="1"/>
  <c r="N305" i="2"/>
  <c r="O305" i="2" s="1"/>
  <c r="N602" i="2"/>
  <c r="O602" i="2" s="1"/>
  <c r="H539" i="2"/>
  <c r="N322" i="2"/>
  <c r="O322" i="2" s="1"/>
  <c r="H371" i="2"/>
  <c r="H193" i="2"/>
  <c r="N146" i="2"/>
  <c r="P146" i="2" s="1"/>
  <c r="H466" i="2"/>
  <c r="N194" i="2"/>
  <c r="O194" i="2" s="1"/>
  <c r="N27" i="2"/>
  <c r="O27" i="2" s="1"/>
  <c r="I265" i="2"/>
  <c r="I179" i="2"/>
  <c r="I331" i="2"/>
  <c r="I539" i="2"/>
  <c r="I169" i="2"/>
  <c r="I529" i="2"/>
  <c r="I474" i="2"/>
  <c r="H27" i="2"/>
  <c r="H457" i="2"/>
  <c r="N90" i="2"/>
  <c r="P90" i="2" s="1"/>
  <c r="N179" i="2"/>
  <c r="O179" i="2" s="1"/>
  <c r="N379" i="2"/>
  <c r="O379" i="2" s="1"/>
  <c r="I234" i="2"/>
  <c r="H346" i="2"/>
  <c r="H331" i="2"/>
  <c r="H169" i="2"/>
  <c r="N201" i="2"/>
  <c r="P201" i="2" s="1"/>
  <c r="N571" i="2"/>
  <c r="O571" i="2" s="1"/>
  <c r="I530" i="2"/>
  <c r="I362" i="2"/>
  <c r="H490" i="2"/>
  <c r="H499" i="2"/>
  <c r="I139" i="2"/>
  <c r="I571" i="2"/>
  <c r="I217" i="2"/>
  <c r="H530" i="2"/>
  <c r="H3" i="2"/>
  <c r="H57" i="2"/>
  <c r="H201" i="2"/>
  <c r="N585" i="2"/>
  <c r="O585" i="2" s="1"/>
  <c r="N162" i="2"/>
  <c r="O162" i="2" s="1"/>
  <c r="N219" i="2"/>
  <c r="O219" i="2" s="1"/>
  <c r="N331" i="2"/>
  <c r="P331" i="2" s="1"/>
  <c r="N297" i="2"/>
  <c r="P297" i="2" s="1"/>
  <c r="N530" i="2"/>
  <c r="P530" i="2" s="1"/>
  <c r="N371" i="2"/>
  <c r="O371" i="2" s="1"/>
  <c r="N361" i="2"/>
  <c r="O361" i="2" s="1"/>
  <c r="N139" i="2"/>
  <c r="O139" i="2" s="1"/>
  <c r="N411" i="2"/>
  <c r="O411" i="2" s="1"/>
  <c r="H449" i="2"/>
  <c r="N466" i="2"/>
  <c r="O466" i="2" s="1"/>
  <c r="H411" i="2"/>
  <c r="N66" i="2"/>
  <c r="P66" i="2" s="1"/>
  <c r="N578" i="2"/>
  <c r="P578" i="2" s="1"/>
  <c r="H577" i="2"/>
  <c r="N169" i="2"/>
  <c r="O169" i="2" s="1"/>
  <c r="N553" i="2"/>
  <c r="O553" i="2" s="1"/>
  <c r="N450" i="2"/>
  <c r="P450" i="2" s="1"/>
  <c r="H321" i="2"/>
  <c r="H65" i="2"/>
  <c r="N67" i="2"/>
  <c r="P67" i="2" s="1"/>
  <c r="N523" i="2"/>
  <c r="O523" i="2" s="1"/>
  <c r="J196" i="2"/>
  <c r="G196" i="2"/>
  <c r="J20" i="2"/>
  <c r="G20" i="2"/>
  <c r="I20" i="2" s="1"/>
  <c r="J84" i="2"/>
  <c r="G84" i="2"/>
  <c r="J148" i="2"/>
  <c r="G148" i="2"/>
  <c r="K148" i="2" s="1"/>
  <c r="J212" i="2"/>
  <c r="G212" i="2"/>
  <c r="K212" i="2" s="1"/>
  <c r="J276" i="2"/>
  <c r="G276" i="2"/>
  <c r="K276" i="2" s="1"/>
  <c r="J340" i="2"/>
  <c r="G340" i="2"/>
  <c r="J404" i="2"/>
  <c r="G404" i="2"/>
  <c r="J468" i="2"/>
  <c r="G468" i="2"/>
  <c r="I468" i="2" s="1"/>
  <c r="J532" i="2"/>
  <c r="G532" i="2"/>
  <c r="K532" i="2" s="1"/>
  <c r="J596" i="2"/>
  <c r="G596" i="2"/>
  <c r="J61" i="2"/>
  <c r="G61" i="2"/>
  <c r="J125" i="2"/>
  <c r="G125" i="2"/>
  <c r="J189" i="2"/>
  <c r="G189" i="2"/>
  <c r="K189" i="2" s="1"/>
  <c r="J253" i="2"/>
  <c r="G253" i="2"/>
  <c r="J317" i="2"/>
  <c r="G317" i="2"/>
  <c r="J381" i="2"/>
  <c r="G381" i="2"/>
  <c r="J445" i="2"/>
  <c r="G445" i="2"/>
  <c r="K445" i="2" s="1"/>
  <c r="J509" i="2"/>
  <c r="G509" i="2"/>
  <c r="K509" i="2" s="1"/>
  <c r="J573" i="2"/>
  <c r="G573" i="2"/>
  <c r="J38" i="2"/>
  <c r="G38" i="2"/>
  <c r="K38" i="2" s="1"/>
  <c r="J102" i="2"/>
  <c r="G102" i="2"/>
  <c r="K102" i="2" s="1"/>
  <c r="J166" i="2"/>
  <c r="G166" i="2"/>
  <c r="J230" i="2"/>
  <c r="G230" i="2"/>
  <c r="K230" i="2" s="1"/>
  <c r="J294" i="2"/>
  <c r="G294" i="2"/>
  <c r="K294" i="2" s="1"/>
  <c r="J358" i="2"/>
  <c r="G358" i="2"/>
  <c r="I358" i="2" s="1"/>
  <c r="J422" i="2"/>
  <c r="G422" i="2"/>
  <c r="J486" i="2"/>
  <c r="G486" i="2"/>
  <c r="J550" i="2"/>
  <c r="G550" i="2"/>
  <c r="I550" i="2" s="1"/>
  <c r="G15" i="2"/>
  <c r="J15" i="2"/>
  <c r="G79" i="2"/>
  <c r="J79" i="2"/>
  <c r="G143" i="2"/>
  <c r="K143" i="2" s="1"/>
  <c r="J143" i="2"/>
  <c r="G207" i="2"/>
  <c r="K207" i="2" s="1"/>
  <c r="J207" i="2"/>
  <c r="G271" i="2"/>
  <c r="I271" i="2" s="1"/>
  <c r="J271" i="2"/>
  <c r="G335" i="2"/>
  <c r="K335" i="2" s="1"/>
  <c r="J335" i="2"/>
  <c r="G399" i="2"/>
  <c r="K399" i="2" s="1"/>
  <c r="J399" i="2"/>
  <c r="G463" i="2"/>
  <c r="K463" i="2" s="1"/>
  <c r="J463" i="2"/>
  <c r="G527" i="2"/>
  <c r="K527" i="2" s="1"/>
  <c r="J527" i="2"/>
  <c r="G591" i="2"/>
  <c r="H591" i="2" s="1"/>
  <c r="J591" i="2"/>
  <c r="G56" i="2"/>
  <c r="K56" i="2" s="1"/>
  <c r="J56" i="2"/>
  <c r="G120" i="2"/>
  <c r="K120" i="2" s="1"/>
  <c r="J120" i="2"/>
  <c r="G184" i="2"/>
  <c r="J184" i="2"/>
  <c r="G248" i="2"/>
  <c r="K248" i="2" s="1"/>
  <c r="J248" i="2"/>
  <c r="G312" i="2"/>
  <c r="K312" i="2" s="1"/>
  <c r="J312" i="2"/>
  <c r="G376" i="2"/>
  <c r="J376" i="2"/>
  <c r="G440" i="2"/>
  <c r="K440" i="2" s="1"/>
  <c r="J440" i="2"/>
  <c r="G504" i="2"/>
  <c r="J504" i="2"/>
  <c r="G568" i="2"/>
  <c r="K568" i="2" s="1"/>
  <c r="J568" i="2"/>
  <c r="L283" i="2"/>
  <c r="H283" i="2"/>
  <c r="N42" i="2"/>
  <c r="O42" i="2" s="1"/>
  <c r="I42" i="2"/>
  <c r="N170" i="2"/>
  <c r="O170" i="2" s="1"/>
  <c r="L298" i="2"/>
  <c r="N298" i="2"/>
  <c r="P298" i="2" s="1"/>
  <c r="I298" i="2"/>
  <c r="H298" i="2"/>
  <c r="N426" i="2"/>
  <c r="P426" i="2" s="1"/>
  <c r="H426" i="2"/>
  <c r="L554" i="2"/>
  <c r="N554" i="2"/>
  <c r="O554" i="2" s="1"/>
  <c r="H554" i="2"/>
  <c r="I554" i="2"/>
  <c r="L82" i="2"/>
  <c r="H82" i="2"/>
  <c r="N82" i="2"/>
  <c r="O82" i="2" s="1"/>
  <c r="I82" i="2"/>
  <c r="L338" i="2"/>
  <c r="I338" i="2"/>
  <c r="N338" i="2"/>
  <c r="P338" i="2" s="1"/>
  <c r="N243" i="2"/>
  <c r="O243" i="2" s="1"/>
  <c r="N43" i="2"/>
  <c r="O43" i="2" s="1"/>
  <c r="L153" i="2"/>
  <c r="H153" i="2"/>
  <c r="N153" i="2"/>
  <c r="O153" i="2" s="1"/>
  <c r="I153" i="2"/>
  <c r="L281" i="2"/>
  <c r="H281" i="2"/>
  <c r="N281" i="2"/>
  <c r="O281" i="2" s="1"/>
  <c r="I281" i="2"/>
  <c r="L409" i="2"/>
  <c r="H409" i="2"/>
  <c r="N409" i="2"/>
  <c r="O409" i="2" s="1"/>
  <c r="I409" i="2"/>
  <c r="L537" i="2"/>
  <c r="H537" i="2"/>
  <c r="N537" i="2"/>
  <c r="O537" i="2" s="1"/>
  <c r="I537" i="2"/>
  <c r="L233" i="2"/>
  <c r="N233" i="2"/>
  <c r="O233" i="2" s="1"/>
  <c r="I233" i="2"/>
  <c r="H233" i="2"/>
  <c r="L489" i="2"/>
  <c r="N489" i="2"/>
  <c r="O489" i="2" s="1"/>
  <c r="H489" i="2"/>
  <c r="I489" i="2"/>
  <c r="L395" i="2"/>
  <c r="N395" i="2"/>
  <c r="O395" i="2" s="1"/>
  <c r="N49" i="2"/>
  <c r="P49" i="2" s="1"/>
  <c r="I49" i="2"/>
  <c r="H154" i="2"/>
  <c r="I154" i="2"/>
  <c r="L282" i="2"/>
  <c r="H282" i="2"/>
  <c r="I282" i="2"/>
  <c r="N410" i="2"/>
  <c r="P410" i="2" s="1"/>
  <c r="H410" i="2"/>
  <c r="N538" i="2"/>
  <c r="P538" i="2" s="1"/>
  <c r="H538" i="2"/>
  <c r="L227" i="2"/>
  <c r="N227" i="2"/>
  <c r="O227" i="2" s="1"/>
  <c r="H227" i="2"/>
  <c r="H265" i="2"/>
  <c r="H393" i="2"/>
  <c r="N521" i="2"/>
  <c r="O521" i="2" s="1"/>
  <c r="N123" i="2"/>
  <c r="O123" i="2" s="1"/>
  <c r="H123" i="2"/>
  <c r="L10" i="2"/>
  <c r="N10" i="2"/>
  <c r="P10" i="2" s="1"/>
  <c r="H10" i="2"/>
  <c r="I10" i="2"/>
  <c r="L97" i="2"/>
  <c r="N97" i="2"/>
  <c r="O97" i="2" s="1"/>
  <c r="H97" i="2"/>
  <c r="I97" i="2"/>
  <c r="L225" i="2"/>
  <c r="N225" i="2"/>
  <c r="O225" i="2" s="1"/>
  <c r="I225" i="2"/>
  <c r="L353" i="2"/>
  <c r="N353" i="2"/>
  <c r="O353" i="2" s="1"/>
  <c r="H353" i="2"/>
  <c r="I353" i="2"/>
  <c r="L481" i="2"/>
  <c r="N481" i="2"/>
  <c r="P481" i="2" s="1"/>
  <c r="H481" i="2"/>
  <c r="I481" i="2"/>
  <c r="H11" i="2"/>
  <c r="I98" i="2"/>
  <c r="N98" i="2"/>
  <c r="P98" i="2" s="1"/>
  <c r="L226" i="2"/>
  <c r="H226" i="2"/>
  <c r="I226" i="2"/>
  <c r="N226" i="2"/>
  <c r="P226" i="2" s="1"/>
  <c r="L354" i="2"/>
  <c r="H354" i="2"/>
  <c r="I354" i="2"/>
  <c r="N354" i="2"/>
  <c r="P354" i="2" s="1"/>
  <c r="L482" i="2"/>
  <c r="N482" i="2"/>
  <c r="O482" i="2" s="1"/>
  <c r="H482" i="2"/>
  <c r="L17" i="2"/>
  <c r="N17" i="2"/>
  <c r="O17" i="2" s="1"/>
  <c r="H17" i="2"/>
  <c r="L122" i="2"/>
  <c r="N122" i="2"/>
  <c r="O122" i="2" s="1"/>
  <c r="H122" i="2"/>
  <c r="I122" i="2"/>
  <c r="L250" i="2"/>
  <c r="N250" i="2"/>
  <c r="O250" i="2" s="1"/>
  <c r="I250" i="2"/>
  <c r="L378" i="2"/>
  <c r="N378" i="2"/>
  <c r="O378" i="2" s="1"/>
  <c r="I378" i="2"/>
  <c r="H378" i="2"/>
  <c r="N529" i="2"/>
  <c r="O529" i="2" s="1"/>
  <c r="L274" i="2"/>
  <c r="N274" i="2"/>
  <c r="P274" i="2" s="1"/>
  <c r="I274" i="2"/>
  <c r="I11" i="2"/>
  <c r="I75" i="2"/>
  <c r="I395" i="2"/>
  <c r="H170" i="2"/>
  <c r="H338" i="2"/>
  <c r="N137" i="2"/>
  <c r="P137" i="2" s="1"/>
  <c r="J68" i="2"/>
  <c r="G68" i="2"/>
  <c r="J260" i="2"/>
  <c r="G260" i="2"/>
  <c r="K260" i="2" s="1"/>
  <c r="J516" i="2"/>
  <c r="G516" i="2"/>
  <c r="J173" i="2"/>
  <c r="G173" i="2"/>
  <c r="J557" i="2"/>
  <c r="G557" i="2"/>
  <c r="J214" i="2"/>
  <c r="G214" i="2"/>
  <c r="J470" i="2"/>
  <c r="G470" i="2"/>
  <c r="J191" i="2"/>
  <c r="G191" i="2"/>
  <c r="G360" i="2"/>
  <c r="J360" i="2"/>
  <c r="L209" i="2"/>
  <c r="N209" i="2"/>
  <c r="P209" i="2" s="1"/>
  <c r="J324" i="2"/>
  <c r="G324" i="2"/>
  <c r="J580" i="2"/>
  <c r="G580" i="2"/>
  <c r="K580" i="2" s="1"/>
  <c r="J301" i="2"/>
  <c r="G301" i="2"/>
  <c r="J22" i="2"/>
  <c r="G22" i="2"/>
  <c r="J278" i="2"/>
  <c r="G278" i="2"/>
  <c r="K278" i="2" s="1"/>
  <c r="J598" i="2"/>
  <c r="G598" i="2"/>
  <c r="J255" i="2"/>
  <c r="G255" i="2"/>
  <c r="J447" i="2"/>
  <c r="G447" i="2"/>
  <c r="G168" i="2"/>
  <c r="I168" i="2" s="1"/>
  <c r="J168" i="2"/>
  <c r="G232" i="2"/>
  <c r="I232" i="2" s="1"/>
  <c r="J232" i="2"/>
  <c r="G488" i="2"/>
  <c r="J488" i="2"/>
  <c r="L19" i="2"/>
  <c r="N19" i="2"/>
  <c r="O19" i="2" s="1"/>
  <c r="H19" i="2"/>
  <c r="L257" i="2"/>
  <c r="N257" i="2"/>
  <c r="O257" i="2" s="1"/>
  <c r="H257" i="2"/>
  <c r="L513" i="2"/>
  <c r="N513" i="2"/>
  <c r="P513" i="2" s="1"/>
  <c r="H513" i="2"/>
  <c r="N115" i="2"/>
  <c r="O115" i="2" s="1"/>
  <c r="H115" i="2"/>
  <c r="N130" i="2"/>
  <c r="O130" i="2" s="1"/>
  <c r="I130" i="2"/>
  <c r="H514" i="2"/>
  <c r="L514" i="2"/>
  <c r="I514" i="2"/>
  <c r="N267" i="2"/>
  <c r="P267" i="2" s="1"/>
  <c r="H267" i="2"/>
  <c r="L241" i="2"/>
  <c r="N241" i="2"/>
  <c r="O241" i="2" s="1"/>
  <c r="I241" i="2"/>
  <c r="H241" i="2"/>
  <c r="L99" i="2"/>
  <c r="N99" i="2"/>
  <c r="O99" i="2" s="1"/>
  <c r="L114" i="2"/>
  <c r="N114" i="2"/>
  <c r="O114" i="2" s="1"/>
  <c r="H114" i="2"/>
  <c r="I114" i="2"/>
  <c r="L370" i="2"/>
  <c r="N370" i="2"/>
  <c r="O370" i="2" s="1"/>
  <c r="I370" i="2"/>
  <c r="H370" i="2"/>
  <c r="L498" i="2"/>
  <c r="N498" i="2"/>
  <c r="O498" i="2" s="1"/>
  <c r="H498" i="2"/>
  <c r="N506" i="2"/>
  <c r="O506" i="2" s="1"/>
  <c r="L202" i="2"/>
  <c r="N202" i="2"/>
  <c r="O202" i="2" s="1"/>
  <c r="H202" i="2"/>
  <c r="I202" i="2"/>
  <c r="N330" i="2"/>
  <c r="P330" i="2" s="1"/>
  <c r="H330" i="2"/>
  <c r="L586" i="2"/>
  <c r="N586" i="2"/>
  <c r="O586" i="2" s="1"/>
  <c r="I586" i="2"/>
  <c r="L313" i="2"/>
  <c r="I313" i="2"/>
  <c r="N313" i="2"/>
  <c r="O313" i="2" s="1"/>
  <c r="H313" i="2"/>
  <c r="N81" i="2"/>
  <c r="O81" i="2" s="1"/>
  <c r="H81" i="2"/>
  <c r="L59" i="2"/>
  <c r="N59" i="2"/>
  <c r="P59" i="2" s="1"/>
  <c r="H59" i="2"/>
  <c r="I257" i="2"/>
  <c r="I19" i="2"/>
  <c r="I74" i="2"/>
  <c r="H586" i="2"/>
  <c r="I27" i="2"/>
  <c r="I283" i="2"/>
  <c r="I9" i="2"/>
  <c r="H250" i="2"/>
  <c r="H395" i="2"/>
  <c r="H99" i="2"/>
  <c r="H137" i="2"/>
  <c r="H225" i="2"/>
  <c r="N282" i="2"/>
  <c r="O282" i="2" s="1"/>
  <c r="J132" i="2"/>
  <c r="G132" i="2"/>
  <c r="J388" i="2"/>
  <c r="G388" i="2"/>
  <c r="K388" i="2" s="1"/>
  <c r="J45" i="2"/>
  <c r="G45" i="2"/>
  <c r="J237" i="2"/>
  <c r="G237" i="2"/>
  <c r="J429" i="2"/>
  <c r="G429" i="2"/>
  <c r="K429" i="2" s="1"/>
  <c r="J150" i="2"/>
  <c r="G150" i="2"/>
  <c r="J406" i="2"/>
  <c r="G406" i="2"/>
  <c r="J63" i="2"/>
  <c r="G63" i="2"/>
  <c r="H63" i="2" s="1"/>
  <c r="J319" i="2"/>
  <c r="G319" i="2"/>
  <c r="J511" i="2"/>
  <c r="G511" i="2"/>
  <c r="G104" i="2"/>
  <c r="K104" i="2" s="1"/>
  <c r="J104" i="2"/>
  <c r="G424" i="2"/>
  <c r="J424" i="2"/>
  <c r="H155" i="2"/>
  <c r="N155" i="2"/>
  <c r="O155" i="2" s="1"/>
  <c r="N385" i="2"/>
  <c r="O385" i="2" s="1"/>
  <c r="H385" i="2"/>
  <c r="L210" i="2"/>
  <c r="N210" i="2"/>
  <c r="O210" i="2" s="1"/>
  <c r="I210" i="2"/>
  <c r="H210" i="2"/>
  <c r="H258" i="2"/>
  <c r="N258" i="2"/>
  <c r="P258" i="2" s="1"/>
  <c r="I258" i="2"/>
  <c r="L26" i="2"/>
  <c r="N26" i="2"/>
  <c r="O26" i="2" s="1"/>
  <c r="H26" i="2"/>
  <c r="I26" i="2"/>
  <c r="N465" i="2"/>
  <c r="O465" i="2" s="1"/>
  <c r="H465" i="2"/>
  <c r="I59" i="2"/>
  <c r="N514" i="2"/>
  <c r="O514" i="2" s="1"/>
  <c r="H243" i="2"/>
  <c r="H209" i="2"/>
  <c r="N507" i="2"/>
  <c r="P507" i="2" s="1"/>
  <c r="I99" i="2"/>
  <c r="I227" i="2"/>
  <c r="I17" i="2"/>
  <c r="I209" i="2"/>
  <c r="I393" i="2"/>
  <c r="I482" i="2"/>
  <c r="I498" i="2"/>
  <c r="H506" i="2"/>
  <c r="N283" i="2"/>
  <c r="P283" i="2" s="1"/>
  <c r="J4" i="2"/>
  <c r="G4" i="2"/>
  <c r="J452" i="2"/>
  <c r="G452" i="2"/>
  <c r="J109" i="2"/>
  <c r="G109" i="2"/>
  <c r="K109" i="2" s="1"/>
  <c r="J365" i="2"/>
  <c r="G365" i="2"/>
  <c r="J493" i="2"/>
  <c r="G493" i="2"/>
  <c r="J86" i="2"/>
  <c r="G86" i="2"/>
  <c r="J342" i="2"/>
  <c r="G342" i="2"/>
  <c r="K342" i="2" s="1"/>
  <c r="J534" i="2"/>
  <c r="G534" i="2"/>
  <c r="J127" i="2"/>
  <c r="G127" i="2"/>
  <c r="K127" i="2" s="1"/>
  <c r="J383" i="2"/>
  <c r="G383" i="2"/>
  <c r="J575" i="2"/>
  <c r="G575" i="2"/>
  <c r="G40" i="2"/>
  <c r="J40" i="2"/>
  <c r="G296" i="2"/>
  <c r="J296" i="2"/>
  <c r="G552" i="2"/>
  <c r="K552" i="2" s="1"/>
  <c r="J552" i="2"/>
  <c r="N129" i="2"/>
  <c r="P129" i="2" s="1"/>
  <c r="H129" i="2"/>
  <c r="L41" i="2"/>
  <c r="H41" i="2"/>
  <c r="I41" i="2"/>
  <c r="N41" i="2"/>
  <c r="O41" i="2" s="1"/>
  <c r="L25" i="2"/>
  <c r="H25" i="2"/>
  <c r="I25" i="2"/>
  <c r="H386" i="2"/>
  <c r="N386" i="2"/>
  <c r="O386" i="2" s="1"/>
  <c r="I386" i="2"/>
  <c r="L386" i="2"/>
  <c r="L105" i="2"/>
  <c r="H105" i="2"/>
  <c r="N105" i="2"/>
  <c r="P105" i="2" s="1"/>
  <c r="I105" i="2"/>
  <c r="L425" i="2"/>
  <c r="N425" i="2"/>
  <c r="O425" i="2" s="1"/>
  <c r="H425" i="2"/>
  <c r="I425" i="2"/>
  <c r="L113" i="2"/>
  <c r="H113" i="2"/>
  <c r="N113" i="2"/>
  <c r="P113" i="2" s="1"/>
  <c r="I113" i="2"/>
  <c r="N369" i="2"/>
  <c r="O369" i="2" s="1"/>
  <c r="I369" i="2"/>
  <c r="H497" i="2"/>
  <c r="I497" i="2"/>
  <c r="H9" i="2"/>
  <c r="L242" i="2"/>
  <c r="N242" i="2"/>
  <c r="O242" i="2" s="1"/>
  <c r="H242" i="2"/>
  <c r="I242" i="2"/>
  <c r="L74" i="2"/>
  <c r="N74" i="2"/>
  <c r="O74" i="2" s="1"/>
  <c r="L458" i="2"/>
  <c r="N458" i="2"/>
  <c r="O458" i="2" s="1"/>
  <c r="I458" i="2"/>
  <c r="H458" i="2"/>
  <c r="N75" i="2"/>
  <c r="O75" i="2" s="1"/>
  <c r="L185" i="2"/>
  <c r="I185" i="2"/>
  <c r="H185" i="2"/>
  <c r="N185" i="2"/>
  <c r="P185" i="2" s="1"/>
  <c r="I441" i="2"/>
  <c r="N441" i="2"/>
  <c r="P441" i="2" s="1"/>
  <c r="L569" i="2"/>
  <c r="H569" i="2"/>
  <c r="I569" i="2"/>
  <c r="N569" i="2"/>
  <c r="P569" i="2" s="1"/>
  <c r="L337" i="2"/>
  <c r="N337" i="2"/>
  <c r="O337" i="2" s="1"/>
  <c r="H337" i="2"/>
  <c r="I507" i="2"/>
  <c r="I337" i="2"/>
  <c r="I43" i="2"/>
  <c r="I137" i="2"/>
  <c r="I513" i="2"/>
  <c r="H274" i="2"/>
  <c r="H507" i="2"/>
  <c r="H521" i="2"/>
  <c r="N25" i="2"/>
  <c r="O25" i="2" s="1"/>
  <c r="J28" i="2"/>
  <c r="G28" i="2"/>
  <c r="K28" i="2" s="1"/>
  <c r="J92" i="2"/>
  <c r="G92" i="2"/>
  <c r="K92" i="2" s="1"/>
  <c r="J156" i="2"/>
  <c r="G156" i="2"/>
  <c r="K156" i="2" s="1"/>
  <c r="J220" i="2"/>
  <c r="G220" i="2"/>
  <c r="K220" i="2" s="1"/>
  <c r="J284" i="2"/>
  <c r="G284" i="2"/>
  <c r="K284" i="2" s="1"/>
  <c r="J348" i="2"/>
  <c r="G348" i="2"/>
  <c r="K348" i="2" s="1"/>
  <c r="J412" i="2"/>
  <c r="G412" i="2"/>
  <c r="K412" i="2" s="1"/>
  <c r="J476" i="2"/>
  <c r="G476" i="2"/>
  <c r="K476" i="2" s="1"/>
  <c r="J540" i="2"/>
  <c r="G540" i="2"/>
  <c r="J5" i="2"/>
  <c r="G5" i="2"/>
  <c r="K5" i="2" s="1"/>
  <c r="J69" i="2"/>
  <c r="G69" i="2"/>
  <c r="K69" i="2" s="1"/>
  <c r="J133" i="2"/>
  <c r="G133" i="2"/>
  <c r="K133" i="2" s="1"/>
  <c r="J197" i="2"/>
  <c r="G197" i="2"/>
  <c r="K197" i="2" s="1"/>
  <c r="N539" i="2"/>
  <c r="P539" i="2" s="1"/>
  <c r="J52" i="2"/>
  <c r="G52" i="2"/>
  <c r="K52" i="2" s="1"/>
  <c r="J116" i="2"/>
  <c r="G116" i="2"/>
  <c r="K116" i="2" s="1"/>
  <c r="J180" i="2"/>
  <c r="G180" i="2"/>
  <c r="K180" i="2" s="1"/>
  <c r="J244" i="2"/>
  <c r="G244" i="2"/>
  <c r="K244" i="2" s="1"/>
  <c r="J308" i="2"/>
  <c r="G308" i="2"/>
  <c r="K308" i="2" s="1"/>
  <c r="J372" i="2"/>
  <c r="G372" i="2"/>
  <c r="K372" i="2" s="1"/>
  <c r="J436" i="2"/>
  <c r="G436" i="2"/>
  <c r="K436" i="2" s="1"/>
  <c r="J500" i="2"/>
  <c r="G500" i="2"/>
  <c r="K500" i="2" s="1"/>
  <c r="J564" i="2"/>
  <c r="G564" i="2"/>
  <c r="J29" i="2"/>
  <c r="G29" i="2"/>
  <c r="K29" i="2" s="1"/>
  <c r="J93" i="2"/>
  <c r="G93" i="2"/>
  <c r="K93" i="2" s="1"/>
  <c r="J157" i="2"/>
  <c r="G157" i="2"/>
  <c r="J221" i="2"/>
  <c r="G221" i="2"/>
  <c r="K221" i="2" s="1"/>
  <c r="J285" i="2"/>
  <c r="G285" i="2"/>
  <c r="K285" i="2" s="1"/>
  <c r="J349" i="2"/>
  <c r="G349" i="2"/>
  <c r="K349" i="2" s="1"/>
  <c r="J413" i="2"/>
  <c r="G413" i="2"/>
  <c r="K413" i="2" s="1"/>
  <c r="J477" i="2"/>
  <c r="G477" i="2"/>
  <c r="J541" i="2"/>
  <c r="G541" i="2"/>
  <c r="K541" i="2" s="1"/>
  <c r="J6" i="2"/>
  <c r="G6" i="2"/>
  <c r="J70" i="2"/>
  <c r="G70" i="2"/>
  <c r="K70" i="2" s="1"/>
  <c r="J134" i="2"/>
  <c r="G134" i="2"/>
  <c r="J198" i="2"/>
  <c r="G198" i="2"/>
  <c r="K198" i="2" s="1"/>
  <c r="J262" i="2"/>
  <c r="G262" i="2"/>
  <c r="K262" i="2" s="1"/>
  <c r="J326" i="2"/>
  <c r="G326" i="2"/>
  <c r="K326" i="2" s="1"/>
  <c r="J390" i="2"/>
  <c r="G390" i="2"/>
  <c r="K390" i="2" s="1"/>
  <c r="J454" i="2"/>
  <c r="G454" i="2"/>
  <c r="K454" i="2" s="1"/>
  <c r="J518" i="2"/>
  <c r="G518" i="2"/>
  <c r="K518" i="2" s="1"/>
  <c r="J582" i="2"/>
  <c r="G582" i="2"/>
  <c r="K582" i="2" s="1"/>
  <c r="G47" i="2"/>
  <c r="K47" i="2" s="1"/>
  <c r="J47" i="2"/>
  <c r="G111" i="2"/>
  <c r="K111" i="2" s="1"/>
  <c r="J111" i="2"/>
  <c r="G175" i="2"/>
  <c r="K175" i="2" s="1"/>
  <c r="J175" i="2"/>
  <c r="G239" i="2"/>
  <c r="J239" i="2"/>
  <c r="G303" i="2"/>
  <c r="K303" i="2" s="1"/>
  <c r="J303" i="2"/>
  <c r="G367" i="2"/>
  <c r="K367" i="2" s="1"/>
  <c r="J367" i="2"/>
  <c r="G431" i="2"/>
  <c r="K431" i="2" s="1"/>
  <c r="J431" i="2"/>
  <c r="G495" i="2"/>
  <c r="K495" i="2" s="1"/>
  <c r="J495" i="2"/>
  <c r="G559" i="2"/>
  <c r="K559" i="2" s="1"/>
  <c r="J559" i="2"/>
  <c r="G24" i="2"/>
  <c r="J24" i="2"/>
  <c r="G88" i="2"/>
  <c r="J88" i="2"/>
  <c r="G152" i="2"/>
  <c r="K152" i="2" s="1"/>
  <c r="J152" i="2"/>
  <c r="G216" i="2"/>
  <c r="J216" i="2"/>
  <c r="G280" i="2"/>
  <c r="J280" i="2"/>
  <c r="G344" i="2"/>
  <c r="J344" i="2"/>
  <c r="G408" i="2"/>
  <c r="K408" i="2" s="1"/>
  <c r="J408" i="2"/>
  <c r="G472" i="2"/>
  <c r="K472" i="2" s="1"/>
  <c r="J472" i="2"/>
  <c r="G536" i="2"/>
  <c r="J536" i="2"/>
  <c r="G600" i="2"/>
  <c r="J600" i="2"/>
  <c r="N106" i="2"/>
  <c r="O106" i="2" s="1"/>
  <c r="N234" i="2"/>
  <c r="P234" i="2" s="1"/>
  <c r="N362" i="2"/>
  <c r="O362" i="2" s="1"/>
  <c r="N490" i="2"/>
  <c r="O490" i="2" s="1"/>
  <c r="N18" i="2"/>
  <c r="O18" i="2" s="1"/>
  <c r="N499" i="2"/>
  <c r="P499" i="2" s="1"/>
  <c r="N89" i="2"/>
  <c r="O89" i="2" s="1"/>
  <c r="H89" i="2"/>
  <c r="H217" i="2"/>
  <c r="L345" i="2"/>
  <c r="H345" i="2"/>
  <c r="N345" i="2"/>
  <c r="O345" i="2" s="1"/>
  <c r="H473" i="2"/>
  <c r="L218" i="2"/>
  <c r="N218" i="2"/>
  <c r="O218" i="2" s="1"/>
  <c r="H218" i="2"/>
  <c r="N474" i="2"/>
  <c r="O474" i="2" s="1"/>
  <c r="N483" i="2"/>
  <c r="P483" i="2" s="1"/>
  <c r="N601" i="2"/>
  <c r="O601" i="2" s="1"/>
  <c r="J261" i="2"/>
  <c r="G261" i="2"/>
  <c r="K261" i="2" s="1"/>
  <c r="J325" i="2"/>
  <c r="G325" i="2"/>
  <c r="J389" i="2"/>
  <c r="G389" i="2"/>
  <c r="K389" i="2" s="1"/>
  <c r="J453" i="2"/>
  <c r="G453" i="2"/>
  <c r="K453" i="2" s="1"/>
  <c r="J517" i="2"/>
  <c r="G517" i="2"/>
  <c r="K517" i="2" s="1"/>
  <c r="J581" i="2"/>
  <c r="G581" i="2"/>
  <c r="K581" i="2" s="1"/>
  <c r="J46" i="2"/>
  <c r="G46" i="2"/>
  <c r="J110" i="2"/>
  <c r="G110" i="2"/>
  <c r="K110" i="2" s="1"/>
  <c r="J174" i="2"/>
  <c r="G174" i="2"/>
  <c r="K174" i="2" s="1"/>
  <c r="J238" i="2"/>
  <c r="G238" i="2"/>
  <c r="K238" i="2" s="1"/>
  <c r="J302" i="2"/>
  <c r="G302" i="2"/>
  <c r="K302" i="2" s="1"/>
  <c r="J366" i="2"/>
  <c r="G366" i="2"/>
  <c r="K366" i="2" s="1"/>
  <c r="J430" i="2"/>
  <c r="G430" i="2"/>
  <c r="J494" i="2"/>
  <c r="G494" i="2"/>
  <c r="K494" i="2" s="1"/>
  <c r="J558" i="2"/>
  <c r="G558" i="2"/>
  <c r="K558" i="2" s="1"/>
  <c r="G23" i="2"/>
  <c r="K23" i="2" s="1"/>
  <c r="J23" i="2"/>
  <c r="G87" i="2"/>
  <c r="K87" i="2" s="1"/>
  <c r="J87" i="2"/>
  <c r="G151" i="2"/>
  <c r="K151" i="2" s="1"/>
  <c r="J151" i="2"/>
  <c r="G215" i="2"/>
  <c r="K215" i="2" s="1"/>
  <c r="J215" i="2"/>
  <c r="G279" i="2"/>
  <c r="K279" i="2" s="1"/>
  <c r="J279" i="2"/>
  <c r="G343" i="2"/>
  <c r="K343" i="2" s="1"/>
  <c r="J343" i="2"/>
  <c r="G407" i="2"/>
  <c r="K407" i="2" s="1"/>
  <c r="J407" i="2"/>
  <c r="G471" i="2"/>
  <c r="K471" i="2" s="1"/>
  <c r="J471" i="2"/>
  <c r="G535" i="2"/>
  <c r="K535" i="2" s="1"/>
  <c r="J535" i="2"/>
  <c r="G599" i="2"/>
  <c r="K599" i="2" s="1"/>
  <c r="J599" i="2"/>
  <c r="G64" i="2"/>
  <c r="K64" i="2" s="1"/>
  <c r="J64" i="2"/>
  <c r="J128" i="2"/>
  <c r="G128" i="2"/>
  <c r="K128" i="2" s="1"/>
  <c r="J192" i="2"/>
  <c r="G192" i="2"/>
  <c r="K192" i="2" s="1"/>
  <c r="J256" i="2"/>
  <c r="G256" i="2"/>
  <c r="K256" i="2" s="1"/>
  <c r="J320" i="2"/>
  <c r="G320" i="2"/>
  <c r="K320" i="2" s="1"/>
  <c r="J384" i="2"/>
  <c r="G384" i="2"/>
  <c r="K384" i="2" s="1"/>
  <c r="J448" i="2"/>
  <c r="G448" i="2"/>
  <c r="K448" i="2" s="1"/>
  <c r="J512" i="2"/>
  <c r="G512" i="2"/>
  <c r="K512" i="2" s="1"/>
  <c r="J576" i="2"/>
  <c r="G576" i="2"/>
  <c r="K576" i="2" s="1"/>
  <c r="L307" i="2"/>
  <c r="N307" i="2"/>
  <c r="O307" i="2" s="1"/>
  <c r="L291" i="2"/>
  <c r="N291" i="2"/>
  <c r="P291" i="2" s="1"/>
  <c r="H585" i="2"/>
  <c r="N329" i="2"/>
  <c r="O329" i="2" s="1"/>
  <c r="N290" i="2"/>
  <c r="O290" i="2" s="1"/>
  <c r="N546" i="2"/>
  <c r="O546" i="2" s="1"/>
  <c r="N187" i="2"/>
  <c r="P187" i="2" s="1"/>
  <c r="N347" i="2"/>
  <c r="O347" i="2" s="1"/>
  <c r="J36" i="2"/>
  <c r="G36" i="2"/>
  <c r="K36" i="2" s="1"/>
  <c r="J100" i="2"/>
  <c r="G100" i="2"/>
  <c r="K100" i="2" s="1"/>
  <c r="J164" i="2"/>
  <c r="G164" i="2"/>
  <c r="K164" i="2" s="1"/>
  <c r="J228" i="2"/>
  <c r="G228" i="2"/>
  <c r="K228" i="2" s="1"/>
  <c r="J292" i="2"/>
  <c r="G292" i="2"/>
  <c r="K292" i="2" s="1"/>
  <c r="J356" i="2"/>
  <c r="G356" i="2"/>
  <c r="K356" i="2" s="1"/>
  <c r="J420" i="2"/>
  <c r="G420" i="2"/>
  <c r="K420" i="2" s="1"/>
  <c r="J484" i="2"/>
  <c r="G484" i="2"/>
  <c r="K484" i="2" s="1"/>
  <c r="J548" i="2"/>
  <c r="G548" i="2"/>
  <c r="K548" i="2" s="1"/>
  <c r="J13" i="2"/>
  <c r="G13" i="2"/>
  <c r="K13" i="2" s="1"/>
  <c r="J77" i="2"/>
  <c r="G77" i="2"/>
  <c r="K77" i="2" s="1"/>
  <c r="J141" i="2"/>
  <c r="G141" i="2"/>
  <c r="K141" i="2" s="1"/>
  <c r="J205" i="2"/>
  <c r="G205" i="2"/>
  <c r="K205" i="2" s="1"/>
  <c r="J269" i="2"/>
  <c r="G269" i="2"/>
  <c r="K269" i="2" s="1"/>
  <c r="J333" i="2"/>
  <c r="G333" i="2"/>
  <c r="K333" i="2" s="1"/>
  <c r="J397" i="2"/>
  <c r="G397" i="2"/>
  <c r="K397" i="2" s="1"/>
  <c r="J461" i="2"/>
  <c r="G461" i="2"/>
  <c r="K461" i="2" s="1"/>
  <c r="J525" i="2"/>
  <c r="G525" i="2"/>
  <c r="K525" i="2" s="1"/>
  <c r="J589" i="2"/>
  <c r="G589" i="2"/>
  <c r="K589" i="2" s="1"/>
  <c r="J54" i="2"/>
  <c r="G54" i="2"/>
  <c r="K54" i="2" s="1"/>
  <c r="J118" i="2"/>
  <c r="G118" i="2"/>
  <c r="K118" i="2" s="1"/>
  <c r="J182" i="2"/>
  <c r="G182" i="2"/>
  <c r="K182" i="2" s="1"/>
  <c r="J246" i="2"/>
  <c r="G246" i="2"/>
  <c r="K246" i="2" s="1"/>
  <c r="J310" i="2"/>
  <c r="G310" i="2"/>
  <c r="K310" i="2" s="1"/>
  <c r="J374" i="2"/>
  <c r="G374" i="2"/>
  <c r="K374" i="2" s="1"/>
  <c r="N57" i="2"/>
  <c r="O57" i="2" s="1"/>
  <c r="H51" i="2"/>
  <c r="N51" i="2"/>
  <c r="P51" i="2" s="1"/>
  <c r="N161" i="2"/>
  <c r="O161" i="2" s="1"/>
  <c r="L289" i="2"/>
  <c r="N289" i="2"/>
  <c r="O289" i="2" s="1"/>
  <c r="L417" i="2"/>
  <c r="N417" i="2"/>
  <c r="O417" i="2" s="1"/>
  <c r="L545" i="2"/>
  <c r="N545" i="2"/>
  <c r="O545" i="2" s="1"/>
  <c r="L58" i="2"/>
  <c r="N58" i="2"/>
  <c r="O58" i="2" s="1"/>
  <c r="N457" i="2"/>
  <c r="O457" i="2" s="1"/>
  <c r="J12" i="2"/>
  <c r="G12" i="2"/>
  <c r="K12" i="2" s="1"/>
  <c r="J76" i="2"/>
  <c r="G76" i="2"/>
  <c r="K76" i="2" s="1"/>
  <c r="J140" i="2"/>
  <c r="G140" i="2"/>
  <c r="K140" i="2" s="1"/>
  <c r="J204" i="2"/>
  <c r="G204" i="2"/>
  <c r="K204" i="2" s="1"/>
  <c r="J268" i="2"/>
  <c r="G268" i="2"/>
  <c r="K268" i="2" s="1"/>
  <c r="J332" i="2"/>
  <c r="G332" i="2"/>
  <c r="K332" i="2" s="1"/>
  <c r="J396" i="2"/>
  <c r="G396" i="2"/>
  <c r="K396" i="2" s="1"/>
  <c r="J460" i="2"/>
  <c r="G460" i="2"/>
  <c r="K460" i="2" s="1"/>
  <c r="J524" i="2"/>
  <c r="G524" i="2"/>
  <c r="K524" i="2" s="1"/>
  <c r="J588" i="2"/>
  <c r="G588" i="2"/>
  <c r="K588" i="2" s="1"/>
  <c r="J53" i="2"/>
  <c r="G53" i="2"/>
  <c r="K53" i="2" s="1"/>
  <c r="J117" i="2"/>
  <c r="G117" i="2"/>
  <c r="K117" i="2" s="1"/>
  <c r="J181" i="2"/>
  <c r="G181" i="2"/>
  <c r="K181" i="2" s="1"/>
  <c r="J245" i="2"/>
  <c r="G245" i="2"/>
  <c r="K245" i="2" s="1"/>
  <c r="J309" i="2"/>
  <c r="G309" i="2"/>
  <c r="K309" i="2" s="1"/>
  <c r="J373" i="2"/>
  <c r="G373" i="2"/>
  <c r="K373" i="2" s="1"/>
  <c r="J437" i="2"/>
  <c r="G437" i="2"/>
  <c r="K437" i="2" s="1"/>
  <c r="J501" i="2"/>
  <c r="G501" i="2"/>
  <c r="K501" i="2" s="1"/>
  <c r="J565" i="2"/>
  <c r="G565" i="2"/>
  <c r="K565" i="2" s="1"/>
  <c r="J30" i="2"/>
  <c r="G30" i="2"/>
  <c r="K30" i="2" s="1"/>
  <c r="J94" i="2"/>
  <c r="G94" i="2"/>
  <c r="K94" i="2" s="1"/>
  <c r="J158" i="2"/>
  <c r="G158" i="2"/>
  <c r="K158" i="2" s="1"/>
  <c r="J222" i="2"/>
  <c r="G222" i="2"/>
  <c r="K222" i="2" s="1"/>
  <c r="J286" i="2"/>
  <c r="G286" i="2"/>
  <c r="K286" i="2" s="1"/>
  <c r="J350" i="2"/>
  <c r="G350" i="2"/>
  <c r="K350" i="2" s="1"/>
  <c r="J414" i="2"/>
  <c r="G414" i="2"/>
  <c r="K414" i="2" s="1"/>
  <c r="J478" i="2"/>
  <c r="G478" i="2"/>
  <c r="K478" i="2" s="1"/>
  <c r="J542" i="2"/>
  <c r="G542" i="2"/>
  <c r="K542" i="2" s="1"/>
  <c r="G7" i="2"/>
  <c r="K7" i="2" s="1"/>
  <c r="J7" i="2"/>
  <c r="G71" i="2"/>
  <c r="K71" i="2" s="1"/>
  <c r="J71" i="2"/>
  <c r="G135" i="2"/>
  <c r="K135" i="2" s="1"/>
  <c r="J135" i="2"/>
  <c r="G199" i="2"/>
  <c r="K199" i="2" s="1"/>
  <c r="J199" i="2"/>
  <c r="G263" i="2"/>
  <c r="K263" i="2" s="1"/>
  <c r="J263" i="2"/>
  <c r="G327" i="2"/>
  <c r="K327" i="2" s="1"/>
  <c r="J327" i="2"/>
  <c r="G391" i="2"/>
  <c r="K391" i="2" s="1"/>
  <c r="J391" i="2"/>
  <c r="G455" i="2"/>
  <c r="K455" i="2" s="1"/>
  <c r="J455" i="2"/>
  <c r="G519" i="2"/>
  <c r="K519" i="2" s="1"/>
  <c r="J519" i="2"/>
  <c r="G583" i="2"/>
  <c r="K583" i="2" s="1"/>
  <c r="J583" i="2"/>
  <c r="G48" i="2"/>
  <c r="K48" i="2" s="1"/>
  <c r="J48" i="2"/>
  <c r="J112" i="2"/>
  <c r="G112" i="2"/>
  <c r="K112" i="2" s="1"/>
  <c r="J176" i="2"/>
  <c r="G176" i="2"/>
  <c r="K176" i="2" s="1"/>
  <c r="G240" i="2"/>
  <c r="K240" i="2" s="1"/>
  <c r="J240" i="2"/>
  <c r="G304" i="2"/>
  <c r="K304" i="2" s="1"/>
  <c r="J304" i="2"/>
  <c r="G368" i="2"/>
  <c r="K368" i="2" s="1"/>
  <c r="J368" i="2"/>
  <c r="G432" i="2"/>
  <c r="K432" i="2" s="1"/>
  <c r="J432" i="2"/>
  <c r="G496" i="2"/>
  <c r="K496" i="2" s="1"/>
  <c r="J496" i="2"/>
  <c r="G560" i="2"/>
  <c r="K560" i="2" s="1"/>
  <c r="J560" i="2"/>
  <c r="J438" i="2"/>
  <c r="G438" i="2"/>
  <c r="K438" i="2" s="1"/>
  <c r="J502" i="2"/>
  <c r="G502" i="2"/>
  <c r="K502" i="2" s="1"/>
  <c r="J566" i="2"/>
  <c r="G566" i="2"/>
  <c r="K566" i="2" s="1"/>
  <c r="J31" i="2"/>
  <c r="G31" i="2"/>
  <c r="J95" i="2"/>
  <c r="G95" i="2"/>
  <c r="K95" i="2" s="1"/>
  <c r="J159" i="2"/>
  <c r="G159" i="2"/>
  <c r="K159" i="2" s="1"/>
  <c r="J223" i="2"/>
  <c r="G223" i="2"/>
  <c r="K223" i="2" s="1"/>
  <c r="J287" i="2"/>
  <c r="G287" i="2"/>
  <c r="K287" i="2" s="1"/>
  <c r="J351" i="2"/>
  <c r="G351" i="2"/>
  <c r="K351" i="2" s="1"/>
  <c r="J415" i="2"/>
  <c r="G415" i="2"/>
  <c r="K415" i="2" s="1"/>
  <c r="J479" i="2"/>
  <c r="G479" i="2"/>
  <c r="K479" i="2" s="1"/>
  <c r="J543" i="2"/>
  <c r="G543" i="2"/>
  <c r="K543" i="2" s="1"/>
  <c r="G8" i="2"/>
  <c r="K8" i="2" s="1"/>
  <c r="J8" i="2"/>
  <c r="G72" i="2"/>
  <c r="K72" i="2" s="1"/>
  <c r="J72" i="2"/>
  <c r="G136" i="2"/>
  <c r="K136" i="2" s="1"/>
  <c r="J136" i="2"/>
  <c r="G200" i="2"/>
  <c r="K200" i="2" s="1"/>
  <c r="J200" i="2"/>
  <c r="G264" i="2"/>
  <c r="K264" i="2" s="1"/>
  <c r="J264" i="2"/>
  <c r="G328" i="2"/>
  <c r="K328" i="2" s="1"/>
  <c r="J328" i="2"/>
  <c r="G392" i="2"/>
  <c r="K392" i="2" s="1"/>
  <c r="J392" i="2"/>
  <c r="G456" i="2"/>
  <c r="K456" i="2" s="1"/>
  <c r="J456" i="2"/>
  <c r="G520" i="2"/>
  <c r="K520" i="2" s="1"/>
  <c r="J520" i="2"/>
  <c r="G584" i="2"/>
  <c r="K584" i="2" s="1"/>
  <c r="J584" i="2"/>
  <c r="N65" i="2"/>
  <c r="P65" i="2" s="1"/>
  <c r="N193" i="2"/>
  <c r="O193" i="2" s="1"/>
  <c r="N321" i="2"/>
  <c r="O321" i="2" s="1"/>
  <c r="N449" i="2"/>
  <c r="O449" i="2" s="1"/>
  <c r="N577" i="2"/>
  <c r="P577" i="2" s="1"/>
  <c r="J44" i="2"/>
  <c r="G44" i="2"/>
  <c r="K44" i="2" s="1"/>
  <c r="J108" i="2"/>
  <c r="G108" i="2"/>
  <c r="K108" i="2" s="1"/>
  <c r="J172" i="2"/>
  <c r="G172" i="2"/>
  <c r="K172" i="2" s="1"/>
  <c r="J236" i="2"/>
  <c r="G236" i="2"/>
  <c r="K236" i="2" s="1"/>
  <c r="J300" i="2"/>
  <c r="G300" i="2"/>
  <c r="K300" i="2" s="1"/>
  <c r="J364" i="2"/>
  <c r="G364" i="2"/>
  <c r="K364" i="2" s="1"/>
  <c r="J428" i="2"/>
  <c r="G428" i="2"/>
  <c r="K428" i="2" s="1"/>
  <c r="J492" i="2"/>
  <c r="G492" i="2"/>
  <c r="K492" i="2" s="1"/>
  <c r="J556" i="2"/>
  <c r="G556" i="2"/>
  <c r="K556" i="2" s="1"/>
  <c r="J21" i="2"/>
  <c r="G21" i="2"/>
  <c r="K21" i="2" s="1"/>
  <c r="J85" i="2"/>
  <c r="G85" i="2"/>
  <c r="K85" i="2" s="1"/>
  <c r="J149" i="2"/>
  <c r="G149" i="2"/>
  <c r="K149" i="2" s="1"/>
  <c r="J213" i="2"/>
  <c r="G213" i="2"/>
  <c r="K213" i="2" s="1"/>
  <c r="J277" i="2"/>
  <c r="G277" i="2"/>
  <c r="K277" i="2" s="1"/>
  <c r="J341" i="2"/>
  <c r="G341" i="2"/>
  <c r="K341" i="2" s="1"/>
  <c r="J405" i="2"/>
  <c r="G405" i="2"/>
  <c r="K405" i="2" s="1"/>
  <c r="J469" i="2"/>
  <c r="G469" i="2"/>
  <c r="K469" i="2" s="1"/>
  <c r="J533" i="2"/>
  <c r="G533" i="2"/>
  <c r="K533" i="2" s="1"/>
  <c r="J597" i="2"/>
  <c r="G597" i="2"/>
  <c r="K597" i="2" s="1"/>
  <c r="J62" i="2"/>
  <c r="G62" i="2"/>
  <c r="K62" i="2" s="1"/>
  <c r="J126" i="2"/>
  <c r="G126" i="2"/>
  <c r="K126" i="2" s="1"/>
  <c r="J190" i="2"/>
  <c r="G190" i="2"/>
  <c r="K190" i="2" s="1"/>
  <c r="J254" i="2"/>
  <c r="G254" i="2"/>
  <c r="K254" i="2" s="1"/>
  <c r="J318" i="2"/>
  <c r="G318" i="2"/>
  <c r="K318" i="2" s="1"/>
  <c r="J382" i="2"/>
  <c r="G382" i="2"/>
  <c r="K382" i="2" s="1"/>
  <c r="J446" i="2"/>
  <c r="G446" i="2"/>
  <c r="K446" i="2" s="1"/>
  <c r="J510" i="2"/>
  <c r="G510" i="2"/>
  <c r="K510" i="2" s="1"/>
  <c r="J574" i="2"/>
  <c r="G574" i="2"/>
  <c r="K574" i="2" s="1"/>
  <c r="G39" i="2"/>
  <c r="K39" i="2" s="1"/>
  <c r="J39" i="2"/>
  <c r="G103" i="2"/>
  <c r="K103" i="2" s="1"/>
  <c r="J103" i="2"/>
  <c r="G167" i="2"/>
  <c r="K167" i="2" s="1"/>
  <c r="J167" i="2"/>
  <c r="G231" i="2"/>
  <c r="K231" i="2" s="1"/>
  <c r="J231" i="2"/>
  <c r="G295" i="2"/>
  <c r="K295" i="2" s="1"/>
  <c r="J295" i="2"/>
  <c r="G359" i="2"/>
  <c r="K359" i="2" s="1"/>
  <c r="J359" i="2"/>
  <c r="G423" i="2"/>
  <c r="K423" i="2" s="1"/>
  <c r="J423" i="2"/>
  <c r="G487" i="2"/>
  <c r="K487" i="2" s="1"/>
  <c r="J487" i="2"/>
  <c r="G551" i="2"/>
  <c r="K551" i="2" s="1"/>
  <c r="J551" i="2"/>
  <c r="G16" i="2"/>
  <c r="K16" i="2" s="1"/>
  <c r="J16" i="2"/>
  <c r="G80" i="2"/>
  <c r="K80" i="2" s="1"/>
  <c r="J80" i="2"/>
  <c r="G144" i="2"/>
  <c r="K144" i="2" s="1"/>
  <c r="J144" i="2"/>
  <c r="J208" i="2"/>
  <c r="G208" i="2"/>
  <c r="K208" i="2" s="1"/>
  <c r="J272" i="2"/>
  <c r="G272" i="2"/>
  <c r="K272" i="2" s="1"/>
  <c r="J336" i="2"/>
  <c r="G336" i="2"/>
  <c r="K336" i="2" s="1"/>
  <c r="J400" i="2"/>
  <c r="G400" i="2"/>
  <c r="K400" i="2" s="1"/>
  <c r="J464" i="2"/>
  <c r="G464" i="2"/>
  <c r="K464" i="2" s="1"/>
  <c r="J528" i="2"/>
  <c r="G528" i="2"/>
  <c r="K528" i="2" s="1"/>
  <c r="J592" i="2"/>
  <c r="G592" i="2"/>
  <c r="K592" i="2" s="1"/>
  <c r="N186" i="2"/>
  <c r="O186" i="2" s="1"/>
  <c r="J60" i="2"/>
  <c r="G60" i="2"/>
  <c r="K60" i="2" s="1"/>
  <c r="J124" i="2"/>
  <c r="G124" i="2"/>
  <c r="K124" i="2" s="1"/>
  <c r="J188" i="2"/>
  <c r="G188" i="2"/>
  <c r="K188" i="2" s="1"/>
  <c r="J252" i="2"/>
  <c r="G252" i="2"/>
  <c r="K252" i="2" s="1"/>
  <c r="J316" i="2"/>
  <c r="G316" i="2"/>
  <c r="K316" i="2" s="1"/>
  <c r="J380" i="2"/>
  <c r="G380" i="2"/>
  <c r="K380" i="2" s="1"/>
  <c r="J444" i="2"/>
  <c r="G444" i="2"/>
  <c r="K444" i="2" s="1"/>
  <c r="J508" i="2"/>
  <c r="G508" i="2"/>
  <c r="K508" i="2" s="1"/>
  <c r="J572" i="2"/>
  <c r="G572" i="2"/>
  <c r="K572" i="2" s="1"/>
  <c r="J37" i="2"/>
  <c r="G37" i="2"/>
  <c r="K37" i="2" s="1"/>
  <c r="J101" i="2"/>
  <c r="G101" i="2"/>
  <c r="K101" i="2" s="1"/>
  <c r="J165" i="2"/>
  <c r="G165" i="2"/>
  <c r="K165" i="2" s="1"/>
  <c r="J229" i="2"/>
  <c r="G229" i="2"/>
  <c r="K229" i="2" s="1"/>
  <c r="J293" i="2"/>
  <c r="G293" i="2"/>
  <c r="K293" i="2" s="1"/>
  <c r="J357" i="2"/>
  <c r="G357" i="2"/>
  <c r="K357" i="2" s="1"/>
  <c r="J421" i="2"/>
  <c r="G421" i="2"/>
  <c r="K421" i="2" s="1"/>
  <c r="J485" i="2"/>
  <c r="G485" i="2"/>
  <c r="K485" i="2" s="1"/>
  <c r="J549" i="2"/>
  <c r="G549" i="2"/>
  <c r="K549" i="2" s="1"/>
  <c r="J14" i="2"/>
  <c r="G14" i="2"/>
  <c r="K14" i="2" s="1"/>
  <c r="J78" i="2"/>
  <c r="G78" i="2"/>
  <c r="K78" i="2" s="1"/>
  <c r="J142" i="2"/>
  <c r="G142" i="2"/>
  <c r="K142" i="2" s="1"/>
  <c r="J206" i="2"/>
  <c r="G206" i="2"/>
  <c r="K206" i="2" s="1"/>
  <c r="J270" i="2"/>
  <c r="G270" i="2"/>
  <c r="K270" i="2" s="1"/>
  <c r="J334" i="2"/>
  <c r="G334" i="2"/>
  <c r="K334" i="2" s="1"/>
  <c r="J398" i="2"/>
  <c r="G398" i="2"/>
  <c r="K398" i="2" s="1"/>
  <c r="J462" i="2"/>
  <c r="G462" i="2"/>
  <c r="K462" i="2" s="1"/>
  <c r="J526" i="2"/>
  <c r="G526" i="2"/>
  <c r="K526" i="2" s="1"/>
  <c r="J590" i="2"/>
  <c r="G590" i="2"/>
  <c r="K590" i="2" s="1"/>
  <c r="G55" i="2"/>
  <c r="K55" i="2" s="1"/>
  <c r="J55" i="2"/>
  <c r="G119" i="2"/>
  <c r="K119" i="2" s="1"/>
  <c r="J119" i="2"/>
  <c r="G183" i="2"/>
  <c r="K183" i="2" s="1"/>
  <c r="J183" i="2"/>
  <c r="G247" i="2"/>
  <c r="K247" i="2" s="1"/>
  <c r="J247" i="2"/>
  <c r="G311" i="2"/>
  <c r="K311" i="2" s="1"/>
  <c r="J311" i="2"/>
  <c r="G375" i="2"/>
  <c r="K375" i="2" s="1"/>
  <c r="J375" i="2"/>
  <c r="G439" i="2"/>
  <c r="K439" i="2" s="1"/>
  <c r="J439" i="2"/>
  <c r="G503" i="2"/>
  <c r="K503" i="2" s="1"/>
  <c r="J503" i="2"/>
  <c r="G567" i="2"/>
  <c r="K567" i="2" s="1"/>
  <c r="J567" i="2"/>
  <c r="G32" i="2"/>
  <c r="K32" i="2" s="1"/>
  <c r="J32" i="2"/>
  <c r="J96" i="2"/>
  <c r="G96" i="2"/>
  <c r="K96" i="2" s="1"/>
  <c r="J160" i="2"/>
  <c r="G160" i="2"/>
  <c r="K160" i="2" s="1"/>
  <c r="J224" i="2"/>
  <c r="G224" i="2"/>
  <c r="K224" i="2" s="1"/>
  <c r="J288" i="2"/>
  <c r="G288" i="2"/>
  <c r="K288" i="2" s="1"/>
  <c r="J352" i="2"/>
  <c r="G352" i="2"/>
  <c r="K352" i="2" s="1"/>
  <c r="J416" i="2"/>
  <c r="G416" i="2"/>
  <c r="K416" i="2" s="1"/>
  <c r="J480" i="2"/>
  <c r="G480" i="2"/>
  <c r="K480" i="2" s="1"/>
  <c r="J544" i="2"/>
  <c r="G544" i="2"/>
  <c r="K544" i="2" s="1"/>
  <c r="L258" i="2"/>
  <c r="L51" i="2"/>
  <c r="O171" i="2"/>
  <c r="P171" i="2"/>
  <c r="O299" i="2"/>
  <c r="P299" i="2"/>
  <c r="O427" i="2"/>
  <c r="P427" i="2"/>
  <c r="O555" i="2"/>
  <c r="P555" i="2"/>
  <c r="O443" i="2"/>
  <c r="P443" i="2"/>
  <c r="O131" i="2"/>
  <c r="P131" i="2"/>
  <c r="O195" i="2"/>
  <c r="P195" i="2"/>
  <c r="O259" i="2"/>
  <c r="P259" i="2"/>
  <c r="O323" i="2"/>
  <c r="P323" i="2"/>
  <c r="O387" i="2"/>
  <c r="P387" i="2"/>
  <c r="O451" i="2"/>
  <c r="P451" i="2"/>
  <c r="O515" i="2"/>
  <c r="P515" i="2"/>
  <c r="O579" i="2"/>
  <c r="P579" i="2"/>
  <c r="O83" i="2"/>
  <c r="P83" i="2"/>
  <c r="O147" i="2"/>
  <c r="P147" i="2"/>
  <c r="O211" i="2"/>
  <c r="P211" i="2"/>
  <c r="O275" i="2"/>
  <c r="P275" i="2"/>
  <c r="O339" i="2"/>
  <c r="P339" i="2"/>
  <c r="O403" i="2"/>
  <c r="P403" i="2"/>
  <c r="O467" i="2"/>
  <c r="P467" i="2"/>
  <c r="O531" i="2"/>
  <c r="P531" i="2"/>
  <c r="O595" i="2"/>
  <c r="P595" i="2"/>
  <c r="O107" i="2"/>
  <c r="P107" i="2"/>
  <c r="O235" i="2"/>
  <c r="P235" i="2"/>
  <c r="O363" i="2"/>
  <c r="P363" i="2"/>
  <c r="O491" i="2"/>
  <c r="P491" i="2"/>
  <c r="O442" i="2"/>
  <c r="P442" i="2"/>
  <c r="L57" i="1"/>
  <c r="M57" i="1" s="1"/>
  <c r="N57" i="1" s="1"/>
  <c r="O57" i="1" s="1"/>
  <c r="L17" i="1"/>
  <c r="M17" i="1" s="1"/>
  <c r="N17" i="1" s="1"/>
  <c r="O17" i="1" s="1"/>
  <c r="L518" i="1"/>
  <c r="M518" i="1" s="1"/>
  <c r="N518" i="1" s="1"/>
  <c r="O518" i="1" s="1"/>
  <c r="L526" i="1"/>
  <c r="M526" i="1" s="1"/>
  <c r="N526" i="1" s="1"/>
  <c r="O526" i="1" s="1"/>
  <c r="L562" i="1"/>
  <c r="M562" i="1" s="1"/>
  <c r="N562" i="1" s="1"/>
  <c r="O562" i="1" s="1"/>
  <c r="L281" i="1"/>
  <c r="M281" i="1" s="1"/>
  <c r="N281" i="1" s="1"/>
  <c r="O281" i="1" s="1"/>
  <c r="L33" i="1"/>
  <c r="M33" i="1" s="1"/>
  <c r="N33" i="1" s="1"/>
  <c r="O33" i="1" s="1"/>
  <c r="L477" i="1"/>
  <c r="M477" i="1" s="1"/>
  <c r="N477" i="1" s="1"/>
  <c r="O477" i="1" s="1"/>
  <c r="L24" i="1"/>
  <c r="M24" i="1" s="1"/>
  <c r="N24" i="1" s="1"/>
  <c r="O24" i="1" s="1"/>
  <c r="L97" i="1"/>
  <c r="M97" i="1" s="1"/>
  <c r="N97" i="1" s="1"/>
  <c r="O97" i="1" s="1"/>
  <c r="L161" i="1"/>
  <c r="M161" i="1" s="1"/>
  <c r="N161" i="1" s="1"/>
  <c r="O161" i="1" s="1"/>
  <c r="L225" i="1"/>
  <c r="M225" i="1" s="1"/>
  <c r="N225" i="1" s="1"/>
  <c r="O225" i="1" s="1"/>
  <c r="L289" i="1"/>
  <c r="M289" i="1" s="1"/>
  <c r="N289" i="1" s="1"/>
  <c r="O289" i="1" s="1"/>
  <c r="L353" i="1"/>
  <c r="M353" i="1" s="1"/>
  <c r="N353" i="1" s="1"/>
  <c r="O353" i="1" s="1"/>
  <c r="L417" i="1"/>
  <c r="M417" i="1" s="1"/>
  <c r="N417" i="1" s="1"/>
  <c r="O417" i="1" s="1"/>
  <c r="L481" i="1"/>
  <c r="M481" i="1" s="1"/>
  <c r="N481" i="1" s="1"/>
  <c r="O481" i="1" s="1"/>
  <c r="L545" i="1"/>
  <c r="M545" i="1" s="1"/>
  <c r="N545" i="1" s="1"/>
  <c r="O545" i="1" s="1"/>
  <c r="L458" i="1"/>
  <c r="M458" i="1" s="1"/>
  <c r="N458" i="1" s="1"/>
  <c r="O458" i="1" s="1"/>
  <c r="L153" i="1"/>
  <c r="M153" i="1" s="1"/>
  <c r="N153" i="1" s="1"/>
  <c r="O153" i="1" s="1"/>
  <c r="L409" i="1"/>
  <c r="M409" i="1" s="1"/>
  <c r="N409" i="1" s="1"/>
  <c r="O409" i="1" s="1"/>
  <c r="L41" i="1"/>
  <c r="M41" i="1" s="1"/>
  <c r="N41" i="1" s="1"/>
  <c r="O41" i="1" s="1"/>
  <c r="L105" i="1"/>
  <c r="M105" i="1" s="1"/>
  <c r="N105" i="1" s="1"/>
  <c r="O105" i="1" s="1"/>
  <c r="L169" i="1"/>
  <c r="M169" i="1" s="1"/>
  <c r="N169" i="1" s="1"/>
  <c r="O169" i="1" s="1"/>
  <c r="L233" i="1"/>
  <c r="M233" i="1" s="1"/>
  <c r="N233" i="1" s="1"/>
  <c r="O233" i="1" s="1"/>
  <c r="L297" i="1"/>
  <c r="M297" i="1" s="1"/>
  <c r="N297" i="1" s="1"/>
  <c r="O297" i="1" s="1"/>
  <c r="L361" i="1"/>
  <c r="M361" i="1" s="1"/>
  <c r="N361" i="1" s="1"/>
  <c r="O361" i="1" s="1"/>
  <c r="L425" i="1"/>
  <c r="M425" i="1" s="1"/>
  <c r="N425" i="1" s="1"/>
  <c r="O425" i="1" s="1"/>
  <c r="L489" i="1"/>
  <c r="M489" i="1" s="1"/>
  <c r="N489" i="1" s="1"/>
  <c r="O489" i="1" s="1"/>
  <c r="L553" i="1"/>
  <c r="M553" i="1" s="1"/>
  <c r="N553" i="1" s="1"/>
  <c r="O553" i="1" s="1"/>
  <c r="L482" i="1"/>
  <c r="M482" i="1" s="1"/>
  <c r="N482" i="1" s="1"/>
  <c r="O482" i="1" s="1"/>
  <c r="L537" i="1"/>
  <c r="M537" i="1" s="1"/>
  <c r="N537" i="1" s="1"/>
  <c r="O537" i="1" s="1"/>
  <c r="L49" i="1"/>
  <c r="M49" i="1" s="1"/>
  <c r="N49" i="1" s="1"/>
  <c r="O49" i="1" s="1"/>
  <c r="L509" i="1"/>
  <c r="M509" i="1" s="1"/>
  <c r="N509" i="1" s="1"/>
  <c r="O509" i="1" s="1"/>
  <c r="L486" i="1"/>
  <c r="M486" i="1" s="1"/>
  <c r="N486" i="1" s="1"/>
  <c r="O486" i="1" s="1"/>
  <c r="L598" i="1"/>
  <c r="M598" i="1" s="1"/>
  <c r="N598" i="1" s="1"/>
  <c r="O598" i="1" s="1"/>
  <c r="L113" i="1"/>
  <c r="M113" i="1" s="1"/>
  <c r="N113" i="1" s="1"/>
  <c r="O113" i="1" s="1"/>
  <c r="L177" i="1"/>
  <c r="M177" i="1" s="1"/>
  <c r="N177" i="1" s="1"/>
  <c r="O177" i="1" s="1"/>
  <c r="L241" i="1"/>
  <c r="M241" i="1" s="1"/>
  <c r="N241" i="1" s="1"/>
  <c r="O241" i="1" s="1"/>
  <c r="L369" i="1"/>
  <c r="M369" i="1" s="1"/>
  <c r="N369" i="1" s="1"/>
  <c r="O369" i="1" s="1"/>
  <c r="L497" i="1"/>
  <c r="M497" i="1" s="1"/>
  <c r="N497" i="1" s="1"/>
  <c r="O497" i="1" s="1"/>
  <c r="L506" i="1"/>
  <c r="M506" i="1" s="1"/>
  <c r="N506" i="1" s="1"/>
  <c r="O506" i="1" s="1"/>
  <c r="L601" i="1"/>
  <c r="M601" i="1" s="1"/>
  <c r="N601" i="1" s="1"/>
  <c r="O601" i="1" s="1"/>
  <c r="L81" i="1"/>
  <c r="M81" i="1" s="1"/>
  <c r="N81" i="1" s="1"/>
  <c r="O81" i="1" s="1"/>
  <c r="L570" i="1"/>
  <c r="M570" i="1" s="1"/>
  <c r="N570" i="1" s="1"/>
  <c r="O570" i="1" s="1"/>
  <c r="L586" i="1"/>
  <c r="M586" i="1" s="1"/>
  <c r="N586" i="1" s="1"/>
  <c r="O586" i="1" s="1"/>
  <c r="L494" i="1"/>
  <c r="M494" i="1" s="1"/>
  <c r="N494" i="1" s="1"/>
  <c r="O494" i="1" s="1"/>
  <c r="L121" i="1"/>
  <c r="M121" i="1" s="1"/>
  <c r="N121" i="1" s="1"/>
  <c r="O121" i="1" s="1"/>
  <c r="L249" i="1"/>
  <c r="M249" i="1" s="1"/>
  <c r="N249" i="1" s="1"/>
  <c r="O249" i="1" s="1"/>
  <c r="L313" i="1"/>
  <c r="M313" i="1" s="1"/>
  <c r="N313" i="1" s="1"/>
  <c r="O313" i="1" s="1"/>
  <c r="L377" i="1"/>
  <c r="M377" i="1" s="1"/>
  <c r="N377" i="1" s="1"/>
  <c r="O377" i="1" s="1"/>
  <c r="L505" i="1"/>
  <c r="M505" i="1" s="1"/>
  <c r="N505" i="1" s="1"/>
  <c r="O505" i="1" s="1"/>
  <c r="L569" i="1"/>
  <c r="M569" i="1" s="1"/>
  <c r="N569" i="1" s="1"/>
  <c r="O569" i="1" s="1"/>
  <c r="L46" i="1"/>
  <c r="M46" i="1" s="1"/>
  <c r="N46" i="1" s="1"/>
  <c r="O46" i="1" s="1"/>
  <c r="L65" i="1"/>
  <c r="M65" i="1" s="1"/>
  <c r="N65" i="1" s="1"/>
  <c r="O65" i="1" s="1"/>
  <c r="L154" i="1"/>
  <c r="M154" i="1" s="1"/>
  <c r="N154" i="1" s="1"/>
  <c r="O154" i="1" s="1"/>
  <c r="L218" i="1"/>
  <c r="M218" i="1" s="1"/>
  <c r="N218" i="1" s="1"/>
  <c r="O218" i="1" s="1"/>
  <c r="L282" i="1"/>
  <c r="M282" i="1" s="1"/>
  <c r="N282" i="1" s="1"/>
  <c r="O282" i="1" s="1"/>
  <c r="L346" i="1"/>
  <c r="M346" i="1" s="1"/>
  <c r="N346" i="1" s="1"/>
  <c r="O346" i="1" s="1"/>
  <c r="L410" i="1"/>
  <c r="M410" i="1" s="1"/>
  <c r="N410" i="1" s="1"/>
  <c r="O410" i="1" s="1"/>
  <c r="L573" i="1"/>
  <c r="M573" i="1" s="1"/>
  <c r="N573" i="1" s="1"/>
  <c r="O573" i="1" s="1"/>
  <c r="L129" i="1"/>
  <c r="M129" i="1" s="1"/>
  <c r="N129" i="1" s="1"/>
  <c r="O129" i="1" s="1"/>
  <c r="L193" i="1"/>
  <c r="M193" i="1" s="1"/>
  <c r="N193" i="1" s="1"/>
  <c r="O193" i="1" s="1"/>
  <c r="L257" i="1"/>
  <c r="M257" i="1" s="1"/>
  <c r="N257" i="1" s="1"/>
  <c r="O257" i="1" s="1"/>
  <c r="L321" i="1"/>
  <c r="M321" i="1" s="1"/>
  <c r="N321" i="1" s="1"/>
  <c r="O321" i="1" s="1"/>
  <c r="L385" i="1"/>
  <c r="M385" i="1" s="1"/>
  <c r="N385" i="1" s="1"/>
  <c r="O385" i="1" s="1"/>
  <c r="L449" i="1"/>
  <c r="M449" i="1" s="1"/>
  <c r="N449" i="1" s="1"/>
  <c r="O449" i="1" s="1"/>
  <c r="L513" i="1"/>
  <c r="M513" i="1" s="1"/>
  <c r="N513" i="1" s="1"/>
  <c r="O513" i="1" s="1"/>
  <c r="L577" i="1"/>
  <c r="M577" i="1" s="1"/>
  <c r="N577" i="1" s="1"/>
  <c r="O577" i="1" s="1"/>
  <c r="L522" i="1"/>
  <c r="M522" i="1" s="1"/>
  <c r="N522" i="1" s="1"/>
  <c r="O522" i="1" s="1"/>
  <c r="L538" i="1"/>
  <c r="M538" i="1" s="1"/>
  <c r="N538" i="1" s="1"/>
  <c r="O538" i="1" s="1"/>
  <c r="L9" i="1"/>
  <c r="M9" i="1" s="1"/>
  <c r="N9" i="1" s="1"/>
  <c r="O9" i="1" s="1"/>
  <c r="L73" i="1"/>
  <c r="M73" i="1" s="1"/>
  <c r="N73" i="1" s="1"/>
  <c r="O73" i="1" s="1"/>
  <c r="L26" i="1"/>
  <c r="M26" i="1" s="1"/>
  <c r="N26" i="1" s="1"/>
  <c r="O26" i="1" s="1"/>
  <c r="L530" i="1"/>
  <c r="M530" i="1" s="1"/>
  <c r="N530" i="1" s="1"/>
  <c r="O530" i="1" s="1"/>
  <c r="L16" i="1"/>
  <c r="M16" i="1" s="1"/>
  <c r="N16" i="1" s="1"/>
  <c r="O16" i="1" s="1"/>
  <c r="L510" i="1"/>
  <c r="M510" i="1" s="1"/>
  <c r="N510" i="1" s="1"/>
  <c r="O510" i="1" s="1"/>
  <c r="L498" i="1"/>
  <c r="M498" i="1" s="1"/>
  <c r="N498" i="1" s="1"/>
  <c r="O498" i="1" s="1"/>
  <c r="L137" i="1"/>
  <c r="M137" i="1" s="1"/>
  <c r="N137" i="1" s="1"/>
  <c r="O137" i="1" s="1"/>
  <c r="L201" i="1"/>
  <c r="M201" i="1" s="1"/>
  <c r="N201" i="1" s="1"/>
  <c r="O201" i="1" s="1"/>
  <c r="L265" i="1"/>
  <c r="M265" i="1" s="1"/>
  <c r="N265" i="1" s="1"/>
  <c r="O265" i="1" s="1"/>
  <c r="L329" i="1"/>
  <c r="M329" i="1" s="1"/>
  <c r="N329" i="1" s="1"/>
  <c r="O329" i="1" s="1"/>
  <c r="L393" i="1"/>
  <c r="M393" i="1" s="1"/>
  <c r="N393" i="1" s="1"/>
  <c r="O393" i="1" s="1"/>
  <c r="L457" i="1"/>
  <c r="M457" i="1" s="1"/>
  <c r="N457" i="1" s="1"/>
  <c r="O457" i="1" s="1"/>
  <c r="L521" i="1"/>
  <c r="M521" i="1" s="1"/>
  <c r="N521" i="1" s="1"/>
  <c r="O521" i="1" s="1"/>
  <c r="L585" i="1"/>
  <c r="M585" i="1" s="1"/>
  <c r="N585" i="1" s="1"/>
  <c r="O585" i="1" s="1"/>
  <c r="L546" i="1"/>
  <c r="M546" i="1" s="1"/>
  <c r="N546" i="1" s="1"/>
  <c r="O546" i="1" s="1"/>
  <c r="L25" i="1"/>
  <c r="M25" i="1" s="1"/>
  <c r="N25" i="1" s="1"/>
  <c r="O25" i="1" s="1"/>
  <c r="L8" i="1"/>
  <c r="M8" i="1" s="1"/>
  <c r="N8" i="1" s="1"/>
  <c r="O8" i="1" s="1"/>
  <c r="L474" i="1"/>
  <c r="M474" i="1" s="1"/>
  <c r="N474" i="1" s="1"/>
  <c r="O474" i="1" s="1"/>
  <c r="L145" i="1"/>
  <c r="M145" i="1" s="1"/>
  <c r="N145" i="1" s="1"/>
  <c r="O145" i="1" s="1"/>
  <c r="L273" i="1"/>
  <c r="M273" i="1" s="1"/>
  <c r="N273" i="1" s="1"/>
  <c r="O273" i="1" s="1"/>
  <c r="L401" i="1"/>
  <c r="M401" i="1" s="1"/>
  <c r="N401" i="1" s="1"/>
  <c r="O401" i="1" s="1"/>
  <c r="L602" i="1"/>
  <c r="M602" i="1" s="1"/>
  <c r="N602" i="1" s="1"/>
  <c r="O602" i="1" s="1"/>
  <c r="L90" i="1"/>
  <c r="M90" i="1" s="1"/>
  <c r="N90" i="1" s="1"/>
  <c r="O90" i="1" s="1"/>
  <c r="L209" i="1"/>
  <c r="M209" i="1" s="1"/>
  <c r="N209" i="1" s="1"/>
  <c r="O209" i="1" s="1"/>
  <c r="L305" i="1"/>
  <c r="M305" i="1" s="1"/>
  <c r="N305" i="1" s="1"/>
  <c r="O305" i="1" s="1"/>
  <c r="L337" i="1"/>
  <c r="M337" i="1" s="1"/>
  <c r="N337" i="1" s="1"/>
  <c r="O337" i="1" s="1"/>
  <c r="L433" i="1"/>
  <c r="M433" i="1" s="1"/>
  <c r="N433" i="1" s="1"/>
  <c r="O433" i="1" s="1"/>
  <c r="L465" i="1"/>
  <c r="M465" i="1" s="1"/>
  <c r="N465" i="1" s="1"/>
  <c r="O465" i="1" s="1"/>
  <c r="L529" i="1"/>
  <c r="M529" i="1" s="1"/>
  <c r="N529" i="1" s="1"/>
  <c r="O529" i="1" s="1"/>
  <c r="L561" i="1"/>
  <c r="M561" i="1" s="1"/>
  <c r="N561" i="1" s="1"/>
  <c r="O561" i="1" s="1"/>
  <c r="L593" i="1"/>
  <c r="M593" i="1" s="1"/>
  <c r="N593" i="1" s="1"/>
  <c r="O593" i="1" s="1"/>
  <c r="L89" i="1"/>
  <c r="M89" i="1" s="1"/>
  <c r="N89" i="1" s="1"/>
  <c r="O89" i="1" s="1"/>
  <c r="L185" i="1"/>
  <c r="M185" i="1" s="1"/>
  <c r="N185" i="1" s="1"/>
  <c r="O185" i="1" s="1"/>
  <c r="L217" i="1"/>
  <c r="M217" i="1" s="1"/>
  <c r="N217" i="1" s="1"/>
  <c r="O217" i="1" s="1"/>
  <c r="L345" i="1"/>
  <c r="M345" i="1" s="1"/>
  <c r="N345" i="1" s="1"/>
  <c r="O345" i="1" s="1"/>
  <c r="L441" i="1"/>
  <c r="M441" i="1" s="1"/>
  <c r="N441" i="1" s="1"/>
  <c r="O441" i="1" s="1"/>
  <c r="L473" i="1"/>
  <c r="M473" i="1" s="1"/>
  <c r="N473" i="1" s="1"/>
  <c r="O473" i="1" s="1"/>
  <c r="L36" i="1"/>
  <c r="M36" i="1" s="1"/>
  <c r="N36" i="1" s="1"/>
  <c r="O36" i="1" s="1"/>
  <c r="L452" i="1"/>
  <c r="M452" i="1" s="1"/>
  <c r="N452" i="1" s="1"/>
  <c r="O452" i="1" s="1"/>
  <c r="L56" i="1"/>
  <c r="M56" i="1" s="1"/>
  <c r="N56" i="1" s="1"/>
  <c r="O56" i="1" s="1"/>
  <c r="L120" i="1"/>
  <c r="M120" i="1" s="1"/>
  <c r="N120" i="1" s="1"/>
  <c r="O120" i="1" s="1"/>
  <c r="L184" i="1"/>
  <c r="M184" i="1" s="1"/>
  <c r="N184" i="1" s="1"/>
  <c r="O184" i="1" s="1"/>
  <c r="L248" i="1"/>
  <c r="M248" i="1" s="1"/>
  <c r="N248" i="1" s="1"/>
  <c r="O248" i="1" s="1"/>
  <c r="L312" i="1"/>
  <c r="M312" i="1" s="1"/>
  <c r="N312" i="1" s="1"/>
  <c r="O312" i="1" s="1"/>
  <c r="L376" i="1"/>
  <c r="M376" i="1" s="1"/>
  <c r="N376" i="1" s="1"/>
  <c r="O376" i="1" s="1"/>
  <c r="L440" i="1"/>
  <c r="M440" i="1" s="1"/>
  <c r="N440" i="1" s="1"/>
  <c r="O440" i="1" s="1"/>
  <c r="L496" i="1"/>
  <c r="M496" i="1" s="1"/>
  <c r="N496" i="1" s="1"/>
  <c r="O496" i="1" s="1"/>
  <c r="L560" i="1"/>
  <c r="M560" i="1" s="1"/>
  <c r="N560" i="1" s="1"/>
  <c r="O560" i="1" s="1"/>
  <c r="L364" i="1"/>
  <c r="M364" i="1" s="1"/>
  <c r="N364" i="1" s="1"/>
  <c r="O364" i="1" s="1"/>
  <c r="L436" i="1"/>
  <c r="M436" i="1" s="1"/>
  <c r="N436" i="1" s="1"/>
  <c r="O436" i="1" s="1"/>
  <c r="L38" i="1"/>
  <c r="M38" i="1" s="1"/>
  <c r="N38" i="1" s="1"/>
  <c r="O38" i="1" s="1"/>
  <c r="L118" i="1"/>
  <c r="M118" i="1" s="1"/>
  <c r="N118" i="1" s="1"/>
  <c r="O118" i="1" s="1"/>
  <c r="L222" i="1"/>
  <c r="M222" i="1" s="1"/>
  <c r="N222" i="1" s="1"/>
  <c r="O222" i="1" s="1"/>
  <c r="L286" i="1"/>
  <c r="M286" i="1" s="1"/>
  <c r="N286" i="1" s="1"/>
  <c r="O286" i="1" s="1"/>
  <c r="L358" i="1"/>
  <c r="M358" i="1" s="1"/>
  <c r="N358" i="1" s="1"/>
  <c r="O358" i="1" s="1"/>
  <c r="L438" i="1"/>
  <c r="M438" i="1" s="1"/>
  <c r="N438" i="1" s="1"/>
  <c r="O438" i="1" s="1"/>
  <c r="L566" i="1"/>
  <c r="M566" i="1" s="1"/>
  <c r="N566" i="1" s="1"/>
  <c r="O566" i="1" s="1"/>
  <c r="L68" i="1"/>
  <c r="M68" i="1" s="1"/>
  <c r="N68" i="1" s="1"/>
  <c r="O68" i="1" s="1"/>
  <c r="L484" i="1"/>
  <c r="M484" i="1" s="1"/>
  <c r="N484" i="1" s="1"/>
  <c r="O484" i="1" s="1"/>
  <c r="L64" i="1"/>
  <c r="M64" i="1" s="1"/>
  <c r="N64" i="1" s="1"/>
  <c r="O64" i="1" s="1"/>
  <c r="L128" i="1"/>
  <c r="M128" i="1" s="1"/>
  <c r="N128" i="1" s="1"/>
  <c r="O128" i="1" s="1"/>
  <c r="L192" i="1"/>
  <c r="M192" i="1" s="1"/>
  <c r="N192" i="1" s="1"/>
  <c r="O192" i="1" s="1"/>
  <c r="L256" i="1"/>
  <c r="M256" i="1" s="1"/>
  <c r="N256" i="1" s="1"/>
  <c r="O256" i="1" s="1"/>
  <c r="L320" i="1"/>
  <c r="M320" i="1" s="1"/>
  <c r="N320" i="1" s="1"/>
  <c r="O320" i="1" s="1"/>
  <c r="L384" i="1"/>
  <c r="M384" i="1" s="1"/>
  <c r="N384" i="1" s="1"/>
  <c r="O384" i="1" s="1"/>
  <c r="L504" i="1"/>
  <c r="M504" i="1" s="1"/>
  <c r="N504" i="1" s="1"/>
  <c r="O504" i="1" s="1"/>
  <c r="L568" i="1"/>
  <c r="M568" i="1" s="1"/>
  <c r="N568" i="1" s="1"/>
  <c r="O568" i="1" s="1"/>
  <c r="L428" i="1"/>
  <c r="M428" i="1" s="1"/>
  <c r="N428" i="1" s="1"/>
  <c r="O428" i="1" s="1"/>
  <c r="L500" i="1"/>
  <c r="M500" i="1" s="1"/>
  <c r="N500" i="1" s="1"/>
  <c r="O500" i="1" s="1"/>
  <c r="L54" i="1"/>
  <c r="M54" i="1" s="1"/>
  <c r="N54" i="1" s="1"/>
  <c r="O54" i="1" s="1"/>
  <c r="L142" i="1"/>
  <c r="M142" i="1" s="1"/>
  <c r="N142" i="1" s="1"/>
  <c r="O142" i="1" s="1"/>
  <c r="L230" i="1"/>
  <c r="M230" i="1" s="1"/>
  <c r="N230" i="1" s="1"/>
  <c r="O230" i="1" s="1"/>
  <c r="L294" i="1"/>
  <c r="M294" i="1" s="1"/>
  <c r="N294" i="1" s="1"/>
  <c r="O294" i="1" s="1"/>
  <c r="L374" i="1"/>
  <c r="M374" i="1" s="1"/>
  <c r="N374" i="1" s="1"/>
  <c r="O374" i="1" s="1"/>
  <c r="L446" i="1"/>
  <c r="M446" i="1" s="1"/>
  <c r="N446" i="1" s="1"/>
  <c r="O446" i="1" s="1"/>
  <c r="L574" i="1"/>
  <c r="M574" i="1" s="1"/>
  <c r="N574" i="1" s="1"/>
  <c r="O574" i="1" s="1"/>
  <c r="L132" i="1"/>
  <c r="M132" i="1" s="1"/>
  <c r="N132" i="1" s="1"/>
  <c r="O132" i="1" s="1"/>
  <c r="L72" i="1"/>
  <c r="M72" i="1" s="1"/>
  <c r="N72" i="1" s="1"/>
  <c r="O72" i="1" s="1"/>
  <c r="L200" i="1"/>
  <c r="M200" i="1" s="1"/>
  <c r="N200" i="1" s="1"/>
  <c r="O200" i="1" s="1"/>
  <c r="L264" i="1"/>
  <c r="M264" i="1" s="1"/>
  <c r="N264" i="1" s="1"/>
  <c r="O264" i="1" s="1"/>
  <c r="L328" i="1"/>
  <c r="M328" i="1" s="1"/>
  <c r="N328" i="1" s="1"/>
  <c r="O328" i="1" s="1"/>
  <c r="L392" i="1"/>
  <c r="M392" i="1" s="1"/>
  <c r="N392" i="1" s="1"/>
  <c r="O392" i="1" s="1"/>
  <c r="L512" i="1"/>
  <c r="M512" i="1" s="1"/>
  <c r="N512" i="1" s="1"/>
  <c r="O512" i="1" s="1"/>
  <c r="L238" i="1"/>
  <c r="M238" i="1" s="1"/>
  <c r="N238" i="1" s="1"/>
  <c r="O238" i="1" s="1"/>
  <c r="L164" i="1"/>
  <c r="M164" i="1" s="1"/>
  <c r="N164" i="1" s="1"/>
  <c r="O164" i="1" s="1"/>
  <c r="L548" i="1"/>
  <c r="M548" i="1" s="1"/>
  <c r="N548" i="1" s="1"/>
  <c r="O548" i="1" s="1"/>
  <c r="L80" i="1"/>
  <c r="M80" i="1" s="1"/>
  <c r="N80" i="1" s="1"/>
  <c r="O80" i="1" s="1"/>
  <c r="L144" i="1"/>
  <c r="M144" i="1" s="1"/>
  <c r="N144" i="1" s="1"/>
  <c r="O144" i="1" s="1"/>
  <c r="L208" i="1"/>
  <c r="M208" i="1" s="1"/>
  <c r="N208" i="1" s="1"/>
  <c r="O208" i="1" s="1"/>
  <c r="L272" i="1"/>
  <c r="M272" i="1" s="1"/>
  <c r="N272" i="1" s="1"/>
  <c r="O272" i="1" s="1"/>
  <c r="L336" i="1"/>
  <c r="M336" i="1" s="1"/>
  <c r="N336" i="1" s="1"/>
  <c r="O336" i="1" s="1"/>
  <c r="L400" i="1"/>
  <c r="M400" i="1" s="1"/>
  <c r="N400" i="1" s="1"/>
  <c r="O400" i="1" s="1"/>
  <c r="L456" i="1"/>
  <c r="M456" i="1" s="1"/>
  <c r="N456" i="1" s="1"/>
  <c r="O456" i="1" s="1"/>
  <c r="L520" i="1"/>
  <c r="M520" i="1" s="1"/>
  <c r="N520" i="1" s="1"/>
  <c r="O520" i="1" s="1"/>
  <c r="L584" i="1"/>
  <c r="M584" i="1" s="1"/>
  <c r="N584" i="1" s="1"/>
  <c r="O584" i="1" s="1"/>
  <c r="L78" i="1"/>
  <c r="M78" i="1" s="1"/>
  <c r="N78" i="1" s="1"/>
  <c r="O78" i="1" s="1"/>
  <c r="L174" i="1"/>
  <c r="M174" i="1" s="1"/>
  <c r="N174" i="1" s="1"/>
  <c r="O174" i="1" s="1"/>
  <c r="L246" i="1"/>
  <c r="M246" i="1" s="1"/>
  <c r="N246" i="1" s="1"/>
  <c r="O246" i="1" s="1"/>
  <c r="L310" i="1"/>
  <c r="M310" i="1" s="1"/>
  <c r="N310" i="1" s="1"/>
  <c r="O310" i="1" s="1"/>
  <c r="L390" i="1"/>
  <c r="M390" i="1" s="1"/>
  <c r="N390" i="1" s="1"/>
  <c r="O390" i="1" s="1"/>
  <c r="L470" i="1"/>
  <c r="M470" i="1" s="1"/>
  <c r="N470" i="1" s="1"/>
  <c r="O470" i="1" s="1"/>
  <c r="L590" i="1"/>
  <c r="M590" i="1" s="1"/>
  <c r="N590" i="1" s="1"/>
  <c r="O590" i="1" s="1"/>
  <c r="L516" i="1"/>
  <c r="M516" i="1" s="1"/>
  <c r="N516" i="1" s="1"/>
  <c r="O516" i="1" s="1"/>
  <c r="L382" i="1"/>
  <c r="M382" i="1" s="1"/>
  <c r="N382" i="1" s="1"/>
  <c r="O382" i="1" s="1"/>
  <c r="L196" i="1"/>
  <c r="M196" i="1" s="1"/>
  <c r="N196" i="1" s="1"/>
  <c r="O196" i="1" s="1"/>
  <c r="L580" i="1"/>
  <c r="M580" i="1" s="1"/>
  <c r="N580" i="1" s="1"/>
  <c r="O580" i="1" s="1"/>
  <c r="L88" i="1"/>
  <c r="M88" i="1" s="1"/>
  <c r="N88" i="1" s="1"/>
  <c r="O88" i="1" s="1"/>
  <c r="L152" i="1"/>
  <c r="M152" i="1" s="1"/>
  <c r="N152" i="1" s="1"/>
  <c r="O152" i="1" s="1"/>
  <c r="L216" i="1"/>
  <c r="M216" i="1" s="1"/>
  <c r="N216" i="1" s="1"/>
  <c r="O216" i="1" s="1"/>
  <c r="L280" i="1"/>
  <c r="M280" i="1" s="1"/>
  <c r="N280" i="1" s="1"/>
  <c r="O280" i="1" s="1"/>
  <c r="L344" i="1"/>
  <c r="M344" i="1" s="1"/>
  <c r="N344" i="1" s="1"/>
  <c r="O344" i="1" s="1"/>
  <c r="L408" i="1"/>
  <c r="M408" i="1" s="1"/>
  <c r="N408" i="1" s="1"/>
  <c r="O408" i="1" s="1"/>
  <c r="L464" i="1"/>
  <c r="M464" i="1" s="1"/>
  <c r="N464" i="1" s="1"/>
  <c r="O464" i="1" s="1"/>
  <c r="L528" i="1"/>
  <c r="M528" i="1" s="1"/>
  <c r="N528" i="1" s="1"/>
  <c r="O528" i="1" s="1"/>
  <c r="L592" i="1"/>
  <c r="M592" i="1" s="1"/>
  <c r="N592" i="1" s="1"/>
  <c r="O592" i="1" s="1"/>
  <c r="L76" i="1"/>
  <c r="M76" i="1" s="1"/>
  <c r="N76" i="1" s="1"/>
  <c r="O76" i="1" s="1"/>
  <c r="L86" i="1"/>
  <c r="M86" i="1" s="1"/>
  <c r="N86" i="1" s="1"/>
  <c r="O86" i="1" s="1"/>
  <c r="L182" i="1"/>
  <c r="M182" i="1" s="1"/>
  <c r="N182" i="1" s="1"/>
  <c r="O182" i="1" s="1"/>
  <c r="L254" i="1"/>
  <c r="M254" i="1" s="1"/>
  <c r="N254" i="1" s="1"/>
  <c r="O254" i="1" s="1"/>
  <c r="L318" i="1"/>
  <c r="M318" i="1" s="1"/>
  <c r="N318" i="1" s="1"/>
  <c r="O318" i="1" s="1"/>
  <c r="L406" i="1"/>
  <c r="M406" i="1" s="1"/>
  <c r="N406" i="1" s="1"/>
  <c r="O406" i="1" s="1"/>
  <c r="L478" i="1"/>
  <c r="M478" i="1" s="1"/>
  <c r="N478" i="1" s="1"/>
  <c r="O478" i="1" s="1"/>
  <c r="L136" i="1"/>
  <c r="M136" i="1" s="1"/>
  <c r="N136" i="1" s="1"/>
  <c r="O136" i="1" s="1"/>
  <c r="L302" i="1"/>
  <c r="M302" i="1" s="1"/>
  <c r="N302" i="1" s="1"/>
  <c r="O302" i="1" s="1"/>
  <c r="L582" i="1"/>
  <c r="M582" i="1" s="1"/>
  <c r="N582" i="1" s="1"/>
  <c r="O582" i="1" s="1"/>
  <c r="L292" i="1"/>
  <c r="M292" i="1" s="1"/>
  <c r="N292" i="1" s="1"/>
  <c r="O292" i="1" s="1"/>
  <c r="L32" i="1"/>
  <c r="M32" i="1" s="1"/>
  <c r="N32" i="1" s="1"/>
  <c r="O32" i="1" s="1"/>
  <c r="L96" i="1"/>
  <c r="M96" i="1" s="1"/>
  <c r="N96" i="1" s="1"/>
  <c r="O96" i="1" s="1"/>
  <c r="L160" i="1"/>
  <c r="M160" i="1" s="1"/>
  <c r="N160" i="1" s="1"/>
  <c r="O160" i="1" s="1"/>
  <c r="L224" i="1"/>
  <c r="M224" i="1" s="1"/>
  <c r="N224" i="1" s="1"/>
  <c r="O224" i="1" s="1"/>
  <c r="L288" i="1"/>
  <c r="M288" i="1" s="1"/>
  <c r="N288" i="1" s="1"/>
  <c r="O288" i="1" s="1"/>
  <c r="L352" i="1"/>
  <c r="M352" i="1" s="1"/>
  <c r="N352" i="1" s="1"/>
  <c r="O352" i="1" s="1"/>
  <c r="L416" i="1"/>
  <c r="M416" i="1" s="1"/>
  <c r="N416" i="1" s="1"/>
  <c r="O416" i="1" s="1"/>
  <c r="L472" i="1"/>
  <c r="M472" i="1" s="1"/>
  <c r="N472" i="1" s="1"/>
  <c r="O472" i="1" s="1"/>
  <c r="L536" i="1"/>
  <c r="M536" i="1" s="1"/>
  <c r="N536" i="1" s="1"/>
  <c r="O536" i="1" s="1"/>
  <c r="L600" i="1"/>
  <c r="M600" i="1" s="1"/>
  <c r="N600" i="1" s="1"/>
  <c r="O600" i="1" s="1"/>
  <c r="L108" i="1"/>
  <c r="M108" i="1" s="1"/>
  <c r="N108" i="1" s="1"/>
  <c r="O108" i="1" s="1"/>
  <c r="L52" i="1"/>
  <c r="M52" i="1" s="1"/>
  <c r="N52" i="1" s="1"/>
  <c r="O52" i="1" s="1"/>
  <c r="L94" i="1"/>
  <c r="M94" i="1" s="1"/>
  <c r="N94" i="1" s="1"/>
  <c r="O94" i="1" s="1"/>
  <c r="L190" i="1"/>
  <c r="M190" i="1" s="1"/>
  <c r="N190" i="1" s="1"/>
  <c r="O190" i="1" s="1"/>
  <c r="L262" i="1"/>
  <c r="M262" i="1" s="1"/>
  <c r="N262" i="1" s="1"/>
  <c r="O262" i="1" s="1"/>
  <c r="L326" i="1"/>
  <c r="M326" i="1" s="1"/>
  <c r="N326" i="1" s="1"/>
  <c r="O326" i="1" s="1"/>
  <c r="L414" i="1"/>
  <c r="M414" i="1" s="1"/>
  <c r="N414" i="1" s="1"/>
  <c r="O414" i="1" s="1"/>
  <c r="L534" i="1"/>
  <c r="M534" i="1" s="1"/>
  <c r="N534" i="1" s="1"/>
  <c r="O534" i="1" s="1"/>
  <c r="L70" i="1"/>
  <c r="M70" i="1" s="1"/>
  <c r="N70" i="1" s="1"/>
  <c r="O70" i="1" s="1"/>
  <c r="L454" i="1"/>
  <c r="M454" i="1" s="1"/>
  <c r="N454" i="1" s="1"/>
  <c r="O454" i="1" s="1"/>
  <c r="L324" i="1"/>
  <c r="M324" i="1" s="1"/>
  <c r="N324" i="1" s="1"/>
  <c r="O324" i="1" s="1"/>
  <c r="L40" i="1"/>
  <c r="M40" i="1" s="1"/>
  <c r="N40" i="1" s="1"/>
  <c r="O40" i="1" s="1"/>
  <c r="L104" i="1"/>
  <c r="M104" i="1" s="1"/>
  <c r="N104" i="1" s="1"/>
  <c r="O104" i="1" s="1"/>
  <c r="L168" i="1"/>
  <c r="M168" i="1" s="1"/>
  <c r="N168" i="1" s="1"/>
  <c r="O168" i="1" s="1"/>
  <c r="L232" i="1"/>
  <c r="M232" i="1" s="1"/>
  <c r="N232" i="1" s="1"/>
  <c r="O232" i="1" s="1"/>
  <c r="L296" i="1"/>
  <c r="M296" i="1" s="1"/>
  <c r="N296" i="1" s="1"/>
  <c r="O296" i="1" s="1"/>
  <c r="L360" i="1"/>
  <c r="M360" i="1" s="1"/>
  <c r="N360" i="1" s="1"/>
  <c r="O360" i="1" s="1"/>
  <c r="L424" i="1"/>
  <c r="M424" i="1" s="1"/>
  <c r="N424" i="1" s="1"/>
  <c r="O424" i="1" s="1"/>
  <c r="L480" i="1"/>
  <c r="M480" i="1" s="1"/>
  <c r="N480" i="1" s="1"/>
  <c r="O480" i="1" s="1"/>
  <c r="L544" i="1"/>
  <c r="M544" i="1" s="1"/>
  <c r="N544" i="1" s="1"/>
  <c r="O544" i="1" s="1"/>
  <c r="L172" i="1"/>
  <c r="M172" i="1" s="1"/>
  <c r="N172" i="1" s="1"/>
  <c r="O172" i="1" s="1"/>
  <c r="L84" i="1"/>
  <c r="M84" i="1" s="1"/>
  <c r="N84" i="1" s="1"/>
  <c r="O84" i="1" s="1"/>
  <c r="L6" i="1"/>
  <c r="M6" i="1" s="1"/>
  <c r="N6" i="1" s="1"/>
  <c r="O6" i="1" s="1"/>
  <c r="L102" i="1"/>
  <c r="M102" i="1" s="1"/>
  <c r="N102" i="1" s="1"/>
  <c r="O102" i="1" s="1"/>
  <c r="L198" i="1"/>
  <c r="M198" i="1" s="1"/>
  <c r="N198" i="1" s="1"/>
  <c r="O198" i="1" s="1"/>
  <c r="L270" i="1"/>
  <c r="M270" i="1" s="1"/>
  <c r="N270" i="1" s="1"/>
  <c r="O270" i="1" s="1"/>
  <c r="L342" i="1"/>
  <c r="M342" i="1" s="1"/>
  <c r="N342" i="1" s="1"/>
  <c r="O342" i="1" s="1"/>
  <c r="L422" i="1"/>
  <c r="M422" i="1" s="1"/>
  <c r="N422" i="1" s="1"/>
  <c r="O422" i="1" s="1"/>
  <c r="L542" i="1"/>
  <c r="M542" i="1" s="1"/>
  <c r="N542" i="1" s="1"/>
  <c r="O542" i="1" s="1"/>
  <c r="L576" i="1"/>
  <c r="M576" i="1" s="1"/>
  <c r="N576" i="1" s="1"/>
  <c r="O576" i="1" s="1"/>
  <c r="L460" i="1"/>
  <c r="M460" i="1" s="1"/>
  <c r="N460" i="1" s="1"/>
  <c r="O460" i="1" s="1"/>
  <c r="L150" i="1"/>
  <c r="M150" i="1" s="1"/>
  <c r="N150" i="1" s="1"/>
  <c r="O150" i="1" s="1"/>
  <c r="L4" i="1"/>
  <c r="M4" i="1" s="1"/>
  <c r="N4" i="1" s="1"/>
  <c r="O4" i="1" s="1"/>
  <c r="L420" i="1"/>
  <c r="M420" i="1" s="1"/>
  <c r="N420" i="1" s="1"/>
  <c r="O420" i="1" s="1"/>
  <c r="L48" i="1"/>
  <c r="M48" i="1" s="1"/>
  <c r="N48" i="1" s="1"/>
  <c r="O48" i="1" s="1"/>
  <c r="L112" i="1"/>
  <c r="M112" i="1" s="1"/>
  <c r="N112" i="1" s="1"/>
  <c r="O112" i="1" s="1"/>
  <c r="L176" i="1"/>
  <c r="M176" i="1" s="1"/>
  <c r="N176" i="1" s="1"/>
  <c r="O176" i="1" s="1"/>
  <c r="L240" i="1"/>
  <c r="M240" i="1" s="1"/>
  <c r="N240" i="1" s="1"/>
  <c r="O240" i="1" s="1"/>
  <c r="L304" i="1"/>
  <c r="M304" i="1" s="1"/>
  <c r="N304" i="1" s="1"/>
  <c r="O304" i="1" s="1"/>
  <c r="L368" i="1"/>
  <c r="M368" i="1" s="1"/>
  <c r="N368" i="1" s="1"/>
  <c r="O368" i="1" s="1"/>
  <c r="L432" i="1"/>
  <c r="M432" i="1" s="1"/>
  <c r="N432" i="1" s="1"/>
  <c r="O432" i="1" s="1"/>
  <c r="L488" i="1"/>
  <c r="M488" i="1" s="1"/>
  <c r="N488" i="1" s="1"/>
  <c r="O488" i="1" s="1"/>
  <c r="L552" i="1"/>
  <c r="M552" i="1" s="1"/>
  <c r="N552" i="1" s="1"/>
  <c r="O552" i="1" s="1"/>
  <c r="L332" i="1"/>
  <c r="M332" i="1" s="1"/>
  <c r="N332" i="1" s="1"/>
  <c r="O332" i="1" s="1"/>
  <c r="L404" i="1"/>
  <c r="M404" i="1" s="1"/>
  <c r="N404" i="1" s="1"/>
  <c r="O404" i="1" s="1"/>
  <c r="L22" i="1"/>
  <c r="M22" i="1" s="1"/>
  <c r="N22" i="1" s="1"/>
  <c r="O22" i="1" s="1"/>
  <c r="L110" i="1"/>
  <c r="M110" i="1" s="1"/>
  <c r="N110" i="1" s="1"/>
  <c r="O110" i="1" s="1"/>
  <c r="L214" i="1"/>
  <c r="M214" i="1" s="1"/>
  <c r="N214" i="1" s="1"/>
  <c r="O214" i="1" s="1"/>
  <c r="L278" i="1"/>
  <c r="M278" i="1" s="1"/>
  <c r="N278" i="1" s="1"/>
  <c r="O278" i="1" s="1"/>
  <c r="L350" i="1"/>
  <c r="M350" i="1" s="1"/>
  <c r="N350" i="1" s="1"/>
  <c r="O350" i="1" s="1"/>
  <c r="L430" i="1"/>
  <c r="M430" i="1" s="1"/>
  <c r="N430" i="1" s="1"/>
  <c r="O430" i="1" s="1"/>
  <c r="L550" i="1"/>
  <c r="M550" i="1" s="1"/>
  <c r="N550" i="1" s="1"/>
  <c r="O550" i="1" s="1"/>
  <c r="L2" i="1"/>
  <c r="M2" i="1" s="1"/>
  <c r="N2" i="1" s="1"/>
  <c r="O2" i="1" s="1"/>
  <c r="M35" i="1"/>
  <c r="N35" i="1" s="1"/>
  <c r="O35" i="1" s="1"/>
  <c r="M27" i="1"/>
  <c r="N27" i="1" s="1"/>
  <c r="O27" i="1" s="1"/>
  <c r="M43" i="1"/>
  <c r="N43" i="1" s="1"/>
  <c r="O43" i="1" s="1"/>
  <c r="L3" i="2"/>
  <c r="S539" i="3" l="1"/>
  <c r="T539" i="3" s="1"/>
  <c r="S588" i="3"/>
  <c r="T588" i="3" s="1"/>
  <c r="S574" i="3"/>
  <c r="T574" i="3" s="1"/>
  <c r="S364" i="3"/>
  <c r="T364" i="3" s="1"/>
  <c r="S57" i="3"/>
  <c r="T57" i="3" s="1"/>
  <c r="S106" i="3"/>
  <c r="T106" i="3" s="1"/>
  <c r="S337" i="3"/>
  <c r="T337" i="3" s="1"/>
  <c r="S593" i="3"/>
  <c r="T593" i="3" s="1"/>
  <c r="S440" i="3"/>
  <c r="T440" i="3" s="1"/>
  <c r="S21" i="3"/>
  <c r="T21" i="3" s="1"/>
  <c r="S420" i="3"/>
  <c r="T420" i="3" s="1"/>
  <c r="S521" i="3"/>
  <c r="T521" i="3" s="1"/>
  <c r="S156" i="3"/>
  <c r="T156" i="3" s="1"/>
  <c r="S162" i="3"/>
  <c r="T162" i="3" s="1"/>
  <c r="S436" i="3"/>
  <c r="T436" i="3" s="1"/>
  <c r="S201" i="3"/>
  <c r="T201" i="3" s="1"/>
  <c r="S478" i="3"/>
  <c r="T478" i="3" s="1"/>
  <c r="S247" i="3"/>
  <c r="T247" i="3" s="1"/>
  <c r="S503" i="3"/>
  <c r="T503" i="3" s="1"/>
  <c r="S281" i="3"/>
  <c r="T281" i="3" s="1"/>
  <c r="S537" i="3"/>
  <c r="T537" i="3" s="1"/>
  <c r="S408" i="3"/>
  <c r="T408" i="3" s="1"/>
  <c r="S196" i="3"/>
  <c r="T196" i="3" s="1"/>
  <c r="S484" i="3"/>
  <c r="T484" i="3" s="1"/>
  <c r="S487" i="3"/>
  <c r="T487" i="3" s="1"/>
  <c r="S148" i="3"/>
  <c r="T148" i="3" s="1"/>
  <c r="S418" i="3"/>
  <c r="T418" i="3" s="1"/>
  <c r="S31" i="3"/>
  <c r="T31" i="3" s="1"/>
  <c r="S380" i="3"/>
  <c r="T380" i="3" s="1"/>
  <c r="S191" i="3"/>
  <c r="T191" i="3" s="1"/>
  <c r="S217" i="3"/>
  <c r="T217" i="3" s="1"/>
  <c r="S255" i="3"/>
  <c r="T255" i="3" s="1"/>
  <c r="S511" i="3"/>
  <c r="T511" i="3" s="1"/>
  <c r="S289" i="3"/>
  <c r="T289" i="3" s="1"/>
  <c r="S545" i="3"/>
  <c r="T545" i="3" s="1"/>
  <c r="S322" i="3"/>
  <c r="T322" i="3" s="1"/>
  <c r="S150" i="3"/>
  <c r="T150" i="3" s="1"/>
  <c r="S356" i="3"/>
  <c r="T356" i="3" s="1"/>
  <c r="S423" i="3"/>
  <c r="T423" i="3" s="1"/>
  <c r="S13" i="3"/>
  <c r="T13" i="3" s="1"/>
  <c r="S442" i="3"/>
  <c r="T442" i="3" s="1"/>
  <c r="S516" i="3"/>
  <c r="T516" i="3" s="1"/>
  <c r="S233" i="3"/>
  <c r="T233" i="3" s="1"/>
  <c r="S494" i="3"/>
  <c r="T494" i="3" s="1"/>
  <c r="S263" i="3"/>
  <c r="T263" i="3" s="1"/>
  <c r="S519" i="3"/>
  <c r="T519" i="3" s="1"/>
  <c r="S297" i="3"/>
  <c r="T297" i="3" s="1"/>
  <c r="S553" i="3"/>
  <c r="T553" i="3" s="1"/>
  <c r="S600" i="3"/>
  <c r="T600" i="3" s="1"/>
  <c r="S142" i="3"/>
  <c r="T142" i="3" s="1"/>
  <c r="S462" i="3"/>
  <c r="T462" i="3" s="1"/>
  <c r="S76" i="3"/>
  <c r="T76" i="3" s="1"/>
  <c r="S355" i="3"/>
  <c r="T355" i="3" s="1"/>
  <c r="S143" i="3"/>
  <c r="T143" i="3" s="1"/>
  <c r="S332" i="3"/>
  <c r="T332" i="3" s="1"/>
  <c r="S309" i="3"/>
  <c r="T309" i="3" s="1"/>
  <c r="S438" i="3"/>
  <c r="T438" i="3" s="1"/>
  <c r="S591" i="3"/>
  <c r="T591" i="3" s="1"/>
  <c r="S117" i="3"/>
  <c r="T117" i="3" s="1"/>
  <c r="S131" i="3"/>
  <c r="T131" i="3" s="1"/>
  <c r="S226" i="3"/>
  <c r="T226" i="3" s="1"/>
  <c r="S340" i="3"/>
  <c r="T340" i="3" s="1"/>
  <c r="S407" i="3"/>
  <c r="T407" i="3" s="1"/>
  <c r="S441" i="3"/>
  <c r="T441" i="3" s="1"/>
  <c r="S282" i="3"/>
  <c r="T282" i="3" s="1"/>
  <c r="S237" i="3"/>
  <c r="T237" i="3" s="1"/>
  <c r="S228" i="3"/>
  <c r="T228" i="3" s="1"/>
  <c r="S398" i="3"/>
  <c r="T398" i="3" s="1"/>
  <c r="S67" i="3"/>
  <c r="T67" i="3" s="1"/>
  <c r="S202" i="3"/>
  <c r="T202" i="3" s="1"/>
  <c r="S346" i="3"/>
  <c r="T346" i="3" s="1"/>
  <c r="S389" i="3"/>
  <c r="T389" i="3" s="1"/>
  <c r="S25" i="3"/>
  <c r="T25" i="3" s="1"/>
  <c r="S390" i="3"/>
  <c r="T390" i="3" s="1"/>
  <c r="S479" i="3"/>
  <c r="T479" i="3" s="1"/>
  <c r="S257" i="3"/>
  <c r="T257" i="3" s="1"/>
  <c r="S81" i="3"/>
  <c r="T81" i="3" s="1"/>
  <c r="S530" i="3"/>
  <c r="T530" i="3" s="1"/>
  <c r="S54" i="3"/>
  <c r="T54" i="3" s="1"/>
  <c r="S220" i="3"/>
  <c r="T220" i="3" s="1"/>
  <c r="S11" i="3"/>
  <c r="T11" i="3" s="1"/>
  <c r="S218" i="3"/>
  <c r="T218" i="3" s="1"/>
  <c r="S212" i="3"/>
  <c r="T212" i="3" s="1"/>
  <c r="S28" i="3"/>
  <c r="T28" i="3" s="1"/>
  <c r="S129" i="3"/>
  <c r="T129" i="3" s="1"/>
  <c r="S341" i="3"/>
  <c r="T341" i="3" s="1"/>
  <c r="S431" i="3"/>
  <c r="T431" i="3" s="1"/>
  <c r="S149" i="3"/>
  <c r="T149" i="3" s="1"/>
  <c r="S34" i="3"/>
  <c r="T34" i="3" s="1"/>
  <c r="S413" i="3"/>
  <c r="T413" i="3" s="1"/>
  <c r="S192" i="3"/>
  <c r="T192" i="3" s="1"/>
  <c r="S379" i="3"/>
  <c r="T379" i="3" s="1"/>
  <c r="S49" i="3"/>
  <c r="T49" i="3" s="1"/>
  <c r="S581" i="3"/>
  <c r="T581" i="3" s="1"/>
  <c r="S397" i="3"/>
  <c r="T397" i="3" s="1"/>
  <c r="S318" i="3"/>
  <c r="T318" i="3" s="1"/>
  <c r="S259" i="3"/>
  <c r="T259" i="3" s="1"/>
  <c r="S256" i="3"/>
  <c r="T256" i="3" s="1"/>
  <c r="S56" i="3"/>
  <c r="T56" i="3" s="1"/>
  <c r="S405" i="3"/>
  <c r="T405" i="3" s="1"/>
  <c r="S406" i="3"/>
  <c r="T406" i="3" s="1"/>
  <c r="S495" i="3"/>
  <c r="T495" i="3" s="1"/>
  <c r="S123" i="3"/>
  <c r="T123" i="3" s="1"/>
  <c r="S373" i="3"/>
  <c r="T373" i="3" s="1"/>
  <c r="S523" i="3"/>
  <c r="T523" i="3" s="1"/>
  <c r="S200" i="3"/>
  <c r="T200" i="3" s="1"/>
  <c r="S477" i="3"/>
  <c r="T477" i="3" s="1"/>
  <c r="S211" i="3"/>
  <c r="T211" i="3" s="1"/>
  <c r="S339" i="3"/>
  <c r="T339" i="3" s="1"/>
  <c r="S421" i="3"/>
  <c r="T421" i="3" s="1"/>
  <c r="S133" i="3"/>
  <c r="T133" i="3" s="1"/>
  <c r="S124" i="3"/>
  <c r="T124" i="3" s="1"/>
  <c r="S107" i="3"/>
  <c r="T107" i="3" s="1"/>
  <c r="S84" i="3"/>
  <c r="T84" i="3" s="1"/>
  <c r="S347" i="3"/>
  <c r="T347" i="3" s="1"/>
  <c r="S111" i="3"/>
  <c r="T111" i="3" s="1"/>
  <c r="S365" i="3"/>
  <c r="T365" i="3" s="1"/>
  <c r="S125" i="3"/>
  <c r="T125" i="3" s="1"/>
  <c r="S52" i="3"/>
  <c r="T52" i="3" s="1"/>
  <c r="S35" i="3"/>
  <c r="T35" i="3" s="1"/>
  <c r="S93" i="3"/>
  <c r="T93" i="3" s="1"/>
  <c r="S410" i="3"/>
  <c r="T410" i="3" s="1"/>
  <c r="S39" i="3"/>
  <c r="T39" i="3" s="1"/>
  <c r="S396" i="3"/>
  <c r="T396" i="3" s="1"/>
  <c r="S121" i="3"/>
  <c r="T121" i="3" s="1"/>
  <c r="S433" i="3"/>
  <c r="T433" i="3" s="1"/>
  <c r="S177" i="3"/>
  <c r="T177" i="3" s="1"/>
  <c r="S338" i="3"/>
  <c r="T338" i="3" s="1"/>
  <c r="S44" i="3"/>
  <c r="T44" i="3" s="1"/>
  <c r="S551" i="3"/>
  <c r="T551" i="3" s="1"/>
  <c r="S555" i="3"/>
  <c r="T555" i="3" s="1"/>
  <c r="S596" i="3"/>
  <c r="T596" i="3" s="1"/>
  <c r="S381" i="3"/>
  <c r="T381" i="3" s="1"/>
  <c r="S58" i="3"/>
  <c r="T58" i="3" s="1"/>
  <c r="S128" i="3"/>
  <c r="T128" i="3" s="1"/>
  <c r="S147" i="3"/>
  <c r="T147" i="3" s="1"/>
  <c r="S12" i="3"/>
  <c r="T12" i="3" s="1"/>
  <c r="S371" i="3"/>
  <c r="T371" i="3" s="1"/>
  <c r="S207" i="3"/>
  <c r="T207" i="3" s="1"/>
  <c r="S348" i="3"/>
  <c r="T348" i="3" s="1"/>
  <c r="S24" i="3"/>
  <c r="T24" i="3" s="1"/>
  <c r="S74" i="3"/>
  <c r="T74" i="3" s="1"/>
  <c r="S248" i="3"/>
  <c r="T248" i="3" s="1"/>
  <c r="S400" i="3"/>
  <c r="T400" i="3" s="1"/>
  <c r="S597" i="3"/>
  <c r="T597" i="3" s="1"/>
  <c r="S531" i="3"/>
  <c r="T531" i="3" s="1"/>
  <c r="S232" i="3"/>
  <c r="T232" i="3" s="1"/>
  <c r="S224" i="3"/>
  <c r="T224" i="3" s="1"/>
  <c r="S369" i="3"/>
  <c r="T369" i="3" s="1"/>
  <c r="S40" i="3"/>
  <c r="T40" i="3" s="1"/>
  <c r="S325" i="3"/>
  <c r="T325" i="3" s="1"/>
  <c r="S482" i="3"/>
  <c r="T482" i="3" s="1"/>
  <c r="S103" i="3"/>
  <c r="T103" i="3" s="1"/>
  <c r="S492" i="3"/>
  <c r="T492" i="3" s="1"/>
  <c r="S185" i="3"/>
  <c r="T185" i="3" s="1"/>
  <c r="S234" i="3"/>
  <c r="T234" i="3" s="1"/>
  <c r="S401" i="3"/>
  <c r="T401" i="3" s="1"/>
  <c r="S113" i="3"/>
  <c r="T113" i="3" s="1"/>
  <c r="S466" i="3"/>
  <c r="T466" i="3" s="1"/>
  <c r="S204" i="3"/>
  <c r="T204" i="3" s="1"/>
  <c r="S334" i="3"/>
  <c r="T334" i="3" s="1"/>
  <c r="S238" i="3"/>
  <c r="T238" i="3" s="1"/>
  <c r="S151" i="3"/>
  <c r="T151" i="3" s="1"/>
  <c r="S450" i="3"/>
  <c r="T450" i="3" s="1"/>
  <c r="S286" i="3"/>
  <c r="T286" i="3" s="1"/>
  <c r="S542" i="3"/>
  <c r="T542" i="3" s="1"/>
  <c r="S311" i="3"/>
  <c r="T311" i="3" s="1"/>
  <c r="S567" i="3"/>
  <c r="T567" i="3" s="1"/>
  <c r="S345" i="3"/>
  <c r="T345" i="3" s="1"/>
  <c r="S601" i="3"/>
  <c r="T601" i="3" s="1"/>
  <c r="S434" i="3"/>
  <c r="T434" i="3" s="1"/>
  <c r="S132" i="3"/>
  <c r="T132" i="3" s="1"/>
  <c r="S514" i="3"/>
  <c r="T514" i="3" s="1"/>
  <c r="S393" i="3"/>
  <c r="T393" i="3" s="1"/>
  <c r="S474" i="3"/>
  <c r="T474" i="3" s="1"/>
  <c r="S304" i="3"/>
  <c r="T304" i="3" s="1"/>
  <c r="S444" i="3"/>
  <c r="T444" i="3" s="1"/>
  <c r="S294" i="3"/>
  <c r="T294" i="3" s="1"/>
  <c r="S319" i="3"/>
  <c r="T319" i="3" s="1"/>
  <c r="S575" i="3"/>
  <c r="T575" i="3" s="1"/>
  <c r="S353" i="3"/>
  <c r="T353" i="3" s="1"/>
  <c r="S17" i="3"/>
  <c r="T17" i="3" s="1"/>
  <c r="S376" i="3"/>
  <c r="T376" i="3" s="1"/>
  <c r="S86" i="3"/>
  <c r="T86" i="3" s="1"/>
  <c r="S69" i="3"/>
  <c r="T69" i="3" s="1"/>
  <c r="S60" i="3"/>
  <c r="T60" i="3" s="1"/>
  <c r="S43" i="3"/>
  <c r="T43" i="3" s="1"/>
  <c r="S329" i="3"/>
  <c r="T329" i="3" s="1"/>
  <c r="S385" i="3"/>
  <c r="T385" i="3" s="1"/>
  <c r="S260" i="3"/>
  <c r="T260" i="3" s="1"/>
  <c r="S580" i="3"/>
  <c r="T580" i="3" s="1"/>
  <c r="S302" i="3"/>
  <c r="T302" i="3" s="1"/>
  <c r="S558" i="3"/>
  <c r="T558" i="3" s="1"/>
  <c r="S327" i="3"/>
  <c r="T327" i="3" s="1"/>
  <c r="S583" i="3"/>
  <c r="T583" i="3" s="1"/>
  <c r="S361" i="3"/>
  <c r="T361" i="3" s="1"/>
  <c r="S33" i="3"/>
  <c r="T33" i="3" s="1"/>
  <c r="S344" i="3"/>
  <c r="T344" i="3" s="1"/>
  <c r="S78" i="3"/>
  <c r="T78" i="3" s="1"/>
  <c r="S244" i="3"/>
  <c r="T244" i="3" s="1"/>
  <c r="S480" i="3"/>
  <c r="T480" i="3" s="1"/>
  <c r="S359" i="3"/>
  <c r="T359" i="3" s="1"/>
  <c r="S155" i="3"/>
  <c r="T155" i="3" s="1"/>
  <c r="S419" i="3"/>
  <c r="T419" i="3" s="1"/>
  <c r="S272" i="3"/>
  <c r="T272" i="3" s="1"/>
  <c r="S437" i="3"/>
  <c r="T437" i="3" s="1"/>
  <c r="S502" i="3"/>
  <c r="T502" i="3" s="1"/>
  <c r="S335" i="3"/>
  <c r="T335" i="3" s="1"/>
  <c r="S112" i="3"/>
  <c r="T112" i="3" s="1"/>
  <c r="S53" i="3"/>
  <c r="T53" i="3" s="1"/>
  <c r="S578" i="3"/>
  <c r="T578" i="3" s="1"/>
  <c r="S296" i="3"/>
  <c r="T296" i="3" s="1"/>
  <c r="S186" i="3"/>
  <c r="T186" i="3" s="1"/>
  <c r="S471" i="3"/>
  <c r="T471" i="3" s="1"/>
  <c r="S249" i="3"/>
  <c r="T249" i="3" s="1"/>
  <c r="S505" i="3"/>
  <c r="T505" i="3" s="1"/>
  <c r="S536" i="3"/>
  <c r="T536" i="3" s="1"/>
  <c r="S130" i="3"/>
  <c r="T130" i="3" s="1"/>
  <c r="S295" i="3"/>
  <c r="T295" i="3" s="1"/>
  <c r="S392" i="3"/>
  <c r="T392" i="3" s="1"/>
  <c r="S114" i="3"/>
  <c r="T114" i="3" s="1"/>
  <c r="S71" i="3"/>
  <c r="T71" i="3" s="1"/>
  <c r="S476" i="3"/>
  <c r="T476" i="3" s="1"/>
  <c r="S153" i="3"/>
  <c r="T153" i="3" s="1"/>
  <c r="S454" i="3"/>
  <c r="T454" i="3" s="1"/>
  <c r="S287" i="3"/>
  <c r="T287" i="3" s="1"/>
  <c r="S543" i="3"/>
  <c r="T543" i="3" s="1"/>
  <c r="S321" i="3"/>
  <c r="T321" i="3" s="1"/>
  <c r="S209" i="3"/>
  <c r="T209" i="3" s="1"/>
  <c r="S7" i="3"/>
  <c r="T7" i="3" s="1"/>
  <c r="S394" i="3"/>
  <c r="T394" i="3" s="1"/>
  <c r="S215" i="3"/>
  <c r="T215" i="3" s="1"/>
  <c r="S352" i="3"/>
  <c r="T352" i="3" s="1"/>
  <c r="S456" i="3"/>
  <c r="T456" i="3" s="1"/>
  <c r="S459" i="3"/>
  <c r="T459" i="3" s="1"/>
  <c r="S208" i="3"/>
  <c r="T208" i="3" s="1"/>
  <c r="S388" i="3"/>
  <c r="T388" i="3" s="1"/>
  <c r="S496" i="3"/>
  <c r="T496" i="3" s="1"/>
  <c r="S253" i="3"/>
  <c r="T253" i="3" s="1"/>
  <c r="S8" i="3"/>
  <c r="T8" i="3" s="1"/>
  <c r="S307" i="3"/>
  <c r="T307" i="3" s="1"/>
  <c r="S464" i="3"/>
  <c r="T464" i="3" s="1"/>
  <c r="S323" i="3"/>
  <c r="T323" i="3" s="1"/>
  <c r="S184" i="3"/>
  <c r="T184" i="3" s="1"/>
  <c r="S469" i="3"/>
  <c r="T469" i="3" s="1"/>
  <c r="S470" i="3"/>
  <c r="T470" i="3" s="1"/>
  <c r="S48" i="3"/>
  <c r="T48" i="3" s="1"/>
  <c r="S59" i="3"/>
  <c r="T59" i="3" s="1"/>
  <c r="S550" i="3"/>
  <c r="T550" i="3" s="1"/>
  <c r="S267" i="3"/>
  <c r="T267" i="3" s="1"/>
  <c r="S595" i="3"/>
  <c r="T595" i="3" s="1"/>
  <c r="S500" i="3"/>
  <c r="T500" i="3" s="1"/>
  <c r="S285" i="3"/>
  <c r="T285" i="3" s="1"/>
  <c r="S541" i="3"/>
  <c r="T541" i="3" s="1"/>
  <c r="S333" i="3"/>
  <c r="T333" i="3" s="1"/>
  <c r="S3" i="3"/>
  <c r="T3" i="3" s="1"/>
  <c r="S403" i="3"/>
  <c r="T403" i="3" s="1"/>
  <c r="S88" i="3"/>
  <c r="T88" i="3" s="1"/>
  <c r="S549" i="3"/>
  <c r="T549" i="3" s="1"/>
  <c r="S168" i="3"/>
  <c r="T168" i="3" s="1"/>
  <c r="S357" i="3"/>
  <c r="T357" i="3" s="1"/>
  <c r="S66" i="3"/>
  <c r="T66" i="3" s="1"/>
  <c r="S411" i="3"/>
  <c r="T411" i="3" s="1"/>
  <c r="S557" i="3"/>
  <c r="T557" i="3" s="1"/>
  <c r="S227" i="3"/>
  <c r="T227" i="3" s="1"/>
  <c r="S193" i="3"/>
  <c r="T193" i="3" s="1"/>
  <c r="S210" i="3"/>
  <c r="T210" i="3" s="1"/>
  <c r="S167" i="3"/>
  <c r="T167" i="3" s="1"/>
  <c r="S460" i="3"/>
  <c r="T460" i="3" s="1"/>
  <c r="S246" i="3"/>
  <c r="T246" i="3" s="1"/>
  <c r="S497" i="3"/>
  <c r="T497" i="3" s="1"/>
  <c r="S274" i="3"/>
  <c r="T274" i="3" s="1"/>
  <c r="S6" i="3"/>
  <c r="T6" i="3" s="1"/>
  <c r="S236" i="3"/>
  <c r="T236" i="3" s="1"/>
  <c r="S97" i="3"/>
  <c r="T97" i="3" s="1"/>
  <c r="S299" i="3"/>
  <c r="T299" i="3" s="1"/>
  <c r="S175" i="3"/>
  <c r="T175" i="3" s="1"/>
  <c r="S404" i="3"/>
  <c r="T404" i="3" s="1"/>
  <c r="S509" i="3"/>
  <c r="T509" i="3" s="1"/>
  <c r="S173" i="3"/>
  <c r="T173" i="3" s="1"/>
  <c r="S164" i="3"/>
  <c r="T164" i="3" s="1"/>
  <c r="S435" i="3"/>
  <c r="T435" i="3" s="1"/>
  <c r="S152" i="3"/>
  <c r="T152" i="3" s="1"/>
  <c r="S453" i="3"/>
  <c r="T453" i="3" s="1"/>
  <c r="S229" i="3"/>
  <c r="T229" i="3" s="1"/>
  <c r="S92" i="3"/>
  <c r="T92" i="3" s="1"/>
  <c r="S160" i="3"/>
  <c r="T160" i="3" s="1"/>
  <c r="S27" i="3"/>
  <c r="T27" i="3" s="1"/>
  <c r="S416" i="3"/>
  <c r="T416" i="3" s="1"/>
  <c r="S300" i="3"/>
  <c r="T300" i="3" s="1"/>
  <c r="S72" i="3"/>
  <c r="T72" i="3" s="1"/>
  <c r="S171" i="3"/>
  <c r="T171" i="3" s="1"/>
  <c r="S283" i="3"/>
  <c r="T283" i="3" s="1"/>
  <c r="S170" i="3"/>
  <c r="T170" i="3" s="1"/>
  <c r="S108" i="3"/>
  <c r="T108" i="3" s="1"/>
  <c r="S563" i="3"/>
  <c r="T563" i="3" s="1"/>
  <c r="S326" i="3"/>
  <c r="T326" i="3" s="1"/>
  <c r="S144" i="3"/>
  <c r="T144" i="3" s="1"/>
  <c r="S101" i="3"/>
  <c r="T101" i="3" s="1"/>
  <c r="S23" i="3"/>
  <c r="T23" i="3" s="1"/>
  <c r="S538" i="3"/>
  <c r="T538" i="3" s="1"/>
  <c r="S231" i="3"/>
  <c r="T231" i="3" s="1"/>
  <c r="S556" i="3"/>
  <c r="T556" i="3" s="1"/>
  <c r="S278" i="3"/>
  <c r="T278" i="3" s="1"/>
  <c r="S465" i="3"/>
  <c r="T465" i="3" s="1"/>
  <c r="S241" i="3"/>
  <c r="T241" i="3" s="1"/>
  <c r="S90" i="3"/>
  <c r="T90" i="3" s="1"/>
  <c r="S310" i="3"/>
  <c r="T310" i="3" s="1"/>
  <c r="S506" i="3"/>
  <c r="T506" i="3" s="1"/>
  <c r="S159" i="3"/>
  <c r="T159" i="3" s="1"/>
  <c r="S350" i="3"/>
  <c r="T350" i="3" s="1"/>
  <c r="S63" i="3"/>
  <c r="T63" i="3" s="1"/>
  <c r="S375" i="3"/>
  <c r="T375" i="3" s="1"/>
  <c r="S409" i="3"/>
  <c r="T409" i="3" s="1"/>
  <c r="S250" i="3"/>
  <c r="T250" i="3" s="1"/>
  <c r="S68" i="3"/>
  <c r="T68" i="3" s="1"/>
  <c r="S169" i="3"/>
  <c r="T169" i="3" s="1"/>
  <c r="S298" i="3"/>
  <c r="T298" i="3" s="1"/>
  <c r="S378" i="3"/>
  <c r="T378" i="3" s="1"/>
  <c r="S178" i="3"/>
  <c r="T178" i="3" s="1"/>
  <c r="S135" i="3"/>
  <c r="T135" i="3" s="1"/>
  <c r="S508" i="3"/>
  <c r="T508" i="3" s="1"/>
  <c r="S223" i="3"/>
  <c r="T223" i="3" s="1"/>
  <c r="S383" i="3"/>
  <c r="T383" i="3" s="1"/>
  <c r="S417" i="3"/>
  <c r="T417" i="3" s="1"/>
  <c r="S145" i="3"/>
  <c r="T145" i="3" s="1"/>
  <c r="S402" i="3"/>
  <c r="T402" i="3" s="1"/>
  <c r="S22" i="3"/>
  <c r="T22" i="3" s="1"/>
  <c r="S5" i="3"/>
  <c r="T5" i="3" s="1"/>
  <c r="S235" i="3"/>
  <c r="T235" i="3" s="1"/>
  <c r="S41" i="3"/>
  <c r="T41" i="3" s="1"/>
  <c r="S472" i="3"/>
  <c r="T472" i="3" s="1"/>
  <c r="S194" i="3"/>
  <c r="T194" i="3" s="1"/>
  <c r="S324" i="3"/>
  <c r="T324" i="3" s="1"/>
  <c r="S366" i="3"/>
  <c r="T366" i="3" s="1"/>
  <c r="S391" i="3"/>
  <c r="T391" i="3" s="1"/>
  <c r="S425" i="3"/>
  <c r="T425" i="3" s="1"/>
  <c r="S161" i="3"/>
  <c r="T161" i="3" s="1"/>
  <c r="S370" i="3"/>
  <c r="T370" i="3" s="1"/>
  <c r="S14" i="3"/>
  <c r="T14" i="3" s="1"/>
  <c r="S180" i="3"/>
  <c r="T180" i="3" s="1"/>
  <c r="S457" i="3"/>
  <c r="T457" i="3" s="1"/>
  <c r="S483" i="3"/>
  <c r="T483" i="3" s="1"/>
  <c r="S120" i="3"/>
  <c r="T120" i="3" s="1"/>
  <c r="S501" i="3"/>
  <c r="T501" i="3" s="1"/>
  <c r="S566" i="3"/>
  <c r="T566" i="3" s="1"/>
  <c r="S463" i="3"/>
  <c r="T463" i="3" s="1"/>
  <c r="S240" i="3"/>
  <c r="T240" i="3" s="1"/>
  <c r="S219" i="3"/>
  <c r="T219" i="3" s="1"/>
  <c r="S320" i="3"/>
  <c r="T320" i="3" s="1"/>
  <c r="S183" i="3"/>
  <c r="T183" i="3" s="1"/>
  <c r="S468" i="3"/>
  <c r="T468" i="3" s="1"/>
  <c r="S9" i="3"/>
  <c r="T9" i="3" s="1"/>
  <c r="S279" i="3"/>
  <c r="T279" i="3" s="1"/>
  <c r="S535" i="3"/>
  <c r="T535" i="3" s="1"/>
  <c r="S313" i="3"/>
  <c r="T313" i="3" s="1"/>
  <c r="S569" i="3"/>
  <c r="T569" i="3" s="1"/>
  <c r="S562" i="3"/>
  <c r="T562" i="3" s="1"/>
  <c r="S100" i="3"/>
  <c r="T100" i="3" s="1"/>
  <c r="S265" i="3"/>
  <c r="T265" i="3" s="1"/>
  <c r="S461" i="3"/>
  <c r="T461" i="3" s="1"/>
  <c r="S546" i="3"/>
  <c r="T546" i="3" s="1"/>
  <c r="S242" i="3"/>
  <c r="T242" i="3" s="1"/>
  <c r="S199" i="3"/>
  <c r="T199" i="3" s="1"/>
  <c r="S540" i="3"/>
  <c r="T540" i="3" s="1"/>
  <c r="S518" i="3"/>
  <c r="T518" i="3" s="1"/>
  <c r="S351" i="3"/>
  <c r="T351" i="3" s="1"/>
  <c r="S513" i="3"/>
  <c r="T513" i="3" s="1"/>
  <c r="S290" i="3"/>
  <c r="T290" i="3" s="1"/>
  <c r="S182" i="3"/>
  <c r="T182" i="3" s="1"/>
  <c r="S165" i="3"/>
  <c r="T165" i="3" s="1"/>
  <c r="S328" i="3"/>
  <c r="T328" i="3" s="1"/>
  <c r="S548" i="3"/>
  <c r="T548" i="3" s="1"/>
  <c r="S585" i="3"/>
  <c r="T585" i="3" s="1"/>
  <c r="S515" i="3"/>
  <c r="T515" i="3" s="1"/>
  <c r="S598" i="3"/>
  <c r="T598" i="3" s="1"/>
  <c r="S32" i="3"/>
  <c r="T32" i="3" s="1"/>
  <c r="S141" i="3"/>
  <c r="T141" i="3" s="1"/>
  <c r="S510" i="3"/>
  <c r="T510" i="3" s="1"/>
  <c r="S197" i="3"/>
  <c r="T197" i="3" s="1"/>
  <c r="S189" i="3"/>
  <c r="T189" i="3" s="1"/>
  <c r="S451" i="3"/>
  <c r="T451" i="3" s="1"/>
  <c r="S277" i="3"/>
  <c r="T277" i="3" s="1"/>
  <c r="S533" i="3"/>
  <c r="T533" i="3" s="1"/>
  <c r="S534" i="3"/>
  <c r="T534" i="3" s="1"/>
  <c r="S303" i="3"/>
  <c r="T303" i="3" s="1"/>
  <c r="S176" i="3"/>
  <c r="T176" i="3" s="1"/>
  <c r="S213" i="3"/>
  <c r="T213" i="3" s="1"/>
  <c r="S140" i="3"/>
  <c r="T140" i="3" s="1"/>
  <c r="S19" i="3"/>
  <c r="T19" i="3" s="1"/>
  <c r="S29" i="3"/>
  <c r="T29" i="3" s="1"/>
  <c r="S395" i="3"/>
  <c r="T395" i="3" s="1"/>
  <c r="S280" i="3"/>
  <c r="T280" i="3" s="1"/>
  <c r="S349" i="3"/>
  <c r="T349" i="3" s="1"/>
  <c r="S79" i="3"/>
  <c r="T79" i="3" s="1"/>
  <c r="S64" i="3"/>
  <c r="T64" i="3" s="1"/>
  <c r="S205" i="3"/>
  <c r="T205" i="3" s="1"/>
  <c r="S507" i="3"/>
  <c r="T507" i="3" s="1"/>
  <c r="S449" i="3"/>
  <c r="T449" i="3" s="1"/>
  <c r="S467" i="3"/>
  <c r="T467" i="3" s="1"/>
  <c r="S216" i="3"/>
  <c r="T216" i="3" s="1"/>
  <c r="S10" i="3"/>
  <c r="T10" i="3" s="1"/>
  <c r="S80" i="3"/>
  <c r="T80" i="3" s="1"/>
  <c r="S83" i="3"/>
  <c r="T83" i="3" s="1"/>
  <c r="S486" i="3"/>
  <c r="T486" i="3" s="1"/>
  <c r="S475" i="3"/>
  <c r="T475" i="3" s="1"/>
  <c r="S104" i="3"/>
  <c r="T104" i="3" s="1"/>
  <c r="S264" i="3"/>
  <c r="T264" i="3" s="1"/>
  <c r="S26" i="3"/>
  <c r="T26" i="3" s="1"/>
  <c r="S96" i="3"/>
  <c r="T96" i="3" s="1"/>
  <c r="S163" i="3"/>
  <c r="T163" i="3" s="1"/>
  <c r="S571" i="3"/>
  <c r="T571" i="3" s="1"/>
  <c r="S446" i="3"/>
  <c r="T446" i="3" s="1"/>
  <c r="S268" i="3"/>
  <c r="T268" i="3" s="1"/>
  <c r="S305" i="3"/>
  <c r="T305" i="3" s="1"/>
  <c r="S561" i="3"/>
  <c r="T561" i="3" s="1"/>
  <c r="S568" i="3"/>
  <c r="T568" i="3" s="1"/>
  <c r="S172" i="3"/>
  <c r="T172" i="3" s="1"/>
  <c r="S46" i="3"/>
  <c r="T46" i="3" s="1"/>
  <c r="S427" i="3"/>
  <c r="T427" i="3" s="1"/>
  <c r="S136" i="3"/>
  <c r="T136" i="3" s="1"/>
  <c r="S109" i="3"/>
  <c r="T109" i="3" s="1"/>
  <c r="S292" i="3"/>
  <c r="T292" i="3" s="1"/>
  <c r="S382" i="3"/>
  <c r="T382" i="3" s="1"/>
  <c r="S499" i="3"/>
  <c r="T499" i="3" s="1"/>
  <c r="S261" i="3"/>
  <c r="T261" i="3" s="1"/>
  <c r="S517" i="3"/>
  <c r="T517" i="3" s="1"/>
  <c r="S262" i="3"/>
  <c r="T262" i="3" s="1"/>
  <c r="S16" i="3"/>
  <c r="T16" i="3" s="1"/>
  <c r="S203" i="3"/>
  <c r="T203" i="3" s="1"/>
  <c r="S358" i="3"/>
  <c r="T358" i="3" s="1"/>
  <c r="S422" i="3"/>
  <c r="T422" i="3" s="1"/>
  <c r="S512" i="3"/>
  <c r="T512" i="3" s="1"/>
  <c r="S187" i="3"/>
  <c r="T187" i="3" s="1"/>
  <c r="S275" i="3"/>
  <c r="T275" i="3" s="1"/>
  <c r="S157" i="3"/>
  <c r="T157" i="3" s="1"/>
  <c r="S99" i="3"/>
  <c r="T99" i="3" s="1"/>
  <c r="S354" i="3"/>
  <c r="T354" i="3" s="1"/>
  <c r="S288" i="3"/>
  <c r="T288" i="3" s="1"/>
  <c r="S594" i="3"/>
  <c r="T594" i="3" s="1"/>
  <c r="S491" i="3"/>
  <c r="T491" i="3" s="1"/>
  <c r="S45" i="3"/>
  <c r="T45" i="3" s="1"/>
  <c r="S372" i="3"/>
  <c r="T372" i="3" s="1"/>
  <c r="S146" i="3"/>
  <c r="T146" i="3" s="1"/>
  <c r="S127" i="3"/>
  <c r="T127" i="3" s="1"/>
  <c r="S342" i="3"/>
  <c r="T342" i="3" s="1"/>
  <c r="S273" i="3"/>
  <c r="T273" i="3" s="1"/>
  <c r="S529" i="3"/>
  <c r="T529" i="3" s="1"/>
  <c r="S306" i="3"/>
  <c r="T306" i="3" s="1"/>
  <c r="S432" i="3"/>
  <c r="T432" i="3" s="1"/>
  <c r="S20" i="3"/>
  <c r="T20" i="3" s="1"/>
  <c r="S308" i="3"/>
  <c r="T308" i="3" s="1"/>
  <c r="S73" i="3"/>
  <c r="T73" i="3" s="1"/>
  <c r="S414" i="3"/>
  <c r="T414" i="3" s="1"/>
  <c r="S122" i="3"/>
  <c r="T122" i="3" s="1"/>
  <c r="S439" i="3"/>
  <c r="T439" i="3" s="1"/>
  <c r="S473" i="3"/>
  <c r="T473" i="3" s="1"/>
  <c r="S314" i="3"/>
  <c r="T314" i="3" s="1"/>
  <c r="S51" i="3"/>
  <c r="T51" i="3" s="1"/>
  <c r="S87" i="3"/>
  <c r="T87" i="3" s="1"/>
  <c r="S590" i="3"/>
  <c r="T590" i="3" s="1"/>
  <c r="S110" i="3"/>
  <c r="T110" i="3" s="1"/>
  <c r="S316" i="3"/>
  <c r="T316" i="3" s="1"/>
  <c r="S572" i="3"/>
  <c r="T572" i="3" s="1"/>
  <c r="S293" i="3"/>
  <c r="T293" i="3" s="1"/>
  <c r="S89" i="3"/>
  <c r="T89" i="3" s="1"/>
  <c r="S138" i="3"/>
  <c r="T138" i="3" s="1"/>
  <c r="S447" i="3"/>
  <c r="T447" i="3" s="1"/>
  <c r="S481" i="3"/>
  <c r="T481" i="3" s="1"/>
  <c r="S258" i="3"/>
  <c r="T258" i="3" s="1"/>
  <c r="S214" i="3"/>
  <c r="T214" i="3" s="1"/>
  <c r="S188" i="3"/>
  <c r="T188" i="3" s="1"/>
  <c r="S526" i="3"/>
  <c r="T526" i="3" s="1"/>
  <c r="S386" i="3"/>
  <c r="T386" i="3" s="1"/>
  <c r="S105" i="3"/>
  <c r="T105" i="3" s="1"/>
  <c r="S430" i="3"/>
  <c r="T430" i="3" s="1"/>
  <c r="S154" i="3"/>
  <c r="T154" i="3" s="1"/>
  <c r="S455" i="3"/>
  <c r="T455" i="3" s="1"/>
  <c r="S489" i="3"/>
  <c r="T489" i="3" s="1"/>
  <c r="S266" i="3"/>
  <c r="T266" i="3" s="1"/>
  <c r="S206" i="3"/>
  <c r="T206" i="3" s="1"/>
  <c r="S116" i="3"/>
  <c r="T116" i="3" s="1"/>
  <c r="S95" i="3"/>
  <c r="T95" i="3" s="1"/>
  <c r="S498" i="3"/>
  <c r="T498" i="3" s="1"/>
  <c r="S291" i="3"/>
  <c r="T291" i="3" s="1"/>
  <c r="S547" i="3"/>
  <c r="T547" i="3" s="1"/>
  <c r="S524" i="3"/>
  <c r="T524" i="3" s="1"/>
  <c r="S245" i="3"/>
  <c r="T245" i="3" s="1"/>
  <c r="S565" i="3"/>
  <c r="T565" i="3" s="1"/>
  <c r="S374" i="3"/>
  <c r="T374" i="3" s="1"/>
  <c r="S42" i="3"/>
  <c r="T42" i="3" s="1"/>
  <c r="S527" i="3"/>
  <c r="T527" i="3" s="1"/>
  <c r="S181" i="3"/>
  <c r="T181" i="3" s="1"/>
  <c r="S91" i="3"/>
  <c r="T91" i="3" s="1"/>
  <c r="S98" i="3"/>
  <c r="T98" i="3" s="1"/>
  <c r="S276" i="3"/>
  <c r="T276" i="3" s="1"/>
  <c r="S532" i="3"/>
  <c r="T532" i="3" s="1"/>
  <c r="S137" i="3"/>
  <c r="T137" i="3" s="1"/>
  <c r="S343" i="3"/>
  <c r="T343" i="3" s="1"/>
  <c r="S599" i="3"/>
  <c r="T599" i="3" s="1"/>
  <c r="S377" i="3"/>
  <c r="T377" i="3" s="1"/>
  <c r="S65" i="3"/>
  <c r="T65" i="3" s="1"/>
  <c r="S36" i="3"/>
  <c r="T36" i="3" s="1"/>
  <c r="S225" i="3"/>
  <c r="T225" i="3" s="1"/>
  <c r="S602" i="3"/>
  <c r="T602" i="3" s="1"/>
  <c r="S284" i="3"/>
  <c r="T284" i="3" s="1"/>
  <c r="S15" i="3"/>
  <c r="T15" i="3" s="1"/>
  <c r="S582" i="3"/>
  <c r="T582" i="3" s="1"/>
  <c r="S415" i="3"/>
  <c r="T415" i="3" s="1"/>
  <c r="S577" i="3"/>
  <c r="T577" i="3" s="1"/>
  <c r="S504" i="3"/>
  <c r="T504" i="3" s="1"/>
  <c r="S118" i="3"/>
  <c r="T118" i="3" s="1"/>
  <c r="S75" i="3"/>
  <c r="T75" i="3" s="1"/>
  <c r="S570" i="3"/>
  <c r="T570" i="3" s="1"/>
  <c r="S174" i="3"/>
  <c r="T174" i="3" s="1"/>
  <c r="S330" i="3"/>
  <c r="T330" i="3" s="1"/>
  <c r="S520" i="3"/>
  <c r="T520" i="3" s="1"/>
  <c r="S488" i="3"/>
  <c r="T488" i="3" s="1"/>
  <c r="O2" i="2"/>
  <c r="Q2" i="2" s="1"/>
  <c r="L2" i="2"/>
  <c r="P377" i="2"/>
  <c r="Q377" i="2" s="1"/>
  <c r="R377" i="2" s="1"/>
  <c r="P401" i="2"/>
  <c r="Q401" i="2" s="1"/>
  <c r="R401" i="2" s="1"/>
  <c r="P203" i="2"/>
  <c r="Q203" i="2" s="1"/>
  <c r="R203" i="2" s="1"/>
  <c r="O570" i="2"/>
  <c r="Q570" i="2" s="1"/>
  <c r="R570" i="2" s="1"/>
  <c r="P138" i="2"/>
  <c r="Q138" i="2" s="1"/>
  <c r="R138" i="2" s="1"/>
  <c r="O91" i="2"/>
  <c r="Q91" i="2" s="1"/>
  <c r="R91" i="2" s="1"/>
  <c r="P459" i="2"/>
  <c r="Q459" i="2" s="1"/>
  <c r="R459" i="2" s="1"/>
  <c r="O306" i="2"/>
  <c r="Q306" i="2" s="1"/>
  <c r="R306" i="2" s="1"/>
  <c r="P249" i="2"/>
  <c r="Q249" i="2" s="1"/>
  <c r="R249" i="2" s="1"/>
  <c r="O177" i="2"/>
  <c r="Q177" i="2" s="1"/>
  <c r="R177" i="2" s="1"/>
  <c r="O163" i="2"/>
  <c r="Q163" i="2" s="1"/>
  <c r="R163" i="2" s="1"/>
  <c r="P522" i="2"/>
  <c r="Q522" i="2" s="1"/>
  <c r="R522" i="2" s="1"/>
  <c r="P593" i="2"/>
  <c r="Q593" i="2" s="1"/>
  <c r="R593" i="2" s="1"/>
  <c r="O33" i="2"/>
  <c r="Q33" i="2" s="1"/>
  <c r="R33" i="2" s="1"/>
  <c r="P34" i="2"/>
  <c r="Q34" i="2" s="1"/>
  <c r="R34" i="2" s="1"/>
  <c r="P505" i="2"/>
  <c r="Q505" i="2" s="1"/>
  <c r="R505" i="2" s="1"/>
  <c r="P266" i="2"/>
  <c r="Q266" i="2" s="1"/>
  <c r="R266" i="2" s="1"/>
  <c r="P178" i="2"/>
  <c r="Q178" i="2" s="1"/>
  <c r="R178" i="2" s="1"/>
  <c r="P547" i="2"/>
  <c r="Q547" i="2" s="1"/>
  <c r="R547" i="2" s="1"/>
  <c r="P435" i="2"/>
  <c r="Q435" i="2" s="1"/>
  <c r="R435" i="2" s="1"/>
  <c r="O419" i="2"/>
  <c r="Q419" i="2" s="1"/>
  <c r="R419" i="2" s="1"/>
  <c r="P562" i="2"/>
  <c r="Q562" i="2" s="1"/>
  <c r="R562" i="2" s="1"/>
  <c r="O273" i="2"/>
  <c r="Q273" i="2" s="1"/>
  <c r="R273" i="2" s="1"/>
  <c r="S273" i="2" s="1"/>
  <c r="U273" i="2" s="1"/>
  <c r="O146" i="2"/>
  <c r="Q146" i="2" s="1"/>
  <c r="R146" i="2" s="1"/>
  <c r="O35" i="2"/>
  <c r="Q35" i="2" s="1"/>
  <c r="R35" i="2" s="1"/>
  <c r="P315" i="2"/>
  <c r="Q315" i="2" s="1"/>
  <c r="R315" i="2" s="1"/>
  <c r="P50" i="2"/>
  <c r="Q50" i="2" s="1"/>
  <c r="R50" i="2" s="1"/>
  <c r="P394" i="2"/>
  <c r="Q394" i="2" s="1"/>
  <c r="R394" i="2" s="1"/>
  <c r="O145" i="2"/>
  <c r="Q145" i="2" s="1"/>
  <c r="R145" i="2" s="1"/>
  <c r="P402" i="2"/>
  <c r="Q402" i="2" s="1"/>
  <c r="R402" i="2" s="1"/>
  <c r="O473" i="2"/>
  <c r="Q473" i="2" s="1"/>
  <c r="R473" i="2" s="1"/>
  <c r="S473" i="2" s="1"/>
  <c r="U473" i="2" s="1"/>
  <c r="P563" i="2"/>
  <c r="Q563" i="2" s="1"/>
  <c r="R563" i="2" s="1"/>
  <c r="P121" i="2"/>
  <c r="Q121" i="2" s="1"/>
  <c r="R121" i="2" s="1"/>
  <c r="P506" i="2"/>
  <c r="Q506" i="2" s="1"/>
  <c r="R506" i="2" s="1"/>
  <c r="P19" i="2"/>
  <c r="Q19" i="2" s="1"/>
  <c r="R19" i="2" s="1"/>
  <c r="P587" i="2"/>
  <c r="Q587" i="2" s="1"/>
  <c r="R587" i="2" s="1"/>
  <c r="P314" i="2"/>
  <c r="Q314" i="2" s="1"/>
  <c r="R314" i="2" s="1"/>
  <c r="H212" i="2"/>
  <c r="P475" i="2"/>
  <c r="Q475" i="2" s="1"/>
  <c r="R475" i="2" s="1"/>
  <c r="P123" i="2"/>
  <c r="Q123" i="2" s="1"/>
  <c r="R123" i="2" s="1"/>
  <c r="O209" i="2"/>
  <c r="Q209" i="2" s="1"/>
  <c r="R209" i="2" s="1"/>
  <c r="P546" i="2"/>
  <c r="Q546" i="2" s="1"/>
  <c r="R546" i="2" s="1"/>
  <c r="P497" i="2"/>
  <c r="Q497" i="2" s="1"/>
  <c r="R497" i="2" s="1"/>
  <c r="O67" i="2"/>
  <c r="Q67" i="2" s="1"/>
  <c r="R67" i="2" s="1"/>
  <c r="O298" i="2"/>
  <c r="Q298" i="2" s="1"/>
  <c r="R298" i="2" s="1"/>
  <c r="P418" i="2"/>
  <c r="Q418" i="2" s="1"/>
  <c r="R418" i="2" s="1"/>
  <c r="P594" i="2"/>
  <c r="Q594" i="2" s="1"/>
  <c r="R594" i="2" s="1"/>
  <c r="O450" i="2"/>
  <c r="Q450" i="2" s="1"/>
  <c r="R450" i="2" s="1"/>
  <c r="S450" i="2" s="1"/>
  <c r="U450" i="2" s="1"/>
  <c r="P106" i="2"/>
  <c r="Q106" i="2" s="1"/>
  <c r="R106" i="2" s="1"/>
  <c r="P58" i="2"/>
  <c r="Q58" i="2" s="1"/>
  <c r="R58" i="2" s="1"/>
  <c r="P41" i="2"/>
  <c r="Q41" i="2" s="1"/>
  <c r="R41" i="2" s="1"/>
  <c r="P434" i="2"/>
  <c r="Q434" i="2" s="1"/>
  <c r="R434" i="2" s="1"/>
  <c r="P9" i="2"/>
  <c r="Q9" i="2" s="1"/>
  <c r="R9" i="2" s="1"/>
  <c r="P378" i="2"/>
  <c r="Q378" i="2" s="1"/>
  <c r="R378" i="2" s="1"/>
  <c r="O539" i="2"/>
  <c r="Q539" i="2" s="1"/>
  <c r="R539" i="2" s="1"/>
  <c r="S539" i="2" s="1"/>
  <c r="U539" i="2" s="1"/>
  <c r="O338" i="2"/>
  <c r="Q338" i="2" s="1"/>
  <c r="R338" i="2" s="1"/>
  <c r="O217" i="2"/>
  <c r="Q217" i="2" s="1"/>
  <c r="R217" i="2" s="1"/>
  <c r="O90" i="2"/>
  <c r="Q90" i="2" s="1"/>
  <c r="R90" i="2" s="1"/>
  <c r="P290" i="2"/>
  <c r="Q290" i="2" s="1"/>
  <c r="R290" i="2" s="1"/>
  <c r="P265" i="2"/>
  <c r="Q265" i="2" s="1"/>
  <c r="R265" i="2" s="1"/>
  <c r="P545" i="2"/>
  <c r="Q545" i="2" s="1"/>
  <c r="R545" i="2" s="1"/>
  <c r="O51" i="2"/>
  <c r="Q51" i="2" s="1"/>
  <c r="R51" i="2" s="1"/>
  <c r="S51" i="2" s="1"/>
  <c r="U51" i="2" s="1"/>
  <c r="P250" i="2"/>
  <c r="Q250" i="2" s="1"/>
  <c r="R250" i="2" s="1"/>
  <c r="O11" i="2"/>
  <c r="Q11" i="2" s="1"/>
  <c r="R11" i="2" s="1"/>
  <c r="O49" i="2"/>
  <c r="Q49" i="2" s="1"/>
  <c r="R49" i="2" s="1"/>
  <c r="O297" i="2"/>
  <c r="Q297" i="2" s="1"/>
  <c r="R297" i="2" s="1"/>
  <c r="P355" i="2"/>
  <c r="Q355" i="2" s="1"/>
  <c r="R355" i="2" s="1"/>
  <c r="S355" i="2" s="1"/>
  <c r="U355" i="2" s="1"/>
  <c r="P321" i="2"/>
  <c r="Q321" i="2" s="1"/>
  <c r="R321" i="2" s="1"/>
  <c r="P571" i="2"/>
  <c r="Q571" i="2" s="1"/>
  <c r="R571" i="2" s="1"/>
  <c r="P169" i="2"/>
  <c r="Q169" i="2" s="1"/>
  <c r="R169" i="2" s="1"/>
  <c r="P155" i="2"/>
  <c r="Q155" i="2" s="1"/>
  <c r="R155" i="2" s="1"/>
  <c r="O507" i="2"/>
  <c r="Q507" i="2" s="1"/>
  <c r="R507" i="2" s="1"/>
  <c r="P466" i="2"/>
  <c r="Q466" i="2" s="1"/>
  <c r="R466" i="2" s="1"/>
  <c r="I212" i="2"/>
  <c r="O330" i="2"/>
  <c r="Q330" i="2" s="1"/>
  <c r="R330" i="2" s="1"/>
  <c r="O331" i="2"/>
  <c r="Q331" i="2" s="1"/>
  <c r="R331" i="2" s="1"/>
  <c r="P179" i="2"/>
  <c r="Q179" i="2" s="1"/>
  <c r="R179" i="2" s="1"/>
  <c r="O201" i="2"/>
  <c r="Q201" i="2" s="1"/>
  <c r="R201" i="2" s="1"/>
  <c r="P561" i="2"/>
  <c r="Q561" i="2" s="1"/>
  <c r="R561" i="2" s="1"/>
  <c r="H509" i="2"/>
  <c r="O393" i="2"/>
  <c r="Q393" i="2" s="1"/>
  <c r="R393" i="2" s="1"/>
  <c r="P202" i="2"/>
  <c r="Q202" i="2" s="1"/>
  <c r="R202" i="2" s="1"/>
  <c r="O66" i="2"/>
  <c r="Q66" i="2" s="1"/>
  <c r="R66" i="2" s="1"/>
  <c r="O530" i="2"/>
  <c r="Q530" i="2" s="1"/>
  <c r="R530" i="2" s="1"/>
  <c r="P395" i="2"/>
  <c r="Q395" i="2" s="1"/>
  <c r="R395" i="2" s="1"/>
  <c r="I319" i="2"/>
  <c r="K319" i="2"/>
  <c r="L319" i="2" s="1"/>
  <c r="H598" i="2"/>
  <c r="K598" i="2"/>
  <c r="L598" i="2" s="1"/>
  <c r="H191" i="2"/>
  <c r="K191" i="2"/>
  <c r="L191" i="2" s="1"/>
  <c r="H173" i="2"/>
  <c r="K173" i="2"/>
  <c r="L173" i="2" s="1"/>
  <c r="H376" i="2"/>
  <c r="K376" i="2"/>
  <c r="L376" i="2" s="1"/>
  <c r="H381" i="2"/>
  <c r="K381" i="2"/>
  <c r="H125" i="2"/>
  <c r="K125" i="2"/>
  <c r="L125" i="2" s="1"/>
  <c r="H468" i="2"/>
  <c r="K468" i="2"/>
  <c r="L468" i="2" s="1"/>
  <c r="H196" i="2"/>
  <c r="K196" i="2"/>
  <c r="L196" i="2" s="1"/>
  <c r="P81" i="2"/>
  <c r="Q81" i="2" s="1"/>
  <c r="R81" i="2" s="1"/>
  <c r="O274" i="2"/>
  <c r="Q274" i="2" s="1"/>
  <c r="R274" i="2" s="1"/>
  <c r="O258" i="2"/>
  <c r="Q258" i="2" s="1"/>
  <c r="R258" i="2" s="1"/>
  <c r="H536" i="2"/>
  <c r="K536" i="2"/>
  <c r="L536" i="2" s="1"/>
  <c r="H280" i="2"/>
  <c r="K280" i="2"/>
  <c r="L280" i="2" s="1"/>
  <c r="H24" i="2"/>
  <c r="K24" i="2"/>
  <c r="L24" i="2" s="1"/>
  <c r="H383" i="2"/>
  <c r="K383" i="2"/>
  <c r="L383" i="2" s="1"/>
  <c r="H86" i="2"/>
  <c r="K86" i="2"/>
  <c r="L86" i="2" s="1"/>
  <c r="H452" i="2"/>
  <c r="K452" i="2"/>
  <c r="L452" i="2" s="1"/>
  <c r="H399" i="2"/>
  <c r="H132" i="2"/>
  <c r="K132" i="2"/>
  <c r="L132" i="2" s="1"/>
  <c r="H568" i="2"/>
  <c r="H232" i="2"/>
  <c r="K232" i="2"/>
  <c r="L232" i="2" s="1"/>
  <c r="H486" i="2"/>
  <c r="K486" i="2"/>
  <c r="L486" i="2" s="1"/>
  <c r="H573" i="2"/>
  <c r="K573" i="2"/>
  <c r="L573" i="2" s="1"/>
  <c r="H46" i="2"/>
  <c r="K46" i="2"/>
  <c r="L46" i="2" s="1"/>
  <c r="H134" i="2"/>
  <c r="K134" i="2"/>
  <c r="L134" i="2" s="1"/>
  <c r="O410" i="2"/>
  <c r="Q410" i="2" s="1"/>
  <c r="R410" i="2" s="1"/>
  <c r="P251" i="2"/>
  <c r="Q251" i="2" s="1"/>
  <c r="R251" i="2" s="1"/>
  <c r="H477" i="2"/>
  <c r="K477" i="2"/>
  <c r="H564" i="2"/>
  <c r="K564" i="2"/>
  <c r="L564" i="2" s="1"/>
  <c r="I324" i="2"/>
  <c r="K324" i="2"/>
  <c r="L324" i="2" s="1"/>
  <c r="H516" i="2"/>
  <c r="K516" i="2"/>
  <c r="L516" i="2" s="1"/>
  <c r="H61" i="2"/>
  <c r="K61" i="2"/>
  <c r="L61" i="2" s="1"/>
  <c r="P193" i="2"/>
  <c r="Q193" i="2" s="1"/>
  <c r="R193" i="2" s="1"/>
  <c r="H216" i="2"/>
  <c r="K216" i="2"/>
  <c r="L216" i="2" s="1"/>
  <c r="H493" i="2"/>
  <c r="K493" i="2"/>
  <c r="L493" i="2" s="1"/>
  <c r="H4" i="2"/>
  <c r="K4" i="2"/>
  <c r="L4" i="2" s="1"/>
  <c r="H424" i="2"/>
  <c r="K424" i="2"/>
  <c r="I63" i="2"/>
  <c r="K63" i="2"/>
  <c r="L63" i="2" s="1"/>
  <c r="H237" i="2"/>
  <c r="K237" i="2"/>
  <c r="L237" i="2" s="1"/>
  <c r="H168" i="2"/>
  <c r="K168" i="2"/>
  <c r="I568" i="2"/>
  <c r="H422" i="2"/>
  <c r="K422" i="2"/>
  <c r="L422" i="2" s="1"/>
  <c r="H166" i="2"/>
  <c r="K166" i="2"/>
  <c r="L166" i="2" s="1"/>
  <c r="P322" i="2"/>
  <c r="Q322" i="2" s="1"/>
  <c r="R322" i="2" s="1"/>
  <c r="P154" i="2"/>
  <c r="Q154" i="2" s="1"/>
  <c r="R154" i="2" s="1"/>
  <c r="P433" i="2"/>
  <c r="Q433" i="2" s="1"/>
  <c r="R433" i="2" s="1"/>
  <c r="P361" i="2"/>
  <c r="Q361" i="2" s="1"/>
  <c r="R361" i="2" s="1"/>
  <c r="H31" i="2"/>
  <c r="K31" i="2"/>
  <c r="H325" i="2"/>
  <c r="K325" i="2"/>
  <c r="L325" i="2" s="1"/>
  <c r="H157" i="2"/>
  <c r="K157" i="2"/>
  <c r="L157" i="2" s="1"/>
  <c r="H296" i="2"/>
  <c r="K296" i="2"/>
  <c r="L296" i="2" s="1"/>
  <c r="I38" i="2"/>
  <c r="I447" i="2"/>
  <c r="K447" i="2"/>
  <c r="L447" i="2" s="1"/>
  <c r="H22" i="2"/>
  <c r="K22" i="2"/>
  <c r="L22" i="2" s="1"/>
  <c r="H214" i="2"/>
  <c r="K214" i="2"/>
  <c r="L214" i="2" s="1"/>
  <c r="I56" i="2"/>
  <c r="I504" i="2"/>
  <c r="K504" i="2"/>
  <c r="L504" i="2" s="1"/>
  <c r="I591" i="2"/>
  <c r="K591" i="2"/>
  <c r="L591" i="2" s="1"/>
  <c r="H79" i="2"/>
  <c r="K79" i="2"/>
  <c r="L79" i="2" s="1"/>
  <c r="H253" i="2"/>
  <c r="K253" i="2"/>
  <c r="L253" i="2" s="1"/>
  <c r="H596" i="2"/>
  <c r="K596" i="2"/>
  <c r="L596" i="2" s="1"/>
  <c r="H340" i="2"/>
  <c r="K340" i="2"/>
  <c r="L340" i="2" s="1"/>
  <c r="I84" i="2"/>
  <c r="K84" i="2"/>
  <c r="H470" i="2"/>
  <c r="K470" i="2"/>
  <c r="H317" i="2"/>
  <c r="K317" i="2"/>
  <c r="L317" i="2" s="1"/>
  <c r="H404" i="2"/>
  <c r="K404" i="2"/>
  <c r="L404" i="2" s="1"/>
  <c r="O185" i="2"/>
  <c r="Q185" i="2" s="1"/>
  <c r="R185" i="2" s="1"/>
  <c r="H239" i="2"/>
  <c r="K239" i="2"/>
  <c r="I534" i="2"/>
  <c r="K534" i="2"/>
  <c r="L534" i="2" s="1"/>
  <c r="H365" i="2"/>
  <c r="K365" i="2"/>
  <c r="L365" i="2" s="1"/>
  <c r="H406" i="2"/>
  <c r="K406" i="2"/>
  <c r="L406" i="2" s="1"/>
  <c r="H45" i="2"/>
  <c r="K45" i="2"/>
  <c r="L45" i="2" s="1"/>
  <c r="I125" i="2"/>
  <c r="I376" i="2"/>
  <c r="I143" i="2"/>
  <c r="H358" i="2"/>
  <c r="K358" i="2"/>
  <c r="L358" i="2" s="1"/>
  <c r="H430" i="2"/>
  <c r="K430" i="2"/>
  <c r="L430" i="2" s="1"/>
  <c r="H6" i="2"/>
  <c r="K6" i="2"/>
  <c r="L6" i="2" s="1"/>
  <c r="H540" i="2"/>
  <c r="K540" i="2"/>
  <c r="L540" i="2" s="1"/>
  <c r="I399" i="2"/>
  <c r="H40" i="2"/>
  <c r="K40" i="2"/>
  <c r="L40" i="2" s="1"/>
  <c r="H511" i="2"/>
  <c r="K511" i="2"/>
  <c r="L511" i="2" s="1"/>
  <c r="H143" i="2"/>
  <c r="H255" i="2"/>
  <c r="K255" i="2"/>
  <c r="L255" i="2" s="1"/>
  <c r="H301" i="2"/>
  <c r="K301" i="2"/>
  <c r="L301" i="2" s="1"/>
  <c r="I557" i="2"/>
  <c r="K557" i="2"/>
  <c r="L557" i="2" s="1"/>
  <c r="I68" i="2"/>
  <c r="K68" i="2"/>
  <c r="L68" i="2" s="1"/>
  <c r="I184" i="2"/>
  <c r="K184" i="2"/>
  <c r="L184" i="2" s="1"/>
  <c r="H271" i="2"/>
  <c r="K271" i="2"/>
  <c r="H15" i="2"/>
  <c r="K15" i="2"/>
  <c r="L15" i="2" s="1"/>
  <c r="H20" i="2"/>
  <c r="K20" i="2"/>
  <c r="L20" i="2" s="1"/>
  <c r="P305" i="2"/>
  <c r="Q305" i="2" s="1"/>
  <c r="R305" i="2" s="1"/>
  <c r="O234" i="2"/>
  <c r="Q234" i="2" s="1"/>
  <c r="R234" i="2" s="1"/>
  <c r="P233" i="2"/>
  <c r="Q233" i="2" s="1"/>
  <c r="R233" i="2" s="1"/>
  <c r="H600" i="2"/>
  <c r="K600" i="2"/>
  <c r="H344" i="2"/>
  <c r="K344" i="2"/>
  <c r="H88" i="2"/>
  <c r="K88" i="2"/>
  <c r="L88" i="2" s="1"/>
  <c r="I276" i="2"/>
  <c r="I575" i="2"/>
  <c r="K575" i="2"/>
  <c r="H150" i="2"/>
  <c r="K150" i="2"/>
  <c r="L150" i="2" s="1"/>
  <c r="I488" i="2"/>
  <c r="K488" i="2"/>
  <c r="L488" i="2" s="1"/>
  <c r="H360" i="2"/>
  <c r="K360" i="2"/>
  <c r="L360" i="2" s="1"/>
  <c r="H550" i="2"/>
  <c r="K550" i="2"/>
  <c r="L550" i="2" s="1"/>
  <c r="P409" i="2"/>
  <c r="Q409" i="2" s="1"/>
  <c r="R409" i="2" s="1"/>
  <c r="P227" i="2"/>
  <c r="Q227" i="2" s="1"/>
  <c r="R227" i="2" s="1"/>
  <c r="I22" i="2"/>
  <c r="P97" i="2"/>
  <c r="Q97" i="2" s="1"/>
  <c r="R97" i="2" s="1"/>
  <c r="P153" i="2"/>
  <c r="Q153" i="2" s="1"/>
  <c r="R153" i="2" s="1"/>
  <c r="P73" i="2"/>
  <c r="Q73" i="2" s="1"/>
  <c r="R73" i="2" s="1"/>
  <c r="P554" i="2"/>
  <c r="Q554" i="2" s="1"/>
  <c r="R554" i="2" s="1"/>
  <c r="P602" i="2"/>
  <c r="Q602" i="2" s="1"/>
  <c r="R602" i="2" s="1"/>
  <c r="H534" i="2"/>
  <c r="H184" i="2"/>
  <c r="P114" i="2"/>
  <c r="Q114" i="2" s="1"/>
  <c r="R114" i="2" s="1"/>
  <c r="S114" i="2" s="1"/>
  <c r="U114" i="2" s="1"/>
  <c r="P346" i="2"/>
  <c r="Q346" i="2" s="1"/>
  <c r="R346" i="2" s="1"/>
  <c r="I340" i="2"/>
  <c r="O137" i="2"/>
  <c r="Q137" i="2" s="1"/>
  <c r="R137" i="2" s="1"/>
  <c r="O441" i="2"/>
  <c r="Q441" i="2" s="1"/>
  <c r="R441" i="2" s="1"/>
  <c r="P3" i="2"/>
  <c r="Q3" i="2" s="1"/>
  <c r="R3" i="2" s="1"/>
  <c r="P379" i="2"/>
  <c r="Q379" i="2" s="1"/>
  <c r="R379" i="2" s="1"/>
  <c r="P371" i="2"/>
  <c r="Q371" i="2" s="1"/>
  <c r="R371" i="2" s="1"/>
  <c r="I404" i="2"/>
  <c r="O483" i="2"/>
  <c r="Q483" i="2" s="1"/>
  <c r="R483" i="2" s="1"/>
  <c r="P347" i="2"/>
  <c r="Q347" i="2" s="1"/>
  <c r="R347" i="2" s="1"/>
  <c r="O267" i="2"/>
  <c r="Q267" i="2" s="1"/>
  <c r="R267" i="2" s="1"/>
  <c r="O10" i="2"/>
  <c r="Q10" i="2" s="1"/>
  <c r="R10" i="2" s="1"/>
  <c r="P369" i="2"/>
  <c r="Q369" i="2" s="1"/>
  <c r="R369" i="2" s="1"/>
  <c r="I79" i="2"/>
  <c r="P529" i="2"/>
  <c r="Q529" i="2" s="1"/>
  <c r="R529" i="2" s="1"/>
  <c r="S529" i="2" s="1"/>
  <c r="U529" i="2" s="1"/>
  <c r="P601" i="2"/>
  <c r="Q601" i="2" s="1"/>
  <c r="R601" i="2" s="1"/>
  <c r="P242" i="2"/>
  <c r="Q242" i="2" s="1"/>
  <c r="R242" i="2" s="1"/>
  <c r="O577" i="2"/>
  <c r="Q577" i="2" s="1"/>
  <c r="R577" i="2" s="1"/>
  <c r="P162" i="2"/>
  <c r="Q162" i="2" s="1"/>
  <c r="R162" i="2" s="1"/>
  <c r="P89" i="2"/>
  <c r="Q89" i="2" s="1"/>
  <c r="R89" i="2" s="1"/>
  <c r="O187" i="2"/>
  <c r="Q187" i="2" s="1"/>
  <c r="R187" i="2" s="1"/>
  <c r="P489" i="2"/>
  <c r="Q489" i="2" s="1"/>
  <c r="R489" i="2" s="1"/>
  <c r="O481" i="2"/>
  <c r="Q481" i="2" s="1"/>
  <c r="R481" i="2" s="1"/>
  <c r="P43" i="2"/>
  <c r="Q43" i="2" s="1"/>
  <c r="R43" i="2" s="1"/>
  <c r="O578" i="2"/>
  <c r="Q578" i="2" s="1"/>
  <c r="R578" i="2" s="1"/>
  <c r="P362" i="2"/>
  <c r="Q362" i="2" s="1"/>
  <c r="R362" i="2" s="1"/>
  <c r="P313" i="2"/>
  <c r="Q313" i="2" s="1"/>
  <c r="R313" i="2" s="1"/>
  <c r="P243" i="2"/>
  <c r="Q243" i="2" s="1"/>
  <c r="R243" i="2" s="1"/>
  <c r="P289" i="2"/>
  <c r="Q289" i="2" s="1"/>
  <c r="R289" i="2" s="1"/>
  <c r="P386" i="2"/>
  <c r="Q386" i="2" s="1"/>
  <c r="R386" i="2" s="1"/>
  <c r="I255" i="2"/>
  <c r="Q442" i="2"/>
  <c r="R442" i="2" s="1"/>
  <c r="S442" i="2" s="1"/>
  <c r="U442" i="2" s="1"/>
  <c r="P194" i="2"/>
  <c r="Q194" i="2" s="1"/>
  <c r="R194" i="2" s="1"/>
  <c r="P27" i="2"/>
  <c r="Q27" i="2" s="1"/>
  <c r="R27" i="2" s="1"/>
  <c r="S27" i="2" s="1"/>
  <c r="U27" i="2" s="1"/>
  <c r="P498" i="2"/>
  <c r="Q498" i="2" s="1"/>
  <c r="R498" i="2" s="1"/>
  <c r="P257" i="2"/>
  <c r="Q257" i="2" s="1"/>
  <c r="R257" i="2" s="1"/>
  <c r="P281" i="2"/>
  <c r="Q281" i="2" s="1"/>
  <c r="R281" i="2" s="1"/>
  <c r="P282" i="2"/>
  <c r="Q282" i="2" s="1"/>
  <c r="R282" i="2" s="1"/>
  <c r="P241" i="2"/>
  <c r="Q241" i="2" s="1"/>
  <c r="R241" i="2" s="1"/>
  <c r="P425" i="2"/>
  <c r="Q425" i="2" s="1"/>
  <c r="R425" i="2" s="1"/>
  <c r="P225" i="2"/>
  <c r="Q225" i="2" s="1"/>
  <c r="R225" i="2" s="1"/>
  <c r="I191" i="2"/>
  <c r="O291" i="2"/>
  <c r="Q291" i="2" s="1"/>
  <c r="R291" i="2" s="1"/>
  <c r="P161" i="2"/>
  <c r="Q161" i="2" s="1"/>
  <c r="R161" i="2" s="1"/>
  <c r="I61" i="2"/>
  <c r="P337" i="2"/>
  <c r="Q337" i="2" s="1"/>
  <c r="R337" i="2" s="1"/>
  <c r="P329" i="2"/>
  <c r="Q329" i="2" s="1"/>
  <c r="R329" i="2" s="1"/>
  <c r="P42" i="2"/>
  <c r="Q42" i="2" s="1"/>
  <c r="R42" i="2" s="1"/>
  <c r="P482" i="2"/>
  <c r="Q482" i="2" s="1"/>
  <c r="R482" i="2" s="1"/>
  <c r="O98" i="2"/>
  <c r="Q98" i="2" s="1"/>
  <c r="R98" i="2" s="1"/>
  <c r="P57" i="2"/>
  <c r="Q57" i="2" s="1"/>
  <c r="R57" i="2" s="1"/>
  <c r="P18" i="2"/>
  <c r="Q18" i="2" s="1"/>
  <c r="R18" i="2" s="1"/>
  <c r="P411" i="2"/>
  <c r="Q411" i="2" s="1"/>
  <c r="R411" i="2" s="1"/>
  <c r="P25" i="2"/>
  <c r="Q25" i="2" s="1"/>
  <c r="R25" i="2" s="1"/>
  <c r="I317" i="2"/>
  <c r="I365" i="2"/>
  <c r="P385" i="2"/>
  <c r="Q385" i="2" s="1"/>
  <c r="R385" i="2" s="1"/>
  <c r="O569" i="2"/>
  <c r="Q569" i="2" s="1"/>
  <c r="R569" i="2" s="1"/>
  <c r="P465" i="2"/>
  <c r="Q465" i="2" s="1"/>
  <c r="R465" i="2" s="1"/>
  <c r="P219" i="2"/>
  <c r="Q219" i="2" s="1"/>
  <c r="R219" i="2" s="1"/>
  <c r="P585" i="2"/>
  <c r="Q585" i="2" s="1"/>
  <c r="R585" i="2" s="1"/>
  <c r="P130" i="2"/>
  <c r="Q130" i="2" s="1"/>
  <c r="R130" i="2" s="1"/>
  <c r="P474" i="2"/>
  <c r="Q474" i="2" s="1"/>
  <c r="R474" i="2" s="1"/>
  <c r="P417" i="2"/>
  <c r="Q417" i="2" s="1"/>
  <c r="R417" i="2" s="1"/>
  <c r="P537" i="2"/>
  <c r="Q537" i="2" s="1"/>
  <c r="R537" i="2" s="1"/>
  <c r="I173" i="2"/>
  <c r="O113" i="2"/>
  <c r="Q113" i="2" s="1"/>
  <c r="R113" i="2" s="1"/>
  <c r="O105" i="2"/>
  <c r="Q105" i="2" s="1"/>
  <c r="R105" i="2" s="1"/>
  <c r="P99" i="2"/>
  <c r="Q99" i="2" s="1"/>
  <c r="R99" i="2" s="1"/>
  <c r="S99" i="2" s="1"/>
  <c r="U99" i="2" s="1"/>
  <c r="O65" i="2"/>
  <c r="Q65" i="2" s="1"/>
  <c r="R65" i="2" s="1"/>
  <c r="O538" i="2"/>
  <c r="Q538" i="2" s="1"/>
  <c r="R538" i="2" s="1"/>
  <c r="O59" i="2"/>
  <c r="Q59" i="2" s="1"/>
  <c r="R59" i="2" s="1"/>
  <c r="O499" i="2"/>
  <c r="Q499" i="2" s="1"/>
  <c r="R499" i="2" s="1"/>
  <c r="H84" i="2"/>
  <c r="P523" i="2"/>
  <c r="Q523" i="2" s="1"/>
  <c r="R523" i="2" s="1"/>
  <c r="P115" i="2"/>
  <c r="Q115" i="2" s="1"/>
  <c r="R115" i="2" s="1"/>
  <c r="P345" i="2"/>
  <c r="Q345" i="2" s="1"/>
  <c r="R345" i="2" s="1"/>
  <c r="O426" i="2"/>
  <c r="Q426" i="2" s="1"/>
  <c r="R426" i="2" s="1"/>
  <c r="P139" i="2"/>
  <c r="Q139" i="2" s="1"/>
  <c r="R139" i="2" s="1"/>
  <c r="P307" i="2"/>
  <c r="Q307" i="2" s="1"/>
  <c r="R307" i="2" s="1"/>
  <c r="I486" i="2"/>
  <c r="P82" i="2"/>
  <c r="Q82" i="2" s="1"/>
  <c r="R82" i="2" s="1"/>
  <c r="H575" i="2"/>
  <c r="P170" i="2"/>
  <c r="Q170" i="2" s="1"/>
  <c r="R170" i="2" s="1"/>
  <c r="I381" i="2"/>
  <c r="I86" i="2"/>
  <c r="H324" i="2"/>
  <c r="P521" i="2"/>
  <c r="Q521" i="2" s="1"/>
  <c r="R521" i="2" s="1"/>
  <c r="P514" i="2"/>
  <c r="Q514" i="2" s="1"/>
  <c r="R514" i="2" s="1"/>
  <c r="H488" i="2"/>
  <c r="Q363" i="2"/>
  <c r="R363" i="2" s="1"/>
  <c r="S363" i="2" s="1"/>
  <c r="U363" i="2" s="1"/>
  <c r="I196" i="2"/>
  <c r="P370" i="2"/>
  <c r="Q370" i="2" s="1"/>
  <c r="R370" i="2" s="1"/>
  <c r="S370" i="2" s="1"/>
  <c r="U370" i="2" s="1"/>
  <c r="P457" i="2"/>
  <c r="Q457" i="2" s="1"/>
  <c r="R457" i="2" s="1"/>
  <c r="P74" i="2"/>
  <c r="Q74" i="2" s="1"/>
  <c r="R74" i="2" s="1"/>
  <c r="P17" i="2"/>
  <c r="Q17" i="2" s="1"/>
  <c r="R17" i="2" s="1"/>
  <c r="S17" i="2" s="1"/>
  <c r="U17" i="2" s="1"/>
  <c r="P26" i="2"/>
  <c r="Q26" i="2" s="1"/>
  <c r="R26" i="2" s="1"/>
  <c r="P553" i="2"/>
  <c r="Q553" i="2" s="1"/>
  <c r="R553" i="2" s="1"/>
  <c r="P586" i="2"/>
  <c r="Q586" i="2" s="1"/>
  <c r="R586" i="2" s="1"/>
  <c r="P353" i="2"/>
  <c r="Q353" i="2" s="1"/>
  <c r="R353" i="2" s="1"/>
  <c r="I573" i="2"/>
  <c r="I214" i="2"/>
  <c r="I296" i="2"/>
  <c r="I4" i="2"/>
  <c r="L541" i="2"/>
  <c r="N541" i="2"/>
  <c r="H541" i="2"/>
  <c r="I541" i="2"/>
  <c r="H436" i="2"/>
  <c r="N436" i="2"/>
  <c r="I436" i="2"/>
  <c r="P75" i="2"/>
  <c r="Q75" i="2" s="1"/>
  <c r="R75" i="2" s="1"/>
  <c r="L535" i="2"/>
  <c r="H535" i="2"/>
  <c r="I535" i="2"/>
  <c r="N535" i="2"/>
  <c r="L279" i="2"/>
  <c r="I279" i="2"/>
  <c r="N279" i="2"/>
  <c r="H279" i="2"/>
  <c r="L23" i="2"/>
  <c r="H23" i="2"/>
  <c r="I23" i="2"/>
  <c r="N23" i="2"/>
  <c r="L152" i="2"/>
  <c r="N152" i="2"/>
  <c r="I152" i="2"/>
  <c r="H152" i="2"/>
  <c r="L559" i="2"/>
  <c r="N559" i="2"/>
  <c r="H559" i="2"/>
  <c r="I559" i="2"/>
  <c r="L303" i="2"/>
  <c r="N303" i="2"/>
  <c r="H303" i="2"/>
  <c r="I303" i="2"/>
  <c r="L390" i="2"/>
  <c r="N390" i="2"/>
  <c r="H390" i="2"/>
  <c r="I390" i="2"/>
  <c r="L127" i="2"/>
  <c r="N127" i="2"/>
  <c r="H127" i="2"/>
  <c r="I127" i="2"/>
  <c r="L260" i="2"/>
  <c r="N260" i="2"/>
  <c r="H260" i="2"/>
  <c r="I260" i="2"/>
  <c r="N527" i="2"/>
  <c r="I527" i="2"/>
  <c r="H527" i="2"/>
  <c r="O283" i="2"/>
  <c r="Q283" i="2" s="1"/>
  <c r="R283" i="2" s="1"/>
  <c r="S283" i="2" s="1"/>
  <c r="U283" i="2" s="1"/>
  <c r="O354" i="2"/>
  <c r="Q354" i="2" s="1"/>
  <c r="R354" i="2" s="1"/>
  <c r="P458" i="2"/>
  <c r="Q458" i="2" s="1"/>
  <c r="R458" i="2" s="1"/>
  <c r="L544" i="2"/>
  <c r="N544" i="2"/>
  <c r="H544" i="2"/>
  <c r="I544" i="2"/>
  <c r="N288" i="2"/>
  <c r="H288" i="2"/>
  <c r="I288" i="2"/>
  <c r="L462" i="2"/>
  <c r="N462" i="2"/>
  <c r="H462" i="2"/>
  <c r="I462" i="2"/>
  <c r="L206" i="2"/>
  <c r="N206" i="2"/>
  <c r="H206" i="2"/>
  <c r="I206" i="2"/>
  <c r="N549" i="2"/>
  <c r="H549" i="2"/>
  <c r="I549" i="2"/>
  <c r="L293" i="2"/>
  <c r="N293" i="2"/>
  <c r="H293" i="2"/>
  <c r="I293" i="2"/>
  <c r="L37" i="2"/>
  <c r="N37" i="2"/>
  <c r="H37" i="2"/>
  <c r="I37" i="2"/>
  <c r="L380" i="2"/>
  <c r="N380" i="2"/>
  <c r="H380" i="2"/>
  <c r="I380" i="2"/>
  <c r="L124" i="2"/>
  <c r="N124" i="2"/>
  <c r="H124" i="2"/>
  <c r="I124" i="2"/>
  <c r="L16" i="2"/>
  <c r="H16" i="2"/>
  <c r="I16" i="2"/>
  <c r="N16" i="2"/>
  <c r="I359" i="2"/>
  <c r="N359" i="2"/>
  <c r="H359" i="2"/>
  <c r="L103" i="2"/>
  <c r="N103" i="2"/>
  <c r="I103" i="2"/>
  <c r="H103" i="2"/>
  <c r="N392" i="2"/>
  <c r="H392" i="2"/>
  <c r="I392" i="2"/>
  <c r="L136" i="2"/>
  <c r="N136" i="2"/>
  <c r="H136" i="2"/>
  <c r="I136" i="2"/>
  <c r="L496" i="2"/>
  <c r="N496" i="2"/>
  <c r="H496" i="2"/>
  <c r="I496" i="2"/>
  <c r="L240" i="2"/>
  <c r="H240" i="2"/>
  <c r="N240" i="2"/>
  <c r="I240" i="2"/>
  <c r="N583" i="2"/>
  <c r="I583" i="2"/>
  <c r="H583" i="2"/>
  <c r="L327" i="2"/>
  <c r="N327" i="2"/>
  <c r="I327" i="2"/>
  <c r="H327" i="2"/>
  <c r="L71" i="2"/>
  <c r="H71" i="2"/>
  <c r="N71" i="2"/>
  <c r="I71" i="2"/>
  <c r="L182" i="2"/>
  <c r="H182" i="2"/>
  <c r="N182" i="2"/>
  <c r="I182" i="2"/>
  <c r="H525" i="2"/>
  <c r="N525" i="2"/>
  <c r="I525" i="2"/>
  <c r="L269" i="2"/>
  <c r="H269" i="2"/>
  <c r="N269" i="2"/>
  <c r="I269" i="2"/>
  <c r="N13" i="2"/>
  <c r="H13" i="2"/>
  <c r="I13" i="2"/>
  <c r="L356" i="2"/>
  <c r="N356" i="2"/>
  <c r="I356" i="2"/>
  <c r="H356" i="2"/>
  <c r="H100" i="2"/>
  <c r="N100" i="2"/>
  <c r="I100" i="2"/>
  <c r="L47" i="2"/>
  <c r="N47" i="2"/>
  <c r="H47" i="2"/>
  <c r="I47" i="2"/>
  <c r="N134" i="2"/>
  <c r="I134" i="2"/>
  <c r="H116" i="2"/>
  <c r="N116" i="2"/>
  <c r="I116" i="2"/>
  <c r="L104" i="2"/>
  <c r="N104" i="2"/>
  <c r="H104" i="2"/>
  <c r="I104" i="2"/>
  <c r="N557" i="2"/>
  <c r="H557" i="2"/>
  <c r="N230" i="2"/>
  <c r="H230" i="2"/>
  <c r="I230" i="2"/>
  <c r="L276" i="2"/>
  <c r="N276" i="2"/>
  <c r="H276" i="2"/>
  <c r="P186" i="2"/>
  <c r="Q186" i="2" s="1"/>
  <c r="R186" i="2" s="1"/>
  <c r="S186" i="2" s="1"/>
  <c r="U186" i="2" s="1"/>
  <c r="P490" i="2"/>
  <c r="Q490" i="2" s="1"/>
  <c r="R490" i="2" s="1"/>
  <c r="O513" i="2"/>
  <c r="Q513" i="2" s="1"/>
  <c r="R513" i="2" s="1"/>
  <c r="P210" i="2"/>
  <c r="Q210" i="2" s="1"/>
  <c r="R210" i="2" s="1"/>
  <c r="L288" i="2"/>
  <c r="L32" i="2"/>
  <c r="N32" i="2"/>
  <c r="I32" i="2"/>
  <c r="H32" i="2"/>
  <c r="L375" i="2"/>
  <c r="H375" i="2"/>
  <c r="N375" i="2"/>
  <c r="I375" i="2"/>
  <c r="L119" i="2"/>
  <c r="N119" i="2"/>
  <c r="I119" i="2"/>
  <c r="H119" i="2"/>
  <c r="L549" i="2"/>
  <c r="L464" i="2"/>
  <c r="N464" i="2"/>
  <c r="H464" i="2"/>
  <c r="I464" i="2"/>
  <c r="H208" i="2"/>
  <c r="I208" i="2"/>
  <c r="N208" i="2"/>
  <c r="L221" i="2"/>
  <c r="N221" i="2"/>
  <c r="I221" i="2"/>
  <c r="H221" i="2"/>
  <c r="L412" i="2"/>
  <c r="N412" i="2"/>
  <c r="I412" i="2"/>
  <c r="H412" i="2"/>
  <c r="L156" i="2"/>
  <c r="N156" i="2"/>
  <c r="H156" i="2"/>
  <c r="I156" i="2"/>
  <c r="L120" i="2"/>
  <c r="N120" i="2"/>
  <c r="I120" i="2"/>
  <c r="H120" i="2"/>
  <c r="N463" i="2"/>
  <c r="I463" i="2"/>
  <c r="H463" i="2"/>
  <c r="N422" i="2"/>
  <c r="I422" i="2"/>
  <c r="L189" i="2"/>
  <c r="N189" i="2"/>
  <c r="H189" i="2"/>
  <c r="N596" i="2"/>
  <c r="I596" i="2"/>
  <c r="L133" i="2"/>
  <c r="N133" i="2"/>
  <c r="H133" i="2"/>
  <c r="I133" i="2"/>
  <c r="L109" i="2"/>
  <c r="N109" i="2"/>
  <c r="H109" i="2"/>
  <c r="L429" i="2"/>
  <c r="N429" i="2"/>
  <c r="H429" i="2"/>
  <c r="I429" i="2"/>
  <c r="L278" i="2"/>
  <c r="N278" i="2"/>
  <c r="I278" i="2"/>
  <c r="H278" i="2"/>
  <c r="L445" i="2"/>
  <c r="N445" i="2"/>
  <c r="H445" i="2"/>
  <c r="P449" i="2"/>
  <c r="Q449" i="2" s="1"/>
  <c r="R449" i="2" s="1"/>
  <c r="L5" i="2"/>
  <c r="H5" i="2"/>
  <c r="N5" i="2"/>
  <c r="I5" i="2"/>
  <c r="L312" i="2"/>
  <c r="N312" i="2"/>
  <c r="H312" i="2"/>
  <c r="I312" i="2"/>
  <c r="L148" i="2"/>
  <c r="N148" i="2"/>
  <c r="H148" i="2"/>
  <c r="I148" i="2"/>
  <c r="N93" i="2"/>
  <c r="H93" i="2"/>
  <c r="I93" i="2"/>
  <c r="N447" i="2"/>
  <c r="H447" i="2"/>
  <c r="N294" i="2"/>
  <c r="P122" i="2"/>
  <c r="Q122" i="2" s="1"/>
  <c r="R122" i="2" s="1"/>
  <c r="O129" i="2"/>
  <c r="Q129" i="2" s="1"/>
  <c r="R129" i="2" s="1"/>
  <c r="O226" i="2"/>
  <c r="Q226" i="2" s="1"/>
  <c r="R226" i="2" s="1"/>
  <c r="P218" i="2"/>
  <c r="Q218" i="2" s="1"/>
  <c r="R218" i="2" s="1"/>
  <c r="L64" i="2"/>
  <c r="N64" i="2"/>
  <c r="I64" i="2"/>
  <c r="H64" i="2"/>
  <c r="N407" i="2"/>
  <c r="I407" i="2"/>
  <c r="H407" i="2"/>
  <c r="L151" i="2"/>
  <c r="N151" i="2"/>
  <c r="I151" i="2"/>
  <c r="H151" i="2"/>
  <c r="L472" i="2"/>
  <c r="N472" i="2"/>
  <c r="I472" i="2"/>
  <c r="H472" i="2"/>
  <c r="N431" i="2"/>
  <c r="H431" i="2"/>
  <c r="I431" i="2"/>
  <c r="L518" i="2"/>
  <c r="N518" i="2"/>
  <c r="I518" i="2"/>
  <c r="H518" i="2"/>
  <c r="L262" i="2"/>
  <c r="N262" i="2"/>
  <c r="I262" i="2"/>
  <c r="H262" i="2"/>
  <c r="N319" i="2"/>
  <c r="H319" i="2"/>
  <c r="N301" i="2"/>
  <c r="I301" i="2"/>
  <c r="I445" i="2"/>
  <c r="N504" i="2"/>
  <c r="H504" i="2"/>
  <c r="L56" i="2"/>
  <c r="N56" i="2"/>
  <c r="H56" i="2"/>
  <c r="N532" i="2"/>
  <c r="H532" i="2"/>
  <c r="I532" i="2"/>
  <c r="H294" i="2"/>
  <c r="I189" i="2"/>
  <c r="L509" i="2"/>
  <c r="N509" i="2"/>
  <c r="I509" i="2"/>
  <c r="N416" i="2"/>
  <c r="I416" i="2"/>
  <c r="H416" i="2"/>
  <c r="L160" i="2"/>
  <c r="N160" i="2"/>
  <c r="H160" i="2"/>
  <c r="I160" i="2"/>
  <c r="H590" i="2"/>
  <c r="N590" i="2"/>
  <c r="I590" i="2"/>
  <c r="L334" i="2"/>
  <c r="H334" i="2"/>
  <c r="I334" i="2"/>
  <c r="N334" i="2"/>
  <c r="H78" i="2"/>
  <c r="L78" i="2"/>
  <c r="I78" i="2"/>
  <c r="N78" i="2"/>
  <c r="L421" i="2"/>
  <c r="H421" i="2"/>
  <c r="I421" i="2"/>
  <c r="N421" i="2"/>
  <c r="L165" i="2"/>
  <c r="H165" i="2"/>
  <c r="N165" i="2"/>
  <c r="I165" i="2"/>
  <c r="N508" i="2"/>
  <c r="H508" i="2"/>
  <c r="I508" i="2"/>
  <c r="L252" i="2"/>
  <c r="N252" i="2"/>
  <c r="H252" i="2"/>
  <c r="I252" i="2"/>
  <c r="L144" i="2"/>
  <c r="N144" i="2"/>
  <c r="I144" i="2"/>
  <c r="H144" i="2"/>
  <c r="N487" i="2"/>
  <c r="I487" i="2"/>
  <c r="H487" i="2"/>
  <c r="N231" i="2"/>
  <c r="I231" i="2"/>
  <c r="H231" i="2"/>
  <c r="N520" i="2"/>
  <c r="H520" i="2"/>
  <c r="I520" i="2"/>
  <c r="L264" i="2"/>
  <c r="N264" i="2"/>
  <c r="H264" i="2"/>
  <c r="I264" i="2"/>
  <c r="H8" i="2"/>
  <c r="N8" i="2"/>
  <c r="I8" i="2"/>
  <c r="L368" i="2"/>
  <c r="H368" i="2"/>
  <c r="N368" i="2"/>
  <c r="I368" i="2"/>
  <c r="N455" i="2"/>
  <c r="H455" i="2"/>
  <c r="I455" i="2"/>
  <c r="L199" i="2"/>
  <c r="N199" i="2"/>
  <c r="H199" i="2"/>
  <c r="I199" i="2"/>
  <c r="N310" i="2"/>
  <c r="H310" i="2"/>
  <c r="I310" i="2"/>
  <c r="H54" i="2"/>
  <c r="L54" i="2"/>
  <c r="I54" i="2"/>
  <c r="N54" i="2"/>
  <c r="L397" i="2"/>
  <c r="H397" i="2"/>
  <c r="I397" i="2"/>
  <c r="N397" i="2"/>
  <c r="L141" i="2"/>
  <c r="H141" i="2"/>
  <c r="I141" i="2"/>
  <c r="N141" i="2"/>
  <c r="L484" i="2"/>
  <c r="H484" i="2"/>
  <c r="I484" i="2"/>
  <c r="N484" i="2"/>
  <c r="L228" i="2"/>
  <c r="H228" i="2"/>
  <c r="I228" i="2"/>
  <c r="N228" i="2"/>
  <c r="I512" i="2"/>
  <c r="N512" i="2"/>
  <c r="H512" i="2"/>
  <c r="L256" i="2"/>
  <c r="N256" i="2"/>
  <c r="I256" i="2"/>
  <c r="H256" i="2"/>
  <c r="N430" i="2"/>
  <c r="I430" i="2"/>
  <c r="L174" i="2"/>
  <c r="N174" i="2"/>
  <c r="H174" i="2"/>
  <c r="I174" i="2"/>
  <c r="L517" i="2"/>
  <c r="N517" i="2"/>
  <c r="I517" i="2"/>
  <c r="H517" i="2"/>
  <c r="L261" i="2"/>
  <c r="H261" i="2"/>
  <c r="N261" i="2"/>
  <c r="I261" i="2"/>
  <c r="L244" i="2"/>
  <c r="N244" i="2"/>
  <c r="I244" i="2"/>
  <c r="H244" i="2"/>
  <c r="I109" i="2"/>
  <c r="L503" i="2"/>
  <c r="H503" i="2"/>
  <c r="N503" i="2"/>
  <c r="I503" i="2"/>
  <c r="L247" i="2"/>
  <c r="N247" i="2"/>
  <c r="H247" i="2"/>
  <c r="I247" i="2"/>
  <c r="L590" i="2"/>
  <c r="N592" i="2"/>
  <c r="I592" i="2"/>
  <c r="H592" i="2"/>
  <c r="I336" i="2"/>
  <c r="N336" i="2"/>
  <c r="H336" i="2"/>
  <c r="L510" i="2"/>
  <c r="I510" i="2"/>
  <c r="H510" i="2"/>
  <c r="N510" i="2"/>
  <c r="L254" i="2"/>
  <c r="H254" i="2"/>
  <c r="I254" i="2"/>
  <c r="N254" i="2"/>
  <c r="L597" i="2"/>
  <c r="I597" i="2"/>
  <c r="N597" i="2"/>
  <c r="H597" i="2"/>
  <c r="L341" i="2"/>
  <c r="H341" i="2"/>
  <c r="I341" i="2"/>
  <c r="N341" i="2"/>
  <c r="N85" i="2"/>
  <c r="I85" i="2"/>
  <c r="H85" i="2"/>
  <c r="N428" i="2"/>
  <c r="H428" i="2"/>
  <c r="I428" i="2"/>
  <c r="L172" i="2"/>
  <c r="H172" i="2"/>
  <c r="N172" i="2"/>
  <c r="I172" i="2"/>
  <c r="L543" i="2"/>
  <c r="N543" i="2"/>
  <c r="H543" i="2"/>
  <c r="I543" i="2"/>
  <c r="L287" i="2"/>
  <c r="N287" i="2"/>
  <c r="H287" i="2"/>
  <c r="I287" i="2"/>
  <c r="N31" i="2"/>
  <c r="I31" i="2"/>
  <c r="L478" i="2"/>
  <c r="I478" i="2"/>
  <c r="N478" i="2"/>
  <c r="H478" i="2"/>
  <c r="L222" i="2"/>
  <c r="H222" i="2"/>
  <c r="I222" i="2"/>
  <c r="N222" i="2"/>
  <c r="H565" i="2"/>
  <c r="N565" i="2"/>
  <c r="I565" i="2"/>
  <c r="L309" i="2"/>
  <c r="N309" i="2"/>
  <c r="I309" i="2"/>
  <c r="H309" i="2"/>
  <c r="L53" i="2"/>
  <c r="N53" i="2"/>
  <c r="H53" i="2"/>
  <c r="I53" i="2"/>
  <c r="N396" i="2"/>
  <c r="H396" i="2"/>
  <c r="I396" i="2"/>
  <c r="L140" i="2"/>
  <c r="N140" i="2"/>
  <c r="H140" i="2"/>
  <c r="I140" i="2"/>
  <c r="L310" i="2"/>
  <c r="N408" i="2"/>
  <c r="I408" i="2"/>
  <c r="H408" i="2"/>
  <c r="L349" i="2"/>
  <c r="N349" i="2"/>
  <c r="I349" i="2"/>
  <c r="H349" i="2"/>
  <c r="N284" i="2"/>
  <c r="H284" i="2"/>
  <c r="I284" i="2"/>
  <c r="L28" i="2"/>
  <c r="H28" i="2"/>
  <c r="N28" i="2"/>
  <c r="I28" i="2"/>
  <c r="L552" i="2"/>
  <c r="N552" i="2"/>
  <c r="I552" i="2"/>
  <c r="H552" i="2"/>
  <c r="N388" i="2"/>
  <c r="H388" i="2"/>
  <c r="I388" i="2"/>
  <c r="I294" i="2"/>
  <c r="L580" i="2"/>
  <c r="N580" i="2"/>
  <c r="I580" i="2"/>
  <c r="H580" i="2"/>
  <c r="L440" i="2"/>
  <c r="N440" i="2"/>
  <c r="I440" i="2"/>
  <c r="H440" i="2"/>
  <c r="N335" i="2"/>
  <c r="I335" i="2"/>
  <c r="H335" i="2"/>
  <c r="L102" i="2"/>
  <c r="N102" i="2"/>
  <c r="H102" i="2"/>
  <c r="I102" i="2"/>
  <c r="L352" i="2"/>
  <c r="N352" i="2"/>
  <c r="H352" i="2"/>
  <c r="I352" i="2"/>
  <c r="L96" i="2"/>
  <c r="N96" i="2"/>
  <c r="H96" i="2"/>
  <c r="I96" i="2"/>
  <c r="L526" i="2"/>
  <c r="H526" i="2"/>
  <c r="N526" i="2"/>
  <c r="I526" i="2"/>
  <c r="L270" i="2"/>
  <c r="N270" i="2"/>
  <c r="H270" i="2"/>
  <c r="I270" i="2"/>
  <c r="H14" i="2"/>
  <c r="L14" i="2"/>
  <c r="N14" i="2"/>
  <c r="I14" i="2"/>
  <c r="L357" i="2"/>
  <c r="N357" i="2"/>
  <c r="I357" i="2"/>
  <c r="H357" i="2"/>
  <c r="L101" i="2"/>
  <c r="N101" i="2"/>
  <c r="H101" i="2"/>
  <c r="I101" i="2"/>
  <c r="L444" i="2"/>
  <c r="H444" i="2"/>
  <c r="N444" i="2"/>
  <c r="I444" i="2"/>
  <c r="L188" i="2"/>
  <c r="N188" i="2"/>
  <c r="I188" i="2"/>
  <c r="H188" i="2"/>
  <c r="L592" i="2"/>
  <c r="L336" i="2"/>
  <c r="L80" i="2"/>
  <c r="N80" i="2"/>
  <c r="I80" i="2"/>
  <c r="H80" i="2"/>
  <c r="L423" i="2"/>
  <c r="I423" i="2"/>
  <c r="H423" i="2"/>
  <c r="N423" i="2"/>
  <c r="L167" i="2"/>
  <c r="I167" i="2"/>
  <c r="H167" i="2"/>
  <c r="N167" i="2"/>
  <c r="L85" i="2"/>
  <c r="L456" i="2"/>
  <c r="N456" i="2"/>
  <c r="H456" i="2"/>
  <c r="I456" i="2"/>
  <c r="L200" i="2"/>
  <c r="H200" i="2"/>
  <c r="N200" i="2"/>
  <c r="I200" i="2"/>
  <c r="H560" i="2"/>
  <c r="N560" i="2"/>
  <c r="I560" i="2"/>
  <c r="L304" i="2"/>
  <c r="H304" i="2"/>
  <c r="I304" i="2"/>
  <c r="N304" i="2"/>
  <c r="H48" i="2"/>
  <c r="N48" i="2"/>
  <c r="I48" i="2"/>
  <c r="L391" i="2"/>
  <c r="N391" i="2"/>
  <c r="H391" i="2"/>
  <c r="I391" i="2"/>
  <c r="H135" i="2"/>
  <c r="I135" i="2"/>
  <c r="N135" i="2"/>
  <c r="L396" i="2"/>
  <c r="L246" i="2"/>
  <c r="N246" i="2"/>
  <c r="I246" i="2"/>
  <c r="H246" i="2"/>
  <c r="N589" i="2"/>
  <c r="H589" i="2"/>
  <c r="I589" i="2"/>
  <c r="L333" i="2"/>
  <c r="N333" i="2"/>
  <c r="H333" i="2"/>
  <c r="I333" i="2"/>
  <c r="N77" i="2"/>
  <c r="H77" i="2"/>
  <c r="I77" i="2"/>
  <c r="L420" i="2"/>
  <c r="N420" i="2"/>
  <c r="H420" i="2"/>
  <c r="I420" i="2"/>
  <c r="N164" i="2"/>
  <c r="H164" i="2"/>
  <c r="I164" i="2"/>
  <c r="L512" i="2"/>
  <c r="L599" i="2"/>
  <c r="I599" i="2"/>
  <c r="H599" i="2"/>
  <c r="N599" i="2"/>
  <c r="L343" i="2"/>
  <c r="I343" i="2"/>
  <c r="N343" i="2"/>
  <c r="H343" i="2"/>
  <c r="L87" i="2"/>
  <c r="N87" i="2"/>
  <c r="H87" i="2"/>
  <c r="I87" i="2"/>
  <c r="N280" i="2"/>
  <c r="I280" i="2"/>
  <c r="L495" i="2"/>
  <c r="N495" i="2"/>
  <c r="I495" i="2"/>
  <c r="H495" i="2"/>
  <c r="L582" i="2"/>
  <c r="N582" i="2"/>
  <c r="H582" i="2"/>
  <c r="I582" i="2"/>
  <c r="L326" i="2"/>
  <c r="N326" i="2"/>
  <c r="H326" i="2"/>
  <c r="I326" i="2"/>
  <c r="L285" i="2"/>
  <c r="N285" i="2"/>
  <c r="H285" i="2"/>
  <c r="I285" i="2"/>
  <c r="L93" i="2"/>
  <c r="L180" i="2"/>
  <c r="N180" i="2"/>
  <c r="H180" i="2"/>
  <c r="I180" i="2"/>
  <c r="L197" i="2"/>
  <c r="N197" i="2"/>
  <c r="H197" i="2"/>
  <c r="I197" i="2"/>
  <c r="L348" i="2"/>
  <c r="N348" i="2"/>
  <c r="H348" i="2"/>
  <c r="I348" i="2"/>
  <c r="L92" i="2"/>
  <c r="N92" i="2"/>
  <c r="H92" i="2"/>
  <c r="I92" i="2"/>
  <c r="N40" i="2"/>
  <c r="N493" i="2"/>
  <c r="I493" i="2"/>
  <c r="N511" i="2"/>
  <c r="I511" i="2"/>
  <c r="N406" i="2"/>
  <c r="I406" i="2"/>
  <c r="N168" i="2"/>
  <c r="N598" i="2"/>
  <c r="I598" i="2"/>
  <c r="N470" i="2"/>
  <c r="N68" i="2"/>
  <c r="N79" i="2"/>
  <c r="N486" i="2"/>
  <c r="L294" i="2"/>
  <c r="N317" i="2"/>
  <c r="N404" i="2"/>
  <c r="L212" i="2"/>
  <c r="N212" i="2"/>
  <c r="N20" i="2"/>
  <c r="L439" i="2"/>
  <c r="H439" i="2"/>
  <c r="N439" i="2"/>
  <c r="I439" i="2"/>
  <c r="L183" i="2"/>
  <c r="H183" i="2"/>
  <c r="N183" i="2"/>
  <c r="I183" i="2"/>
  <c r="L528" i="2"/>
  <c r="I528" i="2"/>
  <c r="N528" i="2"/>
  <c r="H528" i="2"/>
  <c r="L272" i="2"/>
  <c r="I272" i="2"/>
  <c r="H272" i="2"/>
  <c r="N272" i="2"/>
  <c r="L446" i="2"/>
  <c r="I446" i="2"/>
  <c r="H446" i="2"/>
  <c r="N446" i="2"/>
  <c r="L190" i="2"/>
  <c r="I190" i="2"/>
  <c r="N190" i="2"/>
  <c r="H190" i="2"/>
  <c r="L533" i="2"/>
  <c r="I533" i="2"/>
  <c r="H533" i="2"/>
  <c r="N533" i="2"/>
  <c r="L277" i="2"/>
  <c r="I277" i="2"/>
  <c r="N277" i="2"/>
  <c r="H277" i="2"/>
  <c r="L21" i="2"/>
  <c r="I21" i="2"/>
  <c r="N21" i="2"/>
  <c r="H21" i="2"/>
  <c r="L364" i="2"/>
  <c r="N364" i="2"/>
  <c r="H364" i="2"/>
  <c r="I364" i="2"/>
  <c r="N108" i="2"/>
  <c r="H108" i="2"/>
  <c r="I108" i="2"/>
  <c r="L392" i="2"/>
  <c r="L479" i="2"/>
  <c r="H479" i="2"/>
  <c r="N479" i="2"/>
  <c r="I479" i="2"/>
  <c r="L223" i="2"/>
  <c r="N223" i="2"/>
  <c r="H223" i="2"/>
  <c r="I223" i="2"/>
  <c r="L566" i="2"/>
  <c r="N566" i="2"/>
  <c r="I566" i="2"/>
  <c r="H566" i="2"/>
  <c r="N414" i="2"/>
  <c r="I414" i="2"/>
  <c r="H414" i="2"/>
  <c r="L158" i="2"/>
  <c r="N158" i="2"/>
  <c r="I158" i="2"/>
  <c r="H158" i="2"/>
  <c r="L501" i="2"/>
  <c r="N501" i="2"/>
  <c r="I501" i="2"/>
  <c r="H501" i="2"/>
  <c r="L245" i="2"/>
  <c r="H245" i="2"/>
  <c r="I245" i="2"/>
  <c r="N245" i="2"/>
  <c r="L588" i="2"/>
  <c r="N588" i="2"/>
  <c r="I588" i="2"/>
  <c r="H588" i="2"/>
  <c r="L332" i="2"/>
  <c r="N332" i="2"/>
  <c r="H332" i="2"/>
  <c r="I332" i="2"/>
  <c r="L76" i="2"/>
  <c r="N76" i="2"/>
  <c r="H76" i="2"/>
  <c r="I76" i="2"/>
  <c r="L164" i="2"/>
  <c r="H448" i="2"/>
  <c r="I448" i="2"/>
  <c r="N448" i="2"/>
  <c r="L192" i="2"/>
  <c r="N192" i="2"/>
  <c r="H192" i="2"/>
  <c r="I192" i="2"/>
  <c r="L366" i="2"/>
  <c r="H366" i="2"/>
  <c r="N366" i="2"/>
  <c r="I366" i="2"/>
  <c r="L110" i="2"/>
  <c r="H110" i="2"/>
  <c r="N110" i="2"/>
  <c r="I110" i="2"/>
  <c r="L453" i="2"/>
  <c r="N453" i="2"/>
  <c r="I453" i="2"/>
  <c r="H453" i="2"/>
  <c r="N600" i="2"/>
  <c r="I600" i="2"/>
  <c r="L408" i="2"/>
  <c r="N88" i="2"/>
  <c r="I88" i="2"/>
  <c r="N239" i="2"/>
  <c r="I239" i="2"/>
  <c r="L70" i="2"/>
  <c r="N70" i="2"/>
  <c r="H70" i="2"/>
  <c r="I70" i="2"/>
  <c r="N477" i="2"/>
  <c r="I477" i="2"/>
  <c r="L29" i="2"/>
  <c r="N29" i="2"/>
  <c r="I29" i="2"/>
  <c r="H29" i="2"/>
  <c r="L372" i="2"/>
  <c r="H372" i="2"/>
  <c r="N372" i="2"/>
  <c r="I372" i="2"/>
  <c r="N540" i="2"/>
  <c r="I540" i="2"/>
  <c r="N575" i="2"/>
  <c r="N534" i="2"/>
  <c r="N452" i="2"/>
  <c r="I45" i="2"/>
  <c r="N237" i="2"/>
  <c r="I237" i="2"/>
  <c r="N132" i="2"/>
  <c r="N173" i="2"/>
  <c r="L248" i="2"/>
  <c r="N248" i="2"/>
  <c r="I248" i="2"/>
  <c r="H248" i="2"/>
  <c r="N271" i="2"/>
  <c r="H38" i="2"/>
  <c r="N38" i="2"/>
  <c r="L38" i="2"/>
  <c r="N125" i="2"/>
  <c r="I452" i="2"/>
  <c r="H68" i="2"/>
  <c r="L382" i="2"/>
  <c r="N382" i="2"/>
  <c r="I382" i="2"/>
  <c r="H382" i="2"/>
  <c r="L126" i="2"/>
  <c r="N126" i="2"/>
  <c r="I126" i="2"/>
  <c r="H126" i="2"/>
  <c r="L469" i="2"/>
  <c r="N469" i="2"/>
  <c r="I469" i="2"/>
  <c r="H469" i="2"/>
  <c r="L213" i="2"/>
  <c r="N213" i="2"/>
  <c r="I213" i="2"/>
  <c r="H213" i="2"/>
  <c r="L556" i="2"/>
  <c r="N556" i="2"/>
  <c r="I556" i="2"/>
  <c r="H556" i="2"/>
  <c r="L300" i="2"/>
  <c r="N300" i="2"/>
  <c r="H300" i="2"/>
  <c r="I300" i="2"/>
  <c r="L44" i="2"/>
  <c r="N44" i="2"/>
  <c r="I44" i="2"/>
  <c r="H44" i="2"/>
  <c r="L415" i="2"/>
  <c r="H415" i="2"/>
  <c r="N415" i="2"/>
  <c r="I415" i="2"/>
  <c r="H159" i="2"/>
  <c r="I159" i="2"/>
  <c r="N159" i="2"/>
  <c r="L502" i="2"/>
  <c r="H502" i="2"/>
  <c r="N502" i="2"/>
  <c r="I502" i="2"/>
  <c r="L176" i="2"/>
  <c r="H176" i="2"/>
  <c r="N176" i="2"/>
  <c r="I176" i="2"/>
  <c r="L350" i="2"/>
  <c r="I350" i="2"/>
  <c r="H350" i="2"/>
  <c r="N350" i="2"/>
  <c r="N94" i="2"/>
  <c r="H94" i="2"/>
  <c r="I94" i="2"/>
  <c r="L437" i="2"/>
  <c r="H437" i="2"/>
  <c r="N437" i="2"/>
  <c r="I437" i="2"/>
  <c r="L181" i="2"/>
  <c r="N181" i="2"/>
  <c r="I181" i="2"/>
  <c r="H181" i="2"/>
  <c r="N524" i="2"/>
  <c r="I524" i="2"/>
  <c r="H524" i="2"/>
  <c r="L268" i="2"/>
  <c r="N268" i="2"/>
  <c r="H268" i="2"/>
  <c r="I268" i="2"/>
  <c r="H12" i="2"/>
  <c r="N12" i="2"/>
  <c r="I12" i="2"/>
  <c r="L100" i="2"/>
  <c r="H384" i="2"/>
  <c r="N384" i="2"/>
  <c r="I384" i="2"/>
  <c r="H128" i="2"/>
  <c r="I128" i="2"/>
  <c r="N128" i="2"/>
  <c r="N558" i="2"/>
  <c r="I558" i="2"/>
  <c r="H558" i="2"/>
  <c r="L302" i="2"/>
  <c r="N302" i="2"/>
  <c r="I302" i="2"/>
  <c r="H302" i="2"/>
  <c r="N46" i="2"/>
  <c r="I46" i="2"/>
  <c r="L389" i="2"/>
  <c r="N389" i="2"/>
  <c r="H389" i="2"/>
  <c r="I389" i="2"/>
  <c r="N216" i="2"/>
  <c r="I216" i="2"/>
  <c r="N175" i="2"/>
  <c r="H175" i="2"/>
  <c r="I175" i="2"/>
  <c r="N413" i="2"/>
  <c r="H413" i="2"/>
  <c r="I413" i="2"/>
  <c r="N564" i="2"/>
  <c r="I564" i="2"/>
  <c r="L308" i="2"/>
  <c r="N308" i="2"/>
  <c r="H308" i="2"/>
  <c r="I308" i="2"/>
  <c r="L116" i="2"/>
  <c r="L476" i="2"/>
  <c r="N476" i="2"/>
  <c r="I476" i="2"/>
  <c r="H476" i="2"/>
  <c r="L284" i="2"/>
  <c r="L342" i="2"/>
  <c r="N342" i="2"/>
  <c r="N365" i="2"/>
  <c r="N150" i="2"/>
  <c r="I150" i="2"/>
  <c r="N488" i="2"/>
  <c r="N360" i="2"/>
  <c r="N214" i="2"/>
  <c r="N516" i="2"/>
  <c r="L207" i="2"/>
  <c r="N207" i="2"/>
  <c r="H207" i="2"/>
  <c r="I207" i="2"/>
  <c r="N15" i="2"/>
  <c r="I15" i="2"/>
  <c r="L230" i="2"/>
  <c r="N253" i="2"/>
  <c r="I253" i="2"/>
  <c r="L532" i="2"/>
  <c r="N340" i="2"/>
  <c r="I342" i="2"/>
  <c r="H342" i="2"/>
  <c r="L480" i="2"/>
  <c r="H480" i="2"/>
  <c r="I480" i="2"/>
  <c r="N480" i="2"/>
  <c r="N224" i="2"/>
  <c r="H224" i="2"/>
  <c r="I224" i="2"/>
  <c r="L398" i="2"/>
  <c r="H398" i="2"/>
  <c r="N398" i="2"/>
  <c r="I398" i="2"/>
  <c r="L142" i="2"/>
  <c r="N142" i="2"/>
  <c r="I142" i="2"/>
  <c r="H142" i="2"/>
  <c r="L485" i="2"/>
  <c r="N485" i="2"/>
  <c r="H485" i="2"/>
  <c r="I485" i="2"/>
  <c r="L229" i="2"/>
  <c r="N229" i="2"/>
  <c r="H229" i="2"/>
  <c r="I229" i="2"/>
  <c r="N572" i="2"/>
  <c r="I572" i="2"/>
  <c r="H572" i="2"/>
  <c r="L316" i="2"/>
  <c r="H316" i="2"/>
  <c r="N316" i="2"/>
  <c r="I316" i="2"/>
  <c r="L60" i="2"/>
  <c r="N60" i="2"/>
  <c r="H60" i="2"/>
  <c r="I60" i="2"/>
  <c r="L551" i="2"/>
  <c r="N551" i="2"/>
  <c r="I551" i="2"/>
  <c r="H551" i="2"/>
  <c r="L295" i="2"/>
  <c r="N295" i="2"/>
  <c r="I295" i="2"/>
  <c r="H295" i="2"/>
  <c r="L39" i="2"/>
  <c r="N39" i="2"/>
  <c r="I39" i="2"/>
  <c r="H39" i="2"/>
  <c r="L584" i="2"/>
  <c r="N584" i="2"/>
  <c r="I584" i="2"/>
  <c r="H584" i="2"/>
  <c r="L328" i="2"/>
  <c r="N328" i="2"/>
  <c r="H328" i="2"/>
  <c r="I328" i="2"/>
  <c r="L72" i="2"/>
  <c r="N72" i="2"/>
  <c r="H72" i="2"/>
  <c r="I72" i="2"/>
  <c r="L432" i="2"/>
  <c r="H432" i="2"/>
  <c r="I432" i="2"/>
  <c r="N432" i="2"/>
  <c r="L519" i="2"/>
  <c r="N519" i="2"/>
  <c r="H519" i="2"/>
  <c r="I519" i="2"/>
  <c r="L263" i="2"/>
  <c r="H263" i="2"/>
  <c r="I263" i="2"/>
  <c r="N263" i="2"/>
  <c r="L7" i="2"/>
  <c r="H7" i="2"/>
  <c r="I7" i="2"/>
  <c r="N7" i="2"/>
  <c r="L94" i="2"/>
  <c r="N374" i="2"/>
  <c r="H374" i="2"/>
  <c r="I374" i="2"/>
  <c r="N118" i="2"/>
  <c r="H118" i="2"/>
  <c r="I118" i="2"/>
  <c r="L461" i="2"/>
  <c r="N461" i="2"/>
  <c r="H461" i="2"/>
  <c r="I461" i="2"/>
  <c r="L205" i="2"/>
  <c r="N205" i="2"/>
  <c r="H205" i="2"/>
  <c r="I205" i="2"/>
  <c r="L548" i="2"/>
  <c r="I548" i="2"/>
  <c r="N548" i="2"/>
  <c r="H548" i="2"/>
  <c r="L292" i="2"/>
  <c r="N292" i="2"/>
  <c r="H292" i="2"/>
  <c r="I292" i="2"/>
  <c r="L36" i="2"/>
  <c r="H36" i="2"/>
  <c r="N36" i="2"/>
  <c r="I36" i="2"/>
  <c r="L384" i="2"/>
  <c r="L128" i="2"/>
  <c r="L471" i="2"/>
  <c r="N471" i="2"/>
  <c r="H471" i="2"/>
  <c r="I471" i="2"/>
  <c r="L215" i="2"/>
  <c r="N215" i="2"/>
  <c r="I215" i="2"/>
  <c r="H215" i="2"/>
  <c r="L558" i="2"/>
  <c r="N536" i="2"/>
  <c r="I536" i="2"/>
  <c r="N24" i="2"/>
  <c r="I24" i="2"/>
  <c r="N367" i="2"/>
  <c r="H367" i="2"/>
  <c r="I367" i="2"/>
  <c r="L454" i="2"/>
  <c r="N454" i="2"/>
  <c r="H454" i="2"/>
  <c r="I454" i="2"/>
  <c r="L198" i="2"/>
  <c r="N198" i="2"/>
  <c r="H198" i="2"/>
  <c r="I198" i="2"/>
  <c r="N6" i="2"/>
  <c r="I6" i="2"/>
  <c r="L413" i="2"/>
  <c r="L52" i="2"/>
  <c r="N52" i="2"/>
  <c r="H52" i="2"/>
  <c r="I52" i="2"/>
  <c r="N69" i="2"/>
  <c r="H69" i="2"/>
  <c r="I69" i="2"/>
  <c r="L220" i="2"/>
  <c r="N220" i="2"/>
  <c r="H220" i="2"/>
  <c r="I220" i="2"/>
  <c r="N383" i="2"/>
  <c r="N4" i="2"/>
  <c r="N424" i="2"/>
  <c r="I424" i="2"/>
  <c r="N45" i="2"/>
  <c r="N184" i="2"/>
  <c r="N591" i="2"/>
  <c r="L399" i="2"/>
  <c r="N399" i="2"/>
  <c r="N573" i="2"/>
  <c r="N61" i="2"/>
  <c r="I516" i="2"/>
  <c r="N196" i="2"/>
  <c r="I40" i="2"/>
  <c r="L567" i="2"/>
  <c r="H567" i="2"/>
  <c r="I567" i="2"/>
  <c r="N567" i="2"/>
  <c r="L311" i="2"/>
  <c r="H311" i="2"/>
  <c r="N311" i="2"/>
  <c r="I311" i="2"/>
  <c r="L55" i="2"/>
  <c r="H55" i="2"/>
  <c r="N55" i="2"/>
  <c r="I55" i="2"/>
  <c r="I400" i="2"/>
  <c r="N400" i="2"/>
  <c r="H400" i="2"/>
  <c r="L487" i="2"/>
  <c r="N574" i="2"/>
  <c r="I574" i="2"/>
  <c r="H574" i="2"/>
  <c r="L318" i="2"/>
  <c r="N318" i="2"/>
  <c r="I318" i="2"/>
  <c r="H318" i="2"/>
  <c r="H62" i="2"/>
  <c r="N62" i="2"/>
  <c r="I62" i="2"/>
  <c r="L405" i="2"/>
  <c r="N405" i="2"/>
  <c r="I405" i="2"/>
  <c r="H405" i="2"/>
  <c r="L149" i="2"/>
  <c r="N149" i="2"/>
  <c r="I149" i="2"/>
  <c r="H149" i="2"/>
  <c r="L492" i="2"/>
  <c r="I492" i="2"/>
  <c r="N492" i="2"/>
  <c r="H492" i="2"/>
  <c r="L236" i="2"/>
  <c r="N236" i="2"/>
  <c r="H236" i="2"/>
  <c r="I236" i="2"/>
  <c r="L520" i="2"/>
  <c r="L8" i="2"/>
  <c r="L351" i="2"/>
  <c r="H351" i="2"/>
  <c r="N351" i="2"/>
  <c r="I351" i="2"/>
  <c r="L95" i="2"/>
  <c r="H95" i="2"/>
  <c r="N95" i="2"/>
  <c r="I95" i="2"/>
  <c r="L438" i="2"/>
  <c r="N438" i="2"/>
  <c r="H438" i="2"/>
  <c r="I438" i="2"/>
  <c r="L112" i="2"/>
  <c r="H112" i="2"/>
  <c r="I112" i="2"/>
  <c r="N112" i="2"/>
  <c r="L455" i="2"/>
  <c r="L542" i="2"/>
  <c r="N542" i="2"/>
  <c r="H542" i="2"/>
  <c r="I542" i="2"/>
  <c r="L286" i="2"/>
  <c r="N286" i="2"/>
  <c r="H286" i="2"/>
  <c r="I286" i="2"/>
  <c r="L30" i="2"/>
  <c r="N30" i="2"/>
  <c r="H30" i="2"/>
  <c r="I30" i="2"/>
  <c r="L373" i="2"/>
  <c r="N373" i="2"/>
  <c r="H373" i="2"/>
  <c r="I373" i="2"/>
  <c r="L117" i="2"/>
  <c r="N117" i="2"/>
  <c r="I117" i="2"/>
  <c r="H117" i="2"/>
  <c r="L460" i="2"/>
  <c r="N460" i="2"/>
  <c r="I460" i="2"/>
  <c r="H460" i="2"/>
  <c r="L204" i="2"/>
  <c r="N204" i="2"/>
  <c r="H204" i="2"/>
  <c r="I204" i="2"/>
  <c r="L118" i="2"/>
  <c r="L576" i="2"/>
  <c r="N576" i="2"/>
  <c r="I576" i="2"/>
  <c r="H576" i="2"/>
  <c r="L320" i="2"/>
  <c r="I320" i="2"/>
  <c r="H320" i="2"/>
  <c r="N320" i="2"/>
  <c r="N494" i="2"/>
  <c r="H494" i="2"/>
  <c r="I494" i="2"/>
  <c r="L238" i="2"/>
  <c r="N238" i="2"/>
  <c r="H238" i="2"/>
  <c r="I238" i="2"/>
  <c r="L581" i="2"/>
  <c r="N581" i="2"/>
  <c r="H581" i="2"/>
  <c r="I581" i="2"/>
  <c r="N325" i="2"/>
  <c r="I325" i="2"/>
  <c r="N344" i="2"/>
  <c r="I344" i="2"/>
  <c r="L111" i="2"/>
  <c r="N111" i="2"/>
  <c r="H111" i="2"/>
  <c r="I111" i="2"/>
  <c r="N157" i="2"/>
  <c r="I157" i="2"/>
  <c r="L500" i="2"/>
  <c r="N500" i="2"/>
  <c r="H500" i="2"/>
  <c r="I500" i="2"/>
  <c r="N296" i="2"/>
  <c r="N86" i="2"/>
  <c r="I470" i="2"/>
  <c r="N63" i="2"/>
  <c r="N232" i="2"/>
  <c r="N255" i="2"/>
  <c r="N22" i="2"/>
  <c r="N324" i="2"/>
  <c r="N191" i="2"/>
  <c r="N568" i="2"/>
  <c r="N376" i="2"/>
  <c r="L143" i="2"/>
  <c r="N143" i="2"/>
  <c r="N550" i="2"/>
  <c r="N358" i="2"/>
  <c r="N166" i="2"/>
  <c r="I166" i="2"/>
  <c r="N381" i="2"/>
  <c r="N468" i="2"/>
  <c r="N84" i="2"/>
  <c r="I360" i="2"/>
  <c r="I383" i="2"/>
  <c r="I132" i="2"/>
  <c r="Q107" i="2"/>
  <c r="R107" i="2" s="1"/>
  <c r="Q467" i="2"/>
  <c r="R467" i="2" s="1"/>
  <c r="Q211" i="2"/>
  <c r="R211" i="2" s="1"/>
  <c r="Q451" i="2"/>
  <c r="R451" i="2" s="1"/>
  <c r="Q195" i="2"/>
  <c r="R195" i="2" s="1"/>
  <c r="Q443" i="2"/>
  <c r="R443" i="2" s="1"/>
  <c r="Q171" i="2"/>
  <c r="R171" i="2" s="1"/>
  <c r="Q235" i="2"/>
  <c r="R235" i="2" s="1"/>
  <c r="Q531" i="2"/>
  <c r="R531" i="2" s="1"/>
  <c r="Q275" i="2"/>
  <c r="R275" i="2" s="1"/>
  <c r="Q515" i="2"/>
  <c r="R515" i="2" s="1"/>
  <c r="Q259" i="2"/>
  <c r="R259" i="2" s="1"/>
  <c r="Q595" i="2"/>
  <c r="R595" i="2" s="1"/>
  <c r="Q339" i="2"/>
  <c r="R339" i="2" s="1"/>
  <c r="Q83" i="2"/>
  <c r="R83" i="2" s="1"/>
  <c r="Q579" i="2"/>
  <c r="R579" i="2" s="1"/>
  <c r="Q323" i="2"/>
  <c r="R323" i="2" s="1"/>
  <c r="Q403" i="2"/>
  <c r="R403" i="2" s="1"/>
  <c r="Q491" i="2"/>
  <c r="R491" i="2" s="1"/>
  <c r="Q387" i="2"/>
  <c r="R387" i="2" s="1"/>
  <c r="Q555" i="2"/>
  <c r="R555" i="2" s="1"/>
  <c r="Q427" i="2"/>
  <c r="R427" i="2" s="1"/>
  <c r="Q131" i="2"/>
  <c r="R131" i="2" s="1"/>
  <c r="Q147" i="2"/>
  <c r="R147" i="2" s="1"/>
  <c r="Q299" i="2"/>
  <c r="R299" i="2" s="1"/>
  <c r="V3" i="3" l="1"/>
  <c r="V2" i="3"/>
  <c r="R2" i="2"/>
  <c r="S2" i="2" s="1"/>
  <c r="U2" i="2" s="1"/>
  <c r="O550" i="2"/>
  <c r="P550" i="2"/>
  <c r="O236" i="2"/>
  <c r="P236" i="2"/>
  <c r="O485" i="2"/>
  <c r="P485" i="2"/>
  <c r="P340" i="2"/>
  <c r="O340" i="2"/>
  <c r="O302" i="2"/>
  <c r="P302" i="2"/>
  <c r="O239" i="2"/>
  <c r="P239" i="2"/>
  <c r="P303" i="2"/>
  <c r="O303" i="2"/>
  <c r="O381" i="2"/>
  <c r="P381" i="2"/>
  <c r="O351" i="2"/>
  <c r="P351" i="2"/>
  <c r="P149" i="2"/>
  <c r="O149" i="2"/>
  <c r="P574" i="2"/>
  <c r="O574" i="2"/>
  <c r="O424" i="2"/>
  <c r="P424" i="2"/>
  <c r="P374" i="2"/>
  <c r="O374" i="2"/>
  <c r="O128" i="2"/>
  <c r="P128" i="2"/>
  <c r="P271" i="2"/>
  <c r="O271" i="2"/>
  <c r="P407" i="2"/>
  <c r="O407" i="2"/>
  <c r="P447" i="2"/>
  <c r="O447" i="2"/>
  <c r="O13" i="2"/>
  <c r="P13" i="2"/>
  <c r="O232" i="2"/>
  <c r="P232" i="2"/>
  <c r="P500" i="2"/>
  <c r="O500" i="2"/>
  <c r="O438" i="2"/>
  <c r="P438" i="2"/>
  <c r="O55" i="2"/>
  <c r="P55" i="2"/>
  <c r="P399" i="2"/>
  <c r="O399" i="2"/>
  <c r="P7" i="2"/>
  <c r="O7" i="2"/>
  <c r="O480" i="2"/>
  <c r="P480" i="2"/>
  <c r="P308" i="2"/>
  <c r="O308" i="2"/>
  <c r="P237" i="2"/>
  <c r="O237" i="2"/>
  <c r="O588" i="2"/>
  <c r="P588" i="2"/>
  <c r="O414" i="2"/>
  <c r="P414" i="2"/>
  <c r="P486" i="2"/>
  <c r="O486" i="2"/>
  <c r="O470" i="2"/>
  <c r="P470" i="2"/>
  <c r="P164" i="2"/>
  <c r="O164" i="2"/>
  <c r="P589" i="2"/>
  <c r="O589" i="2"/>
  <c r="P222" i="2"/>
  <c r="O222" i="2"/>
  <c r="P508" i="2"/>
  <c r="O508" i="2"/>
  <c r="O504" i="2"/>
  <c r="P504" i="2"/>
  <c r="L494" i="2"/>
  <c r="O422" i="2"/>
  <c r="P422" i="2"/>
  <c r="O460" i="2"/>
  <c r="P460" i="2"/>
  <c r="O24" i="2"/>
  <c r="P24" i="2"/>
  <c r="L12" i="2"/>
  <c r="P15" i="2"/>
  <c r="O15" i="2"/>
  <c r="L424" i="2"/>
  <c r="L13" i="2"/>
  <c r="P44" i="2"/>
  <c r="O44" i="2"/>
  <c r="L431" i="2"/>
  <c r="O40" i="2"/>
  <c r="P40" i="2"/>
  <c r="L31" i="2"/>
  <c r="O96" i="2"/>
  <c r="P96" i="2"/>
  <c r="P349" i="2"/>
  <c r="O349" i="2"/>
  <c r="L416" i="2"/>
  <c r="L400" i="2"/>
  <c r="P288" i="2"/>
  <c r="O288" i="2"/>
  <c r="O84" i="2"/>
  <c r="P84" i="2"/>
  <c r="O324" i="2"/>
  <c r="P324" i="2"/>
  <c r="O111" i="2"/>
  <c r="P111" i="2"/>
  <c r="L407" i="2"/>
  <c r="P576" i="2"/>
  <c r="O576" i="2"/>
  <c r="L374" i="2"/>
  <c r="P492" i="2"/>
  <c r="O492" i="2"/>
  <c r="L572" i="2"/>
  <c r="O61" i="2"/>
  <c r="P61" i="2"/>
  <c r="O591" i="2"/>
  <c r="P591" i="2"/>
  <c r="O220" i="2"/>
  <c r="P220" i="2"/>
  <c r="O519" i="2"/>
  <c r="P519" i="2"/>
  <c r="L159" i="2"/>
  <c r="P328" i="2"/>
  <c r="O328" i="2"/>
  <c r="P316" i="2"/>
  <c r="O316" i="2"/>
  <c r="O516" i="2"/>
  <c r="P516" i="2"/>
  <c r="P365" i="2"/>
  <c r="O365" i="2"/>
  <c r="O476" i="2"/>
  <c r="P476" i="2"/>
  <c r="O575" i="2"/>
  <c r="P575" i="2"/>
  <c r="O29" i="2"/>
  <c r="P29" i="2"/>
  <c r="O70" i="2"/>
  <c r="P70" i="2"/>
  <c r="P366" i="2"/>
  <c r="O366" i="2"/>
  <c r="P192" i="2"/>
  <c r="O192" i="2"/>
  <c r="L77" i="2"/>
  <c r="P245" i="2"/>
  <c r="O245" i="2"/>
  <c r="P277" i="2"/>
  <c r="O277" i="2"/>
  <c r="P190" i="2"/>
  <c r="O190" i="2"/>
  <c r="L359" i="2"/>
  <c r="O79" i="2"/>
  <c r="P79" i="2"/>
  <c r="L239" i="2"/>
  <c r="O87" i="2"/>
  <c r="P87" i="2"/>
  <c r="L565" i="2"/>
  <c r="P456" i="2"/>
  <c r="O456" i="2"/>
  <c r="O14" i="2"/>
  <c r="P14" i="2"/>
  <c r="O526" i="2"/>
  <c r="P526" i="2"/>
  <c r="P102" i="2"/>
  <c r="O102" i="2"/>
  <c r="O552" i="2"/>
  <c r="P552" i="2"/>
  <c r="P284" i="2"/>
  <c r="O284" i="2"/>
  <c r="P396" i="2"/>
  <c r="O396" i="2"/>
  <c r="O309" i="2"/>
  <c r="P309" i="2"/>
  <c r="L48" i="2"/>
  <c r="P287" i="2"/>
  <c r="O287" i="2"/>
  <c r="O510" i="2"/>
  <c r="P510" i="2"/>
  <c r="O336" i="2"/>
  <c r="P336" i="2"/>
  <c r="L508" i="2"/>
  <c r="P247" i="2"/>
  <c r="O247" i="2"/>
  <c r="L575" i="2"/>
  <c r="O261" i="2"/>
  <c r="P261" i="2"/>
  <c r="L62" i="2"/>
  <c r="P78" i="2"/>
  <c r="O78" i="2"/>
  <c r="P160" i="2"/>
  <c r="O160" i="2"/>
  <c r="O532" i="2"/>
  <c r="P532" i="2"/>
  <c r="P518" i="2"/>
  <c r="O518" i="2"/>
  <c r="L477" i="2"/>
  <c r="P109" i="2"/>
  <c r="O109" i="2"/>
  <c r="P596" i="2"/>
  <c r="O596" i="2"/>
  <c r="O120" i="2"/>
  <c r="P120" i="2"/>
  <c r="O464" i="2"/>
  <c r="P464" i="2"/>
  <c r="P47" i="2"/>
  <c r="O47" i="2"/>
  <c r="O269" i="2"/>
  <c r="P269" i="2"/>
  <c r="O182" i="2"/>
  <c r="P182" i="2"/>
  <c r="O327" i="2"/>
  <c r="P327" i="2"/>
  <c r="P16" i="2"/>
  <c r="O16" i="2"/>
  <c r="O124" i="2"/>
  <c r="P124" i="2"/>
  <c r="P37" i="2"/>
  <c r="O37" i="2"/>
  <c r="P549" i="2"/>
  <c r="O549" i="2"/>
  <c r="P462" i="2"/>
  <c r="O462" i="2"/>
  <c r="P390" i="2"/>
  <c r="O390" i="2"/>
  <c r="O270" i="2"/>
  <c r="P270" i="2"/>
  <c r="O484" i="2"/>
  <c r="P484" i="2"/>
  <c r="P143" i="2"/>
  <c r="O143" i="2"/>
  <c r="P286" i="2"/>
  <c r="O286" i="2"/>
  <c r="P4" i="2"/>
  <c r="O4" i="2"/>
  <c r="O454" i="2"/>
  <c r="P454" i="2"/>
  <c r="O469" i="2"/>
  <c r="P469" i="2"/>
  <c r="P180" i="2"/>
  <c r="O180" i="2"/>
  <c r="P580" i="2"/>
  <c r="O580" i="2"/>
  <c r="O310" i="2"/>
  <c r="P310" i="2"/>
  <c r="P557" i="2"/>
  <c r="O557" i="2"/>
  <c r="L448" i="2"/>
  <c r="O166" i="2"/>
  <c r="P166" i="2"/>
  <c r="L335" i="2"/>
  <c r="P63" i="2"/>
  <c r="O63" i="2"/>
  <c r="O157" i="2"/>
  <c r="P157" i="2"/>
  <c r="P325" i="2"/>
  <c r="O325" i="2"/>
  <c r="P238" i="2"/>
  <c r="O238" i="2"/>
  <c r="O95" i="2"/>
  <c r="P95" i="2"/>
  <c r="P405" i="2"/>
  <c r="O405" i="2"/>
  <c r="P318" i="2"/>
  <c r="O318" i="2"/>
  <c r="L224" i="2"/>
  <c r="O45" i="2"/>
  <c r="P45" i="2"/>
  <c r="P52" i="2"/>
  <c r="O52" i="2"/>
  <c r="L344" i="2"/>
  <c r="O292" i="2"/>
  <c r="P292" i="2"/>
  <c r="P205" i="2"/>
  <c r="O205" i="2"/>
  <c r="P118" i="2"/>
  <c r="O118" i="2"/>
  <c r="L524" i="2"/>
  <c r="L208" i="2"/>
  <c r="O229" i="2"/>
  <c r="P229" i="2"/>
  <c r="P142" i="2"/>
  <c r="O142" i="2"/>
  <c r="O253" i="2"/>
  <c r="P253" i="2"/>
  <c r="O488" i="2"/>
  <c r="P488" i="2"/>
  <c r="O564" i="2"/>
  <c r="P564" i="2"/>
  <c r="P216" i="2"/>
  <c r="O216" i="2"/>
  <c r="O46" i="2"/>
  <c r="P46" i="2"/>
  <c r="O558" i="2"/>
  <c r="P558" i="2"/>
  <c r="L525" i="2"/>
  <c r="O268" i="2"/>
  <c r="P268" i="2"/>
  <c r="O181" i="2"/>
  <c r="P181" i="2"/>
  <c r="O94" i="2"/>
  <c r="P94" i="2"/>
  <c r="L470" i="2"/>
  <c r="P88" i="2"/>
  <c r="O88" i="2"/>
  <c r="P453" i="2"/>
  <c r="O453" i="2"/>
  <c r="P364" i="2"/>
  <c r="O364" i="2"/>
  <c r="O183" i="2"/>
  <c r="P183" i="2"/>
  <c r="P317" i="2"/>
  <c r="O317" i="2"/>
  <c r="L436" i="2"/>
  <c r="L600" i="2"/>
  <c r="O391" i="2"/>
  <c r="P391" i="2"/>
  <c r="O167" i="2"/>
  <c r="P167" i="2"/>
  <c r="P188" i="2"/>
  <c r="O188" i="2"/>
  <c r="O101" i="2"/>
  <c r="P101" i="2"/>
  <c r="O172" i="2"/>
  <c r="P172" i="2"/>
  <c r="O597" i="2"/>
  <c r="P597" i="2"/>
  <c r="O174" i="2"/>
  <c r="P174" i="2"/>
  <c r="O228" i="2"/>
  <c r="P228" i="2"/>
  <c r="O141" i="2"/>
  <c r="P141" i="2"/>
  <c r="O54" i="2"/>
  <c r="P54" i="2"/>
  <c r="O8" i="2"/>
  <c r="P8" i="2"/>
  <c r="P487" i="2"/>
  <c r="O487" i="2"/>
  <c r="P165" i="2"/>
  <c r="O165" i="2"/>
  <c r="P590" i="2"/>
  <c r="O590" i="2"/>
  <c r="P472" i="2"/>
  <c r="O472" i="2"/>
  <c r="P151" i="2"/>
  <c r="O151" i="2"/>
  <c r="P64" i="2"/>
  <c r="O64" i="2"/>
  <c r="L381" i="2"/>
  <c r="P278" i="2"/>
  <c r="O278" i="2"/>
  <c r="P356" i="2"/>
  <c r="O356" i="2"/>
  <c r="L414" i="2"/>
  <c r="L108" i="2"/>
  <c r="P260" i="2"/>
  <c r="O260" i="2"/>
  <c r="P559" i="2"/>
  <c r="O559" i="2"/>
  <c r="L84" i="2"/>
  <c r="O572" i="2"/>
  <c r="P572" i="2"/>
  <c r="O524" i="2"/>
  <c r="P524" i="2"/>
  <c r="O285" i="2"/>
  <c r="P285" i="2"/>
  <c r="O423" i="2"/>
  <c r="P423" i="2"/>
  <c r="O319" i="2"/>
  <c r="P319" i="2"/>
  <c r="O436" i="2"/>
  <c r="P436" i="2"/>
  <c r="O509" i="2"/>
  <c r="P509" i="2"/>
  <c r="O116" i="2"/>
  <c r="P116" i="2"/>
  <c r="P468" i="2"/>
  <c r="O468" i="2"/>
  <c r="O376" i="2"/>
  <c r="P376" i="2"/>
  <c r="P22" i="2"/>
  <c r="O22" i="2"/>
  <c r="L69" i="2"/>
  <c r="P320" i="2"/>
  <c r="O320" i="2"/>
  <c r="O311" i="2"/>
  <c r="P311" i="2"/>
  <c r="P184" i="2"/>
  <c r="O184" i="2"/>
  <c r="O263" i="2"/>
  <c r="P263" i="2"/>
  <c r="O214" i="2"/>
  <c r="P214" i="2"/>
  <c r="O342" i="2"/>
  <c r="P342" i="2"/>
  <c r="O384" i="2"/>
  <c r="P384" i="2"/>
  <c r="P176" i="2"/>
  <c r="O176" i="2"/>
  <c r="P159" i="2"/>
  <c r="O159" i="2"/>
  <c r="O38" i="2"/>
  <c r="P38" i="2"/>
  <c r="P448" i="2"/>
  <c r="O448" i="2"/>
  <c r="L589" i="2"/>
  <c r="O332" i="2"/>
  <c r="P332" i="2"/>
  <c r="P158" i="2"/>
  <c r="O158" i="2"/>
  <c r="L583" i="2"/>
  <c r="P272" i="2"/>
  <c r="O272" i="2"/>
  <c r="P20" i="2"/>
  <c r="O20" i="2"/>
  <c r="L271" i="2"/>
  <c r="O598" i="2"/>
  <c r="P598" i="2"/>
  <c r="O511" i="2"/>
  <c r="P511" i="2"/>
  <c r="O326" i="2"/>
  <c r="P326" i="2"/>
  <c r="O420" i="2"/>
  <c r="P420" i="2"/>
  <c r="P333" i="2"/>
  <c r="O333" i="2"/>
  <c r="P246" i="2"/>
  <c r="O246" i="2"/>
  <c r="P440" i="2"/>
  <c r="O440" i="2"/>
  <c r="L560" i="2"/>
  <c r="O85" i="2"/>
  <c r="P85" i="2"/>
  <c r="P199" i="2"/>
  <c r="O199" i="2"/>
  <c r="P368" i="2"/>
  <c r="O368" i="2"/>
  <c r="O520" i="2"/>
  <c r="P520" i="2"/>
  <c r="L574" i="2"/>
  <c r="O252" i="2"/>
  <c r="P252" i="2"/>
  <c r="O301" i="2"/>
  <c r="P301" i="2"/>
  <c r="L175" i="2"/>
  <c r="O294" i="2"/>
  <c r="P294" i="2"/>
  <c r="P93" i="2"/>
  <c r="O93" i="2"/>
  <c r="P156" i="2"/>
  <c r="O156" i="2"/>
  <c r="O208" i="2"/>
  <c r="P208" i="2"/>
  <c r="P230" i="2"/>
  <c r="O230" i="2"/>
  <c r="P103" i="2"/>
  <c r="O103" i="2"/>
  <c r="P23" i="2"/>
  <c r="O23" i="2"/>
  <c r="P535" i="2"/>
  <c r="O535" i="2"/>
  <c r="L527" i="2"/>
  <c r="O541" i="2"/>
  <c r="P541" i="2"/>
  <c r="P581" i="2"/>
  <c r="O581" i="2"/>
  <c r="L568" i="2"/>
  <c r="P69" i="2"/>
  <c r="O69" i="2"/>
  <c r="P461" i="2"/>
  <c r="O461" i="2"/>
  <c r="P600" i="2"/>
  <c r="O600" i="2"/>
  <c r="O439" i="2"/>
  <c r="P439" i="2"/>
  <c r="O493" i="2"/>
  <c r="P493" i="2"/>
  <c r="O357" i="2"/>
  <c r="P357" i="2"/>
  <c r="O592" i="2"/>
  <c r="P592" i="2"/>
  <c r="O517" i="2"/>
  <c r="P517" i="2"/>
  <c r="O397" i="2"/>
  <c r="P397" i="2"/>
  <c r="P144" i="2"/>
  <c r="O144" i="2"/>
  <c r="L168" i="2"/>
  <c r="P431" i="2"/>
  <c r="O431" i="2"/>
  <c r="O5" i="2"/>
  <c r="P5" i="2"/>
  <c r="O276" i="2"/>
  <c r="P276" i="2"/>
  <c r="P359" i="2"/>
  <c r="O359" i="2"/>
  <c r="P527" i="2"/>
  <c r="O527" i="2"/>
  <c r="P191" i="2"/>
  <c r="O191" i="2"/>
  <c r="L367" i="2"/>
  <c r="O389" i="2"/>
  <c r="P389" i="2"/>
  <c r="P534" i="2"/>
  <c r="O534" i="2"/>
  <c r="O501" i="2"/>
  <c r="P501" i="2"/>
  <c r="O479" i="2"/>
  <c r="P479" i="2"/>
  <c r="P404" i="2"/>
  <c r="O404" i="2"/>
  <c r="O599" i="2"/>
  <c r="P599" i="2"/>
  <c r="O335" i="2"/>
  <c r="P335" i="2"/>
  <c r="L135" i="2"/>
  <c r="O455" i="2"/>
  <c r="P455" i="2"/>
  <c r="O264" i="2"/>
  <c r="P264" i="2"/>
  <c r="P148" i="2"/>
  <c r="O148" i="2"/>
  <c r="P412" i="2"/>
  <c r="O412" i="2"/>
  <c r="P375" i="2"/>
  <c r="O375" i="2"/>
  <c r="P373" i="2"/>
  <c r="O373" i="2"/>
  <c r="P6" i="2"/>
  <c r="O6" i="2"/>
  <c r="O39" i="2"/>
  <c r="P39" i="2"/>
  <c r="P502" i="2"/>
  <c r="O502" i="2"/>
  <c r="O556" i="2"/>
  <c r="P556" i="2"/>
  <c r="L463" i="2"/>
  <c r="O566" i="2"/>
  <c r="P566" i="2"/>
  <c r="O348" i="2"/>
  <c r="P348" i="2"/>
  <c r="O280" i="2"/>
  <c r="P280" i="2"/>
  <c r="O304" i="2"/>
  <c r="P304" i="2"/>
  <c r="P240" i="2"/>
  <c r="O240" i="2"/>
  <c r="O392" i="2"/>
  <c r="P392" i="2"/>
  <c r="P358" i="2"/>
  <c r="O358" i="2"/>
  <c r="P204" i="2"/>
  <c r="O204" i="2"/>
  <c r="P117" i="2"/>
  <c r="O117" i="2"/>
  <c r="P30" i="2"/>
  <c r="O30" i="2"/>
  <c r="O542" i="2"/>
  <c r="P542" i="2"/>
  <c r="P400" i="2"/>
  <c r="O400" i="2"/>
  <c r="P573" i="2"/>
  <c r="O573" i="2"/>
  <c r="P383" i="2"/>
  <c r="O383" i="2"/>
  <c r="O198" i="2"/>
  <c r="P198" i="2"/>
  <c r="O536" i="2"/>
  <c r="P536" i="2"/>
  <c r="O215" i="2"/>
  <c r="P215" i="2"/>
  <c r="P432" i="2"/>
  <c r="O432" i="2"/>
  <c r="O295" i="2"/>
  <c r="P295" i="2"/>
  <c r="O207" i="2"/>
  <c r="P207" i="2"/>
  <c r="O350" i="2"/>
  <c r="P350" i="2"/>
  <c r="P300" i="2"/>
  <c r="O300" i="2"/>
  <c r="O213" i="2"/>
  <c r="P213" i="2"/>
  <c r="O126" i="2"/>
  <c r="P126" i="2"/>
  <c r="O248" i="2"/>
  <c r="P248" i="2"/>
  <c r="O132" i="2"/>
  <c r="P132" i="2"/>
  <c r="O452" i="2"/>
  <c r="P452" i="2"/>
  <c r="O372" i="2"/>
  <c r="P372" i="2"/>
  <c r="O223" i="2"/>
  <c r="P223" i="2"/>
  <c r="P533" i="2"/>
  <c r="O533" i="2"/>
  <c r="P446" i="2"/>
  <c r="O446" i="2"/>
  <c r="O92" i="2"/>
  <c r="P92" i="2"/>
  <c r="P197" i="2"/>
  <c r="O197" i="2"/>
  <c r="O495" i="2"/>
  <c r="P495" i="2"/>
  <c r="O343" i="2"/>
  <c r="P343" i="2"/>
  <c r="P135" i="2"/>
  <c r="O135" i="2"/>
  <c r="P200" i="2"/>
  <c r="O200" i="2"/>
  <c r="L428" i="2"/>
  <c r="O80" i="2"/>
  <c r="P80" i="2"/>
  <c r="O352" i="2"/>
  <c r="P352" i="2"/>
  <c r="O28" i="2"/>
  <c r="P28" i="2"/>
  <c r="O408" i="2"/>
  <c r="P408" i="2"/>
  <c r="O565" i="2"/>
  <c r="P565" i="2"/>
  <c r="O478" i="2"/>
  <c r="P478" i="2"/>
  <c r="P503" i="2"/>
  <c r="O503" i="2"/>
  <c r="O256" i="2"/>
  <c r="P256" i="2"/>
  <c r="P56" i="2"/>
  <c r="O56" i="2"/>
  <c r="O189" i="2"/>
  <c r="P189" i="2"/>
  <c r="P119" i="2"/>
  <c r="O119" i="2"/>
  <c r="P32" i="2"/>
  <c r="O32" i="2"/>
  <c r="P104" i="2"/>
  <c r="O104" i="2"/>
  <c r="P134" i="2"/>
  <c r="O134" i="2"/>
  <c r="P71" i="2"/>
  <c r="O71" i="2"/>
  <c r="O136" i="2"/>
  <c r="P136" i="2"/>
  <c r="P544" i="2"/>
  <c r="O544" i="2"/>
  <c r="O127" i="2"/>
  <c r="P127" i="2"/>
  <c r="L388" i="2"/>
  <c r="P494" i="2"/>
  <c r="O494" i="2"/>
  <c r="O567" i="2"/>
  <c r="P567" i="2"/>
  <c r="P60" i="2"/>
  <c r="O60" i="2"/>
  <c r="O108" i="2"/>
  <c r="P108" i="2"/>
  <c r="P231" i="2"/>
  <c r="O231" i="2"/>
  <c r="O429" i="2"/>
  <c r="P429" i="2"/>
  <c r="O152" i="2"/>
  <c r="P152" i="2"/>
  <c r="P344" i="2"/>
  <c r="O344" i="2"/>
  <c r="O413" i="2"/>
  <c r="P413" i="2"/>
  <c r="P125" i="2"/>
  <c r="O125" i="2"/>
  <c r="P540" i="2"/>
  <c r="O540" i="2"/>
  <c r="O76" i="2"/>
  <c r="P76" i="2"/>
  <c r="O582" i="2"/>
  <c r="P582" i="2"/>
  <c r="P77" i="2"/>
  <c r="O77" i="2"/>
  <c r="P428" i="2"/>
  <c r="O428" i="2"/>
  <c r="O512" i="2"/>
  <c r="P512" i="2"/>
  <c r="O296" i="2"/>
  <c r="P296" i="2"/>
  <c r="P112" i="2"/>
  <c r="O112" i="2"/>
  <c r="L231" i="2"/>
  <c r="O471" i="2"/>
  <c r="P471" i="2"/>
  <c r="O551" i="2"/>
  <c r="P551" i="2"/>
  <c r="P415" i="2"/>
  <c r="O415" i="2"/>
  <c r="O382" i="2"/>
  <c r="P382" i="2"/>
  <c r="O173" i="2"/>
  <c r="P173" i="2"/>
  <c r="P528" i="2"/>
  <c r="O528" i="2"/>
  <c r="O406" i="2"/>
  <c r="P406" i="2"/>
  <c r="P279" i="2"/>
  <c r="O279" i="2"/>
  <c r="P568" i="2"/>
  <c r="O568" i="2"/>
  <c r="O255" i="2"/>
  <c r="P255" i="2"/>
  <c r="O86" i="2"/>
  <c r="P86" i="2"/>
  <c r="P62" i="2"/>
  <c r="O62" i="2"/>
  <c r="O196" i="2"/>
  <c r="P196" i="2"/>
  <c r="O367" i="2"/>
  <c r="P367" i="2"/>
  <c r="P36" i="2"/>
  <c r="O36" i="2"/>
  <c r="O548" i="2"/>
  <c r="P548" i="2"/>
  <c r="P72" i="2"/>
  <c r="O72" i="2"/>
  <c r="P584" i="2"/>
  <c r="O584" i="2"/>
  <c r="O398" i="2"/>
  <c r="P398" i="2"/>
  <c r="P224" i="2"/>
  <c r="O224" i="2"/>
  <c r="O360" i="2"/>
  <c r="P360" i="2"/>
  <c r="O150" i="2"/>
  <c r="P150" i="2"/>
  <c r="P175" i="2"/>
  <c r="O175" i="2"/>
  <c r="O12" i="2"/>
  <c r="P12" i="2"/>
  <c r="O437" i="2"/>
  <c r="P437" i="2"/>
  <c r="P477" i="2"/>
  <c r="O477" i="2"/>
  <c r="P110" i="2"/>
  <c r="O110" i="2"/>
  <c r="P21" i="2"/>
  <c r="O21" i="2"/>
  <c r="P212" i="2"/>
  <c r="O212" i="2"/>
  <c r="P68" i="2"/>
  <c r="O68" i="2"/>
  <c r="O168" i="2"/>
  <c r="P168" i="2"/>
  <c r="P48" i="2"/>
  <c r="O48" i="2"/>
  <c r="O560" i="2"/>
  <c r="P560" i="2"/>
  <c r="O444" i="2"/>
  <c r="P444" i="2"/>
  <c r="O388" i="2"/>
  <c r="P388" i="2"/>
  <c r="O140" i="2"/>
  <c r="P140" i="2"/>
  <c r="O53" i="2"/>
  <c r="P53" i="2"/>
  <c r="P31" i="2"/>
  <c r="O31" i="2"/>
  <c r="P543" i="2"/>
  <c r="O543" i="2"/>
  <c r="O341" i="2"/>
  <c r="P341" i="2"/>
  <c r="O254" i="2"/>
  <c r="P254" i="2"/>
  <c r="O244" i="2"/>
  <c r="P244" i="2"/>
  <c r="O430" i="2"/>
  <c r="P430" i="2"/>
  <c r="P421" i="2"/>
  <c r="O421" i="2"/>
  <c r="P334" i="2"/>
  <c r="O334" i="2"/>
  <c r="P416" i="2"/>
  <c r="O416" i="2"/>
  <c r="P262" i="2"/>
  <c r="O262" i="2"/>
  <c r="P312" i="2"/>
  <c r="O312" i="2"/>
  <c r="P445" i="2"/>
  <c r="O445" i="2"/>
  <c r="O133" i="2"/>
  <c r="P133" i="2"/>
  <c r="O463" i="2"/>
  <c r="P463" i="2"/>
  <c r="P221" i="2"/>
  <c r="O221" i="2"/>
  <c r="O100" i="2"/>
  <c r="P100" i="2"/>
  <c r="O525" i="2"/>
  <c r="P525" i="2"/>
  <c r="P583" i="2"/>
  <c r="O583" i="2"/>
  <c r="O496" i="2"/>
  <c r="P496" i="2"/>
  <c r="P380" i="2"/>
  <c r="O380" i="2"/>
  <c r="P293" i="2"/>
  <c r="O293" i="2"/>
  <c r="P206" i="2"/>
  <c r="O206" i="2"/>
  <c r="V539" i="2"/>
  <c r="X539" i="2"/>
  <c r="V114" i="2"/>
  <c r="X114" i="2"/>
  <c r="V186" i="2"/>
  <c r="X186" i="2"/>
  <c r="V99" i="2"/>
  <c r="X99" i="2"/>
  <c r="V51" i="2"/>
  <c r="X51" i="2"/>
  <c r="V283" i="2"/>
  <c r="X283" i="2"/>
  <c r="V450" i="2"/>
  <c r="X450" i="2"/>
  <c r="V442" i="2"/>
  <c r="X442" i="2"/>
  <c r="V363" i="2"/>
  <c r="X363" i="2"/>
  <c r="V355" i="2"/>
  <c r="X355" i="2"/>
  <c r="V27" i="2"/>
  <c r="X27" i="2"/>
  <c r="V273" i="2"/>
  <c r="X273" i="2"/>
  <c r="V473" i="2"/>
  <c r="X473" i="2"/>
  <c r="V370" i="2"/>
  <c r="X370" i="2"/>
  <c r="V529" i="2"/>
  <c r="X529" i="2"/>
  <c r="V17" i="2"/>
  <c r="X17" i="2"/>
  <c r="S138" i="2"/>
  <c r="U138" i="2" s="1"/>
  <c r="S233" i="2"/>
  <c r="U233" i="2" s="1"/>
  <c r="S329" i="2"/>
  <c r="U329" i="2" s="1"/>
  <c r="S593" i="2"/>
  <c r="U593" i="2" s="1"/>
  <c r="S115" i="2"/>
  <c r="U115" i="2" s="1"/>
  <c r="S203" i="2"/>
  <c r="U203" i="2" s="1"/>
  <c r="S178" i="2"/>
  <c r="U178" i="2" s="1"/>
  <c r="S290" i="2"/>
  <c r="U290" i="2" s="1"/>
  <c r="S347" i="2"/>
  <c r="U347" i="2" s="1"/>
  <c r="S394" i="2"/>
  <c r="U394" i="2" s="1"/>
  <c r="S123" i="2"/>
  <c r="U123" i="2" s="1"/>
  <c r="S81" i="2"/>
  <c r="U81" i="2" s="1"/>
  <c r="S489" i="2"/>
  <c r="U489" i="2" s="1"/>
  <c r="S67" i="2"/>
  <c r="U67" i="2" s="1"/>
  <c r="S426" i="2"/>
  <c r="U426" i="2" s="1"/>
  <c r="S201" i="2"/>
  <c r="U201" i="2" s="1"/>
  <c r="S266" i="2"/>
  <c r="U266" i="2" s="1"/>
  <c r="S82" i="2"/>
  <c r="U82" i="2" s="1"/>
  <c r="S259" i="2"/>
  <c r="U259" i="2" s="1"/>
  <c r="S19" i="2"/>
  <c r="U19" i="2" s="1"/>
  <c r="S393" i="2"/>
  <c r="U393" i="2" s="1"/>
  <c r="S179" i="2"/>
  <c r="U179" i="2" s="1"/>
  <c r="S274" i="2"/>
  <c r="U274" i="2" s="1"/>
  <c r="S451" i="2"/>
  <c r="U451" i="2" s="1"/>
  <c r="S185" i="2"/>
  <c r="U185" i="2" s="1"/>
  <c r="S211" i="2"/>
  <c r="U211" i="2" s="1"/>
  <c r="S585" i="2"/>
  <c r="U585" i="2" s="1"/>
  <c r="S145" i="2"/>
  <c r="U145" i="2" s="1"/>
  <c r="S553" i="2"/>
  <c r="U553" i="2" s="1"/>
  <c r="S474" i="2"/>
  <c r="U474" i="2" s="1"/>
  <c r="S410" i="2"/>
  <c r="U410" i="2" s="1"/>
  <c r="S425" i="2"/>
  <c r="U425" i="2" s="1"/>
  <c r="S547" i="2"/>
  <c r="U547" i="2" s="1"/>
  <c r="S195" i="2"/>
  <c r="U195" i="2" s="1"/>
  <c r="S305" i="2"/>
  <c r="U305" i="2" s="1"/>
  <c r="S234" i="2"/>
  <c r="U234" i="2" s="1"/>
  <c r="S419" i="2"/>
  <c r="U419" i="2" s="1"/>
  <c r="S161" i="2"/>
  <c r="U161" i="2" s="1"/>
  <c r="S66" i="2"/>
  <c r="U66" i="2" s="1"/>
  <c r="S537" i="2"/>
  <c r="U537" i="2" s="1"/>
  <c r="S307" i="2"/>
  <c r="U307" i="2" s="1"/>
  <c r="S289" i="2"/>
  <c r="U289" i="2" s="1"/>
  <c r="S34" i="2"/>
  <c r="U34" i="2" s="1"/>
  <c r="S163" i="2"/>
  <c r="U163" i="2" s="1"/>
  <c r="S146" i="2"/>
  <c r="U146" i="2" s="1"/>
  <c r="S323" i="2"/>
  <c r="U323" i="2" s="1"/>
  <c r="S57" i="2"/>
  <c r="U57" i="2" s="1"/>
  <c r="S83" i="2"/>
  <c r="U83" i="2" s="1"/>
  <c r="S457" i="2"/>
  <c r="U457" i="2" s="1"/>
  <c r="S522" i="2"/>
  <c r="U522" i="2" s="1"/>
  <c r="S338" i="2"/>
  <c r="U338" i="2" s="1"/>
  <c r="S515" i="2"/>
  <c r="U515" i="2" s="1"/>
  <c r="S249" i="2"/>
  <c r="U249" i="2" s="1"/>
  <c r="S275" i="2"/>
  <c r="U275" i="2" s="1"/>
  <c r="S50" i="2"/>
  <c r="U50" i="2" s="1"/>
  <c r="S209" i="2"/>
  <c r="U209" i="2" s="1"/>
  <c r="S435" i="2"/>
  <c r="U435" i="2" s="1"/>
  <c r="S530" i="2"/>
  <c r="U530" i="2" s="1"/>
  <c r="S441" i="2"/>
  <c r="U441" i="2" s="1"/>
  <c r="S467" i="2"/>
  <c r="U467" i="2" s="1"/>
  <c r="S242" i="2"/>
  <c r="U242" i="2" s="1"/>
  <c r="S401" i="2"/>
  <c r="U401" i="2" s="1"/>
  <c r="S417" i="2"/>
  <c r="U417" i="2" s="1"/>
  <c r="S601" i="2"/>
  <c r="U601" i="2" s="1"/>
  <c r="S427" i="2"/>
  <c r="U427" i="2" s="1"/>
  <c r="S458" i="2"/>
  <c r="U458" i="2" s="1"/>
  <c r="S459" i="2"/>
  <c r="U459" i="2" s="1"/>
  <c r="S9" i="2"/>
  <c r="U9" i="2" s="1"/>
  <c r="S25" i="2"/>
  <c r="U25" i="2" s="1"/>
  <c r="S41" i="2"/>
  <c r="U41" i="2" s="1"/>
  <c r="S546" i="2"/>
  <c r="U546" i="2" s="1"/>
  <c r="S402" i="2"/>
  <c r="U402" i="2" s="1"/>
  <c r="S579" i="2"/>
  <c r="U579" i="2" s="1"/>
  <c r="S313" i="2"/>
  <c r="U313" i="2" s="1"/>
  <c r="S339" i="2"/>
  <c r="U339" i="2" s="1"/>
  <c r="S594" i="2"/>
  <c r="U594" i="2" s="1"/>
  <c r="S505" i="2"/>
  <c r="U505" i="2" s="1"/>
  <c r="S531" i="2"/>
  <c r="U531" i="2" s="1"/>
  <c r="S306" i="2"/>
  <c r="U306" i="2" s="1"/>
  <c r="S465" i="2"/>
  <c r="U465" i="2" s="1"/>
  <c r="S187" i="2"/>
  <c r="U187" i="2" s="1"/>
  <c r="S113" i="2"/>
  <c r="U113" i="2" s="1"/>
  <c r="S98" i="2"/>
  <c r="U98" i="2" s="1"/>
  <c r="S498" i="2"/>
  <c r="U498" i="2" s="1"/>
  <c r="S153" i="2"/>
  <c r="U153" i="2" s="1"/>
  <c r="S58" i="2"/>
  <c r="U58" i="2" s="1"/>
  <c r="S89" i="2"/>
  <c r="U89" i="2" s="1"/>
  <c r="S371" i="2"/>
  <c r="U371" i="2" s="1"/>
  <c r="S74" i="2"/>
  <c r="U74" i="2" s="1"/>
  <c r="S321" i="2"/>
  <c r="U321" i="2" s="1"/>
  <c r="S49" i="2"/>
  <c r="U49" i="2" s="1"/>
  <c r="S91" i="2"/>
  <c r="U91" i="2" s="1"/>
  <c r="S210" i="2"/>
  <c r="U210" i="2" s="1"/>
  <c r="S250" i="2"/>
  <c r="U250" i="2" s="1"/>
  <c r="S59" i="2"/>
  <c r="U59" i="2" s="1"/>
  <c r="S569" i="2"/>
  <c r="U569" i="2" s="1"/>
  <c r="S595" i="2"/>
  <c r="U595" i="2" s="1"/>
  <c r="S578" i="2"/>
  <c r="U578" i="2" s="1"/>
  <c r="S386" i="2"/>
  <c r="U386" i="2" s="1"/>
  <c r="S251" i="2"/>
  <c r="U251" i="2" s="1"/>
  <c r="S177" i="2"/>
  <c r="U177" i="2" s="1"/>
  <c r="S162" i="2"/>
  <c r="U162" i="2" s="1"/>
  <c r="S562" i="2"/>
  <c r="U562" i="2" s="1"/>
  <c r="S345" i="2"/>
  <c r="U345" i="2" s="1"/>
  <c r="S122" i="2"/>
  <c r="U122" i="2" s="1"/>
  <c r="S443" i="2"/>
  <c r="U443" i="2" s="1"/>
  <c r="S369" i="2"/>
  <c r="U369" i="2" s="1"/>
  <c r="S354" i="2"/>
  <c r="U354" i="2" s="1"/>
  <c r="S129" i="2"/>
  <c r="U129" i="2" s="1"/>
  <c r="S155" i="2"/>
  <c r="U155" i="2" s="1"/>
  <c r="S194" i="2"/>
  <c r="U194" i="2" s="1"/>
  <c r="S314" i="2"/>
  <c r="U314" i="2" s="1"/>
  <c r="S499" i="2"/>
  <c r="U499" i="2" s="1"/>
  <c r="S395" i="2"/>
  <c r="U395" i="2" s="1"/>
  <c r="S602" i="2"/>
  <c r="U602" i="2" s="1"/>
  <c r="S362" i="2"/>
  <c r="U362" i="2" s="1"/>
  <c r="S18" i="2"/>
  <c r="U18" i="2" s="1"/>
  <c r="S43" i="2"/>
  <c r="U43" i="2" s="1"/>
  <c r="S265" i="2"/>
  <c r="U265" i="2" s="1"/>
  <c r="S330" i="2"/>
  <c r="U330" i="2" s="1"/>
  <c r="S297" i="2"/>
  <c r="U297" i="2" s="1"/>
  <c r="S563" i="2"/>
  <c r="U563" i="2" s="1"/>
  <c r="S147" i="2"/>
  <c r="U147" i="2" s="1"/>
  <c r="S131" i="2"/>
  <c r="U131" i="2" s="1"/>
  <c r="S490" i="2"/>
  <c r="U490" i="2" s="1"/>
  <c r="S337" i="2"/>
  <c r="U337" i="2" s="1"/>
  <c r="S561" i="2"/>
  <c r="U561" i="2" s="1"/>
  <c r="S379" i="2"/>
  <c r="U379" i="2" s="1"/>
  <c r="S65" i="2"/>
  <c r="U65" i="2" s="1"/>
  <c r="S315" i="2"/>
  <c r="U315" i="2" s="1"/>
  <c r="S241" i="2"/>
  <c r="U241" i="2" s="1"/>
  <c r="S226" i="2"/>
  <c r="U226" i="2" s="1"/>
  <c r="S507" i="2"/>
  <c r="U507" i="2" s="1"/>
  <c r="S433" i="2"/>
  <c r="U433" i="2" s="1"/>
  <c r="S418" i="2"/>
  <c r="U418" i="2" s="1"/>
  <c r="S193" i="2"/>
  <c r="U193" i="2" s="1"/>
  <c r="S219" i="2"/>
  <c r="U219" i="2" s="1"/>
  <c r="S322" i="2"/>
  <c r="U322" i="2" s="1"/>
  <c r="S378" i="2"/>
  <c r="U378" i="2" s="1"/>
  <c r="S26" i="2"/>
  <c r="U26" i="2" s="1"/>
  <c r="S11" i="2"/>
  <c r="U11" i="2" s="1"/>
  <c r="S385" i="2"/>
  <c r="U385" i="2" s="1"/>
  <c r="S411" i="2"/>
  <c r="U411" i="2" s="1"/>
  <c r="S107" i="2"/>
  <c r="U107" i="2" s="1"/>
  <c r="S570" i="2"/>
  <c r="U570" i="2" s="1"/>
  <c r="S121" i="2"/>
  <c r="U121" i="2" s="1"/>
  <c r="S10" i="2"/>
  <c r="U10" i="2" s="1"/>
  <c r="S587" i="2"/>
  <c r="U587" i="2" s="1"/>
  <c r="S554" i="2"/>
  <c r="U554" i="2" s="1"/>
  <c r="S377" i="2"/>
  <c r="U377" i="2" s="1"/>
  <c r="S409" i="2"/>
  <c r="U409" i="2" s="1"/>
  <c r="S586" i="2"/>
  <c r="U586" i="2" s="1"/>
  <c r="S466" i="2"/>
  <c r="U466" i="2" s="1"/>
  <c r="S225" i="2"/>
  <c r="U225" i="2" s="1"/>
  <c r="S387" i="2"/>
  <c r="U387" i="2" s="1"/>
  <c r="S403" i="2"/>
  <c r="U403" i="2" s="1"/>
  <c r="S514" i="2"/>
  <c r="U514" i="2" s="1"/>
  <c r="S571" i="2"/>
  <c r="U571" i="2" s="1"/>
  <c r="S497" i="2"/>
  <c r="U497" i="2" s="1"/>
  <c r="S482" i="2"/>
  <c r="U482" i="2" s="1"/>
  <c r="S257" i="2"/>
  <c r="U257" i="2" s="1"/>
  <c r="S97" i="2"/>
  <c r="U97" i="2" s="1"/>
  <c r="S90" i="2"/>
  <c r="U90" i="2" s="1"/>
  <c r="S75" i="2"/>
  <c r="U75" i="2" s="1"/>
  <c r="S449" i="2"/>
  <c r="U449" i="2" s="1"/>
  <c r="S475" i="2"/>
  <c r="U475" i="2" s="1"/>
  <c r="S235" i="2"/>
  <c r="U235" i="2" s="1"/>
  <c r="S35" i="2"/>
  <c r="U35" i="2" s="1"/>
  <c r="S217" i="2"/>
  <c r="U217" i="2" s="1"/>
  <c r="S105" i="2"/>
  <c r="U105" i="2" s="1"/>
  <c r="S282" i="2"/>
  <c r="U282" i="2" s="1"/>
  <c r="S281" i="2"/>
  <c r="U281" i="2" s="1"/>
  <c r="S267" i="2"/>
  <c r="U267" i="2" s="1"/>
  <c r="S42" i="2"/>
  <c r="U42" i="2" s="1"/>
  <c r="S227" i="2"/>
  <c r="U227" i="2" s="1"/>
  <c r="S202" i="2"/>
  <c r="U202" i="2" s="1"/>
  <c r="S521" i="2"/>
  <c r="U521" i="2" s="1"/>
  <c r="S434" i="2"/>
  <c r="U434" i="2" s="1"/>
  <c r="S170" i="2"/>
  <c r="U170" i="2" s="1"/>
  <c r="S137" i="2"/>
  <c r="U137" i="2" s="1"/>
  <c r="S171" i="2"/>
  <c r="U171" i="2" s="1"/>
  <c r="S218" i="2"/>
  <c r="U218" i="2" s="1"/>
  <c r="S299" i="2"/>
  <c r="U299" i="2" s="1"/>
  <c r="S243" i="2"/>
  <c r="U243" i="2" s="1"/>
  <c r="S33" i="2"/>
  <c r="U33" i="2" s="1"/>
  <c r="S506" i="2"/>
  <c r="U506" i="2" s="1"/>
  <c r="S481" i="2"/>
  <c r="U481" i="2" s="1"/>
  <c r="S555" i="2"/>
  <c r="U555" i="2" s="1"/>
  <c r="S577" i="2"/>
  <c r="U577" i="2" s="1"/>
  <c r="S491" i="2"/>
  <c r="U491" i="2" s="1"/>
  <c r="S545" i="2"/>
  <c r="U545" i="2" s="1"/>
  <c r="S154" i="2"/>
  <c r="U154" i="2" s="1"/>
  <c r="S139" i="2"/>
  <c r="U139" i="2" s="1"/>
  <c r="S513" i="2"/>
  <c r="U513" i="2" s="1"/>
  <c r="S353" i="2"/>
  <c r="U353" i="2" s="1"/>
  <c r="S169" i="2"/>
  <c r="U169" i="2" s="1"/>
  <c r="S346" i="2"/>
  <c r="U346" i="2" s="1"/>
  <c r="S130" i="2"/>
  <c r="U130" i="2" s="1"/>
  <c r="S331" i="2"/>
  <c r="U331" i="2" s="1"/>
  <c r="S106" i="2"/>
  <c r="U106" i="2" s="1"/>
  <c r="S291" i="2"/>
  <c r="U291" i="2" s="1"/>
  <c r="S258" i="2"/>
  <c r="U258" i="2" s="1"/>
  <c r="S361" i="2"/>
  <c r="U361" i="2" s="1"/>
  <c r="S3" i="2"/>
  <c r="U3" i="2" s="1"/>
  <c r="S538" i="2"/>
  <c r="U538" i="2" s="1"/>
  <c r="S523" i="2"/>
  <c r="U523" i="2" s="1"/>
  <c r="S298" i="2"/>
  <c r="U298" i="2" s="1"/>
  <c r="S73" i="2"/>
  <c r="U73" i="2" s="1"/>
  <c r="S483" i="2"/>
  <c r="U483" i="2" s="1"/>
  <c r="Q349" i="2" l="1"/>
  <c r="R349" i="2" s="1"/>
  <c r="S349" i="2" s="1"/>
  <c r="U349" i="2" s="1"/>
  <c r="Q44" i="2"/>
  <c r="R44" i="2" s="1"/>
  <c r="S44" i="2" s="1"/>
  <c r="U44" i="2" s="1"/>
  <c r="Q508" i="2"/>
  <c r="R508" i="2" s="1"/>
  <c r="S508" i="2" s="1"/>
  <c r="U508" i="2" s="1"/>
  <c r="V508" i="2" s="1"/>
  <c r="Q399" i="2"/>
  <c r="R399" i="2" s="1"/>
  <c r="S399" i="2" s="1"/>
  <c r="U399" i="2" s="1"/>
  <c r="V399" i="2" s="1"/>
  <c r="Q271" i="2"/>
  <c r="R271" i="2" s="1"/>
  <c r="S271" i="2" s="1"/>
  <c r="U271" i="2" s="1"/>
  <c r="V271" i="2" s="1"/>
  <c r="Q574" i="2"/>
  <c r="R574" i="2" s="1"/>
  <c r="S574" i="2" s="1"/>
  <c r="U574" i="2" s="1"/>
  <c r="V574" i="2" s="1"/>
  <c r="Q303" i="2"/>
  <c r="R303" i="2" s="1"/>
  <c r="S303" i="2" s="1"/>
  <c r="U303" i="2" s="1"/>
  <c r="V303" i="2" s="1"/>
  <c r="Q374" i="2"/>
  <c r="R374" i="2" s="1"/>
  <c r="S374" i="2" s="1"/>
  <c r="U374" i="2" s="1"/>
  <c r="X374" i="2" s="1"/>
  <c r="Q164" i="2"/>
  <c r="R164" i="2" s="1"/>
  <c r="S164" i="2" s="1"/>
  <c r="U164" i="2" s="1"/>
  <c r="Q407" i="2"/>
  <c r="R407" i="2" s="1"/>
  <c r="S407" i="2" s="1"/>
  <c r="U407" i="2" s="1"/>
  <c r="V407" i="2" s="1"/>
  <c r="Q340" i="2"/>
  <c r="R340" i="2" s="1"/>
  <c r="S340" i="2" s="1"/>
  <c r="U340" i="2" s="1"/>
  <c r="X340" i="2" s="1"/>
  <c r="Q222" i="2"/>
  <c r="R222" i="2" s="1"/>
  <c r="S222" i="2" s="1"/>
  <c r="U222" i="2" s="1"/>
  <c r="V222" i="2" s="1"/>
  <c r="Q486" i="2"/>
  <c r="R486" i="2" s="1"/>
  <c r="S486" i="2" s="1"/>
  <c r="U486" i="2" s="1"/>
  <c r="V486" i="2" s="1"/>
  <c r="Q302" i="2"/>
  <c r="R302" i="2" s="1"/>
  <c r="S302" i="2" s="1"/>
  <c r="U302" i="2" s="1"/>
  <c r="V302" i="2" s="1"/>
  <c r="Q549" i="2"/>
  <c r="R549" i="2" s="1"/>
  <c r="S549" i="2" s="1"/>
  <c r="U549" i="2" s="1"/>
  <c r="V549" i="2" s="1"/>
  <c r="Q277" i="2"/>
  <c r="R277" i="2" s="1"/>
  <c r="S277" i="2" s="1"/>
  <c r="U277" i="2" s="1"/>
  <c r="X277" i="2" s="1"/>
  <c r="Q69" i="2"/>
  <c r="R69" i="2" s="1"/>
  <c r="S69" i="2" s="1"/>
  <c r="U69" i="2" s="1"/>
  <c r="V69" i="2" s="1"/>
  <c r="Q535" i="2"/>
  <c r="R535" i="2" s="1"/>
  <c r="S535" i="2" s="1"/>
  <c r="U535" i="2" s="1"/>
  <c r="X535" i="2" s="1"/>
  <c r="Q448" i="2"/>
  <c r="R448" i="2" s="1"/>
  <c r="S448" i="2" s="1"/>
  <c r="U448" i="2" s="1"/>
  <c r="V448" i="2" s="1"/>
  <c r="Q460" i="2"/>
  <c r="R460" i="2" s="1"/>
  <c r="S460" i="2" s="1"/>
  <c r="U460" i="2" s="1"/>
  <c r="V460" i="2" s="1"/>
  <c r="Q231" i="2"/>
  <c r="R231" i="2" s="1"/>
  <c r="S231" i="2" s="1"/>
  <c r="U231" i="2" s="1"/>
  <c r="X231" i="2" s="1"/>
  <c r="Q494" i="2"/>
  <c r="R494" i="2" s="1"/>
  <c r="S494" i="2" s="1"/>
  <c r="U494" i="2" s="1"/>
  <c r="V494" i="2" s="1"/>
  <c r="Q200" i="2"/>
  <c r="R200" i="2" s="1"/>
  <c r="S200" i="2" s="1"/>
  <c r="U200" i="2" s="1"/>
  <c r="V200" i="2" s="1"/>
  <c r="Q197" i="2"/>
  <c r="R197" i="2" s="1"/>
  <c r="S197" i="2" s="1"/>
  <c r="U197" i="2" s="1"/>
  <c r="V197" i="2" s="1"/>
  <c r="Q573" i="2"/>
  <c r="R573" i="2" s="1"/>
  <c r="S573" i="2" s="1"/>
  <c r="U573" i="2" s="1"/>
  <c r="V573" i="2" s="1"/>
  <c r="Q117" i="2"/>
  <c r="R117" i="2" s="1"/>
  <c r="S117" i="2" s="1"/>
  <c r="U117" i="2" s="1"/>
  <c r="V117" i="2" s="1"/>
  <c r="Q100" i="2"/>
  <c r="R100" i="2" s="1"/>
  <c r="S100" i="2" s="1"/>
  <c r="U100" i="2" s="1"/>
  <c r="V100" i="2" s="1"/>
  <c r="Q254" i="2"/>
  <c r="R254" i="2" s="1"/>
  <c r="S254" i="2" s="1"/>
  <c r="U254" i="2" s="1"/>
  <c r="V254" i="2" s="1"/>
  <c r="Q53" i="2"/>
  <c r="R53" i="2" s="1"/>
  <c r="S53" i="2" s="1"/>
  <c r="U53" i="2" s="1"/>
  <c r="V53" i="2" s="1"/>
  <c r="Q560" i="2"/>
  <c r="R560" i="2" s="1"/>
  <c r="S560" i="2" s="1"/>
  <c r="U560" i="2" s="1"/>
  <c r="V560" i="2" s="1"/>
  <c r="Q24" i="2"/>
  <c r="R24" i="2" s="1"/>
  <c r="S24" i="2" s="1"/>
  <c r="U24" i="2" s="1"/>
  <c r="V24" i="2" s="1"/>
  <c r="Q440" i="2"/>
  <c r="R440" i="2" s="1"/>
  <c r="S440" i="2" s="1"/>
  <c r="U440" i="2" s="1"/>
  <c r="X440" i="2" s="1"/>
  <c r="Q22" i="2"/>
  <c r="R22" i="2" s="1"/>
  <c r="S22" i="2" s="1"/>
  <c r="U22" i="2" s="1"/>
  <c r="X22" i="2" s="1"/>
  <c r="Q412" i="2"/>
  <c r="R412" i="2" s="1"/>
  <c r="S412" i="2" s="1"/>
  <c r="U412" i="2" s="1"/>
  <c r="V412" i="2" s="1"/>
  <c r="Q5" i="2"/>
  <c r="R5" i="2" s="1"/>
  <c r="S5" i="2" s="1"/>
  <c r="U5" i="2" s="1"/>
  <c r="V5" i="2" s="1"/>
  <c r="Q309" i="2"/>
  <c r="R309" i="2" s="1"/>
  <c r="S309" i="2" s="1"/>
  <c r="U309" i="2" s="1"/>
  <c r="V309" i="2" s="1"/>
  <c r="Q373" i="2"/>
  <c r="R373" i="2" s="1"/>
  <c r="S373" i="2" s="1"/>
  <c r="U373" i="2" s="1"/>
  <c r="V373" i="2" s="1"/>
  <c r="Q359" i="2"/>
  <c r="R359" i="2" s="1"/>
  <c r="S359" i="2" s="1"/>
  <c r="U359" i="2" s="1"/>
  <c r="V359" i="2" s="1"/>
  <c r="Q270" i="2"/>
  <c r="R270" i="2" s="1"/>
  <c r="S270" i="2" s="1"/>
  <c r="U270" i="2" s="1"/>
  <c r="X270" i="2" s="1"/>
  <c r="Q182" i="2"/>
  <c r="R182" i="2" s="1"/>
  <c r="S182" i="2" s="1"/>
  <c r="U182" i="2" s="1"/>
  <c r="X182" i="2" s="1"/>
  <c r="Q120" i="2"/>
  <c r="R120" i="2" s="1"/>
  <c r="S120" i="2" s="1"/>
  <c r="U120" i="2" s="1"/>
  <c r="X120" i="2" s="1"/>
  <c r="Q519" i="2"/>
  <c r="R519" i="2" s="1"/>
  <c r="S519" i="2" s="1"/>
  <c r="U519" i="2" s="1"/>
  <c r="V519" i="2" s="1"/>
  <c r="Q381" i="2"/>
  <c r="R381" i="2" s="1"/>
  <c r="S381" i="2" s="1"/>
  <c r="U381" i="2" s="1"/>
  <c r="V381" i="2" s="1"/>
  <c r="Q152" i="2"/>
  <c r="R152" i="2" s="1"/>
  <c r="S152" i="2" s="1"/>
  <c r="U152" i="2" s="1"/>
  <c r="V152" i="2" s="1"/>
  <c r="Q280" i="2"/>
  <c r="R280" i="2" s="1"/>
  <c r="S280" i="2" s="1"/>
  <c r="U280" i="2" s="1"/>
  <c r="V280" i="2" s="1"/>
  <c r="Q502" i="2"/>
  <c r="R502" i="2" s="1"/>
  <c r="S502" i="2" s="1"/>
  <c r="U502" i="2" s="1"/>
  <c r="V502" i="2" s="1"/>
  <c r="Q375" i="2"/>
  <c r="R375" i="2" s="1"/>
  <c r="S375" i="2" s="1"/>
  <c r="U375" i="2" s="1"/>
  <c r="V375" i="2" s="1"/>
  <c r="Q389" i="2"/>
  <c r="R389" i="2" s="1"/>
  <c r="S389" i="2" s="1"/>
  <c r="U389" i="2" s="1"/>
  <c r="V389" i="2" s="1"/>
  <c r="Q357" i="2"/>
  <c r="R357" i="2" s="1"/>
  <c r="S357" i="2" s="1"/>
  <c r="U357" i="2" s="1"/>
  <c r="V357" i="2" s="1"/>
  <c r="Q294" i="2"/>
  <c r="R294" i="2" s="1"/>
  <c r="S294" i="2" s="1"/>
  <c r="U294" i="2" s="1"/>
  <c r="V294" i="2" s="1"/>
  <c r="Q520" i="2"/>
  <c r="R520" i="2" s="1"/>
  <c r="S520" i="2" s="1"/>
  <c r="U520" i="2" s="1"/>
  <c r="V520" i="2" s="1"/>
  <c r="Q263" i="2"/>
  <c r="R263" i="2" s="1"/>
  <c r="S263" i="2" s="1"/>
  <c r="U263" i="2" s="1"/>
  <c r="V263" i="2" s="1"/>
  <c r="Q220" i="2"/>
  <c r="R220" i="2" s="1"/>
  <c r="S220" i="2" s="1"/>
  <c r="U220" i="2" s="1"/>
  <c r="V220" i="2" s="1"/>
  <c r="Q470" i="2"/>
  <c r="R470" i="2" s="1"/>
  <c r="S470" i="2" s="1"/>
  <c r="U470" i="2" s="1"/>
  <c r="V470" i="2" s="1"/>
  <c r="Q496" i="2"/>
  <c r="R496" i="2" s="1"/>
  <c r="S496" i="2" s="1"/>
  <c r="U496" i="2" s="1"/>
  <c r="V496" i="2" s="1"/>
  <c r="Q12" i="2"/>
  <c r="R12" i="2" s="1"/>
  <c r="S12" i="2" s="1"/>
  <c r="U12" i="2" s="1"/>
  <c r="X12" i="2" s="1"/>
  <c r="Q548" i="2"/>
  <c r="R548" i="2" s="1"/>
  <c r="S548" i="2" s="1"/>
  <c r="U548" i="2" s="1"/>
  <c r="X548" i="2" s="1"/>
  <c r="Q206" i="2"/>
  <c r="R206" i="2" s="1"/>
  <c r="S206" i="2" s="1"/>
  <c r="U206" i="2" s="1"/>
  <c r="X206" i="2" s="1"/>
  <c r="Q583" i="2"/>
  <c r="R583" i="2" s="1"/>
  <c r="S583" i="2" s="1"/>
  <c r="U583" i="2" s="1"/>
  <c r="V583" i="2" s="1"/>
  <c r="Q262" i="2"/>
  <c r="R262" i="2" s="1"/>
  <c r="S262" i="2" s="1"/>
  <c r="U262" i="2" s="1"/>
  <c r="V262" i="2" s="1"/>
  <c r="Q543" i="2"/>
  <c r="R543" i="2" s="1"/>
  <c r="S543" i="2" s="1"/>
  <c r="U543" i="2" s="1"/>
  <c r="V543" i="2" s="1"/>
  <c r="Q110" i="2"/>
  <c r="R110" i="2" s="1"/>
  <c r="S110" i="2" s="1"/>
  <c r="U110" i="2" s="1"/>
  <c r="V110" i="2" s="1"/>
  <c r="Q175" i="2"/>
  <c r="R175" i="2" s="1"/>
  <c r="S175" i="2" s="1"/>
  <c r="U175" i="2" s="1"/>
  <c r="X175" i="2" s="1"/>
  <c r="Q36" i="2"/>
  <c r="R36" i="2" s="1"/>
  <c r="S36" i="2" s="1"/>
  <c r="U36" i="2" s="1"/>
  <c r="V36" i="2" s="1"/>
  <c r="Q293" i="2"/>
  <c r="R293" i="2" s="1"/>
  <c r="S293" i="2" s="1"/>
  <c r="U293" i="2" s="1"/>
  <c r="X293" i="2" s="1"/>
  <c r="Q416" i="2"/>
  <c r="R416" i="2" s="1"/>
  <c r="S416" i="2" s="1"/>
  <c r="U416" i="2" s="1"/>
  <c r="V416" i="2" s="1"/>
  <c r="Q31" i="2"/>
  <c r="R31" i="2" s="1"/>
  <c r="S31" i="2" s="1"/>
  <c r="U31" i="2" s="1"/>
  <c r="V31" i="2" s="1"/>
  <c r="Q68" i="2"/>
  <c r="R68" i="2" s="1"/>
  <c r="S68" i="2" s="1"/>
  <c r="U68" i="2" s="1"/>
  <c r="V68" i="2" s="1"/>
  <c r="Q477" i="2"/>
  <c r="R477" i="2" s="1"/>
  <c r="S477" i="2" s="1"/>
  <c r="U477" i="2" s="1"/>
  <c r="V477" i="2" s="1"/>
  <c r="Q584" i="2"/>
  <c r="R584" i="2" s="1"/>
  <c r="S584" i="2" s="1"/>
  <c r="U584" i="2" s="1"/>
  <c r="V584" i="2" s="1"/>
  <c r="Q255" i="2"/>
  <c r="R255" i="2" s="1"/>
  <c r="S255" i="2" s="1"/>
  <c r="U255" i="2" s="1"/>
  <c r="V255" i="2" s="1"/>
  <c r="Q462" i="2"/>
  <c r="R462" i="2" s="1"/>
  <c r="S462" i="2" s="1"/>
  <c r="U462" i="2" s="1"/>
  <c r="V462" i="2" s="1"/>
  <c r="Q16" i="2"/>
  <c r="R16" i="2" s="1"/>
  <c r="S16" i="2" s="1"/>
  <c r="U16" i="2" s="1"/>
  <c r="V16" i="2" s="1"/>
  <c r="Q47" i="2"/>
  <c r="R47" i="2" s="1"/>
  <c r="S47" i="2" s="1"/>
  <c r="U47" i="2" s="1"/>
  <c r="X47" i="2" s="1"/>
  <c r="Q109" i="2"/>
  <c r="R109" i="2" s="1"/>
  <c r="S109" i="2" s="1"/>
  <c r="U109" i="2" s="1"/>
  <c r="V109" i="2" s="1"/>
  <c r="Q552" i="2"/>
  <c r="R552" i="2" s="1"/>
  <c r="S552" i="2" s="1"/>
  <c r="U552" i="2" s="1"/>
  <c r="V552" i="2" s="1"/>
  <c r="Q190" i="2"/>
  <c r="R190" i="2" s="1"/>
  <c r="S190" i="2" s="1"/>
  <c r="U190" i="2" s="1"/>
  <c r="V190" i="2" s="1"/>
  <c r="Q575" i="2"/>
  <c r="R575" i="2" s="1"/>
  <c r="S575" i="2" s="1"/>
  <c r="U575" i="2" s="1"/>
  <c r="X575" i="2" s="1"/>
  <c r="Q576" i="2"/>
  <c r="R576" i="2" s="1"/>
  <c r="S576" i="2" s="1"/>
  <c r="U576" i="2" s="1"/>
  <c r="V576" i="2" s="1"/>
  <c r="Q84" i="2"/>
  <c r="R84" i="2" s="1"/>
  <c r="S84" i="2" s="1"/>
  <c r="U84" i="2" s="1"/>
  <c r="V84" i="2" s="1"/>
  <c r="Q463" i="2"/>
  <c r="R463" i="2" s="1"/>
  <c r="S463" i="2" s="1"/>
  <c r="U463" i="2" s="1"/>
  <c r="V463" i="2" s="1"/>
  <c r="Q429" i="2"/>
  <c r="R429" i="2" s="1"/>
  <c r="S429" i="2" s="1"/>
  <c r="U429" i="2" s="1"/>
  <c r="V429" i="2" s="1"/>
  <c r="Q308" i="2"/>
  <c r="R308" i="2" s="1"/>
  <c r="S308" i="2" s="1"/>
  <c r="U308" i="2" s="1"/>
  <c r="V308" i="2" s="1"/>
  <c r="Q476" i="2"/>
  <c r="R476" i="2" s="1"/>
  <c r="S476" i="2" s="1"/>
  <c r="U476" i="2" s="1"/>
  <c r="V476" i="2" s="1"/>
  <c r="Q350" i="2"/>
  <c r="R350" i="2" s="1"/>
  <c r="S350" i="2" s="1"/>
  <c r="U350" i="2" s="1"/>
  <c r="X350" i="2" s="1"/>
  <c r="Q422" i="2"/>
  <c r="R422" i="2" s="1"/>
  <c r="S422" i="2" s="1"/>
  <c r="U422" i="2" s="1"/>
  <c r="V422" i="2" s="1"/>
  <c r="Q551" i="2"/>
  <c r="R551" i="2" s="1"/>
  <c r="S551" i="2" s="1"/>
  <c r="U551" i="2" s="1"/>
  <c r="X551" i="2" s="1"/>
  <c r="Q344" i="2"/>
  <c r="R344" i="2" s="1"/>
  <c r="S344" i="2" s="1"/>
  <c r="U344" i="2" s="1"/>
  <c r="V344" i="2" s="1"/>
  <c r="Q28" i="2"/>
  <c r="R28" i="2" s="1"/>
  <c r="S28" i="2" s="1"/>
  <c r="U28" i="2" s="1"/>
  <c r="V28" i="2" s="1"/>
  <c r="Q135" i="2"/>
  <c r="R135" i="2" s="1"/>
  <c r="S135" i="2" s="1"/>
  <c r="U135" i="2" s="1"/>
  <c r="V135" i="2" s="1"/>
  <c r="Q400" i="2"/>
  <c r="R400" i="2" s="1"/>
  <c r="S400" i="2" s="1"/>
  <c r="U400" i="2" s="1"/>
  <c r="X400" i="2" s="1"/>
  <c r="Q204" i="2"/>
  <c r="R204" i="2" s="1"/>
  <c r="S204" i="2" s="1"/>
  <c r="U204" i="2" s="1"/>
  <c r="V204" i="2" s="1"/>
  <c r="Q600" i="2"/>
  <c r="R600" i="2" s="1"/>
  <c r="S600" i="2" s="1"/>
  <c r="U600" i="2" s="1"/>
  <c r="X600" i="2" s="1"/>
  <c r="Q159" i="2"/>
  <c r="R159" i="2" s="1"/>
  <c r="S159" i="2" s="1"/>
  <c r="U159" i="2" s="1"/>
  <c r="V159" i="2" s="1"/>
  <c r="Q320" i="2"/>
  <c r="R320" i="2" s="1"/>
  <c r="S320" i="2" s="1"/>
  <c r="U320" i="2" s="1"/>
  <c r="V320" i="2" s="1"/>
  <c r="Q356" i="2"/>
  <c r="R356" i="2" s="1"/>
  <c r="S356" i="2" s="1"/>
  <c r="U356" i="2" s="1"/>
  <c r="X356" i="2" s="1"/>
  <c r="Q580" i="2"/>
  <c r="R580" i="2" s="1"/>
  <c r="S580" i="2" s="1"/>
  <c r="U580" i="2" s="1"/>
  <c r="X580" i="2" s="1"/>
  <c r="Q4" i="2"/>
  <c r="R4" i="2" s="1"/>
  <c r="S4" i="2" s="1"/>
  <c r="U4" i="2" s="1"/>
  <c r="V4" i="2" s="1"/>
  <c r="W4" i="2" s="1"/>
  <c r="Q589" i="2"/>
  <c r="R589" i="2" s="1"/>
  <c r="S589" i="2" s="1"/>
  <c r="U589" i="2" s="1"/>
  <c r="V589" i="2" s="1"/>
  <c r="Q414" i="2"/>
  <c r="R414" i="2" s="1"/>
  <c r="S414" i="2" s="1"/>
  <c r="U414" i="2" s="1"/>
  <c r="X414" i="2" s="1"/>
  <c r="Q480" i="2"/>
  <c r="R480" i="2" s="1"/>
  <c r="S480" i="2" s="1"/>
  <c r="U480" i="2" s="1"/>
  <c r="X480" i="2" s="1"/>
  <c r="Q438" i="2"/>
  <c r="R438" i="2" s="1"/>
  <c r="S438" i="2" s="1"/>
  <c r="U438" i="2" s="1"/>
  <c r="X438" i="2" s="1"/>
  <c r="Q351" i="2"/>
  <c r="R351" i="2" s="1"/>
  <c r="S351" i="2" s="1"/>
  <c r="U351" i="2" s="1"/>
  <c r="V351" i="2" s="1"/>
  <c r="Q550" i="2"/>
  <c r="R550" i="2" s="1"/>
  <c r="S550" i="2" s="1"/>
  <c r="U550" i="2" s="1"/>
  <c r="V550" i="2" s="1"/>
  <c r="Q48" i="2"/>
  <c r="R48" i="2" s="1"/>
  <c r="S48" i="2" s="1"/>
  <c r="U48" i="2" s="1"/>
  <c r="V48" i="2" s="1"/>
  <c r="Q224" i="2"/>
  <c r="R224" i="2" s="1"/>
  <c r="S224" i="2" s="1"/>
  <c r="U224" i="2" s="1"/>
  <c r="V224" i="2" s="1"/>
  <c r="Q173" i="2"/>
  <c r="R173" i="2" s="1"/>
  <c r="S173" i="2" s="1"/>
  <c r="U173" i="2" s="1"/>
  <c r="V173" i="2" s="1"/>
  <c r="Q471" i="2"/>
  <c r="R471" i="2" s="1"/>
  <c r="S471" i="2" s="1"/>
  <c r="U471" i="2" s="1"/>
  <c r="V471" i="2" s="1"/>
  <c r="Q428" i="2"/>
  <c r="R428" i="2" s="1"/>
  <c r="S428" i="2" s="1"/>
  <c r="U428" i="2" s="1"/>
  <c r="V428" i="2" s="1"/>
  <c r="Q540" i="2"/>
  <c r="R540" i="2" s="1"/>
  <c r="S540" i="2" s="1"/>
  <c r="U540" i="2" s="1"/>
  <c r="V540" i="2" s="1"/>
  <c r="Q60" i="2"/>
  <c r="R60" i="2" s="1"/>
  <c r="S60" i="2" s="1"/>
  <c r="U60" i="2" s="1"/>
  <c r="V60" i="2" s="1"/>
  <c r="Q127" i="2"/>
  <c r="R127" i="2" s="1"/>
  <c r="S127" i="2" s="1"/>
  <c r="U127" i="2" s="1"/>
  <c r="V127" i="2" s="1"/>
  <c r="Q189" i="2"/>
  <c r="R189" i="2" s="1"/>
  <c r="S189" i="2" s="1"/>
  <c r="U189" i="2" s="1"/>
  <c r="X189" i="2" s="1"/>
  <c r="Q478" i="2"/>
  <c r="R478" i="2" s="1"/>
  <c r="S478" i="2" s="1"/>
  <c r="U478" i="2" s="1"/>
  <c r="V478" i="2" s="1"/>
  <c r="Q352" i="2"/>
  <c r="R352" i="2" s="1"/>
  <c r="S352" i="2" s="1"/>
  <c r="U352" i="2" s="1"/>
  <c r="V352" i="2" s="1"/>
  <c r="Q446" i="2"/>
  <c r="R446" i="2" s="1"/>
  <c r="S446" i="2" s="1"/>
  <c r="U446" i="2" s="1"/>
  <c r="X446" i="2" s="1"/>
  <c r="Q358" i="2"/>
  <c r="R358" i="2" s="1"/>
  <c r="S358" i="2" s="1"/>
  <c r="U358" i="2" s="1"/>
  <c r="V358" i="2" s="1"/>
  <c r="Q423" i="2"/>
  <c r="R423" i="2" s="1"/>
  <c r="S423" i="2" s="1"/>
  <c r="U423" i="2" s="1"/>
  <c r="V423" i="2" s="1"/>
  <c r="Q559" i="2"/>
  <c r="R559" i="2" s="1"/>
  <c r="S559" i="2" s="1"/>
  <c r="U559" i="2" s="1"/>
  <c r="V559" i="2" s="1"/>
  <c r="Q278" i="2"/>
  <c r="R278" i="2" s="1"/>
  <c r="S278" i="2" s="1"/>
  <c r="U278" i="2" s="1"/>
  <c r="V278" i="2" s="1"/>
  <c r="Q8" i="2"/>
  <c r="R8" i="2" s="1"/>
  <c r="S8" i="2" s="1"/>
  <c r="U8" i="2" s="1"/>
  <c r="X8" i="2" s="1"/>
  <c r="Q174" i="2"/>
  <c r="R174" i="2" s="1"/>
  <c r="S174" i="2" s="1"/>
  <c r="U174" i="2" s="1"/>
  <c r="V174" i="2" s="1"/>
  <c r="Q564" i="2"/>
  <c r="R564" i="2" s="1"/>
  <c r="S564" i="2" s="1"/>
  <c r="U564" i="2" s="1"/>
  <c r="X564" i="2" s="1"/>
  <c r="Q229" i="2"/>
  <c r="R229" i="2" s="1"/>
  <c r="S229" i="2" s="1"/>
  <c r="U229" i="2" s="1"/>
  <c r="V229" i="2" s="1"/>
  <c r="Q292" i="2"/>
  <c r="R292" i="2" s="1"/>
  <c r="S292" i="2" s="1"/>
  <c r="U292" i="2" s="1"/>
  <c r="Q180" i="2"/>
  <c r="R180" i="2" s="1"/>
  <c r="S180" i="2" s="1"/>
  <c r="U180" i="2" s="1"/>
  <c r="V180" i="2" s="1"/>
  <c r="Q390" i="2"/>
  <c r="R390" i="2" s="1"/>
  <c r="S390" i="2" s="1"/>
  <c r="U390" i="2" s="1"/>
  <c r="V390" i="2" s="1"/>
  <c r="Q596" i="2"/>
  <c r="R596" i="2" s="1"/>
  <c r="S596" i="2" s="1"/>
  <c r="U596" i="2" s="1"/>
  <c r="V596" i="2" s="1"/>
  <c r="Q287" i="2"/>
  <c r="R287" i="2" s="1"/>
  <c r="S287" i="2" s="1"/>
  <c r="U287" i="2" s="1"/>
  <c r="V287" i="2" s="1"/>
  <c r="Q343" i="2"/>
  <c r="R343" i="2" s="1"/>
  <c r="S343" i="2" s="1"/>
  <c r="U343" i="2" s="1"/>
  <c r="V343" i="2" s="1"/>
  <c r="Q304" i="2"/>
  <c r="R304" i="2" s="1"/>
  <c r="S304" i="2" s="1"/>
  <c r="U304" i="2" s="1"/>
  <c r="V304" i="2" s="1"/>
  <c r="Q599" i="2"/>
  <c r="R599" i="2" s="1"/>
  <c r="S599" i="2" s="1"/>
  <c r="U599" i="2" s="1"/>
  <c r="X599" i="2" s="1"/>
  <c r="Q592" i="2"/>
  <c r="R592" i="2" s="1"/>
  <c r="S592" i="2" s="1"/>
  <c r="U592" i="2" s="1"/>
  <c r="V592" i="2" s="1"/>
  <c r="Q85" i="2"/>
  <c r="R85" i="2" s="1"/>
  <c r="S85" i="2" s="1"/>
  <c r="U85" i="2" s="1"/>
  <c r="V85" i="2" s="1"/>
  <c r="Q214" i="2"/>
  <c r="R214" i="2" s="1"/>
  <c r="S214" i="2" s="1"/>
  <c r="U214" i="2" s="1"/>
  <c r="X214" i="2" s="1"/>
  <c r="Q319" i="2"/>
  <c r="R319" i="2" s="1"/>
  <c r="S319" i="2" s="1"/>
  <c r="U319" i="2" s="1"/>
  <c r="X319" i="2" s="1"/>
  <c r="Q572" i="2"/>
  <c r="R572" i="2" s="1"/>
  <c r="S572" i="2" s="1"/>
  <c r="U572" i="2" s="1"/>
  <c r="V572" i="2" s="1"/>
  <c r="Q228" i="2"/>
  <c r="R228" i="2" s="1"/>
  <c r="S228" i="2" s="1"/>
  <c r="U228" i="2" s="1"/>
  <c r="X228" i="2" s="1"/>
  <c r="Q101" i="2"/>
  <c r="R101" i="2" s="1"/>
  <c r="S101" i="2" s="1"/>
  <c r="U101" i="2" s="1"/>
  <c r="V101" i="2" s="1"/>
  <c r="Q96" i="2"/>
  <c r="R96" i="2" s="1"/>
  <c r="S96" i="2" s="1"/>
  <c r="U96" i="2" s="1"/>
  <c r="V96" i="2" s="1"/>
  <c r="Q13" i="2"/>
  <c r="R13" i="2" s="1"/>
  <c r="S13" i="2" s="1"/>
  <c r="U13" i="2" s="1"/>
  <c r="V13" i="2" s="1"/>
  <c r="Q128" i="2"/>
  <c r="R128" i="2" s="1"/>
  <c r="S128" i="2" s="1"/>
  <c r="U128" i="2" s="1"/>
  <c r="V128" i="2" s="1"/>
  <c r="Q149" i="2"/>
  <c r="R149" i="2" s="1"/>
  <c r="S149" i="2" s="1"/>
  <c r="U149" i="2" s="1"/>
  <c r="V149" i="2" s="1"/>
  <c r="Q239" i="2"/>
  <c r="R239" i="2" s="1"/>
  <c r="S239" i="2" s="1"/>
  <c r="U239" i="2" s="1"/>
  <c r="X239" i="2" s="1"/>
  <c r="Q236" i="2"/>
  <c r="R236" i="2" s="1"/>
  <c r="S236" i="2" s="1"/>
  <c r="U236" i="2" s="1"/>
  <c r="V236" i="2" s="1"/>
  <c r="Q430" i="2"/>
  <c r="R430" i="2" s="1"/>
  <c r="S430" i="2" s="1"/>
  <c r="U430" i="2" s="1"/>
  <c r="V430" i="2" s="1"/>
  <c r="Q388" i="2"/>
  <c r="R388" i="2" s="1"/>
  <c r="S388" i="2" s="1"/>
  <c r="U388" i="2" s="1"/>
  <c r="V388" i="2" s="1"/>
  <c r="Q168" i="2"/>
  <c r="R168" i="2" s="1"/>
  <c r="S168" i="2" s="1"/>
  <c r="U168" i="2" s="1"/>
  <c r="V168" i="2" s="1"/>
  <c r="Q398" i="2"/>
  <c r="R398" i="2" s="1"/>
  <c r="S398" i="2" s="1"/>
  <c r="U398" i="2" s="1"/>
  <c r="X398" i="2" s="1"/>
  <c r="Q382" i="2"/>
  <c r="R382" i="2" s="1"/>
  <c r="S382" i="2" s="1"/>
  <c r="U382" i="2" s="1"/>
  <c r="V382" i="2" s="1"/>
  <c r="Q112" i="2"/>
  <c r="R112" i="2" s="1"/>
  <c r="S112" i="2" s="1"/>
  <c r="U112" i="2" s="1"/>
  <c r="X112" i="2" s="1"/>
  <c r="Q77" i="2"/>
  <c r="R77" i="2" s="1"/>
  <c r="S77" i="2" s="1"/>
  <c r="U77" i="2" s="1"/>
  <c r="X77" i="2" s="1"/>
  <c r="Q125" i="2"/>
  <c r="R125" i="2" s="1"/>
  <c r="S125" i="2" s="1"/>
  <c r="U125" i="2" s="1"/>
  <c r="V125" i="2" s="1"/>
  <c r="Q565" i="2"/>
  <c r="R565" i="2" s="1"/>
  <c r="S565" i="2" s="1"/>
  <c r="U565" i="2" s="1"/>
  <c r="V565" i="2" s="1"/>
  <c r="Q80" i="2"/>
  <c r="R80" i="2" s="1"/>
  <c r="S80" i="2" s="1"/>
  <c r="U80" i="2" s="1"/>
  <c r="V80" i="2" s="1"/>
  <c r="Q533" i="2"/>
  <c r="R533" i="2" s="1"/>
  <c r="S533" i="2" s="1"/>
  <c r="U533" i="2" s="1"/>
  <c r="V533" i="2" s="1"/>
  <c r="Q300" i="2"/>
  <c r="R300" i="2" s="1"/>
  <c r="S300" i="2" s="1"/>
  <c r="U300" i="2" s="1"/>
  <c r="X300" i="2" s="1"/>
  <c r="Q432" i="2"/>
  <c r="R432" i="2" s="1"/>
  <c r="S432" i="2" s="1"/>
  <c r="U432" i="2" s="1"/>
  <c r="X432" i="2" s="1"/>
  <c r="Q383" i="2"/>
  <c r="R383" i="2" s="1"/>
  <c r="S383" i="2" s="1"/>
  <c r="U383" i="2" s="1"/>
  <c r="V383" i="2" s="1"/>
  <c r="Q30" i="2"/>
  <c r="R30" i="2" s="1"/>
  <c r="S30" i="2" s="1"/>
  <c r="U30" i="2" s="1"/>
  <c r="V30" i="2" s="1"/>
  <c r="Q264" i="2"/>
  <c r="R264" i="2" s="1"/>
  <c r="S264" i="2" s="1"/>
  <c r="U264" i="2" s="1"/>
  <c r="V264" i="2" s="1"/>
  <c r="Q461" i="2"/>
  <c r="R461" i="2" s="1"/>
  <c r="S461" i="2" s="1"/>
  <c r="U461" i="2" s="1"/>
  <c r="V461" i="2" s="1"/>
  <c r="Q526" i="2"/>
  <c r="R526" i="2" s="1"/>
  <c r="S526" i="2" s="1"/>
  <c r="U526" i="2" s="1"/>
  <c r="V526" i="2" s="1"/>
  <c r="Q245" i="2"/>
  <c r="R245" i="2" s="1"/>
  <c r="S245" i="2" s="1"/>
  <c r="U245" i="2" s="1"/>
  <c r="V245" i="2" s="1"/>
  <c r="Q70" i="2"/>
  <c r="R70" i="2" s="1"/>
  <c r="S70" i="2" s="1"/>
  <c r="U70" i="2" s="1"/>
  <c r="V70" i="2" s="1"/>
  <c r="Q111" i="2"/>
  <c r="R111" i="2" s="1"/>
  <c r="Q288" i="2"/>
  <c r="R288" i="2" s="1"/>
  <c r="S288" i="2" s="1"/>
  <c r="U288" i="2" s="1"/>
  <c r="V288" i="2" s="1"/>
  <c r="Q15" i="2"/>
  <c r="R15" i="2" s="1"/>
  <c r="S15" i="2" s="1"/>
  <c r="U15" i="2" s="1"/>
  <c r="V15" i="2" s="1"/>
  <c r="Q525" i="2"/>
  <c r="R525" i="2" s="1"/>
  <c r="S525" i="2" s="1"/>
  <c r="U525" i="2" s="1"/>
  <c r="V525" i="2" s="1"/>
  <c r="Q133" i="2"/>
  <c r="R133" i="2" s="1"/>
  <c r="S133" i="2" s="1"/>
  <c r="U133" i="2" s="1"/>
  <c r="V133" i="2" s="1"/>
  <c r="Q244" i="2"/>
  <c r="R244" i="2" s="1"/>
  <c r="S244" i="2" s="1"/>
  <c r="U244" i="2" s="1"/>
  <c r="X244" i="2" s="1"/>
  <c r="Q444" i="2"/>
  <c r="R444" i="2" s="1"/>
  <c r="S444" i="2" s="1"/>
  <c r="U444" i="2" s="1"/>
  <c r="V444" i="2" s="1"/>
  <c r="Q150" i="2"/>
  <c r="R150" i="2" s="1"/>
  <c r="S150" i="2" s="1"/>
  <c r="U150" i="2" s="1"/>
  <c r="V150" i="2" s="1"/>
  <c r="Q367" i="2"/>
  <c r="R367" i="2" s="1"/>
  <c r="S367" i="2" s="1"/>
  <c r="U367" i="2" s="1"/>
  <c r="V367" i="2" s="1"/>
  <c r="Q406" i="2"/>
  <c r="R406" i="2" s="1"/>
  <c r="S406" i="2" s="1"/>
  <c r="U406" i="2" s="1"/>
  <c r="X406" i="2" s="1"/>
  <c r="Q136" i="2"/>
  <c r="R136" i="2" s="1"/>
  <c r="S136" i="2" s="1"/>
  <c r="U136" i="2" s="1"/>
  <c r="V136" i="2" s="1"/>
  <c r="Q256" i="2"/>
  <c r="R256" i="2" s="1"/>
  <c r="S256" i="2" s="1"/>
  <c r="U256" i="2" s="1"/>
  <c r="V256" i="2" s="1"/>
  <c r="Q408" i="2"/>
  <c r="R408" i="2" s="1"/>
  <c r="S408" i="2" s="1"/>
  <c r="U408" i="2" s="1"/>
  <c r="V408" i="2" s="1"/>
  <c r="Q455" i="2"/>
  <c r="R455" i="2" s="1"/>
  <c r="S455" i="2" s="1"/>
  <c r="U455" i="2" s="1"/>
  <c r="V455" i="2" s="1"/>
  <c r="Q532" i="2"/>
  <c r="R532" i="2" s="1"/>
  <c r="S532" i="2" s="1"/>
  <c r="U532" i="2" s="1"/>
  <c r="V532" i="2" s="1"/>
  <c r="Q14" i="2"/>
  <c r="R14" i="2" s="1"/>
  <c r="S14" i="2" s="1"/>
  <c r="U14" i="2" s="1"/>
  <c r="V14" i="2" s="1"/>
  <c r="Q79" i="2"/>
  <c r="R79" i="2" s="1"/>
  <c r="S79" i="2" s="1"/>
  <c r="U79" i="2" s="1"/>
  <c r="V79" i="2" s="1"/>
  <c r="Q29" i="2"/>
  <c r="R29" i="2" s="1"/>
  <c r="S29" i="2" s="1"/>
  <c r="U29" i="2" s="1"/>
  <c r="V29" i="2" s="1"/>
  <c r="Q516" i="2"/>
  <c r="R516" i="2" s="1"/>
  <c r="S516" i="2" s="1"/>
  <c r="U516" i="2" s="1"/>
  <c r="Q324" i="2"/>
  <c r="R324" i="2" s="1"/>
  <c r="S324" i="2" s="1"/>
  <c r="U324" i="2" s="1"/>
  <c r="V324" i="2" s="1"/>
  <c r="Q40" i="2"/>
  <c r="R40" i="2" s="1"/>
  <c r="S40" i="2" s="1"/>
  <c r="U40" i="2" s="1"/>
  <c r="V40" i="2" s="1"/>
  <c r="B3" i="2"/>
  <c r="Q380" i="2"/>
  <c r="R380" i="2" s="1"/>
  <c r="S380" i="2" s="1"/>
  <c r="U380" i="2" s="1"/>
  <c r="V380" i="2" s="1"/>
  <c r="Q445" i="2"/>
  <c r="R445" i="2" s="1"/>
  <c r="S445" i="2" s="1"/>
  <c r="U445" i="2" s="1"/>
  <c r="V445" i="2" s="1"/>
  <c r="Q334" i="2"/>
  <c r="R334" i="2" s="1"/>
  <c r="S334" i="2" s="1"/>
  <c r="U334" i="2" s="1"/>
  <c r="V334" i="2" s="1"/>
  <c r="Q212" i="2"/>
  <c r="R212" i="2" s="1"/>
  <c r="S212" i="2" s="1"/>
  <c r="U212" i="2" s="1"/>
  <c r="X212" i="2" s="1"/>
  <c r="Q437" i="2"/>
  <c r="R437" i="2" s="1"/>
  <c r="S437" i="2" s="1"/>
  <c r="U437" i="2" s="1"/>
  <c r="X437" i="2" s="1"/>
  <c r="Q72" i="2"/>
  <c r="R72" i="2" s="1"/>
  <c r="S72" i="2" s="1"/>
  <c r="U72" i="2" s="1"/>
  <c r="V72" i="2" s="1"/>
  <c r="Q568" i="2"/>
  <c r="R568" i="2" s="1"/>
  <c r="S568" i="2" s="1"/>
  <c r="U568" i="2" s="1"/>
  <c r="V568" i="2" s="1"/>
  <c r="Q582" i="2"/>
  <c r="R582" i="2" s="1"/>
  <c r="S582" i="2" s="1"/>
  <c r="U582" i="2" s="1"/>
  <c r="X582" i="2" s="1"/>
  <c r="Q413" i="2"/>
  <c r="R413" i="2" s="1"/>
  <c r="S413" i="2" s="1"/>
  <c r="U413" i="2" s="1"/>
  <c r="V413" i="2" s="1"/>
  <c r="Q503" i="2"/>
  <c r="R503" i="2" s="1"/>
  <c r="S503" i="2" s="1"/>
  <c r="U503" i="2" s="1"/>
  <c r="V503" i="2" s="1"/>
  <c r="Q392" i="2"/>
  <c r="R392" i="2" s="1"/>
  <c r="S392" i="2" s="1"/>
  <c r="U392" i="2" s="1"/>
  <c r="V392" i="2" s="1"/>
  <c r="Q348" i="2"/>
  <c r="R348" i="2" s="1"/>
  <c r="S348" i="2" s="1"/>
  <c r="U348" i="2" s="1"/>
  <c r="V348" i="2" s="1"/>
  <c r="Q479" i="2"/>
  <c r="R479" i="2" s="1"/>
  <c r="S479" i="2" s="1"/>
  <c r="U479" i="2" s="1"/>
  <c r="X479" i="2" s="1"/>
  <c r="Q191" i="2"/>
  <c r="R191" i="2" s="1"/>
  <c r="S191" i="2" s="1"/>
  <c r="U191" i="2" s="1"/>
  <c r="V191" i="2" s="1"/>
  <c r="Q397" i="2"/>
  <c r="R397" i="2" s="1"/>
  <c r="S397" i="2" s="1"/>
  <c r="U397" i="2" s="1"/>
  <c r="X397" i="2" s="1"/>
  <c r="Q493" i="2"/>
  <c r="R493" i="2" s="1"/>
  <c r="S493" i="2" s="1"/>
  <c r="U493" i="2" s="1"/>
  <c r="X493" i="2" s="1"/>
  <c r="Q208" i="2"/>
  <c r="R208" i="2" s="1"/>
  <c r="S208" i="2" s="1"/>
  <c r="U208" i="2" s="1"/>
  <c r="V208" i="2" s="1"/>
  <c r="Q246" i="2"/>
  <c r="R246" i="2" s="1"/>
  <c r="S246" i="2" s="1"/>
  <c r="U246" i="2" s="1"/>
  <c r="V246" i="2" s="1"/>
  <c r="Q384" i="2"/>
  <c r="R384" i="2" s="1"/>
  <c r="S384" i="2" s="1"/>
  <c r="U384" i="2" s="1"/>
  <c r="V384" i="2" s="1"/>
  <c r="Q285" i="2"/>
  <c r="R285" i="2" s="1"/>
  <c r="S285" i="2" s="1"/>
  <c r="U285" i="2" s="1"/>
  <c r="Q260" i="2"/>
  <c r="R260" i="2" s="1"/>
  <c r="S260" i="2" s="1"/>
  <c r="U260" i="2" s="1"/>
  <c r="V260" i="2" s="1"/>
  <c r="Q54" i="2"/>
  <c r="R54" i="2" s="1"/>
  <c r="S54" i="2" s="1"/>
  <c r="U54" i="2" s="1"/>
  <c r="V54" i="2" s="1"/>
  <c r="Q597" i="2"/>
  <c r="R597" i="2" s="1"/>
  <c r="S597" i="2" s="1"/>
  <c r="U597" i="2" s="1"/>
  <c r="V597" i="2" s="1"/>
  <c r="Q167" i="2"/>
  <c r="R167" i="2" s="1"/>
  <c r="S167" i="2" s="1"/>
  <c r="U167" i="2" s="1"/>
  <c r="V167" i="2" s="1"/>
  <c r="Q183" i="2"/>
  <c r="R183" i="2" s="1"/>
  <c r="S183" i="2" s="1"/>
  <c r="U183" i="2" s="1"/>
  <c r="V183" i="2" s="1"/>
  <c r="Q558" i="2"/>
  <c r="R558" i="2" s="1"/>
  <c r="S558" i="2" s="1"/>
  <c r="U558" i="2" s="1"/>
  <c r="V558" i="2" s="1"/>
  <c r="Q488" i="2"/>
  <c r="R488" i="2" s="1"/>
  <c r="S488" i="2" s="1"/>
  <c r="U488" i="2" s="1"/>
  <c r="V488" i="2" s="1"/>
  <c r="Q52" i="2"/>
  <c r="R52" i="2" s="1"/>
  <c r="S52" i="2" s="1"/>
  <c r="U52" i="2" s="1"/>
  <c r="V52" i="2" s="1"/>
  <c r="Q157" i="2"/>
  <c r="R157" i="2" s="1"/>
  <c r="S157" i="2" s="1"/>
  <c r="U157" i="2" s="1"/>
  <c r="X157" i="2" s="1"/>
  <c r="Q557" i="2"/>
  <c r="R557" i="2" s="1"/>
  <c r="S557" i="2" s="1"/>
  <c r="U557" i="2" s="1"/>
  <c r="V557" i="2" s="1"/>
  <c r="Q143" i="2"/>
  <c r="R143" i="2" s="1"/>
  <c r="Q504" i="2"/>
  <c r="R504" i="2" s="1"/>
  <c r="S504" i="2" s="1"/>
  <c r="U504" i="2" s="1"/>
  <c r="V504" i="2" s="1"/>
  <c r="Q588" i="2"/>
  <c r="R588" i="2" s="1"/>
  <c r="S588" i="2" s="1"/>
  <c r="U588" i="2" s="1"/>
  <c r="V588" i="2" s="1"/>
  <c r="Q424" i="2"/>
  <c r="R424" i="2" s="1"/>
  <c r="S424" i="2" s="1"/>
  <c r="U424" i="2" s="1"/>
  <c r="V424" i="2" s="1"/>
  <c r="Q221" i="2"/>
  <c r="R221" i="2" s="1"/>
  <c r="S221" i="2" s="1"/>
  <c r="U221" i="2" s="1"/>
  <c r="V221" i="2" s="1"/>
  <c r="Q312" i="2"/>
  <c r="R312" i="2" s="1"/>
  <c r="S312" i="2" s="1"/>
  <c r="U312" i="2" s="1"/>
  <c r="V312" i="2" s="1"/>
  <c r="Q421" i="2"/>
  <c r="R421" i="2" s="1"/>
  <c r="S421" i="2" s="1"/>
  <c r="U421" i="2" s="1"/>
  <c r="V421" i="2" s="1"/>
  <c r="Q140" i="2"/>
  <c r="R140" i="2" s="1"/>
  <c r="S140" i="2" s="1"/>
  <c r="U140" i="2" s="1"/>
  <c r="V140" i="2" s="1"/>
  <c r="Q21" i="2"/>
  <c r="R21" i="2" s="1"/>
  <c r="S21" i="2" s="1"/>
  <c r="U21" i="2" s="1"/>
  <c r="V21" i="2" s="1"/>
  <c r="Q62" i="2"/>
  <c r="R62" i="2" s="1"/>
  <c r="S62" i="2" s="1"/>
  <c r="U62" i="2" s="1"/>
  <c r="V62" i="2" s="1"/>
  <c r="Q108" i="2"/>
  <c r="R108" i="2" s="1"/>
  <c r="S108" i="2" s="1"/>
  <c r="U108" i="2" s="1"/>
  <c r="X108" i="2" s="1"/>
  <c r="Q566" i="2"/>
  <c r="R566" i="2" s="1"/>
  <c r="S566" i="2" s="1"/>
  <c r="U566" i="2" s="1"/>
  <c r="V566" i="2" s="1"/>
  <c r="Q6" i="2"/>
  <c r="R6" i="2" s="1"/>
  <c r="S6" i="2" s="1"/>
  <c r="U6" i="2" s="1"/>
  <c r="X6" i="2" s="1"/>
  <c r="Q148" i="2"/>
  <c r="R148" i="2" s="1"/>
  <c r="S148" i="2" s="1"/>
  <c r="U148" i="2" s="1"/>
  <c r="V148" i="2" s="1"/>
  <c r="Q335" i="2"/>
  <c r="R335" i="2" s="1"/>
  <c r="S335" i="2" s="1"/>
  <c r="U335" i="2" s="1"/>
  <c r="V335" i="2" s="1"/>
  <c r="Q501" i="2"/>
  <c r="R501" i="2" s="1"/>
  <c r="S501" i="2" s="1"/>
  <c r="U501" i="2" s="1"/>
  <c r="V501" i="2" s="1"/>
  <c r="Q527" i="2"/>
  <c r="R527" i="2" s="1"/>
  <c r="S527" i="2" s="1"/>
  <c r="U527" i="2" s="1"/>
  <c r="V527" i="2" s="1"/>
  <c r="Q431" i="2"/>
  <c r="R431" i="2" s="1"/>
  <c r="S431" i="2" s="1"/>
  <c r="U431" i="2" s="1"/>
  <c r="X431" i="2" s="1"/>
  <c r="Q517" i="2"/>
  <c r="R517" i="2" s="1"/>
  <c r="S517" i="2" s="1"/>
  <c r="U517" i="2" s="1"/>
  <c r="V517" i="2" s="1"/>
  <c r="Q439" i="2"/>
  <c r="R439" i="2" s="1"/>
  <c r="S439" i="2" s="1"/>
  <c r="U439" i="2" s="1"/>
  <c r="V439" i="2" s="1"/>
  <c r="Q581" i="2"/>
  <c r="R581" i="2" s="1"/>
  <c r="S581" i="2" s="1"/>
  <c r="U581" i="2" s="1"/>
  <c r="V581" i="2" s="1"/>
  <c r="Q23" i="2"/>
  <c r="R23" i="2" s="1"/>
  <c r="S23" i="2" s="1"/>
  <c r="U23" i="2" s="1"/>
  <c r="X23" i="2" s="1"/>
  <c r="Q333" i="2"/>
  <c r="R333" i="2" s="1"/>
  <c r="S333" i="2" s="1"/>
  <c r="U333" i="2" s="1"/>
  <c r="V333" i="2" s="1"/>
  <c r="Q158" i="2"/>
  <c r="R158" i="2" s="1"/>
  <c r="S158" i="2" s="1"/>
  <c r="U158" i="2" s="1"/>
  <c r="V158" i="2" s="1"/>
  <c r="Q38" i="2"/>
  <c r="R38" i="2" s="1"/>
  <c r="S38" i="2" s="1"/>
  <c r="U38" i="2" s="1"/>
  <c r="V38" i="2" s="1"/>
  <c r="Q342" i="2"/>
  <c r="R342" i="2" s="1"/>
  <c r="S342" i="2" s="1"/>
  <c r="U342" i="2" s="1"/>
  <c r="X342" i="2" s="1"/>
  <c r="Q311" i="2"/>
  <c r="R311" i="2" s="1"/>
  <c r="S311" i="2" s="1"/>
  <c r="U311" i="2" s="1"/>
  <c r="V311" i="2" s="1"/>
  <c r="Q468" i="2"/>
  <c r="R468" i="2" s="1"/>
  <c r="S468" i="2" s="1"/>
  <c r="U468" i="2" s="1"/>
  <c r="V468" i="2" s="1"/>
  <c r="Q436" i="2"/>
  <c r="R436" i="2" s="1"/>
  <c r="S436" i="2" s="1"/>
  <c r="U436" i="2" s="1"/>
  <c r="V436" i="2" s="1"/>
  <c r="Q524" i="2"/>
  <c r="R524" i="2" s="1"/>
  <c r="S524" i="2" s="1"/>
  <c r="U524" i="2" s="1"/>
  <c r="V524" i="2" s="1"/>
  <c r="Q141" i="2"/>
  <c r="R141" i="2" s="1"/>
  <c r="S141" i="2" s="1"/>
  <c r="U141" i="2" s="1"/>
  <c r="V141" i="2" s="1"/>
  <c r="Q172" i="2"/>
  <c r="R172" i="2" s="1"/>
  <c r="S172" i="2" s="1"/>
  <c r="U172" i="2" s="1"/>
  <c r="V172" i="2" s="1"/>
  <c r="Q391" i="2"/>
  <c r="R391" i="2" s="1"/>
  <c r="S391" i="2" s="1"/>
  <c r="U391" i="2" s="1"/>
  <c r="V391" i="2" s="1"/>
  <c r="Q46" i="2"/>
  <c r="R46" i="2" s="1"/>
  <c r="S46" i="2" s="1"/>
  <c r="U46" i="2" s="1"/>
  <c r="X46" i="2" s="1"/>
  <c r="Q253" i="2"/>
  <c r="R253" i="2" s="1"/>
  <c r="S253" i="2" s="1"/>
  <c r="U253" i="2" s="1"/>
  <c r="X253" i="2" s="1"/>
  <c r="Q95" i="2"/>
  <c r="R95" i="2" s="1"/>
  <c r="S95" i="2" s="1"/>
  <c r="U95" i="2" s="1"/>
  <c r="V95" i="2" s="1"/>
  <c r="Q232" i="2"/>
  <c r="R232" i="2" s="1"/>
  <c r="S232" i="2" s="1"/>
  <c r="U232" i="2" s="1"/>
  <c r="V232" i="2" s="1"/>
  <c r="Q415" i="2"/>
  <c r="R415" i="2" s="1"/>
  <c r="S415" i="2" s="1"/>
  <c r="U415" i="2" s="1"/>
  <c r="V415" i="2" s="1"/>
  <c r="Q567" i="2"/>
  <c r="R567" i="2" s="1"/>
  <c r="S567" i="2" s="1"/>
  <c r="U567" i="2" s="1"/>
  <c r="X567" i="2" s="1"/>
  <c r="Q32" i="2"/>
  <c r="R32" i="2" s="1"/>
  <c r="S32" i="2" s="1"/>
  <c r="U32" i="2" s="1"/>
  <c r="X32" i="2" s="1"/>
  <c r="Q495" i="2"/>
  <c r="R495" i="2" s="1"/>
  <c r="S495" i="2" s="1"/>
  <c r="U495" i="2" s="1"/>
  <c r="V495" i="2" s="1"/>
  <c r="Q132" i="2"/>
  <c r="R132" i="2" s="1"/>
  <c r="S132" i="2" s="1"/>
  <c r="U132" i="2" s="1"/>
  <c r="X132" i="2" s="1"/>
  <c r="Q156" i="2"/>
  <c r="R156" i="2" s="1"/>
  <c r="S156" i="2" s="1"/>
  <c r="U156" i="2" s="1"/>
  <c r="V156" i="2" s="1"/>
  <c r="Q301" i="2"/>
  <c r="R301" i="2" s="1"/>
  <c r="S301" i="2" s="1"/>
  <c r="U301" i="2" s="1"/>
  <c r="X301" i="2" s="1"/>
  <c r="Q199" i="2"/>
  <c r="R199" i="2" s="1"/>
  <c r="S199" i="2" s="1"/>
  <c r="U199" i="2" s="1"/>
  <c r="V199" i="2" s="1"/>
  <c r="Q511" i="2"/>
  <c r="R511" i="2" s="1"/>
  <c r="S511" i="2" s="1"/>
  <c r="U511" i="2" s="1"/>
  <c r="V511" i="2" s="1"/>
  <c r="Q376" i="2"/>
  <c r="R376" i="2" s="1"/>
  <c r="S376" i="2" s="1"/>
  <c r="U376" i="2" s="1"/>
  <c r="X376" i="2" s="1"/>
  <c r="Q116" i="2"/>
  <c r="R116" i="2" s="1"/>
  <c r="S116" i="2" s="1"/>
  <c r="U116" i="2" s="1"/>
  <c r="V116" i="2" s="1"/>
  <c r="Q472" i="2"/>
  <c r="R472" i="2" s="1"/>
  <c r="S472" i="2" s="1"/>
  <c r="U472" i="2" s="1"/>
  <c r="X472" i="2" s="1"/>
  <c r="Q188" i="2"/>
  <c r="R188" i="2" s="1"/>
  <c r="S188" i="2" s="1"/>
  <c r="U188" i="2" s="1"/>
  <c r="V188" i="2" s="1"/>
  <c r="Q317" i="2"/>
  <c r="R317" i="2" s="1"/>
  <c r="S317" i="2" s="1"/>
  <c r="U317" i="2" s="1"/>
  <c r="V317" i="2" s="1"/>
  <c r="Q88" i="2"/>
  <c r="R88" i="2" s="1"/>
  <c r="S88" i="2" s="1"/>
  <c r="U88" i="2" s="1"/>
  <c r="V88" i="2" s="1"/>
  <c r="Q268" i="2"/>
  <c r="R268" i="2" s="1"/>
  <c r="S268" i="2" s="1"/>
  <c r="U268" i="2" s="1"/>
  <c r="X268" i="2" s="1"/>
  <c r="Q318" i="2"/>
  <c r="R318" i="2" s="1"/>
  <c r="S318" i="2" s="1"/>
  <c r="U318" i="2" s="1"/>
  <c r="V318" i="2" s="1"/>
  <c r="Q325" i="2"/>
  <c r="R325" i="2" s="1"/>
  <c r="S325" i="2" s="1"/>
  <c r="U325" i="2" s="1"/>
  <c r="V325" i="2" s="1"/>
  <c r="Q166" i="2"/>
  <c r="R166" i="2" s="1"/>
  <c r="S166" i="2" s="1"/>
  <c r="U166" i="2" s="1"/>
  <c r="V166" i="2" s="1"/>
  <c r="Q310" i="2"/>
  <c r="R310" i="2" s="1"/>
  <c r="S310" i="2" s="1"/>
  <c r="U310" i="2" s="1"/>
  <c r="V310" i="2" s="1"/>
  <c r="Q454" i="2"/>
  <c r="R454" i="2" s="1"/>
  <c r="S454" i="2" s="1"/>
  <c r="U454" i="2" s="1"/>
  <c r="V454" i="2" s="1"/>
  <c r="Q78" i="2"/>
  <c r="R78" i="2" s="1"/>
  <c r="S78" i="2" s="1"/>
  <c r="U78" i="2" s="1"/>
  <c r="V78" i="2" s="1"/>
  <c r="Q102" i="2"/>
  <c r="R102" i="2" s="1"/>
  <c r="S102" i="2" s="1"/>
  <c r="U102" i="2" s="1"/>
  <c r="X102" i="2" s="1"/>
  <c r="Q366" i="2"/>
  <c r="R366" i="2" s="1"/>
  <c r="S366" i="2" s="1"/>
  <c r="U366" i="2" s="1"/>
  <c r="V366" i="2" s="1"/>
  <c r="Q328" i="2"/>
  <c r="R328" i="2" s="1"/>
  <c r="S328" i="2" s="1"/>
  <c r="U328" i="2" s="1"/>
  <c r="V328" i="2" s="1"/>
  <c r="Q591" i="2"/>
  <c r="R591" i="2" s="1"/>
  <c r="S591" i="2" s="1"/>
  <c r="U591" i="2" s="1"/>
  <c r="X591" i="2" s="1"/>
  <c r="Q7" i="2"/>
  <c r="R7" i="2" s="1"/>
  <c r="S7" i="2" s="1"/>
  <c r="U7" i="2" s="1"/>
  <c r="X7" i="2" s="1"/>
  <c r="Q500" i="2"/>
  <c r="R500" i="2" s="1"/>
  <c r="S500" i="2" s="1"/>
  <c r="U500" i="2" s="1"/>
  <c r="X500" i="2" s="1"/>
  <c r="Q447" i="2"/>
  <c r="R447" i="2" s="1"/>
  <c r="S447" i="2" s="1"/>
  <c r="U447" i="2" s="1"/>
  <c r="B4" i="2"/>
  <c r="Q360" i="2"/>
  <c r="R360" i="2" s="1"/>
  <c r="S360" i="2" s="1"/>
  <c r="U360" i="2" s="1"/>
  <c r="Q196" i="2"/>
  <c r="R196" i="2" s="1"/>
  <c r="S196" i="2" s="1"/>
  <c r="U196" i="2" s="1"/>
  <c r="V196" i="2" s="1"/>
  <c r="Q528" i="2"/>
  <c r="R528" i="2" s="1"/>
  <c r="S528" i="2" s="1"/>
  <c r="U528" i="2" s="1"/>
  <c r="V528" i="2" s="1"/>
  <c r="Q296" i="2"/>
  <c r="R296" i="2" s="1"/>
  <c r="S296" i="2" s="1"/>
  <c r="U296" i="2" s="1"/>
  <c r="X296" i="2" s="1"/>
  <c r="Q71" i="2"/>
  <c r="R71" i="2" s="1"/>
  <c r="S71" i="2" s="1"/>
  <c r="U71" i="2" s="1"/>
  <c r="Q119" i="2"/>
  <c r="R119" i="2" s="1"/>
  <c r="S119" i="2" s="1"/>
  <c r="U119" i="2" s="1"/>
  <c r="V119" i="2" s="1"/>
  <c r="Q223" i="2"/>
  <c r="R223" i="2" s="1"/>
  <c r="S223" i="2" s="1"/>
  <c r="U223" i="2" s="1"/>
  <c r="X223" i="2" s="1"/>
  <c r="Q248" i="2"/>
  <c r="R248" i="2" s="1"/>
  <c r="S248" i="2" s="1"/>
  <c r="U248" i="2" s="1"/>
  <c r="V248" i="2" s="1"/>
  <c r="Q215" i="2"/>
  <c r="R215" i="2" s="1"/>
  <c r="S215" i="2" s="1"/>
  <c r="U215" i="2" s="1"/>
  <c r="X215" i="2" s="1"/>
  <c r="Q556" i="2"/>
  <c r="R556" i="2" s="1"/>
  <c r="S556" i="2" s="1"/>
  <c r="U556" i="2" s="1"/>
  <c r="V556" i="2" s="1"/>
  <c r="Q534" i="2"/>
  <c r="R534" i="2" s="1"/>
  <c r="S534" i="2" s="1"/>
  <c r="U534" i="2" s="1"/>
  <c r="Q103" i="2"/>
  <c r="R103" i="2" s="1"/>
  <c r="S103" i="2" s="1"/>
  <c r="U103" i="2" s="1"/>
  <c r="V103" i="2" s="1"/>
  <c r="Q93" i="2"/>
  <c r="R93" i="2" s="1"/>
  <c r="S93" i="2" s="1"/>
  <c r="U93" i="2" s="1"/>
  <c r="V93" i="2" s="1"/>
  <c r="Q252" i="2"/>
  <c r="R252" i="2" s="1"/>
  <c r="S252" i="2" s="1"/>
  <c r="U252" i="2" s="1"/>
  <c r="X252" i="2" s="1"/>
  <c r="Q598" i="2"/>
  <c r="R598" i="2" s="1"/>
  <c r="S598" i="2" s="1"/>
  <c r="U598" i="2" s="1"/>
  <c r="X598" i="2" s="1"/>
  <c r="Q509" i="2"/>
  <c r="R509" i="2" s="1"/>
  <c r="S509" i="2" s="1"/>
  <c r="U509" i="2" s="1"/>
  <c r="V509" i="2" s="1"/>
  <c r="Q590" i="2"/>
  <c r="R590" i="2" s="1"/>
  <c r="S590" i="2" s="1"/>
  <c r="U590" i="2" s="1"/>
  <c r="V590" i="2" s="1"/>
  <c r="Q405" i="2"/>
  <c r="R405" i="2" s="1"/>
  <c r="S405" i="2" s="1"/>
  <c r="U405" i="2" s="1"/>
  <c r="V405" i="2" s="1"/>
  <c r="Q484" i="2"/>
  <c r="R484" i="2" s="1"/>
  <c r="S484" i="2" s="1"/>
  <c r="U484" i="2" s="1"/>
  <c r="V484" i="2" s="1"/>
  <c r="Q327" i="2"/>
  <c r="R327" i="2" s="1"/>
  <c r="S327" i="2" s="1"/>
  <c r="U327" i="2" s="1"/>
  <c r="X327" i="2" s="1"/>
  <c r="Q464" i="2"/>
  <c r="R464" i="2" s="1"/>
  <c r="S464" i="2" s="1"/>
  <c r="U464" i="2" s="1"/>
  <c r="V464" i="2" s="1"/>
  <c r="Q518" i="2"/>
  <c r="R518" i="2" s="1"/>
  <c r="S518" i="2" s="1"/>
  <c r="U518" i="2" s="1"/>
  <c r="V518" i="2" s="1"/>
  <c r="Q336" i="2"/>
  <c r="R336" i="2" s="1"/>
  <c r="S336" i="2" s="1"/>
  <c r="U336" i="2" s="1"/>
  <c r="V336" i="2" s="1"/>
  <c r="Q396" i="2"/>
  <c r="R396" i="2" s="1"/>
  <c r="S396" i="2" s="1"/>
  <c r="U396" i="2" s="1"/>
  <c r="V396" i="2" s="1"/>
  <c r="Q87" i="2"/>
  <c r="R87" i="2" s="1"/>
  <c r="S87" i="2" s="1"/>
  <c r="U87" i="2" s="1"/>
  <c r="X87" i="2" s="1"/>
  <c r="Q365" i="2"/>
  <c r="R365" i="2" s="1"/>
  <c r="S365" i="2" s="1"/>
  <c r="U365" i="2" s="1"/>
  <c r="Q61" i="2"/>
  <c r="R61" i="2" s="1"/>
  <c r="S61" i="2" s="1"/>
  <c r="U61" i="2" s="1"/>
  <c r="V61" i="2" s="1"/>
  <c r="Q237" i="2"/>
  <c r="R237" i="2" s="1"/>
  <c r="S237" i="2" s="1"/>
  <c r="U237" i="2" s="1"/>
  <c r="V237" i="2" s="1"/>
  <c r="Q286" i="2"/>
  <c r="R286" i="2" s="1"/>
  <c r="S286" i="2" s="1"/>
  <c r="U286" i="2" s="1"/>
  <c r="V286" i="2" s="1"/>
  <c r="Q37" i="2"/>
  <c r="R37" i="2" s="1"/>
  <c r="S37" i="2" s="1"/>
  <c r="U37" i="2" s="1"/>
  <c r="V37" i="2" s="1"/>
  <c r="Q341" i="2"/>
  <c r="R341" i="2" s="1"/>
  <c r="S341" i="2" s="1"/>
  <c r="U341" i="2" s="1"/>
  <c r="V341" i="2" s="1"/>
  <c r="Q512" i="2"/>
  <c r="R512" i="2" s="1"/>
  <c r="S512" i="2" s="1"/>
  <c r="U512" i="2" s="1"/>
  <c r="V512" i="2" s="1"/>
  <c r="Q76" i="2"/>
  <c r="R76" i="2" s="1"/>
  <c r="S76" i="2" s="1"/>
  <c r="U76" i="2" s="1"/>
  <c r="Q134" i="2"/>
  <c r="R134" i="2" s="1"/>
  <c r="S134" i="2" s="1"/>
  <c r="U134" i="2" s="1"/>
  <c r="V134" i="2" s="1"/>
  <c r="Q92" i="2"/>
  <c r="R92" i="2" s="1"/>
  <c r="S92" i="2" s="1"/>
  <c r="U92" i="2" s="1"/>
  <c r="X92" i="2" s="1"/>
  <c r="Q372" i="2"/>
  <c r="R372" i="2" s="1"/>
  <c r="S372" i="2" s="1"/>
  <c r="U372" i="2" s="1"/>
  <c r="V372" i="2" s="1"/>
  <c r="Q126" i="2"/>
  <c r="R126" i="2" s="1"/>
  <c r="S126" i="2" s="1"/>
  <c r="U126" i="2" s="1"/>
  <c r="V126" i="2" s="1"/>
  <c r="Q207" i="2"/>
  <c r="R207" i="2" s="1"/>
  <c r="S207" i="2" s="1"/>
  <c r="U207" i="2" s="1"/>
  <c r="V207" i="2" s="1"/>
  <c r="Q536" i="2"/>
  <c r="R536" i="2" s="1"/>
  <c r="S536" i="2" s="1"/>
  <c r="U536" i="2" s="1"/>
  <c r="V536" i="2" s="1"/>
  <c r="Q404" i="2"/>
  <c r="R404" i="2" s="1"/>
  <c r="S404" i="2" s="1"/>
  <c r="U404" i="2" s="1"/>
  <c r="V404" i="2" s="1"/>
  <c r="Q144" i="2"/>
  <c r="R144" i="2" s="1"/>
  <c r="S144" i="2" s="1"/>
  <c r="U144" i="2" s="1"/>
  <c r="V144" i="2" s="1"/>
  <c r="Q541" i="2"/>
  <c r="R541" i="2" s="1"/>
  <c r="S541" i="2" s="1"/>
  <c r="U541" i="2" s="1"/>
  <c r="X541" i="2" s="1"/>
  <c r="Q230" i="2"/>
  <c r="R230" i="2" s="1"/>
  <c r="S230" i="2" s="1"/>
  <c r="U230" i="2" s="1"/>
  <c r="V230" i="2" s="1"/>
  <c r="Q420" i="2"/>
  <c r="R420" i="2" s="1"/>
  <c r="S420" i="2" s="1"/>
  <c r="U420" i="2" s="1"/>
  <c r="V420" i="2" s="1"/>
  <c r="Q20" i="2"/>
  <c r="R20" i="2" s="1"/>
  <c r="S20" i="2" s="1"/>
  <c r="U20" i="2" s="1"/>
  <c r="V20" i="2" s="1"/>
  <c r="Q332" i="2"/>
  <c r="R332" i="2" s="1"/>
  <c r="S332" i="2" s="1"/>
  <c r="U332" i="2" s="1"/>
  <c r="X332" i="2" s="1"/>
  <c r="Q176" i="2"/>
  <c r="R176" i="2" s="1"/>
  <c r="S176" i="2" s="1"/>
  <c r="U176" i="2" s="1"/>
  <c r="X176" i="2" s="1"/>
  <c r="Q64" i="2"/>
  <c r="R64" i="2" s="1"/>
  <c r="S64" i="2" s="1"/>
  <c r="U64" i="2" s="1"/>
  <c r="V64" i="2" s="1"/>
  <c r="Q165" i="2"/>
  <c r="R165" i="2" s="1"/>
  <c r="S165" i="2" s="1"/>
  <c r="U165" i="2" s="1"/>
  <c r="V165" i="2" s="1"/>
  <c r="Q364" i="2"/>
  <c r="R364" i="2" s="1"/>
  <c r="S364" i="2" s="1"/>
  <c r="U364" i="2" s="1"/>
  <c r="X364" i="2" s="1"/>
  <c r="Q94" i="2"/>
  <c r="R94" i="2" s="1"/>
  <c r="S94" i="2" s="1"/>
  <c r="U94" i="2" s="1"/>
  <c r="X94" i="2" s="1"/>
  <c r="Q118" i="2"/>
  <c r="R118" i="2" s="1"/>
  <c r="S118" i="2" s="1"/>
  <c r="U118" i="2" s="1"/>
  <c r="V118" i="2" s="1"/>
  <c r="Q63" i="2"/>
  <c r="R63" i="2" s="1"/>
  <c r="S63" i="2" s="1"/>
  <c r="U63" i="2" s="1"/>
  <c r="X63" i="2" s="1"/>
  <c r="Q261" i="2"/>
  <c r="R261" i="2" s="1"/>
  <c r="S261" i="2" s="1"/>
  <c r="U261" i="2" s="1"/>
  <c r="V261" i="2" s="1"/>
  <c r="Q510" i="2"/>
  <c r="R510" i="2" s="1"/>
  <c r="S510" i="2" s="1"/>
  <c r="U510" i="2" s="1"/>
  <c r="V510" i="2" s="1"/>
  <c r="Q284" i="2"/>
  <c r="R284" i="2" s="1"/>
  <c r="S284" i="2" s="1"/>
  <c r="U284" i="2" s="1"/>
  <c r="Q492" i="2"/>
  <c r="R492" i="2" s="1"/>
  <c r="S492" i="2" s="1"/>
  <c r="U492" i="2" s="1"/>
  <c r="V492" i="2" s="1"/>
  <c r="Q55" i="2"/>
  <c r="R55" i="2" s="1"/>
  <c r="S55" i="2" s="1"/>
  <c r="U55" i="2" s="1"/>
  <c r="X55" i="2" s="1"/>
  <c r="Q485" i="2"/>
  <c r="R485" i="2" s="1"/>
  <c r="S485" i="2" s="1"/>
  <c r="U485" i="2" s="1"/>
  <c r="V485" i="2" s="1"/>
  <c r="Q86" i="2"/>
  <c r="R86" i="2" s="1"/>
  <c r="S86" i="2" s="1"/>
  <c r="U86" i="2" s="1"/>
  <c r="V86" i="2" s="1"/>
  <c r="Q279" i="2"/>
  <c r="R279" i="2" s="1"/>
  <c r="S279" i="2" s="1"/>
  <c r="U279" i="2" s="1"/>
  <c r="V279" i="2" s="1"/>
  <c r="Q544" i="2"/>
  <c r="R544" i="2" s="1"/>
  <c r="S544" i="2" s="1"/>
  <c r="U544" i="2" s="1"/>
  <c r="V544" i="2" s="1"/>
  <c r="Q104" i="2"/>
  <c r="R104" i="2" s="1"/>
  <c r="S104" i="2" s="1"/>
  <c r="U104" i="2" s="1"/>
  <c r="Q56" i="2"/>
  <c r="R56" i="2" s="1"/>
  <c r="S56" i="2" s="1"/>
  <c r="U56" i="2" s="1"/>
  <c r="X56" i="2" s="1"/>
  <c r="Q452" i="2"/>
  <c r="R452" i="2" s="1"/>
  <c r="S452" i="2" s="1"/>
  <c r="U452" i="2" s="1"/>
  <c r="X452" i="2" s="1"/>
  <c r="Q213" i="2"/>
  <c r="R213" i="2" s="1"/>
  <c r="S213" i="2" s="1"/>
  <c r="U213" i="2" s="1"/>
  <c r="X213" i="2" s="1"/>
  <c r="Q295" i="2"/>
  <c r="R295" i="2" s="1"/>
  <c r="S295" i="2" s="1"/>
  <c r="U295" i="2" s="1"/>
  <c r="V295" i="2" s="1"/>
  <c r="Q198" i="2"/>
  <c r="R198" i="2" s="1"/>
  <c r="S198" i="2" s="1"/>
  <c r="U198" i="2" s="1"/>
  <c r="V198" i="2" s="1"/>
  <c r="Q542" i="2"/>
  <c r="R542" i="2" s="1"/>
  <c r="S542" i="2" s="1"/>
  <c r="U542" i="2" s="1"/>
  <c r="X542" i="2" s="1"/>
  <c r="Q240" i="2"/>
  <c r="R240" i="2" s="1"/>
  <c r="S240" i="2" s="1"/>
  <c r="U240" i="2" s="1"/>
  <c r="V240" i="2" s="1"/>
  <c r="Q39" i="2"/>
  <c r="R39" i="2" s="1"/>
  <c r="S39" i="2" s="1"/>
  <c r="U39" i="2" s="1"/>
  <c r="V39" i="2" s="1"/>
  <c r="Q276" i="2"/>
  <c r="R276" i="2" s="1"/>
  <c r="S276" i="2" s="1"/>
  <c r="U276" i="2" s="1"/>
  <c r="V276" i="2" s="1"/>
  <c r="Q368" i="2"/>
  <c r="R368" i="2" s="1"/>
  <c r="S368" i="2" s="1"/>
  <c r="U368" i="2" s="1"/>
  <c r="Q326" i="2"/>
  <c r="R326" i="2" s="1"/>
  <c r="S326" i="2" s="1"/>
  <c r="U326" i="2" s="1"/>
  <c r="V326" i="2" s="1"/>
  <c r="Q272" i="2"/>
  <c r="R272" i="2" s="1"/>
  <c r="S272" i="2" s="1"/>
  <c r="U272" i="2" s="1"/>
  <c r="V272" i="2" s="1"/>
  <c r="Q184" i="2"/>
  <c r="R184" i="2" s="1"/>
  <c r="S184" i="2" s="1"/>
  <c r="U184" i="2" s="1"/>
  <c r="X184" i="2" s="1"/>
  <c r="Q151" i="2"/>
  <c r="R151" i="2" s="1"/>
  <c r="S151" i="2" s="1"/>
  <c r="U151" i="2" s="1"/>
  <c r="V151" i="2" s="1"/>
  <c r="Q487" i="2"/>
  <c r="R487" i="2" s="1"/>
  <c r="S487" i="2" s="1"/>
  <c r="U487" i="2" s="1"/>
  <c r="V487" i="2" s="1"/>
  <c r="Q453" i="2"/>
  <c r="R453" i="2" s="1"/>
  <c r="S453" i="2" s="1"/>
  <c r="U453" i="2" s="1"/>
  <c r="V453" i="2" s="1"/>
  <c r="Q181" i="2"/>
  <c r="R181" i="2" s="1"/>
  <c r="S181" i="2" s="1"/>
  <c r="U181" i="2" s="1"/>
  <c r="V181" i="2" s="1"/>
  <c r="Q216" i="2"/>
  <c r="R216" i="2" s="1"/>
  <c r="S216" i="2" s="1"/>
  <c r="U216" i="2" s="1"/>
  <c r="V216" i="2" s="1"/>
  <c r="Q142" i="2"/>
  <c r="R142" i="2" s="1"/>
  <c r="S142" i="2" s="1"/>
  <c r="U142" i="2" s="1"/>
  <c r="V142" i="2" s="1"/>
  <c r="Q205" i="2"/>
  <c r="R205" i="2" s="1"/>
  <c r="S205" i="2" s="1"/>
  <c r="U205" i="2" s="1"/>
  <c r="V205" i="2" s="1"/>
  <c r="Q45" i="2"/>
  <c r="R45" i="2" s="1"/>
  <c r="S45" i="2" s="1"/>
  <c r="U45" i="2" s="1"/>
  <c r="X45" i="2" s="1"/>
  <c r="Q238" i="2"/>
  <c r="R238" i="2" s="1"/>
  <c r="S238" i="2" s="1"/>
  <c r="U238" i="2" s="1"/>
  <c r="V238" i="2" s="1"/>
  <c r="Q469" i="2"/>
  <c r="R469" i="2" s="1"/>
  <c r="S469" i="2" s="1"/>
  <c r="U469" i="2" s="1"/>
  <c r="X469" i="2" s="1"/>
  <c r="Q124" i="2"/>
  <c r="R124" i="2" s="1"/>
  <c r="S124" i="2" s="1"/>
  <c r="U124" i="2" s="1"/>
  <c r="X124" i="2" s="1"/>
  <c r="Q269" i="2"/>
  <c r="R269" i="2" s="1"/>
  <c r="S269" i="2" s="1"/>
  <c r="U269" i="2" s="1"/>
  <c r="V269" i="2" s="1"/>
  <c r="Q160" i="2"/>
  <c r="R160" i="2" s="1"/>
  <c r="S160" i="2" s="1"/>
  <c r="U160" i="2" s="1"/>
  <c r="V160" i="2" s="1"/>
  <c r="Q247" i="2"/>
  <c r="R247" i="2" s="1"/>
  <c r="S247" i="2" s="1"/>
  <c r="U247" i="2" s="1"/>
  <c r="V247" i="2" s="1"/>
  <c r="Q456" i="2"/>
  <c r="R456" i="2" s="1"/>
  <c r="S456" i="2" s="1"/>
  <c r="U456" i="2" s="1"/>
  <c r="V456" i="2" s="1"/>
  <c r="Q192" i="2"/>
  <c r="R192" i="2" s="1"/>
  <c r="S192" i="2" s="1"/>
  <c r="U192" i="2" s="1"/>
  <c r="V192" i="2" s="1"/>
  <c r="Q316" i="2"/>
  <c r="R316" i="2" s="1"/>
  <c r="S316" i="2" s="1"/>
  <c r="U316" i="2" s="1"/>
  <c r="V316" i="2" s="1"/>
  <c r="V545" i="2"/>
  <c r="X545" i="2"/>
  <c r="V217" i="2"/>
  <c r="X217" i="2"/>
  <c r="V315" i="2"/>
  <c r="X315" i="2"/>
  <c r="V354" i="2"/>
  <c r="X354" i="2"/>
  <c r="V546" i="2"/>
  <c r="X546" i="2"/>
  <c r="V483" i="2"/>
  <c r="X483" i="2"/>
  <c r="V523" i="2"/>
  <c r="X523" i="2"/>
  <c r="V258" i="2"/>
  <c r="X258" i="2"/>
  <c r="V353" i="2"/>
  <c r="X353" i="2"/>
  <c r="V491" i="2"/>
  <c r="X491" i="2"/>
  <c r="V170" i="2"/>
  <c r="X170" i="2"/>
  <c r="V35" i="2"/>
  <c r="X35" i="2"/>
  <c r="V75" i="2"/>
  <c r="X75" i="2"/>
  <c r="V497" i="2"/>
  <c r="X497" i="2"/>
  <c r="V586" i="2"/>
  <c r="X586" i="2"/>
  <c r="V219" i="2"/>
  <c r="X219" i="2"/>
  <c r="V433" i="2"/>
  <c r="X433" i="2"/>
  <c r="V122" i="2"/>
  <c r="X122" i="2"/>
  <c r="V91" i="2"/>
  <c r="X91" i="2"/>
  <c r="V531" i="2"/>
  <c r="X531" i="2"/>
  <c r="V594" i="2"/>
  <c r="X594" i="2"/>
  <c r="V313" i="2"/>
  <c r="X313" i="2"/>
  <c r="V41" i="2"/>
  <c r="X41" i="2"/>
  <c r="V401" i="2"/>
  <c r="X401" i="2"/>
  <c r="V441" i="2"/>
  <c r="X441" i="2"/>
  <c r="V323" i="2"/>
  <c r="X323" i="2"/>
  <c r="V195" i="2"/>
  <c r="X195" i="2"/>
  <c r="V553" i="2"/>
  <c r="X553" i="2"/>
  <c r="V585" i="2"/>
  <c r="X585" i="2"/>
  <c r="V259" i="2"/>
  <c r="X259" i="2"/>
  <c r="V426" i="2"/>
  <c r="X426" i="2"/>
  <c r="V489" i="2"/>
  <c r="X489" i="2"/>
  <c r="V138" i="2"/>
  <c r="X138" i="2"/>
  <c r="V97" i="2"/>
  <c r="X97" i="2"/>
  <c r="V411" i="2"/>
  <c r="X411" i="2"/>
  <c r="V330" i="2"/>
  <c r="X330" i="2"/>
  <c r="V66" i="2"/>
  <c r="X66" i="2"/>
  <c r="V291" i="2"/>
  <c r="X291" i="2"/>
  <c r="V154" i="2"/>
  <c r="X154" i="2"/>
  <c r="V577" i="2"/>
  <c r="X577" i="2"/>
  <c r="V243" i="2"/>
  <c r="X243" i="2"/>
  <c r="V281" i="2"/>
  <c r="X281" i="2"/>
  <c r="V387" i="2"/>
  <c r="X387" i="2"/>
  <c r="V554" i="2"/>
  <c r="X554" i="2"/>
  <c r="V349" i="2"/>
  <c r="X349" i="2"/>
  <c r="V65" i="2"/>
  <c r="X65" i="2"/>
  <c r="V147" i="2"/>
  <c r="X147" i="2"/>
  <c r="V395" i="2"/>
  <c r="X395" i="2"/>
  <c r="V194" i="2"/>
  <c r="X194" i="2"/>
  <c r="V162" i="2"/>
  <c r="X162" i="2"/>
  <c r="V578" i="2"/>
  <c r="X578" i="2"/>
  <c r="V74" i="2"/>
  <c r="X74" i="2"/>
  <c r="V25" i="2"/>
  <c r="X25" i="2"/>
  <c r="V427" i="2"/>
  <c r="X427" i="2"/>
  <c r="V209" i="2"/>
  <c r="X209" i="2"/>
  <c r="V249" i="2"/>
  <c r="X249" i="2"/>
  <c r="V457" i="2"/>
  <c r="X457" i="2"/>
  <c r="V34" i="2"/>
  <c r="X34" i="2"/>
  <c r="V161" i="2"/>
  <c r="X161" i="2"/>
  <c r="V547" i="2"/>
  <c r="X547" i="2"/>
  <c r="V393" i="2"/>
  <c r="X393" i="2"/>
  <c r="V178" i="2"/>
  <c r="X178" i="2"/>
  <c r="V593" i="2"/>
  <c r="X593" i="2"/>
  <c r="V106" i="2"/>
  <c r="X106" i="2"/>
  <c r="V322" i="2"/>
  <c r="X322" i="2"/>
  <c r="V43" i="2"/>
  <c r="X43" i="2"/>
  <c r="V435" i="2"/>
  <c r="X435" i="2"/>
  <c r="V537" i="2"/>
  <c r="X537" i="2"/>
  <c r="V290" i="2"/>
  <c r="X290" i="2"/>
  <c r="V434" i="2"/>
  <c r="X434" i="2"/>
  <c r="V282" i="2"/>
  <c r="X282" i="2"/>
  <c r="V235" i="2"/>
  <c r="X235" i="2"/>
  <c r="V571" i="2"/>
  <c r="X571" i="2"/>
  <c r="V409" i="2"/>
  <c r="X409" i="2"/>
  <c r="V121" i="2"/>
  <c r="X121" i="2"/>
  <c r="V385" i="2"/>
  <c r="X385" i="2"/>
  <c r="V507" i="2"/>
  <c r="X507" i="2"/>
  <c r="V226" i="2"/>
  <c r="X226" i="2"/>
  <c r="V379" i="2"/>
  <c r="X379" i="2"/>
  <c r="V563" i="2"/>
  <c r="X563" i="2"/>
  <c r="V265" i="2"/>
  <c r="X265" i="2"/>
  <c r="V155" i="2"/>
  <c r="X155" i="2"/>
  <c r="V369" i="2"/>
  <c r="X369" i="2"/>
  <c r="V345" i="2"/>
  <c r="X345" i="2"/>
  <c r="V49" i="2"/>
  <c r="X49" i="2"/>
  <c r="V58" i="2"/>
  <c r="X58" i="2"/>
  <c r="V98" i="2"/>
  <c r="X98" i="2"/>
  <c r="V579" i="2"/>
  <c r="X579" i="2"/>
  <c r="V9" i="2"/>
  <c r="X9" i="2"/>
  <c r="V211" i="2"/>
  <c r="X211" i="2"/>
  <c r="V274" i="2"/>
  <c r="X274" i="2"/>
  <c r="V394" i="2"/>
  <c r="X394" i="2"/>
  <c r="V203" i="2"/>
  <c r="X203" i="2"/>
  <c r="V33" i="2"/>
  <c r="X33" i="2"/>
  <c r="V89" i="2"/>
  <c r="X89" i="2"/>
  <c r="V163" i="2"/>
  <c r="X163" i="2"/>
  <c r="V474" i="2"/>
  <c r="X474" i="2"/>
  <c r="V123" i="2"/>
  <c r="X123" i="2"/>
  <c r="V331" i="2"/>
  <c r="X331" i="2"/>
  <c r="V538" i="2"/>
  <c r="X538" i="2"/>
  <c r="V130" i="2"/>
  <c r="X130" i="2"/>
  <c r="V506" i="2"/>
  <c r="X506" i="2"/>
  <c r="V299" i="2"/>
  <c r="X299" i="2"/>
  <c r="V475" i="2"/>
  <c r="X475" i="2"/>
  <c r="V90" i="2"/>
  <c r="X90" i="2"/>
  <c r="V257" i="2"/>
  <c r="X257" i="2"/>
  <c r="V514" i="2"/>
  <c r="X514" i="2"/>
  <c r="V193" i="2"/>
  <c r="X193" i="2"/>
  <c r="V297" i="2"/>
  <c r="X297" i="2"/>
  <c r="V562" i="2"/>
  <c r="X562" i="2"/>
  <c r="V595" i="2"/>
  <c r="X595" i="2"/>
  <c r="V59" i="2"/>
  <c r="X59" i="2"/>
  <c r="V465" i="2"/>
  <c r="X465" i="2"/>
  <c r="V505" i="2"/>
  <c r="X505" i="2"/>
  <c r="V459" i="2"/>
  <c r="X459" i="2"/>
  <c r="V242" i="2"/>
  <c r="X242" i="2"/>
  <c r="V515" i="2"/>
  <c r="X515" i="2"/>
  <c r="V83" i="2"/>
  <c r="X83" i="2"/>
  <c r="V146" i="2"/>
  <c r="X146" i="2"/>
  <c r="V289" i="2"/>
  <c r="X289" i="2"/>
  <c r="V419" i="2"/>
  <c r="X419" i="2"/>
  <c r="V19" i="2"/>
  <c r="X19" i="2"/>
  <c r="V82" i="2"/>
  <c r="X82" i="2"/>
  <c r="V267" i="2"/>
  <c r="X267" i="2"/>
  <c r="V164" i="2"/>
  <c r="X164" i="2"/>
  <c r="V314" i="2"/>
  <c r="X314" i="2"/>
  <c r="V417" i="2"/>
  <c r="X417" i="2"/>
  <c r="V73" i="2"/>
  <c r="X73" i="2"/>
  <c r="V513" i="2"/>
  <c r="X513" i="2"/>
  <c r="V570" i="2"/>
  <c r="X570" i="2"/>
  <c r="V11" i="2"/>
  <c r="X11" i="2"/>
  <c r="V337" i="2"/>
  <c r="X337" i="2"/>
  <c r="V18" i="2"/>
  <c r="X18" i="2"/>
  <c r="V443" i="2"/>
  <c r="X443" i="2"/>
  <c r="V177" i="2"/>
  <c r="X177" i="2"/>
  <c r="V250" i="2"/>
  <c r="X250" i="2"/>
  <c r="V321" i="2"/>
  <c r="X321" i="2"/>
  <c r="V153" i="2"/>
  <c r="X153" i="2"/>
  <c r="V50" i="2"/>
  <c r="X50" i="2"/>
  <c r="V234" i="2"/>
  <c r="X234" i="2"/>
  <c r="V425" i="2"/>
  <c r="X425" i="2"/>
  <c r="V179" i="2"/>
  <c r="X179" i="2"/>
  <c r="V266" i="2"/>
  <c r="X266" i="2"/>
  <c r="V81" i="2"/>
  <c r="X81" i="2"/>
  <c r="V115" i="2"/>
  <c r="X115" i="2"/>
  <c r="V169" i="2"/>
  <c r="X169" i="2"/>
  <c r="V227" i="2"/>
  <c r="X227" i="2"/>
  <c r="V602" i="2"/>
  <c r="X602" i="2"/>
  <c r="V522" i="2"/>
  <c r="X522" i="2"/>
  <c r="V451" i="2"/>
  <c r="X451" i="2"/>
  <c r="V521" i="2"/>
  <c r="X521" i="2"/>
  <c r="V377" i="2"/>
  <c r="X377" i="2"/>
  <c r="V3" i="2"/>
  <c r="W3" i="2" s="1"/>
  <c r="X3" i="2"/>
  <c r="Y3" i="2" s="1"/>
  <c r="V137" i="2"/>
  <c r="X137" i="2"/>
  <c r="V202" i="2"/>
  <c r="X202" i="2"/>
  <c r="V42" i="2"/>
  <c r="X42" i="2"/>
  <c r="V105" i="2"/>
  <c r="X105" i="2"/>
  <c r="V482" i="2"/>
  <c r="X482" i="2"/>
  <c r="V225" i="2"/>
  <c r="X225" i="2"/>
  <c r="V466" i="2"/>
  <c r="X466" i="2"/>
  <c r="V10" i="2"/>
  <c r="X10" i="2"/>
  <c r="V378" i="2"/>
  <c r="X378" i="2"/>
  <c r="V418" i="2"/>
  <c r="X418" i="2"/>
  <c r="V241" i="2"/>
  <c r="X241" i="2"/>
  <c r="V490" i="2"/>
  <c r="X490" i="2"/>
  <c r="V129" i="2"/>
  <c r="X129" i="2"/>
  <c r="V371" i="2"/>
  <c r="X371" i="2"/>
  <c r="V498" i="2"/>
  <c r="X498" i="2"/>
  <c r="V113" i="2"/>
  <c r="X113" i="2"/>
  <c r="V339" i="2"/>
  <c r="X339" i="2"/>
  <c r="V402" i="2"/>
  <c r="X402" i="2"/>
  <c r="V458" i="2"/>
  <c r="X458" i="2"/>
  <c r="V601" i="2"/>
  <c r="X601" i="2"/>
  <c r="V467" i="2"/>
  <c r="X467" i="2"/>
  <c r="V530" i="2"/>
  <c r="X530" i="2"/>
  <c r="V44" i="2"/>
  <c r="X44" i="2"/>
  <c r="V307" i="2"/>
  <c r="X307" i="2"/>
  <c r="V305" i="2"/>
  <c r="X305" i="2"/>
  <c r="V145" i="2"/>
  <c r="X145" i="2"/>
  <c r="V185" i="2"/>
  <c r="X185" i="2"/>
  <c r="V67" i="2"/>
  <c r="X67" i="2"/>
  <c r="V329" i="2"/>
  <c r="X329" i="2"/>
  <c r="V218" i="2"/>
  <c r="X218" i="2"/>
  <c r="V26" i="2"/>
  <c r="X26" i="2"/>
  <c r="V131" i="2"/>
  <c r="X131" i="2"/>
  <c r="V386" i="2"/>
  <c r="X386" i="2"/>
  <c r="V187" i="2"/>
  <c r="X187" i="2"/>
  <c r="V346" i="2"/>
  <c r="X346" i="2"/>
  <c r="V555" i="2"/>
  <c r="X555" i="2"/>
  <c r="V171" i="2"/>
  <c r="X171" i="2"/>
  <c r="V403" i="2"/>
  <c r="X403" i="2"/>
  <c r="V587" i="2"/>
  <c r="X587" i="2"/>
  <c r="V298" i="2"/>
  <c r="X298" i="2"/>
  <c r="V361" i="2"/>
  <c r="X361" i="2"/>
  <c r="V139" i="2"/>
  <c r="X139" i="2"/>
  <c r="V481" i="2"/>
  <c r="X481" i="2"/>
  <c r="V449" i="2"/>
  <c r="X449" i="2"/>
  <c r="V107" i="2"/>
  <c r="X107" i="2"/>
  <c r="V561" i="2"/>
  <c r="X561" i="2"/>
  <c r="V362" i="2"/>
  <c r="X362" i="2"/>
  <c r="V499" i="2"/>
  <c r="X499" i="2"/>
  <c r="V251" i="2"/>
  <c r="X251" i="2"/>
  <c r="V569" i="2"/>
  <c r="X569" i="2"/>
  <c r="V210" i="2"/>
  <c r="X210" i="2"/>
  <c r="V306" i="2"/>
  <c r="X306" i="2"/>
  <c r="X407" i="2"/>
  <c r="V275" i="2"/>
  <c r="X275" i="2"/>
  <c r="V338" i="2"/>
  <c r="X338" i="2"/>
  <c r="V57" i="2"/>
  <c r="X57" i="2"/>
  <c r="V410" i="2"/>
  <c r="X410" i="2"/>
  <c r="V201" i="2"/>
  <c r="X201" i="2"/>
  <c r="V347" i="2"/>
  <c r="X347" i="2"/>
  <c r="V233" i="2"/>
  <c r="X233" i="2"/>
  <c r="V2" i="2"/>
  <c r="X2" i="2"/>
  <c r="Y2" i="2" s="1"/>
  <c r="X508" i="2" l="1"/>
  <c r="V340" i="2"/>
  <c r="X13" i="2"/>
  <c r="X53" i="2"/>
  <c r="V231" i="2"/>
  <c r="X574" i="2"/>
  <c r="V600" i="2"/>
  <c r="V599" i="2"/>
  <c r="X533" i="2"/>
  <c r="X222" i="2"/>
  <c r="X399" i="2"/>
  <c r="X229" i="2"/>
  <c r="X311" i="2"/>
  <c r="X96" i="2"/>
  <c r="X517" i="2"/>
  <c r="V253" i="2"/>
  <c r="V46" i="2"/>
  <c r="X549" i="2"/>
  <c r="X302" i="2"/>
  <c r="X280" i="2"/>
  <c r="X477" i="2"/>
  <c r="V480" i="2"/>
  <c r="X220" i="2"/>
  <c r="X271" i="2"/>
  <c r="X543" i="2"/>
  <c r="V350" i="2"/>
  <c r="X183" i="2"/>
  <c r="X422" i="2"/>
  <c r="X486" i="2"/>
  <c r="X358" i="2"/>
  <c r="X190" i="2"/>
  <c r="X200" i="2"/>
  <c r="X471" i="2"/>
  <c r="X303" i="2"/>
  <c r="X532" i="2"/>
  <c r="X380" i="2"/>
  <c r="X503" i="2"/>
  <c r="X245" i="2"/>
  <c r="X312" i="2"/>
  <c r="V446" i="2"/>
  <c r="V374" i="2"/>
  <c r="V301" i="2"/>
  <c r="V575" i="2"/>
  <c r="V213" i="2"/>
  <c r="X196" i="2"/>
  <c r="X24" i="2"/>
  <c r="V108" i="2"/>
  <c r="V277" i="2"/>
  <c r="X255" i="2"/>
  <c r="V270" i="2"/>
  <c r="X573" i="2"/>
  <c r="V22" i="2"/>
  <c r="X408" i="2"/>
  <c r="X174" i="2"/>
  <c r="V437" i="2"/>
  <c r="V293" i="2"/>
  <c r="V400" i="2"/>
  <c r="X520" i="2"/>
  <c r="X597" i="2"/>
  <c r="V535" i="2"/>
  <c r="X103" i="2"/>
  <c r="V580" i="2"/>
  <c r="X100" i="2"/>
  <c r="V591" i="2"/>
  <c r="X261" i="2"/>
  <c r="V567" i="2"/>
  <c r="X30" i="2"/>
  <c r="X357" i="2"/>
  <c r="V479" i="2"/>
  <c r="X136" i="2"/>
  <c r="V77" i="2"/>
  <c r="X247" i="2"/>
  <c r="X463" i="2"/>
  <c r="X510" i="2"/>
  <c r="X127" i="2"/>
  <c r="V376" i="2"/>
  <c r="V327" i="2"/>
  <c r="X69" i="2"/>
  <c r="X278" i="2"/>
  <c r="W2" i="2"/>
  <c r="V548" i="2"/>
  <c r="V319" i="2"/>
  <c r="V397" i="2"/>
  <c r="V228" i="2"/>
  <c r="X316" i="2"/>
  <c r="X366" i="2"/>
  <c r="X596" i="2"/>
  <c r="X15" i="2"/>
  <c r="V120" i="2"/>
  <c r="V239" i="2"/>
  <c r="X28" i="2"/>
  <c r="X325" i="2"/>
  <c r="X260" i="2"/>
  <c r="V94" i="2"/>
  <c r="X589" i="2"/>
  <c r="X308" i="2"/>
  <c r="X430" i="2"/>
  <c r="X478" i="2"/>
  <c r="X495" i="2"/>
  <c r="X40" i="2"/>
  <c r="X109" i="2"/>
  <c r="V252" i="2"/>
  <c r="X224" i="2"/>
  <c r="X391" i="2"/>
  <c r="X568" i="2"/>
  <c r="X448" i="2"/>
  <c r="X5" i="2"/>
  <c r="Y5" i="2" s="1"/>
  <c r="X381" i="2"/>
  <c r="X461" i="2"/>
  <c r="X31" i="2"/>
  <c r="X343" i="2"/>
  <c r="X133" i="2"/>
  <c r="X310" i="2"/>
  <c r="X198" i="2"/>
  <c r="V472" i="2"/>
  <c r="X565" i="2"/>
  <c r="X583" i="2"/>
  <c r="X527" i="2"/>
  <c r="V500" i="2"/>
  <c r="X142" i="2"/>
  <c r="X158" i="2"/>
  <c r="V92" i="2"/>
  <c r="V296" i="2"/>
  <c r="V157" i="2"/>
  <c r="X230" i="2"/>
  <c r="V55" i="2"/>
  <c r="X172" i="2"/>
  <c r="X237" i="2"/>
  <c r="X326" i="2"/>
  <c r="V542" i="2"/>
  <c r="X16" i="2"/>
  <c r="X454" i="2"/>
  <c r="X140" i="2"/>
  <c r="X429" i="2"/>
  <c r="V32" i="2"/>
  <c r="X501" i="2"/>
  <c r="V7" i="2"/>
  <c r="X117" i="2"/>
  <c r="X412" i="2"/>
  <c r="X464" i="2"/>
  <c r="X294" i="2"/>
  <c r="V300" i="2"/>
  <c r="X428" i="2"/>
  <c r="X37" i="2"/>
  <c r="V564" i="2"/>
  <c r="V102" i="2"/>
  <c r="X238" i="2"/>
  <c r="X560" i="2"/>
  <c r="X584" i="2"/>
  <c r="X70" i="2"/>
  <c r="X359" i="2"/>
  <c r="V438" i="2"/>
  <c r="V223" i="2"/>
  <c r="X558" i="2"/>
  <c r="X502" i="2"/>
  <c r="X309" i="2"/>
  <c r="V598" i="2"/>
  <c r="V332" i="2"/>
  <c r="X279" i="2"/>
  <c r="X262" i="2"/>
  <c r="V431" i="2"/>
  <c r="X254" i="2"/>
  <c r="V132" i="2"/>
  <c r="X460" i="2"/>
  <c r="X336" i="2"/>
  <c r="V414" i="2"/>
  <c r="X188" i="2"/>
  <c r="X52" i="2"/>
  <c r="X148" i="2"/>
  <c r="V214" i="2"/>
  <c r="V23" i="2"/>
  <c r="X524" i="2"/>
  <c r="V6" i="2"/>
  <c r="V175" i="2"/>
  <c r="X556" i="2"/>
  <c r="X246" i="2"/>
  <c r="V112" i="2"/>
  <c r="X375" i="2"/>
  <c r="V432" i="2"/>
  <c r="V440" i="2"/>
  <c r="X197" i="2"/>
  <c r="X232" i="2"/>
  <c r="X496" i="2"/>
  <c r="X14" i="2"/>
  <c r="X405" i="2"/>
  <c r="X592" i="2"/>
  <c r="X199" i="2"/>
  <c r="V268" i="2"/>
  <c r="V398" i="2"/>
  <c r="X526" i="2"/>
  <c r="V212" i="2"/>
  <c r="X453" i="2"/>
  <c r="X110" i="2"/>
  <c r="X151" i="2"/>
  <c r="V406" i="2"/>
  <c r="X207" i="2"/>
  <c r="X134" i="2"/>
  <c r="X173" i="2"/>
  <c r="X159" i="2"/>
  <c r="X424" i="2"/>
  <c r="X445" i="2"/>
  <c r="X494" i="2"/>
  <c r="V356" i="2"/>
  <c r="X150" i="2"/>
  <c r="X470" i="2"/>
  <c r="V182" i="2"/>
  <c r="X389" i="2"/>
  <c r="X344" i="2"/>
  <c r="X29" i="2"/>
  <c r="V215" i="2"/>
  <c r="X390" i="2"/>
  <c r="V551" i="2"/>
  <c r="V12" i="2"/>
  <c r="V124" i="2"/>
  <c r="X544" i="2"/>
  <c r="X492" i="2"/>
  <c r="V8" i="2"/>
  <c r="X518" i="2"/>
  <c r="X588" i="2"/>
  <c r="X590" i="2"/>
  <c r="X462" i="2"/>
  <c r="X165" i="2"/>
  <c r="X559" i="2"/>
  <c r="V342" i="2"/>
  <c r="X519" i="2"/>
  <c r="X269" i="2"/>
  <c r="X168" i="2"/>
  <c r="X36" i="2"/>
  <c r="X60" i="2"/>
  <c r="X88" i="2"/>
  <c r="X348" i="2"/>
  <c r="X144" i="2"/>
  <c r="X276" i="2"/>
  <c r="X436" i="2"/>
  <c r="X181" i="2"/>
  <c r="V176" i="2"/>
  <c r="X288" i="2"/>
  <c r="X413" i="2"/>
  <c r="X581" i="2"/>
  <c r="X4" i="2"/>
  <c r="Y4" i="2" s="1"/>
  <c r="X149" i="2"/>
  <c r="V189" i="2"/>
  <c r="X84" i="2"/>
  <c r="X550" i="2"/>
  <c r="V206" i="2"/>
  <c r="X119" i="2"/>
  <c r="X208" i="2"/>
  <c r="X62" i="2"/>
  <c r="X221" i="2"/>
  <c r="X383" i="2"/>
  <c r="X444" i="2"/>
  <c r="V56" i="2"/>
  <c r="X373" i="2"/>
  <c r="X287" i="2"/>
  <c r="V47" i="2"/>
  <c r="V87" i="2"/>
  <c r="X21" i="2"/>
  <c r="X388" i="2"/>
  <c r="X167" i="2"/>
  <c r="V493" i="2"/>
  <c r="V582" i="2"/>
  <c r="V364" i="2"/>
  <c r="V541" i="2"/>
  <c r="V244" i="2"/>
  <c r="X455" i="2"/>
  <c r="X476" i="2"/>
  <c r="X352" i="2"/>
  <c r="X304" i="2"/>
  <c r="X93" i="2"/>
  <c r="X39" i="2"/>
  <c r="X116" i="2"/>
  <c r="X416" i="2"/>
  <c r="X204" i="2"/>
  <c r="X48" i="2"/>
  <c r="X101" i="2"/>
  <c r="X166" i="2"/>
  <c r="X264" i="2"/>
  <c r="X557" i="2"/>
  <c r="X80" i="2"/>
  <c r="X263" i="2"/>
  <c r="X528" i="2"/>
  <c r="X552" i="2"/>
  <c r="X216" i="2"/>
  <c r="X135" i="2"/>
  <c r="X512" i="2"/>
  <c r="X404" i="2"/>
  <c r="X64" i="2"/>
  <c r="X38" i="2"/>
  <c r="X152" i="2"/>
  <c r="X504" i="2"/>
  <c r="X68" i="2"/>
  <c r="V452" i="2"/>
  <c r="X128" i="2"/>
  <c r="X351" i="2"/>
  <c r="X156" i="2"/>
  <c r="X79" i="2"/>
  <c r="X160" i="2"/>
  <c r="V292" i="2"/>
  <c r="X292" i="2"/>
  <c r="X468" i="2"/>
  <c r="X180" i="2"/>
  <c r="X286" i="2"/>
  <c r="X392" i="2"/>
  <c r="X576" i="2"/>
  <c r="X566" i="2"/>
  <c r="X367" i="2"/>
  <c r="X384" i="2"/>
  <c r="X126" i="2"/>
  <c r="X439" i="2"/>
  <c r="V63" i="2"/>
  <c r="X192" i="2"/>
  <c r="X20" i="2"/>
  <c r="X95" i="2"/>
  <c r="X382" i="2"/>
  <c r="X86" i="2"/>
  <c r="X85" i="2"/>
  <c r="X317" i="2"/>
  <c r="X320" i="2"/>
  <c r="X540" i="2"/>
  <c r="X396" i="2"/>
  <c r="X334" i="2"/>
  <c r="X488" i="2"/>
  <c r="X423" i="2"/>
  <c r="V45" i="2"/>
  <c r="V184" i="2"/>
  <c r="X324" i="2"/>
  <c r="X72" i="2"/>
  <c r="X335" i="2"/>
  <c r="X318" i="2"/>
  <c r="V516" i="2"/>
  <c r="X516" i="2"/>
  <c r="X511" i="2"/>
  <c r="X536" i="2"/>
  <c r="X572" i="2"/>
  <c r="X328" i="2"/>
  <c r="V469" i="2"/>
  <c r="X256" i="2"/>
  <c r="X54" i="2"/>
  <c r="S111" i="2"/>
  <c r="U111" i="2" s="1"/>
  <c r="X240" i="2"/>
  <c r="X525" i="2"/>
  <c r="X236" i="2"/>
  <c r="X141" i="2"/>
  <c r="X487" i="2"/>
  <c r="X333" i="2"/>
  <c r="X191" i="2"/>
  <c r="X61" i="2"/>
  <c r="X125" i="2"/>
  <c r="X421" i="2"/>
  <c r="X341" i="2"/>
  <c r="X484" i="2"/>
  <c r="X415" i="2"/>
  <c r="S143" i="2"/>
  <c r="U143" i="2" s="1"/>
  <c r="V285" i="2"/>
  <c r="X285" i="2"/>
  <c r="X447" i="2"/>
  <c r="V447" i="2"/>
  <c r="X456" i="2"/>
  <c r="V368" i="2"/>
  <c r="X368" i="2"/>
  <c r="X76" i="2"/>
  <c r="V76" i="2"/>
  <c r="X71" i="2"/>
  <c r="V71" i="2"/>
  <c r="X372" i="2"/>
  <c r="X118" i="2"/>
  <c r="X485" i="2"/>
  <c r="X78" i="2"/>
  <c r="V104" i="2"/>
  <c r="X104" i="2"/>
  <c r="V284" i="2"/>
  <c r="X284" i="2"/>
  <c r="X534" i="2"/>
  <c r="V534" i="2"/>
  <c r="X295" i="2"/>
  <c r="X205" i="2"/>
  <c r="X248" i="2"/>
  <c r="X509" i="2"/>
  <c r="X272" i="2"/>
  <c r="V365" i="2"/>
  <c r="X365" i="2"/>
  <c r="X420" i="2"/>
  <c r="X360" i="2"/>
  <c r="V360" i="2"/>
  <c r="V111" i="2" l="1"/>
  <c r="X111" i="2"/>
  <c r="V143" i="2"/>
  <c r="X14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<sst xmlns="http://schemas.openxmlformats.org/spreadsheetml/2006/main" count="190" uniqueCount="126">
  <si>
    <t>V_in</t>
  </si>
  <si>
    <t>V_in0</t>
  </si>
  <si>
    <t>Point</t>
  </si>
  <si>
    <t>T_test</t>
  </si>
  <si>
    <t>E_V_in</t>
  </si>
  <si>
    <t>V_ref-</t>
  </si>
  <si>
    <t>V_ref+</t>
  </si>
  <si>
    <t>Bit</t>
  </si>
  <si>
    <t>D_out</t>
  </si>
  <si>
    <t>D_out_rnd</t>
  </si>
  <si>
    <t>D_bit</t>
  </si>
  <si>
    <t>T_test_error</t>
  </si>
  <si>
    <t>VDD</t>
  </si>
  <si>
    <t>GND</t>
  </si>
  <si>
    <t>FSR</t>
  </si>
  <si>
    <t>DR</t>
  </si>
  <si>
    <t>Offset Error</t>
  </si>
  <si>
    <t>LSB</t>
  </si>
  <si>
    <t>LSB/°C</t>
  </si>
  <si>
    <t>Offsetpower-supplyrejection</t>
  </si>
  <si>
    <t>LSB/V</t>
  </si>
  <si>
    <t>SPS</t>
  </si>
  <si>
    <t>Bits</t>
  </si>
  <si>
    <t>Resolution</t>
  </si>
  <si>
    <t>% (FS=±2.048Vat25°C)</t>
  </si>
  <si>
    <t>Gain drift</t>
  </si>
  <si>
    <t>Gain error</t>
  </si>
  <si>
    <t>Offset drift</t>
  </si>
  <si>
    <t>ppm/°C</t>
  </si>
  <si>
    <t>Gainpower-supplyrejection</t>
  </si>
  <si>
    <t>ppm/V</t>
  </si>
  <si>
    <t>Common-moderejection</t>
  </si>
  <si>
    <t>dB</t>
  </si>
  <si>
    <t>DIGITAL INPUT/OUTPUT</t>
  </si>
  <si>
    <t>VIH</t>
  </si>
  <si>
    <t>0.7VDD</t>
  </si>
  <si>
    <t>VIL</t>
  </si>
  <si>
    <t>GND-0.5</t>
  </si>
  <si>
    <t>0.3VDD</t>
  </si>
  <si>
    <t>Quá trình Calib</t>
  </si>
  <si>
    <t>raw_zero_25</t>
  </si>
  <si>
    <t>raw_full_25</t>
  </si>
  <si>
    <t>raw_zero_20</t>
  </si>
  <si>
    <t>raw_full_20</t>
  </si>
  <si>
    <t>raw_zero_50</t>
  </si>
  <si>
    <t>raw_full_50</t>
  </si>
  <si>
    <t>raw_zero_80</t>
  </si>
  <si>
    <t>raw_full_80</t>
  </si>
  <si>
    <t>Measurament</t>
  </si>
  <si>
    <t>Standard</t>
  </si>
  <si>
    <t>V_i_error</t>
  </si>
  <si>
    <t>Error</t>
  </si>
  <si>
    <t>E_V_error</t>
  </si>
  <si>
    <t>Step</t>
  </si>
  <si>
    <t>T_s</t>
  </si>
  <si>
    <t>T_i</t>
  </si>
  <si>
    <t>T_error_ab</t>
  </si>
  <si>
    <t>T_error_re</t>
  </si>
  <si>
    <t>V_s</t>
  </si>
  <si>
    <t>V_i</t>
  </si>
  <si>
    <t>V_error_re</t>
  </si>
  <si>
    <t>V_error_re_max</t>
  </si>
  <si>
    <t>V_error_re_min</t>
  </si>
  <si>
    <t>ADC - ADS1115</t>
  </si>
  <si>
    <t>Offset Voltage_for_T</t>
  </si>
  <si>
    <t>V</t>
  </si>
  <si>
    <t>Gain Error for T</t>
  </si>
  <si>
    <t>%</t>
  </si>
  <si>
    <t>T_calib</t>
  </si>
  <si>
    <t>Delat_T</t>
  </si>
  <si>
    <t>V_offset</t>
  </si>
  <si>
    <t>Gain_drift</t>
  </si>
  <si>
    <t>V_adc</t>
  </si>
  <si>
    <t>D_out_f</t>
  </si>
  <si>
    <t>INL</t>
  </si>
  <si>
    <t>Random_Noise</t>
  </si>
  <si>
    <t>V_adc_noadjust</t>
  </si>
  <si>
    <t>V_adc_adjust</t>
  </si>
  <si>
    <t>Error_V_adc_noadjust</t>
  </si>
  <si>
    <t>Requirement</t>
  </si>
  <si>
    <t>ERROR</t>
  </si>
  <si>
    <t>ADC</t>
  </si>
  <si>
    <t>Min</t>
  </si>
  <si>
    <t>Typ</t>
  </si>
  <si>
    <t>Max</t>
  </si>
  <si>
    <t>Analog_In_V_to_GND</t>
  </si>
  <si>
    <t>Temperature</t>
  </si>
  <si>
    <t>độ C</t>
  </si>
  <si>
    <t>PGA (program gain amplifier)</t>
  </si>
  <si>
    <t>FS (Full-Scale)</t>
  </si>
  <si>
    <t>Unit</t>
  </si>
  <si>
    <t>Common-Mode Input Impedance</t>
  </si>
  <si>
    <t>Ohm</t>
  </si>
  <si>
    <t>DR (Data Rate)</t>
  </si>
  <si>
    <t>Range_Temperature</t>
  </si>
  <si>
    <t>Gain Drift</t>
  </si>
  <si>
    <t>%/độ C</t>
  </si>
  <si>
    <t>Common Mode Rejection</t>
  </si>
  <si>
    <t>Tại FS = 6.144</t>
  </si>
  <si>
    <t>Digital Input/Output</t>
  </si>
  <si>
    <t>V_IH</t>
  </si>
  <si>
    <t>V_IL</t>
  </si>
  <si>
    <t>Offset Voltage</t>
  </si>
  <si>
    <t>Gain Error</t>
  </si>
  <si>
    <t>INL _vs_VoltageSupply</t>
  </si>
  <si>
    <t>INL_vs_Temperature</t>
  </si>
  <si>
    <t>Offset_Vol</t>
  </si>
  <si>
    <t>Gain_Error</t>
  </si>
  <si>
    <t>Calibration</t>
  </si>
  <si>
    <t>Value_Standard</t>
  </si>
  <si>
    <t>Value_Measurement</t>
  </si>
  <si>
    <t>V_i_ADC</t>
  </si>
  <si>
    <t>G_E</t>
  </si>
  <si>
    <t>Error_V_i_ADC</t>
  </si>
  <si>
    <t>Digtal output</t>
  </si>
  <si>
    <t>Input Signal (V_i)</t>
  </si>
  <si>
    <t>&gt;= FS(2^15-1)/(2^15)</t>
  </si>
  <si>
    <t>Offset Drift</t>
  </si>
  <si>
    <t>LSB/độ C</t>
  </si>
  <si>
    <t>FS = 6.144V</t>
  </si>
  <si>
    <t>Offset power supply rejection</t>
  </si>
  <si>
    <t>VDD = 5.5V</t>
  </si>
  <si>
    <t>D_cal_error</t>
  </si>
  <si>
    <t>BIN</t>
  </si>
  <si>
    <t>Cal_V</t>
  </si>
  <si>
    <t>Cal_Temp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</si>
</sst>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0.00000000000"/>
    <numFmt numFmtId="165" formatCode="0.000%"/>
    <numFmt numFmtId="166" formatCode="0.0000%"/>
    <numFmt numFmtId="167" formatCode="0.000000E+00"/>
    <numFmt numFmtId="168" formatCode="0.000000"/>
    <numFmt numFmtId="169" formatCode="0.000000%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A5A5A5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2" borderId="0" applyNumberFormat="0" applyBorder="0" applyAlignment="0" applyProtection="0"/>
    <xf numFmtId="0" fontId="4" fillId="3" borderId="1" applyNumberFormat="0" applyAlignment="0" applyProtection="0"/>
    <xf numFmtId="0" fontId="6" fillId="7" borderId="2" applyNumberFormat="0" applyAlignment="0" applyProtection="0"/>
  </cellStyleXfs>
  <cellXfs count="28">
    <xf numFmtId="0" fontId="0" fillId="0" borderId="0" xfId="0"/>
    <xf numFmtId="164" fontId="0" fillId="0" borderId="0" xfId="0" applyNumberFormat="1"/>
    <xf numFmtId="0" fontId="1" fillId="0" borderId="0" xfId="0" applyFont="1"/>
    <xf numFmtId="9" fontId="0" fillId="0" borderId="0" xfId="2" applyFont="1"/>
    <xf numFmtId="165" fontId="0" fillId="0" borderId="0" xfId="2" applyNumberFormat="1" applyFont="1"/>
    <xf numFmtId="166" fontId="0" fillId="0" borderId="0" xfId="2" applyNumberFormat="1" applyFont="1"/>
    <xf numFmtId="167" fontId="0" fillId="0" borderId="0" xfId="0" applyNumberFormat="1"/>
    <xf numFmtId="9" fontId="0" fillId="0" borderId="0" xfId="0" applyNumberFormat="1"/>
    <xf numFmtId="2" fontId="0" fillId="0" borderId="0" xfId="1" applyNumberFormat="1" applyFont="1"/>
    <xf numFmtId="0" fontId="0" fillId="0" borderId="0" xfId="2" applyNumberFormat="1" applyFont="1"/>
    <xf numFmtId="168" fontId="0" fillId="0" borderId="0" xfId="0" applyNumberFormat="1"/>
    <xf numFmtId="0" fontId="3" fillId="2" borderId="0" xfId="3"/>
    <xf numFmtId="168" fontId="3" fillId="2" borderId="0" xfId="3" applyNumberFormat="1"/>
    <xf numFmtId="0" fontId="4" fillId="3" borderId="1" xfId="4"/>
    <xf numFmtId="0" fontId="0" fillId="4" borderId="0" xfId="0" applyFill="1"/>
    <xf numFmtId="10" fontId="0" fillId="0" borderId="0" xfId="0" applyNumberFormat="1"/>
    <xf numFmtId="169" fontId="0" fillId="0" borderId="0" xfId="0" applyNumberFormat="1"/>
    <xf numFmtId="169" fontId="0" fillId="0" borderId="0" xfId="2" applyNumberFormat="1" applyFont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6" fillId="7" borderId="2" xfId="5"/>
    <xf numFmtId="0" fontId="0" fillId="5" borderId="0" xfId="0" applyFill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 vertical="center"/>
    </xf>
  </cellXfs>
  <cellStyles count="6">
    <cellStyle name="Check Cell" xfId="5" builtinId="23"/>
    <cellStyle name="Comma" xfId="1" builtinId="3"/>
    <cellStyle name="Input" xfId="4" builtinId="20"/>
    <cellStyle name="Neutral" xfId="3" builtinId="2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7E4DC-5EE8-4453-A34C-599724914DD1}">
  <sheetPr codeName="Sheet1"/>
  <dimension ref="A1:O602"/>
  <sheetViews>
    <sheetView workbookViewId="0">
      <pane ySplit="1" topLeftCell="A2" activePane="bottomLeft" state="frozen"/>
      <selection pane="bottomLeft" activeCell="A25" sqref="A25:A32"/>
    </sheetView>
  </sheetViews>
  <sheetFormatPr defaultRowHeight="15" x14ac:dyDescent="0.25"/>
  <cols>
    <col min="1" max="1" width="33.85546875" customWidth="1"/>
    <col min="2" max="2" width="21.140625" customWidth="1"/>
    <col min="3" max="3" width="26.42578125" customWidth="1"/>
    <col min="6" max="6" width="11.5703125" customWidth="1"/>
    <col min="7" max="7" width="18.140625" customWidth="1"/>
    <col min="8" max="8" width="14.7109375" customWidth="1"/>
    <col min="9" max="11" width="15.140625" customWidth="1"/>
    <col min="12" max="12" width="14.140625" customWidth="1"/>
    <col min="13" max="13" width="12.85546875" customWidth="1"/>
    <col min="14" max="14" width="28.28515625" customWidth="1"/>
    <col min="15" max="15" width="15.28515625" customWidth="1"/>
  </cols>
  <sheetData>
    <row r="1" spans="1:15" x14ac:dyDescent="0.25">
      <c r="A1" t="s">
        <v>51</v>
      </c>
      <c r="B1" s="7">
        <v>0.05</v>
      </c>
      <c r="D1" t="s">
        <v>2</v>
      </c>
      <c r="E1" t="s">
        <v>3</v>
      </c>
      <c r="F1" t="s">
        <v>11</v>
      </c>
      <c r="G1" t="s">
        <v>1</v>
      </c>
      <c r="H1" t="s">
        <v>0</v>
      </c>
      <c r="I1" t="s">
        <v>4</v>
      </c>
      <c r="J1" t="s">
        <v>50</v>
      </c>
      <c r="K1" t="s">
        <v>52</v>
      </c>
      <c r="L1" t="s">
        <v>8</v>
      </c>
      <c r="M1" t="s">
        <v>9</v>
      </c>
      <c r="N1" t="s">
        <v>10</v>
      </c>
    </row>
    <row r="2" spans="1:15" x14ac:dyDescent="0.25">
      <c r="A2" t="s">
        <v>5</v>
      </c>
      <c r="B2">
        <v>-0.5</v>
      </c>
      <c r="C2" s="5">
        <f ca="1">ABS(E2-F2)/E2</f>
        <v>0</v>
      </c>
      <c r="D2">
        <v>0</v>
      </c>
      <c r="E2">
        <f>0.1*D2+20</f>
        <v>20</v>
      </c>
      <c r="F2">
        <f ca="1">0.1*D2+20 + (RANDBETWEEN(-5,5)/100)*D2</f>
        <v>20</v>
      </c>
      <c r="G2" s="1">
        <f>1/12*E2-5/3</f>
        <v>0</v>
      </c>
      <c r="H2" s="6">
        <f ca="1">1/12*F2-5/3</f>
        <v>0</v>
      </c>
      <c r="I2" s="5">
        <f ca="1">ABS(G2-H2)</f>
        <v>0</v>
      </c>
      <c r="J2" s="8">
        <f ca="1" xml:space="preserve"> G2 * (1 + $B$1 * IF(RANDBETWEEN(0,1)=0,-1,1))</f>
        <v>0</v>
      </c>
      <c r="K2" s="5">
        <f ca="1">ABS(G2-J2)</f>
        <v>0</v>
      </c>
      <c r="L2">
        <f ca="1">(H2-$B$2)/($B$3-$B$2)*(2^$B$4)</f>
        <v>5461.333333333333</v>
      </c>
      <c r="M2">
        <f ca="1">ROUND(L2,0)</f>
        <v>5461</v>
      </c>
      <c r="N2" t="str">
        <f ca="1">_xlfn.BASE(M2,2,$B$4)</f>
        <v>0001010101010101</v>
      </c>
      <c r="O2">
        <f ca="1">VALUE(LEFT(N2,9))</f>
        <v>101010</v>
      </c>
    </row>
    <row r="3" spans="1:15" x14ac:dyDescent="0.25">
      <c r="A3" t="s">
        <v>6</v>
      </c>
      <c r="B3">
        <v>5.5</v>
      </c>
      <c r="C3" s="5">
        <f t="shared" ref="C3:C6" ca="1" si="0">ABS(E3-F3)/E3</f>
        <v>4.9751243781102298E-4</v>
      </c>
      <c r="D3">
        <v>1</v>
      </c>
      <c r="E3">
        <f t="shared" ref="E3:E66" si="1">0.1*D3+20</f>
        <v>20.100000000000001</v>
      </c>
      <c r="F3">
        <f t="shared" ref="F3:F66" ca="1" si="2">0.1*D3+20 + (RANDBETWEEN(-5,5)/100)*D3</f>
        <v>20.09</v>
      </c>
      <c r="G3" s="1">
        <f t="shared" ref="G3:G66" si="3">1/12*E3-5/3</f>
        <v>8.3333333333333037E-3</v>
      </c>
      <c r="H3" s="6">
        <f t="shared" ref="H3:H66" ca="1" si="4">1/12*F3-5/3</f>
        <v>7.4999999999998401E-3</v>
      </c>
      <c r="I3" s="5">
        <f ca="1">ABS(G3-H3)</f>
        <v>8.333333333334636E-4</v>
      </c>
      <c r="J3" s="8">
        <f t="shared" ref="J3:J66" ca="1" si="5" xml:space="preserve"> G3 * (1 + $B$1 * IF(RANDBETWEEN(0,1)=0,-1,1))</f>
        <v>8.7499999999999696E-3</v>
      </c>
      <c r="K3" s="5">
        <f t="shared" ref="K3:K66" ca="1" si="6">ABS(G3-J3)</f>
        <v>4.1666666666666588E-4</v>
      </c>
      <c r="L3">
        <f t="shared" ref="L3:L66" ca="1" si="7">(H3-$B$2)/($B$3-$B$2)*(2^$B$4)</f>
        <v>5543.2533333333313</v>
      </c>
      <c r="M3">
        <f t="shared" ref="M3:M66" ca="1" si="8">ROUND(L3,0)</f>
        <v>5543</v>
      </c>
      <c r="N3" t="str">
        <f t="shared" ref="N3:N66" ca="1" si="9">_xlfn.BASE(M3,2,$B$4)</f>
        <v>0001010110100111</v>
      </c>
      <c r="O3">
        <f t="shared" ref="O3:O66" ca="1" si="10">VALUE(LEFT(N3,9))</f>
        <v>101011</v>
      </c>
    </row>
    <row r="4" spans="1:15" x14ac:dyDescent="0.25">
      <c r="A4" t="s">
        <v>7</v>
      </c>
      <c r="B4">
        <v>16</v>
      </c>
      <c r="C4" s="5">
        <f t="shared" ca="1" si="0"/>
        <v>9.9009900990096908E-4</v>
      </c>
      <c r="D4">
        <v>2</v>
      </c>
      <c r="E4">
        <f t="shared" si="1"/>
        <v>20.2</v>
      </c>
      <c r="F4">
        <f t="shared" ca="1" si="2"/>
        <v>20.18</v>
      </c>
      <c r="G4" s="1">
        <f t="shared" si="3"/>
        <v>1.6666666666666385E-2</v>
      </c>
      <c r="H4" s="6">
        <f t="shared" ca="1" si="4"/>
        <v>1.4999999999999902E-2</v>
      </c>
      <c r="I4" s="5">
        <f t="shared" ref="I4:I66" ca="1" si="11">ABS(G4-H4)</f>
        <v>1.6666666666664831E-3</v>
      </c>
      <c r="J4" s="8">
        <f t="shared" ca="1" si="5"/>
        <v>1.5833333333333064E-2</v>
      </c>
      <c r="K4" s="5">
        <f t="shared" ca="1" si="6"/>
        <v>8.3333333333332135E-4</v>
      </c>
      <c r="L4">
        <f t="shared" ca="1" si="7"/>
        <v>5625.1733333333323</v>
      </c>
      <c r="M4">
        <f t="shared" ca="1" si="8"/>
        <v>5625</v>
      </c>
      <c r="N4" t="str">
        <f t="shared" ca="1" si="9"/>
        <v>0001010111111001</v>
      </c>
      <c r="O4">
        <f t="shared" ca="1" si="10"/>
        <v>101011</v>
      </c>
    </row>
    <row r="5" spans="1:15" x14ac:dyDescent="0.25">
      <c r="A5" t="s">
        <v>12</v>
      </c>
      <c r="B5">
        <v>5</v>
      </c>
      <c r="C5" s="5">
        <f t="shared" ca="1" si="0"/>
        <v>7.3891625615762841E-3</v>
      </c>
      <c r="D5">
        <v>3</v>
      </c>
      <c r="E5">
        <f t="shared" si="1"/>
        <v>20.3</v>
      </c>
      <c r="F5">
        <f t="shared" ca="1" si="2"/>
        <v>20.45</v>
      </c>
      <c r="G5" s="1">
        <f t="shared" si="3"/>
        <v>2.4999999999999911E-2</v>
      </c>
      <c r="H5" s="6">
        <f t="shared" ca="1" si="4"/>
        <v>3.7499999999999867E-2</v>
      </c>
      <c r="I5" s="5">
        <f t="shared" ca="1" si="11"/>
        <v>1.2499999999999956E-2</v>
      </c>
      <c r="J5" s="8">
        <f t="shared" ca="1" si="5"/>
        <v>2.3749999999999914E-2</v>
      </c>
      <c r="K5" s="5">
        <f t="shared" ca="1" si="6"/>
        <v>1.2499999999999976E-3</v>
      </c>
      <c r="L5">
        <f t="shared" ca="1" si="7"/>
        <v>5870.9333333333316</v>
      </c>
      <c r="M5">
        <f t="shared" ca="1" si="8"/>
        <v>5871</v>
      </c>
      <c r="N5" t="str">
        <f t="shared" ca="1" si="9"/>
        <v>0001011011101111</v>
      </c>
      <c r="O5">
        <f t="shared" ca="1" si="10"/>
        <v>101101</v>
      </c>
    </row>
    <row r="6" spans="1:15" x14ac:dyDescent="0.25">
      <c r="A6" t="s">
        <v>13</v>
      </c>
      <c r="B6">
        <v>0</v>
      </c>
      <c r="C6" s="5">
        <f t="shared" ca="1" si="0"/>
        <v>9.8039215686274161E-3</v>
      </c>
      <c r="D6">
        <v>4</v>
      </c>
      <c r="E6">
        <f t="shared" si="1"/>
        <v>20.399999999999999</v>
      </c>
      <c r="F6">
        <f t="shared" ca="1" si="2"/>
        <v>20.2</v>
      </c>
      <c r="G6" s="1">
        <f t="shared" si="3"/>
        <v>3.3333333333332993E-2</v>
      </c>
      <c r="H6" s="6">
        <f t="shared" ca="1" si="4"/>
        <v>1.6666666666666385E-2</v>
      </c>
      <c r="I6" s="5">
        <f t="shared" ca="1" si="11"/>
        <v>1.6666666666666607E-2</v>
      </c>
      <c r="J6" s="8">
        <f t="shared" ca="1" si="5"/>
        <v>3.4999999999999643E-2</v>
      </c>
      <c r="K6" s="5">
        <f t="shared" ca="1" si="6"/>
        <v>1.6666666666666496E-3</v>
      </c>
      <c r="L6">
        <f t="shared" ca="1" si="7"/>
        <v>5643.377777777775</v>
      </c>
      <c r="M6">
        <f t="shared" ca="1" si="8"/>
        <v>5643</v>
      </c>
      <c r="N6" t="str">
        <f t="shared" ca="1" si="9"/>
        <v>0001011000001011</v>
      </c>
      <c r="O6">
        <f t="shared" ca="1" si="10"/>
        <v>101100</v>
      </c>
    </row>
    <row r="7" spans="1:15" x14ac:dyDescent="0.25">
      <c r="A7" t="s">
        <v>23</v>
      </c>
      <c r="B7">
        <v>16</v>
      </c>
      <c r="C7" t="s">
        <v>22</v>
      </c>
      <c r="D7">
        <v>5</v>
      </c>
      <c r="E7">
        <f t="shared" si="1"/>
        <v>20.5</v>
      </c>
      <c r="F7">
        <f t="shared" ca="1" si="2"/>
        <v>20.45</v>
      </c>
      <c r="G7" s="1">
        <f t="shared" si="3"/>
        <v>4.1666666666666519E-2</v>
      </c>
      <c r="H7" s="6">
        <f t="shared" ca="1" si="4"/>
        <v>3.7499999999999867E-2</v>
      </c>
      <c r="I7" s="5">
        <f t="shared" ca="1" si="11"/>
        <v>4.1666666666666519E-3</v>
      </c>
      <c r="J7" s="8">
        <f t="shared" ca="1" si="5"/>
        <v>3.9583333333333193E-2</v>
      </c>
      <c r="K7" s="5">
        <f t="shared" ca="1" si="6"/>
        <v>2.0833333333333259E-3</v>
      </c>
      <c r="L7">
        <f t="shared" ca="1" si="7"/>
        <v>5870.9333333333316</v>
      </c>
      <c r="M7">
        <f t="shared" ca="1" si="8"/>
        <v>5871</v>
      </c>
      <c r="N7" t="str">
        <f t="shared" ca="1" si="9"/>
        <v>0001011011101111</v>
      </c>
      <c r="O7">
        <f t="shared" ca="1" si="10"/>
        <v>101101</v>
      </c>
    </row>
    <row r="8" spans="1:15" x14ac:dyDescent="0.25">
      <c r="A8" t="s">
        <v>14</v>
      </c>
      <c r="B8">
        <v>6.1440000000000001</v>
      </c>
      <c r="D8">
        <v>6</v>
      </c>
      <c r="E8">
        <f t="shared" si="1"/>
        <v>20.6</v>
      </c>
      <c r="F8">
        <f t="shared" ca="1" si="2"/>
        <v>20.900000000000002</v>
      </c>
      <c r="G8" s="1">
        <f t="shared" si="3"/>
        <v>5.0000000000000044E-2</v>
      </c>
      <c r="H8" s="6">
        <f t="shared" ca="1" si="4"/>
        <v>7.4999999999999956E-2</v>
      </c>
      <c r="I8" s="5">
        <f t="shared" ca="1" si="11"/>
        <v>2.4999999999999911E-2</v>
      </c>
      <c r="J8" s="8">
        <f t="shared" ca="1" si="5"/>
        <v>4.7500000000000042E-2</v>
      </c>
      <c r="K8" s="5">
        <f t="shared" ca="1" si="6"/>
        <v>2.5000000000000022E-3</v>
      </c>
      <c r="L8">
        <f t="shared" ca="1" si="7"/>
        <v>6280.5333333333328</v>
      </c>
      <c r="M8">
        <f t="shared" ca="1" si="8"/>
        <v>6281</v>
      </c>
      <c r="N8" t="str">
        <f t="shared" ca="1" si="9"/>
        <v>0001100010001001</v>
      </c>
      <c r="O8">
        <f t="shared" ca="1" si="10"/>
        <v>110001</v>
      </c>
    </row>
    <row r="9" spans="1:15" x14ac:dyDescent="0.25">
      <c r="A9" t="s">
        <v>15</v>
      </c>
      <c r="B9">
        <v>250</v>
      </c>
      <c r="C9" t="s">
        <v>21</v>
      </c>
      <c r="D9">
        <v>7</v>
      </c>
      <c r="E9">
        <f t="shared" si="1"/>
        <v>20.7</v>
      </c>
      <c r="F9">
        <f t="shared" ca="1" si="2"/>
        <v>20.349999999999998</v>
      </c>
      <c r="G9" s="1">
        <f t="shared" si="3"/>
        <v>5.8333333333333126E-2</v>
      </c>
      <c r="H9" s="6">
        <f t="shared" ca="1" si="4"/>
        <v>2.9166666666666341E-2</v>
      </c>
      <c r="I9" s="5">
        <f t="shared" ca="1" si="11"/>
        <v>2.9166666666666785E-2</v>
      </c>
      <c r="J9" s="8">
        <f t="shared" ca="1" si="5"/>
        <v>6.1249999999999784E-2</v>
      </c>
      <c r="K9" s="5">
        <f t="shared" ca="1" si="6"/>
        <v>2.9166666666666577E-3</v>
      </c>
      <c r="L9">
        <f t="shared" ca="1" si="7"/>
        <v>5779.9111111111079</v>
      </c>
      <c r="M9">
        <f t="shared" ca="1" si="8"/>
        <v>5780</v>
      </c>
      <c r="N9" t="str">
        <f t="shared" ca="1" si="9"/>
        <v>0001011010010100</v>
      </c>
      <c r="O9">
        <f t="shared" ca="1" si="10"/>
        <v>101101</v>
      </c>
    </row>
    <row r="10" spans="1:15" x14ac:dyDescent="0.25">
      <c r="A10" t="s">
        <v>16</v>
      </c>
      <c r="B10">
        <v>3</v>
      </c>
      <c r="C10" t="s">
        <v>17</v>
      </c>
      <c r="D10">
        <v>8</v>
      </c>
      <c r="E10">
        <f t="shared" si="1"/>
        <v>20.8</v>
      </c>
      <c r="F10">
        <f t="shared" ca="1" si="2"/>
        <v>21.12</v>
      </c>
      <c r="G10" s="1">
        <f t="shared" si="3"/>
        <v>6.6666666666666652E-2</v>
      </c>
      <c r="H10" s="6">
        <f t="shared" ca="1" si="4"/>
        <v>9.3333333333333268E-2</v>
      </c>
      <c r="I10" s="5">
        <f t="shared" ca="1" si="11"/>
        <v>2.6666666666666616E-2</v>
      </c>
      <c r="J10" s="8">
        <f t="shared" ca="1" si="5"/>
        <v>6.9999999999999993E-2</v>
      </c>
      <c r="K10" s="5">
        <f t="shared" ca="1" si="6"/>
        <v>3.3333333333333409E-3</v>
      </c>
      <c r="L10">
        <f t="shared" ca="1" si="7"/>
        <v>6480.7822222222212</v>
      </c>
      <c r="M10">
        <f t="shared" ca="1" si="8"/>
        <v>6481</v>
      </c>
      <c r="N10" t="str">
        <f t="shared" ca="1" si="9"/>
        <v>0001100101010001</v>
      </c>
      <c r="O10">
        <f t="shared" ca="1" si="10"/>
        <v>110010</v>
      </c>
    </row>
    <row r="11" spans="1:15" x14ac:dyDescent="0.25">
      <c r="A11" t="s">
        <v>27</v>
      </c>
      <c r="B11">
        <v>5.0000000000000001E-3</v>
      </c>
      <c r="C11" t="s">
        <v>18</v>
      </c>
      <c r="D11">
        <v>9</v>
      </c>
      <c r="E11">
        <f t="shared" si="1"/>
        <v>20.9</v>
      </c>
      <c r="F11">
        <f t="shared" ca="1" si="2"/>
        <v>20.45</v>
      </c>
      <c r="G11" s="1">
        <f t="shared" si="3"/>
        <v>7.4999999999999734E-2</v>
      </c>
      <c r="H11" s="6">
        <f t="shared" ca="1" si="4"/>
        <v>3.7499999999999867E-2</v>
      </c>
      <c r="I11" s="5">
        <f t="shared" ca="1" si="11"/>
        <v>3.7499999999999867E-2</v>
      </c>
      <c r="J11" s="8">
        <f t="shared" ca="1" si="5"/>
        <v>7.8749999999999723E-2</v>
      </c>
      <c r="K11" s="5">
        <f t="shared" ca="1" si="6"/>
        <v>3.7499999999999895E-3</v>
      </c>
      <c r="L11">
        <f t="shared" ca="1" si="7"/>
        <v>5870.9333333333316</v>
      </c>
      <c r="M11">
        <f t="shared" ca="1" si="8"/>
        <v>5871</v>
      </c>
      <c r="N11" t="str">
        <f t="shared" ca="1" si="9"/>
        <v>0001011011101111</v>
      </c>
      <c r="O11">
        <f t="shared" ca="1" si="10"/>
        <v>101101</v>
      </c>
    </row>
    <row r="12" spans="1:15" x14ac:dyDescent="0.25">
      <c r="A12" t="s">
        <v>19</v>
      </c>
      <c r="B12">
        <v>1</v>
      </c>
      <c r="C12" t="s">
        <v>20</v>
      </c>
      <c r="D12">
        <v>10</v>
      </c>
      <c r="E12">
        <f t="shared" si="1"/>
        <v>21</v>
      </c>
      <c r="F12">
        <f t="shared" ca="1" si="2"/>
        <v>21.1</v>
      </c>
      <c r="G12" s="1">
        <f t="shared" si="3"/>
        <v>8.3333333333333259E-2</v>
      </c>
      <c r="H12" s="6">
        <f t="shared" ca="1" si="4"/>
        <v>9.1666666666666563E-2</v>
      </c>
      <c r="I12" s="5">
        <f t="shared" ca="1" si="11"/>
        <v>8.3333333333333037E-3</v>
      </c>
      <c r="J12" s="8">
        <f t="shared" ca="1" si="5"/>
        <v>8.7499999999999925E-2</v>
      </c>
      <c r="K12" s="5">
        <f t="shared" ca="1" si="6"/>
        <v>4.1666666666666657E-3</v>
      </c>
      <c r="L12">
        <f t="shared" ca="1" si="7"/>
        <v>6462.5777777777766</v>
      </c>
      <c r="M12">
        <f t="shared" ca="1" si="8"/>
        <v>6463</v>
      </c>
      <c r="N12" t="str">
        <f t="shared" ca="1" si="9"/>
        <v>0001100100111111</v>
      </c>
      <c r="O12">
        <f t="shared" ca="1" si="10"/>
        <v>110010</v>
      </c>
    </row>
    <row r="13" spans="1:15" x14ac:dyDescent="0.25">
      <c r="A13" t="s">
        <v>26</v>
      </c>
      <c r="B13">
        <v>0.15</v>
      </c>
      <c r="C13" t="s">
        <v>24</v>
      </c>
      <c r="D13">
        <v>11</v>
      </c>
      <c r="E13">
        <f t="shared" si="1"/>
        <v>21.1</v>
      </c>
      <c r="F13">
        <f t="shared" ca="1" si="2"/>
        <v>21.32</v>
      </c>
      <c r="G13" s="1">
        <f t="shared" si="3"/>
        <v>9.1666666666666563E-2</v>
      </c>
      <c r="H13" s="6">
        <f t="shared" ca="1" si="4"/>
        <v>0.10999999999999988</v>
      </c>
      <c r="I13" s="5">
        <f t="shared" ca="1" si="11"/>
        <v>1.8333333333333313E-2</v>
      </c>
      <c r="J13" s="8">
        <f t="shared" ca="1" si="5"/>
        <v>8.7083333333333235E-2</v>
      </c>
      <c r="K13" s="5">
        <f t="shared" ca="1" si="6"/>
        <v>4.5833333333333282E-3</v>
      </c>
      <c r="L13">
        <f t="shared" ca="1" si="7"/>
        <v>6662.826666666665</v>
      </c>
      <c r="M13">
        <f t="shared" ca="1" si="8"/>
        <v>6663</v>
      </c>
      <c r="N13" t="str">
        <f t="shared" ca="1" si="9"/>
        <v>0001101000000111</v>
      </c>
      <c r="O13">
        <f t="shared" ca="1" si="10"/>
        <v>110100</v>
      </c>
    </row>
    <row r="14" spans="1:15" x14ac:dyDescent="0.25">
      <c r="A14" t="s">
        <v>25</v>
      </c>
      <c r="B14">
        <v>5</v>
      </c>
      <c r="C14" t="s">
        <v>28</v>
      </c>
      <c r="D14">
        <v>12</v>
      </c>
      <c r="E14">
        <f t="shared" si="1"/>
        <v>21.2</v>
      </c>
      <c r="F14">
        <f t="shared" ca="1" si="2"/>
        <v>20.72</v>
      </c>
      <c r="G14" s="1">
        <f t="shared" si="3"/>
        <v>9.9999999999999867E-2</v>
      </c>
      <c r="H14" s="6">
        <f t="shared" ca="1" si="4"/>
        <v>5.9999999999999831E-2</v>
      </c>
      <c r="I14" s="5">
        <f t="shared" ca="1" si="11"/>
        <v>4.0000000000000036E-2</v>
      </c>
      <c r="J14" s="8">
        <f t="shared" ca="1" si="5"/>
        <v>0.10499999999999987</v>
      </c>
      <c r="K14" s="5">
        <f t="shared" ca="1" si="6"/>
        <v>5.0000000000000044E-3</v>
      </c>
      <c r="L14">
        <f t="shared" ca="1" si="7"/>
        <v>6116.6933333333318</v>
      </c>
      <c r="M14">
        <f t="shared" ca="1" si="8"/>
        <v>6117</v>
      </c>
      <c r="N14" t="str">
        <f t="shared" ca="1" si="9"/>
        <v>0001011111100101</v>
      </c>
      <c r="O14">
        <f t="shared" ca="1" si="10"/>
        <v>101111</v>
      </c>
    </row>
    <row r="15" spans="1:15" x14ac:dyDescent="0.25">
      <c r="A15" t="s">
        <v>29</v>
      </c>
      <c r="B15">
        <v>80</v>
      </c>
      <c r="C15" t="s">
        <v>30</v>
      </c>
      <c r="D15">
        <v>13</v>
      </c>
      <c r="E15">
        <f t="shared" si="1"/>
        <v>21.3</v>
      </c>
      <c r="F15">
        <f t="shared" ca="1" si="2"/>
        <v>21.43</v>
      </c>
      <c r="G15" s="1">
        <f t="shared" si="3"/>
        <v>0.10833333333333317</v>
      </c>
      <c r="H15" s="6">
        <f t="shared" ca="1" si="4"/>
        <v>0.11916666666666642</v>
      </c>
      <c r="I15" s="5">
        <f t="shared" ca="1" si="11"/>
        <v>1.083333333333325E-2</v>
      </c>
      <c r="J15" s="8">
        <f t="shared" ca="1" si="5"/>
        <v>0.11374999999999984</v>
      </c>
      <c r="K15" s="5">
        <f t="shared" ca="1" si="6"/>
        <v>5.4166666666666669E-3</v>
      </c>
      <c r="L15">
        <f t="shared" ca="1" si="7"/>
        <v>6762.9511111111087</v>
      </c>
      <c r="M15">
        <f t="shared" ca="1" si="8"/>
        <v>6763</v>
      </c>
      <c r="N15" t="str">
        <f t="shared" ca="1" si="9"/>
        <v>0001101001101011</v>
      </c>
      <c r="O15">
        <f t="shared" ca="1" si="10"/>
        <v>110100</v>
      </c>
    </row>
    <row r="16" spans="1:15" x14ac:dyDescent="0.25">
      <c r="A16" t="s">
        <v>31</v>
      </c>
      <c r="B16">
        <v>90</v>
      </c>
      <c r="C16" t="s">
        <v>32</v>
      </c>
      <c r="D16">
        <v>14</v>
      </c>
      <c r="E16">
        <f t="shared" si="1"/>
        <v>21.4</v>
      </c>
      <c r="F16">
        <f t="shared" ca="1" si="2"/>
        <v>21.259999999999998</v>
      </c>
      <c r="G16" s="1">
        <f t="shared" si="3"/>
        <v>0.11666666666666647</v>
      </c>
      <c r="H16" s="6">
        <f t="shared" ca="1" si="4"/>
        <v>0.10499999999999976</v>
      </c>
      <c r="I16" s="5">
        <f t="shared" ca="1" si="11"/>
        <v>1.1666666666666714E-2</v>
      </c>
      <c r="J16" s="8">
        <f t="shared" ca="1" si="5"/>
        <v>0.1224999999999998</v>
      </c>
      <c r="K16" s="5">
        <f t="shared" ca="1" si="6"/>
        <v>5.8333333333333293E-3</v>
      </c>
      <c r="L16">
        <f t="shared" ca="1" si="7"/>
        <v>6608.2133333333304</v>
      </c>
      <c r="M16">
        <f t="shared" ca="1" si="8"/>
        <v>6608</v>
      </c>
      <c r="N16" t="str">
        <f t="shared" ca="1" si="9"/>
        <v>0001100111010000</v>
      </c>
      <c r="O16">
        <f t="shared" ca="1" si="10"/>
        <v>110011</v>
      </c>
    </row>
    <row r="17" spans="1:15" x14ac:dyDescent="0.25">
      <c r="A17" s="2" t="s">
        <v>33</v>
      </c>
      <c r="D17">
        <v>15</v>
      </c>
      <c r="E17">
        <f t="shared" si="1"/>
        <v>21.5</v>
      </c>
      <c r="F17">
        <f t="shared" ca="1" si="2"/>
        <v>21.8</v>
      </c>
      <c r="G17" s="1">
        <f t="shared" si="3"/>
        <v>0.12499999999999978</v>
      </c>
      <c r="H17" s="6">
        <f t="shared" ca="1" si="4"/>
        <v>0.14999999999999991</v>
      </c>
      <c r="I17" s="5">
        <f t="shared" ca="1" si="11"/>
        <v>2.5000000000000133E-2</v>
      </c>
      <c r="J17" s="8">
        <f t="shared" ca="1" si="5"/>
        <v>0.13124999999999978</v>
      </c>
      <c r="K17" s="5">
        <f t="shared" ca="1" si="6"/>
        <v>6.2500000000000056E-3</v>
      </c>
      <c r="L17">
        <f t="shared" ca="1" si="7"/>
        <v>7099.7333333333327</v>
      </c>
      <c r="M17">
        <f t="shared" ca="1" si="8"/>
        <v>7100</v>
      </c>
      <c r="N17" t="str">
        <f t="shared" ca="1" si="9"/>
        <v>0001101110111100</v>
      </c>
      <c r="O17">
        <f t="shared" ca="1" si="10"/>
        <v>110111</v>
      </c>
    </row>
    <row r="18" spans="1:15" x14ac:dyDescent="0.25">
      <c r="A18" t="s">
        <v>34</v>
      </c>
      <c r="B18" t="s">
        <v>35</v>
      </c>
      <c r="C18">
        <v>5.5</v>
      </c>
      <c r="D18">
        <v>16</v>
      </c>
      <c r="E18">
        <f t="shared" si="1"/>
        <v>21.6</v>
      </c>
      <c r="F18">
        <f t="shared" ca="1" si="2"/>
        <v>22.240000000000002</v>
      </c>
      <c r="G18" s="1">
        <f t="shared" si="3"/>
        <v>0.1333333333333333</v>
      </c>
      <c r="H18" s="6">
        <f t="shared" ca="1" si="4"/>
        <v>0.18666666666666676</v>
      </c>
      <c r="I18" s="5">
        <f t="shared" ca="1" si="11"/>
        <v>5.3333333333333455E-2</v>
      </c>
      <c r="J18" s="8">
        <f t="shared" ca="1" si="5"/>
        <v>0.12666666666666662</v>
      </c>
      <c r="K18" s="5">
        <f t="shared" ca="1" si="6"/>
        <v>6.6666666666666818E-3</v>
      </c>
      <c r="L18">
        <f t="shared" ca="1" si="7"/>
        <v>7500.2311111111121</v>
      </c>
      <c r="M18">
        <f t="shared" ca="1" si="8"/>
        <v>7500</v>
      </c>
      <c r="N18" t="str">
        <f t="shared" ca="1" si="9"/>
        <v>0001110101001100</v>
      </c>
      <c r="O18">
        <f t="shared" ca="1" si="10"/>
        <v>111010</v>
      </c>
    </row>
    <row r="19" spans="1:15" x14ac:dyDescent="0.25">
      <c r="A19" t="s">
        <v>36</v>
      </c>
      <c r="B19" t="s">
        <v>37</v>
      </c>
      <c r="C19" t="s">
        <v>38</v>
      </c>
      <c r="D19">
        <v>17</v>
      </c>
      <c r="E19">
        <f t="shared" si="1"/>
        <v>21.7</v>
      </c>
      <c r="F19">
        <f t="shared" ca="1" si="2"/>
        <v>21.36</v>
      </c>
      <c r="G19" s="1">
        <f t="shared" si="3"/>
        <v>0.14166666666666639</v>
      </c>
      <c r="H19" s="6">
        <f t="shared" ca="1" si="4"/>
        <v>0.11333333333333306</v>
      </c>
      <c r="I19" s="5">
        <f t="shared" ca="1" si="11"/>
        <v>2.8333333333333321E-2</v>
      </c>
      <c r="J19" s="8">
        <f t="shared" ca="1" si="5"/>
        <v>0.14874999999999972</v>
      </c>
      <c r="K19" s="5">
        <f t="shared" ca="1" si="6"/>
        <v>7.0833333333333304E-3</v>
      </c>
      <c r="L19">
        <f t="shared" ca="1" si="7"/>
        <v>6699.2355555555523</v>
      </c>
      <c r="M19">
        <f t="shared" ca="1" si="8"/>
        <v>6699</v>
      </c>
      <c r="N19" t="str">
        <f t="shared" ca="1" si="9"/>
        <v>0001101000101011</v>
      </c>
      <c r="O19">
        <f t="shared" ca="1" si="10"/>
        <v>110100</v>
      </c>
    </row>
    <row r="20" spans="1:15" x14ac:dyDescent="0.25">
      <c r="D20">
        <v>18</v>
      </c>
      <c r="E20">
        <f t="shared" si="1"/>
        <v>21.8</v>
      </c>
      <c r="F20">
        <f t="shared" ca="1" si="2"/>
        <v>22.34</v>
      </c>
      <c r="G20" s="1">
        <f t="shared" si="3"/>
        <v>0.14999999999999991</v>
      </c>
      <c r="H20" s="6">
        <f t="shared" ca="1" si="4"/>
        <v>0.19499999999999984</v>
      </c>
      <c r="I20" s="5">
        <f t="shared" ca="1" si="11"/>
        <v>4.4999999999999929E-2</v>
      </c>
      <c r="J20" s="8">
        <f t="shared" ca="1" si="5"/>
        <v>0.1424999999999999</v>
      </c>
      <c r="K20" s="5">
        <f t="shared" ca="1" si="6"/>
        <v>7.5000000000000067E-3</v>
      </c>
      <c r="L20">
        <f t="shared" ca="1" si="7"/>
        <v>7591.2533333333313</v>
      </c>
      <c r="M20">
        <f t="shared" ca="1" si="8"/>
        <v>7591</v>
      </c>
      <c r="N20" t="str">
        <f t="shared" ca="1" si="9"/>
        <v>0001110110100111</v>
      </c>
      <c r="O20">
        <f t="shared" ca="1" si="10"/>
        <v>111011</v>
      </c>
    </row>
    <row r="21" spans="1:15" x14ac:dyDescent="0.25">
      <c r="D21">
        <v>19</v>
      </c>
      <c r="E21">
        <f t="shared" si="1"/>
        <v>21.9</v>
      </c>
      <c r="F21">
        <f t="shared" ca="1" si="2"/>
        <v>22.66</v>
      </c>
      <c r="G21" s="1">
        <f t="shared" si="3"/>
        <v>0.15833333333333299</v>
      </c>
      <c r="H21" s="6">
        <f t="shared" ca="1" si="4"/>
        <v>0.22166666666666646</v>
      </c>
      <c r="I21" s="5">
        <f t="shared" ca="1" si="11"/>
        <v>6.3333333333333464E-2</v>
      </c>
      <c r="J21" s="8">
        <f t="shared" ca="1" si="5"/>
        <v>0.15041666666666634</v>
      </c>
      <c r="K21" s="5">
        <f t="shared" ca="1" si="6"/>
        <v>7.9166666666666552E-3</v>
      </c>
      <c r="L21">
        <f t="shared" ca="1" si="7"/>
        <v>7882.5244444444425</v>
      </c>
      <c r="M21">
        <f t="shared" ca="1" si="8"/>
        <v>7883</v>
      </c>
      <c r="N21" t="str">
        <f t="shared" ca="1" si="9"/>
        <v>0001111011001011</v>
      </c>
      <c r="O21">
        <f t="shared" ca="1" si="10"/>
        <v>111101</v>
      </c>
    </row>
    <row r="22" spans="1:15" x14ac:dyDescent="0.25">
      <c r="D22">
        <v>20</v>
      </c>
      <c r="E22">
        <f t="shared" si="1"/>
        <v>22</v>
      </c>
      <c r="F22">
        <f t="shared" ca="1" si="2"/>
        <v>22.8</v>
      </c>
      <c r="G22" s="1">
        <f t="shared" si="3"/>
        <v>0.16666666666666652</v>
      </c>
      <c r="H22" s="6">
        <f t="shared" ca="1" si="4"/>
        <v>0.23333333333333317</v>
      </c>
      <c r="I22" s="5">
        <f t="shared" ca="1" si="11"/>
        <v>6.6666666666666652E-2</v>
      </c>
      <c r="J22" s="8">
        <f t="shared" ca="1" si="5"/>
        <v>0.17499999999999985</v>
      </c>
      <c r="K22" s="5">
        <f t="shared" ca="1" si="6"/>
        <v>8.3333333333333315E-3</v>
      </c>
      <c r="L22">
        <f t="shared" ca="1" si="7"/>
        <v>8009.9555555555535</v>
      </c>
      <c r="M22">
        <f t="shared" ca="1" si="8"/>
        <v>8010</v>
      </c>
      <c r="N22" t="str">
        <f t="shared" ca="1" si="9"/>
        <v>0001111101001010</v>
      </c>
      <c r="O22">
        <f t="shared" ca="1" si="10"/>
        <v>111110</v>
      </c>
    </row>
    <row r="23" spans="1:15" x14ac:dyDescent="0.25">
      <c r="D23">
        <v>21</v>
      </c>
      <c r="E23">
        <f t="shared" si="1"/>
        <v>22.1</v>
      </c>
      <c r="F23">
        <f t="shared" ca="1" si="2"/>
        <v>22.520000000000003</v>
      </c>
      <c r="G23" s="1">
        <f t="shared" si="3"/>
        <v>0.17500000000000004</v>
      </c>
      <c r="H23" s="6">
        <f t="shared" ca="1" si="4"/>
        <v>0.21000000000000019</v>
      </c>
      <c r="I23" s="5">
        <f t="shared" ca="1" si="11"/>
        <v>3.5000000000000142E-2</v>
      </c>
      <c r="J23" s="8">
        <f t="shared" ca="1" si="5"/>
        <v>0.18375000000000005</v>
      </c>
      <c r="K23" s="5">
        <f t="shared" ca="1" si="6"/>
        <v>8.7500000000000078E-3</v>
      </c>
      <c r="L23">
        <f t="shared" ca="1" si="7"/>
        <v>7755.0933333333351</v>
      </c>
      <c r="M23">
        <f t="shared" ca="1" si="8"/>
        <v>7755</v>
      </c>
      <c r="N23" t="str">
        <f t="shared" ca="1" si="9"/>
        <v>0001111001001011</v>
      </c>
      <c r="O23">
        <f t="shared" ca="1" si="10"/>
        <v>111100</v>
      </c>
    </row>
    <row r="24" spans="1:15" x14ac:dyDescent="0.25">
      <c r="A24" s="2" t="s">
        <v>39</v>
      </c>
      <c r="B24" t="s">
        <v>48</v>
      </c>
      <c r="C24" t="s">
        <v>49</v>
      </c>
      <c r="D24">
        <v>22</v>
      </c>
      <c r="E24">
        <f t="shared" si="1"/>
        <v>22.2</v>
      </c>
      <c r="F24">
        <f t="shared" ca="1" si="2"/>
        <v>21.32</v>
      </c>
      <c r="G24" s="1">
        <f t="shared" si="3"/>
        <v>0.18333333333333313</v>
      </c>
      <c r="H24" s="6">
        <f t="shared" ca="1" si="4"/>
        <v>0.10999999999999988</v>
      </c>
      <c r="I24" s="5">
        <f t="shared" ca="1" si="11"/>
        <v>7.333333333333325E-2</v>
      </c>
      <c r="J24" s="8">
        <f t="shared" ca="1" si="5"/>
        <v>0.17416666666666647</v>
      </c>
      <c r="K24" s="5">
        <f t="shared" ca="1" si="6"/>
        <v>9.1666666666666563E-3</v>
      </c>
      <c r="L24">
        <f t="shared" ca="1" si="7"/>
        <v>6662.826666666665</v>
      </c>
      <c r="M24">
        <f t="shared" ca="1" si="8"/>
        <v>6663</v>
      </c>
      <c r="N24" t="str">
        <f t="shared" ca="1" si="9"/>
        <v>0001101000000111</v>
      </c>
      <c r="O24">
        <f t="shared" ca="1" si="10"/>
        <v>110100</v>
      </c>
    </row>
    <row r="25" spans="1:15" x14ac:dyDescent="0.25">
      <c r="A25" t="s">
        <v>40</v>
      </c>
      <c r="B25">
        <f ca="1">1/12*F2-5/3</f>
        <v>0</v>
      </c>
      <c r="C25">
        <v>0</v>
      </c>
      <c r="D25">
        <v>23</v>
      </c>
      <c r="E25">
        <f t="shared" si="1"/>
        <v>22.3</v>
      </c>
      <c r="F25">
        <f t="shared" ca="1" si="2"/>
        <v>22.76</v>
      </c>
      <c r="G25" s="1">
        <f t="shared" si="3"/>
        <v>0.19166666666666665</v>
      </c>
      <c r="H25" s="6">
        <f t="shared" ca="1" si="4"/>
        <v>0.22999999999999998</v>
      </c>
      <c r="I25" s="5">
        <f t="shared" ca="1" si="11"/>
        <v>3.833333333333333E-2</v>
      </c>
      <c r="J25" s="8">
        <f t="shared" ca="1" si="5"/>
        <v>0.20124999999999998</v>
      </c>
      <c r="K25" s="5">
        <f t="shared" ca="1" si="6"/>
        <v>9.5833333333333326E-3</v>
      </c>
      <c r="L25">
        <f t="shared" ca="1" si="7"/>
        <v>7973.5466666666662</v>
      </c>
      <c r="M25">
        <f t="shared" ca="1" si="8"/>
        <v>7974</v>
      </c>
      <c r="N25" t="str">
        <f t="shared" ca="1" si="9"/>
        <v>0001111100100110</v>
      </c>
      <c r="O25">
        <f t="shared" ca="1" si="10"/>
        <v>111110</v>
      </c>
    </row>
    <row r="26" spans="1:15" x14ac:dyDescent="0.25">
      <c r="A26" t="s">
        <v>41</v>
      </c>
      <c r="C26">
        <v>5</v>
      </c>
      <c r="D26">
        <v>24</v>
      </c>
      <c r="E26">
        <f t="shared" si="1"/>
        <v>22.4</v>
      </c>
      <c r="F26">
        <f t="shared" ca="1" si="2"/>
        <v>21.2</v>
      </c>
      <c r="G26" s="1">
        <f t="shared" si="3"/>
        <v>0.19999999999999973</v>
      </c>
      <c r="H26" s="6">
        <f t="shared" ca="1" si="4"/>
        <v>9.9999999999999867E-2</v>
      </c>
      <c r="I26" s="5">
        <f t="shared" ca="1" si="11"/>
        <v>9.9999999999999867E-2</v>
      </c>
      <c r="J26" s="8">
        <f t="shared" ca="1" si="5"/>
        <v>0.20999999999999974</v>
      </c>
      <c r="K26" s="5">
        <f t="shared" ca="1" si="6"/>
        <v>1.0000000000000009E-2</v>
      </c>
      <c r="L26">
        <f t="shared" ca="1" si="7"/>
        <v>6553.5999999999985</v>
      </c>
      <c r="M26">
        <f t="shared" ca="1" si="8"/>
        <v>6554</v>
      </c>
      <c r="N26" t="str">
        <f t="shared" ca="1" si="9"/>
        <v>0001100110011010</v>
      </c>
      <c r="O26">
        <f t="shared" ca="1" si="10"/>
        <v>110011</v>
      </c>
    </row>
    <row r="27" spans="1:15" x14ac:dyDescent="0.25">
      <c r="A27" t="s">
        <v>42</v>
      </c>
      <c r="C27">
        <v>0</v>
      </c>
      <c r="D27">
        <v>25</v>
      </c>
      <c r="E27">
        <f t="shared" si="1"/>
        <v>22.5</v>
      </c>
      <c r="F27">
        <f t="shared" ca="1" si="2"/>
        <v>21.5</v>
      </c>
      <c r="G27" s="1">
        <f t="shared" si="3"/>
        <v>0.20833333333333326</v>
      </c>
      <c r="H27" s="6">
        <f t="shared" ca="1" si="4"/>
        <v>0.12499999999999978</v>
      </c>
      <c r="I27" s="5">
        <f t="shared" ca="1" si="11"/>
        <v>8.3333333333333481E-2</v>
      </c>
      <c r="J27" s="8">
        <f t="shared" ca="1" si="5"/>
        <v>0.21874999999999994</v>
      </c>
      <c r="K27" s="5">
        <f t="shared" ca="1" si="6"/>
        <v>1.0416666666666685E-2</v>
      </c>
      <c r="L27">
        <f t="shared" ca="1" si="7"/>
        <v>6826.6666666666642</v>
      </c>
      <c r="M27">
        <f t="shared" ca="1" si="8"/>
        <v>6827</v>
      </c>
      <c r="N27" t="str">
        <f t="shared" ca="1" si="9"/>
        <v>0001101010101011</v>
      </c>
      <c r="O27">
        <f t="shared" ca="1" si="10"/>
        <v>110101</v>
      </c>
    </row>
    <row r="28" spans="1:15" x14ac:dyDescent="0.25">
      <c r="A28" t="s">
        <v>43</v>
      </c>
      <c r="C28">
        <v>5</v>
      </c>
      <c r="D28">
        <v>26</v>
      </c>
      <c r="E28">
        <f t="shared" si="1"/>
        <v>22.6</v>
      </c>
      <c r="F28">
        <f t="shared" ca="1" si="2"/>
        <v>21.3</v>
      </c>
      <c r="G28" s="1">
        <f t="shared" si="3"/>
        <v>0.21666666666666656</v>
      </c>
      <c r="H28" s="6">
        <f t="shared" ca="1" si="4"/>
        <v>0.10833333333333317</v>
      </c>
      <c r="I28" s="5">
        <f t="shared" ca="1" si="11"/>
        <v>0.10833333333333339</v>
      </c>
      <c r="J28" s="8">
        <f t="shared" ca="1" si="5"/>
        <v>0.20583333333333323</v>
      </c>
      <c r="K28" s="5">
        <f t="shared" ca="1" si="6"/>
        <v>1.0833333333333334E-2</v>
      </c>
      <c r="L28">
        <f t="shared" ca="1" si="7"/>
        <v>6644.6222222222204</v>
      </c>
      <c r="M28">
        <f t="shared" ca="1" si="8"/>
        <v>6645</v>
      </c>
      <c r="N28" t="str">
        <f t="shared" ca="1" si="9"/>
        <v>0001100111110101</v>
      </c>
      <c r="O28">
        <f t="shared" ca="1" si="10"/>
        <v>110011</v>
      </c>
    </row>
    <row r="29" spans="1:15" x14ac:dyDescent="0.25">
      <c r="A29" t="s">
        <v>44</v>
      </c>
      <c r="C29">
        <v>0</v>
      </c>
      <c r="D29">
        <v>27</v>
      </c>
      <c r="E29">
        <f t="shared" si="1"/>
        <v>22.7</v>
      </c>
      <c r="F29">
        <f t="shared" ca="1" si="2"/>
        <v>24.05</v>
      </c>
      <c r="G29" s="1">
        <f t="shared" si="3"/>
        <v>0.22499999999999987</v>
      </c>
      <c r="H29" s="6">
        <f t="shared" ca="1" si="4"/>
        <v>0.33749999999999969</v>
      </c>
      <c r="I29" s="5">
        <f t="shared" ca="1" si="11"/>
        <v>0.11249999999999982</v>
      </c>
      <c r="J29" s="8">
        <f t="shared" ca="1" si="5"/>
        <v>0.21374999999999986</v>
      </c>
      <c r="K29" s="5">
        <f t="shared" ca="1" si="6"/>
        <v>1.125000000000001E-2</v>
      </c>
      <c r="L29">
        <f t="shared" ca="1" si="7"/>
        <v>9147.7333333333299</v>
      </c>
      <c r="M29">
        <f t="shared" ca="1" si="8"/>
        <v>9148</v>
      </c>
      <c r="N29" t="str">
        <f t="shared" ca="1" si="9"/>
        <v>0010001110111100</v>
      </c>
      <c r="O29">
        <f t="shared" ca="1" si="10"/>
        <v>1000111</v>
      </c>
    </row>
    <row r="30" spans="1:15" x14ac:dyDescent="0.25">
      <c r="A30" t="s">
        <v>45</v>
      </c>
      <c r="C30">
        <v>5</v>
      </c>
      <c r="D30">
        <v>28</v>
      </c>
      <c r="E30">
        <f t="shared" si="1"/>
        <v>22.8</v>
      </c>
      <c r="F30">
        <f t="shared" ca="1" si="2"/>
        <v>22.240000000000002</v>
      </c>
      <c r="G30" s="1">
        <f t="shared" si="3"/>
        <v>0.23333333333333317</v>
      </c>
      <c r="H30" s="6">
        <f t="shared" ca="1" si="4"/>
        <v>0.18666666666666676</v>
      </c>
      <c r="I30" s="5">
        <f t="shared" ca="1" si="11"/>
        <v>4.6666666666666412E-2</v>
      </c>
      <c r="J30" s="8">
        <f t="shared" ca="1" si="5"/>
        <v>0.22166666666666651</v>
      </c>
      <c r="K30" s="5">
        <f t="shared" ca="1" si="6"/>
        <v>1.1666666666666659E-2</v>
      </c>
      <c r="L30">
        <f t="shared" ca="1" si="7"/>
        <v>7500.2311111111121</v>
      </c>
      <c r="M30">
        <f t="shared" ca="1" si="8"/>
        <v>7500</v>
      </c>
      <c r="N30" t="str">
        <f t="shared" ca="1" si="9"/>
        <v>0001110101001100</v>
      </c>
      <c r="O30">
        <f t="shared" ca="1" si="10"/>
        <v>111010</v>
      </c>
    </row>
    <row r="31" spans="1:15" x14ac:dyDescent="0.25">
      <c r="A31" t="s">
        <v>46</v>
      </c>
      <c r="C31">
        <v>0</v>
      </c>
      <c r="D31">
        <v>29</v>
      </c>
      <c r="E31">
        <f t="shared" si="1"/>
        <v>22.9</v>
      </c>
      <c r="F31">
        <f t="shared" ca="1" si="2"/>
        <v>24.06</v>
      </c>
      <c r="G31" s="1">
        <f t="shared" si="3"/>
        <v>0.24166666666666647</v>
      </c>
      <c r="H31" s="6">
        <f t="shared" ca="1" si="4"/>
        <v>0.33833333333333315</v>
      </c>
      <c r="I31" s="5">
        <f t="shared" ca="1" si="11"/>
        <v>9.6666666666666679E-2</v>
      </c>
      <c r="J31" s="8">
        <f t="shared" ca="1" si="5"/>
        <v>0.22958333333333314</v>
      </c>
      <c r="K31" s="5">
        <f t="shared" ca="1" si="6"/>
        <v>1.2083333333333335E-2</v>
      </c>
      <c r="L31">
        <f t="shared" ca="1" si="7"/>
        <v>9156.8355555555536</v>
      </c>
      <c r="M31">
        <f t="shared" ca="1" si="8"/>
        <v>9157</v>
      </c>
      <c r="N31" t="str">
        <f t="shared" ca="1" si="9"/>
        <v>0010001111000101</v>
      </c>
      <c r="O31">
        <f t="shared" ca="1" si="10"/>
        <v>1000111</v>
      </c>
    </row>
    <row r="32" spans="1:15" x14ac:dyDescent="0.25">
      <c r="A32" t="s">
        <v>47</v>
      </c>
      <c r="C32">
        <v>5</v>
      </c>
      <c r="D32">
        <v>30</v>
      </c>
      <c r="E32">
        <f t="shared" si="1"/>
        <v>23</v>
      </c>
      <c r="F32">
        <f t="shared" ca="1" si="2"/>
        <v>24.2</v>
      </c>
      <c r="G32" s="1">
        <f t="shared" si="3"/>
        <v>0.24999999999999978</v>
      </c>
      <c r="H32" s="6">
        <f t="shared" ca="1" si="4"/>
        <v>0.34999999999999987</v>
      </c>
      <c r="I32" s="5">
        <f t="shared" ca="1" si="11"/>
        <v>0.10000000000000009</v>
      </c>
      <c r="J32" s="8">
        <f t="shared" ca="1" si="5"/>
        <v>0.23749999999999977</v>
      </c>
      <c r="K32" s="5">
        <f t="shared" ca="1" si="6"/>
        <v>1.2500000000000011E-2</v>
      </c>
      <c r="L32">
        <f t="shared" ca="1" si="7"/>
        <v>9284.2666666666646</v>
      </c>
      <c r="M32">
        <f t="shared" ca="1" si="8"/>
        <v>9284</v>
      </c>
      <c r="N32" t="str">
        <f t="shared" ca="1" si="9"/>
        <v>0010010001000100</v>
      </c>
      <c r="O32">
        <f t="shared" ca="1" si="10"/>
        <v>1001000</v>
      </c>
    </row>
    <row r="33" spans="4:15" x14ac:dyDescent="0.25">
      <c r="D33">
        <v>31</v>
      </c>
      <c r="E33">
        <f t="shared" si="1"/>
        <v>23.1</v>
      </c>
      <c r="F33">
        <f t="shared" ca="1" si="2"/>
        <v>24.650000000000002</v>
      </c>
      <c r="G33" s="1">
        <f t="shared" si="3"/>
        <v>0.2583333333333333</v>
      </c>
      <c r="H33" s="6">
        <f t="shared" ca="1" si="4"/>
        <v>0.38749999999999996</v>
      </c>
      <c r="I33" s="5">
        <f t="shared" ca="1" si="11"/>
        <v>0.12916666666666665</v>
      </c>
      <c r="J33" s="8">
        <f t="shared" ca="1" si="5"/>
        <v>0.24541666666666662</v>
      </c>
      <c r="K33" s="5">
        <f t="shared" ca="1" si="6"/>
        <v>1.2916666666666687E-2</v>
      </c>
      <c r="L33">
        <f t="shared" ca="1" si="7"/>
        <v>9693.8666666666668</v>
      </c>
      <c r="M33">
        <f t="shared" ca="1" si="8"/>
        <v>9694</v>
      </c>
      <c r="N33" t="str">
        <f t="shared" ca="1" si="9"/>
        <v>0010010111011110</v>
      </c>
      <c r="O33">
        <f t="shared" ca="1" si="10"/>
        <v>1001011</v>
      </c>
    </row>
    <row r="34" spans="4:15" x14ac:dyDescent="0.25">
      <c r="D34">
        <v>32</v>
      </c>
      <c r="E34">
        <f t="shared" si="1"/>
        <v>23.2</v>
      </c>
      <c r="F34">
        <f t="shared" ca="1" si="2"/>
        <v>24.48</v>
      </c>
      <c r="G34" s="1">
        <f t="shared" si="3"/>
        <v>0.26666666666666639</v>
      </c>
      <c r="H34" s="6">
        <f t="shared" ca="1" si="4"/>
        <v>0.37333333333333329</v>
      </c>
      <c r="I34" s="5">
        <f t="shared" ca="1" si="11"/>
        <v>0.10666666666666691</v>
      </c>
      <c r="J34" s="8">
        <f t="shared" ca="1" si="5"/>
        <v>0.25333333333333308</v>
      </c>
      <c r="K34" s="5">
        <f t="shared" ca="1" si="6"/>
        <v>1.3333333333333308E-2</v>
      </c>
      <c r="L34">
        <f t="shared" ca="1" si="7"/>
        <v>9539.1288888888885</v>
      </c>
      <c r="M34">
        <f t="shared" ca="1" si="8"/>
        <v>9539</v>
      </c>
      <c r="N34" t="str">
        <f t="shared" ca="1" si="9"/>
        <v>0010010101000011</v>
      </c>
      <c r="O34">
        <f t="shared" ca="1" si="10"/>
        <v>1001010</v>
      </c>
    </row>
    <row r="35" spans="4:15" x14ac:dyDescent="0.25">
      <c r="D35">
        <v>33</v>
      </c>
      <c r="E35">
        <f t="shared" si="1"/>
        <v>23.3</v>
      </c>
      <c r="F35">
        <f t="shared" ca="1" si="2"/>
        <v>24.29</v>
      </c>
      <c r="G35" s="1">
        <f t="shared" si="3"/>
        <v>0.27499999999999991</v>
      </c>
      <c r="H35" s="6">
        <f t="shared" ca="1" si="4"/>
        <v>0.35749999999999971</v>
      </c>
      <c r="I35" s="5">
        <f t="shared" ca="1" si="11"/>
        <v>8.2499999999999796E-2</v>
      </c>
      <c r="J35" s="8">
        <f t="shared" ca="1" si="5"/>
        <v>0.26124999999999993</v>
      </c>
      <c r="K35" s="5">
        <f t="shared" ca="1" si="6"/>
        <v>1.3749999999999984E-2</v>
      </c>
      <c r="L35">
        <f t="shared" ca="1" si="7"/>
        <v>9366.1866666666629</v>
      </c>
      <c r="M35">
        <f t="shared" ca="1" si="8"/>
        <v>9366</v>
      </c>
      <c r="N35" t="str">
        <f t="shared" ca="1" si="9"/>
        <v>0010010010010110</v>
      </c>
      <c r="O35">
        <f t="shared" ca="1" si="10"/>
        <v>1001001</v>
      </c>
    </row>
    <row r="36" spans="4:15" x14ac:dyDescent="0.25">
      <c r="D36">
        <v>34</v>
      </c>
      <c r="E36">
        <f t="shared" si="1"/>
        <v>23.4</v>
      </c>
      <c r="F36">
        <f t="shared" ca="1" si="2"/>
        <v>25.099999999999998</v>
      </c>
      <c r="G36" s="1">
        <f t="shared" si="3"/>
        <v>0.28333333333333299</v>
      </c>
      <c r="H36" s="6">
        <f t="shared" ca="1" si="4"/>
        <v>0.4249999999999996</v>
      </c>
      <c r="I36" s="5">
        <f t="shared" ca="1" si="11"/>
        <v>0.14166666666666661</v>
      </c>
      <c r="J36" s="8">
        <f t="shared" ca="1" si="5"/>
        <v>0.26916666666666633</v>
      </c>
      <c r="K36" s="5">
        <f t="shared" ca="1" si="6"/>
        <v>1.4166666666666661E-2</v>
      </c>
      <c r="L36">
        <f t="shared" ca="1" si="7"/>
        <v>10103.466666666662</v>
      </c>
      <c r="M36">
        <f t="shared" ca="1" si="8"/>
        <v>10103</v>
      </c>
      <c r="N36" t="str">
        <f t="shared" ca="1" si="9"/>
        <v>0010011101110111</v>
      </c>
      <c r="O36">
        <f t="shared" ca="1" si="10"/>
        <v>1001110</v>
      </c>
    </row>
    <row r="37" spans="4:15" x14ac:dyDescent="0.25">
      <c r="D37">
        <v>35</v>
      </c>
      <c r="E37">
        <f t="shared" si="1"/>
        <v>23.5</v>
      </c>
      <c r="F37">
        <f t="shared" ca="1" si="2"/>
        <v>22.1</v>
      </c>
      <c r="G37" s="1">
        <f t="shared" si="3"/>
        <v>0.29166666666666652</v>
      </c>
      <c r="H37" s="6">
        <f t="shared" ca="1" si="4"/>
        <v>0.17500000000000004</v>
      </c>
      <c r="I37" s="5">
        <f t="shared" ca="1" si="11"/>
        <v>0.11666666666666647</v>
      </c>
      <c r="J37" s="8">
        <f t="shared" ca="1" si="5"/>
        <v>0.27708333333333318</v>
      </c>
      <c r="K37" s="5">
        <f t="shared" ca="1" si="6"/>
        <v>1.4583333333333337E-2</v>
      </c>
      <c r="L37">
        <f t="shared" ca="1" si="7"/>
        <v>7372.8</v>
      </c>
      <c r="M37">
        <f t="shared" ca="1" si="8"/>
        <v>7373</v>
      </c>
      <c r="N37" t="str">
        <f t="shared" ca="1" si="9"/>
        <v>0001110011001101</v>
      </c>
      <c r="O37">
        <f t="shared" ca="1" si="10"/>
        <v>111001</v>
      </c>
    </row>
    <row r="38" spans="4:15" x14ac:dyDescent="0.25">
      <c r="D38">
        <v>36</v>
      </c>
      <c r="E38">
        <f t="shared" si="1"/>
        <v>23.6</v>
      </c>
      <c r="F38">
        <f t="shared" ca="1" si="2"/>
        <v>22.16</v>
      </c>
      <c r="G38" s="1">
        <f t="shared" si="3"/>
        <v>0.30000000000000004</v>
      </c>
      <c r="H38" s="6">
        <f t="shared" ca="1" si="4"/>
        <v>0.17999999999999994</v>
      </c>
      <c r="I38" s="5">
        <f t="shared" ca="1" si="11"/>
        <v>0.12000000000000011</v>
      </c>
      <c r="J38" s="8">
        <f t="shared" ca="1" si="5"/>
        <v>0.28500000000000003</v>
      </c>
      <c r="K38" s="5">
        <f t="shared" ca="1" si="6"/>
        <v>1.5000000000000013E-2</v>
      </c>
      <c r="L38">
        <f t="shared" ca="1" si="7"/>
        <v>7427.413333333333</v>
      </c>
      <c r="M38">
        <f t="shared" ca="1" si="8"/>
        <v>7427</v>
      </c>
      <c r="N38" t="str">
        <f t="shared" ca="1" si="9"/>
        <v>0001110100000011</v>
      </c>
      <c r="O38">
        <f t="shared" ca="1" si="10"/>
        <v>111010</v>
      </c>
    </row>
    <row r="39" spans="4:15" x14ac:dyDescent="0.25">
      <c r="D39">
        <v>37</v>
      </c>
      <c r="E39">
        <f t="shared" si="1"/>
        <v>23.7</v>
      </c>
      <c r="F39">
        <f t="shared" ca="1" si="2"/>
        <v>22.22</v>
      </c>
      <c r="G39" s="1">
        <f t="shared" si="3"/>
        <v>0.30833333333333313</v>
      </c>
      <c r="H39" s="6">
        <f t="shared" ca="1" si="4"/>
        <v>0.18499999999999983</v>
      </c>
      <c r="I39" s="5">
        <f t="shared" ca="1" si="11"/>
        <v>0.12333333333333329</v>
      </c>
      <c r="J39" s="8">
        <f t="shared" ca="1" si="5"/>
        <v>0.32374999999999982</v>
      </c>
      <c r="K39" s="5">
        <f t="shared" ca="1" si="6"/>
        <v>1.541666666666669E-2</v>
      </c>
      <c r="L39">
        <f t="shared" ca="1" si="7"/>
        <v>7482.0266666666648</v>
      </c>
      <c r="M39">
        <f t="shared" ca="1" si="8"/>
        <v>7482</v>
      </c>
      <c r="N39" t="str">
        <f t="shared" ca="1" si="9"/>
        <v>0001110100111010</v>
      </c>
      <c r="O39">
        <f t="shared" ca="1" si="10"/>
        <v>111010</v>
      </c>
    </row>
    <row r="40" spans="4:15" x14ac:dyDescent="0.25">
      <c r="D40">
        <v>38</v>
      </c>
      <c r="E40">
        <f t="shared" si="1"/>
        <v>23.8</v>
      </c>
      <c r="F40">
        <f t="shared" ca="1" si="2"/>
        <v>23.04</v>
      </c>
      <c r="G40" s="1">
        <f t="shared" si="3"/>
        <v>0.31666666666666665</v>
      </c>
      <c r="H40" s="6">
        <f t="shared" ca="1" si="4"/>
        <v>0.25333333333333319</v>
      </c>
      <c r="I40" s="5">
        <f t="shared" ca="1" si="11"/>
        <v>6.3333333333333464E-2</v>
      </c>
      <c r="J40" s="8">
        <f t="shared" ca="1" si="5"/>
        <v>0.33250000000000002</v>
      </c>
      <c r="K40" s="5">
        <f t="shared" ca="1" si="6"/>
        <v>1.5833333333333366E-2</v>
      </c>
      <c r="L40">
        <f t="shared" ca="1" si="7"/>
        <v>8228.4088888888873</v>
      </c>
      <c r="M40">
        <f t="shared" ca="1" si="8"/>
        <v>8228</v>
      </c>
      <c r="N40" t="str">
        <f t="shared" ca="1" si="9"/>
        <v>0010000000100100</v>
      </c>
      <c r="O40">
        <f t="shared" ca="1" si="10"/>
        <v>1000000</v>
      </c>
    </row>
    <row r="41" spans="4:15" x14ac:dyDescent="0.25">
      <c r="D41">
        <v>39</v>
      </c>
      <c r="E41">
        <f t="shared" si="1"/>
        <v>23.9</v>
      </c>
      <c r="F41">
        <f t="shared" ca="1" si="2"/>
        <v>25.849999999999998</v>
      </c>
      <c r="G41" s="1">
        <f t="shared" si="3"/>
        <v>0.32499999999999973</v>
      </c>
      <c r="H41" s="6">
        <f t="shared" ca="1" si="4"/>
        <v>0.4874999999999996</v>
      </c>
      <c r="I41" s="5">
        <f t="shared" ca="1" si="11"/>
        <v>0.16249999999999987</v>
      </c>
      <c r="J41" s="8">
        <f t="shared" ca="1" si="5"/>
        <v>0.34124999999999972</v>
      </c>
      <c r="K41" s="5">
        <f t="shared" ca="1" si="6"/>
        <v>1.6249999999999987E-2</v>
      </c>
      <c r="L41">
        <f t="shared" ca="1" si="7"/>
        <v>10786.13333333333</v>
      </c>
      <c r="M41">
        <f t="shared" ca="1" si="8"/>
        <v>10786</v>
      </c>
      <c r="N41" t="str">
        <f t="shared" ca="1" si="9"/>
        <v>0010101000100010</v>
      </c>
      <c r="O41">
        <f t="shared" ca="1" si="10"/>
        <v>1010100</v>
      </c>
    </row>
    <row r="42" spans="4:15" x14ac:dyDescent="0.25">
      <c r="D42">
        <v>40</v>
      </c>
      <c r="E42">
        <f t="shared" si="1"/>
        <v>24</v>
      </c>
      <c r="F42">
        <f t="shared" ca="1" si="2"/>
        <v>24.8</v>
      </c>
      <c r="G42" s="1">
        <f t="shared" si="3"/>
        <v>0.33333333333333326</v>
      </c>
      <c r="H42" s="6">
        <f t="shared" ca="1" si="4"/>
        <v>0.39999999999999969</v>
      </c>
      <c r="I42" s="5">
        <f t="shared" ca="1" si="11"/>
        <v>6.666666666666643E-2</v>
      </c>
      <c r="J42" s="8">
        <f t="shared" ca="1" si="5"/>
        <v>0.3166666666666666</v>
      </c>
      <c r="K42" s="5">
        <f t="shared" ca="1" si="6"/>
        <v>1.6666666666666663E-2</v>
      </c>
      <c r="L42">
        <f t="shared" ca="1" si="7"/>
        <v>9830.399999999996</v>
      </c>
      <c r="M42">
        <f t="shared" ca="1" si="8"/>
        <v>9830</v>
      </c>
      <c r="N42" t="str">
        <f t="shared" ca="1" si="9"/>
        <v>0010011001100110</v>
      </c>
      <c r="O42">
        <f t="shared" ca="1" si="10"/>
        <v>1001100</v>
      </c>
    </row>
    <row r="43" spans="4:15" x14ac:dyDescent="0.25">
      <c r="D43">
        <v>41</v>
      </c>
      <c r="E43">
        <f t="shared" si="1"/>
        <v>24.1</v>
      </c>
      <c r="F43">
        <f t="shared" ca="1" si="2"/>
        <v>23.28</v>
      </c>
      <c r="G43" s="1">
        <f t="shared" si="3"/>
        <v>0.34166666666666656</v>
      </c>
      <c r="H43" s="6">
        <f t="shared" ca="1" si="4"/>
        <v>0.27333333333333321</v>
      </c>
      <c r="I43" s="5">
        <f t="shared" ca="1" si="11"/>
        <v>6.8333333333333357E-2</v>
      </c>
      <c r="J43" s="8">
        <f t="shared" ca="1" si="5"/>
        <v>0.32458333333333322</v>
      </c>
      <c r="K43" s="5">
        <f t="shared" ca="1" si="6"/>
        <v>1.7083333333333339E-2</v>
      </c>
      <c r="L43">
        <f t="shared" ca="1" si="7"/>
        <v>8446.8622222222202</v>
      </c>
      <c r="M43">
        <f t="shared" ca="1" si="8"/>
        <v>8447</v>
      </c>
      <c r="N43" t="str">
        <f t="shared" ca="1" si="9"/>
        <v>0010000011111111</v>
      </c>
      <c r="O43">
        <f t="shared" ca="1" si="10"/>
        <v>1000001</v>
      </c>
    </row>
    <row r="44" spans="4:15" x14ac:dyDescent="0.25">
      <c r="D44">
        <v>42</v>
      </c>
      <c r="E44">
        <f t="shared" si="1"/>
        <v>24.2</v>
      </c>
      <c r="F44">
        <f t="shared" ca="1" si="2"/>
        <v>22.939999999999998</v>
      </c>
      <c r="G44" s="1">
        <f t="shared" si="3"/>
        <v>0.34999999999999987</v>
      </c>
      <c r="H44" s="6">
        <f t="shared" ca="1" si="4"/>
        <v>0.24499999999999966</v>
      </c>
      <c r="I44" s="5">
        <f t="shared" ca="1" si="11"/>
        <v>0.1050000000000002</v>
      </c>
      <c r="J44" s="8">
        <f t="shared" ca="1" si="5"/>
        <v>0.33249999999999985</v>
      </c>
      <c r="K44" s="5">
        <f t="shared" ca="1" si="6"/>
        <v>1.7500000000000016E-2</v>
      </c>
      <c r="L44">
        <f t="shared" ca="1" si="7"/>
        <v>8137.3866666666627</v>
      </c>
      <c r="M44">
        <f t="shared" ca="1" si="8"/>
        <v>8137</v>
      </c>
      <c r="N44" t="str">
        <f t="shared" ca="1" si="9"/>
        <v>0001111111001001</v>
      </c>
      <c r="O44">
        <f t="shared" ca="1" si="10"/>
        <v>111111</v>
      </c>
    </row>
    <row r="45" spans="4:15" x14ac:dyDescent="0.25">
      <c r="D45">
        <v>43</v>
      </c>
      <c r="E45">
        <f t="shared" si="1"/>
        <v>24.3</v>
      </c>
      <c r="F45">
        <f t="shared" ca="1" si="2"/>
        <v>23.44</v>
      </c>
      <c r="G45" s="1">
        <f t="shared" si="3"/>
        <v>0.35833333333333317</v>
      </c>
      <c r="H45" s="6">
        <f t="shared" ca="1" si="4"/>
        <v>0.28666666666666663</v>
      </c>
      <c r="I45" s="5">
        <f t="shared" ca="1" si="11"/>
        <v>7.1666666666666545E-2</v>
      </c>
      <c r="J45" s="8">
        <f t="shared" ca="1" si="5"/>
        <v>0.34041666666666648</v>
      </c>
      <c r="K45" s="5">
        <f t="shared" ca="1" si="6"/>
        <v>1.7916666666666692E-2</v>
      </c>
      <c r="L45">
        <f t="shared" ca="1" si="7"/>
        <v>8592.4977777777767</v>
      </c>
      <c r="M45">
        <f t="shared" ca="1" si="8"/>
        <v>8592</v>
      </c>
      <c r="N45" t="str">
        <f t="shared" ca="1" si="9"/>
        <v>0010000110010000</v>
      </c>
      <c r="O45">
        <f t="shared" ca="1" si="10"/>
        <v>1000011</v>
      </c>
    </row>
    <row r="46" spans="4:15" x14ac:dyDescent="0.25">
      <c r="D46">
        <v>44</v>
      </c>
      <c r="E46">
        <f t="shared" si="1"/>
        <v>24.4</v>
      </c>
      <c r="F46">
        <f t="shared" ca="1" si="2"/>
        <v>22.2</v>
      </c>
      <c r="G46" s="1">
        <f t="shared" si="3"/>
        <v>0.36666666666666647</v>
      </c>
      <c r="H46" s="6">
        <f t="shared" ca="1" si="4"/>
        <v>0.18333333333333313</v>
      </c>
      <c r="I46" s="5">
        <f t="shared" ca="1" si="11"/>
        <v>0.18333333333333335</v>
      </c>
      <c r="J46" s="8">
        <f t="shared" ca="1" si="5"/>
        <v>0.38499999999999979</v>
      </c>
      <c r="K46" s="5">
        <f t="shared" ca="1" si="6"/>
        <v>1.8333333333333313E-2</v>
      </c>
      <c r="L46">
        <f t="shared" ca="1" si="7"/>
        <v>7463.8222222222203</v>
      </c>
      <c r="M46">
        <f t="shared" ca="1" si="8"/>
        <v>7464</v>
      </c>
      <c r="N46" t="str">
        <f t="shared" ca="1" si="9"/>
        <v>0001110100101000</v>
      </c>
      <c r="O46">
        <f t="shared" ca="1" si="10"/>
        <v>111010</v>
      </c>
    </row>
    <row r="47" spans="4:15" x14ac:dyDescent="0.25">
      <c r="D47">
        <v>45</v>
      </c>
      <c r="E47">
        <f t="shared" si="1"/>
        <v>24.5</v>
      </c>
      <c r="F47">
        <f t="shared" ca="1" si="2"/>
        <v>26.3</v>
      </c>
      <c r="G47" s="1">
        <f t="shared" si="3"/>
        <v>0.37499999999999978</v>
      </c>
      <c r="H47" s="6">
        <f t="shared" ca="1" si="4"/>
        <v>0.52499999999999969</v>
      </c>
      <c r="I47" s="5">
        <f t="shared" ca="1" si="11"/>
        <v>0.14999999999999991</v>
      </c>
      <c r="J47" s="8">
        <f t="shared" ca="1" si="5"/>
        <v>0.35624999999999979</v>
      </c>
      <c r="K47" s="5">
        <f t="shared" ca="1" si="6"/>
        <v>1.8749999999999989E-2</v>
      </c>
      <c r="L47">
        <f t="shared" ca="1" si="7"/>
        <v>11195.73333333333</v>
      </c>
      <c r="M47">
        <f t="shared" ca="1" si="8"/>
        <v>11196</v>
      </c>
      <c r="N47" t="str">
        <f t="shared" ca="1" si="9"/>
        <v>0010101110111100</v>
      </c>
      <c r="O47">
        <f t="shared" ca="1" si="10"/>
        <v>1010111</v>
      </c>
    </row>
    <row r="48" spans="4:15" x14ac:dyDescent="0.25">
      <c r="D48">
        <v>46</v>
      </c>
      <c r="E48">
        <f t="shared" si="1"/>
        <v>24.6</v>
      </c>
      <c r="F48">
        <f t="shared" ca="1" si="2"/>
        <v>25.520000000000003</v>
      </c>
      <c r="G48" s="1">
        <f t="shared" si="3"/>
        <v>0.38333333333333308</v>
      </c>
      <c r="H48" s="6">
        <f t="shared" ca="1" si="4"/>
        <v>0.46000000000000019</v>
      </c>
      <c r="I48" s="5">
        <f t="shared" ca="1" si="11"/>
        <v>7.6666666666667105E-2</v>
      </c>
      <c r="J48" s="8">
        <f t="shared" ca="1" si="5"/>
        <v>0.36416666666666642</v>
      </c>
      <c r="K48" s="5">
        <f t="shared" ca="1" si="6"/>
        <v>1.9166666666666665E-2</v>
      </c>
      <c r="L48">
        <f t="shared" ca="1" si="7"/>
        <v>10485.760000000002</v>
      </c>
      <c r="M48">
        <f t="shared" ca="1" si="8"/>
        <v>10486</v>
      </c>
      <c r="N48" t="str">
        <f t="shared" ca="1" si="9"/>
        <v>0010100011110110</v>
      </c>
      <c r="O48">
        <f t="shared" ca="1" si="10"/>
        <v>1010001</v>
      </c>
    </row>
    <row r="49" spans="4:15" x14ac:dyDescent="0.25">
      <c r="D49">
        <v>47</v>
      </c>
      <c r="E49">
        <f t="shared" si="1"/>
        <v>24.7</v>
      </c>
      <c r="F49">
        <f t="shared" ca="1" si="2"/>
        <v>26.11</v>
      </c>
      <c r="G49" s="1">
        <f t="shared" si="3"/>
        <v>0.39166666666666639</v>
      </c>
      <c r="H49" s="6">
        <f t="shared" ca="1" si="4"/>
        <v>0.50916666666666655</v>
      </c>
      <c r="I49" s="5">
        <f t="shared" ca="1" si="11"/>
        <v>0.11750000000000016</v>
      </c>
      <c r="J49" s="8">
        <f t="shared" ca="1" si="5"/>
        <v>0.37208333333333304</v>
      </c>
      <c r="K49" s="5">
        <f t="shared" ca="1" si="6"/>
        <v>1.9583333333333341E-2</v>
      </c>
      <c r="L49">
        <f t="shared" ca="1" si="7"/>
        <v>11022.79111111111</v>
      </c>
      <c r="M49">
        <f t="shared" ca="1" si="8"/>
        <v>11023</v>
      </c>
      <c r="N49" t="str">
        <f t="shared" ca="1" si="9"/>
        <v>0010101100001111</v>
      </c>
      <c r="O49">
        <f t="shared" ca="1" si="10"/>
        <v>1010110</v>
      </c>
    </row>
    <row r="50" spans="4:15" x14ac:dyDescent="0.25">
      <c r="D50">
        <v>48</v>
      </c>
      <c r="E50">
        <f t="shared" si="1"/>
        <v>24.8</v>
      </c>
      <c r="F50">
        <f t="shared" ca="1" si="2"/>
        <v>27.200000000000003</v>
      </c>
      <c r="G50" s="1">
        <f t="shared" si="3"/>
        <v>0.39999999999999969</v>
      </c>
      <c r="H50" s="6">
        <f t="shared" ca="1" si="4"/>
        <v>0.59999999999999987</v>
      </c>
      <c r="I50" s="5">
        <f t="shared" ca="1" si="11"/>
        <v>0.20000000000000018</v>
      </c>
      <c r="J50" s="8">
        <f t="shared" ca="1" si="5"/>
        <v>0.41999999999999971</v>
      </c>
      <c r="K50" s="5">
        <f t="shared" ca="1" si="6"/>
        <v>2.0000000000000018E-2</v>
      </c>
      <c r="L50">
        <f t="shared" ca="1" si="7"/>
        <v>12014.933333333332</v>
      </c>
      <c r="M50">
        <f t="shared" ca="1" si="8"/>
        <v>12015</v>
      </c>
      <c r="N50" t="str">
        <f t="shared" ca="1" si="9"/>
        <v>0010111011101111</v>
      </c>
      <c r="O50">
        <f t="shared" ca="1" si="10"/>
        <v>1011101</v>
      </c>
    </row>
    <row r="51" spans="4:15" x14ac:dyDescent="0.25">
      <c r="D51">
        <v>49</v>
      </c>
      <c r="E51">
        <f t="shared" si="1"/>
        <v>24.9</v>
      </c>
      <c r="F51">
        <f t="shared" ca="1" si="2"/>
        <v>25.88</v>
      </c>
      <c r="G51" s="1">
        <f t="shared" si="3"/>
        <v>0.40833333333333299</v>
      </c>
      <c r="H51" s="6">
        <f t="shared" ca="1" si="4"/>
        <v>0.48999999999999955</v>
      </c>
      <c r="I51" s="5">
        <f t="shared" ca="1" si="11"/>
        <v>8.1666666666666554E-2</v>
      </c>
      <c r="J51" s="8">
        <f t="shared" ca="1" si="5"/>
        <v>0.3879166666666663</v>
      </c>
      <c r="K51" s="5">
        <f t="shared" ca="1" si="6"/>
        <v>2.0416666666666694E-2</v>
      </c>
      <c r="L51">
        <f t="shared" ca="1" si="7"/>
        <v>10813.439999999995</v>
      </c>
      <c r="M51">
        <f t="shared" ca="1" si="8"/>
        <v>10813</v>
      </c>
      <c r="N51" t="str">
        <f t="shared" ca="1" si="9"/>
        <v>0010101000111101</v>
      </c>
      <c r="O51">
        <f t="shared" ca="1" si="10"/>
        <v>1010100</v>
      </c>
    </row>
    <row r="52" spans="4:15" x14ac:dyDescent="0.25">
      <c r="D52">
        <v>50</v>
      </c>
      <c r="E52">
        <f t="shared" si="1"/>
        <v>25</v>
      </c>
      <c r="F52">
        <f t="shared" ca="1" si="2"/>
        <v>25.5</v>
      </c>
      <c r="G52" s="1">
        <f t="shared" si="3"/>
        <v>0.4166666666666663</v>
      </c>
      <c r="H52" s="6">
        <f t="shared" ca="1" si="4"/>
        <v>0.45833333333333326</v>
      </c>
      <c r="I52" s="5">
        <f t="shared" ca="1" si="11"/>
        <v>4.1666666666666963E-2</v>
      </c>
      <c r="J52" s="8">
        <f t="shared" ca="1" si="5"/>
        <v>0.39583333333333298</v>
      </c>
      <c r="K52" s="5">
        <f t="shared" ca="1" si="6"/>
        <v>2.0833333333333315E-2</v>
      </c>
      <c r="L52">
        <f t="shared" ca="1" si="7"/>
        <v>10467.555555555555</v>
      </c>
      <c r="M52">
        <f t="shared" ca="1" si="8"/>
        <v>10468</v>
      </c>
      <c r="N52" t="str">
        <f t="shared" ca="1" si="9"/>
        <v>0010100011100100</v>
      </c>
      <c r="O52">
        <f t="shared" ca="1" si="10"/>
        <v>1010001</v>
      </c>
    </row>
    <row r="53" spans="4:15" x14ac:dyDescent="0.25">
      <c r="D53">
        <v>51</v>
      </c>
      <c r="E53">
        <f t="shared" si="1"/>
        <v>25.1</v>
      </c>
      <c r="F53">
        <f t="shared" ca="1" si="2"/>
        <v>26.12</v>
      </c>
      <c r="G53" s="1">
        <f t="shared" si="3"/>
        <v>0.42500000000000004</v>
      </c>
      <c r="H53" s="6">
        <f t="shared" ca="1" si="4"/>
        <v>0.51</v>
      </c>
      <c r="I53" s="5">
        <f t="shared" ca="1" si="11"/>
        <v>8.4999999999999964E-2</v>
      </c>
      <c r="J53" s="8">
        <f t="shared" ca="1" si="5"/>
        <v>0.44625000000000009</v>
      </c>
      <c r="K53" s="5">
        <f t="shared" ca="1" si="6"/>
        <v>2.1250000000000047E-2</v>
      </c>
      <c r="L53">
        <f t="shared" ca="1" si="7"/>
        <v>11031.893333333333</v>
      </c>
      <c r="M53">
        <f t="shared" ca="1" si="8"/>
        <v>11032</v>
      </c>
      <c r="N53" t="str">
        <f t="shared" ca="1" si="9"/>
        <v>0010101100011000</v>
      </c>
      <c r="O53">
        <f t="shared" ca="1" si="10"/>
        <v>1010110</v>
      </c>
    </row>
    <row r="54" spans="4:15" x14ac:dyDescent="0.25">
      <c r="D54">
        <v>52</v>
      </c>
      <c r="E54">
        <f t="shared" si="1"/>
        <v>25.2</v>
      </c>
      <c r="F54">
        <f t="shared" ca="1" si="2"/>
        <v>25.72</v>
      </c>
      <c r="G54" s="1">
        <f t="shared" si="3"/>
        <v>0.4333333333333329</v>
      </c>
      <c r="H54" s="6">
        <f t="shared" ca="1" si="4"/>
        <v>0.47666666666666635</v>
      </c>
      <c r="I54" s="5">
        <f t="shared" ca="1" si="11"/>
        <v>4.3333333333333446E-2</v>
      </c>
      <c r="J54" s="8">
        <f t="shared" ca="1" si="5"/>
        <v>0.41166666666666624</v>
      </c>
      <c r="K54" s="5">
        <f t="shared" ca="1" si="6"/>
        <v>2.1666666666666667E-2</v>
      </c>
      <c r="L54">
        <f t="shared" ca="1" si="7"/>
        <v>10667.80444444444</v>
      </c>
      <c r="M54">
        <f t="shared" ca="1" si="8"/>
        <v>10668</v>
      </c>
      <c r="N54" t="str">
        <f t="shared" ca="1" si="9"/>
        <v>0010100110101100</v>
      </c>
      <c r="O54">
        <f t="shared" ca="1" si="10"/>
        <v>1010011</v>
      </c>
    </row>
    <row r="55" spans="4:15" x14ac:dyDescent="0.25">
      <c r="D55">
        <v>53</v>
      </c>
      <c r="E55">
        <f t="shared" si="1"/>
        <v>25.3</v>
      </c>
      <c r="F55">
        <f t="shared" ca="1" si="2"/>
        <v>23.71</v>
      </c>
      <c r="G55" s="1">
        <f t="shared" si="3"/>
        <v>0.44166666666666665</v>
      </c>
      <c r="H55" s="6">
        <f t="shared" ca="1" si="4"/>
        <v>0.30916666666666659</v>
      </c>
      <c r="I55" s="5">
        <f t="shared" ca="1" si="11"/>
        <v>0.13250000000000006</v>
      </c>
      <c r="J55" s="8">
        <f t="shared" ca="1" si="5"/>
        <v>0.46375</v>
      </c>
      <c r="K55" s="5">
        <f t="shared" ca="1" si="6"/>
        <v>2.2083333333333344E-2</v>
      </c>
      <c r="L55">
        <f t="shared" ca="1" si="7"/>
        <v>8838.2577777777769</v>
      </c>
      <c r="M55">
        <f t="shared" ca="1" si="8"/>
        <v>8838</v>
      </c>
      <c r="N55" t="str">
        <f t="shared" ca="1" si="9"/>
        <v>0010001010000110</v>
      </c>
      <c r="O55">
        <f t="shared" ca="1" si="10"/>
        <v>1000101</v>
      </c>
    </row>
    <row r="56" spans="4:15" x14ac:dyDescent="0.25">
      <c r="D56">
        <v>54</v>
      </c>
      <c r="E56">
        <f t="shared" si="1"/>
        <v>25.4</v>
      </c>
      <c r="F56">
        <f t="shared" ca="1" si="2"/>
        <v>23.24</v>
      </c>
      <c r="G56" s="1">
        <f t="shared" si="3"/>
        <v>0.44999999999999951</v>
      </c>
      <c r="H56" s="6">
        <f t="shared" ca="1" si="4"/>
        <v>0.2699999999999998</v>
      </c>
      <c r="I56" s="5">
        <f t="shared" ca="1" si="11"/>
        <v>0.17999999999999972</v>
      </c>
      <c r="J56" s="8">
        <f t="shared" ca="1" si="5"/>
        <v>0.47249999999999953</v>
      </c>
      <c r="K56" s="5">
        <f t="shared" ca="1" si="6"/>
        <v>2.250000000000002E-2</v>
      </c>
      <c r="L56">
        <f t="shared" ca="1" si="7"/>
        <v>8410.4533333333311</v>
      </c>
      <c r="M56">
        <f t="shared" ca="1" si="8"/>
        <v>8410</v>
      </c>
      <c r="N56" t="str">
        <f t="shared" ca="1" si="9"/>
        <v>0010000011011010</v>
      </c>
      <c r="O56">
        <f t="shared" ca="1" si="10"/>
        <v>1000001</v>
      </c>
    </row>
    <row r="57" spans="4:15" x14ac:dyDescent="0.25">
      <c r="D57">
        <v>55</v>
      </c>
      <c r="E57">
        <f t="shared" si="1"/>
        <v>25.5</v>
      </c>
      <c r="F57">
        <f t="shared" ca="1" si="2"/>
        <v>27.7</v>
      </c>
      <c r="G57" s="1">
        <f t="shared" si="3"/>
        <v>0.45833333333333326</v>
      </c>
      <c r="H57" s="6">
        <f t="shared" ca="1" si="4"/>
        <v>0.64166666666666639</v>
      </c>
      <c r="I57" s="5">
        <f t="shared" ca="1" si="11"/>
        <v>0.18333333333333313</v>
      </c>
      <c r="J57" s="8">
        <f t="shared" ca="1" si="5"/>
        <v>0.48124999999999996</v>
      </c>
      <c r="K57" s="5">
        <f t="shared" ca="1" si="6"/>
        <v>2.2916666666666696E-2</v>
      </c>
      <c r="L57">
        <f t="shared" ca="1" si="7"/>
        <v>12470.044444444442</v>
      </c>
      <c r="M57">
        <f t="shared" ca="1" si="8"/>
        <v>12470</v>
      </c>
      <c r="N57" t="str">
        <f t="shared" ca="1" si="9"/>
        <v>0011000010110110</v>
      </c>
      <c r="O57">
        <f t="shared" ca="1" si="10"/>
        <v>1100001</v>
      </c>
    </row>
    <row r="58" spans="4:15" x14ac:dyDescent="0.25">
      <c r="D58">
        <v>56</v>
      </c>
      <c r="E58">
        <f t="shared" si="1"/>
        <v>25.6</v>
      </c>
      <c r="F58">
        <f t="shared" ca="1" si="2"/>
        <v>26.720000000000002</v>
      </c>
      <c r="G58" s="1">
        <f t="shared" si="3"/>
        <v>0.46666666666666656</v>
      </c>
      <c r="H58" s="6">
        <f t="shared" ca="1" si="4"/>
        <v>0.55999999999999983</v>
      </c>
      <c r="I58" s="5">
        <f t="shared" ca="1" si="11"/>
        <v>9.3333333333333268E-2</v>
      </c>
      <c r="J58" s="8">
        <f t="shared" ca="1" si="5"/>
        <v>0.48999999999999994</v>
      </c>
      <c r="K58" s="5">
        <f t="shared" ca="1" si="6"/>
        <v>2.3333333333333373E-2</v>
      </c>
      <c r="L58">
        <f t="shared" ca="1" si="7"/>
        <v>11578.026666666665</v>
      </c>
      <c r="M58">
        <f t="shared" ca="1" si="8"/>
        <v>11578</v>
      </c>
      <c r="N58" t="str">
        <f t="shared" ca="1" si="9"/>
        <v>0010110100111010</v>
      </c>
      <c r="O58">
        <f t="shared" ca="1" si="10"/>
        <v>1011010</v>
      </c>
    </row>
    <row r="59" spans="4:15" x14ac:dyDescent="0.25">
      <c r="D59">
        <v>57</v>
      </c>
      <c r="E59">
        <f t="shared" si="1"/>
        <v>25.7</v>
      </c>
      <c r="F59">
        <f t="shared" ca="1" si="2"/>
        <v>27.41</v>
      </c>
      <c r="G59" s="1">
        <f t="shared" si="3"/>
        <v>0.47499999999999987</v>
      </c>
      <c r="H59" s="6">
        <f t="shared" ca="1" si="4"/>
        <v>0.61749999999999994</v>
      </c>
      <c r="I59" s="5">
        <f t="shared" ca="1" si="11"/>
        <v>0.14250000000000007</v>
      </c>
      <c r="J59" s="8">
        <f t="shared" ca="1" si="5"/>
        <v>0.45124999999999987</v>
      </c>
      <c r="K59" s="5">
        <f t="shared" ca="1" si="6"/>
        <v>2.3749999999999993E-2</v>
      </c>
      <c r="L59">
        <f t="shared" ca="1" si="7"/>
        <v>12206.08</v>
      </c>
      <c r="M59">
        <f t="shared" ca="1" si="8"/>
        <v>12206</v>
      </c>
      <c r="N59" t="str">
        <f t="shared" ca="1" si="9"/>
        <v>0010111110101110</v>
      </c>
      <c r="O59">
        <f t="shared" ca="1" si="10"/>
        <v>1011111</v>
      </c>
    </row>
    <row r="60" spans="4:15" x14ac:dyDescent="0.25">
      <c r="D60">
        <v>58</v>
      </c>
      <c r="E60">
        <f t="shared" si="1"/>
        <v>25.8</v>
      </c>
      <c r="F60">
        <f t="shared" ca="1" si="2"/>
        <v>28.12</v>
      </c>
      <c r="G60" s="1">
        <f t="shared" si="3"/>
        <v>0.48333333333333317</v>
      </c>
      <c r="H60" s="6">
        <f t="shared" ca="1" si="4"/>
        <v>0.67666666666666653</v>
      </c>
      <c r="I60" s="5">
        <f t="shared" ca="1" si="11"/>
        <v>0.19333333333333336</v>
      </c>
      <c r="J60" s="8">
        <f t="shared" ca="1" si="5"/>
        <v>0.50749999999999984</v>
      </c>
      <c r="K60" s="5">
        <f t="shared" ca="1" si="6"/>
        <v>2.416666666666667E-2</v>
      </c>
      <c r="L60">
        <f t="shared" ca="1" si="7"/>
        <v>12852.337777777777</v>
      </c>
      <c r="M60">
        <f t="shared" ca="1" si="8"/>
        <v>12852</v>
      </c>
      <c r="N60" t="str">
        <f t="shared" ca="1" si="9"/>
        <v>0011001000110100</v>
      </c>
      <c r="O60">
        <f t="shared" ca="1" si="10"/>
        <v>1100100</v>
      </c>
    </row>
    <row r="61" spans="4:15" x14ac:dyDescent="0.25">
      <c r="D61">
        <v>59</v>
      </c>
      <c r="E61">
        <f t="shared" si="1"/>
        <v>25.9</v>
      </c>
      <c r="F61">
        <f t="shared" ca="1" si="2"/>
        <v>27.669999999999998</v>
      </c>
      <c r="G61" s="1">
        <f t="shared" si="3"/>
        <v>0.49166666666666647</v>
      </c>
      <c r="H61" s="6">
        <f t="shared" ca="1" si="4"/>
        <v>0.63916666666666644</v>
      </c>
      <c r="I61" s="5">
        <f t="shared" ca="1" si="11"/>
        <v>0.14749999999999996</v>
      </c>
      <c r="J61" s="8">
        <f t="shared" ca="1" si="5"/>
        <v>0.46708333333333313</v>
      </c>
      <c r="K61" s="5">
        <f t="shared" ca="1" si="6"/>
        <v>2.4583333333333346E-2</v>
      </c>
      <c r="L61">
        <f t="shared" ca="1" si="7"/>
        <v>12442.737777777775</v>
      </c>
      <c r="M61">
        <f t="shared" ca="1" si="8"/>
        <v>12443</v>
      </c>
      <c r="N61" t="str">
        <f t="shared" ca="1" si="9"/>
        <v>0011000010011011</v>
      </c>
      <c r="O61">
        <f t="shared" ca="1" si="10"/>
        <v>1100001</v>
      </c>
    </row>
    <row r="62" spans="4:15" x14ac:dyDescent="0.25">
      <c r="D62">
        <v>60</v>
      </c>
      <c r="E62">
        <f t="shared" si="1"/>
        <v>26</v>
      </c>
      <c r="F62">
        <f t="shared" ca="1" si="2"/>
        <v>29</v>
      </c>
      <c r="G62" s="1">
        <f t="shared" si="3"/>
        <v>0.49999999999999978</v>
      </c>
      <c r="H62" s="6">
        <f t="shared" ca="1" si="4"/>
        <v>0.74999999999999978</v>
      </c>
      <c r="I62" s="5">
        <f t="shared" ca="1" si="11"/>
        <v>0.25</v>
      </c>
      <c r="J62" s="8">
        <f t="shared" ca="1" si="5"/>
        <v>0.5249999999999998</v>
      </c>
      <c r="K62" s="5">
        <f t="shared" ca="1" si="6"/>
        <v>2.5000000000000022E-2</v>
      </c>
      <c r="L62">
        <f t="shared" ca="1" si="7"/>
        <v>13653.33333333333</v>
      </c>
      <c r="M62">
        <f t="shared" ca="1" si="8"/>
        <v>13653</v>
      </c>
      <c r="N62" t="str">
        <f t="shared" ca="1" si="9"/>
        <v>0011010101010101</v>
      </c>
      <c r="O62">
        <f t="shared" ca="1" si="10"/>
        <v>1101010</v>
      </c>
    </row>
    <row r="63" spans="4:15" x14ac:dyDescent="0.25">
      <c r="D63">
        <v>61</v>
      </c>
      <c r="E63">
        <f t="shared" si="1"/>
        <v>26.1</v>
      </c>
      <c r="F63">
        <f t="shared" ca="1" si="2"/>
        <v>26.71</v>
      </c>
      <c r="G63" s="1">
        <f t="shared" si="3"/>
        <v>0.50833333333333308</v>
      </c>
      <c r="H63" s="6">
        <f t="shared" ca="1" si="4"/>
        <v>0.55916666666666637</v>
      </c>
      <c r="I63" s="5">
        <f t="shared" ca="1" si="11"/>
        <v>5.0833333333333286E-2</v>
      </c>
      <c r="J63" s="8">
        <f t="shared" ca="1" si="5"/>
        <v>0.53374999999999972</v>
      </c>
      <c r="K63" s="5">
        <f t="shared" ca="1" si="6"/>
        <v>2.5416666666666643E-2</v>
      </c>
      <c r="L63">
        <f t="shared" ca="1" si="7"/>
        <v>11568.924444444441</v>
      </c>
      <c r="M63">
        <f t="shared" ca="1" si="8"/>
        <v>11569</v>
      </c>
      <c r="N63" t="str">
        <f t="shared" ca="1" si="9"/>
        <v>0010110100110001</v>
      </c>
      <c r="O63">
        <f t="shared" ca="1" si="10"/>
        <v>1011010</v>
      </c>
    </row>
    <row r="64" spans="4:15" x14ac:dyDescent="0.25">
      <c r="D64">
        <v>62</v>
      </c>
      <c r="E64">
        <f t="shared" si="1"/>
        <v>26.2</v>
      </c>
      <c r="F64">
        <f t="shared" ca="1" si="2"/>
        <v>28.06</v>
      </c>
      <c r="G64" s="1">
        <f t="shared" si="3"/>
        <v>0.51666666666666639</v>
      </c>
      <c r="H64" s="6">
        <f t="shared" ca="1" si="4"/>
        <v>0.67166666666666619</v>
      </c>
      <c r="I64" s="5">
        <f t="shared" ca="1" si="11"/>
        <v>0.1549999999999998</v>
      </c>
      <c r="J64" s="8">
        <f t="shared" ca="1" si="5"/>
        <v>0.49083333333333307</v>
      </c>
      <c r="K64" s="5">
        <f t="shared" ca="1" si="6"/>
        <v>2.5833333333333319E-2</v>
      </c>
      <c r="L64">
        <f t="shared" ca="1" si="7"/>
        <v>12797.724444444439</v>
      </c>
      <c r="M64">
        <f t="shared" ca="1" si="8"/>
        <v>12798</v>
      </c>
      <c r="N64" t="str">
        <f t="shared" ca="1" si="9"/>
        <v>0011000111111110</v>
      </c>
      <c r="O64">
        <f t="shared" ca="1" si="10"/>
        <v>1100011</v>
      </c>
    </row>
    <row r="65" spans="4:15" x14ac:dyDescent="0.25">
      <c r="D65">
        <v>63</v>
      </c>
      <c r="E65">
        <f t="shared" si="1"/>
        <v>26.3</v>
      </c>
      <c r="F65">
        <f t="shared" ca="1" si="2"/>
        <v>26.3</v>
      </c>
      <c r="G65" s="1">
        <f t="shared" si="3"/>
        <v>0.52499999999999969</v>
      </c>
      <c r="H65" s="6">
        <f t="shared" ca="1" si="4"/>
        <v>0.52499999999999969</v>
      </c>
      <c r="I65" s="5">
        <f t="shared" ca="1" si="11"/>
        <v>0</v>
      </c>
      <c r="J65" s="8">
        <f t="shared" ca="1" si="5"/>
        <v>0.49874999999999969</v>
      </c>
      <c r="K65" s="5">
        <f t="shared" ca="1" si="6"/>
        <v>2.6249999999999996E-2</v>
      </c>
      <c r="L65">
        <f t="shared" ca="1" si="7"/>
        <v>11195.73333333333</v>
      </c>
      <c r="M65">
        <f t="shared" ca="1" si="8"/>
        <v>11196</v>
      </c>
      <c r="N65" t="str">
        <f t="shared" ca="1" si="9"/>
        <v>0010101110111100</v>
      </c>
      <c r="O65">
        <f t="shared" ca="1" si="10"/>
        <v>1010111</v>
      </c>
    </row>
    <row r="66" spans="4:15" x14ac:dyDescent="0.25">
      <c r="D66">
        <v>64</v>
      </c>
      <c r="E66">
        <f t="shared" si="1"/>
        <v>26.4</v>
      </c>
      <c r="F66">
        <f t="shared" ca="1" si="2"/>
        <v>25.119999999999997</v>
      </c>
      <c r="G66" s="1">
        <f t="shared" si="3"/>
        <v>0.53333333333333299</v>
      </c>
      <c r="H66" s="6">
        <f t="shared" ca="1" si="4"/>
        <v>0.42666666666666608</v>
      </c>
      <c r="I66" s="5">
        <f t="shared" ca="1" si="11"/>
        <v>0.10666666666666691</v>
      </c>
      <c r="J66" s="8">
        <f t="shared" ca="1" si="5"/>
        <v>0.50666666666666627</v>
      </c>
      <c r="K66" s="5">
        <f t="shared" ca="1" si="6"/>
        <v>2.6666666666666727E-2</v>
      </c>
      <c r="L66">
        <f t="shared" ca="1" si="7"/>
        <v>10121.671111111105</v>
      </c>
      <c r="M66">
        <f t="shared" ca="1" si="8"/>
        <v>10122</v>
      </c>
      <c r="N66" t="str">
        <f t="shared" ca="1" si="9"/>
        <v>0010011110001010</v>
      </c>
      <c r="O66">
        <f t="shared" ca="1" si="10"/>
        <v>1001111</v>
      </c>
    </row>
    <row r="67" spans="4:15" x14ac:dyDescent="0.25">
      <c r="D67">
        <v>65</v>
      </c>
      <c r="E67">
        <f t="shared" ref="E67:E130" si="12">0.1*D67+20</f>
        <v>26.5</v>
      </c>
      <c r="F67">
        <f t="shared" ref="F67:F130" ca="1" si="13">0.1*D67+20 + (RANDBETWEEN(-5,5)/100)*D67</f>
        <v>28.45</v>
      </c>
      <c r="G67" s="1">
        <f t="shared" ref="G67:G130" si="14">1/12*E67-5/3</f>
        <v>0.5416666666666663</v>
      </c>
      <c r="H67" s="6">
        <f t="shared" ref="H67:H130" ca="1" si="15">1/12*F67-5/3</f>
        <v>0.70416666666666639</v>
      </c>
      <c r="I67" s="5">
        <f t="shared" ref="I67:I130" ca="1" si="16">ABS(G67-H67)</f>
        <v>0.16250000000000009</v>
      </c>
      <c r="J67" s="8">
        <f t="shared" ref="J67:J130" ca="1" si="17" xml:space="preserve"> G67 * (1 + $B$1 * IF(RANDBETWEEN(0,1)=0,-1,1))</f>
        <v>0.51458333333333295</v>
      </c>
      <c r="K67" s="5">
        <f t="shared" ref="K67:K130" ca="1" si="18">ABS(G67-J67)</f>
        <v>2.7083333333333348E-2</v>
      </c>
      <c r="L67">
        <f t="shared" ref="L67:L130" ca="1" si="19">(H67-$B$2)/($B$3-$B$2)*(2^$B$4)</f>
        <v>13152.711111111108</v>
      </c>
      <c r="M67">
        <f t="shared" ref="M67:M130" ca="1" si="20">ROUND(L67,0)</f>
        <v>13153</v>
      </c>
      <c r="N67" t="str">
        <f t="shared" ref="N67:N130" ca="1" si="21">_xlfn.BASE(M67,2,$B$4)</f>
        <v>0011001101100001</v>
      </c>
      <c r="O67">
        <f t="shared" ref="O67:O130" ca="1" si="22">VALUE(LEFT(N67,9))</f>
        <v>1100110</v>
      </c>
    </row>
    <row r="68" spans="4:15" x14ac:dyDescent="0.25">
      <c r="D68">
        <v>66</v>
      </c>
      <c r="E68">
        <f t="shared" si="12"/>
        <v>26.6</v>
      </c>
      <c r="F68">
        <f t="shared" ca="1" si="13"/>
        <v>25.28</v>
      </c>
      <c r="G68" s="1">
        <f t="shared" si="14"/>
        <v>0.55000000000000004</v>
      </c>
      <c r="H68" s="6">
        <f t="shared" ca="1" si="15"/>
        <v>0.43999999999999972</v>
      </c>
      <c r="I68" s="5">
        <f t="shared" ca="1" si="16"/>
        <v>0.11000000000000032</v>
      </c>
      <c r="J68" s="8">
        <f t="shared" ca="1" si="17"/>
        <v>0.52249999999999996</v>
      </c>
      <c r="K68" s="5">
        <f t="shared" ca="1" si="18"/>
        <v>2.750000000000008E-2</v>
      </c>
      <c r="L68">
        <f t="shared" ca="1" si="19"/>
        <v>10267.306666666664</v>
      </c>
      <c r="M68">
        <f t="shared" ca="1" si="20"/>
        <v>10267</v>
      </c>
      <c r="N68" t="str">
        <f t="shared" ca="1" si="21"/>
        <v>0010100000011011</v>
      </c>
      <c r="O68">
        <f t="shared" ca="1" si="22"/>
        <v>1010000</v>
      </c>
    </row>
    <row r="69" spans="4:15" x14ac:dyDescent="0.25">
      <c r="D69">
        <v>67</v>
      </c>
      <c r="E69">
        <f t="shared" si="12"/>
        <v>26.7</v>
      </c>
      <c r="F69">
        <f t="shared" ca="1" si="13"/>
        <v>27.37</v>
      </c>
      <c r="G69" s="1">
        <f t="shared" si="14"/>
        <v>0.5583333333333329</v>
      </c>
      <c r="H69" s="6">
        <f t="shared" ca="1" si="15"/>
        <v>0.61416666666666653</v>
      </c>
      <c r="I69" s="5">
        <f t="shared" ca="1" si="16"/>
        <v>5.5833333333333623E-2</v>
      </c>
      <c r="J69" s="8">
        <f t="shared" ca="1" si="17"/>
        <v>0.5304166666666662</v>
      </c>
      <c r="K69" s="5">
        <f t="shared" ca="1" si="18"/>
        <v>2.7916666666666701E-2</v>
      </c>
      <c r="L69">
        <f t="shared" ca="1" si="19"/>
        <v>12169.671111111109</v>
      </c>
      <c r="M69">
        <f t="shared" ca="1" si="20"/>
        <v>12170</v>
      </c>
      <c r="N69" t="str">
        <f t="shared" ca="1" si="21"/>
        <v>0010111110001010</v>
      </c>
      <c r="O69">
        <f t="shared" ca="1" si="22"/>
        <v>1011111</v>
      </c>
    </row>
    <row r="70" spans="4:15" x14ac:dyDescent="0.25">
      <c r="D70">
        <v>68</v>
      </c>
      <c r="E70">
        <f t="shared" si="12"/>
        <v>26.8</v>
      </c>
      <c r="F70">
        <f t="shared" ca="1" si="13"/>
        <v>24.76</v>
      </c>
      <c r="G70" s="1">
        <f t="shared" si="14"/>
        <v>0.56666666666666665</v>
      </c>
      <c r="H70" s="6">
        <f t="shared" ca="1" si="15"/>
        <v>0.39666666666666672</v>
      </c>
      <c r="I70" s="5">
        <f t="shared" ca="1" si="16"/>
        <v>0.16999999999999993</v>
      </c>
      <c r="J70" s="8">
        <f t="shared" ca="1" si="17"/>
        <v>0.59499999999999997</v>
      </c>
      <c r="K70" s="5">
        <f t="shared" ca="1" si="18"/>
        <v>2.8333333333333321E-2</v>
      </c>
      <c r="L70">
        <f t="shared" ca="1" si="19"/>
        <v>9793.9911111111123</v>
      </c>
      <c r="M70">
        <f t="shared" ca="1" si="20"/>
        <v>9794</v>
      </c>
      <c r="N70" t="str">
        <f t="shared" ca="1" si="21"/>
        <v>0010011001000010</v>
      </c>
      <c r="O70">
        <f t="shared" ca="1" si="22"/>
        <v>1001100</v>
      </c>
    </row>
    <row r="71" spans="4:15" x14ac:dyDescent="0.25">
      <c r="D71">
        <v>69</v>
      </c>
      <c r="E71">
        <f t="shared" si="12"/>
        <v>26.9</v>
      </c>
      <c r="F71">
        <f t="shared" ca="1" si="13"/>
        <v>28.97</v>
      </c>
      <c r="G71" s="1">
        <f t="shared" si="14"/>
        <v>0.57499999999999951</v>
      </c>
      <c r="H71" s="6">
        <f t="shared" ca="1" si="15"/>
        <v>0.74749999999999983</v>
      </c>
      <c r="I71" s="5">
        <f t="shared" ca="1" si="16"/>
        <v>0.17250000000000032</v>
      </c>
      <c r="J71" s="8">
        <f t="shared" ca="1" si="17"/>
        <v>0.60374999999999956</v>
      </c>
      <c r="K71" s="5">
        <f t="shared" ca="1" si="18"/>
        <v>2.8750000000000053E-2</v>
      </c>
      <c r="L71">
        <f t="shared" ca="1" si="19"/>
        <v>13626.026666666665</v>
      </c>
      <c r="M71">
        <f t="shared" ca="1" si="20"/>
        <v>13626</v>
      </c>
      <c r="N71" t="str">
        <f t="shared" ca="1" si="21"/>
        <v>0011010100111010</v>
      </c>
      <c r="O71">
        <f t="shared" ca="1" si="22"/>
        <v>1101010</v>
      </c>
    </row>
    <row r="72" spans="4:15" x14ac:dyDescent="0.25">
      <c r="D72">
        <v>70</v>
      </c>
      <c r="E72">
        <f t="shared" si="12"/>
        <v>27</v>
      </c>
      <c r="F72">
        <f t="shared" ca="1" si="13"/>
        <v>29.8</v>
      </c>
      <c r="G72" s="1">
        <f t="shared" si="14"/>
        <v>0.58333333333333326</v>
      </c>
      <c r="H72" s="6">
        <f t="shared" ca="1" si="15"/>
        <v>0.81666666666666665</v>
      </c>
      <c r="I72" s="5">
        <f t="shared" ca="1" si="16"/>
        <v>0.23333333333333339</v>
      </c>
      <c r="J72" s="8">
        <f t="shared" ca="1" si="17"/>
        <v>0.55416666666666659</v>
      </c>
      <c r="K72" s="5">
        <f t="shared" ca="1" si="18"/>
        <v>2.9166666666666674E-2</v>
      </c>
      <c r="L72">
        <f t="shared" ca="1" si="19"/>
        <v>14381.511111111111</v>
      </c>
      <c r="M72">
        <f t="shared" ca="1" si="20"/>
        <v>14382</v>
      </c>
      <c r="N72" t="str">
        <f t="shared" ca="1" si="21"/>
        <v>0011100000101110</v>
      </c>
      <c r="O72">
        <f t="shared" ca="1" si="22"/>
        <v>1110000</v>
      </c>
    </row>
    <row r="73" spans="4:15" x14ac:dyDescent="0.25">
      <c r="D73">
        <v>71</v>
      </c>
      <c r="E73">
        <f t="shared" si="12"/>
        <v>27.1</v>
      </c>
      <c r="F73">
        <f t="shared" ca="1" si="13"/>
        <v>24.26</v>
      </c>
      <c r="G73" s="1">
        <f t="shared" si="14"/>
        <v>0.59166666666666656</v>
      </c>
      <c r="H73" s="6">
        <f t="shared" ca="1" si="15"/>
        <v>0.35499999999999976</v>
      </c>
      <c r="I73" s="5">
        <f t="shared" ca="1" si="16"/>
        <v>0.2366666666666668</v>
      </c>
      <c r="J73" s="8">
        <f t="shared" ca="1" si="17"/>
        <v>0.56208333333333316</v>
      </c>
      <c r="K73" s="5">
        <f t="shared" ca="1" si="18"/>
        <v>2.9583333333333406E-2</v>
      </c>
      <c r="L73">
        <f t="shared" ca="1" si="19"/>
        <v>9338.8799999999974</v>
      </c>
      <c r="M73">
        <f t="shared" ca="1" si="20"/>
        <v>9339</v>
      </c>
      <c r="N73" t="str">
        <f t="shared" ca="1" si="21"/>
        <v>0010010001111011</v>
      </c>
      <c r="O73">
        <f t="shared" ca="1" si="22"/>
        <v>1001000</v>
      </c>
    </row>
    <row r="74" spans="4:15" x14ac:dyDescent="0.25">
      <c r="D74">
        <v>72</v>
      </c>
      <c r="E74">
        <f t="shared" si="12"/>
        <v>27.2</v>
      </c>
      <c r="F74">
        <f t="shared" ca="1" si="13"/>
        <v>25.759999999999998</v>
      </c>
      <c r="G74" s="1">
        <f t="shared" si="14"/>
        <v>0.59999999999999987</v>
      </c>
      <c r="H74" s="6">
        <f t="shared" ca="1" si="15"/>
        <v>0.47999999999999976</v>
      </c>
      <c r="I74" s="5">
        <f t="shared" ca="1" si="16"/>
        <v>0.12000000000000011</v>
      </c>
      <c r="J74" s="8">
        <f t="shared" ca="1" si="17"/>
        <v>0.62999999999999989</v>
      </c>
      <c r="K74" s="5">
        <f t="shared" ca="1" si="18"/>
        <v>3.0000000000000027E-2</v>
      </c>
      <c r="L74">
        <f t="shared" ca="1" si="19"/>
        <v>10704.213333333331</v>
      </c>
      <c r="M74">
        <f t="shared" ca="1" si="20"/>
        <v>10704</v>
      </c>
      <c r="N74" t="str">
        <f t="shared" ca="1" si="21"/>
        <v>0010100111010000</v>
      </c>
      <c r="O74">
        <f t="shared" ca="1" si="22"/>
        <v>1010011</v>
      </c>
    </row>
    <row r="75" spans="4:15" x14ac:dyDescent="0.25">
      <c r="D75">
        <v>73</v>
      </c>
      <c r="E75">
        <f t="shared" si="12"/>
        <v>27.3</v>
      </c>
      <c r="F75">
        <f t="shared" ca="1" si="13"/>
        <v>29.490000000000002</v>
      </c>
      <c r="G75" s="1">
        <f t="shared" si="14"/>
        <v>0.60833333333333317</v>
      </c>
      <c r="H75" s="6">
        <f t="shared" ca="1" si="15"/>
        <v>0.79083333333333328</v>
      </c>
      <c r="I75" s="5">
        <f t="shared" ca="1" si="16"/>
        <v>0.18250000000000011</v>
      </c>
      <c r="J75" s="8">
        <f t="shared" ca="1" si="17"/>
        <v>0.63874999999999982</v>
      </c>
      <c r="K75" s="5">
        <f t="shared" ca="1" si="18"/>
        <v>3.0416666666666647E-2</v>
      </c>
      <c r="L75">
        <f t="shared" ca="1" si="19"/>
        <v>14099.342222222222</v>
      </c>
      <c r="M75">
        <f t="shared" ca="1" si="20"/>
        <v>14099</v>
      </c>
      <c r="N75" t="str">
        <f t="shared" ca="1" si="21"/>
        <v>0011011100010011</v>
      </c>
      <c r="O75">
        <f t="shared" ca="1" si="22"/>
        <v>1101110</v>
      </c>
    </row>
    <row r="76" spans="4:15" x14ac:dyDescent="0.25">
      <c r="D76">
        <v>74</v>
      </c>
      <c r="E76">
        <f t="shared" si="12"/>
        <v>27.4</v>
      </c>
      <c r="F76">
        <f t="shared" ca="1" si="13"/>
        <v>27.4</v>
      </c>
      <c r="G76" s="1">
        <f t="shared" si="14"/>
        <v>0.61666666666666647</v>
      </c>
      <c r="H76" s="6">
        <f t="shared" ca="1" si="15"/>
        <v>0.61666666666666647</v>
      </c>
      <c r="I76" s="5">
        <f t="shared" ca="1" si="16"/>
        <v>0</v>
      </c>
      <c r="J76" s="8">
        <f t="shared" ca="1" si="17"/>
        <v>0.5858333333333331</v>
      </c>
      <c r="K76" s="5">
        <f t="shared" ca="1" si="18"/>
        <v>3.0833333333333379E-2</v>
      </c>
      <c r="L76">
        <f t="shared" ca="1" si="19"/>
        <v>12196.977777777776</v>
      </c>
      <c r="M76">
        <f t="shared" ca="1" si="20"/>
        <v>12197</v>
      </c>
      <c r="N76" t="str">
        <f t="shared" ca="1" si="21"/>
        <v>0010111110100101</v>
      </c>
      <c r="O76">
        <f t="shared" ca="1" si="22"/>
        <v>1011111</v>
      </c>
    </row>
    <row r="77" spans="4:15" x14ac:dyDescent="0.25">
      <c r="D77">
        <v>75</v>
      </c>
      <c r="E77">
        <f t="shared" si="12"/>
        <v>27.5</v>
      </c>
      <c r="F77">
        <f t="shared" ca="1" si="13"/>
        <v>23.75</v>
      </c>
      <c r="G77" s="1">
        <f t="shared" si="14"/>
        <v>0.62499999999999978</v>
      </c>
      <c r="H77" s="6">
        <f t="shared" ca="1" si="15"/>
        <v>0.31249999999999978</v>
      </c>
      <c r="I77" s="5">
        <f t="shared" ca="1" si="16"/>
        <v>0.3125</v>
      </c>
      <c r="J77" s="8">
        <f t="shared" ca="1" si="17"/>
        <v>0.59374999999999978</v>
      </c>
      <c r="K77" s="5">
        <f t="shared" ca="1" si="18"/>
        <v>3.125E-2</v>
      </c>
      <c r="L77">
        <f t="shared" ca="1" si="19"/>
        <v>8874.6666666666642</v>
      </c>
      <c r="M77">
        <f t="shared" ca="1" si="20"/>
        <v>8875</v>
      </c>
      <c r="N77" t="str">
        <f t="shared" ca="1" si="21"/>
        <v>0010001010101011</v>
      </c>
      <c r="O77">
        <f t="shared" ca="1" si="22"/>
        <v>1000101</v>
      </c>
    </row>
    <row r="78" spans="4:15" x14ac:dyDescent="0.25">
      <c r="D78">
        <v>76</v>
      </c>
      <c r="E78">
        <f t="shared" si="12"/>
        <v>27.6</v>
      </c>
      <c r="F78">
        <f t="shared" ca="1" si="13"/>
        <v>24.560000000000002</v>
      </c>
      <c r="G78" s="1">
        <f t="shared" si="14"/>
        <v>0.63333333333333308</v>
      </c>
      <c r="H78" s="6">
        <f t="shared" ca="1" si="15"/>
        <v>0.38000000000000012</v>
      </c>
      <c r="I78" s="5">
        <f t="shared" ca="1" si="16"/>
        <v>0.25333333333333297</v>
      </c>
      <c r="J78" s="8">
        <f t="shared" ca="1" si="17"/>
        <v>0.66499999999999981</v>
      </c>
      <c r="K78" s="5">
        <f t="shared" ca="1" si="18"/>
        <v>3.1666666666666732E-2</v>
      </c>
      <c r="L78">
        <f t="shared" ca="1" si="19"/>
        <v>9611.9466666666685</v>
      </c>
      <c r="M78">
        <f t="shared" ca="1" si="20"/>
        <v>9612</v>
      </c>
      <c r="N78" t="str">
        <f t="shared" ca="1" si="21"/>
        <v>0010010110001100</v>
      </c>
      <c r="O78">
        <f t="shared" ca="1" si="22"/>
        <v>1001011</v>
      </c>
    </row>
    <row r="79" spans="4:15" x14ac:dyDescent="0.25">
      <c r="D79">
        <v>77</v>
      </c>
      <c r="E79">
        <f t="shared" si="12"/>
        <v>27.7</v>
      </c>
      <c r="F79">
        <f t="shared" ca="1" si="13"/>
        <v>30.009999999999998</v>
      </c>
      <c r="G79" s="1">
        <f t="shared" si="14"/>
        <v>0.64166666666666639</v>
      </c>
      <c r="H79" s="6">
        <f t="shared" ca="1" si="15"/>
        <v>0.83416666666666628</v>
      </c>
      <c r="I79" s="5">
        <f t="shared" ca="1" si="16"/>
        <v>0.19249999999999989</v>
      </c>
      <c r="J79" s="8">
        <f t="shared" ca="1" si="17"/>
        <v>0.67374999999999974</v>
      </c>
      <c r="K79" s="5">
        <f t="shared" ca="1" si="18"/>
        <v>3.2083333333333353E-2</v>
      </c>
      <c r="L79">
        <f t="shared" ca="1" si="19"/>
        <v>14572.657777777773</v>
      </c>
      <c r="M79">
        <f t="shared" ca="1" si="20"/>
        <v>14573</v>
      </c>
      <c r="N79" t="str">
        <f t="shared" ca="1" si="21"/>
        <v>0011100011101101</v>
      </c>
      <c r="O79">
        <f t="shared" ca="1" si="22"/>
        <v>1110001</v>
      </c>
    </row>
    <row r="80" spans="4:15" x14ac:dyDescent="0.25">
      <c r="D80">
        <v>78</v>
      </c>
      <c r="E80">
        <f t="shared" si="12"/>
        <v>27.8</v>
      </c>
      <c r="F80">
        <f t="shared" ca="1" si="13"/>
        <v>26.240000000000002</v>
      </c>
      <c r="G80" s="1">
        <f t="shared" si="14"/>
        <v>0.64999999999999969</v>
      </c>
      <c r="H80" s="6">
        <f t="shared" ca="1" si="15"/>
        <v>0.5199999999999998</v>
      </c>
      <c r="I80" s="5">
        <f t="shared" ca="1" si="16"/>
        <v>0.12999999999999989</v>
      </c>
      <c r="J80" s="8">
        <f t="shared" ca="1" si="17"/>
        <v>0.61749999999999972</v>
      </c>
      <c r="K80" s="5">
        <f t="shared" ca="1" si="18"/>
        <v>3.2499999999999973E-2</v>
      </c>
      <c r="L80">
        <f t="shared" ca="1" si="19"/>
        <v>11141.119999999997</v>
      </c>
      <c r="M80">
        <f t="shared" ca="1" si="20"/>
        <v>11141</v>
      </c>
      <c r="N80" t="str">
        <f t="shared" ca="1" si="21"/>
        <v>0010101110000101</v>
      </c>
      <c r="O80">
        <f t="shared" ca="1" si="22"/>
        <v>1010111</v>
      </c>
    </row>
    <row r="81" spans="4:15" x14ac:dyDescent="0.25">
      <c r="D81">
        <v>79</v>
      </c>
      <c r="E81">
        <f t="shared" si="12"/>
        <v>27.9</v>
      </c>
      <c r="F81">
        <f t="shared" ca="1" si="13"/>
        <v>31.06</v>
      </c>
      <c r="G81" s="1">
        <f t="shared" si="14"/>
        <v>0.65833333333333299</v>
      </c>
      <c r="H81" s="6">
        <f t="shared" ca="1" si="15"/>
        <v>0.92166666666666619</v>
      </c>
      <c r="I81" s="5">
        <f t="shared" ca="1" si="16"/>
        <v>0.2633333333333332</v>
      </c>
      <c r="J81" s="8">
        <f t="shared" ca="1" si="17"/>
        <v>0.6912499999999997</v>
      </c>
      <c r="K81" s="5">
        <f t="shared" ca="1" si="18"/>
        <v>3.2916666666666705E-2</v>
      </c>
      <c r="L81">
        <f t="shared" ca="1" si="19"/>
        <v>15528.391111111107</v>
      </c>
      <c r="M81">
        <f t="shared" ca="1" si="20"/>
        <v>15528</v>
      </c>
      <c r="N81" t="str">
        <f t="shared" ca="1" si="21"/>
        <v>0011110010101000</v>
      </c>
      <c r="O81">
        <f t="shared" ca="1" si="22"/>
        <v>1111001</v>
      </c>
    </row>
    <row r="82" spans="4:15" x14ac:dyDescent="0.25">
      <c r="D82">
        <v>80</v>
      </c>
      <c r="E82">
        <f t="shared" si="12"/>
        <v>28</v>
      </c>
      <c r="F82">
        <f t="shared" ca="1" si="13"/>
        <v>27.2</v>
      </c>
      <c r="G82" s="1">
        <f t="shared" si="14"/>
        <v>0.6666666666666663</v>
      </c>
      <c r="H82" s="6">
        <f t="shared" ca="1" si="15"/>
        <v>0.59999999999999987</v>
      </c>
      <c r="I82" s="5">
        <f t="shared" ca="1" si="16"/>
        <v>6.666666666666643E-2</v>
      </c>
      <c r="J82" s="8">
        <f t="shared" ca="1" si="17"/>
        <v>0.63333333333333297</v>
      </c>
      <c r="K82" s="5">
        <f t="shared" ca="1" si="18"/>
        <v>3.3333333333333326E-2</v>
      </c>
      <c r="L82">
        <f t="shared" ca="1" si="19"/>
        <v>12014.933333333332</v>
      </c>
      <c r="M82">
        <f t="shared" ca="1" si="20"/>
        <v>12015</v>
      </c>
      <c r="N82" t="str">
        <f t="shared" ca="1" si="21"/>
        <v>0010111011101111</v>
      </c>
      <c r="O82">
        <f t="shared" ca="1" si="22"/>
        <v>1011101</v>
      </c>
    </row>
    <row r="83" spans="4:15" x14ac:dyDescent="0.25">
      <c r="D83">
        <v>81</v>
      </c>
      <c r="E83">
        <f t="shared" si="12"/>
        <v>28.1</v>
      </c>
      <c r="F83">
        <f t="shared" ca="1" si="13"/>
        <v>28.1</v>
      </c>
      <c r="G83" s="1">
        <f t="shared" si="14"/>
        <v>0.67500000000000004</v>
      </c>
      <c r="H83" s="6">
        <f t="shared" ca="1" si="15"/>
        <v>0.67500000000000004</v>
      </c>
      <c r="I83" s="5">
        <f t="shared" ca="1" si="16"/>
        <v>0</v>
      </c>
      <c r="J83" s="8">
        <f t="shared" ca="1" si="17"/>
        <v>0.64124999999999999</v>
      </c>
      <c r="K83" s="5">
        <f t="shared" ca="1" si="18"/>
        <v>3.3750000000000058E-2</v>
      </c>
      <c r="L83">
        <f t="shared" ca="1" si="19"/>
        <v>12834.133333333333</v>
      </c>
      <c r="M83">
        <f t="shared" ca="1" si="20"/>
        <v>12834</v>
      </c>
      <c r="N83" t="str">
        <f t="shared" ca="1" si="21"/>
        <v>0011001000100010</v>
      </c>
      <c r="O83">
        <f t="shared" ca="1" si="22"/>
        <v>1100100</v>
      </c>
    </row>
    <row r="84" spans="4:15" x14ac:dyDescent="0.25">
      <c r="D84">
        <v>82</v>
      </c>
      <c r="E84">
        <f t="shared" si="12"/>
        <v>28.200000000000003</v>
      </c>
      <c r="F84">
        <f t="shared" ca="1" si="13"/>
        <v>26.560000000000002</v>
      </c>
      <c r="G84" s="1">
        <f t="shared" si="14"/>
        <v>0.68333333333333335</v>
      </c>
      <c r="H84" s="6">
        <f t="shared" ca="1" si="15"/>
        <v>0.54666666666666663</v>
      </c>
      <c r="I84" s="5">
        <f t="shared" ca="1" si="16"/>
        <v>0.13666666666666671</v>
      </c>
      <c r="J84" s="8">
        <f t="shared" ca="1" si="17"/>
        <v>0.64916666666666667</v>
      </c>
      <c r="K84" s="5">
        <f t="shared" ca="1" si="18"/>
        <v>3.4166666666666679E-2</v>
      </c>
      <c r="L84">
        <f t="shared" ca="1" si="19"/>
        <v>11432.39111111111</v>
      </c>
      <c r="M84">
        <f t="shared" ca="1" si="20"/>
        <v>11432</v>
      </c>
      <c r="N84" t="str">
        <f t="shared" ca="1" si="21"/>
        <v>0010110010101000</v>
      </c>
      <c r="O84">
        <f t="shared" ca="1" si="22"/>
        <v>1011001</v>
      </c>
    </row>
    <row r="85" spans="4:15" x14ac:dyDescent="0.25">
      <c r="D85">
        <v>83</v>
      </c>
      <c r="E85">
        <f t="shared" si="12"/>
        <v>28.3</v>
      </c>
      <c r="F85">
        <f t="shared" ca="1" si="13"/>
        <v>27.47</v>
      </c>
      <c r="G85" s="1">
        <f t="shared" si="14"/>
        <v>0.69166666666666665</v>
      </c>
      <c r="H85" s="6">
        <f t="shared" ca="1" si="15"/>
        <v>0.62249999999999983</v>
      </c>
      <c r="I85" s="5">
        <f t="shared" ca="1" si="16"/>
        <v>6.9166666666666821E-2</v>
      </c>
      <c r="J85" s="8">
        <f t="shared" ca="1" si="17"/>
        <v>0.65708333333333324</v>
      </c>
      <c r="K85" s="5">
        <f t="shared" ca="1" si="18"/>
        <v>3.458333333333341E-2</v>
      </c>
      <c r="L85">
        <f t="shared" ca="1" si="19"/>
        <v>12260.693333333331</v>
      </c>
      <c r="M85">
        <f t="shared" ca="1" si="20"/>
        <v>12261</v>
      </c>
      <c r="N85" t="str">
        <f t="shared" ca="1" si="21"/>
        <v>0010111111100101</v>
      </c>
      <c r="O85">
        <f t="shared" ca="1" si="22"/>
        <v>1011111</v>
      </c>
    </row>
    <row r="86" spans="4:15" x14ac:dyDescent="0.25">
      <c r="D86">
        <v>84</v>
      </c>
      <c r="E86">
        <f t="shared" si="12"/>
        <v>28.4</v>
      </c>
      <c r="F86">
        <f t="shared" ca="1" si="13"/>
        <v>30.919999999999998</v>
      </c>
      <c r="G86" s="1">
        <f t="shared" si="14"/>
        <v>0.69999999999999951</v>
      </c>
      <c r="H86" s="6">
        <f t="shared" ca="1" si="15"/>
        <v>0.90999999999999948</v>
      </c>
      <c r="I86" s="5">
        <f t="shared" ca="1" si="16"/>
        <v>0.20999999999999996</v>
      </c>
      <c r="J86" s="8">
        <f t="shared" ca="1" si="17"/>
        <v>0.73499999999999954</v>
      </c>
      <c r="K86" s="5">
        <f t="shared" ca="1" si="18"/>
        <v>3.5000000000000031E-2</v>
      </c>
      <c r="L86">
        <f t="shared" ca="1" si="19"/>
        <v>15400.959999999994</v>
      </c>
      <c r="M86">
        <f t="shared" ca="1" si="20"/>
        <v>15401</v>
      </c>
      <c r="N86" t="str">
        <f t="shared" ca="1" si="21"/>
        <v>0011110000101001</v>
      </c>
      <c r="O86">
        <f t="shared" ca="1" si="22"/>
        <v>1111000</v>
      </c>
    </row>
    <row r="87" spans="4:15" x14ac:dyDescent="0.25">
      <c r="D87">
        <v>85</v>
      </c>
      <c r="E87">
        <f t="shared" si="12"/>
        <v>28.5</v>
      </c>
      <c r="F87">
        <f t="shared" ca="1" si="13"/>
        <v>31.9</v>
      </c>
      <c r="G87" s="1">
        <f t="shared" si="14"/>
        <v>0.70833333333333326</v>
      </c>
      <c r="H87" s="6">
        <f t="shared" ca="1" si="15"/>
        <v>0.99166666666666647</v>
      </c>
      <c r="I87" s="5">
        <f t="shared" ca="1" si="16"/>
        <v>0.28333333333333321</v>
      </c>
      <c r="J87" s="8">
        <f t="shared" ca="1" si="17"/>
        <v>0.74374999999999991</v>
      </c>
      <c r="K87" s="5">
        <f t="shared" ca="1" si="18"/>
        <v>3.5416666666666652E-2</v>
      </c>
      <c r="L87">
        <f t="shared" ca="1" si="19"/>
        <v>16292.977777777776</v>
      </c>
      <c r="M87">
        <f t="shared" ca="1" si="20"/>
        <v>16293</v>
      </c>
      <c r="N87" t="str">
        <f t="shared" ca="1" si="21"/>
        <v>0011111110100101</v>
      </c>
      <c r="O87">
        <f t="shared" ca="1" si="22"/>
        <v>1111111</v>
      </c>
    </row>
    <row r="88" spans="4:15" x14ac:dyDescent="0.25">
      <c r="D88">
        <v>86</v>
      </c>
      <c r="E88">
        <f t="shared" si="12"/>
        <v>28.6</v>
      </c>
      <c r="F88">
        <f t="shared" ca="1" si="13"/>
        <v>31.18</v>
      </c>
      <c r="G88" s="1">
        <f t="shared" si="14"/>
        <v>0.71666666666666656</v>
      </c>
      <c r="H88" s="6">
        <f t="shared" ca="1" si="15"/>
        <v>0.93166666666666642</v>
      </c>
      <c r="I88" s="5">
        <f t="shared" ca="1" si="16"/>
        <v>0.21499999999999986</v>
      </c>
      <c r="J88" s="8">
        <f t="shared" ca="1" si="17"/>
        <v>0.68083333333333318</v>
      </c>
      <c r="K88" s="5">
        <f t="shared" ca="1" si="18"/>
        <v>3.5833333333333384E-2</v>
      </c>
      <c r="L88">
        <f t="shared" ca="1" si="19"/>
        <v>15637.617777777776</v>
      </c>
      <c r="M88">
        <f t="shared" ca="1" si="20"/>
        <v>15638</v>
      </c>
      <c r="N88" t="str">
        <f t="shared" ca="1" si="21"/>
        <v>0011110100010110</v>
      </c>
      <c r="O88">
        <f t="shared" ca="1" si="22"/>
        <v>1111010</v>
      </c>
    </row>
    <row r="89" spans="4:15" x14ac:dyDescent="0.25">
      <c r="D89">
        <v>87</v>
      </c>
      <c r="E89">
        <f t="shared" si="12"/>
        <v>28.700000000000003</v>
      </c>
      <c r="F89">
        <f t="shared" ca="1" si="13"/>
        <v>28.700000000000003</v>
      </c>
      <c r="G89" s="1">
        <f t="shared" si="14"/>
        <v>0.72499999999999987</v>
      </c>
      <c r="H89" s="6">
        <f t="shared" ca="1" si="15"/>
        <v>0.72499999999999987</v>
      </c>
      <c r="I89" s="5">
        <f t="shared" ca="1" si="16"/>
        <v>0</v>
      </c>
      <c r="J89" s="8">
        <f t="shared" ca="1" si="17"/>
        <v>0.76124999999999987</v>
      </c>
      <c r="K89" s="5">
        <f t="shared" ca="1" si="18"/>
        <v>3.6250000000000004E-2</v>
      </c>
      <c r="L89">
        <f t="shared" ca="1" si="19"/>
        <v>13380.266666666665</v>
      </c>
      <c r="M89">
        <f t="shared" ca="1" si="20"/>
        <v>13380</v>
      </c>
      <c r="N89" t="str">
        <f t="shared" ca="1" si="21"/>
        <v>0011010001000100</v>
      </c>
      <c r="O89">
        <f t="shared" ca="1" si="22"/>
        <v>1101000</v>
      </c>
    </row>
    <row r="90" spans="4:15" x14ac:dyDescent="0.25">
      <c r="D90">
        <v>88</v>
      </c>
      <c r="E90">
        <f t="shared" si="12"/>
        <v>28.8</v>
      </c>
      <c r="F90">
        <f t="shared" ca="1" si="13"/>
        <v>26.16</v>
      </c>
      <c r="G90" s="1">
        <f t="shared" si="14"/>
        <v>0.73333333333333317</v>
      </c>
      <c r="H90" s="6">
        <f t="shared" ca="1" si="15"/>
        <v>0.51333333333333298</v>
      </c>
      <c r="I90" s="5">
        <f t="shared" ca="1" si="16"/>
        <v>0.2200000000000002</v>
      </c>
      <c r="J90" s="8">
        <f t="shared" ca="1" si="17"/>
        <v>0.69666666666666643</v>
      </c>
      <c r="K90" s="5">
        <f t="shared" ca="1" si="18"/>
        <v>3.6666666666666736E-2</v>
      </c>
      <c r="L90">
        <f t="shared" ca="1" si="19"/>
        <v>11068.302222222219</v>
      </c>
      <c r="M90">
        <f t="shared" ca="1" si="20"/>
        <v>11068</v>
      </c>
      <c r="N90" t="str">
        <f t="shared" ca="1" si="21"/>
        <v>0010101100111100</v>
      </c>
      <c r="O90">
        <f t="shared" ca="1" si="22"/>
        <v>1010110</v>
      </c>
    </row>
    <row r="91" spans="4:15" x14ac:dyDescent="0.25">
      <c r="D91">
        <v>89</v>
      </c>
      <c r="E91">
        <f t="shared" si="12"/>
        <v>28.9</v>
      </c>
      <c r="F91">
        <f t="shared" ca="1" si="13"/>
        <v>25.34</v>
      </c>
      <c r="G91" s="1">
        <f t="shared" si="14"/>
        <v>0.74166666666666647</v>
      </c>
      <c r="H91" s="6">
        <f t="shared" ca="1" si="15"/>
        <v>0.44499999999999962</v>
      </c>
      <c r="I91" s="5">
        <f t="shared" ca="1" si="16"/>
        <v>0.29666666666666686</v>
      </c>
      <c r="J91" s="8">
        <f t="shared" ca="1" si="17"/>
        <v>0.77874999999999983</v>
      </c>
      <c r="K91" s="5">
        <f t="shared" ca="1" si="18"/>
        <v>3.7083333333333357E-2</v>
      </c>
      <c r="L91">
        <f t="shared" ca="1" si="19"/>
        <v>10321.919999999996</v>
      </c>
      <c r="M91">
        <f t="shared" ca="1" si="20"/>
        <v>10322</v>
      </c>
      <c r="N91" t="str">
        <f t="shared" ca="1" si="21"/>
        <v>0010100001010010</v>
      </c>
      <c r="O91">
        <f t="shared" ca="1" si="22"/>
        <v>1010000</v>
      </c>
    </row>
    <row r="92" spans="4:15" x14ac:dyDescent="0.25">
      <c r="D92">
        <v>90</v>
      </c>
      <c r="E92">
        <f t="shared" si="12"/>
        <v>29</v>
      </c>
      <c r="F92">
        <f t="shared" ca="1" si="13"/>
        <v>26.3</v>
      </c>
      <c r="G92" s="1">
        <f t="shared" si="14"/>
        <v>0.74999999999999978</v>
      </c>
      <c r="H92" s="6">
        <f t="shared" ca="1" si="15"/>
        <v>0.52499999999999969</v>
      </c>
      <c r="I92" s="5">
        <f t="shared" ca="1" si="16"/>
        <v>0.22500000000000009</v>
      </c>
      <c r="J92" s="8">
        <f t="shared" ca="1" si="17"/>
        <v>0.78749999999999976</v>
      </c>
      <c r="K92" s="5">
        <f t="shared" ca="1" si="18"/>
        <v>3.7499999999999978E-2</v>
      </c>
      <c r="L92">
        <f t="shared" ca="1" si="19"/>
        <v>11195.73333333333</v>
      </c>
      <c r="M92">
        <f t="shared" ca="1" si="20"/>
        <v>11196</v>
      </c>
      <c r="N92" t="str">
        <f t="shared" ca="1" si="21"/>
        <v>0010101110111100</v>
      </c>
      <c r="O92">
        <f t="shared" ca="1" si="22"/>
        <v>1010111</v>
      </c>
    </row>
    <row r="93" spans="4:15" x14ac:dyDescent="0.25">
      <c r="D93">
        <v>91</v>
      </c>
      <c r="E93">
        <f t="shared" si="12"/>
        <v>29.1</v>
      </c>
      <c r="F93">
        <f t="shared" ca="1" si="13"/>
        <v>32.74</v>
      </c>
      <c r="G93" s="1">
        <f t="shared" si="14"/>
        <v>0.75833333333333308</v>
      </c>
      <c r="H93" s="6">
        <f t="shared" ca="1" si="15"/>
        <v>1.0616666666666668</v>
      </c>
      <c r="I93" s="5">
        <f t="shared" ca="1" si="16"/>
        <v>0.30333333333333368</v>
      </c>
      <c r="J93" s="8">
        <f t="shared" ca="1" si="17"/>
        <v>0.79624999999999979</v>
      </c>
      <c r="K93" s="5">
        <f t="shared" ca="1" si="18"/>
        <v>3.791666666666671E-2</v>
      </c>
      <c r="L93">
        <f t="shared" ca="1" si="19"/>
        <v>17057.564444444444</v>
      </c>
      <c r="M93">
        <f t="shared" ca="1" si="20"/>
        <v>17058</v>
      </c>
      <c r="N93" t="str">
        <f t="shared" ca="1" si="21"/>
        <v>0100001010100010</v>
      </c>
      <c r="O93">
        <f t="shared" ca="1" si="22"/>
        <v>10000101</v>
      </c>
    </row>
    <row r="94" spans="4:15" x14ac:dyDescent="0.25">
      <c r="D94">
        <v>92</v>
      </c>
      <c r="E94">
        <f t="shared" si="12"/>
        <v>29.200000000000003</v>
      </c>
      <c r="F94">
        <f t="shared" ca="1" si="13"/>
        <v>25.520000000000003</v>
      </c>
      <c r="G94" s="1">
        <f t="shared" si="14"/>
        <v>0.76666666666666683</v>
      </c>
      <c r="H94" s="6">
        <f t="shared" ca="1" si="15"/>
        <v>0.46000000000000019</v>
      </c>
      <c r="I94" s="5">
        <f t="shared" ca="1" si="16"/>
        <v>0.30666666666666664</v>
      </c>
      <c r="J94" s="8">
        <f t="shared" ca="1" si="17"/>
        <v>0.80500000000000016</v>
      </c>
      <c r="K94" s="5">
        <f t="shared" ca="1" si="18"/>
        <v>3.833333333333333E-2</v>
      </c>
      <c r="L94">
        <f t="shared" ca="1" si="19"/>
        <v>10485.760000000002</v>
      </c>
      <c r="M94">
        <f t="shared" ca="1" si="20"/>
        <v>10486</v>
      </c>
      <c r="N94" t="str">
        <f t="shared" ca="1" si="21"/>
        <v>0010100011110110</v>
      </c>
      <c r="O94">
        <f t="shared" ca="1" si="22"/>
        <v>1010001</v>
      </c>
    </row>
    <row r="95" spans="4:15" x14ac:dyDescent="0.25">
      <c r="D95">
        <v>93</v>
      </c>
      <c r="E95">
        <f t="shared" si="12"/>
        <v>29.3</v>
      </c>
      <c r="F95">
        <f t="shared" ca="1" si="13"/>
        <v>33.950000000000003</v>
      </c>
      <c r="G95" s="1">
        <f t="shared" si="14"/>
        <v>0.77499999999999969</v>
      </c>
      <c r="H95" s="6">
        <f t="shared" ca="1" si="15"/>
        <v>1.1624999999999999</v>
      </c>
      <c r="I95" s="5">
        <f t="shared" ca="1" si="16"/>
        <v>0.38750000000000018</v>
      </c>
      <c r="J95" s="8">
        <f t="shared" ca="1" si="17"/>
        <v>0.73624999999999963</v>
      </c>
      <c r="K95" s="5">
        <f t="shared" ca="1" si="18"/>
        <v>3.8750000000000062E-2</v>
      </c>
      <c r="L95">
        <f t="shared" ca="1" si="19"/>
        <v>18158.933333333331</v>
      </c>
      <c r="M95">
        <f t="shared" ca="1" si="20"/>
        <v>18159</v>
      </c>
      <c r="N95" t="str">
        <f t="shared" ca="1" si="21"/>
        <v>0100011011101111</v>
      </c>
      <c r="O95">
        <f t="shared" ca="1" si="22"/>
        <v>10001101</v>
      </c>
    </row>
    <row r="96" spans="4:15" x14ac:dyDescent="0.25">
      <c r="D96">
        <v>94</v>
      </c>
      <c r="E96">
        <f t="shared" si="12"/>
        <v>29.4</v>
      </c>
      <c r="F96">
        <f t="shared" ca="1" si="13"/>
        <v>24.7</v>
      </c>
      <c r="G96" s="1">
        <f t="shared" si="14"/>
        <v>0.78333333333333299</v>
      </c>
      <c r="H96" s="6">
        <f t="shared" ca="1" si="15"/>
        <v>0.39166666666666639</v>
      </c>
      <c r="I96" s="5">
        <f t="shared" ca="1" si="16"/>
        <v>0.39166666666666661</v>
      </c>
      <c r="J96" s="8">
        <f t="shared" ca="1" si="17"/>
        <v>0.82249999999999968</v>
      </c>
      <c r="K96" s="5">
        <f t="shared" ca="1" si="18"/>
        <v>3.9166666666666683E-2</v>
      </c>
      <c r="L96">
        <f t="shared" ca="1" si="19"/>
        <v>9739.3777777777741</v>
      </c>
      <c r="M96">
        <f t="shared" ca="1" si="20"/>
        <v>9739</v>
      </c>
      <c r="N96" t="str">
        <f t="shared" ca="1" si="21"/>
        <v>0010011000001011</v>
      </c>
      <c r="O96">
        <f t="shared" ca="1" si="22"/>
        <v>1001100</v>
      </c>
    </row>
    <row r="97" spans="4:15" x14ac:dyDescent="0.25">
      <c r="D97">
        <v>95</v>
      </c>
      <c r="E97">
        <f t="shared" si="12"/>
        <v>29.5</v>
      </c>
      <c r="F97">
        <f t="shared" ca="1" si="13"/>
        <v>25.7</v>
      </c>
      <c r="G97" s="1">
        <f t="shared" si="14"/>
        <v>0.7916666666666663</v>
      </c>
      <c r="H97" s="6">
        <f t="shared" ca="1" si="15"/>
        <v>0.47499999999999987</v>
      </c>
      <c r="I97" s="5">
        <f t="shared" ca="1" si="16"/>
        <v>0.31666666666666643</v>
      </c>
      <c r="J97" s="8">
        <f t="shared" ca="1" si="17"/>
        <v>0.75208333333333299</v>
      </c>
      <c r="K97" s="5">
        <f t="shared" ca="1" si="18"/>
        <v>3.9583333333333304E-2</v>
      </c>
      <c r="L97">
        <f t="shared" ca="1" si="19"/>
        <v>10649.599999999999</v>
      </c>
      <c r="M97">
        <f t="shared" ca="1" si="20"/>
        <v>10650</v>
      </c>
      <c r="N97" t="str">
        <f t="shared" ca="1" si="21"/>
        <v>0010100110011010</v>
      </c>
      <c r="O97">
        <f t="shared" ca="1" si="22"/>
        <v>1010011</v>
      </c>
    </row>
    <row r="98" spans="4:15" x14ac:dyDescent="0.25">
      <c r="D98">
        <v>96</v>
      </c>
      <c r="E98">
        <f t="shared" si="12"/>
        <v>29.6</v>
      </c>
      <c r="F98">
        <f t="shared" ca="1" si="13"/>
        <v>34.400000000000006</v>
      </c>
      <c r="G98" s="1">
        <f t="shared" si="14"/>
        <v>0.8</v>
      </c>
      <c r="H98" s="6">
        <f t="shared" ca="1" si="15"/>
        <v>1.2000000000000004</v>
      </c>
      <c r="I98" s="5">
        <f t="shared" ca="1" si="16"/>
        <v>0.40000000000000036</v>
      </c>
      <c r="J98" s="8">
        <f t="shared" ca="1" si="17"/>
        <v>0.84000000000000008</v>
      </c>
      <c r="K98" s="5">
        <f t="shared" ca="1" si="18"/>
        <v>4.0000000000000036E-2</v>
      </c>
      <c r="L98">
        <f t="shared" ca="1" si="19"/>
        <v>18568.533333333336</v>
      </c>
      <c r="M98">
        <f t="shared" ca="1" si="20"/>
        <v>18569</v>
      </c>
      <c r="N98" t="str">
        <f t="shared" ca="1" si="21"/>
        <v>0100100010001001</v>
      </c>
      <c r="O98">
        <f t="shared" ca="1" si="22"/>
        <v>10010001</v>
      </c>
    </row>
    <row r="99" spans="4:15" x14ac:dyDescent="0.25">
      <c r="D99">
        <v>97</v>
      </c>
      <c r="E99">
        <f t="shared" si="12"/>
        <v>29.700000000000003</v>
      </c>
      <c r="F99">
        <f t="shared" ca="1" si="13"/>
        <v>28.730000000000004</v>
      </c>
      <c r="G99" s="1">
        <f t="shared" si="14"/>
        <v>0.80833333333333335</v>
      </c>
      <c r="H99" s="6">
        <f t="shared" ca="1" si="15"/>
        <v>0.72750000000000026</v>
      </c>
      <c r="I99" s="5">
        <f t="shared" ca="1" si="16"/>
        <v>8.0833333333333091E-2</v>
      </c>
      <c r="J99" s="8">
        <f t="shared" ca="1" si="17"/>
        <v>0.76791666666666669</v>
      </c>
      <c r="K99" s="5">
        <f t="shared" ca="1" si="18"/>
        <v>4.0416666666666656E-2</v>
      </c>
      <c r="L99">
        <f t="shared" ca="1" si="19"/>
        <v>13407.573333333336</v>
      </c>
      <c r="M99">
        <f t="shared" ca="1" si="20"/>
        <v>13408</v>
      </c>
      <c r="N99" t="str">
        <f t="shared" ca="1" si="21"/>
        <v>0011010001100000</v>
      </c>
      <c r="O99">
        <f t="shared" ca="1" si="22"/>
        <v>1101000</v>
      </c>
    </row>
    <row r="100" spans="4:15" x14ac:dyDescent="0.25">
      <c r="D100">
        <v>98</v>
      </c>
      <c r="E100">
        <f t="shared" si="12"/>
        <v>29.8</v>
      </c>
      <c r="F100">
        <f t="shared" ca="1" si="13"/>
        <v>26.86</v>
      </c>
      <c r="G100" s="1">
        <f t="shared" si="14"/>
        <v>0.81666666666666665</v>
      </c>
      <c r="H100" s="6">
        <f t="shared" ca="1" si="15"/>
        <v>0.57166666666666655</v>
      </c>
      <c r="I100" s="5">
        <f t="shared" ca="1" si="16"/>
        <v>0.24500000000000011</v>
      </c>
      <c r="J100" s="8">
        <f t="shared" ca="1" si="17"/>
        <v>0.77583333333333326</v>
      </c>
      <c r="K100" s="5">
        <f t="shared" ca="1" si="18"/>
        <v>4.0833333333333388E-2</v>
      </c>
      <c r="L100">
        <f t="shared" ca="1" si="19"/>
        <v>11705.457777777776</v>
      </c>
      <c r="M100">
        <f t="shared" ca="1" si="20"/>
        <v>11705</v>
      </c>
      <c r="N100" t="str">
        <f t="shared" ca="1" si="21"/>
        <v>0010110110111001</v>
      </c>
      <c r="O100">
        <f t="shared" ca="1" si="22"/>
        <v>1011011</v>
      </c>
    </row>
    <row r="101" spans="4:15" x14ac:dyDescent="0.25">
      <c r="D101">
        <v>99</v>
      </c>
      <c r="E101">
        <f t="shared" si="12"/>
        <v>29.9</v>
      </c>
      <c r="F101">
        <f t="shared" ca="1" si="13"/>
        <v>32.869999999999997</v>
      </c>
      <c r="G101" s="1">
        <f t="shared" si="14"/>
        <v>0.82499999999999951</v>
      </c>
      <c r="H101" s="6">
        <f t="shared" ca="1" si="15"/>
        <v>1.0724999999999996</v>
      </c>
      <c r="I101" s="5">
        <f t="shared" ca="1" si="16"/>
        <v>0.24750000000000005</v>
      </c>
      <c r="J101" s="8">
        <f t="shared" ca="1" si="17"/>
        <v>0.86624999999999952</v>
      </c>
      <c r="K101" s="5">
        <f t="shared" ca="1" si="18"/>
        <v>4.1250000000000009E-2</v>
      </c>
      <c r="L101">
        <f t="shared" ca="1" si="19"/>
        <v>17175.89333333333</v>
      </c>
      <c r="M101">
        <f t="shared" ca="1" si="20"/>
        <v>17176</v>
      </c>
      <c r="N101" t="str">
        <f t="shared" ca="1" si="21"/>
        <v>0100001100011000</v>
      </c>
      <c r="O101">
        <f t="shared" ca="1" si="22"/>
        <v>10000110</v>
      </c>
    </row>
    <row r="102" spans="4:15" x14ac:dyDescent="0.25">
      <c r="D102">
        <v>100</v>
      </c>
      <c r="E102">
        <f t="shared" si="12"/>
        <v>30</v>
      </c>
      <c r="F102">
        <f t="shared" ca="1" si="13"/>
        <v>25</v>
      </c>
      <c r="G102" s="1">
        <f t="shared" si="14"/>
        <v>0.83333333333333326</v>
      </c>
      <c r="H102" s="6">
        <f t="shared" ca="1" si="15"/>
        <v>0.4166666666666663</v>
      </c>
      <c r="I102" s="5">
        <f t="shared" ca="1" si="16"/>
        <v>0.41666666666666696</v>
      </c>
      <c r="J102" s="8">
        <f t="shared" ca="1" si="17"/>
        <v>0.79166666666666652</v>
      </c>
      <c r="K102" s="5">
        <f t="shared" ca="1" si="18"/>
        <v>4.1666666666666741E-2</v>
      </c>
      <c r="L102">
        <f t="shared" ca="1" si="19"/>
        <v>10012.44444444444</v>
      </c>
      <c r="M102">
        <f t="shared" ca="1" si="20"/>
        <v>10012</v>
      </c>
      <c r="N102" t="str">
        <f t="shared" ca="1" si="21"/>
        <v>0010011100011100</v>
      </c>
      <c r="O102">
        <f t="shared" ca="1" si="22"/>
        <v>1001110</v>
      </c>
    </row>
    <row r="103" spans="4:15" x14ac:dyDescent="0.25">
      <c r="D103">
        <v>101</v>
      </c>
      <c r="E103">
        <f t="shared" si="12"/>
        <v>30.1</v>
      </c>
      <c r="F103">
        <f t="shared" ca="1" si="13"/>
        <v>25.05</v>
      </c>
      <c r="G103" s="1">
        <f t="shared" si="14"/>
        <v>0.84166666666666656</v>
      </c>
      <c r="H103" s="6">
        <f t="shared" ca="1" si="15"/>
        <v>0.42083333333333317</v>
      </c>
      <c r="I103" s="5">
        <f t="shared" ca="1" si="16"/>
        <v>0.42083333333333339</v>
      </c>
      <c r="J103" s="8">
        <f t="shared" ca="1" si="17"/>
        <v>0.7995833333333332</v>
      </c>
      <c r="K103" s="5">
        <f t="shared" ca="1" si="18"/>
        <v>4.2083333333333361E-2</v>
      </c>
      <c r="L103">
        <f t="shared" ca="1" si="19"/>
        <v>10057.955555555554</v>
      </c>
      <c r="M103">
        <f t="shared" ca="1" si="20"/>
        <v>10058</v>
      </c>
      <c r="N103" t="str">
        <f t="shared" ca="1" si="21"/>
        <v>0010011101001010</v>
      </c>
      <c r="O103">
        <f t="shared" ca="1" si="22"/>
        <v>1001110</v>
      </c>
    </row>
    <row r="104" spans="4:15" x14ac:dyDescent="0.25">
      <c r="D104">
        <v>102</v>
      </c>
      <c r="E104">
        <f t="shared" si="12"/>
        <v>30.200000000000003</v>
      </c>
      <c r="F104">
        <f t="shared" ca="1" si="13"/>
        <v>31.220000000000002</v>
      </c>
      <c r="G104" s="1">
        <f t="shared" si="14"/>
        <v>0.84999999999999987</v>
      </c>
      <c r="H104" s="6">
        <f t="shared" ca="1" si="15"/>
        <v>0.93499999999999983</v>
      </c>
      <c r="I104" s="5">
        <f t="shared" ca="1" si="16"/>
        <v>8.4999999999999964E-2</v>
      </c>
      <c r="J104" s="8">
        <f t="shared" ca="1" si="17"/>
        <v>0.89249999999999985</v>
      </c>
      <c r="K104" s="5">
        <f t="shared" ca="1" si="18"/>
        <v>4.2499999999999982E-2</v>
      </c>
      <c r="L104">
        <f t="shared" ca="1" si="19"/>
        <v>15674.026666666665</v>
      </c>
      <c r="M104">
        <f t="shared" ca="1" si="20"/>
        <v>15674</v>
      </c>
      <c r="N104" t="str">
        <f t="shared" ca="1" si="21"/>
        <v>0011110100111010</v>
      </c>
      <c r="O104">
        <f t="shared" ca="1" si="22"/>
        <v>1111010</v>
      </c>
    </row>
    <row r="105" spans="4:15" x14ac:dyDescent="0.25">
      <c r="D105">
        <v>103</v>
      </c>
      <c r="E105">
        <f t="shared" si="12"/>
        <v>30.3</v>
      </c>
      <c r="F105">
        <f t="shared" ca="1" si="13"/>
        <v>34.42</v>
      </c>
      <c r="G105" s="1">
        <f t="shared" si="14"/>
        <v>0.85833333333333317</v>
      </c>
      <c r="H105" s="6">
        <f t="shared" ca="1" si="15"/>
        <v>1.2016666666666664</v>
      </c>
      <c r="I105" s="5">
        <f t="shared" ca="1" si="16"/>
        <v>0.34333333333333327</v>
      </c>
      <c r="J105" s="8">
        <f t="shared" ca="1" si="17"/>
        <v>0.81541666666666646</v>
      </c>
      <c r="K105" s="5">
        <f t="shared" ca="1" si="18"/>
        <v>4.2916666666666714E-2</v>
      </c>
      <c r="L105">
        <f t="shared" ca="1" si="19"/>
        <v>18586.737777777777</v>
      </c>
      <c r="M105">
        <f t="shared" ca="1" si="20"/>
        <v>18587</v>
      </c>
      <c r="N105" t="str">
        <f t="shared" ca="1" si="21"/>
        <v>0100100010011011</v>
      </c>
      <c r="O105">
        <f t="shared" ca="1" si="22"/>
        <v>10010001</v>
      </c>
    </row>
    <row r="106" spans="4:15" x14ac:dyDescent="0.25">
      <c r="D106">
        <v>104</v>
      </c>
      <c r="E106">
        <f t="shared" si="12"/>
        <v>30.4</v>
      </c>
      <c r="F106">
        <f t="shared" ca="1" si="13"/>
        <v>31.439999999999998</v>
      </c>
      <c r="G106" s="1">
        <f t="shared" si="14"/>
        <v>0.86666666666666647</v>
      </c>
      <c r="H106" s="6">
        <f t="shared" ca="1" si="15"/>
        <v>0.95333333333333292</v>
      </c>
      <c r="I106" s="5">
        <f t="shared" ca="1" si="16"/>
        <v>8.6666666666666448E-2</v>
      </c>
      <c r="J106" s="8">
        <f t="shared" ca="1" si="17"/>
        <v>0.90999999999999981</v>
      </c>
      <c r="K106" s="5">
        <f t="shared" ca="1" si="18"/>
        <v>4.3333333333333335E-2</v>
      </c>
      <c r="L106">
        <f t="shared" ca="1" si="19"/>
        <v>15874.27555555555</v>
      </c>
      <c r="M106">
        <f t="shared" ca="1" si="20"/>
        <v>15874</v>
      </c>
      <c r="N106" t="str">
        <f t="shared" ca="1" si="21"/>
        <v>0011111000000010</v>
      </c>
      <c r="O106">
        <f t="shared" ca="1" si="22"/>
        <v>1111100</v>
      </c>
    </row>
    <row r="107" spans="4:15" x14ac:dyDescent="0.25">
      <c r="D107">
        <v>105</v>
      </c>
      <c r="E107">
        <f t="shared" si="12"/>
        <v>30.5</v>
      </c>
      <c r="F107">
        <f t="shared" ca="1" si="13"/>
        <v>31.55</v>
      </c>
      <c r="G107" s="1">
        <f t="shared" si="14"/>
        <v>0.87499999999999978</v>
      </c>
      <c r="H107" s="6">
        <f t="shared" ca="1" si="15"/>
        <v>0.96249999999999969</v>
      </c>
      <c r="I107" s="5">
        <f t="shared" ca="1" si="16"/>
        <v>8.7499999999999911E-2</v>
      </c>
      <c r="J107" s="8">
        <f t="shared" ca="1" si="17"/>
        <v>0.83124999999999971</v>
      </c>
      <c r="K107" s="5">
        <f t="shared" ca="1" si="18"/>
        <v>4.3750000000000067E-2</v>
      </c>
      <c r="L107">
        <f t="shared" ca="1" si="19"/>
        <v>15974.399999999996</v>
      </c>
      <c r="M107">
        <f t="shared" ca="1" si="20"/>
        <v>15974</v>
      </c>
      <c r="N107" t="str">
        <f t="shared" ca="1" si="21"/>
        <v>0011111001100110</v>
      </c>
      <c r="O107">
        <f t="shared" ca="1" si="22"/>
        <v>1111100</v>
      </c>
    </row>
    <row r="108" spans="4:15" x14ac:dyDescent="0.25">
      <c r="D108">
        <v>106</v>
      </c>
      <c r="E108">
        <f t="shared" si="12"/>
        <v>30.6</v>
      </c>
      <c r="F108">
        <f t="shared" ca="1" si="13"/>
        <v>28.48</v>
      </c>
      <c r="G108" s="1">
        <f t="shared" si="14"/>
        <v>0.88333333333333308</v>
      </c>
      <c r="H108" s="6">
        <f t="shared" ca="1" si="15"/>
        <v>0.70666666666666633</v>
      </c>
      <c r="I108" s="5">
        <f t="shared" ca="1" si="16"/>
        <v>0.17666666666666675</v>
      </c>
      <c r="J108" s="8">
        <f t="shared" ca="1" si="17"/>
        <v>0.92749999999999977</v>
      </c>
      <c r="K108" s="5">
        <f t="shared" ca="1" si="18"/>
        <v>4.4166666666666687E-2</v>
      </c>
      <c r="L108">
        <f t="shared" ca="1" si="19"/>
        <v>13180.017777777774</v>
      </c>
      <c r="M108">
        <f t="shared" ca="1" si="20"/>
        <v>13180</v>
      </c>
      <c r="N108" t="str">
        <f t="shared" ca="1" si="21"/>
        <v>0011001101111100</v>
      </c>
      <c r="O108">
        <f t="shared" ca="1" si="22"/>
        <v>1100110</v>
      </c>
    </row>
    <row r="109" spans="4:15" x14ac:dyDescent="0.25">
      <c r="D109">
        <v>107</v>
      </c>
      <c r="E109">
        <f t="shared" si="12"/>
        <v>30.700000000000003</v>
      </c>
      <c r="F109">
        <f t="shared" ca="1" si="13"/>
        <v>32.840000000000003</v>
      </c>
      <c r="G109" s="1">
        <f t="shared" si="14"/>
        <v>0.89166666666666683</v>
      </c>
      <c r="H109" s="6">
        <f t="shared" ca="1" si="15"/>
        <v>1.07</v>
      </c>
      <c r="I109" s="5">
        <f t="shared" ca="1" si="16"/>
        <v>0.17833333333333323</v>
      </c>
      <c r="J109" s="8">
        <f t="shared" ca="1" si="17"/>
        <v>0.84708333333333341</v>
      </c>
      <c r="K109" s="5">
        <f t="shared" ca="1" si="18"/>
        <v>4.4583333333333419E-2</v>
      </c>
      <c r="L109">
        <f t="shared" ca="1" si="19"/>
        <v>17148.586666666666</v>
      </c>
      <c r="M109">
        <f t="shared" ca="1" si="20"/>
        <v>17149</v>
      </c>
      <c r="N109" t="str">
        <f t="shared" ca="1" si="21"/>
        <v>0100001011111101</v>
      </c>
      <c r="O109">
        <f t="shared" ca="1" si="22"/>
        <v>10000101</v>
      </c>
    </row>
    <row r="110" spans="4:15" x14ac:dyDescent="0.25">
      <c r="D110">
        <v>108</v>
      </c>
      <c r="E110">
        <f t="shared" si="12"/>
        <v>30.8</v>
      </c>
      <c r="F110">
        <f t="shared" ca="1" si="13"/>
        <v>28.64</v>
      </c>
      <c r="G110" s="1">
        <f t="shared" si="14"/>
        <v>0.89999999999999969</v>
      </c>
      <c r="H110" s="6">
        <f t="shared" ca="1" si="15"/>
        <v>0.72</v>
      </c>
      <c r="I110" s="5">
        <f t="shared" ca="1" si="16"/>
        <v>0.17999999999999972</v>
      </c>
      <c r="J110" s="8">
        <f t="shared" ca="1" si="17"/>
        <v>0.94499999999999973</v>
      </c>
      <c r="K110" s="5">
        <f t="shared" ca="1" si="18"/>
        <v>4.500000000000004E-2</v>
      </c>
      <c r="L110">
        <f t="shared" ca="1" si="19"/>
        <v>13325.653333333334</v>
      </c>
      <c r="M110">
        <f t="shared" ca="1" si="20"/>
        <v>13326</v>
      </c>
      <c r="N110" t="str">
        <f t="shared" ca="1" si="21"/>
        <v>0011010000001110</v>
      </c>
      <c r="O110">
        <f t="shared" ca="1" si="22"/>
        <v>1101000</v>
      </c>
    </row>
    <row r="111" spans="4:15" x14ac:dyDescent="0.25">
      <c r="D111">
        <v>109</v>
      </c>
      <c r="E111">
        <f t="shared" si="12"/>
        <v>30.9</v>
      </c>
      <c r="F111">
        <f t="shared" ca="1" si="13"/>
        <v>26.54</v>
      </c>
      <c r="G111" s="1">
        <f t="shared" si="14"/>
        <v>0.90833333333333299</v>
      </c>
      <c r="H111" s="6">
        <f t="shared" ca="1" si="15"/>
        <v>0.54499999999999971</v>
      </c>
      <c r="I111" s="5">
        <f t="shared" ca="1" si="16"/>
        <v>0.36333333333333329</v>
      </c>
      <c r="J111" s="8">
        <f t="shared" ca="1" si="17"/>
        <v>0.86291666666666633</v>
      </c>
      <c r="K111" s="5">
        <f t="shared" ca="1" si="18"/>
        <v>4.5416666666666661E-2</v>
      </c>
      <c r="L111">
        <f t="shared" ca="1" si="19"/>
        <v>11414.186666666663</v>
      </c>
      <c r="M111">
        <f t="shared" ca="1" si="20"/>
        <v>11414</v>
      </c>
      <c r="N111" t="str">
        <f t="shared" ca="1" si="21"/>
        <v>0010110010010110</v>
      </c>
      <c r="O111">
        <f t="shared" ca="1" si="22"/>
        <v>1011001</v>
      </c>
    </row>
    <row r="112" spans="4:15" x14ac:dyDescent="0.25">
      <c r="D112">
        <v>110</v>
      </c>
      <c r="E112">
        <f t="shared" si="12"/>
        <v>31</v>
      </c>
      <c r="F112">
        <f t="shared" ca="1" si="13"/>
        <v>35.4</v>
      </c>
      <c r="G112" s="1">
        <f t="shared" si="14"/>
        <v>0.9166666666666663</v>
      </c>
      <c r="H112" s="6">
        <f t="shared" ca="1" si="15"/>
        <v>1.283333333333333</v>
      </c>
      <c r="I112" s="5">
        <f t="shared" ca="1" si="16"/>
        <v>0.3666666666666667</v>
      </c>
      <c r="J112" s="8">
        <f t="shared" ca="1" si="17"/>
        <v>0.96249999999999969</v>
      </c>
      <c r="K112" s="5">
        <f t="shared" ca="1" si="18"/>
        <v>4.5833333333333393E-2</v>
      </c>
      <c r="L112">
        <f t="shared" ca="1" si="19"/>
        <v>19478.755555555552</v>
      </c>
      <c r="M112">
        <f t="shared" ca="1" si="20"/>
        <v>19479</v>
      </c>
      <c r="N112" t="str">
        <f t="shared" ca="1" si="21"/>
        <v>0100110000010111</v>
      </c>
      <c r="O112">
        <f t="shared" ca="1" si="22"/>
        <v>10011000</v>
      </c>
    </row>
    <row r="113" spans="4:15" x14ac:dyDescent="0.25">
      <c r="D113">
        <v>111</v>
      </c>
      <c r="E113">
        <f t="shared" si="12"/>
        <v>31.1</v>
      </c>
      <c r="F113">
        <f t="shared" ca="1" si="13"/>
        <v>28.880000000000003</v>
      </c>
      <c r="G113" s="1">
        <f t="shared" si="14"/>
        <v>0.92500000000000004</v>
      </c>
      <c r="H113" s="6">
        <f t="shared" ca="1" si="15"/>
        <v>0.74</v>
      </c>
      <c r="I113" s="5">
        <f t="shared" ca="1" si="16"/>
        <v>0.18500000000000005</v>
      </c>
      <c r="J113" s="8">
        <f t="shared" ca="1" si="17"/>
        <v>0.97125000000000006</v>
      </c>
      <c r="K113" s="5">
        <f t="shared" ca="1" si="18"/>
        <v>4.6250000000000013E-2</v>
      </c>
      <c r="L113">
        <f t="shared" ca="1" si="19"/>
        <v>13544.106666666667</v>
      </c>
      <c r="M113">
        <f t="shared" ca="1" si="20"/>
        <v>13544</v>
      </c>
      <c r="N113" t="str">
        <f t="shared" ca="1" si="21"/>
        <v>0011010011101000</v>
      </c>
      <c r="O113">
        <f t="shared" ca="1" si="22"/>
        <v>1101001</v>
      </c>
    </row>
    <row r="114" spans="4:15" x14ac:dyDescent="0.25">
      <c r="D114">
        <v>112</v>
      </c>
      <c r="E114">
        <f t="shared" si="12"/>
        <v>31.200000000000003</v>
      </c>
      <c r="F114">
        <f t="shared" ca="1" si="13"/>
        <v>25.6</v>
      </c>
      <c r="G114" s="1">
        <f t="shared" si="14"/>
        <v>0.93333333333333335</v>
      </c>
      <c r="H114" s="6">
        <f t="shared" ca="1" si="15"/>
        <v>0.46666666666666656</v>
      </c>
      <c r="I114" s="5">
        <f t="shared" ca="1" si="16"/>
        <v>0.46666666666666679</v>
      </c>
      <c r="J114" s="8">
        <f t="shared" ca="1" si="17"/>
        <v>0.98000000000000009</v>
      </c>
      <c r="K114" s="5">
        <f t="shared" ca="1" si="18"/>
        <v>4.6666666666666745E-2</v>
      </c>
      <c r="L114">
        <f t="shared" ca="1" si="19"/>
        <v>10558.577777777777</v>
      </c>
      <c r="M114">
        <f t="shared" ca="1" si="20"/>
        <v>10559</v>
      </c>
      <c r="N114" t="str">
        <f t="shared" ca="1" si="21"/>
        <v>0010100100111111</v>
      </c>
      <c r="O114">
        <f t="shared" ca="1" si="22"/>
        <v>1010010</v>
      </c>
    </row>
    <row r="115" spans="4:15" x14ac:dyDescent="0.25">
      <c r="D115">
        <v>113</v>
      </c>
      <c r="E115">
        <f t="shared" si="12"/>
        <v>31.3</v>
      </c>
      <c r="F115">
        <f t="shared" ca="1" si="13"/>
        <v>34.69</v>
      </c>
      <c r="G115" s="1">
        <f t="shared" si="14"/>
        <v>0.94166666666666665</v>
      </c>
      <c r="H115" s="6">
        <f t="shared" ca="1" si="15"/>
        <v>1.2241666666666664</v>
      </c>
      <c r="I115" s="5">
        <f t="shared" ca="1" si="16"/>
        <v>0.28249999999999975</v>
      </c>
      <c r="J115" s="8">
        <f t="shared" ca="1" si="17"/>
        <v>0.89458333333333329</v>
      </c>
      <c r="K115" s="5">
        <f t="shared" ca="1" si="18"/>
        <v>4.7083333333333366E-2</v>
      </c>
      <c r="L115">
        <f t="shared" ca="1" si="19"/>
        <v>18832.497777777775</v>
      </c>
      <c r="M115">
        <f t="shared" ca="1" si="20"/>
        <v>18832</v>
      </c>
      <c r="N115" t="str">
        <f t="shared" ca="1" si="21"/>
        <v>0100100110010000</v>
      </c>
      <c r="O115">
        <f t="shared" ca="1" si="22"/>
        <v>10010011</v>
      </c>
    </row>
    <row r="116" spans="4:15" x14ac:dyDescent="0.25">
      <c r="D116">
        <v>114</v>
      </c>
      <c r="E116">
        <f t="shared" si="12"/>
        <v>31.4</v>
      </c>
      <c r="F116">
        <f t="shared" ca="1" si="13"/>
        <v>37.1</v>
      </c>
      <c r="G116" s="1">
        <f t="shared" si="14"/>
        <v>0.94999999999999951</v>
      </c>
      <c r="H116" s="6">
        <f t="shared" ca="1" si="15"/>
        <v>1.425</v>
      </c>
      <c r="I116" s="5">
        <f t="shared" ca="1" si="16"/>
        <v>0.47500000000000053</v>
      </c>
      <c r="J116" s="8">
        <f t="shared" ca="1" si="17"/>
        <v>0.90249999999999952</v>
      </c>
      <c r="K116" s="5">
        <f t="shared" ca="1" si="18"/>
        <v>4.7499999999999987E-2</v>
      </c>
      <c r="L116">
        <f t="shared" ca="1" si="19"/>
        <v>21026.133333333335</v>
      </c>
      <c r="M116">
        <f t="shared" ca="1" si="20"/>
        <v>21026</v>
      </c>
      <c r="N116" t="str">
        <f t="shared" ca="1" si="21"/>
        <v>0101001000100010</v>
      </c>
      <c r="O116">
        <f t="shared" ca="1" si="22"/>
        <v>10100100</v>
      </c>
    </row>
    <row r="117" spans="4:15" x14ac:dyDescent="0.25">
      <c r="D117">
        <v>115</v>
      </c>
      <c r="E117">
        <f t="shared" si="12"/>
        <v>31.5</v>
      </c>
      <c r="F117">
        <f t="shared" ca="1" si="13"/>
        <v>37.25</v>
      </c>
      <c r="G117" s="1">
        <f t="shared" si="14"/>
        <v>0.95833333333333326</v>
      </c>
      <c r="H117" s="6">
        <f t="shared" ca="1" si="15"/>
        <v>1.4374999999999998</v>
      </c>
      <c r="I117" s="5">
        <f t="shared" ca="1" si="16"/>
        <v>0.47916666666666652</v>
      </c>
      <c r="J117" s="8">
        <f t="shared" ca="1" si="17"/>
        <v>0.91041666666666654</v>
      </c>
      <c r="K117" s="5">
        <f t="shared" ca="1" si="18"/>
        <v>4.7916666666666718E-2</v>
      </c>
      <c r="L117">
        <f t="shared" ca="1" si="19"/>
        <v>21162.666666666664</v>
      </c>
      <c r="M117">
        <f t="shared" ca="1" si="20"/>
        <v>21163</v>
      </c>
      <c r="N117" t="str">
        <f t="shared" ca="1" si="21"/>
        <v>0101001010101011</v>
      </c>
      <c r="O117">
        <f t="shared" ca="1" si="22"/>
        <v>10100101</v>
      </c>
    </row>
    <row r="118" spans="4:15" x14ac:dyDescent="0.25">
      <c r="D118">
        <v>116</v>
      </c>
      <c r="E118">
        <f t="shared" si="12"/>
        <v>31.6</v>
      </c>
      <c r="F118">
        <f t="shared" ca="1" si="13"/>
        <v>33.92</v>
      </c>
      <c r="G118" s="1">
        <f t="shared" si="14"/>
        <v>0.96666666666666656</v>
      </c>
      <c r="H118" s="6">
        <f t="shared" ca="1" si="15"/>
        <v>1.1599999999999999</v>
      </c>
      <c r="I118" s="5">
        <f t="shared" ca="1" si="16"/>
        <v>0.19333333333333336</v>
      </c>
      <c r="J118" s="8">
        <f t="shared" ca="1" si="17"/>
        <v>0.91833333333333322</v>
      </c>
      <c r="K118" s="5">
        <f t="shared" ca="1" si="18"/>
        <v>4.8333333333333339E-2</v>
      </c>
      <c r="L118">
        <f t="shared" ca="1" si="19"/>
        <v>18131.626666666667</v>
      </c>
      <c r="M118">
        <f t="shared" ca="1" si="20"/>
        <v>18132</v>
      </c>
      <c r="N118" t="str">
        <f t="shared" ca="1" si="21"/>
        <v>0100011011010100</v>
      </c>
      <c r="O118">
        <f t="shared" ca="1" si="22"/>
        <v>10001101</v>
      </c>
    </row>
    <row r="119" spans="4:15" x14ac:dyDescent="0.25">
      <c r="D119">
        <v>117</v>
      </c>
      <c r="E119">
        <f t="shared" si="12"/>
        <v>31.700000000000003</v>
      </c>
      <c r="F119">
        <f t="shared" ca="1" si="13"/>
        <v>27.020000000000003</v>
      </c>
      <c r="G119" s="1">
        <f t="shared" si="14"/>
        <v>0.97499999999999987</v>
      </c>
      <c r="H119" s="6">
        <f t="shared" ca="1" si="15"/>
        <v>0.58500000000000019</v>
      </c>
      <c r="I119" s="5">
        <f t="shared" ca="1" si="16"/>
        <v>0.38999999999999968</v>
      </c>
      <c r="J119" s="8">
        <f t="shared" ca="1" si="17"/>
        <v>0.9262499999999998</v>
      </c>
      <c r="K119" s="5">
        <f t="shared" ca="1" si="18"/>
        <v>4.8750000000000071E-2</v>
      </c>
      <c r="L119">
        <f t="shared" ca="1" si="19"/>
        <v>11851.093333333336</v>
      </c>
      <c r="M119">
        <f t="shared" ca="1" si="20"/>
        <v>11851</v>
      </c>
      <c r="N119" t="str">
        <f t="shared" ca="1" si="21"/>
        <v>0010111001001011</v>
      </c>
      <c r="O119">
        <f t="shared" ca="1" si="22"/>
        <v>1011100</v>
      </c>
    </row>
    <row r="120" spans="4:15" x14ac:dyDescent="0.25">
      <c r="D120">
        <v>118</v>
      </c>
      <c r="E120">
        <f t="shared" si="12"/>
        <v>31.8</v>
      </c>
      <c r="F120">
        <f t="shared" ca="1" si="13"/>
        <v>30.62</v>
      </c>
      <c r="G120" s="1">
        <f t="shared" si="14"/>
        <v>0.98333333333333317</v>
      </c>
      <c r="H120" s="6">
        <f t="shared" ca="1" si="15"/>
        <v>0.88500000000000001</v>
      </c>
      <c r="I120" s="5">
        <f t="shared" ca="1" si="16"/>
        <v>9.8333333333333162E-2</v>
      </c>
      <c r="J120" s="8">
        <f t="shared" ca="1" si="17"/>
        <v>1.0325</v>
      </c>
      <c r="K120" s="5">
        <f t="shared" ca="1" si="18"/>
        <v>4.9166666666666803E-2</v>
      </c>
      <c r="L120">
        <f t="shared" ca="1" si="19"/>
        <v>15127.893333333333</v>
      </c>
      <c r="M120">
        <f t="shared" ca="1" si="20"/>
        <v>15128</v>
      </c>
      <c r="N120" t="str">
        <f t="shared" ca="1" si="21"/>
        <v>0011101100011000</v>
      </c>
      <c r="O120">
        <f t="shared" ca="1" si="22"/>
        <v>1110110</v>
      </c>
    </row>
    <row r="121" spans="4:15" x14ac:dyDescent="0.25">
      <c r="D121">
        <v>119</v>
      </c>
      <c r="E121">
        <f t="shared" si="12"/>
        <v>31.9</v>
      </c>
      <c r="F121">
        <f t="shared" ca="1" si="13"/>
        <v>28.33</v>
      </c>
      <c r="G121" s="1">
        <f t="shared" si="14"/>
        <v>0.99166666666666647</v>
      </c>
      <c r="H121" s="6">
        <f t="shared" ca="1" si="15"/>
        <v>0.69416666666666615</v>
      </c>
      <c r="I121" s="5">
        <f t="shared" ca="1" si="16"/>
        <v>0.29750000000000032</v>
      </c>
      <c r="J121" s="8">
        <f t="shared" ca="1" si="17"/>
        <v>0.94208333333333316</v>
      </c>
      <c r="K121" s="5">
        <f t="shared" ca="1" si="18"/>
        <v>4.9583333333333313E-2</v>
      </c>
      <c r="L121">
        <f t="shared" ca="1" si="19"/>
        <v>13043.484444444439</v>
      </c>
      <c r="M121">
        <f t="shared" ca="1" si="20"/>
        <v>13043</v>
      </c>
      <c r="N121" t="str">
        <f t="shared" ca="1" si="21"/>
        <v>0011001011110011</v>
      </c>
      <c r="O121">
        <f t="shared" ca="1" si="22"/>
        <v>1100101</v>
      </c>
    </row>
    <row r="122" spans="4:15" x14ac:dyDescent="0.25">
      <c r="D122">
        <v>120</v>
      </c>
      <c r="E122">
        <f t="shared" si="12"/>
        <v>32</v>
      </c>
      <c r="F122">
        <f t="shared" ca="1" si="13"/>
        <v>32</v>
      </c>
      <c r="G122" s="1">
        <f t="shared" si="14"/>
        <v>0.99999999999999978</v>
      </c>
      <c r="H122" s="6">
        <f t="shared" ca="1" si="15"/>
        <v>0.99999999999999978</v>
      </c>
      <c r="I122" s="5">
        <f t="shared" ca="1" si="16"/>
        <v>0</v>
      </c>
      <c r="J122" s="8">
        <f t="shared" ca="1" si="17"/>
        <v>1.0499999999999998</v>
      </c>
      <c r="K122" s="5">
        <f t="shared" ca="1" si="18"/>
        <v>5.0000000000000044E-2</v>
      </c>
      <c r="L122">
        <f t="shared" ca="1" si="19"/>
        <v>16383.999999999998</v>
      </c>
      <c r="M122">
        <f t="shared" ca="1" si="20"/>
        <v>16384</v>
      </c>
      <c r="N122" t="str">
        <f t="shared" ca="1" si="21"/>
        <v>0100000000000000</v>
      </c>
      <c r="O122">
        <f t="shared" ca="1" si="22"/>
        <v>10000000</v>
      </c>
    </row>
    <row r="123" spans="4:15" x14ac:dyDescent="0.25">
      <c r="D123">
        <v>121</v>
      </c>
      <c r="E123">
        <f t="shared" si="12"/>
        <v>32.1</v>
      </c>
      <c r="F123">
        <f t="shared" ca="1" si="13"/>
        <v>27.26</v>
      </c>
      <c r="G123" s="1">
        <f t="shared" si="14"/>
        <v>1.0083333333333331</v>
      </c>
      <c r="H123" s="6">
        <f t="shared" ca="1" si="15"/>
        <v>0.60499999999999976</v>
      </c>
      <c r="I123" s="5">
        <f t="shared" ca="1" si="16"/>
        <v>0.40333333333333332</v>
      </c>
      <c r="J123" s="8">
        <f t="shared" ca="1" si="17"/>
        <v>1.0587499999999999</v>
      </c>
      <c r="K123" s="5">
        <f t="shared" ca="1" si="18"/>
        <v>5.0416666666666776E-2</v>
      </c>
      <c r="L123">
        <f t="shared" ca="1" si="19"/>
        <v>12069.546666666663</v>
      </c>
      <c r="M123">
        <f t="shared" ca="1" si="20"/>
        <v>12070</v>
      </c>
      <c r="N123" t="str">
        <f t="shared" ca="1" si="21"/>
        <v>0010111100100110</v>
      </c>
      <c r="O123">
        <f t="shared" ca="1" si="22"/>
        <v>1011110</v>
      </c>
    </row>
    <row r="124" spans="4:15" x14ac:dyDescent="0.25">
      <c r="D124">
        <v>122</v>
      </c>
      <c r="E124">
        <f t="shared" si="12"/>
        <v>32.200000000000003</v>
      </c>
      <c r="F124">
        <f t="shared" ca="1" si="13"/>
        <v>28.540000000000003</v>
      </c>
      <c r="G124" s="1">
        <f t="shared" si="14"/>
        <v>1.0166666666666668</v>
      </c>
      <c r="H124" s="6">
        <f t="shared" ca="1" si="15"/>
        <v>0.71166666666666667</v>
      </c>
      <c r="I124" s="5">
        <f t="shared" ca="1" si="16"/>
        <v>0.30500000000000016</v>
      </c>
      <c r="J124" s="8">
        <f t="shared" ca="1" si="17"/>
        <v>0.96583333333333343</v>
      </c>
      <c r="K124" s="5">
        <f t="shared" ca="1" si="18"/>
        <v>5.0833333333333397E-2</v>
      </c>
      <c r="L124">
        <f t="shared" ca="1" si="19"/>
        <v>13234.631111111112</v>
      </c>
      <c r="M124">
        <f t="shared" ca="1" si="20"/>
        <v>13235</v>
      </c>
      <c r="N124" t="str">
        <f t="shared" ca="1" si="21"/>
        <v>0011001110110011</v>
      </c>
      <c r="O124">
        <f t="shared" ca="1" si="22"/>
        <v>1100111</v>
      </c>
    </row>
    <row r="125" spans="4:15" x14ac:dyDescent="0.25">
      <c r="D125">
        <v>123</v>
      </c>
      <c r="E125">
        <f t="shared" si="12"/>
        <v>32.299999999999997</v>
      </c>
      <c r="F125">
        <f t="shared" ca="1" si="13"/>
        <v>26.15</v>
      </c>
      <c r="G125" s="1">
        <f t="shared" si="14"/>
        <v>1.0249999999999997</v>
      </c>
      <c r="H125" s="6">
        <f t="shared" ca="1" si="15"/>
        <v>0.51249999999999951</v>
      </c>
      <c r="I125" s="5">
        <f t="shared" ca="1" si="16"/>
        <v>0.51250000000000018</v>
      </c>
      <c r="J125" s="8">
        <f t="shared" ca="1" si="17"/>
        <v>1.0762499999999997</v>
      </c>
      <c r="K125" s="5">
        <f t="shared" ca="1" si="18"/>
        <v>5.1250000000000018E-2</v>
      </c>
      <c r="L125">
        <f t="shared" ca="1" si="19"/>
        <v>11059.199999999995</v>
      </c>
      <c r="M125">
        <f t="shared" ca="1" si="20"/>
        <v>11059</v>
      </c>
      <c r="N125" t="str">
        <f t="shared" ca="1" si="21"/>
        <v>0010101100110011</v>
      </c>
      <c r="O125">
        <f t="shared" ca="1" si="22"/>
        <v>1010110</v>
      </c>
    </row>
    <row r="126" spans="4:15" x14ac:dyDescent="0.25">
      <c r="D126">
        <v>124</v>
      </c>
      <c r="E126">
        <f t="shared" si="12"/>
        <v>32.4</v>
      </c>
      <c r="F126">
        <f t="shared" ca="1" si="13"/>
        <v>36.119999999999997</v>
      </c>
      <c r="G126" s="1">
        <f t="shared" si="14"/>
        <v>1.033333333333333</v>
      </c>
      <c r="H126" s="6">
        <f t="shared" ca="1" si="15"/>
        <v>1.343333333333333</v>
      </c>
      <c r="I126" s="5">
        <f t="shared" ca="1" si="16"/>
        <v>0.31000000000000005</v>
      </c>
      <c r="J126" s="8">
        <f t="shared" ca="1" si="17"/>
        <v>0.98166666666666624</v>
      </c>
      <c r="K126" s="5">
        <f t="shared" ca="1" si="18"/>
        <v>5.166666666666675E-2</v>
      </c>
      <c r="L126">
        <f t="shared" ca="1" si="19"/>
        <v>20134.115555555552</v>
      </c>
      <c r="M126">
        <f t="shared" ca="1" si="20"/>
        <v>20134</v>
      </c>
      <c r="N126" t="str">
        <f t="shared" ca="1" si="21"/>
        <v>0100111010100110</v>
      </c>
      <c r="O126">
        <f t="shared" ca="1" si="22"/>
        <v>10011101</v>
      </c>
    </row>
    <row r="127" spans="4:15" x14ac:dyDescent="0.25">
      <c r="D127">
        <v>125</v>
      </c>
      <c r="E127">
        <f t="shared" si="12"/>
        <v>32.5</v>
      </c>
      <c r="F127">
        <f t="shared" ca="1" si="13"/>
        <v>36.25</v>
      </c>
      <c r="G127" s="1">
        <f t="shared" si="14"/>
        <v>1.0416666666666663</v>
      </c>
      <c r="H127" s="6">
        <f t="shared" ca="1" si="15"/>
        <v>1.3541666666666663</v>
      </c>
      <c r="I127" s="5">
        <f t="shared" ca="1" si="16"/>
        <v>0.3125</v>
      </c>
      <c r="J127" s="8">
        <f t="shared" ca="1" si="17"/>
        <v>1.0937499999999996</v>
      </c>
      <c r="K127" s="5">
        <f t="shared" ca="1" si="18"/>
        <v>5.2083333333333259E-2</v>
      </c>
      <c r="L127">
        <f t="shared" ca="1" si="19"/>
        <v>20252.444444444442</v>
      </c>
      <c r="M127">
        <f t="shared" ca="1" si="20"/>
        <v>20252</v>
      </c>
      <c r="N127" t="str">
        <f t="shared" ca="1" si="21"/>
        <v>0100111100011100</v>
      </c>
      <c r="O127">
        <f t="shared" ca="1" si="22"/>
        <v>10011110</v>
      </c>
    </row>
    <row r="128" spans="4:15" x14ac:dyDescent="0.25">
      <c r="D128">
        <v>126</v>
      </c>
      <c r="E128">
        <f t="shared" si="12"/>
        <v>32.6</v>
      </c>
      <c r="F128">
        <f t="shared" ca="1" si="13"/>
        <v>27.560000000000002</v>
      </c>
      <c r="G128" s="1">
        <f t="shared" si="14"/>
        <v>1.05</v>
      </c>
      <c r="H128" s="6">
        <f t="shared" ca="1" si="15"/>
        <v>0.63000000000000012</v>
      </c>
      <c r="I128" s="5">
        <f t="shared" ca="1" si="16"/>
        <v>0.41999999999999993</v>
      </c>
      <c r="J128" s="8">
        <f t="shared" ca="1" si="17"/>
        <v>0.99749999999999994</v>
      </c>
      <c r="K128" s="5">
        <f t="shared" ca="1" si="18"/>
        <v>5.2500000000000102E-2</v>
      </c>
      <c r="L128">
        <f t="shared" ca="1" si="19"/>
        <v>12342.613333333335</v>
      </c>
      <c r="M128">
        <f t="shared" ca="1" si="20"/>
        <v>12343</v>
      </c>
      <c r="N128" t="str">
        <f t="shared" ca="1" si="21"/>
        <v>0011000000110111</v>
      </c>
      <c r="O128">
        <f t="shared" ca="1" si="22"/>
        <v>1100000</v>
      </c>
    </row>
    <row r="129" spans="4:15" x14ac:dyDescent="0.25">
      <c r="D129">
        <v>127</v>
      </c>
      <c r="E129">
        <f t="shared" si="12"/>
        <v>32.700000000000003</v>
      </c>
      <c r="F129">
        <f t="shared" ca="1" si="13"/>
        <v>36.510000000000005</v>
      </c>
      <c r="G129" s="1">
        <f t="shared" si="14"/>
        <v>1.0583333333333333</v>
      </c>
      <c r="H129" s="6">
        <f t="shared" ca="1" si="15"/>
        <v>1.3758333333333337</v>
      </c>
      <c r="I129" s="5">
        <f t="shared" ca="1" si="16"/>
        <v>0.31750000000000034</v>
      </c>
      <c r="J129" s="8">
        <f t="shared" ca="1" si="17"/>
        <v>1.1112500000000001</v>
      </c>
      <c r="K129" s="5">
        <f t="shared" ca="1" si="18"/>
        <v>5.2916666666666723E-2</v>
      </c>
      <c r="L129">
        <f t="shared" ca="1" si="19"/>
        <v>20489.102222222227</v>
      </c>
      <c r="M129">
        <f t="shared" ca="1" si="20"/>
        <v>20489</v>
      </c>
      <c r="N129" t="str">
        <f t="shared" ca="1" si="21"/>
        <v>0101000000001001</v>
      </c>
      <c r="O129">
        <f t="shared" ca="1" si="22"/>
        <v>10100000</v>
      </c>
    </row>
    <row r="130" spans="4:15" x14ac:dyDescent="0.25">
      <c r="D130">
        <v>128</v>
      </c>
      <c r="E130">
        <f t="shared" si="12"/>
        <v>32.799999999999997</v>
      </c>
      <c r="F130">
        <f t="shared" ca="1" si="13"/>
        <v>31.519999999999996</v>
      </c>
      <c r="G130" s="1">
        <f t="shared" si="14"/>
        <v>1.0666666666666662</v>
      </c>
      <c r="H130" s="6">
        <f t="shared" ca="1" si="15"/>
        <v>0.9599999999999993</v>
      </c>
      <c r="I130" s="5">
        <f t="shared" ca="1" si="16"/>
        <v>0.10666666666666691</v>
      </c>
      <c r="J130" s="8">
        <f t="shared" ca="1" si="17"/>
        <v>1.0133333333333328</v>
      </c>
      <c r="K130" s="5">
        <f t="shared" ca="1" si="18"/>
        <v>5.3333333333333455E-2</v>
      </c>
      <c r="L130">
        <f t="shared" ca="1" si="19"/>
        <v>15947.093333333325</v>
      </c>
      <c r="M130">
        <f t="shared" ca="1" si="20"/>
        <v>15947</v>
      </c>
      <c r="N130" t="str">
        <f t="shared" ca="1" si="21"/>
        <v>0011111001001011</v>
      </c>
      <c r="O130">
        <f t="shared" ca="1" si="22"/>
        <v>1111100</v>
      </c>
    </row>
    <row r="131" spans="4:15" x14ac:dyDescent="0.25">
      <c r="D131">
        <v>129</v>
      </c>
      <c r="E131">
        <f t="shared" ref="E131:E194" si="23">0.1*D131+20</f>
        <v>32.9</v>
      </c>
      <c r="F131">
        <f t="shared" ref="F131:F194" ca="1" si="24">0.1*D131+20 + (RANDBETWEEN(-5,5)/100)*D131</f>
        <v>30.32</v>
      </c>
      <c r="G131" s="1">
        <f t="shared" ref="G131:G194" si="25">1/12*E131-5/3</f>
        <v>1.0749999999999995</v>
      </c>
      <c r="H131" s="6">
        <f t="shared" ref="H131:H194" ca="1" si="26">1/12*F131-5/3</f>
        <v>0.85999999999999965</v>
      </c>
      <c r="I131" s="5">
        <f t="shared" ref="I131:I194" ca="1" si="27">ABS(G131-H131)</f>
        <v>0.21499999999999986</v>
      </c>
      <c r="J131" s="8">
        <f t="shared" ref="J131:J194" ca="1" si="28" xml:space="preserve"> G131 * (1 + $B$1 * IF(RANDBETWEEN(0,1)=0,-1,1))</f>
        <v>1.1287499999999995</v>
      </c>
      <c r="K131" s="5">
        <f t="shared" ref="K131:K194" ca="1" si="29">ABS(G131-J131)</f>
        <v>5.3749999999999964E-2</v>
      </c>
      <c r="L131">
        <f t="shared" ref="L131:L194" ca="1" si="30">(H131-$B$2)/($B$3-$B$2)*(2^$B$4)</f>
        <v>14854.826666666662</v>
      </c>
      <c r="M131">
        <f t="shared" ref="M131:M194" ca="1" si="31">ROUND(L131,0)</f>
        <v>14855</v>
      </c>
      <c r="N131" t="str">
        <f t="shared" ref="N131:N194" ca="1" si="32">_xlfn.BASE(M131,2,$B$4)</f>
        <v>0011101000000111</v>
      </c>
      <c r="O131">
        <f t="shared" ref="O131:O194" ca="1" si="33">VALUE(LEFT(N131,9))</f>
        <v>1110100</v>
      </c>
    </row>
    <row r="132" spans="4:15" x14ac:dyDescent="0.25">
      <c r="D132">
        <v>130</v>
      </c>
      <c r="E132">
        <f t="shared" si="23"/>
        <v>33</v>
      </c>
      <c r="F132">
        <f t="shared" ca="1" si="24"/>
        <v>27.8</v>
      </c>
      <c r="G132" s="1">
        <f t="shared" si="25"/>
        <v>1.0833333333333333</v>
      </c>
      <c r="H132" s="6">
        <f t="shared" ca="1" si="26"/>
        <v>0.64999999999999969</v>
      </c>
      <c r="I132" s="5">
        <f t="shared" ca="1" si="27"/>
        <v>0.43333333333333357</v>
      </c>
      <c r="J132" s="8">
        <f t="shared" ca="1" si="28"/>
        <v>1.1375</v>
      </c>
      <c r="K132" s="5">
        <f t="shared" ca="1" si="29"/>
        <v>5.4166666666666696E-2</v>
      </c>
      <c r="L132">
        <f t="shared" ca="1" si="30"/>
        <v>12561.066666666664</v>
      </c>
      <c r="M132">
        <f t="shared" ca="1" si="31"/>
        <v>12561</v>
      </c>
      <c r="N132" t="str">
        <f t="shared" ca="1" si="32"/>
        <v>0011000100010001</v>
      </c>
      <c r="O132">
        <f t="shared" ca="1" si="33"/>
        <v>1100010</v>
      </c>
    </row>
    <row r="133" spans="4:15" x14ac:dyDescent="0.25">
      <c r="D133">
        <v>131</v>
      </c>
      <c r="E133">
        <f t="shared" si="23"/>
        <v>33.1</v>
      </c>
      <c r="F133">
        <f t="shared" ca="1" si="24"/>
        <v>37.03</v>
      </c>
      <c r="G133" s="1">
        <f t="shared" si="25"/>
        <v>1.0916666666666666</v>
      </c>
      <c r="H133" s="6">
        <f t="shared" ca="1" si="26"/>
        <v>1.4191666666666667</v>
      </c>
      <c r="I133" s="5">
        <f t="shared" ca="1" si="27"/>
        <v>0.32750000000000012</v>
      </c>
      <c r="J133" s="8">
        <f t="shared" ca="1" si="28"/>
        <v>1.0370833333333331</v>
      </c>
      <c r="K133" s="5">
        <f t="shared" ca="1" si="29"/>
        <v>5.4583333333333428E-2</v>
      </c>
      <c r="L133">
        <f t="shared" ca="1" si="30"/>
        <v>20962.417777777777</v>
      </c>
      <c r="M133">
        <f t="shared" ca="1" si="31"/>
        <v>20962</v>
      </c>
      <c r="N133" t="str">
        <f t="shared" ca="1" si="32"/>
        <v>0101000111100010</v>
      </c>
      <c r="O133">
        <f t="shared" ca="1" si="33"/>
        <v>10100011</v>
      </c>
    </row>
    <row r="134" spans="4:15" x14ac:dyDescent="0.25">
      <c r="D134">
        <v>132</v>
      </c>
      <c r="E134">
        <f t="shared" si="23"/>
        <v>33.200000000000003</v>
      </c>
      <c r="F134">
        <f t="shared" ca="1" si="24"/>
        <v>27.92</v>
      </c>
      <c r="G134" s="1">
        <f t="shared" si="25"/>
        <v>1.0999999999999999</v>
      </c>
      <c r="H134" s="6">
        <f t="shared" ca="1" si="26"/>
        <v>0.65999999999999992</v>
      </c>
      <c r="I134" s="5">
        <f t="shared" ca="1" si="27"/>
        <v>0.43999999999999995</v>
      </c>
      <c r="J134" s="8">
        <f t="shared" ca="1" si="28"/>
        <v>1.0449999999999999</v>
      </c>
      <c r="K134" s="5">
        <f t="shared" ca="1" si="29"/>
        <v>5.4999999999999938E-2</v>
      </c>
      <c r="L134">
        <f t="shared" ca="1" si="30"/>
        <v>12670.293333333333</v>
      </c>
      <c r="M134">
        <f t="shared" ca="1" si="31"/>
        <v>12670</v>
      </c>
      <c r="N134" t="str">
        <f t="shared" ca="1" si="32"/>
        <v>0011000101111110</v>
      </c>
      <c r="O134">
        <f t="shared" ca="1" si="33"/>
        <v>1100010</v>
      </c>
    </row>
    <row r="135" spans="4:15" x14ac:dyDescent="0.25">
      <c r="D135">
        <v>133</v>
      </c>
      <c r="E135">
        <f t="shared" si="23"/>
        <v>33.299999999999997</v>
      </c>
      <c r="F135">
        <f t="shared" ca="1" si="24"/>
        <v>33.299999999999997</v>
      </c>
      <c r="G135" s="1">
        <f t="shared" si="25"/>
        <v>1.1083333333333327</v>
      </c>
      <c r="H135" s="6">
        <f t="shared" ca="1" si="26"/>
        <v>1.1083333333333327</v>
      </c>
      <c r="I135" s="5">
        <f t="shared" ca="1" si="27"/>
        <v>0</v>
      </c>
      <c r="J135" s="8">
        <f t="shared" ca="1" si="28"/>
        <v>1.1637499999999994</v>
      </c>
      <c r="K135" s="5">
        <f t="shared" ca="1" si="29"/>
        <v>5.541666666666667E-2</v>
      </c>
      <c r="L135">
        <f t="shared" ca="1" si="30"/>
        <v>17567.288888888881</v>
      </c>
      <c r="M135">
        <f t="shared" ca="1" si="31"/>
        <v>17567</v>
      </c>
      <c r="N135" t="str">
        <f t="shared" ca="1" si="32"/>
        <v>0100010010011111</v>
      </c>
      <c r="O135">
        <f t="shared" ca="1" si="33"/>
        <v>10001001</v>
      </c>
    </row>
    <row r="136" spans="4:15" x14ac:dyDescent="0.25">
      <c r="D136">
        <v>134</v>
      </c>
      <c r="E136">
        <f t="shared" si="23"/>
        <v>33.4</v>
      </c>
      <c r="F136">
        <f t="shared" ca="1" si="24"/>
        <v>32.059999999999995</v>
      </c>
      <c r="G136" s="1">
        <f t="shared" si="25"/>
        <v>1.1166666666666665</v>
      </c>
      <c r="H136" s="6">
        <f t="shared" ca="1" si="26"/>
        <v>1.0049999999999992</v>
      </c>
      <c r="I136" s="5">
        <f t="shared" ca="1" si="27"/>
        <v>0.11166666666666725</v>
      </c>
      <c r="J136" s="8">
        <f t="shared" ca="1" si="28"/>
        <v>1.0608333333333331</v>
      </c>
      <c r="K136" s="5">
        <f t="shared" ca="1" si="29"/>
        <v>5.5833333333333401E-2</v>
      </c>
      <c r="L136">
        <f t="shared" ca="1" si="30"/>
        <v>16438.613333333324</v>
      </c>
      <c r="M136">
        <f t="shared" ca="1" si="31"/>
        <v>16439</v>
      </c>
      <c r="N136" t="str">
        <f t="shared" ca="1" si="32"/>
        <v>0100000000110111</v>
      </c>
      <c r="O136">
        <f t="shared" ca="1" si="33"/>
        <v>10000000</v>
      </c>
    </row>
    <row r="137" spans="4:15" x14ac:dyDescent="0.25">
      <c r="D137">
        <v>135</v>
      </c>
      <c r="E137">
        <f t="shared" si="23"/>
        <v>33.5</v>
      </c>
      <c r="F137">
        <f t="shared" ca="1" si="24"/>
        <v>34.85</v>
      </c>
      <c r="G137" s="1">
        <f t="shared" si="25"/>
        <v>1.1249999999999998</v>
      </c>
      <c r="H137" s="6">
        <f t="shared" ca="1" si="26"/>
        <v>1.2375</v>
      </c>
      <c r="I137" s="5">
        <f t="shared" ca="1" si="27"/>
        <v>0.11250000000000027</v>
      </c>
      <c r="J137" s="8">
        <f t="shared" ca="1" si="28"/>
        <v>1.0687499999999996</v>
      </c>
      <c r="K137" s="5">
        <f t="shared" ca="1" si="29"/>
        <v>5.6250000000000133E-2</v>
      </c>
      <c r="L137">
        <f t="shared" ca="1" si="30"/>
        <v>18978.133333333335</v>
      </c>
      <c r="M137">
        <f t="shared" ca="1" si="31"/>
        <v>18978</v>
      </c>
      <c r="N137" t="str">
        <f t="shared" ca="1" si="32"/>
        <v>0100101000100010</v>
      </c>
      <c r="O137">
        <f t="shared" ca="1" si="33"/>
        <v>10010100</v>
      </c>
    </row>
    <row r="138" spans="4:15" x14ac:dyDescent="0.25">
      <c r="D138">
        <v>136</v>
      </c>
      <c r="E138">
        <f t="shared" si="23"/>
        <v>33.6</v>
      </c>
      <c r="F138">
        <f t="shared" ca="1" si="24"/>
        <v>40.400000000000006</v>
      </c>
      <c r="G138" s="1">
        <f t="shared" si="25"/>
        <v>1.1333333333333331</v>
      </c>
      <c r="H138" s="6">
        <f t="shared" ca="1" si="26"/>
        <v>1.7000000000000004</v>
      </c>
      <c r="I138" s="5">
        <f t="shared" ca="1" si="27"/>
        <v>0.56666666666666732</v>
      </c>
      <c r="J138" s="8">
        <f t="shared" ca="1" si="28"/>
        <v>1.1899999999999997</v>
      </c>
      <c r="K138" s="5">
        <f t="shared" ca="1" si="29"/>
        <v>5.6666666666666643E-2</v>
      </c>
      <c r="L138">
        <f t="shared" ca="1" si="30"/>
        <v>24029.866666666669</v>
      </c>
      <c r="M138">
        <f t="shared" ca="1" si="31"/>
        <v>24030</v>
      </c>
      <c r="N138" t="str">
        <f t="shared" ca="1" si="32"/>
        <v>0101110111011110</v>
      </c>
      <c r="O138">
        <f t="shared" ca="1" si="33"/>
        <v>10111011</v>
      </c>
    </row>
    <row r="139" spans="4:15" x14ac:dyDescent="0.25">
      <c r="D139">
        <v>137</v>
      </c>
      <c r="E139">
        <f t="shared" si="23"/>
        <v>33.700000000000003</v>
      </c>
      <c r="F139">
        <f t="shared" ca="1" si="24"/>
        <v>39.180000000000007</v>
      </c>
      <c r="G139" s="1">
        <f t="shared" si="25"/>
        <v>1.1416666666666668</v>
      </c>
      <c r="H139" s="6">
        <f t="shared" ca="1" si="26"/>
        <v>1.5983333333333338</v>
      </c>
      <c r="I139" s="5">
        <f t="shared" ca="1" si="27"/>
        <v>0.456666666666667</v>
      </c>
      <c r="J139" s="8">
        <f t="shared" ca="1" si="28"/>
        <v>1.1987500000000002</v>
      </c>
      <c r="K139" s="5">
        <f t="shared" ca="1" si="29"/>
        <v>5.7083333333333375E-2</v>
      </c>
      <c r="L139">
        <f t="shared" ca="1" si="30"/>
        <v>22919.395555555559</v>
      </c>
      <c r="M139">
        <f t="shared" ca="1" si="31"/>
        <v>22919</v>
      </c>
      <c r="N139" t="str">
        <f t="shared" ca="1" si="32"/>
        <v>0101100110000111</v>
      </c>
      <c r="O139">
        <f t="shared" ca="1" si="33"/>
        <v>10110011</v>
      </c>
    </row>
    <row r="140" spans="4:15" x14ac:dyDescent="0.25">
      <c r="D140">
        <v>138</v>
      </c>
      <c r="E140">
        <f t="shared" si="23"/>
        <v>33.799999999999997</v>
      </c>
      <c r="F140">
        <f t="shared" ca="1" si="24"/>
        <v>32.419999999999995</v>
      </c>
      <c r="G140" s="1">
        <f t="shared" si="25"/>
        <v>1.1499999999999997</v>
      </c>
      <c r="H140" s="6">
        <f t="shared" ca="1" si="26"/>
        <v>1.0349999999999995</v>
      </c>
      <c r="I140" s="5">
        <f t="shared" ca="1" si="27"/>
        <v>0.11500000000000021</v>
      </c>
      <c r="J140" s="8">
        <f t="shared" ca="1" si="28"/>
        <v>1.0924999999999996</v>
      </c>
      <c r="K140" s="5">
        <f t="shared" ca="1" si="29"/>
        <v>5.7500000000000107E-2</v>
      </c>
      <c r="L140">
        <f t="shared" ca="1" si="30"/>
        <v>16766.293333333328</v>
      </c>
      <c r="M140">
        <f t="shared" ca="1" si="31"/>
        <v>16766</v>
      </c>
      <c r="N140" t="str">
        <f t="shared" ca="1" si="32"/>
        <v>0100000101111110</v>
      </c>
      <c r="O140">
        <f t="shared" ca="1" si="33"/>
        <v>10000010</v>
      </c>
    </row>
    <row r="141" spans="4:15" x14ac:dyDescent="0.25">
      <c r="D141">
        <v>139</v>
      </c>
      <c r="E141">
        <f t="shared" si="23"/>
        <v>33.9</v>
      </c>
      <c r="F141">
        <f t="shared" ca="1" si="24"/>
        <v>33.9</v>
      </c>
      <c r="G141" s="1">
        <f t="shared" si="25"/>
        <v>1.158333333333333</v>
      </c>
      <c r="H141" s="6">
        <f t="shared" ca="1" si="26"/>
        <v>1.158333333333333</v>
      </c>
      <c r="I141" s="5">
        <f t="shared" ca="1" si="27"/>
        <v>0</v>
      </c>
      <c r="J141" s="8">
        <f t="shared" ca="1" si="28"/>
        <v>1.2162499999999996</v>
      </c>
      <c r="K141" s="5">
        <f t="shared" ca="1" si="29"/>
        <v>5.7916666666666616E-2</v>
      </c>
      <c r="L141">
        <f t="shared" ca="1" si="30"/>
        <v>18113.42222222222</v>
      </c>
      <c r="M141">
        <f t="shared" ca="1" si="31"/>
        <v>18113</v>
      </c>
      <c r="N141" t="str">
        <f t="shared" ca="1" si="32"/>
        <v>0100011011000001</v>
      </c>
      <c r="O141">
        <f t="shared" ca="1" si="33"/>
        <v>10001101</v>
      </c>
    </row>
    <row r="142" spans="4:15" x14ac:dyDescent="0.25">
      <c r="D142">
        <v>140</v>
      </c>
      <c r="E142">
        <f t="shared" si="23"/>
        <v>34</v>
      </c>
      <c r="F142">
        <f t="shared" ca="1" si="24"/>
        <v>39.6</v>
      </c>
      <c r="G142" s="1">
        <f t="shared" si="25"/>
        <v>1.1666666666666663</v>
      </c>
      <c r="H142" s="6">
        <f t="shared" ca="1" si="26"/>
        <v>1.6333333333333331</v>
      </c>
      <c r="I142" s="5">
        <f t="shared" ca="1" si="27"/>
        <v>0.46666666666666679</v>
      </c>
      <c r="J142" s="8">
        <f t="shared" ca="1" si="28"/>
        <v>1.1083333333333329</v>
      </c>
      <c r="K142" s="5">
        <f t="shared" ca="1" si="29"/>
        <v>5.8333333333333348E-2</v>
      </c>
      <c r="L142">
        <f t="shared" ca="1" si="30"/>
        <v>23301.688888888883</v>
      </c>
      <c r="M142">
        <f t="shared" ca="1" si="31"/>
        <v>23302</v>
      </c>
      <c r="N142" t="str">
        <f t="shared" ca="1" si="32"/>
        <v>0101101100000110</v>
      </c>
      <c r="O142">
        <f t="shared" ca="1" si="33"/>
        <v>10110110</v>
      </c>
    </row>
    <row r="143" spans="4:15" x14ac:dyDescent="0.25">
      <c r="D143">
        <v>141</v>
      </c>
      <c r="E143">
        <f t="shared" si="23"/>
        <v>34.1</v>
      </c>
      <c r="F143">
        <f t="shared" ca="1" si="24"/>
        <v>41.150000000000006</v>
      </c>
      <c r="G143" s="1">
        <f t="shared" si="25"/>
        <v>1.175</v>
      </c>
      <c r="H143" s="6">
        <f t="shared" ca="1" si="26"/>
        <v>1.7625000000000004</v>
      </c>
      <c r="I143" s="5">
        <f t="shared" ca="1" si="27"/>
        <v>0.58750000000000036</v>
      </c>
      <c r="J143" s="8">
        <f t="shared" ca="1" si="28"/>
        <v>1.2337500000000001</v>
      </c>
      <c r="K143" s="5">
        <f t="shared" ca="1" si="29"/>
        <v>5.875000000000008E-2</v>
      </c>
      <c r="L143">
        <f t="shared" ca="1" si="30"/>
        <v>24712.533333333336</v>
      </c>
      <c r="M143">
        <f t="shared" ca="1" si="31"/>
        <v>24713</v>
      </c>
      <c r="N143" t="str">
        <f t="shared" ca="1" si="32"/>
        <v>0110000010001001</v>
      </c>
      <c r="O143">
        <f t="shared" ca="1" si="33"/>
        <v>11000001</v>
      </c>
    </row>
    <row r="144" spans="4:15" x14ac:dyDescent="0.25">
      <c r="D144">
        <v>142</v>
      </c>
      <c r="E144">
        <f t="shared" si="23"/>
        <v>34.200000000000003</v>
      </c>
      <c r="F144">
        <f t="shared" ca="1" si="24"/>
        <v>38.46</v>
      </c>
      <c r="G144" s="1">
        <f t="shared" si="25"/>
        <v>1.1833333333333333</v>
      </c>
      <c r="H144" s="6">
        <f t="shared" ca="1" si="26"/>
        <v>1.5383333333333333</v>
      </c>
      <c r="I144" s="5">
        <f t="shared" ca="1" si="27"/>
        <v>0.35499999999999998</v>
      </c>
      <c r="J144" s="8">
        <f t="shared" ca="1" si="28"/>
        <v>1.1241666666666665</v>
      </c>
      <c r="K144" s="5">
        <f t="shared" ca="1" si="29"/>
        <v>5.9166666666666812E-2</v>
      </c>
      <c r="L144">
        <f t="shared" ca="1" si="30"/>
        <v>22264.035555555554</v>
      </c>
      <c r="M144">
        <f t="shared" ca="1" si="31"/>
        <v>22264</v>
      </c>
      <c r="N144" t="str">
        <f t="shared" ca="1" si="32"/>
        <v>0101011011111000</v>
      </c>
      <c r="O144">
        <f t="shared" ca="1" si="33"/>
        <v>10101101</v>
      </c>
    </row>
    <row r="145" spans="4:15" x14ac:dyDescent="0.25">
      <c r="D145">
        <v>143</v>
      </c>
      <c r="E145">
        <f t="shared" si="23"/>
        <v>34.299999999999997</v>
      </c>
      <c r="F145">
        <f t="shared" ca="1" si="24"/>
        <v>34.299999999999997</v>
      </c>
      <c r="G145" s="1">
        <f t="shared" si="25"/>
        <v>1.1916666666666662</v>
      </c>
      <c r="H145" s="6">
        <f t="shared" ca="1" si="26"/>
        <v>1.1916666666666662</v>
      </c>
      <c r="I145" s="5">
        <f t="shared" ca="1" si="27"/>
        <v>0</v>
      </c>
      <c r="J145" s="8">
        <f t="shared" ca="1" si="28"/>
        <v>1.1320833333333329</v>
      </c>
      <c r="K145" s="5">
        <f t="shared" ca="1" si="29"/>
        <v>5.9583333333333321E-2</v>
      </c>
      <c r="L145">
        <f t="shared" ca="1" si="30"/>
        <v>18477.511111111107</v>
      </c>
      <c r="M145">
        <f t="shared" ca="1" si="31"/>
        <v>18478</v>
      </c>
      <c r="N145" t="str">
        <f t="shared" ca="1" si="32"/>
        <v>0100100000101110</v>
      </c>
      <c r="O145">
        <f t="shared" ca="1" si="33"/>
        <v>10010000</v>
      </c>
    </row>
    <row r="146" spans="4:15" x14ac:dyDescent="0.25">
      <c r="D146">
        <v>144</v>
      </c>
      <c r="E146">
        <f t="shared" si="23"/>
        <v>34.4</v>
      </c>
      <c r="F146">
        <f t="shared" ca="1" si="24"/>
        <v>37.28</v>
      </c>
      <c r="G146" s="1">
        <f t="shared" si="25"/>
        <v>1.1999999999999995</v>
      </c>
      <c r="H146" s="6">
        <f t="shared" ca="1" si="26"/>
        <v>1.4399999999999997</v>
      </c>
      <c r="I146" s="5">
        <f t="shared" ca="1" si="27"/>
        <v>0.24000000000000021</v>
      </c>
      <c r="J146" s="8">
        <f t="shared" ca="1" si="28"/>
        <v>1.1399999999999995</v>
      </c>
      <c r="K146" s="5">
        <f t="shared" ca="1" si="29"/>
        <v>6.0000000000000053E-2</v>
      </c>
      <c r="L146">
        <f t="shared" ca="1" si="30"/>
        <v>21189.973333333332</v>
      </c>
      <c r="M146">
        <f t="shared" ca="1" si="31"/>
        <v>21190</v>
      </c>
      <c r="N146" t="str">
        <f t="shared" ca="1" si="32"/>
        <v>0101001011000110</v>
      </c>
      <c r="O146">
        <f t="shared" ca="1" si="33"/>
        <v>10100101</v>
      </c>
    </row>
    <row r="147" spans="4:15" x14ac:dyDescent="0.25">
      <c r="D147">
        <v>145</v>
      </c>
      <c r="E147">
        <f t="shared" si="23"/>
        <v>34.5</v>
      </c>
      <c r="F147">
        <f t="shared" ca="1" si="24"/>
        <v>27.25</v>
      </c>
      <c r="G147" s="1">
        <f t="shared" si="25"/>
        <v>1.2083333333333333</v>
      </c>
      <c r="H147" s="6">
        <f t="shared" ca="1" si="26"/>
        <v>0.6041666666666663</v>
      </c>
      <c r="I147" s="5">
        <f t="shared" ca="1" si="27"/>
        <v>0.60416666666666696</v>
      </c>
      <c r="J147" s="8">
        <f t="shared" ca="1" si="28"/>
        <v>1.1479166666666665</v>
      </c>
      <c r="K147" s="5">
        <f t="shared" ca="1" si="29"/>
        <v>6.0416666666666785E-2</v>
      </c>
      <c r="L147">
        <f t="shared" ca="1" si="30"/>
        <v>12060.44444444444</v>
      </c>
      <c r="M147">
        <f t="shared" ca="1" si="31"/>
        <v>12060</v>
      </c>
      <c r="N147" t="str">
        <f t="shared" ca="1" si="32"/>
        <v>0010111100011100</v>
      </c>
      <c r="O147">
        <f t="shared" ca="1" si="33"/>
        <v>1011110</v>
      </c>
    </row>
    <row r="148" spans="4:15" x14ac:dyDescent="0.25">
      <c r="D148">
        <v>146</v>
      </c>
      <c r="E148">
        <f t="shared" si="23"/>
        <v>34.6</v>
      </c>
      <c r="F148">
        <f t="shared" ca="1" si="24"/>
        <v>34.6</v>
      </c>
      <c r="G148" s="1">
        <f t="shared" si="25"/>
        <v>1.2166666666666666</v>
      </c>
      <c r="H148" s="6">
        <f t="shared" ca="1" si="26"/>
        <v>1.2166666666666666</v>
      </c>
      <c r="I148" s="5">
        <f t="shared" ca="1" si="27"/>
        <v>0</v>
      </c>
      <c r="J148" s="8">
        <f t="shared" ca="1" si="28"/>
        <v>1.2774999999999999</v>
      </c>
      <c r="K148" s="5">
        <f t="shared" ca="1" si="29"/>
        <v>6.0833333333333295E-2</v>
      </c>
      <c r="L148">
        <f t="shared" ca="1" si="30"/>
        <v>18750.577777777777</v>
      </c>
      <c r="M148">
        <f t="shared" ca="1" si="31"/>
        <v>18751</v>
      </c>
      <c r="N148" t="str">
        <f t="shared" ca="1" si="32"/>
        <v>0100100100111111</v>
      </c>
      <c r="O148">
        <f t="shared" ca="1" si="33"/>
        <v>10010010</v>
      </c>
    </row>
    <row r="149" spans="4:15" x14ac:dyDescent="0.25">
      <c r="D149">
        <v>147</v>
      </c>
      <c r="E149">
        <f t="shared" si="23"/>
        <v>34.700000000000003</v>
      </c>
      <c r="F149">
        <f t="shared" ca="1" si="24"/>
        <v>42.050000000000004</v>
      </c>
      <c r="G149" s="1">
        <f t="shared" si="25"/>
        <v>1.2249999999999999</v>
      </c>
      <c r="H149" s="6">
        <f t="shared" ca="1" si="26"/>
        <v>1.8375000000000001</v>
      </c>
      <c r="I149" s="5">
        <f t="shared" ca="1" si="27"/>
        <v>0.61250000000000027</v>
      </c>
      <c r="J149" s="8">
        <f t="shared" ca="1" si="28"/>
        <v>1.1637499999999998</v>
      </c>
      <c r="K149" s="5">
        <f t="shared" ca="1" si="29"/>
        <v>6.1250000000000027E-2</v>
      </c>
      <c r="L149">
        <f t="shared" ca="1" si="30"/>
        <v>25531.733333333337</v>
      </c>
      <c r="M149">
        <f t="shared" ca="1" si="31"/>
        <v>25532</v>
      </c>
      <c r="N149" t="str">
        <f t="shared" ca="1" si="32"/>
        <v>0110001110111100</v>
      </c>
      <c r="O149">
        <f t="shared" ca="1" si="33"/>
        <v>11000111</v>
      </c>
    </row>
    <row r="150" spans="4:15" x14ac:dyDescent="0.25">
      <c r="D150">
        <v>148</v>
      </c>
      <c r="E150">
        <f t="shared" si="23"/>
        <v>34.799999999999997</v>
      </c>
      <c r="F150">
        <f t="shared" ca="1" si="24"/>
        <v>27.4</v>
      </c>
      <c r="G150" s="1">
        <f t="shared" si="25"/>
        <v>1.2333333333333327</v>
      </c>
      <c r="H150" s="6">
        <f t="shared" ca="1" si="26"/>
        <v>0.61666666666666647</v>
      </c>
      <c r="I150" s="5">
        <f t="shared" ca="1" si="27"/>
        <v>0.61666666666666625</v>
      </c>
      <c r="J150" s="8">
        <f t="shared" ca="1" si="28"/>
        <v>1.171666666666666</v>
      </c>
      <c r="K150" s="5">
        <f t="shared" ca="1" si="29"/>
        <v>6.1666666666666758E-2</v>
      </c>
      <c r="L150">
        <f t="shared" ca="1" si="30"/>
        <v>12196.977777777776</v>
      </c>
      <c r="M150">
        <f t="shared" ca="1" si="31"/>
        <v>12197</v>
      </c>
      <c r="N150" t="str">
        <f t="shared" ca="1" si="32"/>
        <v>0010111110100101</v>
      </c>
      <c r="O150">
        <f t="shared" ca="1" si="33"/>
        <v>1011111</v>
      </c>
    </row>
    <row r="151" spans="4:15" x14ac:dyDescent="0.25">
      <c r="D151">
        <v>149</v>
      </c>
      <c r="E151">
        <f t="shared" si="23"/>
        <v>34.9</v>
      </c>
      <c r="F151">
        <f t="shared" ca="1" si="24"/>
        <v>39.369999999999997</v>
      </c>
      <c r="G151" s="1">
        <f t="shared" si="25"/>
        <v>1.2416666666666665</v>
      </c>
      <c r="H151" s="6">
        <f t="shared" ca="1" si="26"/>
        <v>1.6141666666666661</v>
      </c>
      <c r="I151" s="5">
        <f t="shared" ca="1" si="27"/>
        <v>0.37249999999999961</v>
      </c>
      <c r="J151" s="8">
        <f t="shared" ca="1" si="28"/>
        <v>1.3037499999999997</v>
      </c>
      <c r="K151" s="5">
        <f t="shared" ca="1" si="29"/>
        <v>6.2083333333333268E-2</v>
      </c>
      <c r="L151">
        <f t="shared" ca="1" si="30"/>
        <v>23092.337777777768</v>
      </c>
      <c r="M151">
        <f t="shared" ca="1" si="31"/>
        <v>23092</v>
      </c>
      <c r="N151" t="str">
        <f t="shared" ca="1" si="32"/>
        <v>0101101000110100</v>
      </c>
      <c r="O151">
        <f t="shared" ca="1" si="33"/>
        <v>10110100</v>
      </c>
    </row>
    <row r="152" spans="4:15" x14ac:dyDescent="0.25">
      <c r="D152">
        <v>150</v>
      </c>
      <c r="E152">
        <f t="shared" si="23"/>
        <v>35</v>
      </c>
      <c r="F152">
        <f t="shared" ca="1" si="24"/>
        <v>27.5</v>
      </c>
      <c r="G152" s="1">
        <f t="shared" si="25"/>
        <v>1.2499999999999998</v>
      </c>
      <c r="H152" s="6">
        <f t="shared" ca="1" si="26"/>
        <v>0.62499999999999978</v>
      </c>
      <c r="I152" s="5">
        <f t="shared" ca="1" si="27"/>
        <v>0.625</v>
      </c>
      <c r="J152" s="8">
        <f t="shared" ca="1" si="28"/>
        <v>1.3124999999999998</v>
      </c>
      <c r="K152" s="5">
        <f t="shared" ca="1" si="29"/>
        <v>6.25E-2</v>
      </c>
      <c r="L152">
        <f t="shared" ca="1" si="30"/>
        <v>12287.999999999998</v>
      </c>
      <c r="M152">
        <f t="shared" ca="1" si="31"/>
        <v>12288</v>
      </c>
      <c r="N152" t="str">
        <f t="shared" ca="1" si="32"/>
        <v>0011000000000000</v>
      </c>
      <c r="O152">
        <f t="shared" ca="1" si="33"/>
        <v>1100000</v>
      </c>
    </row>
    <row r="153" spans="4:15" x14ac:dyDescent="0.25">
      <c r="D153">
        <v>151</v>
      </c>
      <c r="E153">
        <f t="shared" si="23"/>
        <v>35.1</v>
      </c>
      <c r="F153">
        <f t="shared" ca="1" si="24"/>
        <v>32.08</v>
      </c>
      <c r="G153" s="1">
        <f t="shared" si="25"/>
        <v>1.2583333333333331</v>
      </c>
      <c r="H153" s="6">
        <f t="shared" ca="1" si="26"/>
        <v>1.0066666666666662</v>
      </c>
      <c r="I153" s="5">
        <f t="shared" ca="1" si="27"/>
        <v>0.25166666666666693</v>
      </c>
      <c r="J153" s="8">
        <f t="shared" ca="1" si="28"/>
        <v>1.3212499999999998</v>
      </c>
      <c r="K153" s="5">
        <f t="shared" ca="1" si="29"/>
        <v>6.2916666666666732E-2</v>
      </c>
      <c r="L153">
        <f t="shared" ca="1" si="30"/>
        <v>16456.817777777771</v>
      </c>
      <c r="M153">
        <f t="shared" ca="1" si="31"/>
        <v>16457</v>
      </c>
      <c r="N153" t="str">
        <f t="shared" ca="1" si="32"/>
        <v>0100000001001001</v>
      </c>
      <c r="O153">
        <f t="shared" ca="1" si="33"/>
        <v>10000000</v>
      </c>
    </row>
    <row r="154" spans="4:15" x14ac:dyDescent="0.25">
      <c r="D154">
        <v>152</v>
      </c>
      <c r="E154">
        <f t="shared" si="23"/>
        <v>35.200000000000003</v>
      </c>
      <c r="F154">
        <f t="shared" ca="1" si="24"/>
        <v>27.6</v>
      </c>
      <c r="G154" s="1">
        <f t="shared" si="25"/>
        <v>1.2666666666666668</v>
      </c>
      <c r="H154" s="6">
        <f t="shared" ca="1" si="26"/>
        <v>0.63333333333333308</v>
      </c>
      <c r="I154" s="5">
        <f t="shared" ca="1" si="27"/>
        <v>0.63333333333333375</v>
      </c>
      <c r="J154" s="8">
        <f t="shared" ca="1" si="28"/>
        <v>1.3300000000000003</v>
      </c>
      <c r="K154" s="5">
        <f t="shared" ca="1" si="29"/>
        <v>6.3333333333333464E-2</v>
      </c>
      <c r="L154">
        <f t="shared" ca="1" si="30"/>
        <v>12379.02222222222</v>
      </c>
      <c r="M154">
        <f t="shared" ca="1" si="31"/>
        <v>12379</v>
      </c>
      <c r="N154" t="str">
        <f t="shared" ca="1" si="32"/>
        <v>0011000001011011</v>
      </c>
      <c r="O154">
        <f t="shared" ca="1" si="33"/>
        <v>1100000</v>
      </c>
    </row>
    <row r="155" spans="4:15" x14ac:dyDescent="0.25">
      <c r="D155">
        <v>153</v>
      </c>
      <c r="E155">
        <f t="shared" si="23"/>
        <v>35.299999999999997</v>
      </c>
      <c r="F155">
        <f t="shared" ca="1" si="24"/>
        <v>42.949999999999996</v>
      </c>
      <c r="G155" s="1">
        <f t="shared" si="25"/>
        <v>1.2749999999999997</v>
      </c>
      <c r="H155" s="6">
        <f t="shared" ca="1" si="26"/>
        <v>1.9124999999999994</v>
      </c>
      <c r="I155" s="5">
        <f t="shared" ca="1" si="27"/>
        <v>0.63749999999999973</v>
      </c>
      <c r="J155" s="8">
        <f t="shared" ca="1" si="28"/>
        <v>1.3387499999999997</v>
      </c>
      <c r="K155" s="5">
        <f t="shared" ca="1" si="29"/>
        <v>6.3749999999999973E-2</v>
      </c>
      <c r="L155">
        <f t="shared" ca="1" si="30"/>
        <v>26350.933333333331</v>
      </c>
      <c r="M155">
        <f t="shared" ca="1" si="31"/>
        <v>26351</v>
      </c>
      <c r="N155" t="str">
        <f t="shared" ca="1" si="32"/>
        <v>0110011011101111</v>
      </c>
      <c r="O155">
        <f t="shared" ca="1" si="33"/>
        <v>11001101</v>
      </c>
    </row>
    <row r="156" spans="4:15" x14ac:dyDescent="0.25">
      <c r="D156">
        <v>154</v>
      </c>
      <c r="E156">
        <f t="shared" si="23"/>
        <v>35.4</v>
      </c>
      <c r="F156">
        <f t="shared" ca="1" si="24"/>
        <v>41.56</v>
      </c>
      <c r="G156" s="1">
        <f t="shared" si="25"/>
        <v>1.283333333333333</v>
      </c>
      <c r="H156" s="6">
        <f t="shared" ca="1" si="26"/>
        <v>1.7966666666666666</v>
      </c>
      <c r="I156" s="5">
        <f t="shared" ca="1" si="27"/>
        <v>0.51333333333333364</v>
      </c>
      <c r="J156" s="8">
        <f t="shared" ca="1" si="28"/>
        <v>1.2191666666666663</v>
      </c>
      <c r="K156" s="5">
        <f t="shared" ca="1" si="29"/>
        <v>6.4166666666666705E-2</v>
      </c>
      <c r="L156">
        <f t="shared" ca="1" si="30"/>
        <v>25085.724444444448</v>
      </c>
      <c r="M156">
        <f t="shared" ca="1" si="31"/>
        <v>25086</v>
      </c>
      <c r="N156" t="str">
        <f t="shared" ca="1" si="32"/>
        <v>0110000111111110</v>
      </c>
      <c r="O156">
        <f t="shared" ca="1" si="33"/>
        <v>11000011</v>
      </c>
    </row>
    <row r="157" spans="4:15" x14ac:dyDescent="0.25">
      <c r="D157">
        <v>155</v>
      </c>
      <c r="E157">
        <f t="shared" si="23"/>
        <v>35.5</v>
      </c>
      <c r="F157">
        <f t="shared" ca="1" si="24"/>
        <v>30.85</v>
      </c>
      <c r="G157" s="1">
        <f t="shared" si="25"/>
        <v>1.2916666666666663</v>
      </c>
      <c r="H157" s="6">
        <f t="shared" ca="1" si="26"/>
        <v>0.90416666666666656</v>
      </c>
      <c r="I157" s="5">
        <f t="shared" ca="1" si="27"/>
        <v>0.38749999999999973</v>
      </c>
      <c r="J157" s="8">
        <f t="shared" ca="1" si="28"/>
        <v>1.2270833333333329</v>
      </c>
      <c r="K157" s="5">
        <f t="shared" ca="1" si="29"/>
        <v>6.4583333333333437E-2</v>
      </c>
      <c r="L157">
        <f t="shared" ca="1" si="30"/>
        <v>15337.244444444443</v>
      </c>
      <c r="M157">
        <f t="shared" ca="1" si="31"/>
        <v>15337</v>
      </c>
      <c r="N157" t="str">
        <f t="shared" ca="1" si="32"/>
        <v>0011101111101001</v>
      </c>
      <c r="O157">
        <f t="shared" ca="1" si="33"/>
        <v>1110111</v>
      </c>
    </row>
    <row r="158" spans="4:15" x14ac:dyDescent="0.25">
      <c r="D158">
        <v>156</v>
      </c>
      <c r="E158">
        <f t="shared" si="23"/>
        <v>35.6</v>
      </c>
      <c r="F158">
        <f t="shared" ca="1" si="24"/>
        <v>38.72</v>
      </c>
      <c r="G158" s="1">
        <f t="shared" si="25"/>
        <v>1.3</v>
      </c>
      <c r="H158" s="6">
        <f t="shared" ca="1" si="26"/>
        <v>1.5599999999999998</v>
      </c>
      <c r="I158" s="5">
        <f t="shared" ca="1" si="27"/>
        <v>0.25999999999999979</v>
      </c>
      <c r="J158" s="8">
        <f t="shared" ca="1" si="28"/>
        <v>1.2349999999999999</v>
      </c>
      <c r="K158" s="5">
        <f t="shared" ca="1" si="29"/>
        <v>6.5000000000000169E-2</v>
      </c>
      <c r="L158">
        <f t="shared" ca="1" si="30"/>
        <v>22500.693333333329</v>
      </c>
      <c r="M158">
        <f t="shared" ca="1" si="31"/>
        <v>22501</v>
      </c>
      <c r="N158" t="str">
        <f t="shared" ca="1" si="32"/>
        <v>0101011111100101</v>
      </c>
      <c r="O158">
        <f t="shared" ca="1" si="33"/>
        <v>10101111</v>
      </c>
    </row>
    <row r="159" spans="4:15" x14ac:dyDescent="0.25">
      <c r="D159">
        <v>157</v>
      </c>
      <c r="E159">
        <f t="shared" si="23"/>
        <v>35.700000000000003</v>
      </c>
      <c r="F159">
        <f t="shared" ca="1" si="24"/>
        <v>40.410000000000004</v>
      </c>
      <c r="G159" s="1">
        <f t="shared" si="25"/>
        <v>1.3083333333333333</v>
      </c>
      <c r="H159" s="6">
        <f t="shared" ca="1" si="26"/>
        <v>1.7008333333333334</v>
      </c>
      <c r="I159" s="5">
        <f t="shared" ca="1" si="27"/>
        <v>0.39250000000000007</v>
      </c>
      <c r="J159" s="8">
        <f t="shared" ca="1" si="28"/>
        <v>1.2429166666666667</v>
      </c>
      <c r="K159" s="5">
        <f t="shared" ca="1" si="29"/>
        <v>6.5416666666666679E-2</v>
      </c>
      <c r="L159">
        <f t="shared" ca="1" si="30"/>
        <v>24038.968888888892</v>
      </c>
      <c r="M159">
        <f t="shared" ca="1" si="31"/>
        <v>24039</v>
      </c>
      <c r="N159" t="str">
        <f t="shared" ca="1" si="32"/>
        <v>0101110111100111</v>
      </c>
      <c r="O159">
        <f t="shared" ca="1" si="33"/>
        <v>10111011</v>
      </c>
    </row>
    <row r="160" spans="4:15" x14ac:dyDescent="0.25">
      <c r="D160">
        <v>158</v>
      </c>
      <c r="E160">
        <f t="shared" si="23"/>
        <v>35.799999999999997</v>
      </c>
      <c r="F160">
        <f t="shared" ca="1" si="24"/>
        <v>35.799999999999997</v>
      </c>
      <c r="G160" s="1">
        <f t="shared" si="25"/>
        <v>1.3166666666666662</v>
      </c>
      <c r="H160" s="6">
        <f t="shared" ca="1" si="26"/>
        <v>1.3166666666666662</v>
      </c>
      <c r="I160" s="5">
        <f t="shared" ca="1" si="27"/>
        <v>0</v>
      </c>
      <c r="J160" s="8">
        <f t="shared" ca="1" si="28"/>
        <v>1.2508333333333328</v>
      </c>
      <c r="K160" s="5">
        <f t="shared" ca="1" si="29"/>
        <v>6.583333333333341E-2</v>
      </c>
      <c r="L160">
        <f t="shared" ca="1" si="30"/>
        <v>19842.844444444439</v>
      </c>
      <c r="M160">
        <f t="shared" ca="1" si="31"/>
        <v>19843</v>
      </c>
      <c r="N160" t="str">
        <f t="shared" ca="1" si="32"/>
        <v>0100110110000011</v>
      </c>
      <c r="O160">
        <f t="shared" ca="1" si="33"/>
        <v>10011011</v>
      </c>
    </row>
    <row r="161" spans="4:15" x14ac:dyDescent="0.25">
      <c r="D161">
        <v>159</v>
      </c>
      <c r="E161">
        <f t="shared" si="23"/>
        <v>35.9</v>
      </c>
      <c r="F161">
        <f t="shared" ca="1" si="24"/>
        <v>34.309999999999995</v>
      </c>
      <c r="G161" s="1">
        <f t="shared" si="25"/>
        <v>1.3249999999999995</v>
      </c>
      <c r="H161" s="6">
        <f t="shared" ca="1" si="26"/>
        <v>1.1924999999999992</v>
      </c>
      <c r="I161" s="5">
        <f t="shared" ca="1" si="27"/>
        <v>0.13250000000000028</v>
      </c>
      <c r="J161" s="8">
        <f t="shared" ca="1" si="28"/>
        <v>1.3912499999999997</v>
      </c>
      <c r="K161" s="5">
        <f t="shared" ca="1" si="29"/>
        <v>6.6250000000000142E-2</v>
      </c>
      <c r="L161">
        <f t="shared" ca="1" si="30"/>
        <v>18486.613333333324</v>
      </c>
      <c r="M161">
        <f t="shared" ca="1" si="31"/>
        <v>18487</v>
      </c>
      <c r="N161" t="str">
        <f t="shared" ca="1" si="32"/>
        <v>0100100000110111</v>
      </c>
      <c r="O161">
        <f t="shared" ca="1" si="33"/>
        <v>10010000</v>
      </c>
    </row>
    <row r="162" spans="4:15" x14ac:dyDescent="0.25">
      <c r="D162">
        <v>160</v>
      </c>
      <c r="E162">
        <f t="shared" si="23"/>
        <v>36</v>
      </c>
      <c r="F162">
        <f t="shared" ca="1" si="24"/>
        <v>44</v>
      </c>
      <c r="G162" s="1">
        <f t="shared" si="25"/>
        <v>1.3333333333333333</v>
      </c>
      <c r="H162" s="6">
        <f t="shared" ca="1" si="26"/>
        <v>1.9999999999999998</v>
      </c>
      <c r="I162" s="5">
        <f t="shared" ca="1" si="27"/>
        <v>0.66666666666666652</v>
      </c>
      <c r="J162" s="8">
        <f t="shared" ca="1" si="28"/>
        <v>1.2666666666666666</v>
      </c>
      <c r="K162" s="5">
        <f t="shared" ca="1" si="29"/>
        <v>6.6666666666666652E-2</v>
      </c>
      <c r="L162">
        <f t="shared" ca="1" si="30"/>
        <v>27306.666666666668</v>
      </c>
      <c r="M162">
        <f t="shared" ca="1" si="31"/>
        <v>27307</v>
      </c>
      <c r="N162" t="str">
        <f t="shared" ca="1" si="32"/>
        <v>0110101010101011</v>
      </c>
      <c r="O162">
        <f t="shared" ca="1" si="33"/>
        <v>11010101</v>
      </c>
    </row>
    <row r="163" spans="4:15" x14ac:dyDescent="0.25">
      <c r="D163">
        <v>161</v>
      </c>
      <c r="E163">
        <f t="shared" si="23"/>
        <v>36.1</v>
      </c>
      <c r="F163">
        <f t="shared" ca="1" si="24"/>
        <v>34.49</v>
      </c>
      <c r="G163" s="1">
        <f t="shared" si="25"/>
        <v>1.3416666666666666</v>
      </c>
      <c r="H163" s="6">
        <f t="shared" ca="1" si="26"/>
        <v>1.2074999999999998</v>
      </c>
      <c r="I163" s="5">
        <f t="shared" ca="1" si="27"/>
        <v>0.13416666666666677</v>
      </c>
      <c r="J163" s="8">
        <f t="shared" ca="1" si="28"/>
        <v>1.4087499999999999</v>
      </c>
      <c r="K163" s="5">
        <f t="shared" ca="1" si="29"/>
        <v>6.7083333333333384E-2</v>
      </c>
      <c r="L163">
        <f t="shared" ca="1" si="30"/>
        <v>18650.453333333331</v>
      </c>
      <c r="M163">
        <f t="shared" ca="1" si="31"/>
        <v>18650</v>
      </c>
      <c r="N163" t="str">
        <f t="shared" ca="1" si="32"/>
        <v>0100100011011010</v>
      </c>
      <c r="O163">
        <f t="shared" ca="1" si="33"/>
        <v>10010001</v>
      </c>
    </row>
    <row r="164" spans="4:15" x14ac:dyDescent="0.25">
      <c r="D164">
        <v>162</v>
      </c>
      <c r="E164">
        <f t="shared" si="23"/>
        <v>36.200000000000003</v>
      </c>
      <c r="F164">
        <f t="shared" ca="1" si="24"/>
        <v>41.06</v>
      </c>
      <c r="G164" s="1">
        <f t="shared" si="25"/>
        <v>1.3499999999999999</v>
      </c>
      <c r="H164" s="6">
        <f t="shared" ca="1" si="26"/>
        <v>1.7550000000000001</v>
      </c>
      <c r="I164" s="5">
        <f t="shared" ca="1" si="27"/>
        <v>0.40500000000000025</v>
      </c>
      <c r="J164" s="8">
        <f t="shared" ca="1" si="28"/>
        <v>1.4175</v>
      </c>
      <c r="K164" s="5">
        <f t="shared" ca="1" si="29"/>
        <v>6.7500000000000115E-2</v>
      </c>
      <c r="L164">
        <f t="shared" ca="1" si="30"/>
        <v>24630.613333333331</v>
      </c>
      <c r="M164">
        <f t="shared" ca="1" si="31"/>
        <v>24631</v>
      </c>
      <c r="N164" t="str">
        <f t="shared" ca="1" si="32"/>
        <v>0110000000110111</v>
      </c>
      <c r="O164">
        <f t="shared" ca="1" si="33"/>
        <v>11000000</v>
      </c>
    </row>
    <row r="165" spans="4:15" x14ac:dyDescent="0.25">
      <c r="D165">
        <v>163</v>
      </c>
      <c r="E165">
        <f t="shared" si="23"/>
        <v>36.299999999999997</v>
      </c>
      <c r="F165">
        <f t="shared" ca="1" si="24"/>
        <v>42.82</v>
      </c>
      <c r="G165" s="1">
        <f t="shared" si="25"/>
        <v>1.3583333333333327</v>
      </c>
      <c r="H165" s="6">
        <f t="shared" ca="1" si="26"/>
        <v>1.9016666666666666</v>
      </c>
      <c r="I165" s="5">
        <f t="shared" ca="1" si="27"/>
        <v>0.54333333333333389</v>
      </c>
      <c r="J165" s="8">
        <f t="shared" ca="1" si="28"/>
        <v>1.2904166666666661</v>
      </c>
      <c r="K165" s="5">
        <f t="shared" ca="1" si="29"/>
        <v>6.7916666666666625E-2</v>
      </c>
      <c r="L165">
        <f t="shared" ca="1" si="30"/>
        <v>26232.604444444441</v>
      </c>
      <c r="M165">
        <f t="shared" ca="1" si="31"/>
        <v>26233</v>
      </c>
      <c r="N165" t="str">
        <f t="shared" ca="1" si="32"/>
        <v>0110011001111001</v>
      </c>
      <c r="O165">
        <f t="shared" ca="1" si="33"/>
        <v>11001100</v>
      </c>
    </row>
    <row r="166" spans="4:15" x14ac:dyDescent="0.25">
      <c r="D166">
        <v>164</v>
      </c>
      <c r="E166">
        <f t="shared" si="23"/>
        <v>36.400000000000006</v>
      </c>
      <c r="F166">
        <f t="shared" ca="1" si="24"/>
        <v>34.760000000000005</v>
      </c>
      <c r="G166" s="1">
        <f t="shared" si="25"/>
        <v>1.3666666666666669</v>
      </c>
      <c r="H166" s="6">
        <f t="shared" ca="1" si="26"/>
        <v>1.2300000000000002</v>
      </c>
      <c r="I166" s="5">
        <f t="shared" ca="1" si="27"/>
        <v>0.13666666666666671</v>
      </c>
      <c r="J166" s="8">
        <f t="shared" ca="1" si="28"/>
        <v>1.2983333333333336</v>
      </c>
      <c r="K166" s="5">
        <f t="shared" ca="1" si="29"/>
        <v>6.8333333333333357E-2</v>
      </c>
      <c r="L166">
        <f t="shared" ca="1" si="30"/>
        <v>18896.213333333337</v>
      </c>
      <c r="M166">
        <f t="shared" ca="1" si="31"/>
        <v>18896</v>
      </c>
      <c r="N166" t="str">
        <f t="shared" ca="1" si="32"/>
        <v>0100100111010000</v>
      </c>
      <c r="O166">
        <f t="shared" ca="1" si="33"/>
        <v>10010011</v>
      </c>
    </row>
    <row r="167" spans="4:15" x14ac:dyDescent="0.25">
      <c r="D167">
        <v>165</v>
      </c>
      <c r="E167">
        <f t="shared" si="23"/>
        <v>36.5</v>
      </c>
      <c r="F167">
        <f t="shared" ca="1" si="24"/>
        <v>29.9</v>
      </c>
      <c r="G167" s="1">
        <f t="shared" si="25"/>
        <v>1.3749999999999998</v>
      </c>
      <c r="H167" s="6">
        <f t="shared" ca="1" si="26"/>
        <v>0.82499999999999951</v>
      </c>
      <c r="I167" s="5">
        <f t="shared" ca="1" si="27"/>
        <v>0.55000000000000027</v>
      </c>
      <c r="J167" s="8">
        <f t="shared" ca="1" si="28"/>
        <v>1.4437499999999999</v>
      </c>
      <c r="K167" s="5">
        <f t="shared" ca="1" si="29"/>
        <v>6.8750000000000089E-2</v>
      </c>
      <c r="L167">
        <f t="shared" ca="1" si="30"/>
        <v>14472.533333333327</v>
      </c>
      <c r="M167">
        <f t="shared" ca="1" si="31"/>
        <v>14473</v>
      </c>
      <c r="N167" t="str">
        <f t="shared" ca="1" si="32"/>
        <v>0011100010001001</v>
      </c>
      <c r="O167">
        <f t="shared" ca="1" si="33"/>
        <v>1110001</v>
      </c>
    </row>
    <row r="168" spans="4:15" x14ac:dyDescent="0.25">
      <c r="D168">
        <v>166</v>
      </c>
      <c r="E168">
        <f t="shared" si="23"/>
        <v>36.6</v>
      </c>
      <c r="F168">
        <f t="shared" ca="1" si="24"/>
        <v>29.96</v>
      </c>
      <c r="G168" s="1">
        <f t="shared" si="25"/>
        <v>1.3833333333333331</v>
      </c>
      <c r="H168" s="6">
        <f t="shared" ca="1" si="26"/>
        <v>0.82999999999999985</v>
      </c>
      <c r="I168" s="5">
        <f t="shared" ca="1" si="27"/>
        <v>0.55333333333333323</v>
      </c>
      <c r="J168" s="8">
        <f t="shared" ca="1" si="28"/>
        <v>1.3141666666666663</v>
      </c>
      <c r="K168" s="5">
        <f t="shared" ca="1" si="29"/>
        <v>6.9166666666666821E-2</v>
      </c>
      <c r="L168">
        <f t="shared" ca="1" si="30"/>
        <v>14527.146666666666</v>
      </c>
      <c r="M168">
        <f t="shared" ca="1" si="31"/>
        <v>14527</v>
      </c>
      <c r="N168" t="str">
        <f t="shared" ca="1" si="32"/>
        <v>0011100010111111</v>
      </c>
      <c r="O168">
        <f t="shared" ca="1" si="33"/>
        <v>1110001</v>
      </c>
    </row>
    <row r="169" spans="4:15" x14ac:dyDescent="0.25">
      <c r="D169">
        <v>167</v>
      </c>
      <c r="E169">
        <f t="shared" si="23"/>
        <v>36.700000000000003</v>
      </c>
      <c r="F169">
        <f t="shared" ca="1" si="24"/>
        <v>28.35</v>
      </c>
      <c r="G169" s="1">
        <f t="shared" si="25"/>
        <v>1.3916666666666668</v>
      </c>
      <c r="H169" s="6">
        <f t="shared" ca="1" si="26"/>
        <v>0.69583333333333308</v>
      </c>
      <c r="I169" s="5">
        <f t="shared" ca="1" si="27"/>
        <v>0.69583333333333375</v>
      </c>
      <c r="J169" s="8">
        <f t="shared" ca="1" si="28"/>
        <v>1.3220833333333335</v>
      </c>
      <c r="K169" s="5">
        <f t="shared" ca="1" si="29"/>
        <v>6.958333333333333E-2</v>
      </c>
      <c r="L169">
        <f t="shared" ca="1" si="30"/>
        <v>13061.688888888886</v>
      </c>
      <c r="M169">
        <f t="shared" ca="1" si="31"/>
        <v>13062</v>
      </c>
      <c r="N169" t="str">
        <f t="shared" ca="1" si="32"/>
        <v>0011001100000110</v>
      </c>
      <c r="O169">
        <f t="shared" ca="1" si="33"/>
        <v>1100110</v>
      </c>
    </row>
    <row r="170" spans="4:15" x14ac:dyDescent="0.25">
      <c r="D170">
        <v>168</v>
      </c>
      <c r="E170">
        <f t="shared" si="23"/>
        <v>36.799999999999997</v>
      </c>
      <c r="F170">
        <f t="shared" ca="1" si="24"/>
        <v>36.799999999999997</v>
      </c>
      <c r="G170" s="1">
        <f t="shared" si="25"/>
        <v>1.3999999999999997</v>
      </c>
      <c r="H170" s="6">
        <f t="shared" ca="1" si="26"/>
        <v>1.3999999999999997</v>
      </c>
      <c r="I170" s="5">
        <f t="shared" ca="1" si="27"/>
        <v>0</v>
      </c>
      <c r="J170" s="8">
        <f t="shared" ca="1" si="28"/>
        <v>1.4699999999999998</v>
      </c>
      <c r="K170" s="5">
        <f t="shared" ca="1" si="29"/>
        <v>7.0000000000000062E-2</v>
      </c>
      <c r="L170">
        <f t="shared" ca="1" si="30"/>
        <v>20753.066666666662</v>
      </c>
      <c r="M170">
        <f t="shared" ca="1" si="31"/>
        <v>20753</v>
      </c>
      <c r="N170" t="str">
        <f t="shared" ca="1" si="32"/>
        <v>0101000100010001</v>
      </c>
      <c r="O170">
        <f t="shared" ca="1" si="33"/>
        <v>10100010</v>
      </c>
    </row>
    <row r="171" spans="4:15" x14ac:dyDescent="0.25">
      <c r="D171">
        <v>169</v>
      </c>
      <c r="E171">
        <f t="shared" si="23"/>
        <v>36.900000000000006</v>
      </c>
      <c r="F171">
        <f t="shared" ca="1" si="24"/>
        <v>40.280000000000008</v>
      </c>
      <c r="G171" s="1">
        <f t="shared" si="25"/>
        <v>1.4083333333333334</v>
      </c>
      <c r="H171" s="6">
        <f t="shared" ca="1" si="26"/>
        <v>1.6900000000000006</v>
      </c>
      <c r="I171" s="5">
        <f t="shared" ca="1" si="27"/>
        <v>0.28166666666666718</v>
      </c>
      <c r="J171" s="8">
        <f t="shared" ca="1" si="28"/>
        <v>1.3379166666666666</v>
      </c>
      <c r="K171" s="5">
        <f t="shared" ca="1" si="29"/>
        <v>7.0416666666666794E-2</v>
      </c>
      <c r="L171">
        <f t="shared" ca="1" si="30"/>
        <v>23920.640000000003</v>
      </c>
      <c r="M171">
        <f t="shared" ca="1" si="31"/>
        <v>23921</v>
      </c>
      <c r="N171" t="str">
        <f t="shared" ca="1" si="32"/>
        <v>0101110101110001</v>
      </c>
      <c r="O171">
        <f t="shared" ca="1" si="33"/>
        <v>10111010</v>
      </c>
    </row>
    <row r="172" spans="4:15" x14ac:dyDescent="0.25">
      <c r="D172">
        <v>170</v>
      </c>
      <c r="E172">
        <f t="shared" si="23"/>
        <v>37</v>
      </c>
      <c r="F172">
        <f t="shared" ca="1" si="24"/>
        <v>43.8</v>
      </c>
      <c r="G172" s="1">
        <f t="shared" si="25"/>
        <v>1.4166666666666663</v>
      </c>
      <c r="H172" s="6">
        <f t="shared" ca="1" si="26"/>
        <v>1.9833333333333327</v>
      </c>
      <c r="I172" s="5">
        <f t="shared" ca="1" si="27"/>
        <v>0.56666666666666643</v>
      </c>
      <c r="J172" s="8">
        <f t="shared" ca="1" si="28"/>
        <v>1.345833333333333</v>
      </c>
      <c r="K172" s="5">
        <f t="shared" ca="1" si="29"/>
        <v>7.0833333333333304E-2</v>
      </c>
      <c r="L172">
        <f t="shared" ca="1" si="30"/>
        <v>27124.622222222213</v>
      </c>
      <c r="M172">
        <f t="shared" ca="1" si="31"/>
        <v>27125</v>
      </c>
      <c r="N172" t="str">
        <f t="shared" ca="1" si="32"/>
        <v>0110100111110101</v>
      </c>
      <c r="O172">
        <f t="shared" ca="1" si="33"/>
        <v>11010011</v>
      </c>
    </row>
    <row r="173" spans="4:15" x14ac:dyDescent="0.25">
      <c r="D173">
        <v>171</v>
      </c>
      <c r="E173">
        <f t="shared" si="23"/>
        <v>37.1</v>
      </c>
      <c r="F173">
        <f t="shared" ca="1" si="24"/>
        <v>42.230000000000004</v>
      </c>
      <c r="G173" s="1">
        <f t="shared" si="25"/>
        <v>1.425</v>
      </c>
      <c r="H173" s="6">
        <f t="shared" ca="1" si="26"/>
        <v>1.8525000000000003</v>
      </c>
      <c r="I173" s="5">
        <f t="shared" ca="1" si="27"/>
        <v>0.42750000000000021</v>
      </c>
      <c r="J173" s="8">
        <f t="shared" ca="1" si="28"/>
        <v>1.35375</v>
      </c>
      <c r="K173" s="5">
        <f t="shared" ca="1" si="29"/>
        <v>7.1250000000000036E-2</v>
      </c>
      <c r="L173">
        <f t="shared" ca="1" si="30"/>
        <v>25695.573333333334</v>
      </c>
      <c r="M173">
        <f t="shared" ca="1" si="31"/>
        <v>25696</v>
      </c>
      <c r="N173" t="str">
        <f t="shared" ca="1" si="32"/>
        <v>0110010001100000</v>
      </c>
      <c r="O173">
        <f t="shared" ca="1" si="33"/>
        <v>11001000</v>
      </c>
    </row>
    <row r="174" spans="4:15" x14ac:dyDescent="0.25">
      <c r="D174">
        <v>172</v>
      </c>
      <c r="E174">
        <f t="shared" si="23"/>
        <v>37.200000000000003</v>
      </c>
      <c r="F174">
        <f t="shared" ca="1" si="24"/>
        <v>40.64</v>
      </c>
      <c r="G174" s="1">
        <f t="shared" si="25"/>
        <v>1.4333333333333333</v>
      </c>
      <c r="H174" s="6">
        <f t="shared" ca="1" si="26"/>
        <v>1.72</v>
      </c>
      <c r="I174" s="5">
        <f t="shared" ca="1" si="27"/>
        <v>0.28666666666666663</v>
      </c>
      <c r="J174" s="8">
        <f t="shared" ca="1" si="28"/>
        <v>1.3616666666666666</v>
      </c>
      <c r="K174" s="5">
        <f t="shared" ca="1" si="29"/>
        <v>7.1666666666666767E-2</v>
      </c>
      <c r="L174">
        <f t="shared" ca="1" si="30"/>
        <v>24248.319999999996</v>
      </c>
      <c r="M174">
        <f t="shared" ca="1" si="31"/>
        <v>24248</v>
      </c>
      <c r="N174" t="str">
        <f t="shared" ca="1" si="32"/>
        <v>0101111010111000</v>
      </c>
      <c r="O174">
        <f t="shared" ca="1" si="33"/>
        <v>10111101</v>
      </c>
    </row>
    <row r="175" spans="4:15" x14ac:dyDescent="0.25">
      <c r="D175">
        <v>173</v>
      </c>
      <c r="E175">
        <f t="shared" si="23"/>
        <v>37.299999999999997</v>
      </c>
      <c r="F175">
        <f t="shared" ca="1" si="24"/>
        <v>32.11</v>
      </c>
      <c r="G175" s="1">
        <f t="shared" si="25"/>
        <v>1.4416666666666662</v>
      </c>
      <c r="H175" s="6">
        <f t="shared" ca="1" si="26"/>
        <v>1.0091666666666665</v>
      </c>
      <c r="I175" s="5">
        <f t="shared" ca="1" si="27"/>
        <v>0.43249999999999966</v>
      </c>
      <c r="J175" s="8">
        <f t="shared" ca="1" si="28"/>
        <v>1.5137499999999995</v>
      </c>
      <c r="K175" s="5">
        <f t="shared" ca="1" si="29"/>
        <v>7.2083333333333277E-2</v>
      </c>
      <c r="L175">
        <f t="shared" ca="1" si="30"/>
        <v>16484.124444444442</v>
      </c>
      <c r="M175">
        <f t="shared" ca="1" si="31"/>
        <v>16484</v>
      </c>
      <c r="N175" t="str">
        <f t="shared" ca="1" si="32"/>
        <v>0100000001100100</v>
      </c>
      <c r="O175">
        <f t="shared" ca="1" si="33"/>
        <v>10000000</v>
      </c>
    </row>
    <row r="176" spans="4:15" x14ac:dyDescent="0.25">
      <c r="D176">
        <v>174</v>
      </c>
      <c r="E176">
        <f t="shared" si="23"/>
        <v>37.400000000000006</v>
      </c>
      <c r="F176">
        <f t="shared" ca="1" si="24"/>
        <v>33.920000000000009</v>
      </c>
      <c r="G176" s="1">
        <f t="shared" si="25"/>
        <v>1.4500000000000004</v>
      </c>
      <c r="H176" s="6">
        <f t="shared" ca="1" si="26"/>
        <v>1.1600000000000004</v>
      </c>
      <c r="I176" s="5">
        <f t="shared" ca="1" si="27"/>
        <v>0.29000000000000004</v>
      </c>
      <c r="J176" s="8">
        <f t="shared" ca="1" si="28"/>
        <v>1.3775000000000004</v>
      </c>
      <c r="K176" s="5">
        <f t="shared" ca="1" si="29"/>
        <v>7.2500000000000009E-2</v>
      </c>
      <c r="L176">
        <f t="shared" ca="1" si="30"/>
        <v>18131.626666666671</v>
      </c>
      <c r="M176">
        <f t="shared" ca="1" si="31"/>
        <v>18132</v>
      </c>
      <c r="N176" t="str">
        <f t="shared" ca="1" si="32"/>
        <v>0100011011010100</v>
      </c>
      <c r="O176">
        <f t="shared" ca="1" si="33"/>
        <v>10001101</v>
      </c>
    </row>
    <row r="177" spans="4:15" x14ac:dyDescent="0.25">
      <c r="D177">
        <v>175</v>
      </c>
      <c r="E177">
        <f t="shared" si="23"/>
        <v>37.5</v>
      </c>
      <c r="F177">
        <f t="shared" ca="1" si="24"/>
        <v>41</v>
      </c>
      <c r="G177" s="1">
        <f t="shared" si="25"/>
        <v>1.4583333333333333</v>
      </c>
      <c r="H177" s="6">
        <f t="shared" ca="1" si="26"/>
        <v>1.7499999999999998</v>
      </c>
      <c r="I177" s="5">
        <f t="shared" ca="1" si="27"/>
        <v>0.29166666666666652</v>
      </c>
      <c r="J177" s="8">
        <f t="shared" ca="1" si="28"/>
        <v>1.53125</v>
      </c>
      <c r="K177" s="5">
        <f t="shared" ca="1" si="29"/>
        <v>7.2916666666666741E-2</v>
      </c>
      <c r="L177">
        <f t="shared" ca="1" si="30"/>
        <v>24576</v>
      </c>
      <c r="M177">
        <f t="shared" ca="1" si="31"/>
        <v>24576</v>
      </c>
      <c r="N177" t="str">
        <f t="shared" ca="1" si="32"/>
        <v>0110000000000000</v>
      </c>
      <c r="O177">
        <f t="shared" ca="1" si="33"/>
        <v>11000000</v>
      </c>
    </row>
    <row r="178" spans="4:15" x14ac:dyDescent="0.25">
      <c r="D178">
        <v>176</v>
      </c>
      <c r="E178">
        <f t="shared" si="23"/>
        <v>37.6</v>
      </c>
      <c r="F178">
        <f t="shared" ca="1" si="24"/>
        <v>32.32</v>
      </c>
      <c r="G178" s="1">
        <f t="shared" si="25"/>
        <v>1.4666666666666666</v>
      </c>
      <c r="H178" s="6">
        <f t="shared" ca="1" si="26"/>
        <v>1.0266666666666666</v>
      </c>
      <c r="I178" s="5">
        <f t="shared" ca="1" si="27"/>
        <v>0.43999999999999995</v>
      </c>
      <c r="J178" s="8">
        <f t="shared" ca="1" si="28"/>
        <v>1.3933333333333331</v>
      </c>
      <c r="K178" s="5">
        <f t="shared" ca="1" si="29"/>
        <v>7.3333333333333472E-2</v>
      </c>
      <c r="L178">
        <f t="shared" ca="1" si="30"/>
        <v>16675.271111111109</v>
      </c>
      <c r="M178">
        <f t="shared" ca="1" si="31"/>
        <v>16675</v>
      </c>
      <c r="N178" t="str">
        <f t="shared" ca="1" si="32"/>
        <v>0100000100100011</v>
      </c>
      <c r="O178">
        <f t="shared" ca="1" si="33"/>
        <v>10000010</v>
      </c>
    </row>
    <row r="179" spans="4:15" x14ac:dyDescent="0.25">
      <c r="D179">
        <v>177</v>
      </c>
      <c r="E179">
        <f t="shared" si="23"/>
        <v>37.700000000000003</v>
      </c>
      <c r="F179">
        <f t="shared" ca="1" si="24"/>
        <v>44.78</v>
      </c>
      <c r="G179" s="1">
        <f t="shared" si="25"/>
        <v>1.4749999999999999</v>
      </c>
      <c r="H179" s="6">
        <f t="shared" ca="1" si="26"/>
        <v>2.0649999999999995</v>
      </c>
      <c r="I179" s="5">
        <f t="shared" ca="1" si="27"/>
        <v>0.58999999999999964</v>
      </c>
      <c r="J179" s="8">
        <f t="shared" ca="1" si="28"/>
        <v>1.4012499999999999</v>
      </c>
      <c r="K179" s="5">
        <f t="shared" ca="1" si="29"/>
        <v>7.3749999999999982E-2</v>
      </c>
      <c r="L179">
        <f t="shared" ca="1" si="30"/>
        <v>28016.639999999996</v>
      </c>
      <c r="M179">
        <f t="shared" ca="1" si="31"/>
        <v>28017</v>
      </c>
      <c r="N179" t="str">
        <f t="shared" ca="1" si="32"/>
        <v>0110110101110001</v>
      </c>
      <c r="O179">
        <f t="shared" ca="1" si="33"/>
        <v>11011010</v>
      </c>
    </row>
    <row r="180" spans="4:15" x14ac:dyDescent="0.25">
      <c r="D180">
        <v>178</v>
      </c>
      <c r="E180">
        <f t="shared" si="23"/>
        <v>37.799999999999997</v>
      </c>
      <c r="F180">
        <f t="shared" ca="1" si="24"/>
        <v>41.36</v>
      </c>
      <c r="G180" s="1">
        <f t="shared" si="25"/>
        <v>1.4833333333333327</v>
      </c>
      <c r="H180" s="6">
        <f t="shared" ca="1" si="26"/>
        <v>1.7799999999999996</v>
      </c>
      <c r="I180" s="5">
        <f t="shared" ca="1" si="27"/>
        <v>0.29666666666666686</v>
      </c>
      <c r="J180" s="8">
        <f t="shared" ca="1" si="28"/>
        <v>1.5574999999999994</v>
      </c>
      <c r="K180" s="5">
        <f t="shared" ca="1" si="29"/>
        <v>7.4166666666666714E-2</v>
      </c>
      <c r="L180">
        <f t="shared" ca="1" si="30"/>
        <v>24903.679999999993</v>
      </c>
      <c r="M180">
        <f t="shared" ca="1" si="31"/>
        <v>24904</v>
      </c>
      <c r="N180" t="str">
        <f t="shared" ca="1" si="32"/>
        <v>0110000101001000</v>
      </c>
      <c r="O180">
        <f t="shared" ca="1" si="33"/>
        <v>11000010</v>
      </c>
    </row>
    <row r="181" spans="4:15" x14ac:dyDescent="0.25">
      <c r="D181">
        <v>179</v>
      </c>
      <c r="E181">
        <f t="shared" si="23"/>
        <v>37.900000000000006</v>
      </c>
      <c r="F181">
        <f t="shared" ca="1" si="24"/>
        <v>46.850000000000009</v>
      </c>
      <c r="G181" s="1">
        <f t="shared" si="25"/>
        <v>1.4916666666666669</v>
      </c>
      <c r="H181" s="6">
        <f t="shared" ca="1" si="26"/>
        <v>2.2375000000000007</v>
      </c>
      <c r="I181" s="5">
        <f t="shared" ca="1" si="27"/>
        <v>0.74583333333333379</v>
      </c>
      <c r="J181" s="8">
        <f t="shared" ca="1" si="28"/>
        <v>1.5662500000000004</v>
      </c>
      <c r="K181" s="5">
        <f t="shared" ca="1" si="29"/>
        <v>7.4583333333333446E-2</v>
      </c>
      <c r="L181">
        <f t="shared" ca="1" si="30"/>
        <v>29900.800000000007</v>
      </c>
      <c r="M181">
        <f t="shared" ca="1" si="31"/>
        <v>29901</v>
      </c>
      <c r="N181" t="str">
        <f t="shared" ca="1" si="32"/>
        <v>0111010011001101</v>
      </c>
      <c r="O181">
        <f t="shared" ca="1" si="33"/>
        <v>11101001</v>
      </c>
    </row>
    <row r="182" spans="4:15" x14ac:dyDescent="0.25">
      <c r="D182">
        <v>180</v>
      </c>
      <c r="E182">
        <f t="shared" si="23"/>
        <v>38</v>
      </c>
      <c r="F182">
        <f t="shared" ca="1" si="24"/>
        <v>41.6</v>
      </c>
      <c r="G182" s="1">
        <f t="shared" si="25"/>
        <v>1.4999999999999998</v>
      </c>
      <c r="H182" s="6">
        <f t="shared" ca="1" si="26"/>
        <v>1.8</v>
      </c>
      <c r="I182" s="5">
        <f t="shared" ca="1" si="27"/>
        <v>0.30000000000000027</v>
      </c>
      <c r="J182" s="8">
        <f t="shared" ca="1" si="28"/>
        <v>1.5749999999999997</v>
      </c>
      <c r="K182" s="5">
        <f t="shared" ca="1" si="29"/>
        <v>7.4999999999999956E-2</v>
      </c>
      <c r="L182">
        <f t="shared" ca="1" si="30"/>
        <v>25122.133333333331</v>
      </c>
      <c r="M182">
        <f t="shared" ca="1" si="31"/>
        <v>25122</v>
      </c>
      <c r="N182" t="str">
        <f t="shared" ca="1" si="32"/>
        <v>0110001000100010</v>
      </c>
      <c r="O182">
        <f t="shared" ca="1" si="33"/>
        <v>11000100</v>
      </c>
    </row>
    <row r="183" spans="4:15" x14ac:dyDescent="0.25">
      <c r="D183">
        <v>181</v>
      </c>
      <c r="E183">
        <f t="shared" si="23"/>
        <v>38.1</v>
      </c>
      <c r="F183">
        <f t="shared" ca="1" si="24"/>
        <v>29.05</v>
      </c>
      <c r="G183" s="1">
        <f t="shared" si="25"/>
        <v>1.5083333333333331</v>
      </c>
      <c r="H183" s="6">
        <f t="shared" ca="1" si="26"/>
        <v>0.75416666666666665</v>
      </c>
      <c r="I183" s="5">
        <f t="shared" ca="1" si="27"/>
        <v>0.75416666666666643</v>
      </c>
      <c r="J183" s="8">
        <f t="shared" ca="1" si="28"/>
        <v>1.4329166666666664</v>
      </c>
      <c r="K183" s="5">
        <f t="shared" ca="1" si="29"/>
        <v>7.5416666666666687E-2</v>
      </c>
      <c r="L183">
        <f t="shared" ca="1" si="30"/>
        <v>13698.844444444445</v>
      </c>
      <c r="M183">
        <f t="shared" ca="1" si="31"/>
        <v>13699</v>
      </c>
      <c r="N183" t="str">
        <f t="shared" ca="1" si="32"/>
        <v>0011010110000011</v>
      </c>
      <c r="O183">
        <f t="shared" ca="1" si="33"/>
        <v>1101011</v>
      </c>
    </row>
    <row r="184" spans="4:15" x14ac:dyDescent="0.25">
      <c r="D184">
        <v>182</v>
      </c>
      <c r="E184">
        <f t="shared" si="23"/>
        <v>38.200000000000003</v>
      </c>
      <c r="F184">
        <f t="shared" ca="1" si="24"/>
        <v>41.84</v>
      </c>
      <c r="G184" s="1">
        <f t="shared" si="25"/>
        <v>1.5166666666666668</v>
      </c>
      <c r="H184" s="6">
        <f t="shared" ca="1" si="26"/>
        <v>1.82</v>
      </c>
      <c r="I184" s="5">
        <f t="shared" ca="1" si="27"/>
        <v>0.30333333333333323</v>
      </c>
      <c r="J184" s="8">
        <f t="shared" ca="1" si="28"/>
        <v>1.5925000000000002</v>
      </c>
      <c r="K184" s="5">
        <f t="shared" ca="1" si="29"/>
        <v>7.5833333333333419E-2</v>
      </c>
      <c r="L184">
        <f t="shared" ca="1" si="30"/>
        <v>25340.58666666667</v>
      </c>
      <c r="M184">
        <f t="shared" ca="1" si="31"/>
        <v>25341</v>
      </c>
      <c r="N184" t="str">
        <f t="shared" ca="1" si="32"/>
        <v>0110001011111101</v>
      </c>
      <c r="O184">
        <f t="shared" ca="1" si="33"/>
        <v>11000101</v>
      </c>
    </row>
    <row r="185" spans="4:15" x14ac:dyDescent="0.25">
      <c r="D185">
        <v>183</v>
      </c>
      <c r="E185">
        <f t="shared" si="23"/>
        <v>38.299999999999997</v>
      </c>
      <c r="F185">
        <f t="shared" ca="1" si="24"/>
        <v>40.129999999999995</v>
      </c>
      <c r="G185" s="1">
        <f t="shared" si="25"/>
        <v>1.5249999999999997</v>
      </c>
      <c r="H185" s="6">
        <f t="shared" ca="1" si="26"/>
        <v>1.6774999999999995</v>
      </c>
      <c r="I185" s="5">
        <f t="shared" ca="1" si="27"/>
        <v>0.15249999999999986</v>
      </c>
      <c r="J185" s="8">
        <f t="shared" ca="1" si="28"/>
        <v>1.4487499999999995</v>
      </c>
      <c r="K185" s="5">
        <f t="shared" ca="1" si="29"/>
        <v>7.6250000000000151E-2</v>
      </c>
      <c r="L185">
        <f t="shared" ca="1" si="30"/>
        <v>23784.106666666659</v>
      </c>
      <c r="M185">
        <f t="shared" ca="1" si="31"/>
        <v>23784</v>
      </c>
      <c r="N185" t="str">
        <f t="shared" ca="1" si="32"/>
        <v>0101110011101000</v>
      </c>
      <c r="O185">
        <f t="shared" ca="1" si="33"/>
        <v>10111001</v>
      </c>
    </row>
    <row r="186" spans="4:15" x14ac:dyDescent="0.25">
      <c r="D186">
        <v>184</v>
      </c>
      <c r="E186">
        <f t="shared" si="23"/>
        <v>38.400000000000006</v>
      </c>
      <c r="F186">
        <f t="shared" ca="1" si="24"/>
        <v>43.92</v>
      </c>
      <c r="G186" s="1">
        <f t="shared" si="25"/>
        <v>1.5333333333333334</v>
      </c>
      <c r="H186" s="6">
        <f t="shared" ca="1" si="26"/>
        <v>1.9933333333333334</v>
      </c>
      <c r="I186" s="5">
        <f t="shared" ca="1" si="27"/>
        <v>0.45999999999999996</v>
      </c>
      <c r="J186" s="8">
        <f t="shared" ca="1" si="28"/>
        <v>1.61</v>
      </c>
      <c r="K186" s="5">
        <f t="shared" ca="1" si="29"/>
        <v>7.6666666666666661E-2</v>
      </c>
      <c r="L186">
        <f t="shared" ca="1" si="30"/>
        <v>27233.848888888886</v>
      </c>
      <c r="M186">
        <f t="shared" ca="1" si="31"/>
        <v>27234</v>
      </c>
      <c r="N186" t="str">
        <f t="shared" ca="1" si="32"/>
        <v>0110101001100010</v>
      </c>
      <c r="O186">
        <f t="shared" ca="1" si="33"/>
        <v>11010100</v>
      </c>
    </row>
    <row r="187" spans="4:15" x14ac:dyDescent="0.25">
      <c r="D187">
        <v>185</v>
      </c>
      <c r="E187">
        <f t="shared" si="23"/>
        <v>38.5</v>
      </c>
      <c r="F187">
        <f t="shared" ca="1" si="24"/>
        <v>34.799999999999997</v>
      </c>
      <c r="G187" s="1">
        <f t="shared" si="25"/>
        <v>1.5416666666666663</v>
      </c>
      <c r="H187" s="6">
        <f t="shared" ca="1" si="26"/>
        <v>1.2333333333333327</v>
      </c>
      <c r="I187" s="5">
        <f t="shared" ca="1" si="27"/>
        <v>0.30833333333333357</v>
      </c>
      <c r="J187" s="8">
        <f t="shared" ca="1" si="28"/>
        <v>1.6187499999999997</v>
      </c>
      <c r="K187" s="5">
        <f t="shared" ca="1" si="29"/>
        <v>7.7083333333333393E-2</v>
      </c>
      <c r="L187">
        <f t="shared" ca="1" si="30"/>
        <v>18932.622222222217</v>
      </c>
      <c r="M187">
        <f t="shared" ca="1" si="31"/>
        <v>18933</v>
      </c>
      <c r="N187" t="str">
        <f t="shared" ca="1" si="32"/>
        <v>0100100111110101</v>
      </c>
      <c r="O187">
        <f t="shared" ca="1" si="33"/>
        <v>10010011</v>
      </c>
    </row>
    <row r="188" spans="4:15" x14ac:dyDescent="0.25">
      <c r="D188">
        <v>186</v>
      </c>
      <c r="E188">
        <f t="shared" si="23"/>
        <v>38.6</v>
      </c>
      <c r="F188">
        <f t="shared" ca="1" si="24"/>
        <v>34.880000000000003</v>
      </c>
      <c r="G188" s="1">
        <f t="shared" si="25"/>
        <v>1.55</v>
      </c>
      <c r="H188" s="6">
        <f t="shared" ca="1" si="26"/>
        <v>1.24</v>
      </c>
      <c r="I188" s="5">
        <f t="shared" ca="1" si="27"/>
        <v>0.31000000000000005</v>
      </c>
      <c r="J188" s="8">
        <f t="shared" ca="1" si="28"/>
        <v>1.4724999999999999</v>
      </c>
      <c r="K188" s="5">
        <f t="shared" ca="1" si="29"/>
        <v>7.7500000000000124E-2</v>
      </c>
      <c r="L188">
        <f t="shared" ca="1" si="30"/>
        <v>19005.439999999999</v>
      </c>
      <c r="M188">
        <f t="shared" ca="1" si="31"/>
        <v>19005</v>
      </c>
      <c r="N188" t="str">
        <f t="shared" ca="1" si="32"/>
        <v>0100101000111101</v>
      </c>
      <c r="O188">
        <f t="shared" ca="1" si="33"/>
        <v>10010100</v>
      </c>
    </row>
    <row r="189" spans="4:15" x14ac:dyDescent="0.25">
      <c r="D189">
        <v>187</v>
      </c>
      <c r="E189">
        <f t="shared" si="23"/>
        <v>38.700000000000003</v>
      </c>
      <c r="F189">
        <f t="shared" ca="1" si="24"/>
        <v>38.700000000000003</v>
      </c>
      <c r="G189" s="1">
        <f t="shared" si="25"/>
        <v>1.5583333333333333</v>
      </c>
      <c r="H189" s="6">
        <f t="shared" ca="1" si="26"/>
        <v>1.5583333333333333</v>
      </c>
      <c r="I189" s="5">
        <f t="shared" ca="1" si="27"/>
        <v>0</v>
      </c>
      <c r="J189" s="8">
        <f t="shared" ca="1" si="28"/>
        <v>1.4804166666666667</v>
      </c>
      <c r="K189" s="5">
        <f t="shared" ca="1" si="29"/>
        <v>7.7916666666666634E-2</v>
      </c>
      <c r="L189">
        <f t="shared" ca="1" si="30"/>
        <v>22482.488888888893</v>
      </c>
      <c r="M189">
        <f t="shared" ca="1" si="31"/>
        <v>22482</v>
      </c>
      <c r="N189" t="str">
        <f t="shared" ca="1" si="32"/>
        <v>0101011111010010</v>
      </c>
      <c r="O189">
        <f t="shared" ca="1" si="33"/>
        <v>10101111</v>
      </c>
    </row>
    <row r="190" spans="4:15" x14ac:dyDescent="0.25">
      <c r="D190">
        <v>188</v>
      </c>
      <c r="E190">
        <f t="shared" si="23"/>
        <v>38.799999999999997</v>
      </c>
      <c r="F190">
        <f t="shared" ca="1" si="24"/>
        <v>35.04</v>
      </c>
      <c r="G190" s="1">
        <f t="shared" si="25"/>
        <v>1.5666666666666662</v>
      </c>
      <c r="H190" s="6">
        <f t="shared" ca="1" si="26"/>
        <v>1.2533333333333332</v>
      </c>
      <c r="I190" s="5">
        <f t="shared" ca="1" si="27"/>
        <v>0.31333333333333302</v>
      </c>
      <c r="J190" s="8">
        <f t="shared" ca="1" si="28"/>
        <v>1.6449999999999996</v>
      </c>
      <c r="K190" s="5">
        <f t="shared" ca="1" si="29"/>
        <v>7.8333333333333366E-2</v>
      </c>
      <c r="L190">
        <f t="shared" ca="1" si="30"/>
        <v>19151.075555555555</v>
      </c>
      <c r="M190">
        <f t="shared" ca="1" si="31"/>
        <v>19151</v>
      </c>
      <c r="N190" t="str">
        <f t="shared" ca="1" si="32"/>
        <v>0100101011001111</v>
      </c>
      <c r="O190">
        <f t="shared" ca="1" si="33"/>
        <v>10010101</v>
      </c>
    </row>
    <row r="191" spans="4:15" x14ac:dyDescent="0.25">
      <c r="D191">
        <v>189</v>
      </c>
      <c r="E191">
        <f t="shared" si="23"/>
        <v>38.900000000000006</v>
      </c>
      <c r="F191">
        <f t="shared" ca="1" si="24"/>
        <v>44.570000000000007</v>
      </c>
      <c r="G191" s="1">
        <f t="shared" si="25"/>
        <v>1.5750000000000004</v>
      </c>
      <c r="H191" s="6">
        <f t="shared" ca="1" si="26"/>
        <v>2.0475000000000003</v>
      </c>
      <c r="I191" s="5">
        <f t="shared" ca="1" si="27"/>
        <v>0.47249999999999992</v>
      </c>
      <c r="J191" s="8">
        <f t="shared" ca="1" si="28"/>
        <v>1.6537500000000005</v>
      </c>
      <c r="K191" s="5">
        <f t="shared" ca="1" si="29"/>
        <v>7.8750000000000098E-2</v>
      </c>
      <c r="L191">
        <f t="shared" ca="1" si="30"/>
        <v>27825.493333333336</v>
      </c>
      <c r="M191">
        <f t="shared" ca="1" si="31"/>
        <v>27825</v>
      </c>
      <c r="N191" t="str">
        <f t="shared" ca="1" si="32"/>
        <v>0110110010110001</v>
      </c>
      <c r="O191">
        <f t="shared" ca="1" si="33"/>
        <v>11011001</v>
      </c>
    </row>
    <row r="192" spans="4:15" x14ac:dyDescent="0.25">
      <c r="D192">
        <v>190</v>
      </c>
      <c r="E192">
        <f t="shared" si="23"/>
        <v>39</v>
      </c>
      <c r="F192">
        <f t="shared" ca="1" si="24"/>
        <v>29.5</v>
      </c>
      <c r="G192" s="1">
        <f t="shared" si="25"/>
        <v>1.5833333333333333</v>
      </c>
      <c r="H192" s="6">
        <f t="shared" ca="1" si="26"/>
        <v>0.7916666666666663</v>
      </c>
      <c r="I192" s="5">
        <f t="shared" ca="1" si="27"/>
        <v>0.79166666666666696</v>
      </c>
      <c r="J192" s="8">
        <f t="shared" ca="1" si="28"/>
        <v>1.5041666666666664</v>
      </c>
      <c r="K192" s="5">
        <f t="shared" ca="1" si="29"/>
        <v>7.9166666666666829E-2</v>
      </c>
      <c r="L192">
        <f t="shared" ca="1" si="30"/>
        <v>14108.44444444444</v>
      </c>
      <c r="M192">
        <f t="shared" ca="1" si="31"/>
        <v>14108</v>
      </c>
      <c r="N192" t="str">
        <f t="shared" ca="1" si="32"/>
        <v>0011011100011100</v>
      </c>
      <c r="O192">
        <f t="shared" ca="1" si="33"/>
        <v>1101110</v>
      </c>
    </row>
    <row r="193" spans="4:15" x14ac:dyDescent="0.25">
      <c r="D193">
        <v>191</v>
      </c>
      <c r="E193">
        <f t="shared" si="23"/>
        <v>39.1</v>
      </c>
      <c r="F193">
        <f t="shared" ca="1" si="24"/>
        <v>31.46</v>
      </c>
      <c r="G193" s="1">
        <f t="shared" si="25"/>
        <v>1.5916666666666666</v>
      </c>
      <c r="H193" s="6">
        <f t="shared" ca="1" si="26"/>
        <v>0.95499999999999985</v>
      </c>
      <c r="I193" s="5">
        <f t="shared" ca="1" si="27"/>
        <v>0.63666666666666671</v>
      </c>
      <c r="J193" s="8">
        <f t="shared" ca="1" si="28"/>
        <v>1.6712499999999999</v>
      </c>
      <c r="K193" s="5">
        <f t="shared" ca="1" si="29"/>
        <v>7.9583333333333339E-2</v>
      </c>
      <c r="L193">
        <f t="shared" ca="1" si="30"/>
        <v>15892.479999999998</v>
      </c>
      <c r="M193">
        <f t="shared" ca="1" si="31"/>
        <v>15892</v>
      </c>
      <c r="N193" t="str">
        <f t="shared" ca="1" si="32"/>
        <v>0011111000010100</v>
      </c>
      <c r="O193">
        <f t="shared" ca="1" si="33"/>
        <v>1111100</v>
      </c>
    </row>
    <row r="194" spans="4:15" x14ac:dyDescent="0.25">
      <c r="D194">
        <v>192</v>
      </c>
      <c r="E194">
        <f t="shared" si="23"/>
        <v>39.200000000000003</v>
      </c>
      <c r="F194">
        <f t="shared" ca="1" si="24"/>
        <v>35.36</v>
      </c>
      <c r="G194" s="1">
        <f t="shared" si="25"/>
        <v>1.5999999999999999</v>
      </c>
      <c r="H194" s="6">
        <f t="shared" ca="1" si="26"/>
        <v>1.2799999999999996</v>
      </c>
      <c r="I194" s="5">
        <f t="shared" ca="1" si="27"/>
        <v>0.32000000000000028</v>
      </c>
      <c r="J194" s="8">
        <f t="shared" ca="1" si="28"/>
        <v>1.68</v>
      </c>
      <c r="K194" s="5">
        <f t="shared" ca="1" si="29"/>
        <v>8.0000000000000071E-2</v>
      </c>
      <c r="L194">
        <f t="shared" ca="1" si="30"/>
        <v>19442.346666666661</v>
      </c>
      <c r="M194">
        <f t="shared" ca="1" si="31"/>
        <v>19442</v>
      </c>
      <c r="N194" t="str">
        <f t="shared" ca="1" si="32"/>
        <v>0100101111110010</v>
      </c>
      <c r="O194">
        <f t="shared" ca="1" si="33"/>
        <v>10010111</v>
      </c>
    </row>
    <row r="195" spans="4:15" x14ac:dyDescent="0.25">
      <c r="D195">
        <v>193</v>
      </c>
      <c r="E195">
        <f t="shared" ref="E195:E258" si="34">0.1*D195+20</f>
        <v>39.299999999999997</v>
      </c>
      <c r="F195">
        <f t="shared" ref="F195:F258" ca="1" si="35">0.1*D195+20 + (RANDBETWEEN(-5,5)/100)*D195</f>
        <v>33.51</v>
      </c>
      <c r="G195" s="1">
        <f t="shared" ref="G195:G258" si="36">1/12*E195-5/3</f>
        <v>1.6083333333333327</v>
      </c>
      <c r="H195" s="6">
        <f t="shared" ref="H195:H258" ca="1" si="37">1/12*F195-5/3</f>
        <v>1.1258333333333328</v>
      </c>
      <c r="I195" s="5">
        <f t="shared" ref="I195:I258" ca="1" si="38">ABS(G195-H195)</f>
        <v>0.48249999999999993</v>
      </c>
      <c r="J195" s="8">
        <f t="shared" ref="J195:J258" ca="1" si="39" xml:space="preserve"> G195 * (1 + $B$1 * IF(RANDBETWEEN(0,1)=0,-1,1))</f>
        <v>1.6887499999999995</v>
      </c>
      <c r="K195" s="5">
        <f t="shared" ref="K195:K258" ca="1" si="40">ABS(G195-J195)</f>
        <v>8.0416666666666803E-2</v>
      </c>
      <c r="L195">
        <f t="shared" ref="L195:L258" ca="1" si="41">(H195-$B$2)/($B$3-$B$2)*(2^$B$4)</f>
        <v>17758.435555555548</v>
      </c>
      <c r="M195">
        <f t="shared" ref="M195:M258" ca="1" si="42">ROUND(L195,0)</f>
        <v>17758</v>
      </c>
      <c r="N195" t="str">
        <f t="shared" ref="N195:N258" ca="1" si="43">_xlfn.BASE(M195,2,$B$4)</f>
        <v>0100010101011110</v>
      </c>
      <c r="O195">
        <f t="shared" ref="O195:O258" ca="1" si="44">VALUE(LEFT(N195,9))</f>
        <v>10001010</v>
      </c>
    </row>
    <row r="196" spans="4:15" x14ac:dyDescent="0.25">
      <c r="D196">
        <v>194</v>
      </c>
      <c r="E196">
        <f t="shared" si="34"/>
        <v>39.400000000000006</v>
      </c>
      <c r="F196">
        <f t="shared" ca="1" si="35"/>
        <v>31.640000000000008</v>
      </c>
      <c r="G196" s="1">
        <f t="shared" si="36"/>
        <v>1.6166666666666669</v>
      </c>
      <c r="H196" s="6">
        <f t="shared" ca="1" si="37"/>
        <v>0.97000000000000042</v>
      </c>
      <c r="I196" s="5">
        <f t="shared" ca="1" si="38"/>
        <v>0.6466666666666665</v>
      </c>
      <c r="J196" s="8">
        <f t="shared" ca="1" si="39"/>
        <v>1.6975000000000002</v>
      </c>
      <c r="K196" s="5">
        <f t="shared" ca="1" si="40"/>
        <v>8.0833333333333313E-2</v>
      </c>
      <c r="L196">
        <f t="shared" ca="1" si="41"/>
        <v>16056.320000000005</v>
      </c>
      <c r="M196">
        <f t="shared" ca="1" si="42"/>
        <v>16056</v>
      </c>
      <c r="N196" t="str">
        <f t="shared" ca="1" si="43"/>
        <v>0011111010111000</v>
      </c>
      <c r="O196">
        <f t="shared" ca="1" si="44"/>
        <v>1111101</v>
      </c>
    </row>
    <row r="197" spans="4:15" x14ac:dyDescent="0.25">
      <c r="D197">
        <v>195</v>
      </c>
      <c r="E197">
        <f t="shared" si="34"/>
        <v>39.5</v>
      </c>
      <c r="F197">
        <f t="shared" ca="1" si="35"/>
        <v>33.65</v>
      </c>
      <c r="G197" s="1">
        <f t="shared" si="36"/>
        <v>1.6249999999999998</v>
      </c>
      <c r="H197" s="6">
        <f t="shared" ca="1" si="37"/>
        <v>1.1374999999999995</v>
      </c>
      <c r="I197" s="5">
        <f t="shared" ca="1" si="38"/>
        <v>0.48750000000000027</v>
      </c>
      <c r="J197" s="8">
        <f t="shared" ca="1" si="39"/>
        <v>1.5437499999999997</v>
      </c>
      <c r="K197" s="5">
        <f t="shared" ca="1" si="40"/>
        <v>8.1250000000000044E-2</v>
      </c>
      <c r="L197">
        <f t="shared" ca="1" si="41"/>
        <v>17885.866666666661</v>
      </c>
      <c r="M197">
        <f t="shared" ca="1" si="42"/>
        <v>17886</v>
      </c>
      <c r="N197" t="str">
        <f t="shared" ca="1" si="43"/>
        <v>0100010111011110</v>
      </c>
      <c r="O197">
        <f t="shared" ca="1" si="44"/>
        <v>10001011</v>
      </c>
    </row>
    <row r="198" spans="4:15" x14ac:dyDescent="0.25">
      <c r="D198">
        <v>196</v>
      </c>
      <c r="E198">
        <f t="shared" si="34"/>
        <v>39.6</v>
      </c>
      <c r="F198">
        <f t="shared" ca="1" si="35"/>
        <v>43.52</v>
      </c>
      <c r="G198" s="1">
        <f t="shared" si="36"/>
        <v>1.6333333333333331</v>
      </c>
      <c r="H198" s="6">
        <f t="shared" ca="1" si="37"/>
        <v>1.9600000000000002</v>
      </c>
      <c r="I198" s="5">
        <f t="shared" ca="1" si="38"/>
        <v>0.3266666666666671</v>
      </c>
      <c r="J198" s="8">
        <f t="shared" ca="1" si="39"/>
        <v>1.5516666666666663</v>
      </c>
      <c r="K198" s="5">
        <f t="shared" ca="1" si="40"/>
        <v>8.1666666666666776E-2</v>
      </c>
      <c r="L198">
        <f t="shared" ca="1" si="41"/>
        <v>26869.759999999998</v>
      </c>
      <c r="M198">
        <f t="shared" ca="1" si="42"/>
        <v>26870</v>
      </c>
      <c r="N198" t="str">
        <f t="shared" ca="1" si="43"/>
        <v>0110100011110110</v>
      </c>
      <c r="O198">
        <f t="shared" ca="1" si="44"/>
        <v>11010001</v>
      </c>
    </row>
    <row r="199" spans="4:15" x14ac:dyDescent="0.25">
      <c r="D199">
        <v>197</v>
      </c>
      <c r="E199">
        <f t="shared" si="34"/>
        <v>39.700000000000003</v>
      </c>
      <c r="F199">
        <f t="shared" ca="1" si="35"/>
        <v>39.700000000000003</v>
      </c>
      <c r="G199" s="1">
        <f t="shared" si="36"/>
        <v>1.6416666666666668</v>
      </c>
      <c r="H199" s="6">
        <f t="shared" ca="1" si="37"/>
        <v>1.6416666666666668</v>
      </c>
      <c r="I199" s="5">
        <f t="shared" ca="1" si="38"/>
        <v>0</v>
      </c>
      <c r="J199" s="8">
        <f t="shared" ca="1" si="39"/>
        <v>1.5595833333333333</v>
      </c>
      <c r="K199" s="5">
        <f t="shared" ca="1" si="40"/>
        <v>8.2083333333333508E-2</v>
      </c>
      <c r="L199">
        <f t="shared" ca="1" si="41"/>
        <v>23392.711111111112</v>
      </c>
      <c r="M199">
        <f t="shared" ca="1" si="42"/>
        <v>23393</v>
      </c>
      <c r="N199" t="str">
        <f t="shared" ca="1" si="43"/>
        <v>0101101101100001</v>
      </c>
      <c r="O199">
        <f t="shared" ca="1" si="44"/>
        <v>10110110</v>
      </c>
    </row>
    <row r="200" spans="4:15" x14ac:dyDescent="0.25">
      <c r="D200">
        <v>198</v>
      </c>
      <c r="E200">
        <f t="shared" si="34"/>
        <v>39.799999999999997</v>
      </c>
      <c r="F200">
        <f t="shared" ca="1" si="35"/>
        <v>31.879999999999995</v>
      </c>
      <c r="G200" s="1">
        <f t="shared" si="36"/>
        <v>1.6499999999999997</v>
      </c>
      <c r="H200" s="6">
        <f t="shared" ca="1" si="37"/>
        <v>0.98999999999999955</v>
      </c>
      <c r="I200" s="5">
        <f t="shared" ca="1" si="38"/>
        <v>0.66000000000000014</v>
      </c>
      <c r="J200" s="8">
        <f t="shared" ca="1" si="39"/>
        <v>1.5674999999999997</v>
      </c>
      <c r="K200" s="5">
        <f t="shared" ca="1" si="40"/>
        <v>8.2500000000000018E-2</v>
      </c>
      <c r="L200">
        <f t="shared" ca="1" si="41"/>
        <v>16274.773333333329</v>
      </c>
      <c r="M200">
        <f t="shared" ca="1" si="42"/>
        <v>16275</v>
      </c>
      <c r="N200" t="str">
        <f t="shared" ca="1" si="43"/>
        <v>0011111110010011</v>
      </c>
      <c r="O200">
        <f t="shared" ca="1" si="44"/>
        <v>1111111</v>
      </c>
    </row>
    <row r="201" spans="4:15" x14ac:dyDescent="0.25">
      <c r="D201">
        <v>199</v>
      </c>
      <c r="E201">
        <f t="shared" si="34"/>
        <v>39.900000000000006</v>
      </c>
      <c r="F201">
        <f t="shared" ca="1" si="35"/>
        <v>39.900000000000006</v>
      </c>
      <c r="G201" s="1">
        <f t="shared" si="36"/>
        <v>1.6583333333333334</v>
      </c>
      <c r="H201" s="6">
        <f t="shared" ca="1" si="37"/>
        <v>1.6583333333333334</v>
      </c>
      <c r="I201" s="5">
        <f t="shared" ca="1" si="38"/>
        <v>0</v>
      </c>
      <c r="J201" s="8">
        <f t="shared" ca="1" si="39"/>
        <v>1.5754166666666667</v>
      </c>
      <c r="K201" s="5">
        <f t="shared" ca="1" si="40"/>
        <v>8.291666666666675E-2</v>
      </c>
      <c r="L201">
        <f t="shared" ca="1" si="41"/>
        <v>23574.755555555555</v>
      </c>
      <c r="M201">
        <f t="shared" ca="1" si="42"/>
        <v>23575</v>
      </c>
      <c r="N201" t="str">
        <f t="shared" ca="1" si="43"/>
        <v>0101110000010111</v>
      </c>
      <c r="O201">
        <f t="shared" ca="1" si="44"/>
        <v>10111000</v>
      </c>
    </row>
    <row r="202" spans="4:15" x14ac:dyDescent="0.25">
      <c r="D202">
        <v>200</v>
      </c>
      <c r="E202">
        <f t="shared" si="34"/>
        <v>40</v>
      </c>
      <c r="F202">
        <f t="shared" ca="1" si="35"/>
        <v>36</v>
      </c>
      <c r="G202" s="1">
        <f t="shared" si="36"/>
        <v>1.6666666666666663</v>
      </c>
      <c r="H202" s="6">
        <f t="shared" ca="1" si="37"/>
        <v>1.3333333333333333</v>
      </c>
      <c r="I202" s="5">
        <f t="shared" ca="1" si="38"/>
        <v>0.33333333333333304</v>
      </c>
      <c r="J202" s="8">
        <f t="shared" ca="1" si="39"/>
        <v>1.7499999999999998</v>
      </c>
      <c r="K202" s="5">
        <f t="shared" ca="1" si="40"/>
        <v>8.3333333333333481E-2</v>
      </c>
      <c r="L202">
        <f t="shared" ca="1" si="41"/>
        <v>20024.888888888887</v>
      </c>
      <c r="M202">
        <f t="shared" ca="1" si="42"/>
        <v>20025</v>
      </c>
      <c r="N202" t="str">
        <f t="shared" ca="1" si="43"/>
        <v>0100111000111001</v>
      </c>
      <c r="O202">
        <f t="shared" ca="1" si="44"/>
        <v>10011100</v>
      </c>
    </row>
    <row r="203" spans="4:15" x14ac:dyDescent="0.25">
      <c r="D203">
        <v>201</v>
      </c>
      <c r="E203">
        <f t="shared" si="34"/>
        <v>40.1</v>
      </c>
      <c r="F203">
        <f t="shared" ca="1" si="35"/>
        <v>36.08</v>
      </c>
      <c r="G203" s="1">
        <f t="shared" si="36"/>
        <v>1.675</v>
      </c>
      <c r="H203" s="6">
        <f t="shared" ca="1" si="37"/>
        <v>1.3399999999999996</v>
      </c>
      <c r="I203" s="5">
        <f t="shared" ca="1" si="38"/>
        <v>0.33500000000000041</v>
      </c>
      <c r="J203" s="8">
        <f t="shared" ca="1" si="39"/>
        <v>1.75875</v>
      </c>
      <c r="K203" s="5">
        <f t="shared" ca="1" si="40"/>
        <v>8.3749999999999991E-2</v>
      </c>
      <c r="L203">
        <f t="shared" ca="1" si="41"/>
        <v>20097.706666666661</v>
      </c>
      <c r="M203">
        <f t="shared" ca="1" si="42"/>
        <v>20098</v>
      </c>
      <c r="N203" t="str">
        <f t="shared" ca="1" si="43"/>
        <v>0100111010000010</v>
      </c>
      <c r="O203">
        <f t="shared" ca="1" si="44"/>
        <v>10011101</v>
      </c>
    </row>
    <row r="204" spans="4:15" x14ac:dyDescent="0.25">
      <c r="D204">
        <v>202</v>
      </c>
      <c r="E204">
        <f t="shared" si="34"/>
        <v>40.200000000000003</v>
      </c>
      <c r="F204">
        <f t="shared" ca="1" si="35"/>
        <v>42.220000000000006</v>
      </c>
      <c r="G204" s="1">
        <f t="shared" si="36"/>
        <v>1.6833333333333333</v>
      </c>
      <c r="H204" s="6">
        <f t="shared" ca="1" si="37"/>
        <v>1.8516666666666668</v>
      </c>
      <c r="I204" s="5">
        <f t="shared" ca="1" si="38"/>
        <v>0.16833333333333345</v>
      </c>
      <c r="J204" s="8">
        <f t="shared" ca="1" si="39"/>
        <v>1.5991666666666666</v>
      </c>
      <c r="K204" s="5">
        <f t="shared" ca="1" si="40"/>
        <v>8.4166666666666723E-2</v>
      </c>
      <c r="L204">
        <f t="shared" ca="1" si="41"/>
        <v>25686.47111111111</v>
      </c>
      <c r="M204">
        <f t="shared" ca="1" si="42"/>
        <v>25686</v>
      </c>
      <c r="N204" t="str">
        <f t="shared" ca="1" si="43"/>
        <v>0110010001010110</v>
      </c>
      <c r="O204">
        <f t="shared" ca="1" si="44"/>
        <v>11001000</v>
      </c>
    </row>
    <row r="205" spans="4:15" x14ac:dyDescent="0.25">
      <c r="D205">
        <v>203</v>
      </c>
      <c r="E205">
        <f t="shared" si="34"/>
        <v>40.299999999999997</v>
      </c>
      <c r="F205">
        <f t="shared" ca="1" si="35"/>
        <v>46.39</v>
      </c>
      <c r="G205" s="1">
        <f t="shared" si="36"/>
        <v>1.6916666666666662</v>
      </c>
      <c r="H205" s="6">
        <f t="shared" ca="1" si="37"/>
        <v>2.1991666666666667</v>
      </c>
      <c r="I205" s="5">
        <f t="shared" ca="1" si="38"/>
        <v>0.50750000000000051</v>
      </c>
      <c r="J205" s="8">
        <f t="shared" ca="1" si="39"/>
        <v>1.7762499999999997</v>
      </c>
      <c r="K205" s="5">
        <f t="shared" ca="1" si="40"/>
        <v>8.4583333333333455E-2</v>
      </c>
      <c r="L205">
        <f t="shared" ca="1" si="41"/>
        <v>29482.097777777777</v>
      </c>
      <c r="M205">
        <f t="shared" ca="1" si="42"/>
        <v>29482</v>
      </c>
      <c r="N205" t="str">
        <f t="shared" ca="1" si="43"/>
        <v>0111001100101010</v>
      </c>
      <c r="O205">
        <f t="shared" ca="1" si="44"/>
        <v>11100110</v>
      </c>
    </row>
    <row r="206" spans="4:15" x14ac:dyDescent="0.25">
      <c r="D206">
        <v>204</v>
      </c>
      <c r="E206">
        <f t="shared" si="34"/>
        <v>40.400000000000006</v>
      </c>
      <c r="F206">
        <f t="shared" ca="1" si="35"/>
        <v>46.52</v>
      </c>
      <c r="G206" s="1">
        <f t="shared" si="36"/>
        <v>1.7000000000000004</v>
      </c>
      <c r="H206" s="6">
        <f t="shared" ca="1" si="37"/>
        <v>2.21</v>
      </c>
      <c r="I206" s="5">
        <f t="shared" ca="1" si="38"/>
        <v>0.50999999999999956</v>
      </c>
      <c r="J206" s="8">
        <f t="shared" ca="1" si="39"/>
        <v>1.7850000000000006</v>
      </c>
      <c r="K206" s="5">
        <f t="shared" ca="1" si="40"/>
        <v>8.5000000000000187E-2</v>
      </c>
      <c r="L206">
        <f t="shared" ca="1" si="41"/>
        <v>29600.426666666666</v>
      </c>
      <c r="M206">
        <f t="shared" ca="1" si="42"/>
        <v>29600</v>
      </c>
      <c r="N206" t="str">
        <f t="shared" ca="1" si="43"/>
        <v>0111001110100000</v>
      </c>
      <c r="O206">
        <f t="shared" ca="1" si="44"/>
        <v>11100111</v>
      </c>
    </row>
    <row r="207" spans="4:15" x14ac:dyDescent="0.25">
      <c r="D207">
        <v>205</v>
      </c>
      <c r="E207">
        <f t="shared" si="34"/>
        <v>40.5</v>
      </c>
      <c r="F207">
        <f t="shared" ca="1" si="35"/>
        <v>48.7</v>
      </c>
      <c r="G207" s="1">
        <f t="shared" si="36"/>
        <v>1.7083333333333333</v>
      </c>
      <c r="H207" s="6">
        <f t="shared" ca="1" si="37"/>
        <v>2.3916666666666666</v>
      </c>
      <c r="I207" s="5">
        <f t="shared" ca="1" si="38"/>
        <v>0.68333333333333335</v>
      </c>
      <c r="J207" s="8">
        <f t="shared" ca="1" si="39"/>
        <v>1.79375</v>
      </c>
      <c r="K207" s="5">
        <f t="shared" ca="1" si="40"/>
        <v>8.5416666666666696E-2</v>
      </c>
      <c r="L207">
        <f t="shared" ca="1" si="41"/>
        <v>31584.711111111112</v>
      </c>
      <c r="M207">
        <f t="shared" ca="1" si="42"/>
        <v>31585</v>
      </c>
      <c r="N207" t="str">
        <f t="shared" ca="1" si="43"/>
        <v>0111101101100001</v>
      </c>
      <c r="O207">
        <f t="shared" ca="1" si="44"/>
        <v>11110110</v>
      </c>
    </row>
    <row r="208" spans="4:15" x14ac:dyDescent="0.25">
      <c r="D208">
        <v>206</v>
      </c>
      <c r="E208">
        <f t="shared" si="34"/>
        <v>40.6</v>
      </c>
      <c r="F208">
        <f t="shared" ca="1" si="35"/>
        <v>36.480000000000004</v>
      </c>
      <c r="G208" s="1">
        <f t="shared" si="36"/>
        <v>1.7166666666666666</v>
      </c>
      <c r="H208" s="6">
        <f t="shared" ca="1" si="37"/>
        <v>1.3733333333333333</v>
      </c>
      <c r="I208" s="5">
        <f t="shared" ca="1" si="38"/>
        <v>0.34333333333333327</v>
      </c>
      <c r="J208" s="8">
        <f t="shared" ca="1" si="39"/>
        <v>1.8025</v>
      </c>
      <c r="K208" s="5">
        <f t="shared" ca="1" si="40"/>
        <v>8.5833333333333428E-2</v>
      </c>
      <c r="L208">
        <f t="shared" ca="1" si="41"/>
        <v>20461.795555555556</v>
      </c>
      <c r="M208">
        <f t="shared" ca="1" si="42"/>
        <v>20462</v>
      </c>
      <c r="N208" t="str">
        <f t="shared" ca="1" si="43"/>
        <v>0100111111101110</v>
      </c>
      <c r="O208">
        <f t="shared" ca="1" si="44"/>
        <v>10011111</v>
      </c>
    </row>
    <row r="209" spans="4:15" x14ac:dyDescent="0.25">
      <c r="D209">
        <v>207</v>
      </c>
      <c r="E209">
        <f t="shared" si="34"/>
        <v>40.700000000000003</v>
      </c>
      <c r="F209">
        <f t="shared" ca="1" si="35"/>
        <v>51.050000000000004</v>
      </c>
      <c r="G209" s="1">
        <f t="shared" si="36"/>
        <v>1.7249999999999999</v>
      </c>
      <c r="H209" s="6">
        <f t="shared" ca="1" si="37"/>
        <v>2.5874999999999995</v>
      </c>
      <c r="I209" s="5">
        <f t="shared" ca="1" si="38"/>
        <v>0.8624999999999996</v>
      </c>
      <c r="J209" s="8">
        <f t="shared" ca="1" si="39"/>
        <v>1.6387499999999997</v>
      </c>
      <c r="K209" s="5">
        <f t="shared" ca="1" si="40"/>
        <v>8.625000000000016E-2</v>
      </c>
      <c r="L209">
        <f t="shared" ca="1" si="41"/>
        <v>33723.73333333333</v>
      </c>
      <c r="M209">
        <f t="shared" ca="1" si="42"/>
        <v>33724</v>
      </c>
      <c r="N209" t="str">
        <f t="shared" ca="1" si="43"/>
        <v>1000001110111100</v>
      </c>
      <c r="O209">
        <f t="shared" ca="1" si="44"/>
        <v>100000111</v>
      </c>
    </row>
    <row r="210" spans="4:15" x14ac:dyDescent="0.25">
      <c r="D210">
        <v>208</v>
      </c>
      <c r="E210">
        <f t="shared" si="34"/>
        <v>40.799999999999997</v>
      </c>
      <c r="F210">
        <f t="shared" ca="1" si="35"/>
        <v>30.4</v>
      </c>
      <c r="G210" s="1">
        <f t="shared" si="36"/>
        <v>1.7333333333333327</v>
      </c>
      <c r="H210" s="6">
        <f t="shared" ca="1" si="37"/>
        <v>0.86666666666666647</v>
      </c>
      <c r="I210" s="5">
        <f t="shared" ca="1" si="38"/>
        <v>0.86666666666666625</v>
      </c>
      <c r="J210" s="8">
        <f t="shared" ca="1" si="39"/>
        <v>1.6466666666666661</v>
      </c>
      <c r="K210" s="5">
        <f t="shared" ca="1" si="40"/>
        <v>8.666666666666667E-2</v>
      </c>
      <c r="L210">
        <f t="shared" ca="1" si="41"/>
        <v>14927.644444444442</v>
      </c>
      <c r="M210">
        <f t="shared" ca="1" si="42"/>
        <v>14928</v>
      </c>
      <c r="N210" t="str">
        <f t="shared" ca="1" si="43"/>
        <v>0011101001010000</v>
      </c>
      <c r="O210">
        <f t="shared" ca="1" si="44"/>
        <v>1110100</v>
      </c>
    </row>
    <row r="211" spans="4:15" x14ac:dyDescent="0.25">
      <c r="D211">
        <v>209</v>
      </c>
      <c r="E211">
        <f t="shared" si="34"/>
        <v>40.900000000000006</v>
      </c>
      <c r="F211">
        <f t="shared" ca="1" si="35"/>
        <v>42.990000000000009</v>
      </c>
      <c r="G211" s="1">
        <f t="shared" si="36"/>
        <v>1.7416666666666669</v>
      </c>
      <c r="H211" s="6">
        <f t="shared" ca="1" si="37"/>
        <v>1.9158333333333337</v>
      </c>
      <c r="I211" s="5">
        <f t="shared" ca="1" si="38"/>
        <v>0.1741666666666668</v>
      </c>
      <c r="J211" s="8">
        <f t="shared" ca="1" si="39"/>
        <v>1.8287500000000003</v>
      </c>
      <c r="K211" s="5">
        <f t="shared" ca="1" si="40"/>
        <v>8.7083333333333401E-2</v>
      </c>
      <c r="L211">
        <f t="shared" ca="1" si="41"/>
        <v>26387.342222222225</v>
      </c>
      <c r="M211">
        <f t="shared" ca="1" si="42"/>
        <v>26387</v>
      </c>
      <c r="N211" t="str">
        <f t="shared" ca="1" si="43"/>
        <v>0110011100010011</v>
      </c>
      <c r="O211">
        <f t="shared" ca="1" si="44"/>
        <v>11001110</v>
      </c>
    </row>
    <row r="212" spans="4:15" x14ac:dyDescent="0.25">
      <c r="D212">
        <v>210</v>
      </c>
      <c r="E212">
        <f t="shared" si="34"/>
        <v>41</v>
      </c>
      <c r="F212">
        <f t="shared" ca="1" si="35"/>
        <v>51.5</v>
      </c>
      <c r="G212" s="1">
        <f t="shared" si="36"/>
        <v>1.7499999999999998</v>
      </c>
      <c r="H212" s="6">
        <f t="shared" ca="1" si="37"/>
        <v>2.6249999999999991</v>
      </c>
      <c r="I212" s="5">
        <f t="shared" ca="1" si="38"/>
        <v>0.87499999999999933</v>
      </c>
      <c r="J212" s="8">
        <f t="shared" ca="1" si="39"/>
        <v>1.8374999999999999</v>
      </c>
      <c r="K212" s="5">
        <f t="shared" ca="1" si="40"/>
        <v>8.7500000000000133E-2</v>
      </c>
      <c r="L212">
        <f t="shared" ca="1" si="41"/>
        <v>34133.333333333321</v>
      </c>
      <c r="M212">
        <f t="shared" ca="1" si="42"/>
        <v>34133</v>
      </c>
      <c r="N212" t="str">
        <f t="shared" ca="1" si="43"/>
        <v>1000010101010101</v>
      </c>
      <c r="O212">
        <f t="shared" ca="1" si="44"/>
        <v>100001010</v>
      </c>
    </row>
    <row r="213" spans="4:15" x14ac:dyDescent="0.25">
      <c r="D213">
        <v>211</v>
      </c>
      <c r="E213">
        <f t="shared" si="34"/>
        <v>41.1</v>
      </c>
      <c r="F213">
        <f t="shared" ca="1" si="35"/>
        <v>47.43</v>
      </c>
      <c r="G213" s="1">
        <f t="shared" si="36"/>
        <v>1.7583333333333331</v>
      </c>
      <c r="H213" s="6">
        <f t="shared" ca="1" si="37"/>
        <v>2.2858333333333327</v>
      </c>
      <c r="I213" s="5">
        <f t="shared" ca="1" si="38"/>
        <v>0.52749999999999964</v>
      </c>
      <c r="J213" s="8">
        <f t="shared" ca="1" si="39"/>
        <v>1.6704166666666664</v>
      </c>
      <c r="K213" s="5">
        <f t="shared" ca="1" si="40"/>
        <v>8.7916666666666643E-2</v>
      </c>
      <c r="L213">
        <f t="shared" ca="1" si="41"/>
        <v>30428.728888888883</v>
      </c>
      <c r="M213">
        <f t="shared" ca="1" si="42"/>
        <v>30429</v>
      </c>
      <c r="N213" t="str">
        <f t="shared" ca="1" si="43"/>
        <v>0111011011011101</v>
      </c>
      <c r="O213">
        <f t="shared" ca="1" si="44"/>
        <v>11101101</v>
      </c>
    </row>
    <row r="214" spans="4:15" x14ac:dyDescent="0.25">
      <c r="D214">
        <v>212</v>
      </c>
      <c r="E214">
        <f t="shared" si="34"/>
        <v>41.2</v>
      </c>
      <c r="F214">
        <f t="shared" ca="1" si="35"/>
        <v>30.6</v>
      </c>
      <c r="G214" s="1">
        <f t="shared" si="36"/>
        <v>1.7666666666666668</v>
      </c>
      <c r="H214" s="6">
        <f t="shared" ca="1" si="37"/>
        <v>0.88333333333333308</v>
      </c>
      <c r="I214" s="5">
        <f t="shared" ca="1" si="38"/>
        <v>0.88333333333333375</v>
      </c>
      <c r="J214" s="8">
        <f t="shared" ca="1" si="39"/>
        <v>1.8550000000000002</v>
      </c>
      <c r="K214" s="5">
        <f t="shared" ca="1" si="40"/>
        <v>8.8333333333333375E-2</v>
      </c>
      <c r="L214">
        <f t="shared" ca="1" si="41"/>
        <v>15109.688888888886</v>
      </c>
      <c r="M214">
        <f t="shared" ca="1" si="42"/>
        <v>15110</v>
      </c>
      <c r="N214" t="str">
        <f t="shared" ca="1" si="43"/>
        <v>0011101100000110</v>
      </c>
      <c r="O214">
        <f t="shared" ca="1" si="44"/>
        <v>1110110</v>
      </c>
    </row>
    <row r="215" spans="4:15" x14ac:dyDescent="0.25">
      <c r="D215">
        <v>213</v>
      </c>
      <c r="E215">
        <f t="shared" si="34"/>
        <v>41.3</v>
      </c>
      <c r="F215">
        <f t="shared" ca="1" si="35"/>
        <v>49.819999999999993</v>
      </c>
      <c r="G215" s="1">
        <f t="shared" si="36"/>
        <v>1.7749999999999997</v>
      </c>
      <c r="H215" s="6">
        <f t="shared" ca="1" si="37"/>
        <v>2.4849999999999985</v>
      </c>
      <c r="I215" s="5">
        <f t="shared" ca="1" si="38"/>
        <v>0.70999999999999885</v>
      </c>
      <c r="J215" s="8">
        <f t="shared" ca="1" si="39"/>
        <v>1.8637499999999998</v>
      </c>
      <c r="K215" s="5">
        <f t="shared" ca="1" si="40"/>
        <v>8.8750000000000107E-2</v>
      </c>
      <c r="L215">
        <f t="shared" ca="1" si="41"/>
        <v>32604.159999999985</v>
      </c>
      <c r="M215">
        <f t="shared" ca="1" si="42"/>
        <v>32604</v>
      </c>
      <c r="N215" t="str">
        <f t="shared" ca="1" si="43"/>
        <v>0111111101011100</v>
      </c>
      <c r="O215">
        <f t="shared" ca="1" si="44"/>
        <v>11111110</v>
      </c>
    </row>
    <row r="216" spans="4:15" x14ac:dyDescent="0.25">
      <c r="D216">
        <v>214</v>
      </c>
      <c r="E216">
        <f t="shared" si="34"/>
        <v>41.400000000000006</v>
      </c>
      <c r="F216">
        <f t="shared" ca="1" si="35"/>
        <v>39.260000000000005</v>
      </c>
      <c r="G216" s="1">
        <f t="shared" si="36"/>
        <v>1.7833333333333334</v>
      </c>
      <c r="H216" s="6">
        <f t="shared" ca="1" si="37"/>
        <v>1.6050000000000002</v>
      </c>
      <c r="I216" s="5">
        <f t="shared" ca="1" si="38"/>
        <v>0.17833333333333323</v>
      </c>
      <c r="J216" s="8">
        <f t="shared" ca="1" si="39"/>
        <v>1.8725000000000003</v>
      </c>
      <c r="K216" s="5">
        <f t="shared" ca="1" si="40"/>
        <v>8.9166666666666838E-2</v>
      </c>
      <c r="L216">
        <f t="shared" ca="1" si="41"/>
        <v>22992.213333333337</v>
      </c>
      <c r="M216">
        <f t="shared" ca="1" si="42"/>
        <v>22992</v>
      </c>
      <c r="N216" t="str">
        <f t="shared" ca="1" si="43"/>
        <v>0101100111010000</v>
      </c>
      <c r="O216">
        <f t="shared" ca="1" si="44"/>
        <v>10110011</v>
      </c>
    </row>
    <row r="217" spans="4:15" x14ac:dyDescent="0.25">
      <c r="D217">
        <v>215</v>
      </c>
      <c r="E217">
        <f t="shared" si="34"/>
        <v>41.5</v>
      </c>
      <c r="F217">
        <f t="shared" ca="1" si="35"/>
        <v>47.95</v>
      </c>
      <c r="G217" s="1">
        <f t="shared" si="36"/>
        <v>1.7916666666666663</v>
      </c>
      <c r="H217" s="6">
        <f t="shared" ca="1" si="37"/>
        <v>2.3291666666666666</v>
      </c>
      <c r="I217" s="5">
        <f t="shared" ca="1" si="38"/>
        <v>0.53750000000000031</v>
      </c>
      <c r="J217" s="8">
        <f t="shared" ca="1" si="39"/>
        <v>1.8812499999999996</v>
      </c>
      <c r="K217" s="5">
        <f t="shared" ca="1" si="40"/>
        <v>8.9583333333333348E-2</v>
      </c>
      <c r="L217">
        <f t="shared" ca="1" si="41"/>
        <v>30902.044444444444</v>
      </c>
      <c r="M217">
        <f t="shared" ca="1" si="42"/>
        <v>30902</v>
      </c>
      <c r="N217" t="str">
        <f t="shared" ca="1" si="43"/>
        <v>0111100010110110</v>
      </c>
      <c r="O217">
        <f t="shared" ca="1" si="44"/>
        <v>11110001</v>
      </c>
    </row>
    <row r="218" spans="4:15" x14ac:dyDescent="0.25">
      <c r="D218">
        <v>216</v>
      </c>
      <c r="E218">
        <f t="shared" si="34"/>
        <v>41.6</v>
      </c>
      <c r="F218">
        <f t="shared" ca="1" si="35"/>
        <v>39.44</v>
      </c>
      <c r="G218" s="1">
        <f t="shared" si="36"/>
        <v>1.8</v>
      </c>
      <c r="H218" s="6">
        <f t="shared" ca="1" si="37"/>
        <v>1.6199999999999994</v>
      </c>
      <c r="I218" s="5">
        <f t="shared" ca="1" si="38"/>
        <v>0.1800000000000006</v>
      </c>
      <c r="J218" s="8">
        <f t="shared" ca="1" si="39"/>
        <v>1.8900000000000001</v>
      </c>
      <c r="K218" s="5">
        <f t="shared" ca="1" si="40"/>
        <v>9.000000000000008E-2</v>
      </c>
      <c r="L218">
        <f t="shared" ca="1" si="41"/>
        <v>23156.053333333326</v>
      </c>
      <c r="M218">
        <f t="shared" ca="1" si="42"/>
        <v>23156</v>
      </c>
      <c r="N218" t="str">
        <f t="shared" ca="1" si="43"/>
        <v>0101101001110100</v>
      </c>
      <c r="O218">
        <f t="shared" ca="1" si="44"/>
        <v>10110100</v>
      </c>
    </row>
    <row r="219" spans="4:15" x14ac:dyDescent="0.25">
      <c r="D219">
        <v>217</v>
      </c>
      <c r="E219">
        <f t="shared" si="34"/>
        <v>41.7</v>
      </c>
      <c r="F219">
        <f t="shared" ca="1" si="35"/>
        <v>48.21</v>
      </c>
      <c r="G219" s="1">
        <f t="shared" si="36"/>
        <v>1.8083333333333333</v>
      </c>
      <c r="H219" s="6">
        <f t="shared" ca="1" si="37"/>
        <v>2.3508333333333331</v>
      </c>
      <c r="I219" s="5">
        <f t="shared" ca="1" si="38"/>
        <v>0.54249999999999976</v>
      </c>
      <c r="J219" s="8">
        <f t="shared" ca="1" si="39"/>
        <v>1.8987500000000002</v>
      </c>
      <c r="K219" s="5">
        <f t="shared" ca="1" si="40"/>
        <v>9.0416666666666812E-2</v>
      </c>
      <c r="L219">
        <f t="shared" ca="1" si="41"/>
        <v>31138.702222222219</v>
      </c>
      <c r="M219">
        <f t="shared" ca="1" si="42"/>
        <v>31139</v>
      </c>
      <c r="N219" t="str">
        <f t="shared" ca="1" si="43"/>
        <v>0111100110100011</v>
      </c>
      <c r="O219">
        <f t="shared" ca="1" si="44"/>
        <v>11110011</v>
      </c>
    </row>
    <row r="220" spans="4:15" x14ac:dyDescent="0.25">
      <c r="D220">
        <v>218</v>
      </c>
      <c r="E220">
        <f t="shared" si="34"/>
        <v>41.8</v>
      </c>
      <c r="F220">
        <f t="shared" ca="1" si="35"/>
        <v>52.699999999999996</v>
      </c>
      <c r="G220" s="1">
        <f t="shared" si="36"/>
        <v>1.8166666666666662</v>
      </c>
      <c r="H220" s="6">
        <f t="shared" ca="1" si="37"/>
        <v>2.7249999999999988</v>
      </c>
      <c r="I220" s="5">
        <f t="shared" ca="1" si="38"/>
        <v>0.90833333333333255</v>
      </c>
      <c r="J220" s="8">
        <f t="shared" ca="1" si="39"/>
        <v>1.7258333333333329</v>
      </c>
      <c r="K220" s="5">
        <f t="shared" ca="1" si="40"/>
        <v>9.0833333333333321E-2</v>
      </c>
      <c r="L220">
        <f t="shared" ca="1" si="41"/>
        <v>35225.599999999984</v>
      </c>
      <c r="M220">
        <f t="shared" ca="1" si="42"/>
        <v>35226</v>
      </c>
      <c r="N220" t="str">
        <f t="shared" ca="1" si="43"/>
        <v>1000100110011010</v>
      </c>
      <c r="O220">
        <f t="shared" ca="1" si="44"/>
        <v>100010011</v>
      </c>
    </row>
    <row r="221" spans="4:15" x14ac:dyDescent="0.25">
      <c r="D221">
        <v>219</v>
      </c>
      <c r="E221">
        <f t="shared" si="34"/>
        <v>41.900000000000006</v>
      </c>
      <c r="F221">
        <f t="shared" ca="1" si="35"/>
        <v>35.330000000000005</v>
      </c>
      <c r="G221" s="1">
        <f t="shared" si="36"/>
        <v>1.8250000000000004</v>
      </c>
      <c r="H221" s="6">
        <f t="shared" ca="1" si="37"/>
        <v>1.2775000000000001</v>
      </c>
      <c r="I221" s="5">
        <f t="shared" ca="1" si="38"/>
        <v>0.54750000000000032</v>
      </c>
      <c r="J221" s="8">
        <f t="shared" ca="1" si="39"/>
        <v>1.7337500000000003</v>
      </c>
      <c r="K221" s="5">
        <f t="shared" ca="1" si="40"/>
        <v>9.1250000000000053E-2</v>
      </c>
      <c r="L221">
        <f t="shared" ca="1" si="41"/>
        <v>19415.04</v>
      </c>
      <c r="M221">
        <f t="shared" ca="1" si="42"/>
        <v>19415</v>
      </c>
      <c r="N221" t="str">
        <f t="shared" ca="1" si="43"/>
        <v>0100101111010111</v>
      </c>
      <c r="O221">
        <f t="shared" ca="1" si="44"/>
        <v>10010111</v>
      </c>
    </row>
    <row r="222" spans="4:15" x14ac:dyDescent="0.25">
      <c r="D222">
        <v>220</v>
      </c>
      <c r="E222">
        <f t="shared" si="34"/>
        <v>42</v>
      </c>
      <c r="F222">
        <f t="shared" ca="1" si="35"/>
        <v>42</v>
      </c>
      <c r="G222" s="1">
        <f t="shared" si="36"/>
        <v>1.8333333333333333</v>
      </c>
      <c r="H222" s="6">
        <f t="shared" ca="1" si="37"/>
        <v>1.8333333333333333</v>
      </c>
      <c r="I222" s="5">
        <f t="shared" ca="1" si="38"/>
        <v>0</v>
      </c>
      <c r="J222" s="8">
        <f t="shared" ca="1" si="39"/>
        <v>1.7416666666666665</v>
      </c>
      <c r="K222" s="5">
        <f t="shared" ca="1" si="40"/>
        <v>9.1666666666666785E-2</v>
      </c>
      <c r="L222">
        <f t="shared" ca="1" si="41"/>
        <v>25486.222222222219</v>
      </c>
      <c r="M222">
        <f t="shared" ca="1" si="42"/>
        <v>25486</v>
      </c>
      <c r="N222" t="str">
        <f t="shared" ca="1" si="43"/>
        <v>0110001110001110</v>
      </c>
      <c r="O222">
        <f t="shared" ca="1" si="44"/>
        <v>11000111</v>
      </c>
    </row>
    <row r="223" spans="4:15" x14ac:dyDescent="0.25">
      <c r="D223">
        <v>221</v>
      </c>
      <c r="E223">
        <f t="shared" si="34"/>
        <v>42.1</v>
      </c>
      <c r="F223">
        <f t="shared" ca="1" si="35"/>
        <v>39.89</v>
      </c>
      <c r="G223" s="1">
        <f t="shared" si="36"/>
        <v>1.8416666666666666</v>
      </c>
      <c r="H223" s="6">
        <f t="shared" ca="1" si="37"/>
        <v>1.6575</v>
      </c>
      <c r="I223" s="5">
        <f t="shared" ca="1" si="38"/>
        <v>0.18416666666666659</v>
      </c>
      <c r="J223" s="8">
        <f t="shared" ca="1" si="39"/>
        <v>1.9337500000000001</v>
      </c>
      <c r="K223" s="5">
        <f t="shared" ca="1" si="40"/>
        <v>9.2083333333333517E-2</v>
      </c>
      <c r="L223">
        <f t="shared" ca="1" si="41"/>
        <v>23565.653333333332</v>
      </c>
      <c r="M223">
        <f t="shared" ca="1" si="42"/>
        <v>23566</v>
      </c>
      <c r="N223" t="str">
        <f t="shared" ca="1" si="43"/>
        <v>0101110000001110</v>
      </c>
      <c r="O223">
        <f t="shared" ca="1" si="44"/>
        <v>10111000</v>
      </c>
    </row>
    <row r="224" spans="4:15" x14ac:dyDescent="0.25">
      <c r="D224">
        <v>222</v>
      </c>
      <c r="E224">
        <f t="shared" si="34"/>
        <v>42.2</v>
      </c>
      <c r="F224">
        <f t="shared" ca="1" si="35"/>
        <v>51.080000000000005</v>
      </c>
      <c r="G224" s="1">
        <f t="shared" si="36"/>
        <v>1.8499999999999999</v>
      </c>
      <c r="H224" s="6">
        <f t="shared" ca="1" si="37"/>
        <v>2.59</v>
      </c>
      <c r="I224" s="5">
        <f t="shared" ca="1" si="38"/>
        <v>0.74</v>
      </c>
      <c r="J224" s="8">
        <f t="shared" ca="1" si="39"/>
        <v>1.7574999999999998</v>
      </c>
      <c r="K224" s="5">
        <f t="shared" ca="1" si="40"/>
        <v>9.2500000000000027E-2</v>
      </c>
      <c r="L224">
        <f t="shared" ca="1" si="41"/>
        <v>33751.040000000001</v>
      </c>
      <c r="M224">
        <f t="shared" ca="1" si="42"/>
        <v>33751</v>
      </c>
      <c r="N224" t="str">
        <f t="shared" ca="1" si="43"/>
        <v>1000001111010111</v>
      </c>
      <c r="O224">
        <f t="shared" ca="1" si="44"/>
        <v>100000111</v>
      </c>
    </row>
    <row r="225" spans="4:15" x14ac:dyDescent="0.25">
      <c r="D225">
        <v>223</v>
      </c>
      <c r="E225">
        <f t="shared" si="34"/>
        <v>42.3</v>
      </c>
      <c r="F225">
        <f t="shared" ca="1" si="35"/>
        <v>33.379999999999995</v>
      </c>
      <c r="G225" s="1">
        <f t="shared" si="36"/>
        <v>1.8583333333333327</v>
      </c>
      <c r="H225" s="6">
        <f t="shared" ca="1" si="37"/>
        <v>1.1149999999999995</v>
      </c>
      <c r="I225" s="5">
        <f t="shared" ca="1" si="38"/>
        <v>0.74333333333333318</v>
      </c>
      <c r="J225" s="8">
        <f t="shared" ca="1" si="39"/>
        <v>1.765416666666666</v>
      </c>
      <c r="K225" s="5">
        <f t="shared" ca="1" si="40"/>
        <v>9.2916666666666758E-2</v>
      </c>
      <c r="L225">
        <f t="shared" ca="1" si="41"/>
        <v>17640.106666666663</v>
      </c>
      <c r="M225">
        <f t="shared" ca="1" si="42"/>
        <v>17640</v>
      </c>
      <c r="N225" t="str">
        <f t="shared" ca="1" si="43"/>
        <v>0100010011101000</v>
      </c>
      <c r="O225">
        <f t="shared" ca="1" si="44"/>
        <v>10001001</v>
      </c>
    </row>
    <row r="226" spans="4:15" x14ac:dyDescent="0.25">
      <c r="D226">
        <v>224</v>
      </c>
      <c r="E226">
        <f t="shared" si="34"/>
        <v>42.400000000000006</v>
      </c>
      <c r="F226">
        <f t="shared" ca="1" si="35"/>
        <v>37.92</v>
      </c>
      <c r="G226" s="1">
        <f t="shared" si="36"/>
        <v>1.8666666666666669</v>
      </c>
      <c r="H226" s="6">
        <f t="shared" ca="1" si="37"/>
        <v>1.4933333333333334</v>
      </c>
      <c r="I226" s="5">
        <f t="shared" ca="1" si="38"/>
        <v>0.37333333333333352</v>
      </c>
      <c r="J226" s="8">
        <f t="shared" ca="1" si="39"/>
        <v>1.9600000000000004</v>
      </c>
      <c r="K226" s="5">
        <f t="shared" ca="1" si="40"/>
        <v>9.333333333333349E-2</v>
      </c>
      <c r="L226">
        <f t="shared" ca="1" si="41"/>
        <v>21772.515555555558</v>
      </c>
      <c r="M226">
        <f t="shared" ca="1" si="42"/>
        <v>21773</v>
      </c>
      <c r="N226" t="str">
        <f t="shared" ca="1" si="43"/>
        <v>0101010100001101</v>
      </c>
      <c r="O226">
        <f t="shared" ca="1" si="44"/>
        <v>10101010</v>
      </c>
    </row>
    <row r="227" spans="4:15" x14ac:dyDescent="0.25">
      <c r="D227">
        <v>225</v>
      </c>
      <c r="E227">
        <f t="shared" si="34"/>
        <v>42.5</v>
      </c>
      <c r="F227">
        <f t="shared" ca="1" si="35"/>
        <v>38</v>
      </c>
      <c r="G227" s="1">
        <f t="shared" si="36"/>
        <v>1.8749999999999998</v>
      </c>
      <c r="H227" s="6">
        <f t="shared" ca="1" si="37"/>
        <v>1.4999999999999998</v>
      </c>
      <c r="I227" s="5">
        <f t="shared" ca="1" si="38"/>
        <v>0.375</v>
      </c>
      <c r="J227" s="8">
        <f t="shared" ca="1" si="39"/>
        <v>1.9687499999999998</v>
      </c>
      <c r="K227" s="5">
        <f t="shared" ca="1" si="40"/>
        <v>9.375E-2</v>
      </c>
      <c r="L227">
        <f t="shared" ca="1" si="41"/>
        <v>21845.333333333332</v>
      </c>
      <c r="M227">
        <f t="shared" ca="1" si="42"/>
        <v>21845</v>
      </c>
      <c r="N227" t="str">
        <f t="shared" ca="1" si="43"/>
        <v>0101010101010101</v>
      </c>
      <c r="O227">
        <f t="shared" ca="1" si="44"/>
        <v>10101010</v>
      </c>
    </row>
    <row r="228" spans="4:15" x14ac:dyDescent="0.25">
      <c r="D228">
        <v>226</v>
      </c>
      <c r="E228">
        <f t="shared" si="34"/>
        <v>42.6</v>
      </c>
      <c r="F228">
        <f t="shared" ca="1" si="35"/>
        <v>44.86</v>
      </c>
      <c r="G228" s="1">
        <f t="shared" si="36"/>
        <v>1.8833333333333331</v>
      </c>
      <c r="H228" s="6">
        <f t="shared" ca="1" si="37"/>
        <v>2.0716666666666663</v>
      </c>
      <c r="I228" s="5">
        <f t="shared" ca="1" si="38"/>
        <v>0.18833333333333324</v>
      </c>
      <c r="J228" s="8">
        <f t="shared" ca="1" si="39"/>
        <v>1.7891666666666663</v>
      </c>
      <c r="K228" s="5">
        <f t="shared" ca="1" si="40"/>
        <v>9.4166666666666732E-2</v>
      </c>
      <c r="L228">
        <f t="shared" ca="1" si="41"/>
        <v>28089.457777777774</v>
      </c>
      <c r="M228">
        <f t="shared" ca="1" si="42"/>
        <v>28089</v>
      </c>
      <c r="N228" t="str">
        <f t="shared" ca="1" si="43"/>
        <v>0110110110111001</v>
      </c>
      <c r="O228">
        <f t="shared" ca="1" si="44"/>
        <v>11011011</v>
      </c>
    </row>
    <row r="229" spans="4:15" x14ac:dyDescent="0.25">
      <c r="D229">
        <v>227</v>
      </c>
      <c r="E229">
        <f t="shared" si="34"/>
        <v>42.7</v>
      </c>
      <c r="F229">
        <f t="shared" ca="1" si="35"/>
        <v>51.78</v>
      </c>
      <c r="G229" s="1">
        <f t="shared" si="36"/>
        <v>1.8916666666666668</v>
      </c>
      <c r="H229" s="6">
        <f t="shared" ca="1" si="37"/>
        <v>2.6483333333333325</v>
      </c>
      <c r="I229" s="5">
        <f t="shared" ca="1" si="38"/>
        <v>0.75666666666666571</v>
      </c>
      <c r="J229" s="8">
        <f t="shared" ca="1" si="39"/>
        <v>1.7970833333333334</v>
      </c>
      <c r="K229" s="5">
        <f t="shared" ca="1" si="40"/>
        <v>9.4583333333333464E-2</v>
      </c>
      <c r="L229">
        <f t="shared" ca="1" si="41"/>
        <v>34388.195555555547</v>
      </c>
      <c r="M229">
        <f t="shared" ca="1" si="42"/>
        <v>34388</v>
      </c>
      <c r="N229" t="str">
        <f t="shared" ca="1" si="43"/>
        <v>1000011001010100</v>
      </c>
      <c r="O229">
        <f t="shared" ca="1" si="44"/>
        <v>100001100</v>
      </c>
    </row>
    <row r="230" spans="4:15" x14ac:dyDescent="0.25">
      <c r="D230">
        <v>228</v>
      </c>
      <c r="E230">
        <f t="shared" si="34"/>
        <v>42.8</v>
      </c>
      <c r="F230">
        <f t="shared" ca="1" si="35"/>
        <v>38.239999999999995</v>
      </c>
      <c r="G230" s="1">
        <f t="shared" si="36"/>
        <v>1.8999999999999997</v>
      </c>
      <c r="H230" s="6">
        <f t="shared" ca="1" si="37"/>
        <v>1.5199999999999994</v>
      </c>
      <c r="I230" s="5">
        <f t="shared" ca="1" si="38"/>
        <v>0.38000000000000034</v>
      </c>
      <c r="J230" s="8">
        <f t="shared" ca="1" si="39"/>
        <v>1.8049999999999997</v>
      </c>
      <c r="K230" s="5">
        <f t="shared" ca="1" si="40"/>
        <v>9.4999999999999973E-2</v>
      </c>
      <c r="L230">
        <f t="shared" ca="1" si="41"/>
        <v>22063.786666666663</v>
      </c>
      <c r="M230">
        <f t="shared" ca="1" si="42"/>
        <v>22064</v>
      </c>
      <c r="N230" t="str">
        <f t="shared" ca="1" si="43"/>
        <v>0101011000110000</v>
      </c>
      <c r="O230">
        <f t="shared" ca="1" si="44"/>
        <v>10101100</v>
      </c>
    </row>
    <row r="231" spans="4:15" x14ac:dyDescent="0.25">
      <c r="D231">
        <v>229</v>
      </c>
      <c r="E231">
        <f t="shared" si="34"/>
        <v>42.900000000000006</v>
      </c>
      <c r="F231">
        <f t="shared" ca="1" si="35"/>
        <v>40.610000000000007</v>
      </c>
      <c r="G231" s="1">
        <f t="shared" si="36"/>
        <v>1.9083333333333334</v>
      </c>
      <c r="H231" s="6">
        <f t="shared" ca="1" si="37"/>
        <v>1.7175000000000005</v>
      </c>
      <c r="I231" s="5">
        <f t="shared" ca="1" si="38"/>
        <v>0.19083333333333297</v>
      </c>
      <c r="J231" s="8">
        <f t="shared" ca="1" si="39"/>
        <v>2.0037500000000001</v>
      </c>
      <c r="K231" s="5">
        <f t="shared" ca="1" si="40"/>
        <v>9.5416666666666705E-2</v>
      </c>
      <c r="L231">
        <f t="shared" ca="1" si="41"/>
        <v>24221.013333333336</v>
      </c>
      <c r="M231">
        <f t="shared" ca="1" si="42"/>
        <v>24221</v>
      </c>
      <c r="N231" t="str">
        <f t="shared" ca="1" si="43"/>
        <v>0101111010011101</v>
      </c>
      <c r="O231">
        <f t="shared" ca="1" si="44"/>
        <v>10111101</v>
      </c>
    </row>
    <row r="232" spans="4:15" x14ac:dyDescent="0.25">
      <c r="D232">
        <v>230</v>
      </c>
      <c r="E232">
        <f t="shared" si="34"/>
        <v>43</v>
      </c>
      <c r="F232">
        <f t="shared" ca="1" si="35"/>
        <v>49.9</v>
      </c>
      <c r="G232" s="1">
        <f t="shared" si="36"/>
        <v>1.9166666666666663</v>
      </c>
      <c r="H232" s="6">
        <f t="shared" ca="1" si="37"/>
        <v>2.4916666666666663</v>
      </c>
      <c r="I232" s="5">
        <f t="shared" ca="1" si="38"/>
        <v>0.57499999999999996</v>
      </c>
      <c r="J232" s="8">
        <f t="shared" ca="1" si="39"/>
        <v>2.0124999999999997</v>
      </c>
      <c r="K232" s="5">
        <f t="shared" ca="1" si="40"/>
        <v>9.5833333333333437E-2</v>
      </c>
      <c r="L232">
        <f t="shared" ca="1" si="41"/>
        <v>32676.977777777774</v>
      </c>
      <c r="M232">
        <f t="shared" ca="1" si="42"/>
        <v>32677</v>
      </c>
      <c r="N232" t="str">
        <f t="shared" ca="1" si="43"/>
        <v>0111111110100101</v>
      </c>
      <c r="O232">
        <f t="shared" ca="1" si="44"/>
        <v>11111111</v>
      </c>
    </row>
    <row r="233" spans="4:15" x14ac:dyDescent="0.25">
      <c r="D233">
        <v>231</v>
      </c>
      <c r="E233">
        <f t="shared" si="34"/>
        <v>43.1</v>
      </c>
      <c r="F233">
        <f t="shared" ca="1" si="35"/>
        <v>31.55</v>
      </c>
      <c r="G233" s="1">
        <f t="shared" si="36"/>
        <v>1.925</v>
      </c>
      <c r="H233" s="6">
        <f t="shared" ca="1" si="37"/>
        <v>0.96249999999999969</v>
      </c>
      <c r="I233" s="5">
        <f t="shared" ca="1" si="38"/>
        <v>0.96250000000000036</v>
      </c>
      <c r="J233" s="8">
        <f t="shared" ca="1" si="39"/>
        <v>2.0212500000000002</v>
      </c>
      <c r="K233" s="5">
        <f t="shared" ca="1" si="40"/>
        <v>9.6250000000000169E-2</v>
      </c>
      <c r="L233">
        <f t="shared" ca="1" si="41"/>
        <v>15974.399999999996</v>
      </c>
      <c r="M233">
        <f t="shared" ca="1" si="42"/>
        <v>15974</v>
      </c>
      <c r="N233" t="str">
        <f t="shared" ca="1" si="43"/>
        <v>0011111001100110</v>
      </c>
      <c r="O233">
        <f t="shared" ca="1" si="44"/>
        <v>1111100</v>
      </c>
    </row>
    <row r="234" spans="4:15" x14ac:dyDescent="0.25">
      <c r="D234">
        <v>232</v>
      </c>
      <c r="E234">
        <f t="shared" si="34"/>
        <v>43.2</v>
      </c>
      <c r="F234">
        <f t="shared" ca="1" si="35"/>
        <v>38.56</v>
      </c>
      <c r="G234" s="1">
        <f t="shared" si="36"/>
        <v>1.9333333333333333</v>
      </c>
      <c r="H234" s="6">
        <f t="shared" ca="1" si="37"/>
        <v>1.5466666666666666</v>
      </c>
      <c r="I234" s="5">
        <f t="shared" ca="1" si="38"/>
        <v>0.38666666666666671</v>
      </c>
      <c r="J234" s="8">
        <f t="shared" ca="1" si="39"/>
        <v>2.0300000000000002</v>
      </c>
      <c r="K234" s="5">
        <f t="shared" ca="1" si="40"/>
        <v>9.6666666666666901E-2</v>
      </c>
      <c r="L234">
        <f t="shared" ca="1" si="41"/>
        <v>22355.05777777778</v>
      </c>
      <c r="M234">
        <f t="shared" ca="1" si="42"/>
        <v>22355</v>
      </c>
      <c r="N234" t="str">
        <f t="shared" ca="1" si="43"/>
        <v>0101011101010011</v>
      </c>
      <c r="O234">
        <f t="shared" ca="1" si="44"/>
        <v>10101110</v>
      </c>
    </row>
    <row r="235" spans="4:15" x14ac:dyDescent="0.25">
      <c r="D235">
        <v>233</v>
      </c>
      <c r="E235">
        <f t="shared" si="34"/>
        <v>43.3</v>
      </c>
      <c r="F235">
        <f t="shared" ca="1" si="35"/>
        <v>47.959999999999994</v>
      </c>
      <c r="G235" s="1">
        <f t="shared" si="36"/>
        <v>1.9416666666666662</v>
      </c>
      <c r="H235" s="6">
        <f t="shared" ca="1" si="37"/>
        <v>2.3299999999999992</v>
      </c>
      <c r="I235" s="5">
        <f t="shared" ca="1" si="38"/>
        <v>0.38833333333333298</v>
      </c>
      <c r="J235" s="8">
        <f t="shared" ca="1" si="39"/>
        <v>2.0387499999999994</v>
      </c>
      <c r="K235" s="5">
        <f t="shared" ca="1" si="40"/>
        <v>9.7083333333333188E-2</v>
      </c>
      <c r="L235">
        <f t="shared" ca="1" si="41"/>
        <v>30911.146666666657</v>
      </c>
      <c r="M235">
        <f t="shared" ca="1" si="42"/>
        <v>30911</v>
      </c>
      <c r="N235" t="str">
        <f t="shared" ca="1" si="43"/>
        <v>0111100010111111</v>
      </c>
      <c r="O235">
        <f t="shared" ca="1" si="44"/>
        <v>11110001</v>
      </c>
    </row>
    <row r="236" spans="4:15" x14ac:dyDescent="0.25">
      <c r="D236">
        <v>234</v>
      </c>
      <c r="E236">
        <f t="shared" si="34"/>
        <v>43.400000000000006</v>
      </c>
      <c r="F236">
        <f t="shared" ca="1" si="35"/>
        <v>31.700000000000003</v>
      </c>
      <c r="G236" s="1">
        <f t="shared" si="36"/>
        <v>1.9500000000000004</v>
      </c>
      <c r="H236" s="6">
        <f t="shared" ca="1" si="37"/>
        <v>0.97499999999999987</v>
      </c>
      <c r="I236" s="5">
        <f t="shared" ca="1" si="38"/>
        <v>0.97500000000000053</v>
      </c>
      <c r="J236" s="8">
        <f t="shared" ca="1" si="39"/>
        <v>1.8525000000000003</v>
      </c>
      <c r="K236" s="5">
        <f t="shared" ca="1" si="40"/>
        <v>9.7500000000000142E-2</v>
      </c>
      <c r="L236">
        <f t="shared" ca="1" si="41"/>
        <v>16110.933333333332</v>
      </c>
      <c r="M236">
        <f t="shared" ca="1" si="42"/>
        <v>16111</v>
      </c>
      <c r="N236" t="str">
        <f t="shared" ca="1" si="43"/>
        <v>0011111011101111</v>
      </c>
      <c r="O236">
        <f t="shared" ca="1" si="44"/>
        <v>1111101</v>
      </c>
    </row>
    <row r="237" spans="4:15" x14ac:dyDescent="0.25">
      <c r="D237">
        <v>235</v>
      </c>
      <c r="E237">
        <f t="shared" si="34"/>
        <v>43.5</v>
      </c>
      <c r="F237">
        <f t="shared" ca="1" si="35"/>
        <v>48.2</v>
      </c>
      <c r="G237" s="1">
        <f t="shared" si="36"/>
        <v>1.9583333333333333</v>
      </c>
      <c r="H237" s="6">
        <f t="shared" ca="1" si="37"/>
        <v>2.3499999999999996</v>
      </c>
      <c r="I237" s="5">
        <f t="shared" ca="1" si="38"/>
        <v>0.39166666666666639</v>
      </c>
      <c r="J237" s="8">
        <f t="shared" ca="1" si="39"/>
        <v>1.8604166666666666</v>
      </c>
      <c r="K237" s="5">
        <f t="shared" ca="1" si="40"/>
        <v>9.7916666666666652E-2</v>
      </c>
      <c r="L237">
        <f t="shared" ca="1" si="41"/>
        <v>31129.599999999995</v>
      </c>
      <c r="M237">
        <f t="shared" ca="1" si="42"/>
        <v>31130</v>
      </c>
      <c r="N237" t="str">
        <f t="shared" ca="1" si="43"/>
        <v>0111100110011010</v>
      </c>
      <c r="O237">
        <f t="shared" ca="1" si="44"/>
        <v>11110011</v>
      </c>
    </row>
    <row r="238" spans="4:15" x14ac:dyDescent="0.25">
      <c r="D238">
        <v>236</v>
      </c>
      <c r="E238">
        <f t="shared" si="34"/>
        <v>43.6</v>
      </c>
      <c r="F238">
        <f t="shared" ca="1" si="35"/>
        <v>45.96</v>
      </c>
      <c r="G238" s="1">
        <f t="shared" si="36"/>
        <v>1.9666666666666666</v>
      </c>
      <c r="H238" s="6">
        <f t="shared" ca="1" si="37"/>
        <v>2.1633333333333331</v>
      </c>
      <c r="I238" s="5">
        <f t="shared" ca="1" si="38"/>
        <v>0.19666666666666655</v>
      </c>
      <c r="J238" s="8">
        <f t="shared" ca="1" si="39"/>
        <v>2.0649999999999999</v>
      </c>
      <c r="K238" s="5">
        <f t="shared" ca="1" si="40"/>
        <v>9.8333333333333384E-2</v>
      </c>
      <c r="L238">
        <f t="shared" ca="1" si="41"/>
        <v>29090.702222222219</v>
      </c>
      <c r="M238">
        <f t="shared" ca="1" si="42"/>
        <v>29091</v>
      </c>
      <c r="N238" t="str">
        <f t="shared" ca="1" si="43"/>
        <v>0111000110100011</v>
      </c>
      <c r="O238">
        <f t="shared" ca="1" si="44"/>
        <v>11100011</v>
      </c>
    </row>
    <row r="239" spans="4:15" x14ac:dyDescent="0.25">
      <c r="D239">
        <v>237</v>
      </c>
      <c r="E239">
        <f t="shared" si="34"/>
        <v>43.7</v>
      </c>
      <c r="F239">
        <f t="shared" ca="1" si="35"/>
        <v>53.180000000000007</v>
      </c>
      <c r="G239" s="1">
        <f t="shared" si="36"/>
        <v>1.9749999999999999</v>
      </c>
      <c r="H239" s="6">
        <f t="shared" ca="1" si="37"/>
        <v>2.7649999999999997</v>
      </c>
      <c r="I239" s="5">
        <f t="shared" ca="1" si="38"/>
        <v>0.78999999999999981</v>
      </c>
      <c r="J239" s="8">
        <f t="shared" ca="1" si="39"/>
        <v>2.07375</v>
      </c>
      <c r="K239" s="5">
        <f t="shared" ca="1" si="40"/>
        <v>9.8750000000000115E-2</v>
      </c>
      <c r="L239">
        <f t="shared" ca="1" si="41"/>
        <v>35662.506666666661</v>
      </c>
      <c r="M239">
        <f t="shared" ca="1" si="42"/>
        <v>35663</v>
      </c>
      <c r="N239" t="str">
        <f t="shared" ca="1" si="43"/>
        <v>1000101101001111</v>
      </c>
      <c r="O239">
        <f t="shared" ca="1" si="44"/>
        <v>100010110</v>
      </c>
    </row>
    <row r="240" spans="4:15" x14ac:dyDescent="0.25">
      <c r="D240">
        <v>238</v>
      </c>
      <c r="E240">
        <f t="shared" si="34"/>
        <v>43.8</v>
      </c>
      <c r="F240">
        <f t="shared" ca="1" si="35"/>
        <v>39.04</v>
      </c>
      <c r="G240" s="1">
        <f t="shared" si="36"/>
        <v>1.9833333333333327</v>
      </c>
      <c r="H240" s="6">
        <f t="shared" ca="1" si="37"/>
        <v>1.5866666666666662</v>
      </c>
      <c r="I240" s="5">
        <f t="shared" ca="1" si="38"/>
        <v>0.3966666666666665</v>
      </c>
      <c r="J240" s="8">
        <f t="shared" ca="1" si="39"/>
        <v>2.0824999999999996</v>
      </c>
      <c r="K240" s="5">
        <f t="shared" ca="1" si="40"/>
        <v>9.9166666666666847E-2</v>
      </c>
      <c r="L240">
        <f t="shared" ca="1" si="41"/>
        <v>22791.964444444438</v>
      </c>
      <c r="M240">
        <f t="shared" ca="1" si="42"/>
        <v>22792</v>
      </c>
      <c r="N240" t="str">
        <f t="shared" ca="1" si="43"/>
        <v>0101100100001000</v>
      </c>
      <c r="O240">
        <f t="shared" ca="1" si="44"/>
        <v>10110010</v>
      </c>
    </row>
    <row r="241" spans="4:15" x14ac:dyDescent="0.25">
      <c r="D241">
        <v>239</v>
      </c>
      <c r="E241">
        <f t="shared" si="34"/>
        <v>43.900000000000006</v>
      </c>
      <c r="F241">
        <f t="shared" ca="1" si="35"/>
        <v>34.340000000000003</v>
      </c>
      <c r="G241" s="1">
        <f t="shared" si="36"/>
        <v>1.9916666666666669</v>
      </c>
      <c r="H241" s="6">
        <f t="shared" ca="1" si="37"/>
        <v>1.1950000000000001</v>
      </c>
      <c r="I241" s="5">
        <f t="shared" ca="1" si="38"/>
        <v>0.79666666666666686</v>
      </c>
      <c r="J241" s="8">
        <f t="shared" ca="1" si="39"/>
        <v>1.8920833333333336</v>
      </c>
      <c r="K241" s="5">
        <f t="shared" ca="1" si="40"/>
        <v>9.9583333333333357E-2</v>
      </c>
      <c r="L241">
        <f t="shared" ca="1" si="41"/>
        <v>18513.920000000002</v>
      </c>
      <c r="M241">
        <f t="shared" ca="1" si="42"/>
        <v>18514</v>
      </c>
      <c r="N241" t="str">
        <f t="shared" ca="1" si="43"/>
        <v>0100100001010010</v>
      </c>
      <c r="O241">
        <f t="shared" ca="1" si="44"/>
        <v>10010000</v>
      </c>
    </row>
    <row r="242" spans="4:15" x14ac:dyDescent="0.25">
      <c r="D242">
        <v>240</v>
      </c>
      <c r="E242">
        <f t="shared" si="34"/>
        <v>44</v>
      </c>
      <c r="F242">
        <f t="shared" ca="1" si="35"/>
        <v>39.200000000000003</v>
      </c>
      <c r="G242" s="1">
        <f t="shared" si="36"/>
        <v>1.9999999999999998</v>
      </c>
      <c r="H242" s="6">
        <f t="shared" ca="1" si="37"/>
        <v>1.5999999999999999</v>
      </c>
      <c r="I242" s="5">
        <f t="shared" ca="1" si="38"/>
        <v>0.39999999999999991</v>
      </c>
      <c r="J242" s="8">
        <f t="shared" ca="1" si="39"/>
        <v>1.8999999999999997</v>
      </c>
      <c r="K242" s="5">
        <f t="shared" ca="1" si="40"/>
        <v>0.10000000000000009</v>
      </c>
      <c r="L242">
        <f t="shared" ca="1" si="41"/>
        <v>22937.599999999995</v>
      </c>
      <c r="M242">
        <f t="shared" ca="1" si="42"/>
        <v>22938</v>
      </c>
      <c r="N242" t="str">
        <f t="shared" ca="1" si="43"/>
        <v>0101100110011010</v>
      </c>
      <c r="O242">
        <f t="shared" ca="1" si="44"/>
        <v>10110011</v>
      </c>
    </row>
    <row r="243" spans="4:15" x14ac:dyDescent="0.25">
      <c r="D243">
        <v>241</v>
      </c>
      <c r="E243">
        <f t="shared" si="34"/>
        <v>44.1</v>
      </c>
      <c r="F243">
        <f t="shared" ca="1" si="35"/>
        <v>53.74</v>
      </c>
      <c r="G243" s="1">
        <f t="shared" si="36"/>
        <v>2.0083333333333329</v>
      </c>
      <c r="H243" s="6">
        <f t="shared" ca="1" si="37"/>
        <v>2.8116666666666665</v>
      </c>
      <c r="I243" s="5">
        <f t="shared" ca="1" si="38"/>
        <v>0.80333333333333368</v>
      </c>
      <c r="J243" s="8">
        <f t="shared" ca="1" si="39"/>
        <v>1.907916666666666</v>
      </c>
      <c r="K243" s="5">
        <f t="shared" ca="1" si="40"/>
        <v>0.10041666666666682</v>
      </c>
      <c r="L243">
        <f t="shared" ca="1" si="41"/>
        <v>36172.231111111112</v>
      </c>
      <c r="M243">
        <f t="shared" ca="1" si="42"/>
        <v>36172</v>
      </c>
      <c r="N243" t="str">
        <f t="shared" ca="1" si="43"/>
        <v>1000110101001100</v>
      </c>
      <c r="O243">
        <f t="shared" ca="1" si="44"/>
        <v>100011010</v>
      </c>
    </row>
    <row r="244" spans="4:15" x14ac:dyDescent="0.25">
      <c r="D244">
        <v>242</v>
      </c>
      <c r="E244">
        <f t="shared" si="34"/>
        <v>44.2</v>
      </c>
      <c r="F244">
        <f t="shared" ca="1" si="35"/>
        <v>51.46</v>
      </c>
      <c r="G244" s="1">
        <f t="shared" si="36"/>
        <v>2.0166666666666666</v>
      </c>
      <c r="H244" s="6">
        <f t="shared" ca="1" si="37"/>
        <v>2.6216666666666661</v>
      </c>
      <c r="I244" s="5">
        <f t="shared" ca="1" si="38"/>
        <v>0.60499999999999954</v>
      </c>
      <c r="J244" s="8">
        <f t="shared" ca="1" si="39"/>
        <v>1.9158333333333333</v>
      </c>
      <c r="K244" s="5">
        <f t="shared" ca="1" si="40"/>
        <v>0.10083333333333333</v>
      </c>
      <c r="L244">
        <f t="shared" ca="1" si="41"/>
        <v>34096.924444444441</v>
      </c>
      <c r="M244">
        <f t="shared" ca="1" si="42"/>
        <v>34097</v>
      </c>
      <c r="N244" t="str">
        <f t="shared" ca="1" si="43"/>
        <v>1000010100110001</v>
      </c>
      <c r="O244">
        <f t="shared" ca="1" si="44"/>
        <v>100001010</v>
      </c>
    </row>
    <row r="245" spans="4:15" x14ac:dyDescent="0.25">
      <c r="D245">
        <v>243</v>
      </c>
      <c r="E245">
        <f t="shared" si="34"/>
        <v>44.3</v>
      </c>
      <c r="F245">
        <f t="shared" ca="1" si="35"/>
        <v>56.449999999999996</v>
      </c>
      <c r="G245" s="1">
        <f t="shared" si="36"/>
        <v>2.0249999999999995</v>
      </c>
      <c r="H245" s="6">
        <f t="shared" ca="1" si="37"/>
        <v>3.0374999999999988</v>
      </c>
      <c r="I245" s="5">
        <f t="shared" ca="1" si="38"/>
        <v>1.0124999999999993</v>
      </c>
      <c r="J245" s="8">
        <f t="shared" ca="1" si="39"/>
        <v>1.9237499999999994</v>
      </c>
      <c r="K245" s="5">
        <f t="shared" ca="1" si="40"/>
        <v>0.10125000000000006</v>
      </c>
      <c r="L245">
        <f t="shared" ca="1" si="41"/>
        <v>38638.93333333332</v>
      </c>
      <c r="M245">
        <f t="shared" ca="1" si="42"/>
        <v>38639</v>
      </c>
      <c r="N245" t="str">
        <f t="shared" ca="1" si="43"/>
        <v>1001011011101111</v>
      </c>
      <c r="O245">
        <f t="shared" ca="1" si="44"/>
        <v>100101101</v>
      </c>
    </row>
    <row r="246" spans="4:15" x14ac:dyDescent="0.25">
      <c r="D246">
        <v>244</v>
      </c>
      <c r="E246">
        <f t="shared" si="34"/>
        <v>44.400000000000006</v>
      </c>
      <c r="F246">
        <f t="shared" ca="1" si="35"/>
        <v>44.400000000000006</v>
      </c>
      <c r="G246" s="1">
        <f t="shared" si="36"/>
        <v>2.0333333333333332</v>
      </c>
      <c r="H246" s="6">
        <f t="shared" ca="1" si="37"/>
        <v>2.0333333333333332</v>
      </c>
      <c r="I246" s="5">
        <f t="shared" ca="1" si="38"/>
        <v>0</v>
      </c>
      <c r="J246" s="8">
        <f t="shared" ca="1" si="39"/>
        <v>1.9316666666666664</v>
      </c>
      <c r="K246" s="5">
        <f t="shared" ca="1" si="40"/>
        <v>0.10166666666666679</v>
      </c>
      <c r="L246">
        <f t="shared" ca="1" si="41"/>
        <v>27670.755555555555</v>
      </c>
      <c r="M246">
        <f t="shared" ca="1" si="42"/>
        <v>27671</v>
      </c>
      <c r="N246" t="str">
        <f t="shared" ca="1" si="43"/>
        <v>0110110000010111</v>
      </c>
      <c r="O246">
        <f t="shared" ca="1" si="44"/>
        <v>11011000</v>
      </c>
    </row>
    <row r="247" spans="4:15" x14ac:dyDescent="0.25">
      <c r="D247">
        <v>245</v>
      </c>
      <c r="E247">
        <f t="shared" si="34"/>
        <v>44.5</v>
      </c>
      <c r="F247">
        <f t="shared" ca="1" si="35"/>
        <v>56.75</v>
      </c>
      <c r="G247" s="1">
        <f t="shared" si="36"/>
        <v>2.0416666666666661</v>
      </c>
      <c r="H247" s="6">
        <f t="shared" ca="1" si="37"/>
        <v>3.0624999999999991</v>
      </c>
      <c r="I247" s="5">
        <f t="shared" ca="1" si="38"/>
        <v>1.020833333333333</v>
      </c>
      <c r="J247" s="8">
        <f t="shared" ca="1" si="39"/>
        <v>2.1437499999999994</v>
      </c>
      <c r="K247" s="5">
        <f t="shared" ca="1" si="40"/>
        <v>0.1020833333333333</v>
      </c>
      <c r="L247">
        <f t="shared" ca="1" si="41"/>
        <v>38911.999999999993</v>
      </c>
      <c r="M247">
        <f t="shared" ca="1" si="42"/>
        <v>38912</v>
      </c>
      <c r="N247" t="str">
        <f t="shared" ca="1" si="43"/>
        <v>1001100000000000</v>
      </c>
      <c r="O247">
        <f t="shared" ca="1" si="44"/>
        <v>100110000</v>
      </c>
    </row>
    <row r="248" spans="4:15" x14ac:dyDescent="0.25">
      <c r="D248">
        <v>246</v>
      </c>
      <c r="E248">
        <f t="shared" si="34"/>
        <v>44.6</v>
      </c>
      <c r="F248">
        <f t="shared" ca="1" si="35"/>
        <v>42.14</v>
      </c>
      <c r="G248" s="1">
        <f t="shared" si="36"/>
        <v>2.0499999999999998</v>
      </c>
      <c r="H248" s="6">
        <f t="shared" ca="1" si="37"/>
        <v>1.845</v>
      </c>
      <c r="I248" s="5">
        <f t="shared" ca="1" si="38"/>
        <v>0.20499999999999985</v>
      </c>
      <c r="J248" s="8">
        <f t="shared" ca="1" si="39"/>
        <v>2.1524999999999999</v>
      </c>
      <c r="K248" s="5">
        <f t="shared" ca="1" si="40"/>
        <v>0.10250000000000004</v>
      </c>
      <c r="L248">
        <f t="shared" ca="1" si="41"/>
        <v>25613.653333333332</v>
      </c>
      <c r="M248">
        <f t="shared" ca="1" si="42"/>
        <v>25614</v>
      </c>
      <c r="N248" t="str">
        <f t="shared" ca="1" si="43"/>
        <v>0110010000001110</v>
      </c>
      <c r="O248">
        <f t="shared" ca="1" si="44"/>
        <v>11001000</v>
      </c>
    </row>
    <row r="249" spans="4:15" x14ac:dyDescent="0.25">
      <c r="D249">
        <v>247</v>
      </c>
      <c r="E249">
        <f t="shared" si="34"/>
        <v>44.7</v>
      </c>
      <c r="F249">
        <f t="shared" ca="1" si="35"/>
        <v>39.760000000000005</v>
      </c>
      <c r="G249" s="1">
        <f t="shared" si="36"/>
        <v>2.0583333333333336</v>
      </c>
      <c r="H249" s="6">
        <f t="shared" ca="1" si="37"/>
        <v>1.6466666666666667</v>
      </c>
      <c r="I249" s="5">
        <f t="shared" ca="1" si="38"/>
        <v>0.41166666666666685</v>
      </c>
      <c r="J249" s="8">
        <f t="shared" ca="1" si="39"/>
        <v>2.1612500000000003</v>
      </c>
      <c r="K249" s="5">
        <f t="shared" ca="1" si="40"/>
        <v>0.10291666666666677</v>
      </c>
      <c r="L249">
        <f t="shared" ca="1" si="41"/>
        <v>23447.324444444443</v>
      </c>
      <c r="M249">
        <f t="shared" ca="1" si="42"/>
        <v>23447</v>
      </c>
      <c r="N249" t="str">
        <f t="shared" ca="1" si="43"/>
        <v>0101101110010111</v>
      </c>
      <c r="O249">
        <f t="shared" ca="1" si="44"/>
        <v>10110111</v>
      </c>
    </row>
    <row r="250" spans="4:15" x14ac:dyDescent="0.25">
      <c r="D250">
        <v>248</v>
      </c>
      <c r="E250">
        <f t="shared" si="34"/>
        <v>44.8</v>
      </c>
      <c r="F250">
        <f t="shared" ca="1" si="35"/>
        <v>47.279999999999994</v>
      </c>
      <c r="G250" s="1">
        <f t="shared" si="36"/>
        <v>2.0666666666666664</v>
      </c>
      <c r="H250" s="6">
        <f t="shared" ca="1" si="37"/>
        <v>2.2733333333333325</v>
      </c>
      <c r="I250" s="5">
        <f t="shared" ca="1" si="38"/>
        <v>0.20666666666666611</v>
      </c>
      <c r="J250" s="8">
        <f t="shared" ca="1" si="39"/>
        <v>2.17</v>
      </c>
      <c r="K250" s="5">
        <f t="shared" ca="1" si="40"/>
        <v>0.1033333333333335</v>
      </c>
      <c r="L250">
        <f t="shared" ca="1" si="41"/>
        <v>30292.195555555547</v>
      </c>
      <c r="M250">
        <f t="shared" ca="1" si="42"/>
        <v>30292</v>
      </c>
      <c r="N250" t="str">
        <f t="shared" ca="1" si="43"/>
        <v>0111011001010100</v>
      </c>
      <c r="O250">
        <f t="shared" ca="1" si="44"/>
        <v>11101100</v>
      </c>
    </row>
    <row r="251" spans="4:15" x14ac:dyDescent="0.25">
      <c r="D251">
        <v>249</v>
      </c>
      <c r="E251">
        <f t="shared" si="34"/>
        <v>44.900000000000006</v>
      </c>
      <c r="F251">
        <f t="shared" ca="1" si="35"/>
        <v>57.350000000000009</v>
      </c>
      <c r="G251" s="1">
        <f t="shared" si="36"/>
        <v>2.0750000000000002</v>
      </c>
      <c r="H251" s="6">
        <f t="shared" ca="1" si="37"/>
        <v>3.1124999999999998</v>
      </c>
      <c r="I251" s="5">
        <f t="shared" ca="1" si="38"/>
        <v>1.0374999999999996</v>
      </c>
      <c r="J251" s="8">
        <f t="shared" ca="1" si="39"/>
        <v>1.9712500000000002</v>
      </c>
      <c r="K251" s="5">
        <f t="shared" ca="1" si="40"/>
        <v>0.10375000000000001</v>
      </c>
      <c r="L251">
        <f t="shared" ca="1" si="41"/>
        <v>39458.133333333331</v>
      </c>
      <c r="M251">
        <f t="shared" ca="1" si="42"/>
        <v>39458</v>
      </c>
      <c r="N251" t="str">
        <f t="shared" ca="1" si="43"/>
        <v>1001101000100010</v>
      </c>
      <c r="O251">
        <f t="shared" ca="1" si="44"/>
        <v>100110100</v>
      </c>
    </row>
    <row r="252" spans="4:15" x14ac:dyDescent="0.25">
      <c r="D252">
        <v>250</v>
      </c>
      <c r="E252">
        <f t="shared" si="34"/>
        <v>45</v>
      </c>
      <c r="F252">
        <f t="shared" ca="1" si="35"/>
        <v>57.5</v>
      </c>
      <c r="G252" s="1">
        <f t="shared" si="36"/>
        <v>2.083333333333333</v>
      </c>
      <c r="H252" s="6">
        <f t="shared" ca="1" si="37"/>
        <v>3.1249999999999991</v>
      </c>
      <c r="I252" s="5">
        <f t="shared" ca="1" si="38"/>
        <v>1.0416666666666661</v>
      </c>
      <c r="J252" s="8">
        <f t="shared" ca="1" si="39"/>
        <v>2.1875</v>
      </c>
      <c r="K252" s="5">
        <f t="shared" ca="1" si="40"/>
        <v>0.10416666666666696</v>
      </c>
      <c r="L252">
        <f t="shared" ca="1" si="41"/>
        <v>39594.666666666657</v>
      </c>
      <c r="M252">
        <f t="shared" ca="1" si="42"/>
        <v>39595</v>
      </c>
      <c r="N252" t="str">
        <f t="shared" ca="1" si="43"/>
        <v>1001101010101011</v>
      </c>
      <c r="O252">
        <f t="shared" ca="1" si="44"/>
        <v>100110101</v>
      </c>
    </row>
    <row r="253" spans="4:15" x14ac:dyDescent="0.25">
      <c r="D253">
        <v>251</v>
      </c>
      <c r="E253">
        <f t="shared" si="34"/>
        <v>45.1</v>
      </c>
      <c r="F253">
        <f t="shared" ca="1" si="35"/>
        <v>50.120000000000005</v>
      </c>
      <c r="G253" s="1">
        <f t="shared" si="36"/>
        <v>2.0916666666666668</v>
      </c>
      <c r="H253" s="6">
        <f t="shared" ca="1" si="37"/>
        <v>2.5099999999999998</v>
      </c>
      <c r="I253" s="5">
        <f t="shared" ca="1" si="38"/>
        <v>0.418333333333333</v>
      </c>
      <c r="J253" s="8">
        <f t="shared" ca="1" si="39"/>
        <v>2.19625</v>
      </c>
      <c r="K253" s="5">
        <f t="shared" ca="1" si="40"/>
        <v>0.10458333333333325</v>
      </c>
      <c r="L253">
        <f t="shared" ca="1" si="41"/>
        <v>32877.226666666662</v>
      </c>
      <c r="M253">
        <f t="shared" ca="1" si="42"/>
        <v>32877</v>
      </c>
      <c r="N253" t="str">
        <f t="shared" ca="1" si="43"/>
        <v>1000000001101101</v>
      </c>
      <c r="O253">
        <f t="shared" ca="1" si="44"/>
        <v>100000000</v>
      </c>
    </row>
    <row r="254" spans="4:15" x14ac:dyDescent="0.25">
      <c r="D254">
        <v>252</v>
      </c>
      <c r="E254">
        <f t="shared" si="34"/>
        <v>45.2</v>
      </c>
      <c r="F254">
        <f t="shared" ca="1" si="35"/>
        <v>57.800000000000004</v>
      </c>
      <c r="G254" s="1">
        <f t="shared" si="36"/>
        <v>2.0999999999999996</v>
      </c>
      <c r="H254" s="6">
        <f t="shared" ca="1" si="37"/>
        <v>3.1499999999999995</v>
      </c>
      <c r="I254" s="5">
        <f t="shared" ca="1" si="38"/>
        <v>1.0499999999999998</v>
      </c>
      <c r="J254" s="8">
        <f t="shared" ca="1" si="39"/>
        <v>2.2049999999999996</v>
      </c>
      <c r="K254" s="5">
        <f t="shared" ca="1" si="40"/>
        <v>0.10499999999999998</v>
      </c>
      <c r="L254">
        <f t="shared" ca="1" si="41"/>
        <v>39867.73333333333</v>
      </c>
      <c r="M254">
        <f t="shared" ca="1" si="42"/>
        <v>39868</v>
      </c>
      <c r="N254" t="str">
        <f t="shared" ca="1" si="43"/>
        <v>1001101110111100</v>
      </c>
      <c r="O254">
        <f t="shared" ca="1" si="44"/>
        <v>100110111</v>
      </c>
    </row>
    <row r="255" spans="4:15" x14ac:dyDescent="0.25">
      <c r="D255">
        <v>253</v>
      </c>
      <c r="E255">
        <f t="shared" si="34"/>
        <v>45.3</v>
      </c>
      <c r="F255">
        <f t="shared" ca="1" si="35"/>
        <v>50.36</v>
      </c>
      <c r="G255" s="1">
        <f t="shared" si="36"/>
        <v>2.1083333333333325</v>
      </c>
      <c r="H255" s="6">
        <f t="shared" ca="1" si="37"/>
        <v>2.5299999999999994</v>
      </c>
      <c r="I255" s="5">
        <f t="shared" ca="1" si="38"/>
        <v>0.42166666666666686</v>
      </c>
      <c r="J255" s="8">
        <f t="shared" ca="1" si="39"/>
        <v>2.2137499999999992</v>
      </c>
      <c r="K255" s="5">
        <f t="shared" ca="1" si="40"/>
        <v>0.10541666666666671</v>
      </c>
      <c r="L255">
        <f t="shared" ca="1" si="41"/>
        <v>33095.679999999993</v>
      </c>
      <c r="M255">
        <f t="shared" ca="1" si="42"/>
        <v>33096</v>
      </c>
      <c r="N255" t="str">
        <f t="shared" ca="1" si="43"/>
        <v>1000000101001000</v>
      </c>
      <c r="O255">
        <f t="shared" ca="1" si="44"/>
        <v>100000010</v>
      </c>
    </row>
    <row r="256" spans="4:15" x14ac:dyDescent="0.25">
      <c r="D256">
        <v>254</v>
      </c>
      <c r="E256">
        <f t="shared" si="34"/>
        <v>45.400000000000006</v>
      </c>
      <c r="F256">
        <f t="shared" ca="1" si="35"/>
        <v>40.320000000000007</v>
      </c>
      <c r="G256" s="1">
        <f t="shared" si="36"/>
        <v>2.1166666666666671</v>
      </c>
      <c r="H256" s="6">
        <f t="shared" ca="1" si="37"/>
        <v>1.6933333333333336</v>
      </c>
      <c r="I256" s="5">
        <f t="shared" ca="1" si="38"/>
        <v>0.42333333333333356</v>
      </c>
      <c r="J256" s="8">
        <f t="shared" ca="1" si="39"/>
        <v>2.2225000000000006</v>
      </c>
      <c r="K256" s="5">
        <f t="shared" ca="1" si="40"/>
        <v>0.10583333333333345</v>
      </c>
      <c r="L256">
        <f t="shared" ca="1" si="41"/>
        <v>23957.04888888889</v>
      </c>
      <c r="M256">
        <f t="shared" ca="1" si="42"/>
        <v>23957</v>
      </c>
      <c r="N256" t="str">
        <f t="shared" ca="1" si="43"/>
        <v>0101110110010101</v>
      </c>
      <c r="O256">
        <f t="shared" ca="1" si="44"/>
        <v>10111011</v>
      </c>
    </row>
    <row r="257" spans="4:15" x14ac:dyDescent="0.25">
      <c r="D257">
        <v>255</v>
      </c>
      <c r="E257">
        <f t="shared" si="34"/>
        <v>45.5</v>
      </c>
      <c r="F257">
        <f t="shared" ca="1" si="35"/>
        <v>53.15</v>
      </c>
      <c r="G257" s="1">
        <f t="shared" si="36"/>
        <v>2.125</v>
      </c>
      <c r="H257" s="6">
        <f t="shared" ca="1" si="37"/>
        <v>2.7624999999999993</v>
      </c>
      <c r="I257" s="5">
        <f t="shared" ca="1" si="38"/>
        <v>0.63749999999999929</v>
      </c>
      <c r="J257" s="8">
        <f t="shared" ca="1" si="39"/>
        <v>2.0187499999999998</v>
      </c>
      <c r="K257" s="5">
        <f t="shared" ca="1" si="40"/>
        <v>0.10625000000000018</v>
      </c>
      <c r="L257">
        <f t="shared" ca="1" si="41"/>
        <v>35635.19999999999</v>
      </c>
      <c r="M257">
        <f t="shared" ca="1" si="42"/>
        <v>35635</v>
      </c>
      <c r="N257" t="str">
        <f t="shared" ca="1" si="43"/>
        <v>1000101100110011</v>
      </c>
      <c r="O257">
        <f t="shared" ca="1" si="44"/>
        <v>100010110</v>
      </c>
    </row>
    <row r="258" spans="4:15" x14ac:dyDescent="0.25">
      <c r="D258">
        <v>256</v>
      </c>
      <c r="E258">
        <f t="shared" si="34"/>
        <v>45.6</v>
      </c>
      <c r="F258">
        <f t="shared" ca="1" si="35"/>
        <v>37.92</v>
      </c>
      <c r="G258" s="1">
        <f t="shared" si="36"/>
        <v>2.1333333333333329</v>
      </c>
      <c r="H258" s="6">
        <f t="shared" ca="1" si="37"/>
        <v>1.4933333333333334</v>
      </c>
      <c r="I258" s="5">
        <f t="shared" ca="1" si="38"/>
        <v>0.63999999999999946</v>
      </c>
      <c r="J258" s="8">
        <f t="shared" ca="1" si="39"/>
        <v>2.2399999999999998</v>
      </c>
      <c r="K258" s="5">
        <f t="shared" ca="1" si="40"/>
        <v>0.10666666666666691</v>
      </c>
      <c r="L258">
        <f t="shared" ca="1" si="41"/>
        <v>21772.515555555558</v>
      </c>
      <c r="M258">
        <f t="shared" ca="1" si="42"/>
        <v>21773</v>
      </c>
      <c r="N258" t="str">
        <f t="shared" ca="1" si="43"/>
        <v>0101010100001101</v>
      </c>
      <c r="O258">
        <f t="shared" ca="1" si="44"/>
        <v>10101010</v>
      </c>
    </row>
    <row r="259" spans="4:15" x14ac:dyDescent="0.25">
      <c r="D259">
        <v>257</v>
      </c>
      <c r="E259">
        <f t="shared" ref="E259:E322" si="45">0.1*D259+20</f>
        <v>45.7</v>
      </c>
      <c r="F259">
        <f t="shared" ref="F259:F322" ca="1" si="46">0.1*D259+20 + (RANDBETWEEN(-5,5)/100)*D259</f>
        <v>43.13</v>
      </c>
      <c r="G259" s="1">
        <f t="shared" ref="G259:G322" si="47">1/12*E259-5/3</f>
        <v>2.1416666666666666</v>
      </c>
      <c r="H259" s="6">
        <f t="shared" ref="H259:H322" ca="1" si="48">1/12*F259-5/3</f>
        <v>1.9275</v>
      </c>
      <c r="I259" s="5">
        <f t="shared" ref="I259:I322" ca="1" si="49">ABS(G259-H259)</f>
        <v>0.21416666666666662</v>
      </c>
      <c r="J259" s="8">
        <f t="shared" ref="J259:J322" ca="1" si="50" xml:space="preserve"> G259 * (1 + $B$1 * IF(RANDBETWEEN(0,1)=0,-1,1))</f>
        <v>2.034583333333333</v>
      </c>
      <c r="K259" s="5">
        <f t="shared" ref="K259:K322" ca="1" si="51">ABS(G259-J259)</f>
        <v>0.10708333333333364</v>
      </c>
      <c r="L259">
        <f t="shared" ref="L259:L322" ca="1" si="52">(H259-$B$2)/($B$3-$B$2)*(2^$B$4)</f>
        <v>26514.773333333334</v>
      </c>
      <c r="M259">
        <f t="shared" ref="M259:M322" ca="1" si="53">ROUND(L259,0)</f>
        <v>26515</v>
      </c>
      <c r="N259" t="str">
        <f t="shared" ref="N259:N322" ca="1" si="54">_xlfn.BASE(M259,2,$B$4)</f>
        <v>0110011110010011</v>
      </c>
      <c r="O259">
        <f t="shared" ref="O259:O322" ca="1" si="55">VALUE(LEFT(N259,9))</f>
        <v>11001111</v>
      </c>
    </row>
    <row r="260" spans="4:15" x14ac:dyDescent="0.25">
      <c r="D260">
        <v>258</v>
      </c>
      <c r="E260">
        <f t="shared" si="45"/>
        <v>45.8</v>
      </c>
      <c r="F260">
        <f t="shared" ca="1" si="46"/>
        <v>50.959999999999994</v>
      </c>
      <c r="G260" s="1">
        <f t="shared" si="47"/>
        <v>2.1499999999999995</v>
      </c>
      <c r="H260" s="6">
        <f t="shared" ca="1" si="48"/>
        <v>2.5799999999999992</v>
      </c>
      <c r="I260" s="5">
        <f t="shared" ca="1" si="49"/>
        <v>0.42999999999999972</v>
      </c>
      <c r="J260" s="8">
        <f t="shared" ca="1" si="50"/>
        <v>2.2574999999999994</v>
      </c>
      <c r="K260" s="5">
        <f t="shared" ca="1" si="51"/>
        <v>0.10749999999999993</v>
      </c>
      <c r="L260">
        <f t="shared" ca="1" si="52"/>
        <v>33641.813333333324</v>
      </c>
      <c r="M260">
        <f t="shared" ca="1" si="53"/>
        <v>33642</v>
      </c>
      <c r="N260" t="str">
        <f t="shared" ca="1" si="54"/>
        <v>1000001101101010</v>
      </c>
      <c r="O260">
        <f t="shared" ca="1" si="55"/>
        <v>100000110</v>
      </c>
    </row>
    <row r="261" spans="4:15" x14ac:dyDescent="0.25">
      <c r="D261">
        <v>259</v>
      </c>
      <c r="E261">
        <f t="shared" si="45"/>
        <v>45.900000000000006</v>
      </c>
      <c r="F261">
        <f t="shared" ca="1" si="46"/>
        <v>38.13000000000001</v>
      </c>
      <c r="G261" s="1">
        <f t="shared" si="47"/>
        <v>2.1583333333333332</v>
      </c>
      <c r="H261" s="6">
        <f t="shared" ca="1" si="48"/>
        <v>1.5108333333333339</v>
      </c>
      <c r="I261" s="5">
        <f t="shared" ca="1" si="49"/>
        <v>0.6474999999999993</v>
      </c>
      <c r="J261" s="8">
        <f t="shared" ca="1" si="50"/>
        <v>2.0504166666666666</v>
      </c>
      <c r="K261" s="5">
        <f t="shared" ca="1" si="51"/>
        <v>0.10791666666666666</v>
      </c>
      <c r="L261">
        <f t="shared" ca="1" si="52"/>
        <v>21963.662222222232</v>
      </c>
      <c r="M261">
        <f t="shared" ca="1" si="53"/>
        <v>21964</v>
      </c>
      <c r="N261" t="str">
        <f t="shared" ca="1" si="54"/>
        <v>0101010111001100</v>
      </c>
      <c r="O261">
        <f t="shared" ca="1" si="55"/>
        <v>10101011</v>
      </c>
    </row>
    <row r="262" spans="4:15" x14ac:dyDescent="0.25">
      <c r="D262">
        <v>260</v>
      </c>
      <c r="E262">
        <f t="shared" si="45"/>
        <v>46</v>
      </c>
      <c r="F262">
        <f t="shared" ca="1" si="46"/>
        <v>46</v>
      </c>
      <c r="G262" s="1">
        <f t="shared" si="47"/>
        <v>2.1666666666666661</v>
      </c>
      <c r="H262" s="6">
        <f t="shared" ca="1" si="48"/>
        <v>2.1666666666666661</v>
      </c>
      <c r="I262" s="5">
        <f t="shared" ca="1" si="49"/>
        <v>0</v>
      </c>
      <c r="J262" s="8">
        <f t="shared" ca="1" si="50"/>
        <v>2.0583333333333327</v>
      </c>
      <c r="K262" s="5">
        <f t="shared" ca="1" si="51"/>
        <v>0.10833333333333339</v>
      </c>
      <c r="L262">
        <f t="shared" ca="1" si="52"/>
        <v>29127.111111111106</v>
      </c>
      <c r="M262">
        <f t="shared" ca="1" si="53"/>
        <v>29127</v>
      </c>
      <c r="N262" t="str">
        <f t="shared" ca="1" si="54"/>
        <v>0111000111000111</v>
      </c>
      <c r="O262">
        <f t="shared" ca="1" si="55"/>
        <v>11100011</v>
      </c>
    </row>
    <row r="263" spans="4:15" x14ac:dyDescent="0.25">
      <c r="D263">
        <v>261</v>
      </c>
      <c r="E263">
        <f t="shared" si="45"/>
        <v>46.1</v>
      </c>
      <c r="F263">
        <f t="shared" ca="1" si="46"/>
        <v>46.1</v>
      </c>
      <c r="G263" s="1">
        <f t="shared" si="47"/>
        <v>2.1749999999999998</v>
      </c>
      <c r="H263" s="6">
        <f t="shared" ca="1" si="48"/>
        <v>2.1749999999999998</v>
      </c>
      <c r="I263" s="5">
        <f t="shared" ca="1" si="49"/>
        <v>0</v>
      </c>
      <c r="J263" s="8">
        <f t="shared" ca="1" si="50"/>
        <v>2.2837499999999999</v>
      </c>
      <c r="K263" s="5">
        <f t="shared" ca="1" si="51"/>
        <v>0.10875000000000012</v>
      </c>
      <c r="L263">
        <f t="shared" ca="1" si="52"/>
        <v>29218.133333333331</v>
      </c>
      <c r="M263">
        <f t="shared" ca="1" si="53"/>
        <v>29218</v>
      </c>
      <c r="N263" t="str">
        <f t="shared" ca="1" si="54"/>
        <v>0111001000100010</v>
      </c>
      <c r="O263">
        <f t="shared" ca="1" si="55"/>
        <v>11100100</v>
      </c>
    </row>
    <row r="264" spans="4:15" x14ac:dyDescent="0.25">
      <c r="D264">
        <v>262</v>
      </c>
      <c r="E264">
        <f t="shared" si="45"/>
        <v>46.2</v>
      </c>
      <c r="F264">
        <f t="shared" ca="1" si="46"/>
        <v>40.96</v>
      </c>
      <c r="G264" s="1">
        <f t="shared" si="47"/>
        <v>2.1833333333333336</v>
      </c>
      <c r="H264" s="6">
        <f t="shared" ca="1" si="48"/>
        <v>1.7466666666666664</v>
      </c>
      <c r="I264" s="5">
        <f t="shared" ca="1" si="49"/>
        <v>0.4366666666666672</v>
      </c>
      <c r="J264" s="8">
        <f t="shared" ca="1" si="50"/>
        <v>2.2925000000000004</v>
      </c>
      <c r="K264" s="5">
        <f t="shared" ca="1" si="51"/>
        <v>0.10916666666666686</v>
      </c>
      <c r="L264">
        <f t="shared" ca="1" si="52"/>
        <v>24539.591111111105</v>
      </c>
      <c r="M264">
        <f t="shared" ca="1" si="53"/>
        <v>24540</v>
      </c>
      <c r="N264" t="str">
        <f t="shared" ca="1" si="54"/>
        <v>0101111111011100</v>
      </c>
      <c r="O264">
        <f t="shared" ca="1" si="55"/>
        <v>10111111</v>
      </c>
    </row>
    <row r="265" spans="4:15" x14ac:dyDescent="0.25">
      <c r="D265">
        <v>263</v>
      </c>
      <c r="E265">
        <f t="shared" si="45"/>
        <v>46.3</v>
      </c>
      <c r="F265">
        <f t="shared" ca="1" si="46"/>
        <v>46.3</v>
      </c>
      <c r="G265" s="1">
        <f t="shared" si="47"/>
        <v>2.1916666666666664</v>
      </c>
      <c r="H265" s="6">
        <f t="shared" ca="1" si="48"/>
        <v>2.1916666666666664</v>
      </c>
      <c r="I265" s="5">
        <f t="shared" ca="1" si="49"/>
        <v>0</v>
      </c>
      <c r="J265" s="8">
        <f t="shared" ca="1" si="50"/>
        <v>2.0820833333333328</v>
      </c>
      <c r="K265" s="5">
        <f t="shared" ca="1" si="51"/>
        <v>0.10958333333333359</v>
      </c>
      <c r="L265">
        <f t="shared" ca="1" si="52"/>
        <v>29400.177777777775</v>
      </c>
      <c r="M265">
        <f t="shared" ca="1" si="53"/>
        <v>29400</v>
      </c>
      <c r="N265" t="str">
        <f t="shared" ca="1" si="54"/>
        <v>0111001011011000</v>
      </c>
      <c r="O265">
        <f t="shared" ca="1" si="55"/>
        <v>11100101</v>
      </c>
    </row>
    <row r="266" spans="4:15" x14ac:dyDescent="0.25">
      <c r="D266">
        <v>264</v>
      </c>
      <c r="E266">
        <f t="shared" si="45"/>
        <v>46.400000000000006</v>
      </c>
      <c r="F266">
        <f t="shared" ca="1" si="46"/>
        <v>46.400000000000006</v>
      </c>
      <c r="G266" s="1">
        <f t="shared" si="47"/>
        <v>2.2000000000000002</v>
      </c>
      <c r="H266" s="6">
        <f t="shared" ca="1" si="48"/>
        <v>2.2000000000000002</v>
      </c>
      <c r="I266" s="5">
        <f t="shared" ca="1" si="49"/>
        <v>0</v>
      </c>
      <c r="J266" s="8">
        <f t="shared" ca="1" si="50"/>
        <v>2.09</v>
      </c>
      <c r="K266" s="5">
        <f t="shared" ca="1" si="51"/>
        <v>0.11000000000000032</v>
      </c>
      <c r="L266">
        <f t="shared" ca="1" si="52"/>
        <v>29491.200000000001</v>
      </c>
      <c r="M266">
        <f t="shared" ca="1" si="53"/>
        <v>29491</v>
      </c>
      <c r="N266" t="str">
        <f t="shared" ca="1" si="54"/>
        <v>0111001100110011</v>
      </c>
      <c r="O266">
        <f t="shared" ca="1" si="55"/>
        <v>11100110</v>
      </c>
    </row>
    <row r="267" spans="4:15" x14ac:dyDescent="0.25">
      <c r="D267">
        <v>265</v>
      </c>
      <c r="E267">
        <f t="shared" si="45"/>
        <v>46.5</v>
      </c>
      <c r="F267">
        <f t="shared" ca="1" si="46"/>
        <v>41.2</v>
      </c>
      <c r="G267" s="1">
        <f t="shared" si="47"/>
        <v>2.208333333333333</v>
      </c>
      <c r="H267" s="6">
        <f t="shared" ca="1" si="48"/>
        <v>1.7666666666666668</v>
      </c>
      <c r="I267" s="5">
        <f t="shared" ca="1" si="49"/>
        <v>0.44166666666666621</v>
      </c>
      <c r="J267" s="8">
        <f t="shared" ca="1" si="50"/>
        <v>2.3187499999999996</v>
      </c>
      <c r="K267" s="5">
        <f t="shared" ca="1" si="51"/>
        <v>0.11041666666666661</v>
      </c>
      <c r="L267">
        <f t="shared" ca="1" si="52"/>
        <v>24758.044444444444</v>
      </c>
      <c r="M267">
        <f t="shared" ca="1" si="53"/>
        <v>24758</v>
      </c>
      <c r="N267" t="str">
        <f t="shared" ca="1" si="54"/>
        <v>0110000010110110</v>
      </c>
      <c r="O267">
        <f t="shared" ca="1" si="55"/>
        <v>11000001</v>
      </c>
    </row>
    <row r="268" spans="4:15" x14ac:dyDescent="0.25">
      <c r="D268">
        <v>266</v>
      </c>
      <c r="E268">
        <f t="shared" si="45"/>
        <v>46.6</v>
      </c>
      <c r="F268">
        <f t="shared" ca="1" si="46"/>
        <v>54.58</v>
      </c>
      <c r="G268" s="1">
        <f t="shared" si="47"/>
        <v>2.2166666666666668</v>
      </c>
      <c r="H268" s="6">
        <f t="shared" ca="1" si="48"/>
        <v>2.8816666666666659</v>
      </c>
      <c r="I268" s="5">
        <f t="shared" ca="1" si="49"/>
        <v>0.66499999999999915</v>
      </c>
      <c r="J268" s="8">
        <f t="shared" ca="1" si="50"/>
        <v>2.3275000000000001</v>
      </c>
      <c r="K268" s="5">
        <f t="shared" ca="1" si="51"/>
        <v>0.11083333333333334</v>
      </c>
      <c r="L268">
        <f t="shared" ca="1" si="52"/>
        <v>36936.817777777767</v>
      </c>
      <c r="M268">
        <f t="shared" ca="1" si="53"/>
        <v>36937</v>
      </c>
      <c r="N268" t="str">
        <f t="shared" ca="1" si="54"/>
        <v>1001000001001001</v>
      </c>
      <c r="O268">
        <f t="shared" ca="1" si="55"/>
        <v>100100000</v>
      </c>
    </row>
    <row r="269" spans="4:15" x14ac:dyDescent="0.25">
      <c r="D269">
        <v>267</v>
      </c>
      <c r="E269">
        <f t="shared" si="45"/>
        <v>46.7</v>
      </c>
      <c r="F269">
        <f t="shared" ca="1" si="46"/>
        <v>38.690000000000005</v>
      </c>
      <c r="G269" s="1">
        <f t="shared" si="47"/>
        <v>2.2249999999999996</v>
      </c>
      <c r="H269" s="6">
        <f t="shared" ca="1" si="48"/>
        <v>1.5575000000000003</v>
      </c>
      <c r="I269" s="5">
        <f t="shared" ca="1" si="49"/>
        <v>0.66749999999999932</v>
      </c>
      <c r="J269" s="8">
        <f t="shared" ca="1" si="50"/>
        <v>2.1137499999999996</v>
      </c>
      <c r="K269" s="5">
        <f t="shared" ca="1" si="51"/>
        <v>0.11125000000000007</v>
      </c>
      <c r="L269">
        <f t="shared" ca="1" si="52"/>
        <v>22473.386666666669</v>
      </c>
      <c r="M269">
        <f t="shared" ca="1" si="53"/>
        <v>22473</v>
      </c>
      <c r="N269" t="str">
        <f t="shared" ca="1" si="54"/>
        <v>0101011111001001</v>
      </c>
      <c r="O269">
        <f t="shared" ca="1" si="55"/>
        <v>10101111</v>
      </c>
    </row>
    <row r="270" spans="4:15" x14ac:dyDescent="0.25">
      <c r="D270">
        <v>268</v>
      </c>
      <c r="E270">
        <f t="shared" si="45"/>
        <v>46.8</v>
      </c>
      <c r="F270">
        <f t="shared" ca="1" si="46"/>
        <v>33.4</v>
      </c>
      <c r="G270" s="1">
        <f t="shared" si="47"/>
        <v>2.2333333333333325</v>
      </c>
      <c r="H270" s="6">
        <f t="shared" ca="1" si="48"/>
        <v>1.1166666666666665</v>
      </c>
      <c r="I270" s="5">
        <f t="shared" ca="1" si="49"/>
        <v>1.116666666666666</v>
      </c>
      <c r="J270" s="8">
        <f t="shared" ca="1" si="50"/>
        <v>2.3449999999999993</v>
      </c>
      <c r="K270" s="5">
        <f t="shared" ca="1" si="51"/>
        <v>0.1116666666666668</v>
      </c>
      <c r="L270">
        <f t="shared" ca="1" si="52"/>
        <v>17658.31111111111</v>
      </c>
      <c r="M270">
        <f t="shared" ca="1" si="53"/>
        <v>17658</v>
      </c>
      <c r="N270" t="str">
        <f t="shared" ca="1" si="54"/>
        <v>0100010011111010</v>
      </c>
      <c r="O270">
        <f t="shared" ca="1" si="55"/>
        <v>10001001</v>
      </c>
    </row>
    <row r="271" spans="4:15" x14ac:dyDescent="0.25">
      <c r="D271">
        <v>269</v>
      </c>
      <c r="E271">
        <f t="shared" si="45"/>
        <v>46.900000000000006</v>
      </c>
      <c r="F271">
        <f t="shared" ca="1" si="46"/>
        <v>44.210000000000008</v>
      </c>
      <c r="G271" s="1">
        <f t="shared" si="47"/>
        <v>2.2416666666666671</v>
      </c>
      <c r="H271" s="6">
        <f t="shared" ca="1" si="48"/>
        <v>2.0175000000000001</v>
      </c>
      <c r="I271" s="5">
        <f t="shared" ca="1" si="49"/>
        <v>0.22416666666666707</v>
      </c>
      <c r="J271" s="8">
        <f t="shared" ca="1" si="50"/>
        <v>2.3537500000000007</v>
      </c>
      <c r="K271" s="5">
        <f t="shared" ca="1" si="51"/>
        <v>0.11208333333333353</v>
      </c>
      <c r="L271">
        <f t="shared" ca="1" si="52"/>
        <v>27497.813333333335</v>
      </c>
      <c r="M271">
        <f t="shared" ca="1" si="53"/>
        <v>27498</v>
      </c>
      <c r="N271" t="str">
        <f t="shared" ca="1" si="54"/>
        <v>0110101101101010</v>
      </c>
      <c r="O271">
        <f t="shared" ca="1" si="55"/>
        <v>11010110</v>
      </c>
    </row>
    <row r="272" spans="4:15" x14ac:dyDescent="0.25">
      <c r="D272">
        <v>270</v>
      </c>
      <c r="E272">
        <f t="shared" si="45"/>
        <v>47</v>
      </c>
      <c r="F272">
        <f t="shared" ca="1" si="46"/>
        <v>47</v>
      </c>
      <c r="G272" s="1">
        <f t="shared" si="47"/>
        <v>2.25</v>
      </c>
      <c r="H272" s="6">
        <f t="shared" ca="1" si="48"/>
        <v>2.25</v>
      </c>
      <c r="I272" s="5">
        <f t="shared" ca="1" si="49"/>
        <v>0</v>
      </c>
      <c r="J272" s="8">
        <f t="shared" ca="1" si="50"/>
        <v>2.1374999999999997</v>
      </c>
      <c r="K272" s="5">
        <f t="shared" ca="1" si="51"/>
        <v>0.11250000000000027</v>
      </c>
      <c r="L272">
        <f t="shared" ca="1" si="52"/>
        <v>30037.333333333332</v>
      </c>
      <c r="M272">
        <f t="shared" ca="1" si="53"/>
        <v>30037</v>
      </c>
      <c r="N272" t="str">
        <f t="shared" ca="1" si="54"/>
        <v>0111010101010101</v>
      </c>
      <c r="O272">
        <f t="shared" ca="1" si="55"/>
        <v>11101010</v>
      </c>
    </row>
    <row r="273" spans="4:15" x14ac:dyDescent="0.25">
      <c r="D273">
        <v>271</v>
      </c>
      <c r="E273">
        <f t="shared" si="45"/>
        <v>47.1</v>
      </c>
      <c r="F273">
        <f t="shared" ca="1" si="46"/>
        <v>49.81</v>
      </c>
      <c r="G273" s="1">
        <f t="shared" si="47"/>
        <v>2.2583333333333329</v>
      </c>
      <c r="H273" s="6">
        <f t="shared" ca="1" si="48"/>
        <v>2.484166666666666</v>
      </c>
      <c r="I273" s="5">
        <f t="shared" ca="1" si="49"/>
        <v>0.22583333333333311</v>
      </c>
      <c r="J273" s="8">
        <f t="shared" ca="1" si="50"/>
        <v>2.3712499999999994</v>
      </c>
      <c r="K273" s="5">
        <f t="shared" ca="1" si="51"/>
        <v>0.11291666666666655</v>
      </c>
      <c r="L273">
        <f t="shared" ca="1" si="52"/>
        <v>32595.057777777769</v>
      </c>
      <c r="M273">
        <f t="shared" ca="1" si="53"/>
        <v>32595</v>
      </c>
      <c r="N273" t="str">
        <f t="shared" ca="1" si="54"/>
        <v>0111111101010011</v>
      </c>
      <c r="O273">
        <f t="shared" ca="1" si="55"/>
        <v>11111110</v>
      </c>
    </row>
    <row r="274" spans="4:15" x14ac:dyDescent="0.25">
      <c r="D274">
        <v>272</v>
      </c>
      <c r="E274">
        <f t="shared" si="45"/>
        <v>47.2</v>
      </c>
      <c r="F274">
        <f t="shared" ca="1" si="46"/>
        <v>36.32</v>
      </c>
      <c r="G274" s="1">
        <f t="shared" si="47"/>
        <v>2.2666666666666666</v>
      </c>
      <c r="H274" s="6">
        <f t="shared" ca="1" si="48"/>
        <v>1.3599999999999997</v>
      </c>
      <c r="I274" s="5">
        <f t="shared" ca="1" si="49"/>
        <v>0.90666666666666695</v>
      </c>
      <c r="J274" s="8">
        <f t="shared" ca="1" si="50"/>
        <v>2.1533333333333333</v>
      </c>
      <c r="K274" s="5">
        <f t="shared" ca="1" si="51"/>
        <v>0.11333333333333329</v>
      </c>
      <c r="L274">
        <f t="shared" ca="1" si="52"/>
        <v>20316.159999999996</v>
      </c>
      <c r="M274">
        <f t="shared" ca="1" si="53"/>
        <v>20316</v>
      </c>
      <c r="N274" t="str">
        <f t="shared" ca="1" si="54"/>
        <v>0100111101011100</v>
      </c>
      <c r="O274">
        <f t="shared" ca="1" si="55"/>
        <v>10011110</v>
      </c>
    </row>
    <row r="275" spans="4:15" x14ac:dyDescent="0.25">
      <c r="D275">
        <v>273</v>
      </c>
      <c r="E275">
        <f t="shared" si="45"/>
        <v>47.3</v>
      </c>
      <c r="F275">
        <f t="shared" ca="1" si="46"/>
        <v>33.65</v>
      </c>
      <c r="G275" s="1">
        <f t="shared" si="47"/>
        <v>2.2749999999999995</v>
      </c>
      <c r="H275" s="6">
        <f t="shared" ca="1" si="48"/>
        <v>1.1374999999999995</v>
      </c>
      <c r="I275" s="5">
        <f t="shared" ca="1" si="49"/>
        <v>1.1375</v>
      </c>
      <c r="J275" s="8">
        <f t="shared" ca="1" si="50"/>
        <v>2.1612499999999994</v>
      </c>
      <c r="K275" s="5">
        <f t="shared" ca="1" si="51"/>
        <v>0.11375000000000002</v>
      </c>
      <c r="L275">
        <f t="shared" ca="1" si="52"/>
        <v>17885.866666666661</v>
      </c>
      <c r="M275">
        <f t="shared" ca="1" si="53"/>
        <v>17886</v>
      </c>
      <c r="N275" t="str">
        <f t="shared" ca="1" si="54"/>
        <v>0100010111011110</v>
      </c>
      <c r="O275">
        <f t="shared" ca="1" si="55"/>
        <v>10001011</v>
      </c>
    </row>
    <row r="276" spans="4:15" x14ac:dyDescent="0.25">
      <c r="D276">
        <v>274</v>
      </c>
      <c r="E276">
        <f t="shared" si="45"/>
        <v>47.400000000000006</v>
      </c>
      <c r="F276">
        <f t="shared" ca="1" si="46"/>
        <v>50.140000000000008</v>
      </c>
      <c r="G276" s="1">
        <f t="shared" si="47"/>
        <v>2.2833333333333332</v>
      </c>
      <c r="H276" s="6">
        <f t="shared" ca="1" si="48"/>
        <v>2.5116666666666667</v>
      </c>
      <c r="I276" s="5">
        <f t="shared" ca="1" si="49"/>
        <v>0.2283333333333335</v>
      </c>
      <c r="J276" s="8">
        <f t="shared" ca="1" si="50"/>
        <v>2.3975</v>
      </c>
      <c r="K276" s="5">
        <f t="shared" ca="1" si="51"/>
        <v>0.11416666666666675</v>
      </c>
      <c r="L276">
        <f t="shared" ca="1" si="52"/>
        <v>32895.431111111109</v>
      </c>
      <c r="M276">
        <f t="shared" ca="1" si="53"/>
        <v>32895</v>
      </c>
      <c r="N276" t="str">
        <f t="shared" ca="1" si="54"/>
        <v>1000000001111111</v>
      </c>
      <c r="O276">
        <f t="shared" ca="1" si="55"/>
        <v>100000000</v>
      </c>
    </row>
    <row r="277" spans="4:15" x14ac:dyDescent="0.25">
      <c r="D277">
        <v>275</v>
      </c>
      <c r="E277">
        <f t="shared" si="45"/>
        <v>47.5</v>
      </c>
      <c r="F277">
        <f t="shared" ca="1" si="46"/>
        <v>39.25</v>
      </c>
      <c r="G277" s="1">
        <f t="shared" si="47"/>
        <v>2.2916666666666661</v>
      </c>
      <c r="H277" s="6">
        <f t="shared" ca="1" si="48"/>
        <v>1.6041666666666663</v>
      </c>
      <c r="I277" s="5">
        <f t="shared" ca="1" si="49"/>
        <v>0.68749999999999978</v>
      </c>
      <c r="J277" s="8">
        <f t="shared" ca="1" si="50"/>
        <v>2.4062499999999996</v>
      </c>
      <c r="K277" s="5">
        <f t="shared" ca="1" si="51"/>
        <v>0.11458333333333348</v>
      </c>
      <c r="L277">
        <f t="shared" ca="1" si="52"/>
        <v>22983.111111111106</v>
      </c>
      <c r="M277">
        <f t="shared" ca="1" si="53"/>
        <v>22983</v>
      </c>
      <c r="N277" t="str">
        <f t="shared" ca="1" si="54"/>
        <v>0101100111000111</v>
      </c>
      <c r="O277">
        <f t="shared" ca="1" si="55"/>
        <v>10110011</v>
      </c>
    </row>
    <row r="278" spans="4:15" x14ac:dyDescent="0.25">
      <c r="D278">
        <v>276</v>
      </c>
      <c r="E278">
        <f t="shared" si="45"/>
        <v>47.6</v>
      </c>
      <c r="F278">
        <f t="shared" ca="1" si="46"/>
        <v>44.84</v>
      </c>
      <c r="G278" s="1">
        <f t="shared" si="47"/>
        <v>2.2999999999999998</v>
      </c>
      <c r="H278" s="6">
        <f t="shared" ca="1" si="48"/>
        <v>2.0700000000000003</v>
      </c>
      <c r="I278" s="5">
        <f t="shared" ca="1" si="49"/>
        <v>0.22999999999999954</v>
      </c>
      <c r="J278" s="8">
        <f t="shared" ca="1" si="50"/>
        <v>2.1849999999999996</v>
      </c>
      <c r="K278" s="5">
        <f t="shared" ca="1" si="51"/>
        <v>0.11500000000000021</v>
      </c>
      <c r="L278">
        <f t="shared" ca="1" si="52"/>
        <v>28071.253333333338</v>
      </c>
      <c r="M278">
        <f t="shared" ca="1" si="53"/>
        <v>28071</v>
      </c>
      <c r="N278" t="str">
        <f t="shared" ca="1" si="54"/>
        <v>0110110110100111</v>
      </c>
      <c r="O278">
        <f t="shared" ca="1" si="55"/>
        <v>11011011</v>
      </c>
    </row>
    <row r="279" spans="4:15" x14ac:dyDescent="0.25">
      <c r="D279">
        <v>277</v>
      </c>
      <c r="E279">
        <f t="shared" si="45"/>
        <v>47.7</v>
      </c>
      <c r="F279">
        <f t="shared" ca="1" si="46"/>
        <v>61.550000000000004</v>
      </c>
      <c r="G279" s="1">
        <f t="shared" si="47"/>
        <v>2.3083333333333336</v>
      </c>
      <c r="H279" s="6">
        <f t="shared" ca="1" si="48"/>
        <v>3.4624999999999995</v>
      </c>
      <c r="I279" s="5">
        <f t="shared" ca="1" si="49"/>
        <v>1.1541666666666659</v>
      </c>
      <c r="J279" s="8">
        <f t="shared" ca="1" si="50"/>
        <v>2.1929166666666666</v>
      </c>
      <c r="K279" s="5">
        <f t="shared" ca="1" si="51"/>
        <v>0.11541666666666694</v>
      </c>
      <c r="L279">
        <f t="shared" ca="1" si="52"/>
        <v>43281.066666666658</v>
      </c>
      <c r="M279">
        <f t="shared" ca="1" si="53"/>
        <v>43281</v>
      </c>
      <c r="N279" t="str">
        <f t="shared" ca="1" si="54"/>
        <v>1010100100010001</v>
      </c>
      <c r="O279">
        <f t="shared" ca="1" si="55"/>
        <v>101010010</v>
      </c>
    </row>
    <row r="280" spans="4:15" x14ac:dyDescent="0.25">
      <c r="D280">
        <v>278</v>
      </c>
      <c r="E280">
        <f t="shared" si="45"/>
        <v>47.8</v>
      </c>
      <c r="F280">
        <f t="shared" ca="1" si="46"/>
        <v>61.699999999999996</v>
      </c>
      <c r="G280" s="1">
        <f t="shared" si="47"/>
        <v>2.3166666666666664</v>
      </c>
      <c r="H280" s="6">
        <f t="shared" ca="1" si="48"/>
        <v>3.4749999999999988</v>
      </c>
      <c r="I280" s="5">
        <f t="shared" ca="1" si="49"/>
        <v>1.1583333333333323</v>
      </c>
      <c r="J280" s="8">
        <f t="shared" ca="1" si="50"/>
        <v>2.4324999999999997</v>
      </c>
      <c r="K280" s="5">
        <f t="shared" ca="1" si="51"/>
        <v>0.11583333333333323</v>
      </c>
      <c r="L280">
        <f t="shared" ca="1" si="52"/>
        <v>43417.599999999984</v>
      </c>
      <c r="M280">
        <f t="shared" ca="1" si="53"/>
        <v>43418</v>
      </c>
      <c r="N280" t="str">
        <f t="shared" ca="1" si="54"/>
        <v>1010100110011010</v>
      </c>
      <c r="O280">
        <f t="shared" ca="1" si="55"/>
        <v>101010011</v>
      </c>
    </row>
    <row r="281" spans="4:15" x14ac:dyDescent="0.25">
      <c r="D281">
        <v>279</v>
      </c>
      <c r="E281">
        <f t="shared" si="45"/>
        <v>47.900000000000006</v>
      </c>
      <c r="F281">
        <f t="shared" ca="1" si="46"/>
        <v>33.950000000000003</v>
      </c>
      <c r="G281" s="1">
        <f t="shared" si="47"/>
        <v>2.3250000000000002</v>
      </c>
      <c r="H281" s="6">
        <f t="shared" ca="1" si="48"/>
        <v>1.1624999999999999</v>
      </c>
      <c r="I281" s="5">
        <f t="shared" ca="1" si="49"/>
        <v>1.1625000000000003</v>
      </c>
      <c r="J281" s="8">
        <f t="shared" ca="1" si="50"/>
        <v>2.2087500000000002</v>
      </c>
      <c r="K281" s="5">
        <f t="shared" ca="1" si="51"/>
        <v>0.11624999999999996</v>
      </c>
      <c r="L281">
        <f t="shared" ca="1" si="52"/>
        <v>18158.933333333331</v>
      </c>
      <c r="M281">
        <f t="shared" ca="1" si="53"/>
        <v>18159</v>
      </c>
      <c r="N281" t="str">
        <f t="shared" ca="1" si="54"/>
        <v>0100011011101111</v>
      </c>
      <c r="O281">
        <f t="shared" ca="1" si="55"/>
        <v>10001101</v>
      </c>
    </row>
    <row r="282" spans="4:15" x14ac:dyDescent="0.25">
      <c r="D282">
        <v>280</v>
      </c>
      <c r="E282">
        <f t="shared" si="45"/>
        <v>48</v>
      </c>
      <c r="F282">
        <f t="shared" ca="1" si="46"/>
        <v>36.799999999999997</v>
      </c>
      <c r="G282" s="1">
        <f t="shared" si="47"/>
        <v>2.333333333333333</v>
      </c>
      <c r="H282" s="6">
        <f t="shared" ca="1" si="48"/>
        <v>1.3999999999999997</v>
      </c>
      <c r="I282" s="5">
        <f t="shared" ca="1" si="49"/>
        <v>0.93333333333333335</v>
      </c>
      <c r="J282" s="8">
        <f t="shared" ca="1" si="50"/>
        <v>2.2166666666666663</v>
      </c>
      <c r="K282" s="5">
        <f t="shared" ca="1" si="51"/>
        <v>0.1166666666666667</v>
      </c>
      <c r="L282">
        <f t="shared" ca="1" si="52"/>
        <v>20753.066666666662</v>
      </c>
      <c r="M282">
        <f t="shared" ca="1" si="53"/>
        <v>20753</v>
      </c>
      <c r="N282" t="str">
        <f t="shared" ca="1" si="54"/>
        <v>0101000100010001</v>
      </c>
      <c r="O282">
        <f t="shared" ca="1" si="55"/>
        <v>10100010</v>
      </c>
    </row>
    <row r="283" spans="4:15" x14ac:dyDescent="0.25">
      <c r="D283">
        <v>281</v>
      </c>
      <c r="E283">
        <f t="shared" si="45"/>
        <v>48.1</v>
      </c>
      <c r="F283">
        <f t="shared" ca="1" si="46"/>
        <v>56.53</v>
      </c>
      <c r="G283" s="1">
        <f t="shared" si="47"/>
        <v>2.3416666666666659</v>
      </c>
      <c r="H283" s="6">
        <f t="shared" ca="1" si="48"/>
        <v>3.0441666666666665</v>
      </c>
      <c r="I283" s="5">
        <f t="shared" ca="1" si="49"/>
        <v>0.70250000000000057</v>
      </c>
      <c r="J283" s="8">
        <f t="shared" ca="1" si="50"/>
        <v>2.2245833333333325</v>
      </c>
      <c r="K283" s="5">
        <f t="shared" ca="1" si="51"/>
        <v>0.11708333333333343</v>
      </c>
      <c r="L283">
        <f t="shared" ca="1" si="52"/>
        <v>38711.751111111109</v>
      </c>
      <c r="M283">
        <f t="shared" ca="1" si="53"/>
        <v>38712</v>
      </c>
      <c r="N283" t="str">
        <f t="shared" ca="1" si="54"/>
        <v>1001011100111000</v>
      </c>
      <c r="O283">
        <f t="shared" ca="1" si="55"/>
        <v>100101110</v>
      </c>
    </row>
    <row r="284" spans="4:15" x14ac:dyDescent="0.25">
      <c r="D284">
        <v>282</v>
      </c>
      <c r="E284">
        <f t="shared" si="45"/>
        <v>48.2</v>
      </c>
      <c r="F284">
        <f t="shared" ca="1" si="46"/>
        <v>36.92</v>
      </c>
      <c r="G284" s="1">
        <f t="shared" si="47"/>
        <v>2.3499999999999996</v>
      </c>
      <c r="H284" s="6">
        <f t="shared" ca="1" si="48"/>
        <v>1.41</v>
      </c>
      <c r="I284" s="5">
        <f t="shared" ca="1" si="49"/>
        <v>0.93999999999999972</v>
      </c>
      <c r="J284" s="8">
        <f t="shared" ca="1" si="50"/>
        <v>2.4674999999999998</v>
      </c>
      <c r="K284" s="5">
        <f t="shared" ca="1" si="51"/>
        <v>0.11750000000000016</v>
      </c>
      <c r="L284">
        <f t="shared" ca="1" si="52"/>
        <v>20862.293333333331</v>
      </c>
      <c r="M284">
        <f t="shared" ca="1" si="53"/>
        <v>20862</v>
      </c>
      <c r="N284" t="str">
        <f t="shared" ca="1" si="54"/>
        <v>0101000101111110</v>
      </c>
      <c r="O284">
        <f t="shared" ca="1" si="55"/>
        <v>10100010</v>
      </c>
    </row>
    <row r="285" spans="4:15" x14ac:dyDescent="0.25">
      <c r="D285">
        <v>283</v>
      </c>
      <c r="E285">
        <f t="shared" si="45"/>
        <v>48.3</v>
      </c>
      <c r="F285">
        <f t="shared" ca="1" si="46"/>
        <v>59.62</v>
      </c>
      <c r="G285" s="1">
        <f t="shared" si="47"/>
        <v>2.3583333333333325</v>
      </c>
      <c r="H285" s="6">
        <f t="shared" ca="1" si="48"/>
        <v>3.3016666666666659</v>
      </c>
      <c r="I285" s="5">
        <f t="shared" ca="1" si="49"/>
        <v>0.94333333333333336</v>
      </c>
      <c r="J285" s="8">
        <f t="shared" ca="1" si="50"/>
        <v>2.4762499999999994</v>
      </c>
      <c r="K285" s="5">
        <f t="shared" ca="1" si="51"/>
        <v>0.11791666666666689</v>
      </c>
      <c r="L285">
        <f t="shared" ca="1" si="52"/>
        <v>41524.337777777771</v>
      </c>
      <c r="M285">
        <f t="shared" ca="1" si="53"/>
        <v>41524</v>
      </c>
      <c r="N285" t="str">
        <f t="shared" ca="1" si="54"/>
        <v>1010001000110100</v>
      </c>
      <c r="O285">
        <f t="shared" ca="1" si="55"/>
        <v>101000100</v>
      </c>
    </row>
    <row r="286" spans="4:15" x14ac:dyDescent="0.25">
      <c r="D286">
        <v>284</v>
      </c>
      <c r="E286">
        <f t="shared" si="45"/>
        <v>48.400000000000006</v>
      </c>
      <c r="F286">
        <f t="shared" ca="1" si="46"/>
        <v>48.400000000000006</v>
      </c>
      <c r="G286" s="1">
        <f t="shared" si="47"/>
        <v>2.3666666666666663</v>
      </c>
      <c r="H286" s="6">
        <f t="shared" ca="1" si="48"/>
        <v>2.3666666666666663</v>
      </c>
      <c r="I286" s="5">
        <f t="shared" ca="1" si="49"/>
        <v>0</v>
      </c>
      <c r="J286" s="8">
        <f t="shared" ca="1" si="50"/>
        <v>2.2483333333333326</v>
      </c>
      <c r="K286" s="5">
        <f t="shared" ca="1" si="51"/>
        <v>0.11833333333333362</v>
      </c>
      <c r="L286">
        <f t="shared" ca="1" si="52"/>
        <v>31311.644444444439</v>
      </c>
      <c r="M286">
        <f t="shared" ca="1" si="53"/>
        <v>31312</v>
      </c>
      <c r="N286" t="str">
        <f t="shared" ca="1" si="54"/>
        <v>0111101001010000</v>
      </c>
      <c r="O286">
        <f t="shared" ca="1" si="55"/>
        <v>11110100</v>
      </c>
    </row>
    <row r="287" spans="4:15" x14ac:dyDescent="0.25">
      <c r="D287">
        <v>285</v>
      </c>
      <c r="E287">
        <f t="shared" si="45"/>
        <v>48.5</v>
      </c>
      <c r="F287">
        <f t="shared" ca="1" si="46"/>
        <v>54.2</v>
      </c>
      <c r="G287" s="1">
        <f t="shared" si="47"/>
        <v>2.3749999999999991</v>
      </c>
      <c r="H287" s="6">
        <f t="shared" ca="1" si="48"/>
        <v>2.8499999999999996</v>
      </c>
      <c r="I287" s="5">
        <f t="shared" ca="1" si="49"/>
        <v>0.47500000000000053</v>
      </c>
      <c r="J287" s="8">
        <f t="shared" ca="1" si="50"/>
        <v>2.493749999999999</v>
      </c>
      <c r="K287" s="5">
        <f t="shared" ca="1" si="51"/>
        <v>0.11874999999999991</v>
      </c>
      <c r="L287">
        <f t="shared" ca="1" si="52"/>
        <v>36590.933333333327</v>
      </c>
      <c r="M287">
        <f t="shared" ca="1" si="53"/>
        <v>36591</v>
      </c>
      <c r="N287" t="str">
        <f t="shared" ca="1" si="54"/>
        <v>1000111011101111</v>
      </c>
      <c r="O287">
        <f t="shared" ca="1" si="55"/>
        <v>100011101</v>
      </c>
    </row>
    <row r="288" spans="4:15" x14ac:dyDescent="0.25">
      <c r="D288">
        <v>286</v>
      </c>
      <c r="E288">
        <f t="shared" si="45"/>
        <v>48.6</v>
      </c>
      <c r="F288">
        <f t="shared" ca="1" si="46"/>
        <v>45.74</v>
      </c>
      <c r="G288" s="1">
        <f t="shared" si="47"/>
        <v>2.3833333333333329</v>
      </c>
      <c r="H288" s="6">
        <f t="shared" ca="1" si="48"/>
        <v>2.1449999999999996</v>
      </c>
      <c r="I288" s="5">
        <f t="shared" ca="1" si="49"/>
        <v>0.23833333333333329</v>
      </c>
      <c r="J288" s="8">
        <f t="shared" ca="1" si="50"/>
        <v>2.5024999999999995</v>
      </c>
      <c r="K288" s="5">
        <f t="shared" ca="1" si="51"/>
        <v>0.11916666666666664</v>
      </c>
      <c r="L288">
        <f t="shared" ca="1" si="52"/>
        <v>28890.453333333327</v>
      </c>
      <c r="M288">
        <f t="shared" ca="1" si="53"/>
        <v>28890</v>
      </c>
      <c r="N288" t="str">
        <f t="shared" ca="1" si="54"/>
        <v>0111000011011010</v>
      </c>
      <c r="O288">
        <f t="shared" ca="1" si="55"/>
        <v>11100001</v>
      </c>
    </row>
    <row r="289" spans="4:15" x14ac:dyDescent="0.25">
      <c r="D289">
        <v>287</v>
      </c>
      <c r="E289">
        <f t="shared" si="45"/>
        <v>48.7</v>
      </c>
      <c r="F289">
        <f t="shared" ca="1" si="46"/>
        <v>54.440000000000005</v>
      </c>
      <c r="G289" s="1">
        <f t="shared" si="47"/>
        <v>2.3916666666666666</v>
      </c>
      <c r="H289" s="6">
        <f t="shared" ca="1" si="48"/>
        <v>2.87</v>
      </c>
      <c r="I289" s="5">
        <f t="shared" ca="1" si="49"/>
        <v>0.4783333333333335</v>
      </c>
      <c r="J289" s="8">
        <f t="shared" ca="1" si="50"/>
        <v>2.51125</v>
      </c>
      <c r="K289" s="5">
        <f t="shared" ca="1" si="51"/>
        <v>0.11958333333333337</v>
      </c>
      <c r="L289">
        <f t="shared" ca="1" si="52"/>
        <v>36809.386666666665</v>
      </c>
      <c r="M289">
        <f t="shared" ca="1" si="53"/>
        <v>36809</v>
      </c>
      <c r="N289" t="str">
        <f t="shared" ca="1" si="54"/>
        <v>1000111111001001</v>
      </c>
      <c r="O289">
        <f t="shared" ca="1" si="55"/>
        <v>100011111</v>
      </c>
    </row>
    <row r="290" spans="4:15" x14ac:dyDescent="0.25">
      <c r="D290">
        <v>288</v>
      </c>
      <c r="E290">
        <f t="shared" si="45"/>
        <v>48.8</v>
      </c>
      <c r="F290">
        <f t="shared" ca="1" si="46"/>
        <v>45.919999999999995</v>
      </c>
      <c r="G290" s="1">
        <f t="shared" si="47"/>
        <v>2.3999999999999995</v>
      </c>
      <c r="H290" s="6">
        <f t="shared" ca="1" si="48"/>
        <v>2.1599999999999993</v>
      </c>
      <c r="I290" s="5">
        <f t="shared" ca="1" si="49"/>
        <v>0.24000000000000021</v>
      </c>
      <c r="J290" s="8">
        <f t="shared" ca="1" si="50"/>
        <v>2.2799999999999994</v>
      </c>
      <c r="K290" s="5">
        <f t="shared" ca="1" si="51"/>
        <v>0.12000000000000011</v>
      </c>
      <c r="L290">
        <f t="shared" ca="1" si="52"/>
        <v>29054.293333333324</v>
      </c>
      <c r="M290">
        <f t="shared" ca="1" si="53"/>
        <v>29054</v>
      </c>
      <c r="N290" t="str">
        <f t="shared" ca="1" si="54"/>
        <v>0111000101111110</v>
      </c>
      <c r="O290">
        <f t="shared" ca="1" si="55"/>
        <v>11100010</v>
      </c>
    </row>
    <row r="291" spans="4:15" x14ac:dyDescent="0.25">
      <c r="D291">
        <v>289</v>
      </c>
      <c r="E291">
        <f t="shared" si="45"/>
        <v>48.900000000000006</v>
      </c>
      <c r="F291">
        <f t="shared" ca="1" si="46"/>
        <v>60.460000000000008</v>
      </c>
      <c r="G291" s="1">
        <f t="shared" si="47"/>
        <v>2.4083333333333332</v>
      </c>
      <c r="H291" s="6">
        <f t="shared" ca="1" si="48"/>
        <v>3.371666666666667</v>
      </c>
      <c r="I291" s="5">
        <f t="shared" ca="1" si="49"/>
        <v>0.96333333333333382</v>
      </c>
      <c r="J291" s="8">
        <f t="shared" ca="1" si="50"/>
        <v>2.5287500000000001</v>
      </c>
      <c r="K291" s="5">
        <f t="shared" ca="1" si="51"/>
        <v>0.12041666666666684</v>
      </c>
      <c r="L291">
        <f t="shared" ca="1" si="52"/>
        <v>42288.924444444448</v>
      </c>
      <c r="M291">
        <f t="shared" ca="1" si="53"/>
        <v>42289</v>
      </c>
      <c r="N291" t="str">
        <f t="shared" ca="1" si="54"/>
        <v>1010010100110001</v>
      </c>
      <c r="O291">
        <f t="shared" ca="1" si="55"/>
        <v>101001010</v>
      </c>
    </row>
    <row r="292" spans="4:15" x14ac:dyDescent="0.25">
      <c r="D292">
        <v>290</v>
      </c>
      <c r="E292">
        <f t="shared" si="45"/>
        <v>49</v>
      </c>
      <c r="F292">
        <f t="shared" ca="1" si="46"/>
        <v>49</v>
      </c>
      <c r="G292" s="1">
        <f t="shared" si="47"/>
        <v>2.4166666666666661</v>
      </c>
      <c r="H292" s="6">
        <f t="shared" ca="1" si="48"/>
        <v>2.4166666666666661</v>
      </c>
      <c r="I292" s="5">
        <f t="shared" ca="1" si="49"/>
        <v>0</v>
      </c>
      <c r="J292" s="8">
        <f t="shared" ca="1" si="50"/>
        <v>2.5374999999999996</v>
      </c>
      <c r="K292" s="5">
        <f t="shared" ca="1" si="51"/>
        <v>0.12083333333333357</v>
      </c>
      <c r="L292">
        <f t="shared" ca="1" si="52"/>
        <v>31857.77777777777</v>
      </c>
      <c r="M292">
        <f t="shared" ca="1" si="53"/>
        <v>31858</v>
      </c>
      <c r="N292" t="str">
        <f t="shared" ca="1" si="54"/>
        <v>0111110001110010</v>
      </c>
      <c r="O292">
        <f t="shared" ca="1" si="55"/>
        <v>11111000</v>
      </c>
    </row>
    <row r="293" spans="4:15" x14ac:dyDescent="0.25">
      <c r="D293">
        <v>291</v>
      </c>
      <c r="E293">
        <f t="shared" si="45"/>
        <v>49.1</v>
      </c>
      <c r="F293">
        <f t="shared" ca="1" si="46"/>
        <v>43.28</v>
      </c>
      <c r="G293" s="1">
        <f t="shared" si="47"/>
        <v>2.4249999999999998</v>
      </c>
      <c r="H293" s="6">
        <f t="shared" ca="1" si="48"/>
        <v>1.9399999999999997</v>
      </c>
      <c r="I293" s="5">
        <f t="shared" ca="1" si="49"/>
        <v>0.4850000000000001</v>
      </c>
      <c r="J293" s="8">
        <f t="shared" ca="1" si="50"/>
        <v>2.3037499999999995</v>
      </c>
      <c r="K293" s="5">
        <f t="shared" ca="1" si="51"/>
        <v>0.1212500000000003</v>
      </c>
      <c r="L293">
        <f t="shared" ca="1" si="52"/>
        <v>26651.30666666666</v>
      </c>
      <c r="M293">
        <f t="shared" ca="1" si="53"/>
        <v>26651</v>
      </c>
      <c r="N293" t="str">
        <f t="shared" ca="1" si="54"/>
        <v>0110100000011011</v>
      </c>
      <c r="O293">
        <f t="shared" ca="1" si="55"/>
        <v>11010000</v>
      </c>
    </row>
    <row r="294" spans="4:15" x14ac:dyDescent="0.25">
      <c r="D294">
        <v>292</v>
      </c>
      <c r="E294">
        <f t="shared" si="45"/>
        <v>49.2</v>
      </c>
      <c r="F294">
        <f t="shared" ca="1" si="46"/>
        <v>37.520000000000003</v>
      </c>
      <c r="G294" s="1">
        <f t="shared" si="47"/>
        <v>2.4333333333333327</v>
      </c>
      <c r="H294" s="6">
        <f t="shared" ca="1" si="48"/>
        <v>1.4600000000000002</v>
      </c>
      <c r="I294" s="5">
        <f t="shared" ca="1" si="49"/>
        <v>0.9733333333333325</v>
      </c>
      <c r="J294" s="8">
        <f t="shared" ca="1" si="50"/>
        <v>2.3116666666666661</v>
      </c>
      <c r="K294" s="5">
        <f t="shared" ca="1" si="51"/>
        <v>0.12166666666666659</v>
      </c>
      <c r="L294">
        <f t="shared" ca="1" si="52"/>
        <v>21408.42666666667</v>
      </c>
      <c r="M294">
        <f t="shared" ca="1" si="53"/>
        <v>21408</v>
      </c>
      <c r="N294" t="str">
        <f t="shared" ca="1" si="54"/>
        <v>0101001110100000</v>
      </c>
      <c r="O294">
        <f t="shared" ca="1" si="55"/>
        <v>10100111</v>
      </c>
    </row>
    <row r="295" spans="4:15" x14ac:dyDescent="0.25">
      <c r="D295">
        <v>293</v>
      </c>
      <c r="E295">
        <f t="shared" si="45"/>
        <v>49.3</v>
      </c>
      <c r="F295">
        <f t="shared" ca="1" si="46"/>
        <v>40.51</v>
      </c>
      <c r="G295" s="1">
        <f t="shared" si="47"/>
        <v>2.4416666666666655</v>
      </c>
      <c r="H295" s="6">
        <f t="shared" ca="1" si="48"/>
        <v>1.7091666666666663</v>
      </c>
      <c r="I295" s="5">
        <f t="shared" ca="1" si="49"/>
        <v>0.73249999999999926</v>
      </c>
      <c r="J295" s="8">
        <f t="shared" ca="1" si="50"/>
        <v>2.3195833333333322</v>
      </c>
      <c r="K295" s="5">
        <f t="shared" ca="1" si="51"/>
        <v>0.12208333333333332</v>
      </c>
      <c r="L295">
        <f t="shared" ca="1" si="52"/>
        <v>24129.991111111111</v>
      </c>
      <c r="M295">
        <f t="shared" ca="1" si="53"/>
        <v>24130</v>
      </c>
      <c r="N295" t="str">
        <f t="shared" ca="1" si="54"/>
        <v>0101111001000010</v>
      </c>
      <c r="O295">
        <f t="shared" ca="1" si="55"/>
        <v>10111100</v>
      </c>
    </row>
    <row r="296" spans="4:15" x14ac:dyDescent="0.25">
      <c r="D296">
        <v>294</v>
      </c>
      <c r="E296">
        <f t="shared" si="45"/>
        <v>49.400000000000006</v>
      </c>
      <c r="F296">
        <f t="shared" ca="1" si="46"/>
        <v>43.52</v>
      </c>
      <c r="G296" s="1">
        <f t="shared" si="47"/>
        <v>2.4500000000000002</v>
      </c>
      <c r="H296" s="6">
        <f t="shared" ca="1" si="48"/>
        <v>1.9600000000000002</v>
      </c>
      <c r="I296" s="5">
        <f t="shared" ca="1" si="49"/>
        <v>0.49</v>
      </c>
      <c r="J296" s="8">
        <f t="shared" ca="1" si="50"/>
        <v>2.5725000000000002</v>
      </c>
      <c r="K296" s="5">
        <f t="shared" ca="1" si="51"/>
        <v>0.12250000000000005</v>
      </c>
      <c r="L296">
        <f t="shared" ca="1" si="52"/>
        <v>26869.759999999998</v>
      </c>
      <c r="M296">
        <f t="shared" ca="1" si="53"/>
        <v>26870</v>
      </c>
      <c r="N296" t="str">
        <f t="shared" ca="1" si="54"/>
        <v>0110100011110110</v>
      </c>
      <c r="O296">
        <f t="shared" ca="1" si="55"/>
        <v>11010001</v>
      </c>
    </row>
    <row r="297" spans="4:15" x14ac:dyDescent="0.25">
      <c r="D297">
        <v>295</v>
      </c>
      <c r="E297">
        <f t="shared" si="45"/>
        <v>49.5</v>
      </c>
      <c r="F297">
        <f t="shared" ca="1" si="46"/>
        <v>64.25</v>
      </c>
      <c r="G297" s="1">
        <f t="shared" si="47"/>
        <v>2.458333333333333</v>
      </c>
      <c r="H297" s="6">
        <f t="shared" ca="1" si="48"/>
        <v>3.6874999999999991</v>
      </c>
      <c r="I297" s="5">
        <f t="shared" ca="1" si="49"/>
        <v>1.2291666666666661</v>
      </c>
      <c r="J297" s="8">
        <f t="shared" ca="1" si="50"/>
        <v>2.3354166666666663</v>
      </c>
      <c r="K297" s="5">
        <f t="shared" ca="1" si="51"/>
        <v>0.12291666666666679</v>
      </c>
      <c r="L297">
        <f t="shared" ca="1" si="52"/>
        <v>45738.666666666657</v>
      </c>
      <c r="M297">
        <f t="shared" ca="1" si="53"/>
        <v>45739</v>
      </c>
      <c r="N297" t="str">
        <f t="shared" ca="1" si="54"/>
        <v>1011001010101011</v>
      </c>
      <c r="O297">
        <f t="shared" ca="1" si="55"/>
        <v>101100101</v>
      </c>
    </row>
    <row r="298" spans="4:15" x14ac:dyDescent="0.25">
      <c r="D298">
        <v>296</v>
      </c>
      <c r="E298">
        <f t="shared" si="45"/>
        <v>49.6</v>
      </c>
      <c r="F298">
        <f t="shared" ca="1" si="46"/>
        <v>58.480000000000004</v>
      </c>
      <c r="G298" s="1">
        <f t="shared" si="47"/>
        <v>2.4666666666666659</v>
      </c>
      <c r="H298" s="6">
        <f t="shared" ca="1" si="48"/>
        <v>3.2066666666666661</v>
      </c>
      <c r="I298" s="5">
        <f t="shared" ca="1" si="49"/>
        <v>0.74000000000000021</v>
      </c>
      <c r="J298" s="8">
        <f t="shared" ca="1" si="50"/>
        <v>2.3433333333333324</v>
      </c>
      <c r="K298" s="5">
        <f t="shared" ca="1" si="51"/>
        <v>0.12333333333333352</v>
      </c>
      <c r="L298">
        <f t="shared" ca="1" si="52"/>
        <v>40486.684444444436</v>
      </c>
      <c r="M298">
        <f t="shared" ca="1" si="53"/>
        <v>40487</v>
      </c>
      <c r="N298" t="str">
        <f t="shared" ca="1" si="54"/>
        <v>1001111000100111</v>
      </c>
      <c r="O298">
        <f t="shared" ca="1" si="55"/>
        <v>100111100</v>
      </c>
    </row>
    <row r="299" spans="4:15" x14ac:dyDescent="0.25">
      <c r="D299">
        <v>297</v>
      </c>
      <c r="E299">
        <f t="shared" si="45"/>
        <v>49.7</v>
      </c>
      <c r="F299">
        <f t="shared" ca="1" si="46"/>
        <v>37.82</v>
      </c>
      <c r="G299" s="1">
        <f t="shared" si="47"/>
        <v>2.4749999999999996</v>
      </c>
      <c r="H299" s="6">
        <f t="shared" ca="1" si="48"/>
        <v>1.4849999999999997</v>
      </c>
      <c r="I299" s="5">
        <f t="shared" ca="1" si="49"/>
        <v>0.99</v>
      </c>
      <c r="J299" s="8">
        <f t="shared" ca="1" si="50"/>
        <v>2.5987499999999999</v>
      </c>
      <c r="K299" s="5">
        <f t="shared" ca="1" si="51"/>
        <v>0.12375000000000025</v>
      </c>
      <c r="L299">
        <f t="shared" ca="1" si="52"/>
        <v>21681.493333333328</v>
      </c>
      <c r="M299">
        <f t="shared" ca="1" si="53"/>
        <v>21681</v>
      </c>
      <c r="N299" t="str">
        <f t="shared" ca="1" si="54"/>
        <v>0101010010110001</v>
      </c>
      <c r="O299">
        <f t="shared" ca="1" si="55"/>
        <v>10101001</v>
      </c>
    </row>
    <row r="300" spans="4:15" x14ac:dyDescent="0.25">
      <c r="D300">
        <v>298</v>
      </c>
      <c r="E300">
        <f t="shared" si="45"/>
        <v>49.8</v>
      </c>
      <c r="F300">
        <f t="shared" ca="1" si="46"/>
        <v>40.86</v>
      </c>
      <c r="G300" s="1">
        <f t="shared" si="47"/>
        <v>2.4833333333333325</v>
      </c>
      <c r="H300" s="6">
        <f t="shared" ca="1" si="48"/>
        <v>1.7383333333333331</v>
      </c>
      <c r="I300" s="5">
        <f t="shared" ca="1" si="49"/>
        <v>0.74499999999999944</v>
      </c>
      <c r="J300" s="8">
        <f t="shared" ca="1" si="50"/>
        <v>2.607499999999999</v>
      </c>
      <c r="K300" s="5">
        <f t="shared" ca="1" si="51"/>
        <v>0.12416666666666654</v>
      </c>
      <c r="L300">
        <f t="shared" ca="1" si="52"/>
        <v>24448.568888888887</v>
      </c>
      <c r="M300">
        <f t="shared" ca="1" si="53"/>
        <v>24449</v>
      </c>
      <c r="N300" t="str">
        <f t="shared" ca="1" si="54"/>
        <v>0101111110000001</v>
      </c>
      <c r="O300">
        <f t="shared" ca="1" si="55"/>
        <v>10111111</v>
      </c>
    </row>
    <row r="301" spans="4:15" x14ac:dyDescent="0.25">
      <c r="D301">
        <v>299</v>
      </c>
      <c r="E301">
        <f t="shared" si="45"/>
        <v>49.900000000000006</v>
      </c>
      <c r="F301">
        <f t="shared" ca="1" si="46"/>
        <v>43.92</v>
      </c>
      <c r="G301" s="1">
        <f t="shared" si="47"/>
        <v>2.4916666666666663</v>
      </c>
      <c r="H301" s="6">
        <f t="shared" ca="1" si="48"/>
        <v>1.9933333333333334</v>
      </c>
      <c r="I301" s="5">
        <f t="shared" ca="1" si="49"/>
        <v>0.49833333333333285</v>
      </c>
      <c r="J301" s="8">
        <f t="shared" ca="1" si="50"/>
        <v>2.367083333333333</v>
      </c>
      <c r="K301" s="5">
        <f t="shared" ca="1" si="51"/>
        <v>0.12458333333333327</v>
      </c>
      <c r="L301">
        <f t="shared" ca="1" si="52"/>
        <v>27233.848888888886</v>
      </c>
      <c r="M301">
        <f t="shared" ca="1" si="53"/>
        <v>27234</v>
      </c>
      <c r="N301" t="str">
        <f t="shared" ca="1" si="54"/>
        <v>0110101001100010</v>
      </c>
      <c r="O301">
        <f t="shared" ca="1" si="55"/>
        <v>11010100</v>
      </c>
    </row>
    <row r="302" spans="4:15" x14ac:dyDescent="0.25">
      <c r="D302">
        <v>300</v>
      </c>
      <c r="E302">
        <f t="shared" si="45"/>
        <v>50</v>
      </c>
      <c r="F302">
        <f t="shared" ca="1" si="46"/>
        <v>50</v>
      </c>
      <c r="G302" s="1">
        <f t="shared" si="47"/>
        <v>2.4999999999999991</v>
      </c>
      <c r="H302" s="6">
        <f t="shared" ca="1" si="48"/>
        <v>2.4999999999999991</v>
      </c>
      <c r="I302" s="5">
        <f t="shared" ca="1" si="49"/>
        <v>0</v>
      </c>
      <c r="J302" s="8">
        <f t="shared" ca="1" si="50"/>
        <v>2.6249999999999991</v>
      </c>
      <c r="K302" s="5">
        <f t="shared" ca="1" si="51"/>
        <v>0.125</v>
      </c>
      <c r="L302">
        <f t="shared" ca="1" si="52"/>
        <v>32767.999999999989</v>
      </c>
      <c r="M302">
        <f t="shared" ca="1" si="53"/>
        <v>32768</v>
      </c>
      <c r="N302" t="str">
        <f t="shared" ca="1" si="54"/>
        <v>1000000000000000</v>
      </c>
      <c r="O302">
        <f t="shared" ca="1" si="55"/>
        <v>100000000</v>
      </c>
    </row>
    <row r="303" spans="4:15" x14ac:dyDescent="0.25">
      <c r="D303">
        <v>301</v>
      </c>
      <c r="E303">
        <f t="shared" si="45"/>
        <v>50.1</v>
      </c>
      <c r="F303">
        <f t="shared" ca="1" si="46"/>
        <v>38.06</v>
      </c>
      <c r="G303" s="1">
        <f t="shared" si="47"/>
        <v>2.5083333333333329</v>
      </c>
      <c r="H303" s="6">
        <f t="shared" ca="1" si="48"/>
        <v>1.5050000000000001</v>
      </c>
      <c r="I303" s="5">
        <f t="shared" ca="1" si="49"/>
        <v>1.0033333333333327</v>
      </c>
      <c r="J303" s="8">
        <f t="shared" ca="1" si="50"/>
        <v>2.3829166666666661</v>
      </c>
      <c r="K303" s="5">
        <f t="shared" ca="1" si="51"/>
        <v>0.12541666666666673</v>
      </c>
      <c r="L303">
        <f t="shared" ca="1" si="52"/>
        <v>21899.946666666667</v>
      </c>
      <c r="M303">
        <f t="shared" ca="1" si="53"/>
        <v>21900</v>
      </c>
      <c r="N303" t="str">
        <f t="shared" ca="1" si="54"/>
        <v>0101010110001100</v>
      </c>
      <c r="O303">
        <f t="shared" ca="1" si="55"/>
        <v>10101011</v>
      </c>
    </row>
    <row r="304" spans="4:15" x14ac:dyDescent="0.25">
      <c r="D304">
        <v>302</v>
      </c>
      <c r="E304">
        <f t="shared" si="45"/>
        <v>50.2</v>
      </c>
      <c r="F304">
        <f t="shared" ca="1" si="46"/>
        <v>50.2</v>
      </c>
      <c r="G304" s="1">
        <f t="shared" si="47"/>
        <v>2.5166666666666666</v>
      </c>
      <c r="H304" s="6">
        <f t="shared" ca="1" si="48"/>
        <v>2.5166666666666666</v>
      </c>
      <c r="I304" s="5">
        <f t="shared" ca="1" si="49"/>
        <v>0</v>
      </c>
      <c r="J304" s="8">
        <f t="shared" ca="1" si="50"/>
        <v>2.3908333333333331</v>
      </c>
      <c r="K304" s="5">
        <f t="shared" ca="1" si="51"/>
        <v>0.12583333333333346</v>
      </c>
      <c r="L304">
        <f t="shared" ca="1" si="52"/>
        <v>32950.044444444444</v>
      </c>
      <c r="M304">
        <f t="shared" ca="1" si="53"/>
        <v>32950</v>
      </c>
      <c r="N304" t="str">
        <f t="shared" ca="1" si="54"/>
        <v>1000000010110110</v>
      </c>
      <c r="O304">
        <f t="shared" ca="1" si="55"/>
        <v>100000001</v>
      </c>
    </row>
    <row r="305" spans="4:15" x14ac:dyDescent="0.25">
      <c r="D305">
        <v>303</v>
      </c>
      <c r="E305">
        <f t="shared" si="45"/>
        <v>50.3</v>
      </c>
      <c r="F305">
        <f t="shared" ca="1" si="46"/>
        <v>38.179999999999993</v>
      </c>
      <c r="G305" s="1">
        <f t="shared" si="47"/>
        <v>2.5249999999999995</v>
      </c>
      <c r="H305" s="6">
        <f t="shared" ca="1" si="48"/>
        <v>1.514999999999999</v>
      </c>
      <c r="I305" s="5">
        <f t="shared" ca="1" si="49"/>
        <v>1.0100000000000005</v>
      </c>
      <c r="J305" s="8">
        <f t="shared" ca="1" si="50"/>
        <v>2.3987499999999993</v>
      </c>
      <c r="K305" s="5">
        <f t="shared" ca="1" si="51"/>
        <v>0.1262500000000002</v>
      </c>
      <c r="L305">
        <f t="shared" ca="1" si="52"/>
        <v>22009.173333333321</v>
      </c>
      <c r="M305">
        <f t="shared" ca="1" si="53"/>
        <v>22009</v>
      </c>
      <c r="N305" t="str">
        <f t="shared" ca="1" si="54"/>
        <v>0101010111111001</v>
      </c>
      <c r="O305">
        <f t="shared" ca="1" si="55"/>
        <v>10101011</v>
      </c>
    </row>
    <row r="306" spans="4:15" x14ac:dyDescent="0.25">
      <c r="D306">
        <v>304</v>
      </c>
      <c r="E306">
        <f t="shared" si="45"/>
        <v>50.400000000000006</v>
      </c>
      <c r="F306">
        <f t="shared" ca="1" si="46"/>
        <v>44.320000000000007</v>
      </c>
      <c r="G306" s="1">
        <f t="shared" si="47"/>
        <v>2.5333333333333332</v>
      </c>
      <c r="H306" s="6">
        <f t="shared" ca="1" si="48"/>
        <v>2.0266666666666673</v>
      </c>
      <c r="I306" s="5">
        <f t="shared" ca="1" si="49"/>
        <v>0.50666666666666593</v>
      </c>
      <c r="J306" s="8">
        <f t="shared" ca="1" si="50"/>
        <v>2.66</v>
      </c>
      <c r="K306" s="5">
        <f t="shared" ca="1" si="51"/>
        <v>0.12666666666666693</v>
      </c>
      <c r="L306">
        <f t="shared" ca="1" si="52"/>
        <v>27597.937777777785</v>
      </c>
      <c r="M306">
        <f t="shared" ca="1" si="53"/>
        <v>27598</v>
      </c>
      <c r="N306" t="str">
        <f t="shared" ca="1" si="54"/>
        <v>0110101111001110</v>
      </c>
      <c r="O306">
        <f t="shared" ca="1" si="55"/>
        <v>11010111</v>
      </c>
    </row>
    <row r="307" spans="4:15" x14ac:dyDescent="0.25">
      <c r="D307">
        <v>305</v>
      </c>
      <c r="E307">
        <f t="shared" si="45"/>
        <v>50.5</v>
      </c>
      <c r="F307">
        <f t="shared" ca="1" si="46"/>
        <v>38.299999999999997</v>
      </c>
      <c r="G307" s="1">
        <f t="shared" si="47"/>
        <v>2.5416666666666661</v>
      </c>
      <c r="H307" s="6">
        <f t="shared" ca="1" si="48"/>
        <v>1.5249999999999997</v>
      </c>
      <c r="I307" s="5">
        <f t="shared" ca="1" si="49"/>
        <v>1.0166666666666664</v>
      </c>
      <c r="J307" s="8">
        <f t="shared" ca="1" si="50"/>
        <v>2.4145833333333329</v>
      </c>
      <c r="K307" s="5">
        <f t="shared" ca="1" si="51"/>
        <v>0.12708333333333321</v>
      </c>
      <c r="L307">
        <f t="shared" ca="1" si="52"/>
        <v>22118.399999999994</v>
      </c>
      <c r="M307">
        <f t="shared" ca="1" si="53"/>
        <v>22118</v>
      </c>
      <c r="N307" t="str">
        <f t="shared" ca="1" si="54"/>
        <v>0101011001100110</v>
      </c>
      <c r="O307">
        <f t="shared" ca="1" si="55"/>
        <v>10101100</v>
      </c>
    </row>
    <row r="308" spans="4:15" x14ac:dyDescent="0.25">
      <c r="D308">
        <v>306</v>
      </c>
      <c r="E308">
        <f t="shared" si="45"/>
        <v>50.6</v>
      </c>
      <c r="F308">
        <f t="shared" ca="1" si="46"/>
        <v>41.42</v>
      </c>
      <c r="G308" s="1">
        <f t="shared" si="47"/>
        <v>2.5499999999999998</v>
      </c>
      <c r="H308" s="6">
        <f t="shared" ca="1" si="48"/>
        <v>1.7849999999999999</v>
      </c>
      <c r="I308" s="5">
        <f t="shared" ca="1" si="49"/>
        <v>0.7649999999999999</v>
      </c>
      <c r="J308" s="8">
        <f t="shared" ca="1" si="50"/>
        <v>2.6774999999999998</v>
      </c>
      <c r="K308" s="5">
        <f t="shared" ca="1" si="51"/>
        <v>0.12749999999999995</v>
      </c>
      <c r="L308">
        <f t="shared" ca="1" si="52"/>
        <v>24958.293333333335</v>
      </c>
      <c r="M308">
        <f t="shared" ca="1" si="53"/>
        <v>24958</v>
      </c>
      <c r="N308" t="str">
        <f t="shared" ca="1" si="54"/>
        <v>0110000101111110</v>
      </c>
      <c r="O308">
        <f t="shared" ca="1" si="55"/>
        <v>11000010</v>
      </c>
    </row>
    <row r="309" spans="4:15" x14ac:dyDescent="0.25">
      <c r="D309">
        <v>307</v>
      </c>
      <c r="E309">
        <f t="shared" si="45"/>
        <v>50.7</v>
      </c>
      <c r="F309">
        <f t="shared" ca="1" si="46"/>
        <v>35.35</v>
      </c>
      <c r="G309" s="1">
        <f t="shared" si="47"/>
        <v>2.5583333333333327</v>
      </c>
      <c r="H309" s="6">
        <f t="shared" ca="1" si="48"/>
        <v>1.2791666666666666</v>
      </c>
      <c r="I309" s="5">
        <f t="shared" ca="1" si="49"/>
        <v>1.2791666666666661</v>
      </c>
      <c r="J309" s="8">
        <f t="shared" ca="1" si="50"/>
        <v>2.430416666666666</v>
      </c>
      <c r="K309" s="5">
        <f t="shared" ca="1" si="51"/>
        <v>0.12791666666666668</v>
      </c>
      <c r="L309">
        <f t="shared" ca="1" si="52"/>
        <v>19433.244444444445</v>
      </c>
      <c r="M309">
        <f t="shared" ca="1" si="53"/>
        <v>19433</v>
      </c>
      <c r="N309" t="str">
        <f t="shared" ca="1" si="54"/>
        <v>0100101111101001</v>
      </c>
      <c r="O309">
        <f t="shared" ca="1" si="55"/>
        <v>10010111</v>
      </c>
    </row>
    <row r="310" spans="4:15" x14ac:dyDescent="0.25">
      <c r="D310">
        <v>308</v>
      </c>
      <c r="E310">
        <f t="shared" si="45"/>
        <v>50.8</v>
      </c>
      <c r="F310">
        <f t="shared" ca="1" si="46"/>
        <v>41.559999999999995</v>
      </c>
      <c r="G310" s="1">
        <f t="shared" si="47"/>
        <v>2.5666666666666655</v>
      </c>
      <c r="H310" s="6">
        <f t="shared" ca="1" si="48"/>
        <v>1.7966666666666662</v>
      </c>
      <c r="I310" s="5">
        <f t="shared" ca="1" si="49"/>
        <v>0.76999999999999935</v>
      </c>
      <c r="J310" s="8">
        <f t="shared" ca="1" si="50"/>
        <v>2.694999999999999</v>
      </c>
      <c r="K310" s="5">
        <f t="shared" ca="1" si="51"/>
        <v>0.12833333333333341</v>
      </c>
      <c r="L310">
        <f t="shared" ca="1" si="52"/>
        <v>25085.724444444437</v>
      </c>
      <c r="M310">
        <f t="shared" ca="1" si="53"/>
        <v>25086</v>
      </c>
      <c r="N310" t="str">
        <f t="shared" ca="1" si="54"/>
        <v>0110000111111110</v>
      </c>
      <c r="O310">
        <f t="shared" ca="1" si="55"/>
        <v>11000011</v>
      </c>
    </row>
    <row r="311" spans="4:15" x14ac:dyDescent="0.25">
      <c r="D311">
        <v>309</v>
      </c>
      <c r="E311">
        <f t="shared" si="45"/>
        <v>50.900000000000006</v>
      </c>
      <c r="F311">
        <f t="shared" ca="1" si="46"/>
        <v>53.990000000000009</v>
      </c>
      <c r="G311" s="1">
        <f t="shared" si="47"/>
        <v>2.5750000000000002</v>
      </c>
      <c r="H311" s="6">
        <f t="shared" ca="1" si="48"/>
        <v>2.8325000000000005</v>
      </c>
      <c r="I311" s="5">
        <f t="shared" ca="1" si="49"/>
        <v>0.25750000000000028</v>
      </c>
      <c r="J311" s="8">
        <f t="shared" ca="1" si="50"/>
        <v>2.7037500000000003</v>
      </c>
      <c r="K311" s="5">
        <f t="shared" ca="1" si="51"/>
        <v>0.12875000000000014</v>
      </c>
      <c r="L311">
        <f t="shared" ca="1" si="52"/>
        <v>36399.786666666674</v>
      </c>
      <c r="M311">
        <f t="shared" ca="1" si="53"/>
        <v>36400</v>
      </c>
      <c r="N311" t="str">
        <f t="shared" ca="1" si="54"/>
        <v>1000111000110000</v>
      </c>
      <c r="O311">
        <f t="shared" ca="1" si="55"/>
        <v>100011100</v>
      </c>
    </row>
    <row r="312" spans="4:15" x14ac:dyDescent="0.25">
      <c r="D312">
        <v>310</v>
      </c>
      <c r="E312">
        <f t="shared" si="45"/>
        <v>51</v>
      </c>
      <c r="F312">
        <f t="shared" ca="1" si="46"/>
        <v>63.4</v>
      </c>
      <c r="G312" s="1">
        <f t="shared" si="47"/>
        <v>2.583333333333333</v>
      </c>
      <c r="H312" s="6">
        <f t="shared" ca="1" si="48"/>
        <v>3.6166666666666663</v>
      </c>
      <c r="I312" s="5">
        <f t="shared" ca="1" si="49"/>
        <v>1.0333333333333332</v>
      </c>
      <c r="J312" s="8">
        <f t="shared" ca="1" si="50"/>
        <v>2.7124999999999999</v>
      </c>
      <c r="K312" s="5">
        <f t="shared" ca="1" si="51"/>
        <v>0.12916666666666687</v>
      </c>
      <c r="L312">
        <f t="shared" ca="1" si="52"/>
        <v>44964.977777777771</v>
      </c>
      <c r="M312">
        <f t="shared" ca="1" si="53"/>
        <v>44965</v>
      </c>
      <c r="N312" t="str">
        <f t="shared" ca="1" si="54"/>
        <v>1010111110100101</v>
      </c>
      <c r="O312">
        <f t="shared" ca="1" si="55"/>
        <v>101011111</v>
      </c>
    </row>
    <row r="313" spans="4:15" x14ac:dyDescent="0.25">
      <c r="D313">
        <v>311</v>
      </c>
      <c r="E313">
        <f t="shared" si="45"/>
        <v>51.1</v>
      </c>
      <c r="F313">
        <f t="shared" ca="1" si="46"/>
        <v>35.549999999999997</v>
      </c>
      <c r="G313" s="1">
        <f t="shared" si="47"/>
        <v>2.5916666666666659</v>
      </c>
      <c r="H313" s="6">
        <f t="shared" ca="1" si="48"/>
        <v>1.2958333333333327</v>
      </c>
      <c r="I313" s="5">
        <f t="shared" ca="1" si="49"/>
        <v>1.2958333333333332</v>
      </c>
      <c r="J313" s="8">
        <f t="shared" ca="1" si="50"/>
        <v>2.7212499999999995</v>
      </c>
      <c r="K313" s="5">
        <f t="shared" ca="1" si="51"/>
        <v>0.12958333333333361</v>
      </c>
      <c r="L313">
        <f t="shared" ca="1" si="52"/>
        <v>19615.288888888881</v>
      </c>
      <c r="M313">
        <f t="shared" ca="1" si="53"/>
        <v>19615</v>
      </c>
      <c r="N313" t="str">
        <f t="shared" ca="1" si="54"/>
        <v>0100110010011111</v>
      </c>
      <c r="O313">
        <f t="shared" ca="1" si="55"/>
        <v>10011001</v>
      </c>
    </row>
    <row r="314" spans="4:15" x14ac:dyDescent="0.25">
      <c r="D314">
        <v>312</v>
      </c>
      <c r="E314">
        <f t="shared" si="45"/>
        <v>51.2</v>
      </c>
      <c r="F314">
        <f t="shared" ca="1" si="46"/>
        <v>48.080000000000005</v>
      </c>
      <c r="G314" s="1">
        <f t="shared" si="47"/>
        <v>2.5999999999999996</v>
      </c>
      <c r="H314" s="6">
        <f t="shared" ca="1" si="48"/>
        <v>2.34</v>
      </c>
      <c r="I314" s="5">
        <f t="shared" ca="1" si="49"/>
        <v>0.25999999999999979</v>
      </c>
      <c r="J314" s="8">
        <f t="shared" ca="1" si="50"/>
        <v>2.4699999999999998</v>
      </c>
      <c r="K314" s="5">
        <f t="shared" ca="1" si="51"/>
        <v>0.12999999999999989</v>
      </c>
      <c r="L314">
        <f t="shared" ca="1" si="52"/>
        <v>31020.373333333333</v>
      </c>
      <c r="M314">
        <f t="shared" ca="1" si="53"/>
        <v>31020</v>
      </c>
      <c r="N314" t="str">
        <f t="shared" ca="1" si="54"/>
        <v>0111100100101100</v>
      </c>
      <c r="O314">
        <f t="shared" ca="1" si="55"/>
        <v>11110010</v>
      </c>
    </row>
    <row r="315" spans="4:15" x14ac:dyDescent="0.25">
      <c r="D315">
        <v>313</v>
      </c>
      <c r="E315">
        <f t="shared" si="45"/>
        <v>51.3</v>
      </c>
      <c r="F315">
        <f t="shared" ca="1" si="46"/>
        <v>45.04</v>
      </c>
      <c r="G315" s="1">
        <f t="shared" si="47"/>
        <v>2.6083333333333325</v>
      </c>
      <c r="H315" s="6">
        <f t="shared" ca="1" si="48"/>
        <v>2.086666666666666</v>
      </c>
      <c r="I315" s="5">
        <f t="shared" ca="1" si="49"/>
        <v>0.5216666666666665</v>
      </c>
      <c r="J315" s="8">
        <f t="shared" ca="1" si="50"/>
        <v>2.4779166666666659</v>
      </c>
      <c r="K315" s="5">
        <f t="shared" ca="1" si="51"/>
        <v>0.13041666666666663</v>
      </c>
      <c r="L315">
        <f t="shared" ca="1" si="52"/>
        <v>28253.297777777771</v>
      </c>
      <c r="M315">
        <f t="shared" ca="1" si="53"/>
        <v>28253</v>
      </c>
      <c r="N315" t="str">
        <f t="shared" ca="1" si="54"/>
        <v>0110111001011101</v>
      </c>
      <c r="O315">
        <f t="shared" ca="1" si="55"/>
        <v>11011100</v>
      </c>
    </row>
    <row r="316" spans="4:15" x14ac:dyDescent="0.25">
      <c r="D316">
        <v>314</v>
      </c>
      <c r="E316">
        <f t="shared" si="45"/>
        <v>51.400000000000006</v>
      </c>
      <c r="F316">
        <f t="shared" ca="1" si="46"/>
        <v>41.980000000000004</v>
      </c>
      <c r="G316" s="1">
        <f t="shared" si="47"/>
        <v>2.6166666666666663</v>
      </c>
      <c r="H316" s="6">
        <f t="shared" ca="1" si="48"/>
        <v>1.8316666666666668</v>
      </c>
      <c r="I316" s="5">
        <f t="shared" ca="1" si="49"/>
        <v>0.78499999999999948</v>
      </c>
      <c r="J316" s="8">
        <f t="shared" ca="1" si="50"/>
        <v>2.7474999999999996</v>
      </c>
      <c r="K316" s="5">
        <f t="shared" ca="1" si="51"/>
        <v>0.13083333333333336</v>
      </c>
      <c r="L316">
        <f t="shared" ca="1" si="52"/>
        <v>25468.017777777783</v>
      </c>
      <c r="M316">
        <f t="shared" ca="1" si="53"/>
        <v>25468</v>
      </c>
      <c r="N316" t="str">
        <f t="shared" ca="1" si="54"/>
        <v>0110001101111100</v>
      </c>
      <c r="O316">
        <f t="shared" ca="1" si="55"/>
        <v>11000110</v>
      </c>
    </row>
    <row r="317" spans="4:15" x14ac:dyDescent="0.25">
      <c r="D317">
        <v>315</v>
      </c>
      <c r="E317">
        <f t="shared" si="45"/>
        <v>51.5</v>
      </c>
      <c r="F317">
        <f t="shared" ca="1" si="46"/>
        <v>54.65</v>
      </c>
      <c r="G317" s="1">
        <f t="shared" si="47"/>
        <v>2.6249999999999991</v>
      </c>
      <c r="H317" s="6">
        <f t="shared" ca="1" si="48"/>
        <v>2.8874999999999993</v>
      </c>
      <c r="I317" s="5">
        <f t="shared" ca="1" si="49"/>
        <v>0.26250000000000018</v>
      </c>
      <c r="J317" s="8">
        <f t="shared" ca="1" si="50"/>
        <v>2.493749999999999</v>
      </c>
      <c r="K317" s="5">
        <f t="shared" ca="1" si="51"/>
        <v>0.13125000000000009</v>
      </c>
      <c r="L317">
        <f t="shared" ca="1" si="52"/>
        <v>37000.533333333326</v>
      </c>
      <c r="M317">
        <f t="shared" ca="1" si="53"/>
        <v>37001</v>
      </c>
      <c r="N317" t="str">
        <f t="shared" ca="1" si="54"/>
        <v>1001000010001001</v>
      </c>
      <c r="O317">
        <f t="shared" ca="1" si="55"/>
        <v>100100001</v>
      </c>
    </row>
    <row r="318" spans="4:15" x14ac:dyDescent="0.25">
      <c r="D318">
        <v>316</v>
      </c>
      <c r="E318">
        <f t="shared" si="45"/>
        <v>51.6</v>
      </c>
      <c r="F318">
        <f t="shared" ca="1" si="46"/>
        <v>38.96</v>
      </c>
      <c r="G318" s="1">
        <f t="shared" si="47"/>
        <v>2.6333333333333329</v>
      </c>
      <c r="H318" s="6">
        <f t="shared" ca="1" si="48"/>
        <v>1.5799999999999998</v>
      </c>
      <c r="I318" s="5">
        <f t="shared" ca="1" si="49"/>
        <v>1.053333333333333</v>
      </c>
      <c r="J318" s="8">
        <f t="shared" ca="1" si="50"/>
        <v>2.7649999999999997</v>
      </c>
      <c r="K318" s="5">
        <f t="shared" ca="1" si="51"/>
        <v>0.13166666666666682</v>
      </c>
      <c r="L318">
        <f t="shared" ca="1" si="52"/>
        <v>22719.146666666667</v>
      </c>
      <c r="M318">
        <f t="shared" ca="1" si="53"/>
        <v>22719</v>
      </c>
      <c r="N318" t="str">
        <f t="shared" ca="1" si="54"/>
        <v>0101100010111111</v>
      </c>
      <c r="O318">
        <f t="shared" ca="1" si="55"/>
        <v>10110001</v>
      </c>
    </row>
    <row r="319" spans="4:15" x14ac:dyDescent="0.25">
      <c r="D319">
        <v>317</v>
      </c>
      <c r="E319">
        <f t="shared" si="45"/>
        <v>51.7</v>
      </c>
      <c r="F319">
        <f t="shared" ca="1" si="46"/>
        <v>54.870000000000005</v>
      </c>
      <c r="G319" s="1">
        <f t="shared" si="47"/>
        <v>2.6416666666666666</v>
      </c>
      <c r="H319" s="6">
        <f t="shared" ca="1" si="48"/>
        <v>2.9058333333333328</v>
      </c>
      <c r="I319" s="5">
        <f t="shared" ca="1" si="49"/>
        <v>0.26416666666666622</v>
      </c>
      <c r="J319" s="8">
        <f t="shared" ca="1" si="50"/>
        <v>2.7737500000000002</v>
      </c>
      <c r="K319" s="5">
        <f t="shared" ca="1" si="51"/>
        <v>0.13208333333333355</v>
      </c>
      <c r="L319">
        <f t="shared" ca="1" si="52"/>
        <v>37200.782222222217</v>
      </c>
      <c r="M319">
        <f t="shared" ca="1" si="53"/>
        <v>37201</v>
      </c>
      <c r="N319" t="str">
        <f t="shared" ca="1" si="54"/>
        <v>1001000101010001</v>
      </c>
      <c r="O319">
        <f t="shared" ca="1" si="55"/>
        <v>100100010</v>
      </c>
    </row>
    <row r="320" spans="4:15" x14ac:dyDescent="0.25">
      <c r="D320">
        <v>318</v>
      </c>
      <c r="E320">
        <f t="shared" si="45"/>
        <v>51.8</v>
      </c>
      <c r="F320">
        <f t="shared" ca="1" si="46"/>
        <v>61.339999999999996</v>
      </c>
      <c r="G320" s="1">
        <f t="shared" si="47"/>
        <v>2.6499999999999995</v>
      </c>
      <c r="H320" s="6">
        <f t="shared" ca="1" si="48"/>
        <v>3.4449999999999994</v>
      </c>
      <c r="I320" s="5">
        <f t="shared" ca="1" si="49"/>
        <v>0.79499999999999993</v>
      </c>
      <c r="J320" s="8">
        <f t="shared" ca="1" si="50"/>
        <v>2.5174999999999992</v>
      </c>
      <c r="K320" s="5">
        <f t="shared" ca="1" si="51"/>
        <v>0.13250000000000028</v>
      </c>
      <c r="L320">
        <f t="shared" ca="1" si="52"/>
        <v>43089.919999999991</v>
      </c>
      <c r="M320">
        <f t="shared" ca="1" si="53"/>
        <v>43090</v>
      </c>
      <c r="N320" t="str">
        <f t="shared" ca="1" si="54"/>
        <v>1010100001010010</v>
      </c>
      <c r="O320">
        <f t="shared" ca="1" si="55"/>
        <v>101010000</v>
      </c>
    </row>
    <row r="321" spans="4:15" x14ac:dyDescent="0.25">
      <c r="D321">
        <v>319</v>
      </c>
      <c r="E321">
        <f t="shared" si="45"/>
        <v>51.900000000000006</v>
      </c>
      <c r="F321">
        <f t="shared" ca="1" si="46"/>
        <v>58.280000000000008</v>
      </c>
      <c r="G321" s="1">
        <f t="shared" si="47"/>
        <v>2.6583333333333332</v>
      </c>
      <c r="H321" s="6">
        <f t="shared" ca="1" si="48"/>
        <v>3.1900000000000004</v>
      </c>
      <c r="I321" s="5">
        <f t="shared" ca="1" si="49"/>
        <v>0.53166666666666718</v>
      </c>
      <c r="J321" s="8">
        <f t="shared" ca="1" si="50"/>
        <v>2.5254166666666666</v>
      </c>
      <c r="K321" s="5">
        <f t="shared" ca="1" si="51"/>
        <v>0.13291666666666657</v>
      </c>
      <c r="L321">
        <f t="shared" ca="1" si="52"/>
        <v>40304.640000000007</v>
      </c>
      <c r="M321">
        <f t="shared" ca="1" si="53"/>
        <v>40305</v>
      </c>
      <c r="N321" t="str">
        <f t="shared" ca="1" si="54"/>
        <v>1001110101110001</v>
      </c>
      <c r="O321">
        <f t="shared" ca="1" si="55"/>
        <v>100111010</v>
      </c>
    </row>
    <row r="322" spans="4:15" x14ac:dyDescent="0.25">
      <c r="D322">
        <v>320</v>
      </c>
      <c r="E322">
        <f t="shared" si="45"/>
        <v>52</v>
      </c>
      <c r="F322">
        <f t="shared" ca="1" si="46"/>
        <v>36</v>
      </c>
      <c r="G322" s="1">
        <f t="shared" si="47"/>
        <v>2.6666666666666661</v>
      </c>
      <c r="H322" s="6">
        <f t="shared" ca="1" si="48"/>
        <v>1.3333333333333333</v>
      </c>
      <c r="I322" s="5">
        <f t="shared" ca="1" si="49"/>
        <v>1.3333333333333328</v>
      </c>
      <c r="J322" s="8">
        <f t="shared" ca="1" si="50"/>
        <v>2.5333333333333328</v>
      </c>
      <c r="K322" s="5">
        <f t="shared" ca="1" si="51"/>
        <v>0.1333333333333333</v>
      </c>
      <c r="L322">
        <f t="shared" ca="1" si="52"/>
        <v>20024.888888888887</v>
      </c>
      <c r="M322">
        <f t="shared" ca="1" si="53"/>
        <v>20025</v>
      </c>
      <c r="N322" t="str">
        <f t="shared" ca="1" si="54"/>
        <v>0100111000111001</v>
      </c>
      <c r="O322">
        <f t="shared" ca="1" si="55"/>
        <v>10011100</v>
      </c>
    </row>
    <row r="323" spans="4:15" x14ac:dyDescent="0.25">
      <c r="D323">
        <v>321</v>
      </c>
      <c r="E323">
        <f t="shared" ref="E323:E386" si="56">0.1*D323+20</f>
        <v>52.1</v>
      </c>
      <c r="F323">
        <f t="shared" ref="F323:F386" ca="1" si="57">0.1*D323+20 + (RANDBETWEEN(-5,5)/100)*D323</f>
        <v>42.47</v>
      </c>
      <c r="G323" s="1">
        <f t="shared" ref="G323:G386" si="58">1/12*E323-5/3</f>
        <v>2.6749999999999998</v>
      </c>
      <c r="H323" s="6">
        <f t="shared" ref="H323:H386" ca="1" si="59">1/12*F323-5/3</f>
        <v>1.8724999999999998</v>
      </c>
      <c r="I323" s="5">
        <f t="shared" ref="I323:I386" ca="1" si="60">ABS(G323-H323)</f>
        <v>0.80249999999999999</v>
      </c>
      <c r="J323" s="8">
        <f t="shared" ref="J323:J386" ca="1" si="61" xml:space="preserve"> G323 * (1 + $B$1 * IF(RANDBETWEEN(0,1)=0,-1,1))</f>
        <v>2.8087499999999999</v>
      </c>
      <c r="K323" s="5">
        <f t="shared" ref="K323:K386" ca="1" si="62">ABS(G323-J323)</f>
        <v>0.13375000000000004</v>
      </c>
      <c r="L323">
        <f t="shared" ref="L323:L386" ca="1" si="63">(H323-$B$2)/($B$3-$B$2)*(2^$B$4)</f>
        <v>25914.026666666661</v>
      </c>
      <c r="M323">
        <f t="shared" ref="M323:M386" ca="1" si="64">ROUND(L323,0)</f>
        <v>25914</v>
      </c>
      <c r="N323" t="str">
        <f t="shared" ref="N323:N386" ca="1" si="65">_xlfn.BASE(M323,2,$B$4)</f>
        <v>0110010100111010</v>
      </c>
      <c r="O323">
        <f t="shared" ref="O323:O386" ca="1" si="66">VALUE(LEFT(N323,9))</f>
        <v>11001010</v>
      </c>
    </row>
    <row r="324" spans="4:15" x14ac:dyDescent="0.25">
      <c r="D324">
        <v>322</v>
      </c>
      <c r="E324">
        <f t="shared" si="56"/>
        <v>52.2</v>
      </c>
      <c r="F324">
        <f t="shared" ca="1" si="57"/>
        <v>48.980000000000004</v>
      </c>
      <c r="G324" s="1">
        <f t="shared" si="58"/>
        <v>2.6833333333333327</v>
      </c>
      <c r="H324" s="6">
        <f t="shared" ca="1" si="59"/>
        <v>2.415</v>
      </c>
      <c r="I324" s="5">
        <f t="shared" ca="1" si="60"/>
        <v>0.26833333333333265</v>
      </c>
      <c r="J324" s="8">
        <f t="shared" ca="1" si="61"/>
        <v>2.5491666666666659</v>
      </c>
      <c r="K324" s="5">
        <f t="shared" ca="1" si="62"/>
        <v>0.13416666666666677</v>
      </c>
      <c r="L324">
        <f t="shared" ca="1" si="63"/>
        <v>31839.573333333334</v>
      </c>
      <c r="M324">
        <f t="shared" ca="1" si="64"/>
        <v>31840</v>
      </c>
      <c r="N324" t="str">
        <f t="shared" ca="1" si="65"/>
        <v>0111110001100000</v>
      </c>
      <c r="O324">
        <f t="shared" ca="1" si="66"/>
        <v>11111000</v>
      </c>
    </row>
    <row r="325" spans="4:15" x14ac:dyDescent="0.25">
      <c r="D325">
        <v>323</v>
      </c>
      <c r="E325">
        <f t="shared" si="56"/>
        <v>52.300000000000004</v>
      </c>
      <c r="F325">
        <f t="shared" ca="1" si="57"/>
        <v>61.99</v>
      </c>
      <c r="G325" s="1">
        <f t="shared" si="58"/>
        <v>2.6916666666666664</v>
      </c>
      <c r="H325" s="6">
        <f t="shared" ca="1" si="59"/>
        <v>3.4991666666666665</v>
      </c>
      <c r="I325" s="5">
        <f t="shared" ca="1" si="60"/>
        <v>0.80750000000000011</v>
      </c>
      <c r="J325" s="8">
        <f t="shared" ca="1" si="61"/>
        <v>2.5570833333333329</v>
      </c>
      <c r="K325" s="5">
        <f t="shared" ca="1" si="62"/>
        <v>0.1345833333333335</v>
      </c>
      <c r="L325">
        <f t="shared" ca="1" si="63"/>
        <v>43681.564444444441</v>
      </c>
      <c r="M325">
        <f t="shared" ca="1" si="64"/>
        <v>43682</v>
      </c>
      <c r="N325" t="str">
        <f t="shared" ca="1" si="65"/>
        <v>1010101010100010</v>
      </c>
      <c r="O325">
        <f t="shared" ca="1" si="66"/>
        <v>101010101</v>
      </c>
    </row>
    <row r="326" spans="4:15" x14ac:dyDescent="0.25">
      <c r="D326">
        <v>324</v>
      </c>
      <c r="E326">
        <f t="shared" si="56"/>
        <v>52.4</v>
      </c>
      <c r="F326">
        <f t="shared" ca="1" si="57"/>
        <v>52.4</v>
      </c>
      <c r="G326" s="1">
        <f t="shared" si="58"/>
        <v>2.6999999999999993</v>
      </c>
      <c r="H326" s="6">
        <f t="shared" ca="1" si="59"/>
        <v>2.6999999999999993</v>
      </c>
      <c r="I326" s="5">
        <f t="shared" ca="1" si="60"/>
        <v>0</v>
      </c>
      <c r="J326" s="8">
        <f t="shared" ca="1" si="61"/>
        <v>2.8349999999999995</v>
      </c>
      <c r="K326" s="5">
        <f t="shared" ca="1" si="62"/>
        <v>0.13500000000000023</v>
      </c>
      <c r="L326">
        <f t="shared" ca="1" si="63"/>
        <v>34952.533333333326</v>
      </c>
      <c r="M326">
        <f t="shared" ca="1" si="64"/>
        <v>34953</v>
      </c>
      <c r="N326" t="str">
        <f t="shared" ca="1" si="65"/>
        <v>1000100010001001</v>
      </c>
      <c r="O326">
        <f t="shared" ca="1" si="66"/>
        <v>100010001</v>
      </c>
    </row>
    <row r="327" spans="4:15" x14ac:dyDescent="0.25">
      <c r="D327">
        <v>325</v>
      </c>
      <c r="E327">
        <f t="shared" si="56"/>
        <v>52.5</v>
      </c>
      <c r="F327">
        <f t="shared" ca="1" si="57"/>
        <v>36.25</v>
      </c>
      <c r="G327" s="1">
        <f t="shared" si="58"/>
        <v>2.708333333333333</v>
      </c>
      <c r="H327" s="6">
        <f t="shared" ca="1" si="59"/>
        <v>1.3541666666666663</v>
      </c>
      <c r="I327" s="5">
        <f t="shared" ca="1" si="60"/>
        <v>1.3541666666666667</v>
      </c>
      <c r="J327" s="8">
        <f t="shared" ca="1" si="61"/>
        <v>2.84375</v>
      </c>
      <c r="K327" s="5">
        <f t="shared" ca="1" si="62"/>
        <v>0.13541666666666696</v>
      </c>
      <c r="L327">
        <f t="shared" ca="1" si="63"/>
        <v>20252.444444444442</v>
      </c>
      <c r="M327">
        <f t="shared" ca="1" si="64"/>
        <v>20252</v>
      </c>
      <c r="N327" t="str">
        <f t="shared" ca="1" si="65"/>
        <v>0100111100011100</v>
      </c>
      <c r="O327">
        <f t="shared" ca="1" si="66"/>
        <v>10011110</v>
      </c>
    </row>
    <row r="328" spans="4:15" x14ac:dyDescent="0.25">
      <c r="D328">
        <v>326</v>
      </c>
      <c r="E328">
        <f t="shared" si="56"/>
        <v>52.6</v>
      </c>
      <c r="F328">
        <f t="shared" ca="1" si="57"/>
        <v>39.56</v>
      </c>
      <c r="G328" s="1">
        <f t="shared" si="58"/>
        <v>2.7166666666666659</v>
      </c>
      <c r="H328" s="6">
        <f t="shared" ca="1" si="59"/>
        <v>1.6300000000000001</v>
      </c>
      <c r="I328" s="5">
        <f t="shared" ca="1" si="60"/>
        <v>1.0866666666666658</v>
      </c>
      <c r="J328" s="8">
        <f t="shared" ca="1" si="61"/>
        <v>2.8524999999999991</v>
      </c>
      <c r="K328" s="5">
        <f t="shared" ca="1" si="62"/>
        <v>0.13583333333333325</v>
      </c>
      <c r="L328">
        <f t="shared" ca="1" si="63"/>
        <v>23265.279999999999</v>
      </c>
      <c r="M328">
        <f t="shared" ca="1" si="64"/>
        <v>23265</v>
      </c>
      <c r="N328" t="str">
        <f t="shared" ca="1" si="65"/>
        <v>0101101011100001</v>
      </c>
      <c r="O328">
        <f t="shared" ca="1" si="66"/>
        <v>10110101</v>
      </c>
    </row>
    <row r="329" spans="4:15" x14ac:dyDescent="0.25">
      <c r="D329">
        <v>327</v>
      </c>
      <c r="E329">
        <f t="shared" si="56"/>
        <v>52.7</v>
      </c>
      <c r="F329">
        <f t="shared" ca="1" si="57"/>
        <v>39.620000000000005</v>
      </c>
      <c r="G329" s="1">
        <f t="shared" si="58"/>
        <v>2.7249999999999996</v>
      </c>
      <c r="H329" s="6">
        <f t="shared" ca="1" si="59"/>
        <v>1.635</v>
      </c>
      <c r="I329" s="5">
        <f t="shared" ca="1" si="60"/>
        <v>1.0899999999999996</v>
      </c>
      <c r="J329" s="8">
        <f t="shared" ca="1" si="61"/>
        <v>2.8612499999999996</v>
      </c>
      <c r="K329" s="5">
        <f t="shared" ca="1" si="62"/>
        <v>0.13624999999999998</v>
      </c>
      <c r="L329">
        <f t="shared" ca="1" si="63"/>
        <v>23319.89333333333</v>
      </c>
      <c r="M329">
        <f t="shared" ca="1" si="64"/>
        <v>23320</v>
      </c>
      <c r="N329" t="str">
        <f t="shared" ca="1" si="65"/>
        <v>0101101100011000</v>
      </c>
      <c r="O329">
        <f t="shared" ca="1" si="66"/>
        <v>10110110</v>
      </c>
    </row>
    <row r="330" spans="4:15" x14ac:dyDescent="0.25">
      <c r="D330">
        <v>328</v>
      </c>
      <c r="E330">
        <f t="shared" si="56"/>
        <v>52.800000000000004</v>
      </c>
      <c r="F330">
        <f t="shared" ca="1" si="57"/>
        <v>49.52</v>
      </c>
      <c r="G330" s="1">
        <f t="shared" si="58"/>
        <v>2.7333333333333334</v>
      </c>
      <c r="H330" s="6">
        <f t="shared" ca="1" si="59"/>
        <v>2.46</v>
      </c>
      <c r="I330" s="5">
        <f t="shared" ca="1" si="60"/>
        <v>0.27333333333333343</v>
      </c>
      <c r="J330" s="8">
        <f t="shared" ca="1" si="61"/>
        <v>2.5966666666666667</v>
      </c>
      <c r="K330" s="5">
        <f t="shared" ca="1" si="62"/>
        <v>0.13666666666666671</v>
      </c>
      <c r="L330">
        <f t="shared" ca="1" si="63"/>
        <v>32331.093333333334</v>
      </c>
      <c r="M330">
        <f t="shared" ca="1" si="64"/>
        <v>32331</v>
      </c>
      <c r="N330" t="str">
        <f t="shared" ca="1" si="65"/>
        <v>0111111001001011</v>
      </c>
      <c r="O330">
        <f t="shared" ca="1" si="66"/>
        <v>11111100</v>
      </c>
    </row>
    <row r="331" spans="4:15" x14ac:dyDescent="0.25">
      <c r="D331">
        <v>329</v>
      </c>
      <c r="E331">
        <f t="shared" si="56"/>
        <v>52.9</v>
      </c>
      <c r="F331">
        <f t="shared" ca="1" si="57"/>
        <v>39.739999999999995</v>
      </c>
      <c r="G331" s="1">
        <f t="shared" si="58"/>
        <v>2.7416666666666663</v>
      </c>
      <c r="H331" s="6">
        <f t="shared" ca="1" si="59"/>
        <v>1.6449999999999994</v>
      </c>
      <c r="I331" s="5">
        <f t="shared" ca="1" si="60"/>
        <v>1.0966666666666669</v>
      </c>
      <c r="J331" s="8">
        <f t="shared" ca="1" si="61"/>
        <v>2.8787499999999997</v>
      </c>
      <c r="K331" s="5">
        <f t="shared" ca="1" si="62"/>
        <v>0.13708333333333345</v>
      </c>
      <c r="L331">
        <f t="shared" ca="1" si="63"/>
        <v>23429.119999999995</v>
      </c>
      <c r="M331">
        <f t="shared" ca="1" si="64"/>
        <v>23429</v>
      </c>
      <c r="N331" t="str">
        <f t="shared" ca="1" si="65"/>
        <v>0101101110000101</v>
      </c>
      <c r="O331">
        <f t="shared" ca="1" si="66"/>
        <v>10110111</v>
      </c>
    </row>
    <row r="332" spans="4:15" x14ac:dyDescent="0.25">
      <c r="D332">
        <v>330</v>
      </c>
      <c r="E332">
        <f t="shared" si="56"/>
        <v>53</v>
      </c>
      <c r="F332">
        <f t="shared" ca="1" si="57"/>
        <v>53</v>
      </c>
      <c r="G332" s="1">
        <f t="shared" si="58"/>
        <v>2.7499999999999991</v>
      </c>
      <c r="H332" s="6">
        <f t="shared" ca="1" si="59"/>
        <v>2.7499999999999991</v>
      </c>
      <c r="I332" s="5">
        <f t="shared" ca="1" si="60"/>
        <v>0</v>
      </c>
      <c r="J332" s="8">
        <f t="shared" ca="1" si="61"/>
        <v>2.6124999999999989</v>
      </c>
      <c r="K332" s="5">
        <f t="shared" ca="1" si="62"/>
        <v>0.13750000000000018</v>
      </c>
      <c r="L332">
        <f t="shared" ca="1" si="63"/>
        <v>35498.666666666657</v>
      </c>
      <c r="M332">
        <f t="shared" ca="1" si="64"/>
        <v>35499</v>
      </c>
      <c r="N332" t="str">
        <f t="shared" ca="1" si="65"/>
        <v>1000101010101011</v>
      </c>
      <c r="O332">
        <f t="shared" ca="1" si="66"/>
        <v>100010101</v>
      </c>
    </row>
    <row r="333" spans="4:15" x14ac:dyDescent="0.25">
      <c r="D333">
        <v>331</v>
      </c>
      <c r="E333">
        <f t="shared" si="56"/>
        <v>53.1</v>
      </c>
      <c r="F333">
        <f t="shared" ca="1" si="57"/>
        <v>43.17</v>
      </c>
      <c r="G333" s="1">
        <f t="shared" si="58"/>
        <v>2.7583333333333329</v>
      </c>
      <c r="H333" s="6">
        <f t="shared" ca="1" si="59"/>
        <v>1.9308333333333334</v>
      </c>
      <c r="I333" s="5">
        <f t="shared" ca="1" si="60"/>
        <v>0.82749999999999946</v>
      </c>
      <c r="J333" s="8">
        <f t="shared" ca="1" si="61"/>
        <v>2.620416666666666</v>
      </c>
      <c r="K333" s="5">
        <f t="shared" ca="1" si="62"/>
        <v>0.13791666666666691</v>
      </c>
      <c r="L333">
        <f t="shared" ca="1" si="63"/>
        <v>26551.182222222222</v>
      </c>
      <c r="M333">
        <f t="shared" ca="1" si="64"/>
        <v>26551</v>
      </c>
      <c r="N333" t="str">
        <f t="shared" ca="1" si="65"/>
        <v>0110011110110111</v>
      </c>
      <c r="O333">
        <f t="shared" ca="1" si="66"/>
        <v>11001111</v>
      </c>
    </row>
    <row r="334" spans="4:15" x14ac:dyDescent="0.25">
      <c r="D334">
        <v>332</v>
      </c>
      <c r="E334">
        <f t="shared" si="56"/>
        <v>53.2</v>
      </c>
      <c r="F334">
        <f t="shared" ca="1" si="57"/>
        <v>43.24</v>
      </c>
      <c r="G334" s="1">
        <f t="shared" si="58"/>
        <v>2.7666666666666666</v>
      </c>
      <c r="H334" s="6">
        <f t="shared" ca="1" si="59"/>
        <v>1.9366666666666668</v>
      </c>
      <c r="I334" s="5">
        <f t="shared" ca="1" si="60"/>
        <v>0.82999999999999985</v>
      </c>
      <c r="J334" s="8">
        <f t="shared" ca="1" si="61"/>
        <v>2.628333333333333</v>
      </c>
      <c r="K334" s="5">
        <f t="shared" ca="1" si="62"/>
        <v>0.13833333333333364</v>
      </c>
      <c r="L334">
        <f t="shared" ca="1" si="63"/>
        <v>26614.897777777776</v>
      </c>
      <c r="M334">
        <f t="shared" ca="1" si="64"/>
        <v>26615</v>
      </c>
      <c r="N334" t="str">
        <f t="shared" ca="1" si="65"/>
        <v>0110011111110111</v>
      </c>
      <c r="O334">
        <f t="shared" ca="1" si="66"/>
        <v>11001111</v>
      </c>
    </row>
    <row r="335" spans="4:15" x14ac:dyDescent="0.25">
      <c r="D335">
        <v>333</v>
      </c>
      <c r="E335">
        <f t="shared" si="56"/>
        <v>53.300000000000004</v>
      </c>
      <c r="F335">
        <f t="shared" ca="1" si="57"/>
        <v>66.62</v>
      </c>
      <c r="G335" s="1">
        <f t="shared" si="58"/>
        <v>2.7749999999999995</v>
      </c>
      <c r="H335" s="6">
        <f t="shared" ca="1" si="59"/>
        <v>3.8849999999999998</v>
      </c>
      <c r="I335" s="5">
        <f t="shared" ca="1" si="60"/>
        <v>1.1100000000000003</v>
      </c>
      <c r="J335" s="8">
        <f t="shared" ca="1" si="61"/>
        <v>2.6362499999999995</v>
      </c>
      <c r="K335" s="5">
        <f t="shared" ca="1" si="62"/>
        <v>0.13874999999999993</v>
      </c>
      <c r="L335">
        <f t="shared" ca="1" si="63"/>
        <v>47895.893333333333</v>
      </c>
      <c r="M335">
        <f t="shared" ca="1" si="64"/>
        <v>47896</v>
      </c>
      <c r="N335" t="str">
        <f t="shared" ca="1" si="65"/>
        <v>1011101100011000</v>
      </c>
      <c r="O335">
        <f t="shared" ca="1" si="66"/>
        <v>101110110</v>
      </c>
    </row>
    <row r="336" spans="4:15" x14ac:dyDescent="0.25">
      <c r="D336">
        <v>334</v>
      </c>
      <c r="E336">
        <f t="shared" si="56"/>
        <v>53.4</v>
      </c>
      <c r="F336">
        <f t="shared" ca="1" si="57"/>
        <v>56.739999999999995</v>
      </c>
      <c r="G336" s="1">
        <f t="shared" si="58"/>
        <v>2.7833333333333323</v>
      </c>
      <c r="H336" s="6">
        <f t="shared" ca="1" si="59"/>
        <v>3.0616666666666656</v>
      </c>
      <c r="I336" s="5">
        <f t="shared" ca="1" si="60"/>
        <v>0.27833333333333332</v>
      </c>
      <c r="J336" s="8">
        <f t="shared" ca="1" si="61"/>
        <v>2.6441666666666657</v>
      </c>
      <c r="K336" s="5">
        <f t="shared" ca="1" si="62"/>
        <v>0.13916666666666666</v>
      </c>
      <c r="L336">
        <f t="shared" ca="1" si="63"/>
        <v>38902.897777777769</v>
      </c>
      <c r="M336">
        <f t="shared" ca="1" si="64"/>
        <v>38903</v>
      </c>
      <c r="N336" t="str">
        <f t="shared" ca="1" si="65"/>
        <v>1001011111110111</v>
      </c>
      <c r="O336">
        <f t="shared" ca="1" si="66"/>
        <v>100101111</v>
      </c>
    </row>
    <row r="337" spans="4:15" x14ac:dyDescent="0.25">
      <c r="D337">
        <v>335</v>
      </c>
      <c r="E337">
        <f t="shared" si="56"/>
        <v>53.5</v>
      </c>
      <c r="F337">
        <f t="shared" ca="1" si="57"/>
        <v>40.1</v>
      </c>
      <c r="G337" s="1">
        <f t="shared" si="58"/>
        <v>2.7916666666666661</v>
      </c>
      <c r="H337" s="6">
        <f t="shared" ca="1" si="59"/>
        <v>1.675</v>
      </c>
      <c r="I337" s="5">
        <f t="shared" ca="1" si="60"/>
        <v>1.116666666666666</v>
      </c>
      <c r="J337" s="8">
        <f t="shared" ca="1" si="61"/>
        <v>2.6520833333333327</v>
      </c>
      <c r="K337" s="5">
        <f t="shared" ca="1" si="62"/>
        <v>0.13958333333333339</v>
      </c>
      <c r="L337">
        <f t="shared" ca="1" si="63"/>
        <v>23756.799999999999</v>
      </c>
      <c r="M337">
        <f t="shared" ca="1" si="64"/>
        <v>23757</v>
      </c>
      <c r="N337" t="str">
        <f t="shared" ca="1" si="65"/>
        <v>0101110011001101</v>
      </c>
      <c r="O337">
        <f t="shared" ca="1" si="66"/>
        <v>10111001</v>
      </c>
    </row>
    <row r="338" spans="4:15" x14ac:dyDescent="0.25">
      <c r="D338">
        <v>336</v>
      </c>
      <c r="E338">
        <f t="shared" si="56"/>
        <v>53.6</v>
      </c>
      <c r="F338">
        <f t="shared" ca="1" si="57"/>
        <v>36.799999999999997</v>
      </c>
      <c r="G338" s="1">
        <f t="shared" si="58"/>
        <v>2.8</v>
      </c>
      <c r="H338" s="6">
        <f t="shared" ca="1" si="59"/>
        <v>1.3999999999999997</v>
      </c>
      <c r="I338" s="5">
        <f t="shared" ca="1" si="60"/>
        <v>1.4000000000000001</v>
      </c>
      <c r="J338" s="8">
        <f t="shared" ca="1" si="61"/>
        <v>2.6599999999999997</v>
      </c>
      <c r="K338" s="5">
        <f t="shared" ca="1" si="62"/>
        <v>0.14000000000000012</v>
      </c>
      <c r="L338">
        <f t="shared" ca="1" si="63"/>
        <v>20753.066666666662</v>
      </c>
      <c r="M338">
        <f t="shared" ca="1" si="64"/>
        <v>20753</v>
      </c>
      <c r="N338" t="str">
        <f t="shared" ca="1" si="65"/>
        <v>0101000100010001</v>
      </c>
      <c r="O338">
        <f t="shared" ca="1" si="66"/>
        <v>10100010</v>
      </c>
    </row>
    <row r="339" spans="4:15" x14ac:dyDescent="0.25">
      <c r="D339">
        <v>337</v>
      </c>
      <c r="E339">
        <f t="shared" si="56"/>
        <v>53.7</v>
      </c>
      <c r="F339">
        <f t="shared" ca="1" si="57"/>
        <v>36.85</v>
      </c>
      <c r="G339" s="1">
        <f t="shared" si="58"/>
        <v>2.8083333333333327</v>
      </c>
      <c r="H339" s="6">
        <f t="shared" ca="1" si="59"/>
        <v>1.4041666666666666</v>
      </c>
      <c r="I339" s="5">
        <f t="shared" ca="1" si="60"/>
        <v>1.4041666666666661</v>
      </c>
      <c r="J339" s="8">
        <f t="shared" ca="1" si="61"/>
        <v>2.9487499999999995</v>
      </c>
      <c r="K339" s="5">
        <f t="shared" ca="1" si="62"/>
        <v>0.14041666666666686</v>
      </c>
      <c r="L339">
        <f t="shared" ca="1" si="63"/>
        <v>20798.577777777777</v>
      </c>
      <c r="M339">
        <f t="shared" ca="1" si="64"/>
        <v>20799</v>
      </c>
      <c r="N339" t="str">
        <f t="shared" ca="1" si="65"/>
        <v>0101000100111111</v>
      </c>
      <c r="O339">
        <f t="shared" ca="1" si="66"/>
        <v>10100010</v>
      </c>
    </row>
    <row r="340" spans="4:15" x14ac:dyDescent="0.25">
      <c r="D340">
        <v>338</v>
      </c>
      <c r="E340">
        <f t="shared" si="56"/>
        <v>53.800000000000004</v>
      </c>
      <c r="F340">
        <f t="shared" ca="1" si="57"/>
        <v>36.900000000000006</v>
      </c>
      <c r="G340" s="1">
        <f t="shared" si="58"/>
        <v>2.8166666666666664</v>
      </c>
      <c r="H340" s="6">
        <f t="shared" ca="1" si="59"/>
        <v>1.4083333333333334</v>
      </c>
      <c r="I340" s="5">
        <f t="shared" ca="1" si="60"/>
        <v>1.408333333333333</v>
      </c>
      <c r="J340" s="8">
        <f t="shared" ca="1" si="61"/>
        <v>2.9575</v>
      </c>
      <c r="K340" s="5">
        <f t="shared" ca="1" si="62"/>
        <v>0.14083333333333359</v>
      </c>
      <c r="L340">
        <f t="shared" ca="1" si="63"/>
        <v>20844.088888888891</v>
      </c>
      <c r="M340">
        <f t="shared" ca="1" si="64"/>
        <v>20844</v>
      </c>
      <c r="N340" t="str">
        <f t="shared" ca="1" si="65"/>
        <v>0101000101101100</v>
      </c>
      <c r="O340">
        <f t="shared" ca="1" si="66"/>
        <v>10100010</v>
      </c>
    </row>
    <row r="341" spans="4:15" x14ac:dyDescent="0.25">
      <c r="D341">
        <v>339</v>
      </c>
      <c r="E341">
        <f t="shared" si="56"/>
        <v>53.9</v>
      </c>
      <c r="F341">
        <f t="shared" ca="1" si="57"/>
        <v>53.9</v>
      </c>
      <c r="G341" s="1">
        <f t="shared" si="58"/>
        <v>2.8249999999999993</v>
      </c>
      <c r="H341" s="6">
        <f t="shared" ca="1" si="59"/>
        <v>2.8249999999999993</v>
      </c>
      <c r="I341" s="5">
        <f t="shared" ca="1" si="60"/>
        <v>0</v>
      </c>
      <c r="J341" s="8">
        <f t="shared" ca="1" si="61"/>
        <v>2.9662499999999992</v>
      </c>
      <c r="K341" s="5">
        <f t="shared" ca="1" si="62"/>
        <v>0.14124999999999988</v>
      </c>
      <c r="L341">
        <f t="shared" ca="1" si="63"/>
        <v>36317.866666666661</v>
      </c>
      <c r="M341">
        <f t="shared" ca="1" si="64"/>
        <v>36318</v>
      </c>
      <c r="N341" t="str">
        <f t="shared" ca="1" si="65"/>
        <v>1000110111011110</v>
      </c>
      <c r="O341">
        <f t="shared" ca="1" si="66"/>
        <v>100011011</v>
      </c>
    </row>
    <row r="342" spans="4:15" x14ac:dyDescent="0.25">
      <c r="D342">
        <v>340</v>
      </c>
      <c r="E342">
        <f t="shared" si="56"/>
        <v>54</v>
      </c>
      <c r="F342">
        <f t="shared" ca="1" si="57"/>
        <v>40.4</v>
      </c>
      <c r="G342" s="1">
        <f t="shared" si="58"/>
        <v>2.833333333333333</v>
      </c>
      <c r="H342" s="6">
        <f t="shared" ca="1" si="59"/>
        <v>1.6999999999999995</v>
      </c>
      <c r="I342" s="5">
        <f t="shared" ca="1" si="60"/>
        <v>1.1333333333333335</v>
      </c>
      <c r="J342" s="8">
        <f t="shared" ca="1" si="61"/>
        <v>2.6916666666666664</v>
      </c>
      <c r="K342" s="5">
        <f t="shared" ca="1" si="62"/>
        <v>0.14166666666666661</v>
      </c>
      <c r="L342">
        <f t="shared" ca="1" si="63"/>
        <v>24029.866666666658</v>
      </c>
      <c r="M342">
        <f t="shared" ca="1" si="64"/>
        <v>24030</v>
      </c>
      <c r="N342" t="str">
        <f t="shared" ca="1" si="65"/>
        <v>0101110111011110</v>
      </c>
      <c r="O342">
        <f t="shared" ca="1" si="66"/>
        <v>10111011</v>
      </c>
    </row>
    <row r="343" spans="4:15" x14ac:dyDescent="0.25">
      <c r="D343">
        <v>341</v>
      </c>
      <c r="E343">
        <f t="shared" si="56"/>
        <v>54.1</v>
      </c>
      <c r="F343">
        <f t="shared" ca="1" si="57"/>
        <v>37.049999999999997</v>
      </c>
      <c r="G343" s="1">
        <f t="shared" si="58"/>
        <v>2.8416666666666659</v>
      </c>
      <c r="H343" s="6">
        <f t="shared" ca="1" si="59"/>
        <v>1.4208333333333327</v>
      </c>
      <c r="I343" s="5">
        <f t="shared" ca="1" si="60"/>
        <v>1.4208333333333332</v>
      </c>
      <c r="J343" s="8">
        <f t="shared" ca="1" si="61"/>
        <v>2.9837499999999992</v>
      </c>
      <c r="K343" s="5">
        <f t="shared" ca="1" si="62"/>
        <v>0.14208333333333334</v>
      </c>
      <c r="L343">
        <f t="shared" ca="1" si="63"/>
        <v>20980.622222222217</v>
      </c>
      <c r="M343">
        <f t="shared" ca="1" si="64"/>
        <v>20981</v>
      </c>
      <c r="N343" t="str">
        <f t="shared" ca="1" si="65"/>
        <v>0101000111110101</v>
      </c>
      <c r="O343">
        <f t="shared" ca="1" si="66"/>
        <v>10100011</v>
      </c>
    </row>
    <row r="344" spans="4:15" x14ac:dyDescent="0.25">
      <c r="D344">
        <v>342</v>
      </c>
      <c r="E344">
        <f t="shared" si="56"/>
        <v>54.2</v>
      </c>
      <c r="F344">
        <f t="shared" ca="1" si="57"/>
        <v>64.460000000000008</v>
      </c>
      <c r="G344" s="1">
        <f t="shared" si="58"/>
        <v>2.8499999999999996</v>
      </c>
      <c r="H344" s="6">
        <f t="shared" ca="1" si="59"/>
        <v>3.7050000000000001</v>
      </c>
      <c r="I344" s="5">
        <f t="shared" ca="1" si="60"/>
        <v>0.85500000000000043</v>
      </c>
      <c r="J344" s="8">
        <f t="shared" ca="1" si="61"/>
        <v>2.9924999999999997</v>
      </c>
      <c r="K344" s="5">
        <f t="shared" ca="1" si="62"/>
        <v>0.14250000000000007</v>
      </c>
      <c r="L344">
        <f t="shared" ca="1" si="63"/>
        <v>45929.813333333332</v>
      </c>
      <c r="M344">
        <f t="shared" ca="1" si="64"/>
        <v>45930</v>
      </c>
      <c r="N344" t="str">
        <f t="shared" ca="1" si="65"/>
        <v>1011001101101010</v>
      </c>
      <c r="O344">
        <f t="shared" ca="1" si="66"/>
        <v>101100110</v>
      </c>
    </row>
    <row r="345" spans="4:15" x14ac:dyDescent="0.25">
      <c r="D345">
        <v>343</v>
      </c>
      <c r="E345">
        <f t="shared" si="56"/>
        <v>54.300000000000004</v>
      </c>
      <c r="F345">
        <f t="shared" ca="1" si="57"/>
        <v>57.730000000000004</v>
      </c>
      <c r="G345" s="1">
        <f t="shared" si="58"/>
        <v>2.8583333333333334</v>
      </c>
      <c r="H345" s="6">
        <f t="shared" ca="1" si="59"/>
        <v>3.1441666666666661</v>
      </c>
      <c r="I345" s="5">
        <f t="shared" ca="1" si="60"/>
        <v>0.28583333333333272</v>
      </c>
      <c r="J345" s="8">
        <f t="shared" ca="1" si="61"/>
        <v>2.7154166666666666</v>
      </c>
      <c r="K345" s="5">
        <f t="shared" ca="1" si="62"/>
        <v>0.1429166666666668</v>
      </c>
      <c r="L345">
        <f t="shared" ca="1" si="63"/>
        <v>39804.017777777772</v>
      </c>
      <c r="M345">
        <f t="shared" ca="1" si="64"/>
        <v>39804</v>
      </c>
      <c r="N345" t="str">
        <f t="shared" ca="1" si="65"/>
        <v>1001101101111100</v>
      </c>
      <c r="O345">
        <f t="shared" ca="1" si="66"/>
        <v>100110110</v>
      </c>
    </row>
    <row r="346" spans="4:15" x14ac:dyDescent="0.25">
      <c r="D346">
        <v>344</v>
      </c>
      <c r="E346">
        <f t="shared" si="56"/>
        <v>54.4</v>
      </c>
      <c r="F346">
        <f t="shared" ca="1" si="57"/>
        <v>50.96</v>
      </c>
      <c r="G346" s="1">
        <f t="shared" si="58"/>
        <v>2.8666666666666663</v>
      </c>
      <c r="H346" s="6">
        <f t="shared" ca="1" si="59"/>
        <v>2.5799999999999992</v>
      </c>
      <c r="I346" s="5">
        <f t="shared" ca="1" si="60"/>
        <v>0.28666666666666707</v>
      </c>
      <c r="J346" s="8">
        <f t="shared" ca="1" si="61"/>
        <v>2.7233333333333327</v>
      </c>
      <c r="K346" s="5">
        <f t="shared" ca="1" si="62"/>
        <v>0.14333333333333353</v>
      </c>
      <c r="L346">
        <f t="shared" ca="1" si="63"/>
        <v>33641.813333333324</v>
      </c>
      <c r="M346">
        <f t="shared" ca="1" si="64"/>
        <v>33642</v>
      </c>
      <c r="N346" t="str">
        <f t="shared" ca="1" si="65"/>
        <v>1000001101101010</v>
      </c>
      <c r="O346">
        <f t="shared" ca="1" si="66"/>
        <v>100000110</v>
      </c>
    </row>
    <row r="347" spans="4:15" x14ac:dyDescent="0.25">
      <c r="D347">
        <v>345</v>
      </c>
      <c r="E347">
        <f t="shared" si="56"/>
        <v>54.5</v>
      </c>
      <c r="F347">
        <f t="shared" ca="1" si="57"/>
        <v>40.700000000000003</v>
      </c>
      <c r="G347" s="1">
        <f t="shared" si="58"/>
        <v>2.8749999999999991</v>
      </c>
      <c r="H347" s="6">
        <f t="shared" ca="1" si="59"/>
        <v>1.7249999999999999</v>
      </c>
      <c r="I347" s="5">
        <f t="shared" ca="1" si="60"/>
        <v>1.1499999999999992</v>
      </c>
      <c r="J347" s="8">
        <f t="shared" ca="1" si="61"/>
        <v>2.7312499999999988</v>
      </c>
      <c r="K347" s="5">
        <f t="shared" ca="1" si="62"/>
        <v>0.14375000000000027</v>
      </c>
      <c r="L347">
        <f t="shared" ca="1" si="63"/>
        <v>24302.933333333331</v>
      </c>
      <c r="M347">
        <f t="shared" ca="1" si="64"/>
        <v>24303</v>
      </c>
      <c r="N347" t="str">
        <f t="shared" ca="1" si="65"/>
        <v>0101111011101111</v>
      </c>
      <c r="O347">
        <f t="shared" ca="1" si="66"/>
        <v>10111101</v>
      </c>
    </row>
    <row r="348" spans="4:15" x14ac:dyDescent="0.25">
      <c r="D348">
        <v>346</v>
      </c>
      <c r="E348">
        <f t="shared" si="56"/>
        <v>54.6</v>
      </c>
      <c r="F348">
        <f t="shared" ca="1" si="57"/>
        <v>64.98</v>
      </c>
      <c r="G348" s="1">
        <f t="shared" si="58"/>
        <v>2.8833333333333329</v>
      </c>
      <c r="H348" s="6">
        <f t="shared" ca="1" si="59"/>
        <v>3.7483333333333331</v>
      </c>
      <c r="I348" s="5">
        <f t="shared" ca="1" si="60"/>
        <v>0.86500000000000021</v>
      </c>
      <c r="J348" s="8">
        <f t="shared" ca="1" si="61"/>
        <v>3.0274999999999994</v>
      </c>
      <c r="K348" s="5">
        <f t="shared" ca="1" si="62"/>
        <v>0.14416666666666655</v>
      </c>
      <c r="L348">
        <f t="shared" ca="1" si="63"/>
        <v>46403.128888888888</v>
      </c>
      <c r="M348">
        <f t="shared" ca="1" si="64"/>
        <v>46403</v>
      </c>
      <c r="N348" t="str">
        <f t="shared" ca="1" si="65"/>
        <v>1011010101000011</v>
      </c>
      <c r="O348">
        <f t="shared" ca="1" si="66"/>
        <v>101101010</v>
      </c>
    </row>
    <row r="349" spans="4:15" x14ac:dyDescent="0.25">
      <c r="D349">
        <v>347</v>
      </c>
      <c r="E349">
        <f t="shared" si="56"/>
        <v>54.7</v>
      </c>
      <c r="F349">
        <f t="shared" ca="1" si="57"/>
        <v>72.050000000000011</v>
      </c>
      <c r="G349" s="1">
        <f t="shared" si="58"/>
        <v>2.8916666666666666</v>
      </c>
      <c r="H349" s="6">
        <f t="shared" ca="1" si="59"/>
        <v>4.3375000000000004</v>
      </c>
      <c r="I349" s="5">
        <f t="shared" ca="1" si="60"/>
        <v>1.4458333333333337</v>
      </c>
      <c r="J349" s="8">
        <f t="shared" ca="1" si="61"/>
        <v>3.0362499999999999</v>
      </c>
      <c r="K349" s="5">
        <f t="shared" ca="1" si="62"/>
        <v>0.14458333333333329</v>
      </c>
      <c r="L349">
        <f t="shared" ca="1" si="63"/>
        <v>52838.400000000001</v>
      </c>
      <c r="M349">
        <f t="shared" ca="1" si="64"/>
        <v>52838</v>
      </c>
      <c r="N349" t="str">
        <f t="shared" ca="1" si="65"/>
        <v>1100111001100110</v>
      </c>
      <c r="O349">
        <f t="shared" ca="1" si="66"/>
        <v>110011100</v>
      </c>
    </row>
    <row r="350" spans="4:15" x14ac:dyDescent="0.25">
      <c r="D350">
        <v>348</v>
      </c>
      <c r="E350">
        <f t="shared" si="56"/>
        <v>54.800000000000004</v>
      </c>
      <c r="F350">
        <f t="shared" ca="1" si="57"/>
        <v>40.880000000000003</v>
      </c>
      <c r="G350" s="1">
        <f t="shared" si="58"/>
        <v>2.8999999999999995</v>
      </c>
      <c r="H350" s="6">
        <f t="shared" ca="1" si="59"/>
        <v>1.74</v>
      </c>
      <c r="I350" s="5">
        <f t="shared" ca="1" si="60"/>
        <v>1.1599999999999995</v>
      </c>
      <c r="J350" s="8">
        <f t="shared" ca="1" si="61"/>
        <v>2.7549999999999994</v>
      </c>
      <c r="K350" s="5">
        <f t="shared" ca="1" si="62"/>
        <v>0.14500000000000002</v>
      </c>
      <c r="L350">
        <f t="shared" ca="1" si="63"/>
        <v>24466.773333333334</v>
      </c>
      <c r="M350">
        <f t="shared" ca="1" si="64"/>
        <v>24467</v>
      </c>
      <c r="N350" t="str">
        <f t="shared" ca="1" si="65"/>
        <v>0101111110010011</v>
      </c>
      <c r="O350">
        <f t="shared" ca="1" si="66"/>
        <v>10111111</v>
      </c>
    </row>
    <row r="351" spans="4:15" x14ac:dyDescent="0.25">
      <c r="D351">
        <v>349</v>
      </c>
      <c r="E351">
        <f t="shared" si="56"/>
        <v>54.9</v>
      </c>
      <c r="F351">
        <f t="shared" ca="1" si="57"/>
        <v>40.94</v>
      </c>
      <c r="G351" s="1">
        <f t="shared" si="58"/>
        <v>2.9083333333333323</v>
      </c>
      <c r="H351" s="6">
        <f t="shared" ca="1" si="59"/>
        <v>1.7449999999999994</v>
      </c>
      <c r="I351" s="5">
        <f t="shared" ca="1" si="60"/>
        <v>1.1633333333333329</v>
      </c>
      <c r="J351" s="8">
        <f t="shared" ca="1" si="61"/>
        <v>3.0537499999999991</v>
      </c>
      <c r="K351" s="5">
        <f t="shared" ca="1" si="62"/>
        <v>0.14541666666666675</v>
      </c>
      <c r="L351">
        <f t="shared" ca="1" si="63"/>
        <v>24521.386666666658</v>
      </c>
      <c r="M351">
        <f t="shared" ca="1" si="64"/>
        <v>24521</v>
      </c>
      <c r="N351" t="str">
        <f t="shared" ca="1" si="65"/>
        <v>0101111111001001</v>
      </c>
      <c r="O351">
        <f t="shared" ca="1" si="66"/>
        <v>10111111</v>
      </c>
    </row>
    <row r="352" spans="4:15" x14ac:dyDescent="0.25">
      <c r="D352">
        <v>350</v>
      </c>
      <c r="E352">
        <f t="shared" si="56"/>
        <v>55</v>
      </c>
      <c r="F352">
        <f t="shared" ca="1" si="57"/>
        <v>51.5</v>
      </c>
      <c r="G352" s="1">
        <f t="shared" si="58"/>
        <v>2.9166666666666661</v>
      </c>
      <c r="H352" s="6">
        <f t="shared" ca="1" si="59"/>
        <v>2.6249999999999991</v>
      </c>
      <c r="I352" s="5">
        <f t="shared" ca="1" si="60"/>
        <v>0.29166666666666696</v>
      </c>
      <c r="J352" s="8">
        <f t="shared" ca="1" si="61"/>
        <v>3.0624999999999996</v>
      </c>
      <c r="K352" s="5">
        <f t="shared" ca="1" si="62"/>
        <v>0.14583333333333348</v>
      </c>
      <c r="L352">
        <f t="shared" ca="1" si="63"/>
        <v>34133.333333333321</v>
      </c>
      <c r="M352">
        <f t="shared" ca="1" si="64"/>
        <v>34133</v>
      </c>
      <c r="N352" t="str">
        <f t="shared" ca="1" si="65"/>
        <v>1000010101010101</v>
      </c>
      <c r="O352">
        <f t="shared" ca="1" si="66"/>
        <v>100001010</v>
      </c>
    </row>
    <row r="353" spans="4:15" x14ac:dyDescent="0.25">
      <c r="D353">
        <v>351</v>
      </c>
      <c r="E353">
        <f t="shared" si="56"/>
        <v>55.1</v>
      </c>
      <c r="F353">
        <f t="shared" ca="1" si="57"/>
        <v>72.650000000000006</v>
      </c>
      <c r="G353" s="1">
        <f t="shared" si="58"/>
        <v>2.9249999999999998</v>
      </c>
      <c r="H353" s="6">
        <f t="shared" ca="1" si="59"/>
        <v>4.3875000000000002</v>
      </c>
      <c r="I353" s="5">
        <f t="shared" ca="1" si="60"/>
        <v>1.4625000000000004</v>
      </c>
      <c r="J353" s="8">
        <f t="shared" ca="1" si="61"/>
        <v>3.07125</v>
      </c>
      <c r="K353" s="5">
        <f t="shared" ca="1" si="62"/>
        <v>0.14625000000000021</v>
      </c>
      <c r="L353">
        <f t="shared" ca="1" si="63"/>
        <v>53384.533333333333</v>
      </c>
      <c r="M353">
        <f t="shared" ca="1" si="64"/>
        <v>53385</v>
      </c>
      <c r="N353" t="str">
        <f t="shared" ca="1" si="65"/>
        <v>1101000010001001</v>
      </c>
      <c r="O353">
        <f t="shared" ca="1" si="66"/>
        <v>110100001</v>
      </c>
    </row>
    <row r="354" spans="4:15" x14ac:dyDescent="0.25">
      <c r="D354">
        <v>352</v>
      </c>
      <c r="E354">
        <f t="shared" si="56"/>
        <v>55.2</v>
      </c>
      <c r="F354">
        <f t="shared" ca="1" si="57"/>
        <v>51.68</v>
      </c>
      <c r="G354" s="1">
        <f t="shared" si="58"/>
        <v>2.9333333333333327</v>
      </c>
      <c r="H354" s="6">
        <f t="shared" ca="1" si="59"/>
        <v>2.6399999999999997</v>
      </c>
      <c r="I354" s="5">
        <f t="shared" ca="1" si="60"/>
        <v>0.293333333333333</v>
      </c>
      <c r="J354" s="8">
        <f t="shared" ca="1" si="61"/>
        <v>3.0799999999999996</v>
      </c>
      <c r="K354" s="5">
        <f t="shared" ca="1" si="62"/>
        <v>0.14666666666666694</v>
      </c>
      <c r="L354">
        <f t="shared" ca="1" si="63"/>
        <v>34297.173333333332</v>
      </c>
      <c r="M354">
        <f t="shared" ca="1" si="64"/>
        <v>34297</v>
      </c>
      <c r="N354" t="str">
        <f t="shared" ca="1" si="65"/>
        <v>1000010111111001</v>
      </c>
      <c r="O354">
        <f t="shared" ca="1" si="66"/>
        <v>100001011</v>
      </c>
    </row>
    <row r="355" spans="4:15" x14ac:dyDescent="0.25">
      <c r="D355">
        <v>353</v>
      </c>
      <c r="E355">
        <f t="shared" si="56"/>
        <v>55.300000000000004</v>
      </c>
      <c r="F355">
        <f t="shared" ca="1" si="57"/>
        <v>41.180000000000007</v>
      </c>
      <c r="G355" s="1">
        <f t="shared" si="58"/>
        <v>2.9416666666666664</v>
      </c>
      <c r="H355" s="6">
        <f t="shared" ca="1" si="59"/>
        <v>1.7650000000000003</v>
      </c>
      <c r="I355" s="5">
        <f t="shared" ca="1" si="60"/>
        <v>1.1766666666666661</v>
      </c>
      <c r="J355" s="8">
        <f t="shared" ca="1" si="61"/>
        <v>3.0887499999999997</v>
      </c>
      <c r="K355" s="5">
        <f t="shared" ca="1" si="62"/>
        <v>0.14708333333333323</v>
      </c>
      <c r="L355">
        <f t="shared" ca="1" si="63"/>
        <v>24739.840000000007</v>
      </c>
      <c r="M355">
        <f t="shared" ca="1" si="64"/>
        <v>24740</v>
      </c>
      <c r="N355" t="str">
        <f t="shared" ca="1" si="65"/>
        <v>0110000010100100</v>
      </c>
      <c r="O355">
        <f t="shared" ca="1" si="66"/>
        <v>11000001</v>
      </c>
    </row>
    <row r="356" spans="4:15" x14ac:dyDescent="0.25">
      <c r="D356">
        <v>354</v>
      </c>
      <c r="E356">
        <f t="shared" si="56"/>
        <v>55.4</v>
      </c>
      <c r="F356">
        <f t="shared" ca="1" si="57"/>
        <v>48.32</v>
      </c>
      <c r="G356" s="1">
        <f t="shared" si="58"/>
        <v>2.9499999999999993</v>
      </c>
      <c r="H356" s="6">
        <f t="shared" ca="1" si="59"/>
        <v>2.3599999999999994</v>
      </c>
      <c r="I356" s="5">
        <f t="shared" ca="1" si="60"/>
        <v>0.58999999999999986</v>
      </c>
      <c r="J356" s="8">
        <f t="shared" ca="1" si="61"/>
        <v>2.8024999999999993</v>
      </c>
      <c r="K356" s="5">
        <f t="shared" ca="1" si="62"/>
        <v>0.14749999999999996</v>
      </c>
      <c r="L356">
        <f t="shared" ca="1" si="63"/>
        <v>31238.82666666666</v>
      </c>
      <c r="M356">
        <f t="shared" ca="1" si="64"/>
        <v>31239</v>
      </c>
      <c r="N356" t="str">
        <f t="shared" ca="1" si="65"/>
        <v>0111101000000111</v>
      </c>
      <c r="O356">
        <f t="shared" ca="1" si="66"/>
        <v>11110100</v>
      </c>
    </row>
    <row r="357" spans="4:15" x14ac:dyDescent="0.25">
      <c r="D357">
        <v>355</v>
      </c>
      <c r="E357">
        <f t="shared" si="56"/>
        <v>55.5</v>
      </c>
      <c r="F357">
        <f t="shared" ca="1" si="57"/>
        <v>37.75</v>
      </c>
      <c r="G357" s="1">
        <f t="shared" si="58"/>
        <v>2.958333333333333</v>
      </c>
      <c r="H357" s="6">
        <f t="shared" ca="1" si="59"/>
        <v>1.4791666666666663</v>
      </c>
      <c r="I357" s="5">
        <f t="shared" ca="1" si="60"/>
        <v>1.4791666666666667</v>
      </c>
      <c r="J357" s="8">
        <f t="shared" ca="1" si="61"/>
        <v>2.8104166666666663</v>
      </c>
      <c r="K357" s="5">
        <f t="shared" ca="1" si="62"/>
        <v>0.1479166666666667</v>
      </c>
      <c r="L357">
        <f t="shared" ca="1" si="63"/>
        <v>21617.777777777774</v>
      </c>
      <c r="M357">
        <f t="shared" ca="1" si="64"/>
        <v>21618</v>
      </c>
      <c r="N357" t="str">
        <f t="shared" ca="1" si="65"/>
        <v>0101010001110010</v>
      </c>
      <c r="O357">
        <f t="shared" ca="1" si="66"/>
        <v>10101000</v>
      </c>
    </row>
    <row r="358" spans="4:15" x14ac:dyDescent="0.25">
      <c r="D358">
        <v>356</v>
      </c>
      <c r="E358">
        <f t="shared" si="56"/>
        <v>55.6</v>
      </c>
      <c r="F358">
        <f t="shared" ca="1" si="57"/>
        <v>48.480000000000004</v>
      </c>
      <c r="G358" s="1">
        <f t="shared" si="58"/>
        <v>2.9666666666666659</v>
      </c>
      <c r="H358" s="6">
        <f t="shared" ca="1" si="59"/>
        <v>2.3733333333333331</v>
      </c>
      <c r="I358" s="5">
        <f t="shared" ca="1" si="60"/>
        <v>0.59333333333333282</v>
      </c>
      <c r="J358" s="8">
        <f t="shared" ca="1" si="61"/>
        <v>3.1149999999999993</v>
      </c>
      <c r="K358" s="5">
        <f t="shared" ca="1" si="62"/>
        <v>0.14833333333333343</v>
      </c>
      <c r="L358">
        <f t="shared" ca="1" si="63"/>
        <v>31384.462222222221</v>
      </c>
      <c r="M358">
        <f t="shared" ca="1" si="64"/>
        <v>31384</v>
      </c>
      <c r="N358" t="str">
        <f t="shared" ca="1" si="65"/>
        <v>0111101010011000</v>
      </c>
      <c r="O358">
        <f t="shared" ca="1" si="66"/>
        <v>11110101</v>
      </c>
    </row>
    <row r="359" spans="4:15" x14ac:dyDescent="0.25">
      <c r="D359">
        <v>357</v>
      </c>
      <c r="E359">
        <f t="shared" si="56"/>
        <v>55.7</v>
      </c>
      <c r="F359">
        <f t="shared" ca="1" si="57"/>
        <v>48.56</v>
      </c>
      <c r="G359" s="1">
        <f t="shared" si="58"/>
        <v>2.9749999999999996</v>
      </c>
      <c r="H359" s="6">
        <f t="shared" ca="1" si="59"/>
        <v>2.38</v>
      </c>
      <c r="I359" s="5">
        <f t="shared" ca="1" si="60"/>
        <v>0.59499999999999975</v>
      </c>
      <c r="J359" s="8">
        <f t="shared" ca="1" si="61"/>
        <v>2.8262499999999995</v>
      </c>
      <c r="K359" s="5">
        <f t="shared" ca="1" si="62"/>
        <v>0.14875000000000016</v>
      </c>
      <c r="L359">
        <f t="shared" ca="1" si="63"/>
        <v>31457.279999999999</v>
      </c>
      <c r="M359">
        <f t="shared" ca="1" si="64"/>
        <v>31457</v>
      </c>
      <c r="N359" t="str">
        <f t="shared" ca="1" si="65"/>
        <v>0111101011100001</v>
      </c>
      <c r="O359">
        <f t="shared" ca="1" si="66"/>
        <v>11110101</v>
      </c>
    </row>
    <row r="360" spans="4:15" x14ac:dyDescent="0.25">
      <c r="D360">
        <v>358</v>
      </c>
      <c r="E360">
        <f t="shared" si="56"/>
        <v>55.800000000000004</v>
      </c>
      <c r="F360">
        <f t="shared" ca="1" si="57"/>
        <v>52.220000000000006</v>
      </c>
      <c r="G360" s="1">
        <f t="shared" si="58"/>
        <v>2.9833333333333334</v>
      </c>
      <c r="H360" s="6">
        <f t="shared" ca="1" si="59"/>
        <v>2.6849999999999996</v>
      </c>
      <c r="I360" s="5">
        <f t="shared" ca="1" si="60"/>
        <v>0.29833333333333378</v>
      </c>
      <c r="J360" s="8">
        <f t="shared" ca="1" si="61"/>
        <v>2.8341666666666665</v>
      </c>
      <c r="K360" s="5">
        <f t="shared" ca="1" si="62"/>
        <v>0.14916666666666689</v>
      </c>
      <c r="L360">
        <f t="shared" ca="1" si="63"/>
        <v>34788.693333333329</v>
      </c>
      <c r="M360">
        <f t="shared" ca="1" si="64"/>
        <v>34789</v>
      </c>
      <c r="N360" t="str">
        <f t="shared" ca="1" si="65"/>
        <v>1000011111100101</v>
      </c>
      <c r="O360">
        <f t="shared" ca="1" si="66"/>
        <v>100001111</v>
      </c>
    </row>
    <row r="361" spans="4:15" x14ac:dyDescent="0.25">
      <c r="D361">
        <v>359</v>
      </c>
      <c r="E361">
        <f t="shared" si="56"/>
        <v>55.9</v>
      </c>
      <c r="F361">
        <f t="shared" ca="1" si="57"/>
        <v>66.67</v>
      </c>
      <c r="G361" s="1">
        <f t="shared" si="58"/>
        <v>2.9916666666666663</v>
      </c>
      <c r="H361" s="6">
        <f t="shared" ca="1" si="59"/>
        <v>3.8891666666666662</v>
      </c>
      <c r="I361" s="5">
        <f t="shared" ca="1" si="60"/>
        <v>0.89749999999999996</v>
      </c>
      <c r="J361" s="8">
        <f t="shared" ca="1" si="61"/>
        <v>3.1412499999999999</v>
      </c>
      <c r="K361" s="5">
        <f t="shared" ca="1" si="62"/>
        <v>0.14958333333333362</v>
      </c>
      <c r="L361">
        <f t="shared" ca="1" si="63"/>
        <v>47941.404444444437</v>
      </c>
      <c r="M361">
        <f t="shared" ca="1" si="64"/>
        <v>47941</v>
      </c>
      <c r="N361" t="str">
        <f t="shared" ca="1" si="65"/>
        <v>1011101101000101</v>
      </c>
      <c r="O361">
        <f t="shared" ca="1" si="66"/>
        <v>101110110</v>
      </c>
    </row>
    <row r="362" spans="4:15" x14ac:dyDescent="0.25">
      <c r="D362">
        <v>360</v>
      </c>
      <c r="E362">
        <f t="shared" si="56"/>
        <v>56</v>
      </c>
      <c r="F362">
        <f t="shared" ca="1" si="57"/>
        <v>45.2</v>
      </c>
      <c r="G362" s="1">
        <f t="shared" si="58"/>
        <v>2.9999999999999991</v>
      </c>
      <c r="H362" s="6">
        <f t="shared" ca="1" si="59"/>
        <v>2.0999999999999996</v>
      </c>
      <c r="I362" s="5">
        <f t="shared" ca="1" si="60"/>
        <v>0.89999999999999947</v>
      </c>
      <c r="J362" s="8">
        <f t="shared" ca="1" si="61"/>
        <v>3.149999999999999</v>
      </c>
      <c r="K362" s="5">
        <f t="shared" ca="1" si="62"/>
        <v>0.14999999999999991</v>
      </c>
      <c r="L362">
        <f t="shared" ca="1" si="63"/>
        <v>28398.933333333331</v>
      </c>
      <c r="M362">
        <f t="shared" ca="1" si="64"/>
        <v>28399</v>
      </c>
      <c r="N362" t="str">
        <f t="shared" ca="1" si="65"/>
        <v>0110111011101111</v>
      </c>
      <c r="O362">
        <f t="shared" ca="1" si="66"/>
        <v>11011101</v>
      </c>
    </row>
    <row r="363" spans="4:15" x14ac:dyDescent="0.25">
      <c r="D363">
        <v>361</v>
      </c>
      <c r="E363">
        <f t="shared" si="56"/>
        <v>56.1</v>
      </c>
      <c r="F363">
        <f t="shared" ca="1" si="57"/>
        <v>56.1</v>
      </c>
      <c r="G363" s="1">
        <f t="shared" si="58"/>
        <v>3.0083333333333329</v>
      </c>
      <c r="H363" s="6">
        <f t="shared" ca="1" si="59"/>
        <v>3.0083333333333329</v>
      </c>
      <c r="I363" s="5">
        <f t="shared" ca="1" si="60"/>
        <v>0</v>
      </c>
      <c r="J363" s="8">
        <f t="shared" ca="1" si="61"/>
        <v>2.8579166666666662</v>
      </c>
      <c r="K363" s="5">
        <f t="shared" ca="1" si="62"/>
        <v>0.15041666666666664</v>
      </c>
      <c r="L363">
        <f t="shared" ca="1" si="63"/>
        <v>38320.35555555555</v>
      </c>
      <c r="M363">
        <f t="shared" ca="1" si="64"/>
        <v>38320</v>
      </c>
      <c r="N363" t="str">
        <f t="shared" ca="1" si="65"/>
        <v>1001010110110000</v>
      </c>
      <c r="O363">
        <f t="shared" ca="1" si="66"/>
        <v>100101011</v>
      </c>
    </row>
    <row r="364" spans="4:15" x14ac:dyDescent="0.25">
      <c r="D364">
        <v>362</v>
      </c>
      <c r="E364">
        <f t="shared" si="56"/>
        <v>56.2</v>
      </c>
      <c r="F364">
        <f t="shared" ca="1" si="57"/>
        <v>48.96</v>
      </c>
      <c r="G364" s="1">
        <f t="shared" si="58"/>
        <v>3.0166666666666666</v>
      </c>
      <c r="H364" s="6">
        <f t="shared" ca="1" si="59"/>
        <v>2.4133333333333331</v>
      </c>
      <c r="I364" s="5">
        <f t="shared" ca="1" si="60"/>
        <v>0.6033333333333335</v>
      </c>
      <c r="J364" s="8">
        <f t="shared" ca="1" si="61"/>
        <v>3.1675</v>
      </c>
      <c r="K364" s="5">
        <f t="shared" ca="1" si="62"/>
        <v>0.15083333333333337</v>
      </c>
      <c r="L364">
        <f t="shared" ca="1" si="63"/>
        <v>31821.368888888886</v>
      </c>
      <c r="M364">
        <f t="shared" ca="1" si="64"/>
        <v>31821</v>
      </c>
      <c r="N364" t="str">
        <f t="shared" ca="1" si="65"/>
        <v>0111110001001101</v>
      </c>
      <c r="O364">
        <f t="shared" ca="1" si="66"/>
        <v>11111000</v>
      </c>
    </row>
    <row r="365" spans="4:15" x14ac:dyDescent="0.25">
      <c r="D365">
        <v>363</v>
      </c>
      <c r="E365">
        <f t="shared" si="56"/>
        <v>56.300000000000004</v>
      </c>
      <c r="F365">
        <f t="shared" ca="1" si="57"/>
        <v>49.040000000000006</v>
      </c>
      <c r="G365" s="1">
        <f t="shared" si="58"/>
        <v>3.0249999999999995</v>
      </c>
      <c r="H365" s="6">
        <f t="shared" ca="1" si="59"/>
        <v>2.42</v>
      </c>
      <c r="I365" s="5">
        <f t="shared" ca="1" si="60"/>
        <v>0.60499999999999954</v>
      </c>
      <c r="J365" s="8">
        <f t="shared" ca="1" si="61"/>
        <v>2.8737499999999994</v>
      </c>
      <c r="K365" s="5">
        <f t="shared" ca="1" si="62"/>
        <v>0.15125000000000011</v>
      </c>
      <c r="L365">
        <f t="shared" ca="1" si="63"/>
        <v>31894.186666666665</v>
      </c>
      <c r="M365">
        <f t="shared" ca="1" si="64"/>
        <v>31894</v>
      </c>
      <c r="N365" t="str">
        <f t="shared" ca="1" si="65"/>
        <v>0111110010010110</v>
      </c>
      <c r="O365">
        <f t="shared" ca="1" si="66"/>
        <v>11111001</v>
      </c>
    </row>
    <row r="366" spans="4:15" x14ac:dyDescent="0.25">
      <c r="D366">
        <v>364</v>
      </c>
      <c r="E366">
        <f t="shared" si="56"/>
        <v>56.4</v>
      </c>
      <c r="F366">
        <f t="shared" ca="1" si="57"/>
        <v>63.68</v>
      </c>
      <c r="G366" s="1">
        <f t="shared" si="58"/>
        <v>3.0333333333333323</v>
      </c>
      <c r="H366" s="6">
        <f t="shared" ca="1" si="59"/>
        <v>3.6399999999999997</v>
      </c>
      <c r="I366" s="5">
        <f t="shared" ca="1" si="60"/>
        <v>0.60666666666666735</v>
      </c>
      <c r="J366" s="8">
        <f t="shared" ca="1" si="61"/>
        <v>3.1849999999999992</v>
      </c>
      <c r="K366" s="5">
        <f t="shared" ca="1" si="62"/>
        <v>0.15166666666666684</v>
      </c>
      <c r="L366">
        <f t="shared" ca="1" si="63"/>
        <v>45219.839999999997</v>
      </c>
      <c r="M366">
        <f t="shared" ca="1" si="64"/>
        <v>45220</v>
      </c>
      <c r="N366" t="str">
        <f t="shared" ca="1" si="65"/>
        <v>1011000010100100</v>
      </c>
      <c r="O366">
        <f t="shared" ca="1" si="66"/>
        <v>101100001</v>
      </c>
    </row>
    <row r="367" spans="4:15" x14ac:dyDescent="0.25">
      <c r="D367">
        <v>365</v>
      </c>
      <c r="E367">
        <f t="shared" si="56"/>
        <v>56.5</v>
      </c>
      <c r="F367">
        <f t="shared" ca="1" si="57"/>
        <v>63.8</v>
      </c>
      <c r="G367" s="1">
        <f t="shared" si="58"/>
        <v>3.0416666666666661</v>
      </c>
      <c r="H367" s="6">
        <f t="shared" ca="1" si="59"/>
        <v>3.6499999999999995</v>
      </c>
      <c r="I367" s="5">
        <f t="shared" ca="1" si="60"/>
        <v>0.60833333333333339</v>
      </c>
      <c r="J367" s="8">
        <f t="shared" ca="1" si="61"/>
        <v>3.1937499999999996</v>
      </c>
      <c r="K367" s="5">
        <f t="shared" ca="1" si="62"/>
        <v>0.15208333333333357</v>
      </c>
      <c r="L367">
        <f t="shared" ca="1" si="63"/>
        <v>45329.066666666658</v>
      </c>
      <c r="M367">
        <f t="shared" ca="1" si="64"/>
        <v>45329</v>
      </c>
      <c r="N367" t="str">
        <f t="shared" ca="1" si="65"/>
        <v>1011000100010001</v>
      </c>
      <c r="O367">
        <f t="shared" ca="1" si="66"/>
        <v>101100010</v>
      </c>
    </row>
    <row r="368" spans="4:15" x14ac:dyDescent="0.25">
      <c r="D368">
        <v>366</v>
      </c>
      <c r="E368">
        <f t="shared" si="56"/>
        <v>56.6</v>
      </c>
      <c r="F368">
        <f t="shared" ca="1" si="57"/>
        <v>56.6</v>
      </c>
      <c r="G368" s="1">
        <f t="shared" si="58"/>
        <v>3.05</v>
      </c>
      <c r="H368" s="6">
        <f t="shared" ca="1" si="59"/>
        <v>3.05</v>
      </c>
      <c r="I368" s="5">
        <f t="shared" ca="1" si="60"/>
        <v>0</v>
      </c>
      <c r="J368" s="8">
        <f t="shared" ca="1" si="61"/>
        <v>2.8974999999999995</v>
      </c>
      <c r="K368" s="5">
        <f t="shared" ca="1" si="62"/>
        <v>0.1525000000000003</v>
      </c>
      <c r="L368">
        <f t="shared" ca="1" si="63"/>
        <v>38775.466666666667</v>
      </c>
      <c r="M368">
        <f t="shared" ca="1" si="64"/>
        <v>38775</v>
      </c>
      <c r="N368" t="str">
        <f t="shared" ca="1" si="65"/>
        <v>1001011101110111</v>
      </c>
      <c r="O368">
        <f t="shared" ca="1" si="66"/>
        <v>100101110</v>
      </c>
    </row>
    <row r="369" spans="4:15" x14ac:dyDescent="0.25">
      <c r="D369">
        <v>367</v>
      </c>
      <c r="E369">
        <f t="shared" si="56"/>
        <v>56.7</v>
      </c>
      <c r="F369">
        <f t="shared" ca="1" si="57"/>
        <v>53.03</v>
      </c>
      <c r="G369" s="1">
        <f t="shared" si="58"/>
        <v>3.0583333333333327</v>
      </c>
      <c r="H369" s="6">
        <f t="shared" ca="1" si="59"/>
        <v>2.7524999999999995</v>
      </c>
      <c r="I369" s="5">
        <f t="shared" ca="1" si="60"/>
        <v>0.30583333333333318</v>
      </c>
      <c r="J369" s="8">
        <f t="shared" ca="1" si="61"/>
        <v>3.2112499999999993</v>
      </c>
      <c r="K369" s="5">
        <f t="shared" ca="1" si="62"/>
        <v>0.15291666666666659</v>
      </c>
      <c r="L369">
        <f t="shared" ca="1" si="63"/>
        <v>35525.973333333328</v>
      </c>
      <c r="M369">
        <f t="shared" ca="1" si="64"/>
        <v>35526</v>
      </c>
      <c r="N369" t="str">
        <f t="shared" ca="1" si="65"/>
        <v>1000101011000110</v>
      </c>
      <c r="O369">
        <f t="shared" ca="1" si="66"/>
        <v>100010101</v>
      </c>
    </row>
    <row r="370" spans="4:15" x14ac:dyDescent="0.25">
      <c r="D370">
        <v>368</v>
      </c>
      <c r="E370">
        <f t="shared" si="56"/>
        <v>56.800000000000004</v>
      </c>
      <c r="F370">
        <f t="shared" ca="1" si="57"/>
        <v>42.080000000000005</v>
      </c>
      <c r="G370" s="1">
        <f t="shared" si="58"/>
        <v>3.0666666666666664</v>
      </c>
      <c r="H370" s="6">
        <f t="shared" ca="1" si="59"/>
        <v>1.84</v>
      </c>
      <c r="I370" s="5">
        <f t="shared" ca="1" si="60"/>
        <v>1.2266666666666663</v>
      </c>
      <c r="J370" s="8">
        <f t="shared" ca="1" si="61"/>
        <v>2.9133333333333331</v>
      </c>
      <c r="K370" s="5">
        <f t="shared" ca="1" si="62"/>
        <v>0.15333333333333332</v>
      </c>
      <c r="L370">
        <f t="shared" ca="1" si="63"/>
        <v>25559.039999999997</v>
      </c>
      <c r="M370">
        <f t="shared" ca="1" si="64"/>
        <v>25559</v>
      </c>
      <c r="N370" t="str">
        <f t="shared" ca="1" si="65"/>
        <v>0110001111010111</v>
      </c>
      <c r="O370">
        <f t="shared" ca="1" si="66"/>
        <v>11000111</v>
      </c>
    </row>
    <row r="371" spans="4:15" x14ac:dyDescent="0.25">
      <c r="D371">
        <v>369</v>
      </c>
      <c r="E371">
        <f t="shared" si="56"/>
        <v>56.9</v>
      </c>
      <c r="F371">
        <f t="shared" ca="1" si="57"/>
        <v>71.66</v>
      </c>
      <c r="G371" s="1">
        <f t="shared" si="58"/>
        <v>3.0749999999999993</v>
      </c>
      <c r="H371" s="6">
        <f t="shared" ca="1" si="59"/>
        <v>4.3049999999999988</v>
      </c>
      <c r="I371" s="5">
        <f t="shared" ca="1" si="60"/>
        <v>1.2299999999999995</v>
      </c>
      <c r="J371" s="8">
        <f t="shared" ca="1" si="61"/>
        <v>3.2287499999999993</v>
      </c>
      <c r="K371" s="5">
        <f t="shared" ca="1" si="62"/>
        <v>0.15375000000000005</v>
      </c>
      <c r="L371">
        <f t="shared" ca="1" si="63"/>
        <v>52483.413333333323</v>
      </c>
      <c r="M371">
        <f t="shared" ca="1" si="64"/>
        <v>52483</v>
      </c>
      <c r="N371" t="str">
        <f t="shared" ca="1" si="65"/>
        <v>1100110100000011</v>
      </c>
      <c r="O371">
        <f t="shared" ca="1" si="66"/>
        <v>110011010</v>
      </c>
    </row>
    <row r="372" spans="4:15" x14ac:dyDescent="0.25">
      <c r="D372">
        <v>370</v>
      </c>
      <c r="E372">
        <f t="shared" si="56"/>
        <v>57</v>
      </c>
      <c r="F372">
        <f t="shared" ca="1" si="57"/>
        <v>64.400000000000006</v>
      </c>
      <c r="G372" s="1">
        <f t="shared" si="58"/>
        <v>3.083333333333333</v>
      </c>
      <c r="H372" s="6">
        <f t="shared" ca="1" si="59"/>
        <v>3.7</v>
      </c>
      <c r="I372" s="5">
        <f t="shared" ca="1" si="60"/>
        <v>0.61666666666666714</v>
      </c>
      <c r="J372" s="8">
        <f t="shared" ca="1" si="61"/>
        <v>2.9291666666666663</v>
      </c>
      <c r="K372" s="5">
        <f t="shared" ca="1" si="62"/>
        <v>0.15416666666666679</v>
      </c>
      <c r="L372">
        <f t="shared" ca="1" si="63"/>
        <v>45875.200000000004</v>
      </c>
      <c r="M372">
        <f t="shared" ca="1" si="64"/>
        <v>45875</v>
      </c>
      <c r="N372" t="str">
        <f t="shared" ca="1" si="65"/>
        <v>1011001100110011</v>
      </c>
      <c r="O372">
        <f t="shared" ca="1" si="66"/>
        <v>101100110</v>
      </c>
    </row>
    <row r="373" spans="4:15" x14ac:dyDescent="0.25">
      <c r="D373">
        <v>371</v>
      </c>
      <c r="E373">
        <f t="shared" si="56"/>
        <v>57.1</v>
      </c>
      <c r="F373">
        <f t="shared" ca="1" si="57"/>
        <v>60.81</v>
      </c>
      <c r="G373" s="1">
        <f t="shared" si="58"/>
        <v>3.0916666666666659</v>
      </c>
      <c r="H373" s="6">
        <f t="shared" ca="1" si="59"/>
        <v>3.4008333333333329</v>
      </c>
      <c r="I373" s="5">
        <f t="shared" ca="1" si="60"/>
        <v>0.30916666666666703</v>
      </c>
      <c r="J373" s="8">
        <f t="shared" ca="1" si="61"/>
        <v>2.9370833333333324</v>
      </c>
      <c r="K373" s="5">
        <f t="shared" ca="1" si="62"/>
        <v>0.15458333333333352</v>
      </c>
      <c r="L373">
        <f t="shared" ca="1" si="63"/>
        <v>42607.502222222218</v>
      </c>
      <c r="M373">
        <f t="shared" ca="1" si="64"/>
        <v>42608</v>
      </c>
      <c r="N373" t="str">
        <f t="shared" ca="1" si="65"/>
        <v>1010011001110000</v>
      </c>
      <c r="O373">
        <f t="shared" ca="1" si="66"/>
        <v>101001100</v>
      </c>
    </row>
    <row r="374" spans="4:15" x14ac:dyDescent="0.25">
      <c r="D374">
        <v>372</v>
      </c>
      <c r="E374">
        <f t="shared" si="56"/>
        <v>57.2</v>
      </c>
      <c r="F374">
        <f t="shared" ca="1" si="57"/>
        <v>49.760000000000005</v>
      </c>
      <c r="G374" s="1">
        <f t="shared" si="58"/>
        <v>3.0999999999999996</v>
      </c>
      <c r="H374" s="6">
        <f t="shared" ca="1" si="59"/>
        <v>2.4799999999999995</v>
      </c>
      <c r="I374" s="5">
        <f t="shared" ca="1" si="60"/>
        <v>0.62000000000000011</v>
      </c>
      <c r="J374" s="8">
        <f t="shared" ca="1" si="61"/>
        <v>3.2549999999999999</v>
      </c>
      <c r="K374" s="5">
        <f t="shared" ca="1" si="62"/>
        <v>0.15500000000000025</v>
      </c>
      <c r="L374">
        <f t="shared" ca="1" si="63"/>
        <v>32549.546666666662</v>
      </c>
      <c r="M374">
        <f t="shared" ca="1" si="64"/>
        <v>32550</v>
      </c>
      <c r="N374" t="str">
        <f t="shared" ca="1" si="65"/>
        <v>0111111100100110</v>
      </c>
      <c r="O374">
        <f t="shared" ca="1" si="66"/>
        <v>11111110</v>
      </c>
    </row>
    <row r="375" spans="4:15" x14ac:dyDescent="0.25">
      <c r="D375">
        <v>373</v>
      </c>
      <c r="E375">
        <f t="shared" si="56"/>
        <v>57.300000000000004</v>
      </c>
      <c r="F375">
        <f t="shared" ca="1" si="57"/>
        <v>68.490000000000009</v>
      </c>
      <c r="G375" s="1">
        <f t="shared" si="58"/>
        <v>3.1083333333333334</v>
      </c>
      <c r="H375" s="6">
        <f t="shared" ca="1" si="59"/>
        <v>4.0408333333333335</v>
      </c>
      <c r="I375" s="5">
        <f t="shared" ca="1" si="60"/>
        <v>0.93250000000000011</v>
      </c>
      <c r="J375" s="8">
        <f t="shared" ca="1" si="61"/>
        <v>3.2637500000000004</v>
      </c>
      <c r="K375" s="5">
        <f t="shared" ca="1" si="62"/>
        <v>0.15541666666666698</v>
      </c>
      <c r="L375">
        <f t="shared" ca="1" si="63"/>
        <v>49598.008888888893</v>
      </c>
      <c r="M375">
        <f t="shared" ca="1" si="64"/>
        <v>49598</v>
      </c>
      <c r="N375" t="str">
        <f t="shared" ca="1" si="65"/>
        <v>1100000110111110</v>
      </c>
      <c r="O375">
        <f t="shared" ca="1" si="66"/>
        <v>110000011</v>
      </c>
    </row>
    <row r="376" spans="4:15" x14ac:dyDescent="0.25">
      <c r="D376">
        <v>374</v>
      </c>
      <c r="E376">
        <f t="shared" si="56"/>
        <v>57.4</v>
      </c>
      <c r="F376">
        <f t="shared" ca="1" si="57"/>
        <v>49.92</v>
      </c>
      <c r="G376" s="1">
        <f t="shared" si="58"/>
        <v>3.1166666666666663</v>
      </c>
      <c r="H376" s="6">
        <f t="shared" ca="1" si="59"/>
        <v>2.4933333333333332</v>
      </c>
      <c r="I376" s="5">
        <f t="shared" ca="1" si="60"/>
        <v>0.62333333333333307</v>
      </c>
      <c r="J376" s="8">
        <f t="shared" ca="1" si="61"/>
        <v>3.2724999999999995</v>
      </c>
      <c r="K376" s="5">
        <f t="shared" ca="1" si="62"/>
        <v>0.15583333333333327</v>
      </c>
      <c r="L376">
        <f t="shared" ca="1" si="63"/>
        <v>32695.182222222222</v>
      </c>
      <c r="M376">
        <f t="shared" ca="1" si="64"/>
        <v>32695</v>
      </c>
      <c r="N376" t="str">
        <f t="shared" ca="1" si="65"/>
        <v>0111111110110111</v>
      </c>
      <c r="O376">
        <f t="shared" ca="1" si="66"/>
        <v>11111111</v>
      </c>
    </row>
    <row r="377" spans="4:15" x14ac:dyDescent="0.25">
      <c r="D377">
        <v>375</v>
      </c>
      <c r="E377">
        <f t="shared" si="56"/>
        <v>57.5</v>
      </c>
      <c r="F377">
        <f t="shared" ca="1" si="57"/>
        <v>72.5</v>
      </c>
      <c r="G377" s="1">
        <f t="shared" si="58"/>
        <v>3.1249999999999991</v>
      </c>
      <c r="H377" s="6">
        <f t="shared" ca="1" si="59"/>
        <v>4.3749999999999991</v>
      </c>
      <c r="I377" s="5">
        <f t="shared" ca="1" si="60"/>
        <v>1.25</v>
      </c>
      <c r="J377" s="8">
        <f t="shared" ca="1" si="61"/>
        <v>2.9687499999999991</v>
      </c>
      <c r="K377" s="5">
        <f t="shared" ca="1" si="62"/>
        <v>0.15625</v>
      </c>
      <c r="L377">
        <f t="shared" ca="1" si="63"/>
        <v>53247.999999999993</v>
      </c>
      <c r="M377">
        <f t="shared" ca="1" si="64"/>
        <v>53248</v>
      </c>
      <c r="N377" t="str">
        <f t="shared" ca="1" si="65"/>
        <v>1101000000000000</v>
      </c>
      <c r="O377">
        <f t="shared" ca="1" si="66"/>
        <v>110100000</v>
      </c>
    </row>
    <row r="378" spans="4:15" x14ac:dyDescent="0.25">
      <c r="D378">
        <v>376</v>
      </c>
      <c r="E378">
        <f t="shared" si="56"/>
        <v>57.6</v>
      </c>
      <c r="F378">
        <f t="shared" ca="1" si="57"/>
        <v>53.84</v>
      </c>
      <c r="G378" s="1">
        <f t="shared" si="58"/>
        <v>3.1333333333333329</v>
      </c>
      <c r="H378" s="6">
        <f t="shared" ca="1" si="59"/>
        <v>2.8199999999999994</v>
      </c>
      <c r="I378" s="5">
        <f t="shared" ca="1" si="60"/>
        <v>0.31333333333333346</v>
      </c>
      <c r="J378" s="8">
        <f t="shared" ca="1" si="61"/>
        <v>2.9766666666666661</v>
      </c>
      <c r="K378" s="5">
        <f t="shared" ca="1" si="62"/>
        <v>0.15666666666666673</v>
      </c>
      <c r="L378">
        <f t="shared" ca="1" si="63"/>
        <v>36263.253333333327</v>
      </c>
      <c r="M378">
        <f t="shared" ca="1" si="64"/>
        <v>36263</v>
      </c>
      <c r="N378" t="str">
        <f t="shared" ca="1" si="65"/>
        <v>1000110110100111</v>
      </c>
      <c r="O378">
        <f t="shared" ca="1" si="66"/>
        <v>100011011</v>
      </c>
    </row>
    <row r="379" spans="4:15" x14ac:dyDescent="0.25">
      <c r="D379">
        <v>377</v>
      </c>
      <c r="E379">
        <f t="shared" si="56"/>
        <v>57.7</v>
      </c>
      <c r="F379">
        <f t="shared" ca="1" si="57"/>
        <v>38.85</v>
      </c>
      <c r="G379" s="1">
        <f t="shared" si="58"/>
        <v>3.1416666666666666</v>
      </c>
      <c r="H379" s="6">
        <f t="shared" ca="1" si="59"/>
        <v>1.5708333333333331</v>
      </c>
      <c r="I379" s="5">
        <f t="shared" ca="1" si="60"/>
        <v>1.5708333333333335</v>
      </c>
      <c r="J379" s="8">
        <f t="shared" ca="1" si="61"/>
        <v>3.2987500000000001</v>
      </c>
      <c r="K379" s="5">
        <f t="shared" ca="1" si="62"/>
        <v>0.15708333333333346</v>
      </c>
      <c r="L379">
        <f t="shared" ca="1" si="63"/>
        <v>22619.022222222218</v>
      </c>
      <c r="M379">
        <f t="shared" ca="1" si="64"/>
        <v>22619</v>
      </c>
      <c r="N379" t="str">
        <f t="shared" ca="1" si="65"/>
        <v>0101100001011011</v>
      </c>
      <c r="O379">
        <f t="shared" ca="1" si="66"/>
        <v>10110000</v>
      </c>
    </row>
    <row r="380" spans="4:15" x14ac:dyDescent="0.25">
      <c r="D380">
        <v>378</v>
      </c>
      <c r="E380">
        <f t="shared" si="56"/>
        <v>57.800000000000004</v>
      </c>
      <c r="F380">
        <f t="shared" ca="1" si="57"/>
        <v>38.900000000000006</v>
      </c>
      <c r="G380" s="1">
        <f t="shared" si="58"/>
        <v>3.1499999999999995</v>
      </c>
      <c r="H380" s="6">
        <f t="shared" ca="1" si="59"/>
        <v>1.5750000000000004</v>
      </c>
      <c r="I380" s="5">
        <f t="shared" ca="1" si="60"/>
        <v>1.5749999999999991</v>
      </c>
      <c r="J380" s="8">
        <f t="shared" ca="1" si="61"/>
        <v>2.9924999999999993</v>
      </c>
      <c r="K380" s="5">
        <f t="shared" ca="1" si="62"/>
        <v>0.1575000000000002</v>
      </c>
      <c r="L380">
        <f t="shared" ca="1" si="63"/>
        <v>22664.533333333336</v>
      </c>
      <c r="M380">
        <f t="shared" ca="1" si="64"/>
        <v>22665</v>
      </c>
      <c r="N380" t="str">
        <f t="shared" ca="1" si="65"/>
        <v>0101100010001001</v>
      </c>
      <c r="O380">
        <f t="shared" ca="1" si="66"/>
        <v>10110001</v>
      </c>
    </row>
    <row r="381" spans="4:15" x14ac:dyDescent="0.25">
      <c r="D381">
        <v>379</v>
      </c>
      <c r="E381">
        <f t="shared" si="56"/>
        <v>57.9</v>
      </c>
      <c r="F381">
        <f t="shared" ca="1" si="57"/>
        <v>38.950000000000003</v>
      </c>
      <c r="G381" s="1">
        <f t="shared" si="58"/>
        <v>3.1583333333333323</v>
      </c>
      <c r="H381" s="6">
        <f t="shared" ca="1" si="59"/>
        <v>1.5791666666666668</v>
      </c>
      <c r="I381" s="5">
        <f t="shared" ca="1" si="60"/>
        <v>1.5791666666666655</v>
      </c>
      <c r="J381" s="8">
        <f t="shared" ca="1" si="61"/>
        <v>3.0004166666666654</v>
      </c>
      <c r="K381" s="5">
        <f t="shared" ca="1" si="62"/>
        <v>0.15791666666666693</v>
      </c>
      <c r="L381">
        <f t="shared" ca="1" si="63"/>
        <v>22710.044444444444</v>
      </c>
      <c r="M381">
        <f t="shared" ca="1" si="64"/>
        <v>22710</v>
      </c>
      <c r="N381" t="str">
        <f t="shared" ca="1" si="65"/>
        <v>0101100010110110</v>
      </c>
      <c r="O381">
        <f t="shared" ca="1" si="66"/>
        <v>10110001</v>
      </c>
    </row>
    <row r="382" spans="4:15" x14ac:dyDescent="0.25">
      <c r="D382">
        <v>380</v>
      </c>
      <c r="E382">
        <f t="shared" si="56"/>
        <v>58</v>
      </c>
      <c r="F382">
        <f t="shared" ca="1" si="57"/>
        <v>46.6</v>
      </c>
      <c r="G382" s="1">
        <f t="shared" si="58"/>
        <v>3.1666666666666661</v>
      </c>
      <c r="H382" s="6">
        <f t="shared" ca="1" si="59"/>
        <v>2.2166666666666668</v>
      </c>
      <c r="I382" s="5">
        <f t="shared" ca="1" si="60"/>
        <v>0.94999999999999929</v>
      </c>
      <c r="J382" s="8">
        <f t="shared" ca="1" si="61"/>
        <v>3.3249999999999997</v>
      </c>
      <c r="K382" s="5">
        <f t="shared" ca="1" si="62"/>
        <v>0.15833333333333366</v>
      </c>
      <c r="L382">
        <f t="shared" ca="1" si="63"/>
        <v>29673.244444444445</v>
      </c>
      <c r="M382">
        <f t="shared" ca="1" si="64"/>
        <v>29673</v>
      </c>
      <c r="N382" t="str">
        <f t="shared" ca="1" si="65"/>
        <v>0111001111101001</v>
      </c>
      <c r="O382">
        <f t="shared" ca="1" si="66"/>
        <v>11100111</v>
      </c>
    </row>
    <row r="383" spans="4:15" x14ac:dyDescent="0.25">
      <c r="D383">
        <v>381</v>
      </c>
      <c r="E383">
        <f t="shared" si="56"/>
        <v>58.1</v>
      </c>
      <c r="F383">
        <f t="shared" ca="1" si="57"/>
        <v>46.67</v>
      </c>
      <c r="G383" s="1">
        <f t="shared" si="58"/>
        <v>3.1749999999999998</v>
      </c>
      <c r="H383" s="6">
        <f t="shared" ca="1" si="59"/>
        <v>2.2225000000000001</v>
      </c>
      <c r="I383" s="5">
        <f t="shared" ca="1" si="60"/>
        <v>0.95249999999999968</v>
      </c>
      <c r="J383" s="8">
        <f t="shared" ca="1" si="61"/>
        <v>3.3337499999999998</v>
      </c>
      <c r="K383" s="5">
        <f t="shared" ca="1" si="62"/>
        <v>0.15874999999999995</v>
      </c>
      <c r="L383">
        <f t="shared" ca="1" si="63"/>
        <v>29736.960000000003</v>
      </c>
      <c r="M383">
        <f t="shared" ca="1" si="64"/>
        <v>29737</v>
      </c>
      <c r="N383" t="str">
        <f t="shared" ca="1" si="65"/>
        <v>0111010000101001</v>
      </c>
      <c r="O383">
        <f t="shared" ca="1" si="66"/>
        <v>11101000</v>
      </c>
    </row>
    <row r="384" spans="4:15" x14ac:dyDescent="0.25">
      <c r="D384">
        <v>382</v>
      </c>
      <c r="E384">
        <f t="shared" si="56"/>
        <v>58.2</v>
      </c>
      <c r="F384">
        <f t="shared" ca="1" si="57"/>
        <v>46.74</v>
      </c>
      <c r="G384" s="1">
        <f t="shared" si="58"/>
        <v>3.1833333333333327</v>
      </c>
      <c r="H384" s="6">
        <f t="shared" ca="1" si="59"/>
        <v>2.2283333333333335</v>
      </c>
      <c r="I384" s="5">
        <f t="shared" ca="1" si="60"/>
        <v>0.95499999999999918</v>
      </c>
      <c r="J384" s="8">
        <f t="shared" ca="1" si="61"/>
        <v>3.024166666666666</v>
      </c>
      <c r="K384" s="5">
        <f t="shared" ca="1" si="62"/>
        <v>0.15916666666666668</v>
      </c>
      <c r="L384">
        <f t="shared" ca="1" si="63"/>
        <v>29800.675555555557</v>
      </c>
      <c r="M384">
        <f t="shared" ca="1" si="64"/>
        <v>29801</v>
      </c>
      <c r="N384" t="str">
        <f t="shared" ca="1" si="65"/>
        <v>0111010001101001</v>
      </c>
      <c r="O384">
        <f t="shared" ca="1" si="66"/>
        <v>11101000</v>
      </c>
    </row>
    <row r="385" spans="4:15" x14ac:dyDescent="0.25">
      <c r="D385">
        <v>383</v>
      </c>
      <c r="E385">
        <f t="shared" si="56"/>
        <v>58.300000000000004</v>
      </c>
      <c r="F385">
        <f t="shared" ca="1" si="57"/>
        <v>62.13</v>
      </c>
      <c r="G385" s="1">
        <f t="shared" si="58"/>
        <v>3.1916666666666664</v>
      </c>
      <c r="H385" s="6">
        <f t="shared" ca="1" si="59"/>
        <v>3.5108333333333333</v>
      </c>
      <c r="I385" s="5">
        <f t="shared" ca="1" si="60"/>
        <v>0.31916666666666682</v>
      </c>
      <c r="J385" s="8">
        <f t="shared" ca="1" si="61"/>
        <v>3.3512499999999998</v>
      </c>
      <c r="K385" s="5">
        <f t="shared" ca="1" si="62"/>
        <v>0.15958333333333341</v>
      </c>
      <c r="L385">
        <f t="shared" ca="1" si="63"/>
        <v>43808.995555555557</v>
      </c>
      <c r="M385">
        <f t="shared" ca="1" si="64"/>
        <v>43809</v>
      </c>
      <c r="N385" t="str">
        <f t="shared" ca="1" si="65"/>
        <v>1010101100100001</v>
      </c>
      <c r="O385">
        <f t="shared" ca="1" si="66"/>
        <v>101010110</v>
      </c>
    </row>
    <row r="386" spans="4:15" x14ac:dyDescent="0.25">
      <c r="D386">
        <v>384</v>
      </c>
      <c r="E386">
        <f t="shared" si="56"/>
        <v>58.400000000000006</v>
      </c>
      <c r="F386">
        <f t="shared" ca="1" si="57"/>
        <v>43.040000000000006</v>
      </c>
      <c r="G386" s="1">
        <f t="shared" si="58"/>
        <v>3.2</v>
      </c>
      <c r="H386" s="6">
        <f t="shared" ca="1" si="59"/>
        <v>1.9200000000000002</v>
      </c>
      <c r="I386" s="5">
        <f t="shared" ca="1" si="60"/>
        <v>1.28</v>
      </c>
      <c r="J386" s="8">
        <f t="shared" ca="1" si="61"/>
        <v>3.04</v>
      </c>
      <c r="K386" s="5">
        <f t="shared" ca="1" si="62"/>
        <v>0.16000000000000014</v>
      </c>
      <c r="L386">
        <f t="shared" ca="1" si="63"/>
        <v>26432.853333333333</v>
      </c>
      <c r="M386">
        <f t="shared" ca="1" si="64"/>
        <v>26433</v>
      </c>
      <c r="N386" t="str">
        <f t="shared" ca="1" si="65"/>
        <v>0110011101000001</v>
      </c>
      <c r="O386">
        <f t="shared" ca="1" si="66"/>
        <v>11001110</v>
      </c>
    </row>
    <row r="387" spans="4:15" x14ac:dyDescent="0.25">
      <c r="D387">
        <v>385</v>
      </c>
      <c r="E387">
        <f t="shared" ref="E387:E450" si="67">0.1*D387+20</f>
        <v>58.5</v>
      </c>
      <c r="F387">
        <f t="shared" ref="F387:F450" ca="1" si="68">0.1*D387+20 + (RANDBETWEEN(-5,5)/100)*D387</f>
        <v>54.65</v>
      </c>
      <c r="G387" s="1">
        <f t="shared" ref="G387:G450" si="69">1/12*E387-5/3</f>
        <v>3.208333333333333</v>
      </c>
      <c r="H387" s="6">
        <f t="shared" ref="H387:H450" ca="1" si="70">1/12*F387-5/3</f>
        <v>2.8874999999999993</v>
      </c>
      <c r="I387" s="5">
        <f t="shared" ref="I387:I450" ca="1" si="71">ABS(G387-H387)</f>
        <v>0.32083333333333375</v>
      </c>
      <c r="J387" s="8">
        <f t="shared" ref="J387:J450" ca="1" si="72" xml:space="preserve"> G387 * (1 + $B$1 * IF(RANDBETWEEN(0,1)=0,-1,1))</f>
        <v>3.3687499999999999</v>
      </c>
      <c r="K387" s="5">
        <f t="shared" ref="K387:K450" ca="1" si="73">ABS(G387-J387)</f>
        <v>0.16041666666666687</v>
      </c>
      <c r="L387">
        <f t="shared" ref="L387:L450" ca="1" si="74">(H387-$B$2)/($B$3-$B$2)*(2^$B$4)</f>
        <v>37000.533333333326</v>
      </c>
      <c r="M387">
        <f t="shared" ref="M387:M450" ca="1" si="75">ROUND(L387,0)</f>
        <v>37001</v>
      </c>
      <c r="N387" t="str">
        <f t="shared" ref="N387:N450" ca="1" si="76">_xlfn.BASE(M387,2,$B$4)</f>
        <v>1001000010001001</v>
      </c>
      <c r="O387">
        <f t="shared" ref="O387:O450" ca="1" si="77">VALUE(LEFT(N387,9))</f>
        <v>100100001</v>
      </c>
    </row>
    <row r="388" spans="4:15" x14ac:dyDescent="0.25">
      <c r="D388">
        <v>386</v>
      </c>
      <c r="E388">
        <f t="shared" si="67"/>
        <v>58.6</v>
      </c>
      <c r="F388">
        <f t="shared" ca="1" si="68"/>
        <v>54.74</v>
      </c>
      <c r="G388" s="1">
        <f t="shared" si="69"/>
        <v>3.2166666666666659</v>
      </c>
      <c r="H388" s="6">
        <f t="shared" ca="1" si="70"/>
        <v>2.8949999999999996</v>
      </c>
      <c r="I388" s="5">
        <f t="shared" ca="1" si="71"/>
        <v>0.32166666666666632</v>
      </c>
      <c r="J388" s="8">
        <f t="shared" ca="1" si="72"/>
        <v>3.3774999999999995</v>
      </c>
      <c r="K388" s="5">
        <f t="shared" ca="1" si="73"/>
        <v>0.16083333333333361</v>
      </c>
      <c r="L388">
        <f t="shared" ca="1" si="74"/>
        <v>37082.453333333331</v>
      </c>
      <c r="M388">
        <f t="shared" ca="1" si="75"/>
        <v>37082</v>
      </c>
      <c r="N388" t="str">
        <f t="shared" ca="1" si="76"/>
        <v>1001000011011010</v>
      </c>
      <c r="O388">
        <f t="shared" ca="1" si="77"/>
        <v>100100001</v>
      </c>
    </row>
    <row r="389" spans="4:15" x14ac:dyDescent="0.25">
      <c r="D389">
        <v>387</v>
      </c>
      <c r="E389">
        <f t="shared" si="67"/>
        <v>58.7</v>
      </c>
      <c r="F389">
        <f t="shared" ca="1" si="68"/>
        <v>39.35</v>
      </c>
      <c r="G389" s="1">
        <f t="shared" si="69"/>
        <v>3.2249999999999996</v>
      </c>
      <c r="H389" s="6">
        <f t="shared" ca="1" si="70"/>
        <v>1.6125</v>
      </c>
      <c r="I389" s="5">
        <f t="shared" ca="1" si="71"/>
        <v>1.6124999999999996</v>
      </c>
      <c r="J389" s="8">
        <f t="shared" ca="1" si="72"/>
        <v>3.0637499999999993</v>
      </c>
      <c r="K389" s="5">
        <f t="shared" ca="1" si="73"/>
        <v>0.16125000000000034</v>
      </c>
      <c r="L389">
        <f t="shared" ca="1" si="74"/>
        <v>23074.133333333331</v>
      </c>
      <c r="M389">
        <f t="shared" ca="1" si="75"/>
        <v>23074</v>
      </c>
      <c r="N389" t="str">
        <f t="shared" ca="1" si="76"/>
        <v>0101101000100010</v>
      </c>
      <c r="O389">
        <f t="shared" ca="1" si="77"/>
        <v>10110100</v>
      </c>
    </row>
    <row r="390" spans="4:15" x14ac:dyDescent="0.25">
      <c r="D390">
        <v>388</v>
      </c>
      <c r="E390">
        <f t="shared" si="67"/>
        <v>58.800000000000004</v>
      </c>
      <c r="F390">
        <f t="shared" ca="1" si="68"/>
        <v>43.28</v>
      </c>
      <c r="G390" s="1">
        <f t="shared" si="69"/>
        <v>3.2333333333333334</v>
      </c>
      <c r="H390" s="6">
        <f t="shared" ca="1" si="70"/>
        <v>1.9399999999999997</v>
      </c>
      <c r="I390" s="5">
        <f t="shared" ca="1" si="71"/>
        <v>1.2933333333333337</v>
      </c>
      <c r="J390" s="8">
        <f t="shared" ca="1" si="72"/>
        <v>3.0716666666666668</v>
      </c>
      <c r="K390" s="5">
        <f t="shared" ca="1" si="73"/>
        <v>0.16166666666666663</v>
      </c>
      <c r="L390">
        <f t="shared" ca="1" si="74"/>
        <v>26651.30666666666</v>
      </c>
      <c r="M390">
        <f t="shared" ca="1" si="75"/>
        <v>26651</v>
      </c>
      <c r="N390" t="str">
        <f t="shared" ca="1" si="76"/>
        <v>0110100000011011</v>
      </c>
      <c r="O390">
        <f t="shared" ca="1" si="77"/>
        <v>11010000</v>
      </c>
    </row>
    <row r="391" spans="4:15" x14ac:dyDescent="0.25">
      <c r="D391">
        <v>389</v>
      </c>
      <c r="E391">
        <f t="shared" si="67"/>
        <v>58.900000000000006</v>
      </c>
      <c r="F391">
        <f t="shared" ca="1" si="68"/>
        <v>74.460000000000008</v>
      </c>
      <c r="G391" s="1">
        <f t="shared" si="69"/>
        <v>3.2416666666666663</v>
      </c>
      <c r="H391" s="6">
        <f t="shared" ca="1" si="70"/>
        <v>4.5383333333333331</v>
      </c>
      <c r="I391" s="5">
        <f t="shared" ca="1" si="71"/>
        <v>1.2966666666666669</v>
      </c>
      <c r="J391" s="8">
        <f t="shared" ca="1" si="72"/>
        <v>3.0795833333333329</v>
      </c>
      <c r="K391" s="5">
        <f t="shared" ca="1" si="73"/>
        <v>0.16208333333333336</v>
      </c>
      <c r="L391">
        <f t="shared" ca="1" si="74"/>
        <v>55032.035555555551</v>
      </c>
      <c r="M391">
        <f t="shared" ca="1" si="75"/>
        <v>55032</v>
      </c>
      <c r="N391" t="str">
        <f t="shared" ca="1" si="76"/>
        <v>1101011011111000</v>
      </c>
      <c r="O391">
        <f t="shared" ca="1" si="77"/>
        <v>110101101</v>
      </c>
    </row>
    <row r="392" spans="4:15" x14ac:dyDescent="0.25">
      <c r="D392">
        <v>390</v>
      </c>
      <c r="E392">
        <f t="shared" si="67"/>
        <v>59</v>
      </c>
      <c r="F392">
        <f t="shared" ca="1" si="68"/>
        <v>51.2</v>
      </c>
      <c r="G392" s="1">
        <f t="shared" si="69"/>
        <v>3.2499999999999991</v>
      </c>
      <c r="H392" s="6">
        <f t="shared" ca="1" si="70"/>
        <v>2.5999999999999996</v>
      </c>
      <c r="I392" s="5">
        <f t="shared" ca="1" si="71"/>
        <v>0.64999999999999947</v>
      </c>
      <c r="J392" s="8">
        <f t="shared" ca="1" si="72"/>
        <v>3.087499999999999</v>
      </c>
      <c r="K392" s="5">
        <f t="shared" ca="1" si="73"/>
        <v>0.16250000000000009</v>
      </c>
      <c r="L392">
        <f t="shared" ca="1" si="74"/>
        <v>33860.266666666663</v>
      </c>
      <c r="M392">
        <f t="shared" ca="1" si="75"/>
        <v>33860</v>
      </c>
      <c r="N392" t="str">
        <f t="shared" ca="1" si="76"/>
        <v>1000010001000100</v>
      </c>
      <c r="O392">
        <f t="shared" ca="1" si="77"/>
        <v>100001000</v>
      </c>
    </row>
    <row r="393" spans="4:15" x14ac:dyDescent="0.25">
      <c r="D393">
        <v>391</v>
      </c>
      <c r="E393">
        <f t="shared" si="67"/>
        <v>59.1</v>
      </c>
      <c r="F393">
        <f t="shared" ca="1" si="68"/>
        <v>39.549999999999997</v>
      </c>
      <c r="G393" s="1">
        <f t="shared" si="69"/>
        <v>3.2583333333333329</v>
      </c>
      <c r="H393" s="6">
        <f t="shared" ca="1" si="70"/>
        <v>1.6291666666666662</v>
      </c>
      <c r="I393" s="5">
        <f t="shared" ca="1" si="71"/>
        <v>1.6291666666666667</v>
      </c>
      <c r="J393" s="8">
        <f t="shared" ca="1" si="72"/>
        <v>3.095416666666666</v>
      </c>
      <c r="K393" s="5">
        <f t="shared" ca="1" si="73"/>
        <v>0.16291666666666682</v>
      </c>
      <c r="L393">
        <f t="shared" ca="1" si="74"/>
        <v>23256.177777777775</v>
      </c>
      <c r="M393">
        <f t="shared" ca="1" si="75"/>
        <v>23256</v>
      </c>
      <c r="N393" t="str">
        <f t="shared" ca="1" si="76"/>
        <v>0101101011011000</v>
      </c>
      <c r="O393">
        <f t="shared" ca="1" si="77"/>
        <v>10110101</v>
      </c>
    </row>
    <row r="394" spans="4:15" x14ac:dyDescent="0.25">
      <c r="D394">
        <v>392</v>
      </c>
      <c r="E394">
        <f t="shared" si="67"/>
        <v>59.2</v>
      </c>
      <c r="F394">
        <f t="shared" ca="1" si="68"/>
        <v>78.800000000000011</v>
      </c>
      <c r="G394" s="1">
        <f t="shared" si="69"/>
        <v>3.2666666666666666</v>
      </c>
      <c r="H394" s="6">
        <f t="shared" ca="1" si="70"/>
        <v>4.9000000000000004</v>
      </c>
      <c r="I394" s="5">
        <f t="shared" ca="1" si="71"/>
        <v>1.6333333333333337</v>
      </c>
      <c r="J394" s="8">
        <f t="shared" ca="1" si="72"/>
        <v>3.43</v>
      </c>
      <c r="K394" s="5">
        <f t="shared" ca="1" si="73"/>
        <v>0.16333333333333355</v>
      </c>
      <c r="L394">
        <f t="shared" ca="1" si="74"/>
        <v>58982.400000000001</v>
      </c>
      <c r="M394">
        <f t="shared" ca="1" si="75"/>
        <v>58982</v>
      </c>
      <c r="N394" t="str">
        <f t="shared" ca="1" si="76"/>
        <v>1110011001100110</v>
      </c>
      <c r="O394">
        <f t="shared" ca="1" si="77"/>
        <v>111001100</v>
      </c>
    </row>
    <row r="395" spans="4:15" x14ac:dyDescent="0.25">
      <c r="D395">
        <v>393</v>
      </c>
      <c r="E395">
        <f t="shared" si="67"/>
        <v>59.300000000000004</v>
      </c>
      <c r="F395">
        <f t="shared" ca="1" si="68"/>
        <v>39.650000000000006</v>
      </c>
      <c r="G395" s="1">
        <f t="shared" si="69"/>
        <v>3.2749999999999995</v>
      </c>
      <c r="H395" s="6">
        <f t="shared" ca="1" si="70"/>
        <v>1.6375000000000004</v>
      </c>
      <c r="I395" s="5">
        <f t="shared" ca="1" si="71"/>
        <v>1.6374999999999991</v>
      </c>
      <c r="J395" s="8">
        <f t="shared" ca="1" si="72"/>
        <v>3.1112499999999992</v>
      </c>
      <c r="K395" s="5">
        <f t="shared" ca="1" si="73"/>
        <v>0.16375000000000028</v>
      </c>
      <c r="L395">
        <f t="shared" ca="1" si="74"/>
        <v>23347.200000000001</v>
      </c>
      <c r="M395">
        <f t="shared" ca="1" si="75"/>
        <v>23347</v>
      </c>
      <c r="N395" t="str">
        <f t="shared" ca="1" si="76"/>
        <v>0101101100110011</v>
      </c>
      <c r="O395">
        <f t="shared" ca="1" si="77"/>
        <v>10110110</v>
      </c>
    </row>
    <row r="396" spans="4:15" x14ac:dyDescent="0.25">
      <c r="D396">
        <v>394</v>
      </c>
      <c r="E396">
        <f t="shared" si="67"/>
        <v>59.400000000000006</v>
      </c>
      <c r="F396">
        <f t="shared" ca="1" si="68"/>
        <v>39.700000000000003</v>
      </c>
      <c r="G396" s="1">
        <f t="shared" si="69"/>
        <v>3.2833333333333332</v>
      </c>
      <c r="H396" s="6">
        <f t="shared" ca="1" si="70"/>
        <v>1.6416666666666668</v>
      </c>
      <c r="I396" s="5">
        <f t="shared" ca="1" si="71"/>
        <v>1.6416666666666664</v>
      </c>
      <c r="J396" s="8">
        <f t="shared" ca="1" si="72"/>
        <v>3.4475000000000002</v>
      </c>
      <c r="K396" s="5">
        <f t="shared" ca="1" si="73"/>
        <v>0.16416666666666702</v>
      </c>
      <c r="L396">
        <f t="shared" ca="1" si="74"/>
        <v>23392.711111111112</v>
      </c>
      <c r="M396">
        <f t="shared" ca="1" si="75"/>
        <v>23393</v>
      </c>
      <c r="N396" t="str">
        <f t="shared" ca="1" si="76"/>
        <v>0101101101100001</v>
      </c>
      <c r="O396">
        <f t="shared" ca="1" si="77"/>
        <v>10110110</v>
      </c>
    </row>
    <row r="397" spans="4:15" x14ac:dyDescent="0.25">
      <c r="D397">
        <v>395</v>
      </c>
      <c r="E397">
        <f t="shared" si="67"/>
        <v>59.5</v>
      </c>
      <c r="F397">
        <f t="shared" ca="1" si="68"/>
        <v>43.7</v>
      </c>
      <c r="G397" s="1">
        <f t="shared" si="69"/>
        <v>3.2916666666666661</v>
      </c>
      <c r="H397" s="6">
        <f t="shared" ca="1" si="70"/>
        <v>1.9749999999999999</v>
      </c>
      <c r="I397" s="5">
        <f t="shared" ca="1" si="71"/>
        <v>1.3166666666666662</v>
      </c>
      <c r="J397" s="8">
        <f t="shared" ca="1" si="72"/>
        <v>3.1270833333333328</v>
      </c>
      <c r="K397" s="5">
        <f t="shared" ca="1" si="73"/>
        <v>0.1645833333333333</v>
      </c>
      <c r="L397">
        <f t="shared" ca="1" si="74"/>
        <v>27033.599999999995</v>
      </c>
      <c r="M397">
        <f t="shared" ca="1" si="75"/>
        <v>27034</v>
      </c>
      <c r="N397" t="str">
        <f t="shared" ca="1" si="76"/>
        <v>0110100110011010</v>
      </c>
      <c r="O397">
        <f t="shared" ca="1" si="77"/>
        <v>11010011</v>
      </c>
    </row>
    <row r="398" spans="4:15" x14ac:dyDescent="0.25">
      <c r="D398">
        <v>396</v>
      </c>
      <c r="E398">
        <f t="shared" si="67"/>
        <v>59.6</v>
      </c>
      <c r="F398">
        <f t="shared" ca="1" si="68"/>
        <v>51.68</v>
      </c>
      <c r="G398" s="1">
        <f t="shared" si="69"/>
        <v>3.3</v>
      </c>
      <c r="H398" s="6">
        <f t="shared" ca="1" si="70"/>
        <v>2.6399999999999997</v>
      </c>
      <c r="I398" s="5">
        <f t="shared" ca="1" si="71"/>
        <v>0.66000000000000014</v>
      </c>
      <c r="J398" s="8">
        <f t="shared" ca="1" si="72"/>
        <v>3.4649999999999999</v>
      </c>
      <c r="K398" s="5">
        <f t="shared" ca="1" si="73"/>
        <v>0.16500000000000004</v>
      </c>
      <c r="L398">
        <f t="shared" ca="1" si="74"/>
        <v>34297.173333333332</v>
      </c>
      <c r="M398">
        <f t="shared" ca="1" si="75"/>
        <v>34297</v>
      </c>
      <c r="N398" t="str">
        <f t="shared" ca="1" si="76"/>
        <v>1000010111111001</v>
      </c>
      <c r="O398">
        <f t="shared" ca="1" si="77"/>
        <v>100001011</v>
      </c>
    </row>
    <row r="399" spans="4:15" x14ac:dyDescent="0.25">
      <c r="D399">
        <v>397</v>
      </c>
      <c r="E399">
        <f t="shared" si="67"/>
        <v>59.7</v>
      </c>
      <c r="F399">
        <f t="shared" ca="1" si="68"/>
        <v>67.64</v>
      </c>
      <c r="G399" s="1">
        <f t="shared" si="69"/>
        <v>3.3083333333333327</v>
      </c>
      <c r="H399" s="6">
        <f t="shared" ca="1" si="70"/>
        <v>3.9699999999999998</v>
      </c>
      <c r="I399" s="5">
        <f t="shared" ca="1" si="71"/>
        <v>0.66166666666666707</v>
      </c>
      <c r="J399" s="8">
        <f t="shared" ca="1" si="72"/>
        <v>3.1429166666666659</v>
      </c>
      <c r="K399" s="5">
        <f t="shared" ca="1" si="73"/>
        <v>0.16541666666666677</v>
      </c>
      <c r="L399">
        <f t="shared" ca="1" si="74"/>
        <v>48824.32</v>
      </c>
      <c r="M399">
        <f t="shared" ca="1" si="75"/>
        <v>48824</v>
      </c>
      <c r="N399" t="str">
        <f t="shared" ca="1" si="76"/>
        <v>1011111010111000</v>
      </c>
      <c r="O399">
        <f t="shared" ca="1" si="77"/>
        <v>101111101</v>
      </c>
    </row>
    <row r="400" spans="4:15" x14ac:dyDescent="0.25">
      <c r="D400">
        <v>398</v>
      </c>
      <c r="E400">
        <f t="shared" si="67"/>
        <v>59.800000000000004</v>
      </c>
      <c r="F400">
        <f t="shared" ca="1" si="68"/>
        <v>47.860000000000007</v>
      </c>
      <c r="G400" s="1">
        <f t="shared" si="69"/>
        <v>3.3166666666666664</v>
      </c>
      <c r="H400" s="6">
        <f t="shared" ca="1" si="70"/>
        <v>2.3216666666666672</v>
      </c>
      <c r="I400" s="5">
        <f t="shared" ca="1" si="71"/>
        <v>0.99499999999999922</v>
      </c>
      <c r="J400" s="8">
        <f t="shared" ca="1" si="72"/>
        <v>3.1508333333333329</v>
      </c>
      <c r="K400" s="5">
        <f t="shared" ca="1" si="73"/>
        <v>0.1658333333333335</v>
      </c>
      <c r="L400">
        <f t="shared" ca="1" si="74"/>
        <v>30820.124444444449</v>
      </c>
      <c r="M400">
        <f t="shared" ca="1" si="75"/>
        <v>30820</v>
      </c>
      <c r="N400" t="str">
        <f t="shared" ca="1" si="76"/>
        <v>0111100001100100</v>
      </c>
      <c r="O400">
        <f t="shared" ca="1" si="77"/>
        <v>11110000</v>
      </c>
    </row>
    <row r="401" spans="4:15" x14ac:dyDescent="0.25">
      <c r="D401">
        <v>399</v>
      </c>
      <c r="E401">
        <f t="shared" si="67"/>
        <v>59.900000000000006</v>
      </c>
      <c r="F401">
        <f t="shared" ca="1" si="68"/>
        <v>51.92</v>
      </c>
      <c r="G401" s="1">
        <f t="shared" si="69"/>
        <v>3.3250000000000002</v>
      </c>
      <c r="H401" s="6">
        <f t="shared" ca="1" si="70"/>
        <v>2.6599999999999993</v>
      </c>
      <c r="I401" s="5">
        <f t="shared" ca="1" si="71"/>
        <v>0.66500000000000092</v>
      </c>
      <c r="J401" s="8">
        <f t="shared" ca="1" si="72"/>
        <v>3.1587499999999999</v>
      </c>
      <c r="K401" s="5">
        <f t="shared" ca="1" si="73"/>
        <v>0.16625000000000023</v>
      </c>
      <c r="L401">
        <f t="shared" ca="1" si="74"/>
        <v>34515.626666666656</v>
      </c>
      <c r="M401">
        <f t="shared" ca="1" si="75"/>
        <v>34516</v>
      </c>
      <c r="N401" t="str">
        <f t="shared" ca="1" si="76"/>
        <v>1000011011010100</v>
      </c>
      <c r="O401">
        <f t="shared" ca="1" si="77"/>
        <v>100001101</v>
      </c>
    </row>
    <row r="402" spans="4:15" x14ac:dyDescent="0.25">
      <c r="D402">
        <v>400</v>
      </c>
      <c r="E402">
        <f t="shared" si="67"/>
        <v>60</v>
      </c>
      <c r="F402">
        <f t="shared" ca="1" si="68"/>
        <v>48</v>
      </c>
      <c r="G402" s="1">
        <f t="shared" si="69"/>
        <v>3.333333333333333</v>
      </c>
      <c r="H402" s="6">
        <f t="shared" ca="1" si="70"/>
        <v>2.333333333333333</v>
      </c>
      <c r="I402" s="5">
        <f t="shared" ca="1" si="71"/>
        <v>1</v>
      </c>
      <c r="J402" s="8">
        <f t="shared" ca="1" si="72"/>
        <v>3.5</v>
      </c>
      <c r="K402" s="5">
        <f t="shared" ca="1" si="73"/>
        <v>0.16666666666666696</v>
      </c>
      <c r="L402">
        <f t="shared" ca="1" si="74"/>
        <v>30947.555555555551</v>
      </c>
      <c r="M402">
        <f t="shared" ca="1" si="75"/>
        <v>30948</v>
      </c>
      <c r="N402" t="str">
        <f t="shared" ca="1" si="76"/>
        <v>0111100011100100</v>
      </c>
      <c r="O402">
        <f t="shared" ca="1" si="77"/>
        <v>11110001</v>
      </c>
    </row>
    <row r="403" spans="4:15" x14ac:dyDescent="0.25">
      <c r="D403">
        <v>401</v>
      </c>
      <c r="E403">
        <f t="shared" si="67"/>
        <v>60.1</v>
      </c>
      <c r="F403">
        <f t="shared" ca="1" si="68"/>
        <v>40.049999999999997</v>
      </c>
      <c r="G403" s="1">
        <f t="shared" si="69"/>
        <v>3.3416666666666659</v>
      </c>
      <c r="H403" s="6">
        <f t="shared" ca="1" si="70"/>
        <v>1.6708333333333327</v>
      </c>
      <c r="I403" s="5">
        <f t="shared" ca="1" si="71"/>
        <v>1.6708333333333332</v>
      </c>
      <c r="J403" s="8">
        <f t="shared" ca="1" si="72"/>
        <v>3.1745833333333326</v>
      </c>
      <c r="K403" s="5">
        <f t="shared" ca="1" si="73"/>
        <v>0.16708333333333325</v>
      </c>
      <c r="L403">
        <f t="shared" ca="1" si="74"/>
        <v>23711.288888888881</v>
      </c>
      <c r="M403">
        <f t="shared" ca="1" si="75"/>
        <v>23711</v>
      </c>
      <c r="N403" t="str">
        <f t="shared" ca="1" si="76"/>
        <v>0101110010011111</v>
      </c>
      <c r="O403">
        <f t="shared" ca="1" si="77"/>
        <v>10111001</v>
      </c>
    </row>
    <row r="404" spans="4:15" x14ac:dyDescent="0.25">
      <c r="D404">
        <v>402</v>
      </c>
      <c r="E404">
        <f t="shared" si="67"/>
        <v>60.2</v>
      </c>
      <c r="F404">
        <f t="shared" ca="1" si="68"/>
        <v>56.18</v>
      </c>
      <c r="G404" s="1">
        <f t="shared" si="69"/>
        <v>3.3499999999999996</v>
      </c>
      <c r="H404" s="6">
        <f t="shared" ca="1" si="70"/>
        <v>3.0149999999999997</v>
      </c>
      <c r="I404" s="5">
        <f t="shared" ca="1" si="71"/>
        <v>0.33499999999999996</v>
      </c>
      <c r="J404" s="8">
        <f t="shared" ca="1" si="72"/>
        <v>3.1824999999999997</v>
      </c>
      <c r="K404" s="5">
        <f t="shared" ca="1" si="73"/>
        <v>0.16749999999999998</v>
      </c>
      <c r="L404">
        <f t="shared" ca="1" si="74"/>
        <v>38393.173333333332</v>
      </c>
      <c r="M404">
        <f t="shared" ca="1" si="75"/>
        <v>38393</v>
      </c>
      <c r="N404" t="str">
        <f t="shared" ca="1" si="76"/>
        <v>1001010111111001</v>
      </c>
      <c r="O404">
        <f t="shared" ca="1" si="77"/>
        <v>100101011</v>
      </c>
    </row>
    <row r="405" spans="4:15" x14ac:dyDescent="0.25">
      <c r="D405">
        <v>403</v>
      </c>
      <c r="E405">
        <f t="shared" si="67"/>
        <v>60.300000000000004</v>
      </c>
      <c r="F405">
        <f t="shared" ca="1" si="68"/>
        <v>44.180000000000007</v>
      </c>
      <c r="G405" s="1">
        <f t="shared" si="69"/>
        <v>3.3583333333333334</v>
      </c>
      <c r="H405" s="6">
        <f t="shared" ca="1" si="70"/>
        <v>2.0150000000000006</v>
      </c>
      <c r="I405" s="5">
        <f t="shared" ca="1" si="71"/>
        <v>1.3433333333333328</v>
      </c>
      <c r="J405" s="8">
        <f t="shared" ca="1" si="72"/>
        <v>3.1904166666666667</v>
      </c>
      <c r="K405" s="5">
        <f t="shared" ca="1" si="73"/>
        <v>0.16791666666666671</v>
      </c>
      <c r="L405">
        <f t="shared" ca="1" si="74"/>
        <v>27470.506666666672</v>
      </c>
      <c r="M405">
        <f t="shared" ca="1" si="75"/>
        <v>27471</v>
      </c>
      <c r="N405" t="str">
        <f t="shared" ca="1" si="76"/>
        <v>0110101101001111</v>
      </c>
      <c r="O405">
        <f t="shared" ca="1" si="77"/>
        <v>11010110</v>
      </c>
    </row>
    <row r="406" spans="4:15" x14ac:dyDescent="0.25">
      <c r="D406">
        <v>404</v>
      </c>
      <c r="E406">
        <f t="shared" si="67"/>
        <v>60.400000000000006</v>
      </c>
      <c r="F406">
        <f t="shared" ca="1" si="68"/>
        <v>72.52000000000001</v>
      </c>
      <c r="G406" s="1">
        <f t="shared" si="69"/>
        <v>3.3666666666666663</v>
      </c>
      <c r="H406" s="6">
        <f t="shared" ca="1" si="70"/>
        <v>4.3766666666666669</v>
      </c>
      <c r="I406" s="5">
        <f t="shared" ca="1" si="71"/>
        <v>1.0100000000000007</v>
      </c>
      <c r="J406" s="8">
        <f t="shared" ca="1" si="72"/>
        <v>3.1983333333333328</v>
      </c>
      <c r="K406" s="5">
        <f t="shared" ca="1" si="73"/>
        <v>0.16833333333333345</v>
      </c>
      <c r="L406">
        <f t="shared" ca="1" si="74"/>
        <v>53266.204444444447</v>
      </c>
      <c r="M406">
        <f t="shared" ca="1" si="75"/>
        <v>53266</v>
      </c>
      <c r="N406" t="str">
        <f t="shared" ca="1" si="76"/>
        <v>1101000000010010</v>
      </c>
      <c r="O406">
        <f t="shared" ca="1" si="77"/>
        <v>110100000</v>
      </c>
    </row>
    <row r="407" spans="4:15" x14ac:dyDescent="0.25">
      <c r="D407">
        <v>405</v>
      </c>
      <c r="E407">
        <f t="shared" si="67"/>
        <v>60.5</v>
      </c>
      <c r="F407">
        <f t="shared" ca="1" si="68"/>
        <v>56.45</v>
      </c>
      <c r="G407" s="1">
        <f t="shared" si="69"/>
        <v>3.3749999999999991</v>
      </c>
      <c r="H407" s="6">
        <f t="shared" ca="1" si="70"/>
        <v>3.0374999999999996</v>
      </c>
      <c r="I407" s="5">
        <f t="shared" ca="1" si="71"/>
        <v>0.33749999999999947</v>
      </c>
      <c r="J407" s="8">
        <f t="shared" ca="1" si="72"/>
        <v>3.2062499999999989</v>
      </c>
      <c r="K407" s="5">
        <f t="shared" ca="1" si="73"/>
        <v>0.16875000000000018</v>
      </c>
      <c r="L407">
        <f t="shared" ca="1" si="74"/>
        <v>38638.933333333327</v>
      </c>
      <c r="M407">
        <f t="shared" ca="1" si="75"/>
        <v>38639</v>
      </c>
      <c r="N407" t="str">
        <f t="shared" ca="1" si="76"/>
        <v>1001011011101111</v>
      </c>
      <c r="O407">
        <f t="shared" ca="1" si="77"/>
        <v>100101101</v>
      </c>
    </row>
    <row r="408" spans="4:15" x14ac:dyDescent="0.25">
      <c r="D408">
        <v>406</v>
      </c>
      <c r="E408">
        <f t="shared" si="67"/>
        <v>60.6</v>
      </c>
      <c r="F408">
        <f t="shared" ca="1" si="68"/>
        <v>60.6</v>
      </c>
      <c r="G408" s="1">
        <f t="shared" si="69"/>
        <v>3.3833333333333329</v>
      </c>
      <c r="H408" s="6">
        <f t="shared" ca="1" si="70"/>
        <v>3.3833333333333329</v>
      </c>
      <c r="I408" s="5">
        <f t="shared" ca="1" si="71"/>
        <v>0</v>
      </c>
      <c r="J408" s="8">
        <f t="shared" ca="1" si="72"/>
        <v>3.5524999999999998</v>
      </c>
      <c r="K408" s="5">
        <f t="shared" ca="1" si="73"/>
        <v>0.16916666666666691</v>
      </c>
      <c r="L408">
        <f t="shared" ca="1" si="74"/>
        <v>42416.35555555555</v>
      </c>
      <c r="M408">
        <f t="shared" ca="1" si="75"/>
        <v>42416</v>
      </c>
      <c r="N408" t="str">
        <f t="shared" ca="1" si="76"/>
        <v>1010010110110000</v>
      </c>
      <c r="O408">
        <f t="shared" ca="1" si="77"/>
        <v>101001011</v>
      </c>
    </row>
    <row r="409" spans="4:15" x14ac:dyDescent="0.25">
      <c r="D409">
        <v>407</v>
      </c>
      <c r="E409">
        <f t="shared" si="67"/>
        <v>60.7</v>
      </c>
      <c r="F409">
        <f t="shared" ca="1" si="68"/>
        <v>76.98</v>
      </c>
      <c r="G409" s="1">
        <f t="shared" si="69"/>
        <v>3.3916666666666666</v>
      </c>
      <c r="H409" s="6">
        <f t="shared" ca="1" si="70"/>
        <v>4.7483333333333331</v>
      </c>
      <c r="I409" s="5">
        <f t="shared" ca="1" si="71"/>
        <v>1.3566666666666665</v>
      </c>
      <c r="J409" s="8">
        <f t="shared" ca="1" si="72"/>
        <v>3.5612500000000002</v>
      </c>
      <c r="K409" s="5">
        <f t="shared" ca="1" si="73"/>
        <v>0.16958333333333364</v>
      </c>
      <c r="L409">
        <f t="shared" ca="1" si="74"/>
        <v>57325.795555555553</v>
      </c>
      <c r="M409">
        <f t="shared" ca="1" si="75"/>
        <v>57326</v>
      </c>
      <c r="N409" t="str">
        <f t="shared" ca="1" si="76"/>
        <v>1101111111101110</v>
      </c>
      <c r="O409">
        <f t="shared" ca="1" si="77"/>
        <v>110111111</v>
      </c>
    </row>
    <row r="410" spans="4:15" x14ac:dyDescent="0.25">
      <c r="D410">
        <v>408</v>
      </c>
      <c r="E410">
        <f t="shared" si="67"/>
        <v>60.800000000000004</v>
      </c>
      <c r="F410">
        <f t="shared" ca="1" si="68"/>
        <v>64.88000000000001</v>
      </c>
      <c r="G410" s="1">
        <f t="shared" si="69"/>
        <v>3.3999999999999995</v>
      </c>
      <c r="H410" s="6">
        <f t="shared" ca="1" si="70"/>
        <v>3.74</v>
      </c>
      <c r="I410" s="5">
        <f t="shared" ca="1" si="71"/>
        <v>0.34000000000000075</v>
      </c>
      <c r="J410" s="8">
        <f t="shared" ca="1" si="72"/>
        <v>3.2299999999999995</v>
      </c>
      <c r="K410" s="5">
        <f t="shared" ca="1" si="73"/>
        <v>0.16999999999999993</v>
      </c>
      <c r="L410">
        <f t="shared" ca="1" si="74"/>
        <v>46312.106666666667</v>
      </c>
      <c r="M410">
        <f t="shared" ca="1" si="75"/>
        <v>46312</v>
      </c>
      <c r="N410" t="str">
        <f t="shared" ca="1" si="76"/>
        <v>1011010011101000</v>
      </c>
      <c r="O410">
        <f t="shared" ca="1" si="77"/>
        <v>101101001</v>
      </c>
    </row>
    <row r="411" spans="4:15" x14ac:dyDescent="0.25">
      <c r="D411">
        <v>409</v>
      </c>
      <c r="E411">
        <f t="shared" si="67"/>
        <v>60.900000000000006</v>
      </c>
      <c r="F411">
        <f t="shared" ca="1" si="68"/>
        <v>69.080000000000013</v>
      </c>
      <c r="G411" s="1">
        <f t="shared" si="69"/>
        <v>3.4083333333333332</v>
      </c>
      <c r="H411" s="6">
        <f t="shared" ca="1" si="70"/>
        <v>4.0900000000000007</v>
      </c>
      <c r="I411" s="5">
        <f t="shared" ca="1" si="71"/>
        <v>0.68166666666666753</v>
      </c>
      <c r="J411" s="8">
        <f t="shared" ca="1" si="72"/>
        <v>3.2379166666666666</v>
      </c>
      <c r="K411" s="5">
        <f t="shared" ca="1" si="73"/>
        <v>0.17041666666666666</v>
      </c>
      <c r="L411">
        <f t="shared" ca="1" si="74"/>
        <v>50135.040000000008</v>
      </c>
      <c r="M411">
        <f t="shared" ca="1" si="75"/>
        <v>50135</v>
      </c>
      <c r="N411" t="str">
        <f t="shared" ca="1" si="76"/>
        <v>1100001111010111</v>
      </c>
      <c r="O411">
        <f t="shared" ca="1" si="77"/>
        <v>110000111</v>
      </c>
    </row>
    <row r="412" spans="4:15" x14ac:dyDescent="0.25">
      <c r="D412">
        <v>410</v>
      </c>
      <c r="E412">
        <f t="shared" si="67"/>
        <v>61</v>
      </c>
      <c r="F412">
        <f t="shared" ca="1" si="68"/>
        <v>44.6</v>
      </c>
      <c r="G412" s="1">
        <f t="shared" si="69"/>
        <v>3.4166666666666661</v>
      </c>
      <c r="H412" s="6">
        <f t="shared" ca="1" si="70"/>
        <v>2.0499999999999998</v>
      </c>
      <c r="I412" s="5">
        <f t="shared" ca="1" si="71"/>
        <v>1.3666666666666663</v>
      </c>
      <c r="J412" s="8">
        <f t="shared" ca="1" si="72"/>
        <v>3.2458333333333327</v>
      </c>
      <c r="K412" s="5">
        <f t="shared" ca="1" si="73"/>
        <v>0.17083333333333339</v>
      </c>
      <c r="L412">
        <f t="shared" ca="1" si="74"/>
        <v>27852.799999999999</v>
      </c>
      <c r="M412">
        <f t="shared" ca="1" si="75"/>
        <v>27853</v>
      </c>
      <c r="N412" t="str">
        <f t="shared" ca="1" si="76"/>
        <v>0110110011001101</v>
      </c>
      <c r="O412">
        <f t="shared" ca="1" si="77"/>
        <v>11011001</v>
      </c>
    </row>
    <row r="413" spans="4:15" x14ac:dyDescent="0.25">
      <c r="D413">
        <v>411</v>
      </c>
      <c r="E413">
        <f t="shared" si="67"/>
        <v>61.1</v>
      </c>
      <c r="F413">
        <f t="shared" ca="1" si="68"/>
        <v>52.88</v>
      </c>
      <c r="G413" s="1">
        <f t="shared" si="69"/>
        <v>3.4249999999999998</v>
      </c>
      <c r="H413" s="6">
        <f t="shared" ca="1" si="70"/>
        <v>2.7399999999999993</v>
      </c>
      <c r="I413" s="5">
        <f t="shared" ca="1" si="71"/>
        <v>0.6850000000000005</v>
      </c>
      <c r="J413" s="8">
        <f t="shared" ca="1" si="72"/>
        <v>3.2537499999999997</v>
      </c>
      <c r="K413" s="5">
        <f t="shared" ca="1" si="73"/>
        <v>0.17125000000000012</v>
      </c>
      <c r="L413">
        <f t="shared" ca="1" si="74"/>
        <v>35389.439999999995</v>
      </c>
      <c r="M413">
        <f t="shared" ca="1" si="75"/>
        <v>35389</v>
      </c>
      <c r="N413" t="str">
        <f t="shared" ca="1" si="76"/>
        <v>1000101000111101</v>
      </c>
      <c r="O413">
        <f t="shared" ca="1" si="77"/>
        <v>100010100</v>
      </c>
    </row>
    <row r="414" spans="4:15" x14ac:dyDescent="0.25">
      <c r="D414">
        <v>412</v>
      </c>
      <c r="E414">
        <f t="shared" si="67"/>
        <v>61.2</v>
      </c>
      <c r="F414">
        <f t="shared" ca="1" si="68"/>
        <v>48.84</v>
      </c>
      <c r="G414" s="1">
        <f t="shared" si="69"/>
        <v>3.4333333333333327</v>
      </c>
      <c r="H414" s="6">
        <f t="shared" ca="1" si="70"/>
        <v>2.4033333333333333</v>
      </c>
      <c r="I414" s="5">
        <f t="shared" ca="1" si="71"/>
        <v>1.0299999999999994</v>
      </c>
      <c r="J414" s="8">
        <f t="shared" ca="1" si="72"/>
        <v>3.2616666666666658</v>
      </c>
      <c r="K414" s="5">
        <f t="shared" ca="1" si="73"/>
        <v>0.17166666666666686</v>
      </c>
      <c r="L414">
        <f t="shared" ca="1" si="74"/>
        <v>31712.142222222221</v>
      </c>
      <c r="M414">
        <f t="shared" ca="1" si="75"/>
        <v>31712</v>
      </c>
      <c r="N414" t="str">
        <f t="shared" ca="1" si="76"/>
        <v>0111101111100000</v>
      </c>
      <c r="O414">
        <f t="shared" ca="1" si="77"/>
        <v>11110111</v>
      </c>
    </row>
    <row r="415" spans="4:15" x14ac:dyDescent="0.25">
      <c r="D415">
        <v>413</v>
      </c>
      <c r="E415">
        <f t="shared" si="67"/>
        <v>61.300000000000004</v>
      </c>
      <c r="F415">
        <f t="shared" ca="1" si="68"/>
        <v>57.17</v>
      </c>
      <c r="G415" s="1">
        <f t="shared" si="69"/>
        <v>3.4416666666666664</v>
      </c>
      <c r="H415" s="6">
        <f t="shared" ca="1" si="70"/>
        <v>3.0974999999999993</v>
      </c>
      <c r="I415" s="5">
        <f t="shared" ca="1" si="71"/>
        <v>0.34416666666666718</v>
      </c>
      <c r="J415" s="8">
        <f t="shared" ca="1" si="72"/>
        <v>3.61375</v>
      </c>
      <c r="K415" s="5">
        <f t="shared" ca="1" si="73"/>
        <v>0.17208333333333359</v>
      </c>
      <c r="L415">
        <f t="shared" ca="1" si="74"/>
        <v>39294.293333333328</v>
      </c>
      <c r="M415">
        <f t="shared" ca="1" si="75"/>
        <v>39294</v>
      </c>
      <c r="N415" t="str">
        <f t="shared" ca="1" si="76"/>
        <v>1001100101111110</v>
      </c>
      <c r="O415">
        <f t="shared" ca="1" si="77"/>
        <v>100110010</v>
      </c>
    </row>
    <row r="416" spans="4:15" x14ac:dyDescent="0.25">
      <c r="D416">
        <v>414</v>
      </c>
      <c r="E416">
        <f t="shared" si="67"/>
        <v>61.400000000000006</v>
      </c>
      <c r="F416">
        <f t="shared" ca="1" si="68"/>
        <v>44.84</v>
      </c>
      <c r="G416" s="1">
        <f t="shared" si="69"/>
        <v>3.45</v>
      </c>
      <c r="H416" s="6">
        <f t="shared" ca="1" si="70"/>
        <v>2.0700000000000003</v>
      </c>
      <c r="I416" s="5">
        <f t="shared" ca="1" si="71"/>
        <v>1.38</v>
      </c>
      <c r="J416" s="8">
        <f t="shared" ca="1" si="72"/>
        <v>3.2774999999999999</v>
      </c>
      <c r="K416" s="5">
        <f t="shared" ca="1" si="73"/>
        <v>0.17250000000000032</v>
      </c>
      <c r="L416">
        <f t="shared" ca="1" si="74"/>
        <v>28071.253333333338</v>
      </c>
      <c r="M416">
        <f t="shared" ca="1" si="75"/>
        <v>28071</v>
      </c>
      <c r="N416" t="str">
        <f t="shared" ca="1" si="76"/>
        <v>0110110110100111</v>
      </c>
      <c r="O416">
        <f t="shared" ca="1" si="77"/>
        <v>11011011</v>
      </c>
    </row>
    <row r="417" spans="4:15" x14ac:dyDescent="0.25">
      <c r="D417">
        <v>415</v>
      </c>
      <c r="E417">
        <f t="shared" si="67"/>
        <v>61.5</v>
      </c>
      <c r="F417">
        <f t="shared" ca="1" si="68"/>
        <v>40.75</v>
      </c>
      <c r="G417" s="1">
        <f t="shared" si="69"/>
        <v>3.458333333333333</v>
      </c>
      <c r="H417" s="6">
        <f t="shared" ca="1" si="70"/>
        <v>1.7291666666666663</v>
      </c>
      <c r="I417" s="5">
        <f t="shared" ca="1" si="71"/>
        <v>1.7291666666666667</v>
      </c>
      <c r="J417" s="8">
        <f t="shared" ca="1" si="72"/>
        <v>3.2854166666666664</v>
      </c>
      <c r="K417" s="5">
        <f t="shared" ca="1" si="73"/>
        <v>0.17291666666666661</v>
      </c>
      <c r="L417">
        <f t="shared" ca="1" si="74"/>
        <v>24348.444444444438</v>
      </c>
      <c r="M417">
        <f t="shared" ca="1" si="75"/>
        <v>24348</v>
      </c>
      <c r="N417" t="str">
        <f t="shared" ca="1" si="76"/>
        <v>0101111100011100</v>
      </c>
      <c r="O417">
        <f t="shared" ca="1" si="77"/>
        <v>10111110</v>
      </c>
    </row>
    <row r="418" spans="4:15" x14ac:dyDescent="0.25">
      <c r="D418">
        <v>416</v>
      </c>
      <c r="E418">
        <f t="shared" si="67"/>
        <v>61.6</v>
      </c>
      <c r="F418">
        <f t="shared" ca="1" si="68"/>
        <v>82.4</v>
      </c>
      <c r="G418" s="1">
        <f t="shared" si="69"/>
        <v>3.4666666666666659</v>
      </c>
      <c r="H418" s="6">
        <f t="shared" ca="1" si="70"/>
        <v>5.2</v>
      </c>
      <c r="I418" s="5">
        <f t="shared" ca="1" si="71"/>
        <v>1.7333333333333343</v>
      </c>
      <c r="J418" s="8">
        <f t="shared" ca="1" si="72"/>
        <v>3.2933333333333326</v>
      </c>
      <c r="K418" s="5">
        <f t="shared" ca="1" si="73"/>
        <v>0.17333333333333334</v>
      </c>
      <c r="L418">
        <f t="shared" ca="1" si="74"/>
        <v>62259.200000000004</v>
      </c>
      <c r="M418">
        <f t="shared" ca="1" si="75"/>
        <v>62259</v>
      </c>
      <c r="N418" t="str">
        <f t="shared" ca="1" si="76"/>
        <v>1111001100110011</v>
      </c>
      <c r="O418">
        <f t="shared" ca="1" si="77"/>
        <v>111100110</v>
      </c>
    </row>
    <row r="419" spans="4:15" x14ac:dyDescent="0.25">
      <c r="D419">
        <v>417</v>
      </c>
      <c r="E419">
        <f t="shared" si="67"/>
        <v>61.7</v>
      </c>
      <c r="F419">
        <f t="shared" ca="1" si="68"/>
        <v>57.53</v>
      </c>
      <c r="G419" s="1">
        <f t="shared" si="69"/>
        <v>3.4749999999999996</v>
      </c>
      <c r="H419" s="6">
        <f t="shared" ca="1" si="70"/>
        <v>3.1274999999999995</v>
      </c>
      <c r="I419" s="5">
        <f t="shared" ca="1" si="71"/>
        <v>0.34750000000000014</v>
      </c>
      <c r="J419" s="8">
        <f t="shared" ca="1" si="72"/>
        <v>3.3012499999999996</v>
      </c>
      <c r="K419" s="5">
        <f t="shared" ca="1" si="73"/>
        <v>0.17375000000000007</v>
      </c>
      <c r="L419">
        <f t="shared" ca="1" si="74"/>
        <v>39621.973333333328</v>
      </c>
      <c r="M419">
        <f t="shared" ca="1" si="75"/>
        <v>39622</v>
      </c>
      <c r="N419" t="str">
        <f t="shared" ca="1" si="76"/>
        <v>1001101011000110</v>
      </c>
      <c r="O419">
        <f t="shared" ca="1" si="77"/>
        <v>100110101</v>
      </c>
    </row>
    <row r="420" spans="4:15" x14ac:dyDescent="0.25">
      <c r="D420">
        <v>418</v>
      </c>
      <c r="E420">
        <f t="shared" si="67"/>
        <v>61.800000000000004</v>
      </c>
      <c r="F420">
        <f t="shared" ca="1" si="68"/>
        <v>82.7</v>
      </c>
      <c r="G420" s="1">
        <f t="shared" si="69"/>
        <v>3.4833333333333334</v>
      </c>
      <c r="H420" s="6">
        <f t="shared" ca="1" si="70"/>
        <v>5.2249999999999996</v>
      </c>
      <c r="I420" s="5">
        <f t="shared" ca="1" si="71"/>
        <v>1.7416666666666663</v>
      </c>
      <c r="J420" s="8">
        <f t="shared" ca="1" si="72"/>
        <v>3.3091666666666666</v>
      </c>
      <c r="K420" s="5">
        <f t="shared" ca="1" si="73"/>
        <v>0.1741666666666668</v>
      </c>
      <c r="L420">
        <f t="shared" ca="1" si="74"/>
        <v>62532.266666666663</v>
      </c>
      <c r="M420">
        <f t="shared" ca="1" si="75"/>
        <v>62532</v>
      </c>
      <c r="N420" t="str">
        <f t="shared" ca="1" si="76"/>
        <v>1111010001000100</v>
      </c>
      <c r="O420">
        <f t="shared" ca="1" si="77"/>
        <v>111101000</v>
      </c>
    </row>
    <row r="421" spans="4:15" x14ac:dyDescent="0.25">
      <c r="D421">
        <v>419</v>
      </c>
      <c r="E421">
        <f t="shared" si="67"/>
        <v>61.900000000000006</v>
      </c>
      <c r="F421">
        <f t="shared" ca="1" si="68"/>
        <v>45.14</v>
      </c>
      <c r="G421" s="1">
        <f t="shared" si="69"/>
        <v>3.4916666666666663</v>
      </c>
      <c r="H421" s="6">
        <f t="shared" ca="1" si="70"/>
        <v>2.0949999999999998</v>
      </c>
      <c r="I421" s="5">
        <f t="shared" ca="1" si="71"/>
        <v>1.3966666666666665</v>
      </c>
      <c r="J421" s="8">
        <f t="shared" ca="1" si="72"/>
        <v>3.3170833333333327</v>
      </c>
      <c r="K421" s="5">
        <f t="shared" ca="1" si="73"/>
        <v>0.17458333333333353</v>
      </c>
      <c r="L421">
        <f t="shared" ca="1" si="74"/>
        <v>28344.319999999996</v>
      </c>
      <c r="M421">
        <f t="shared" ca="1" si="75"/>
        <v>28344</v>
      </c>
      <c r="N421" t="str">
        <f t="shared" ca="1" si="76"/>
        <v>0110111010111000</v>
      </c>
      <c r="O421">
        <f t="shared" ca="1" si="77"/>
        <v>11011101</v>
      </c>
    </row>
    <row r="422" spans="4:15" x14ac:dyDescent="0.25">
      <c r="D422">
        <v>420</v>
      </c>
      <c r="E422">
        <f t="shared" si="67"/>
        <v>62</v>
      </c>
      <c r="F422">
        <f t="shared" ca="1" si="68"/>
        <v>78.8</v>
      </c>
      <c r="G422" s="1">
        <f t="shared" si="69"/>
        <v>3.4999999999999991</v>
      </c>
      <c r="H422" s="6">
        <f t="shared" ca="1" si="70"/>
        <v>4.8999999999999995</v>
      </c>
      <c r="I422" s="5">
        <f t="shared" ca="1" si="71"/>
        <v>1.4000000000000004</v>
      </c>
      <c r="J422" s="8">
        <f t="shared" ca="1" si="72"/>
        <v>3.3249999999999988</v>
      </c>
      <c r="K422" s="5">
        <f t="shared" ca="1" si="73"/>
        <v>0.17500000000000027</v>
      </c>
      <c r="L422">
        <f t="shared" ca="1" si="74"/>
        <v>58982.399999999994</v>
      </c>
      <c r="M422">
        <f t="shared" ca="1" si="75"/>
        <v>58982</v>
      </c>
      <c r="N422" t="str">
        <f t="shared" ca="1" si="76"/>
        <v>1110011001100110</v>
      </c>
      <c r="O422">
        <f t="shared" ca="1" si="77"/>
        <v>111001100</v>
      </c>
    </row>
    <row r="423" spans="4:15" x14ac:dyDescent="0.25">
      <c r="D423">
        <v>421</v>
      </c>
      <c r="E423">
        <f t="shared" si="67"/>
        <v>62.1</v>
      </c>
      <c r="F423">
        <f t="shared" ca="1" si="68"/>
        <v>57.89</v>
      </c>
      <c r="G423" s="1">
        <f t="shared" si="69"/>
        <v>3.5083333333333329</v>
      </c>
      <c r="H423" s="6">
        <f t="shared" ca="1" si="70"/>
        <v>3.1574999999999998</v>
      </c>
      <c r="I423" s="5">
        <f t="shared" ca="1" si="71"/>
        <v>0.35083333333333311</v>
      </c>
      <c r="J423" s="8">
        <f t="shared" ca="1" si="72"/>
        <v>3.3329166666666659</v>
      </c>
      <c r="K423" s="5">
        <f t="shared" ca="1" si="73"/>
        <v>0.175416666666667</v>
      </c>
      <c r="L423">
        <f t="shared" ca="1" si="74"/>
        <v>39949.653333333328</v>
      </c>
      <c r="M423">
        <f t="shared" ca="1" si="75"/>
        <v>39950</v>
      </c>
      <c r="N423" t="str">
        <f t="shared" ca="1" si="76"/>
        <v>1001110000001110</v>
      </c>
      <c r="O423">
        <f t="shared" ca="1" si="77"/>
        <v>100111000</v>
      </c>
    </row>
    <row r="424" spans="4:15" x14ac:dyDescent="0.25">
      <c r="D424">
        <v>422</v>
      </c>
      <c r="E424">
        <f t="shared" si="67"/>
        <v>62.2</v>
      </c>
      <c r="F424">
        <f t="shared" ca="1" si="68"/>
        <v>57.980000000000004</v>
      </c>
      <c r="G424" s="1">
        <f t="shared" si="69"/>
        <v>3.5166666666666666</v>
      </c>
      <c r="H424" s="6">
        <f t="shared" ca="1" si="70"/>
        <v>3.165</v>
      </c>
      <c r="I424" s="5">
        <f t="shared" ca="1" si="71"/>
        <v>0.35166666666666657</v>
      </c>
      <c r="J424" s="8">
        <f t="shared" ca="1" si="72"/>
        <v>3.3408333333333333</v>
      </c>
      <c r="K424" s="5">
        <f t="shared" ca="1" si="73"/>
        <v>0.17583333333333329</v>
      </c>
      <c r="L424">
        <f t="shared" ca="1" si="74"/>
        <v>40031.573333333334</v>
      </c>
      <c r="M424">
        <f t="shared" ca="1" si="75"/>
        <v>40032</v>
      </c>
      <c r="N424" t="str">
        <f t="shared" ca="1" si="76"/>
        <v>1001110001100000</v>
      </c>
      <c r="O424">
        <f t="shared" ca="1" si="77"/>
        <v>100111000</v>
      </c>
    </row>
    <row r="425" spans="4:15" x14ac:dyDescent="0.25">
      <c r="D425">
        <v>423</v>
      </c>
      <c r="E425">
        <f t="shared" si="67"/>
        <v>62.300000000000004</v>
      </c>
      <c r="F425">
        <f t="shared" ca="1" si="68"/>
        <v>79.22</v>
      </c>
      <c r="G425" s="1">
        <f t="shared" si="69"/>
        <v>3.5249999999999995</v>
      </c>
      <c r="H425" s="6">
        <f t="shared" ca="1" si="70"/>
        <v>4.9349999999999996</v>
      </c>
      <c r="I425" s="5">
        <f t="shared" ca="1" si="71"/>
        <v>1.4100000000000001</v>
      </c>
      <c r="J425" s="8">
        <f t="shared" ca="1" si="72"/>
        <v>3.7012499999999995</v>
      </c>
      <c r="K425" s="5">
        <f t="shared" ca="1" si="73"/>
        <v>0.17625000000000002</v>
      </c>
      <c r="L425">
        <f t="shared" ca="1" si="74"/>
        <v>59364.693333333329</v>
      </c>
      <c r="M425">
        <f t="shared" ca="1" si="75"/>
        <v>59365</v>
      </c>
      <c r="N425" t="str">
        <f t="shared" ca="1" si="76"/>
        <v>1110011111100101</v>
      </c>
      <c r="O425">
        <f t="shared" ca="1" si="77"/>
        <v>111001111</v>
      </c>
    </row>
    <row r="426" spans="4:15" x14ac:dyDescent="0.25">
      <c r="D426">
        <v>424</v>
      </c>
      <c r="E426">
        <f t="shared" si="67"/>
        <v>62.400000000000006</v>
      </c>
      <c r="F426">
        <f t="shared" ca="1" si="68"/>
        <v>58.160000000000004</v>
      </c>
      <c r="G426" s="1">
        <f t="shared" si="69"/>
        <v>3.5333333333333332</v>
      </c>
      <c r="H426" s="6">
        <f t="shared" ca="1" si="70"/>
        <v>3.1799999999999997</v>
      </c>
      <c r="I426" s="5">
        <f t="shared" ca="1" si="71"/>
        <v>0.3533333333333335</v>
      </c>
      <c r="J426" s="8">
        <f t="shared" ca="1" si="72"/>
        <v>3.3566666666666665</v>
      </c>
      <c r="K426" s="5">
        <f t="shared" ca="1" si="73"/>
        <v>0.17666666666666675</v>
      </c>
      <c r="L426">
        <f t="shared" ca="1" si="74"/>
        <v>40195.41333333333</v>
      </c>
      <c r="M426">
        <f t="shared" ca="1" si="75"/>
        <v>40195</v>
      </c>
      <c r="N426" t="str">
        <f t="shared" ca="1" si="76"/>
        <v>1001110100000011</v>
      </c>
      <c r="O426">
        <f t="shared" ca="1" si="77"/>
        <v>100111010</v>
      </c>
    </row>
    <row r="427" spans="4:15" x14ac:dyDescent="0.25">
      <c r="D427">
        <v>425</v>
      </c>
      <c r="E427">
        <f t="shared" si="67"/>
        <v>62.5</v>
      </c>
      <c r="F427">
        <f t="shared" ca="1" si="68"/>
        <v>66.75</v>
      </c>
      <c r="G427" s="1">
        <f t="shared" si="69"/>
        <v>3.5416666666666661</v>
      </c>
      <c r="H427" s="6">
        <f t="shared" ca="1" si="70"/>
        <v>3.895833333333333</v>
      </c>
      <c r="I427" s="5">
        <f t="shared" ca="1" si="71"/>
        <v>0.35416666666666696</v>
      </c>
      <c r="J427" s="8">
        <f t="shared" ca="1" si="72"/>
        <v>3.3645833333333326</v>
      </c>
      <c r="K427" s="5">
        <f t="shared" ca="1" si="73"/>
        <v>0.17708333333333348</v>
      </c>
      <c r="L427">
        <f t="shared" ca="1" si="74"/>
        <v>48014.222222222219</v>
      </c>
      <c r="M427">
        <f t="shared" ca="1" si="75"/>
        <v>48014</v>
      </c>
      <c r="N427" t="str">
        <f t="shared" ca="1" si="76"/>
        <v>1011101110001110</v>
      </c>
      <c r="O427">
        <f t="shared" ca="1" si="77"/>
        <v>101110111</v>
      </c>
    </row>
    <row r="428" spans="4:15" x14ac:dyDescent="0.25">
      <c r="D428">
        <v>426</v>
      </c>
      <c r="E428">
        <f t="shared" si="67"/>
        <v>62.6</v>
      </c>
      <c r="F428">
        <f t="shared" ca="1" si="68"/>
        <v>41.3</v>
      </c>
      <c r="G428" s="1">
        <f t="shared" si="69"/>
        <v>3.55</v>
      </c>
      <c r="H428" s="6">
        <f t="shared" ca="1" si="70"/>
        <v>1.7749999999999997</v>
      </c>
      <c r="I428" s="5">
        <f t="shared" ca="1" si="71"/>
        <v>1.7750000000000001</v>
      </c>
      <c r="J428" s="8">
        <f t="shared" ca="1" si="72"/>
        <v>3.7275</v>
      </c>
      <c r="K428" s="5">
        <f t="shared" ca="1" si="73"/>
        <v>0.17750000000000021</v>
      </c>
      <c r="L428">
        <f t="shared" ca="1" si="74"/>
        <v>24849.066666666662</v>
      </c>
      <c r="M428">
        <f t="shared" ca="1" si="75"/>
        <v>24849</v>
      </c>
      <c r="N428" t="str">
        <f t="shared" ca="1" si="76"/>
        <v>0110000100010001</v>
      </c>
      <c r="O428">
        <f t="shared" ca="1" si="77"/>
        <v>11000010</v>
      </c>
    </row>
    <row r="429" spans="4:15" x14ac:dyDescent="0.25">
      <c r="D429">
        <v>427</v>
      </c>
      <c r="E429">
        <f t="shared" si="67"/>
        <v>62.7</v>
      </c>
      <c r="F429">
        <f t="shared" ca="1" si="68"/>
        <v>79.78</v>
      </c>
      <c r="G429" s="1">
        <f t="shared" si="69"/>
        <v>3.5583333333333327</v>
      </c>
      <c r="H429" s="6">
        <f t="shared" ca="1" si="70"/>
        <v>4.9816666666666665</v>
      </c>
      <c r="I429" s="5">
        <f t="shared" ca="1" si="71"/>
        <v>1.4233333333333338</v>
      </c>
      <c r="J429" s="8">
        <f t="shared" ca="1" si="72"/>
        <v>3.7362499999999996</v>
      </c>
      <c r="K429" s="5">
        <f t="shared" ca="1" si="73"/>
        <v>0.17791666666666694</v>
      </c>
      <c r="L429">
        <f t="shared" ca="1" si="74"/>
        <v>59874.417777777773</v>
      </c>
      <c r="M429">
        <f t="shared" ca="1" si="75"/>
        <v>59874</v>
      </c>
      <c r="N429" t="str">
        <f t="shared" ca="1" si="76"/>
        <v>1110100111100010</v>
      </c>
      <c r="O429">
        <f t="shared" ca="1" si="77"/>
        <v>111010011</v>
      </c>
    </row>
    <row r="430" spans="4:15" x14ac:dyDescent="0.25">
      <c r="D430">
        <v>428</v>
      </c>
      <c r="E430">
        <f t="shared" si="67"/>
        <v>62.800000000000004</v>
      </c>
      <c r="F430">
        <f t="shared" ca="1" si="68"/>
        <v>45.680000000000007</v>
      </c>
      <c r="G430" s="1">
        <f t="shared" si="69"/>
        <v>3.5666666666666664</v>
      </c>
      <c r="H430" s="6">
        <f t="shared" ca="1" si="70"/>
        <v>2.1400000000000006</v>
      </c>
      <c r="I430" s="5">
        <f t="shared" ca="1" si="71"/>
        <v>1.4266666666666659</v>
      </c>
      <c r="J430" s="8">
        <f t="shared" ca="1" si="72"/>
        <v>3.3883333333333328</v>
      </c>
      <c r="K430" s="5">
        <f t="shared" ca="1" si="73"/>
        <v>0.17833333333333368</v>
      </c>
      <c r="L430">
        <f t="shared" ca="1" si="74"/>
        <v>28835.840000000007</v>
      </c>
      <c r="M430">
        <f t="shared" ca="1" si="75"/>
        <v>28836</v>
      </c>
      <c r="N430" t="str">
        <f t="shared" ca="1" si="76"/>
        <v>0111000010100100</v>
      </c>
      <c r="O430">
        <f t="shared" ca="1" si="77"/>
        <v>11100001</v>
      </c>
    </row>
    <row r="431" spans="4:15" x14ac:dyDescent="0.25">
      <c r="D431">
        <v>429</v>
      </c>
      <c r="E431">
        <f t="shared" si="67"/>
        <v>62.900000000000006</v>
      </c>
      <c r="F431">
        <f t="shared" ca="1" si="68"/>
        <v>71.48</v>
      </c>
      <c r="G431" s="1">
        <f t="shared" si="69"/>
        <v>3.5750000000000002</v>
      </c>
      <c r="H431" s="6">
        <f t="shared" ca="1" si="70"/>
        <v>4.29</v>
      </c>
      <c r="I431" s="5">
        <f t="shared" ca="1" si="71"/>
        <v>0.71499999999999986</v>
      </c>
      <c r="J431" s="8">
        <f t="shared" ca="1" si="72"/>
        <v>3.3962500000000002</v>
      </c>
      <c r="K431" s="5">
        <f t="shared" ca="1" si="73"/>
        <v>0.17874999999999996</v>
      </c>
      <c r="L431">
        <f t="shared" ca="1" si="74"/>
        <v>52319.573333333334</v>
      </c>
      <c r="M431">
        <f t="shared" ca="1" si="75"/>
        <v>52320</v>
      </c>
      <c r="N431" t="str">
        <f t="shared" ca="1" si="76"/>
        <v>1100110001100000</v>
      </c>
      <c r="O431">
        <f t="shared" ca="1" si="77"/>
        <v>110011000</v>
      </c>
    </row>
    <row r="432" spans="4:15" x14ac:dyDescent="0.25">
      <c r="D432">
        <v>430</v>
      </c>
      <c r="E432">
        <f t="shared" si="67"/>
        <v>63</v>
      </c>
      <c r="F432">
        <f t="shared" ca="1" si="68"/>
        <v>58.7</v>
      </c>
      <c r="G432" s="1">
        <f t="shared" si="69"/>
        <v>3.583333333333333</v>
      </c>
      <c r="H432" s="6">
        <f t="shared" ca="1" si="70"/>
        <v>3.2249999999999996</v>
      </c>
      <c r="I432" s="5">
        <f t="shared" ca="1" si="71"/>
        <v>0.35833333333333339</v>
      </c>
      <c r="J432" s="8">
        <f t="shared" ca="1" si="72"/>
        <v>3.7624999999999997</v>
      </c>
      <c r="K432" s="5">
        <f t="shared" ca="1" si="73"/>
        <v>0.1791666666666667</v>
      </c>
      <c r="L432">
        <f t="shared" ca="1" si="74"/>
        <v>40686.933333333327</v>
      </c>
      <c r="M432">
        <f t="shared" ca="1" si="75"/>
        <v>40687</v>
      </c>
      <c r="N432" t="str">
        <f t="shared" ca="1" si="76"/>
        <v>1001111011101111</v>
      </c>
      <c r="O432">
        <f t="shared" ca="1" si="77"/>
        <v>100111101</v>
      </c>
    </row>
    <row r="433" spans="4:15" x14ac:dyDescent="0.25">
      <c r="D433">
        <v>431</v>
      </c>
      <c r="E433">
        <f t="shared" si="67"/>
        <v>63.1</v>
      </c>
      <c r="F433">
        <f t="shared" ca="1" si="68"/>
        <v>84.65</v>
      </c>
      <c r="G433" s="1">
        <f t="shared" si="69"/>
        <v>3.5916666666666659</v>
      </c>
      <c r="H433" s="6">
        <f t="shared" ca="1" si="70"/>
        <v>5.3875000000000002</v>
      </c>
      <c r="I433" s="5">
        <f t="shared" ca="1" si="71"/>
        <v>1.7958333333333343</v>
      </c>
      <c r="J433" s="8">
        <f t="shared" ca="1" si="72"/>
        <v>3.7712499999999993</v>
      </c>
      <c r="K433" s="5">
        <f t="shared" ca="1" si="73"/>
        <v>0.17958333333333343</v>
      </c>
      <c r="L433">
        <f t="shared" ca="1" si="74"/>
        <v>64307.200000000004</v>
      </c>
      <c r="M433">
        <f t="shared" ca="1" si="75"/>
        <v>64307</v>
      </c>
      <c r="N433" t="str">
        <f t="shared" ca="1" si="76"/>
        <v>1111101100110011</v>
      </c>
      <c r="O433">
        <f t="shared" ca="1" si="77"/>
        <v>111110110</v>
      </c>
    </row>
    <row r="434" spans="4:15" x14ac:dyDescent="0.25">
      <c r="D434">
        <v>432</v>
      </c>
      <c r="E434">
        <f t="shared" si="67"/>
        <v>63.2</v>
      </c>
      <c r="F434">
        <f t="shared" ca="1" si="68"/>
        <v>80.48</v>
      </c>
      <c r="G434" s="1">
        <f t="shared" si="69"/>
        <v>3.5999999999999996</v>
      </c>
      <c r="H434" s="6">
        <f t="shared" ca="1" si="70"/>
        <v>5.04</v>
      </c>
      <c r="I434" s="5">
        <f t="shared" ca="1" si="71"/>
        <v>1.4400000000000004</v>
      </c>
      <c r="J434" s="8">
        <f t="shared" ca="1" si="72"/>
        <v>3.4199999999999995</v>
      </c>
      <c r="K434" s="5">
        <f t="shared" ca="1" si="73"/>
        <v>0.18000000000000016</v>
      </c>
      <c r="L434">
        <f t="shared" ca="1" si="74"/>
        <v>60511.573333333334</v>
      </c>
      <c r="M434">
        <f t="shared" ca="1" si="75"/>
        <v>60512</v>
      </c>
      <c r="N434" t="str">
        <f t="shared" ca="1" si="76"/>
        <v>1110110001100000</v>
      </c>
      <c r="O434">
        <f t="shared" ca="1" si="77"/>
        <v>111011000</v>
      </c>
    </row>
    <row r="435" spans="4:15" x14ac:dyDescent="0.25">
      <c r="D435">
        <v>433</v>
      </c>
      <c r="E435">
        <f t="shared" si="67"/>
        <v>63.300000000000004</v>
      </c>
      <c r="F435">
        <f t="shared" ca="1" si="68"/>
        <v>76.290000000000006</v>
      </c>
      <c r="G435" s="1">
        <f t="shared" si="69"/>
        <v>3.6083333333333334</v>
      </c>
      <c r="H435" s="6">
        <f t="shared" ca="1" si="70"/>
        <v>4.690833333333333</v>
      </c>
      <c r="I435" s="5">
        <f t="shared" ca="1" si="71"/>
        <v>1.0824999999999996</v>
      </c>
      <c r="J435" s="8">
        <f t="shared" ca="1" si="72"/>
        <v>3.4279166666666665</v>
      </c>
      <c r="K435" s="5">
        <f t="shared" ca="1" si="73"/>
        <v>0.18041666666666689</v>
      </c>
      <c r="L435">
        <f t="shared" ca="1" si="74"/>
        <v>56697.742222222216</v>
      </c>
      <c r="M435">
        <f t="shared" ca="1" si="75"/>
        <v>56698</v>
      </c>
      <c r="N435" t="str">
        <f t="shared" ca="1" si="76"/>
        <v>1101110101111010</v>
      </c>
      <c r="O435">
        <f t="shared" ca="1" si="77"/>
        <v>110111010</v>
      </c>
    </row>
    <row r="436" spans="4:15" x14ac:dyDescent="0.25">
      <c r="D436">
        <v>434</v>
      </c>
      <c r="E436">
        <f t="shared" si="67"/>
        <v>63.400000000000006</v>
      </c>
      <c r="F436">
        <f t="shared" ca="1" si="68"/>
        <v>41.7</v>
      </c>
      <c r="G436" s="1">
        <f t="shared" si="69"/>
        <v>3.6166666666666663</v>
      </c>
      <c r="H436" s="6">
        <f t="shared" ca="1" si="70"/>
        <v>1.8083333333333333</v>
      </c>
      <c r="I436" s="5">
        <f t="shared" ca="1" si="71"/>
        <v>1.8083333333333329</v>
      </c>
      <c r="J436" s="8">
        <f t="shared" ca="1" si="72"/>
        <v>3.4358333333333326</v>
      </c>
      <c r="K436" s="5">
        <f t="shared" ca="1" si="73"/>
        <v>0.18083333333333362</v>
      </c>
      <c r="L436">
        <f t="shared" ca="1" si="74"/>
        <v>25213.155555555557</v>
      </c>
      <c r="M436">
        <f t="shared" ca="1" si="75"/>
        <v>25213</v>
      </c>
      <c r="N436" t="str">
        <f t="shared" ca="1" si="76"/>
        <v>0110001001111101</v>
      </c>
      <c r="O436">
        <f t="shared" ca="1" si="77"/>
        <v>11000100</v>
      </c>
    </row>
    <row r="437" spans="4:15" x14ac:dyDescent="0.25">
      <c r="D437">
        <v>435</v>
      </c>
      <c r="E437">
        <f t="shared" si="67"/>
        <v>63.5</v>
      </c>
      <c r="F437">
        <f t="shared" ca="1" si="68"/>
        <v>59.15</v>
      </c>
      <c r="G437" s="1">
        <f t="shared" si="69"/>
        <v>3.6249999999999991</v>
      </c>
      <c r="H437" s="6">
        <f t="shared" ca="1" si="70"/>
        <v>3.2624999999999993</v>
      </c>
      <c r="I437" s="5">
        <f t="shared" ca="1" si="71"/>
        <v>0.36249999999999982</v>
      </c>
      <c r="J437" s="8">
        <f t="shared" ca="1" si="72"/>
        <v>3.806249999999999</v>
      </c>
      <c r="K437" s="5">
        <f t="shared" ca="1" si="73"/>
        <v>0.18124999999999991</v>
      </c>
      <c r="L437">
        <f t="shared" ca="1" si="74"/>
        <v>41096.533333333326</v>
      </c>
      <c r="M437">
        <f t="shared" ca="1" si="75"/>
        <v>41097</v>
      </c>
      <c r="N437" t="str">
        <f t="shared" ca="1" si="76"/>
        <v>1010000010001001</v>
      </c>
      <c r="O437">
        <f t="shared" ca="1" si="77"/>
        <v>101000001</v>
      </c>
    </row>
    <row r="438" spans="4:15" x14ac:dyDescent="0.25">
      <c r="D438">
        <v>436</v>
      </c>
      <c r="E438">
        <f t="shared" si="67"/>
        <v>63.6</v>
      </c>
      <c r="F438">
        <f t="shared" ca="1" si="68"/>
        <v>81.040000000000006</v>
      </c>
      <c r="G438" s="1">
        <f t="shared" si="69"/>
        <v>3.6333333333333329</v>
      </c>
      <c r="H438" s="6">
        <f t="shared" ca="1" si="70"/>
        <v>5.0866666666666669</v>
      </c>
      <c r="I438" s="5">
        <f t="shared" ca="1" si="71"/>
        <v>1.453333333333334</v>
      </c>
      <c r="J438" s="8">
        <f t="shared" ca="1" si="72"/>
        <v>3.4516666666666662</v>
      </c>
      <c r="K438" s="5">
        <f t="shared" ca="1" si="73"/>
        <v>0.18166666666666664</v>
      </c>
      <c r="L438">
        <f t="shared" ca="1" si="74"/>
        <v>61021.297777777778</v>
      </c>
      <c r="M438">
        <f t="shared" ca="1" si="75"/>
        <v>61021</v>
      </c>
      <c r="N438" t="str">
        <f t="shared" ca="1" si="76"/>
        <v>1110111001011101</v>
      </c>
      <c r="O438">
        <f t="shared" ca="1" si="77"/>
        <v>111011100</v>
      </c>
    </row>
    <row r="439" spans="4:15" x14ac:dyDescent="0.25">
      <c r="D439">
        <v>437</v>
      </c>
      <c r="E439">
        <f t="shared" si="67"/>
        <v>63.7</v>
      </c>
      <c r="F439">
        <f t="shared" ca="1" si="68"/>
        <v>85.550000000000011</v>
      </c>
      <c r="G439" s="1">
        <f t="shared" si="69"/>
        <v>3.6416666666666666</v>
      </c>
      <c r="H439" s="6">
        <f t="shared" ca="1" si="70"/>
        <v>5.4625000000000004</v>
      </c>
      <c r="I439" s="5">
        <f t="shared" ca="1" si="71"/>
        <v>1.8208333333333337</v>
      </c>
      <c r="J439" s="8">
        <f t="shared" ca="1" si="72"/>
        <v>3.4595833333333332</v>
      </c>
      <c r="K439" s="5">
        <f t="shared" ca="1" si="73"/>
        <v>0.18208333333333337</v>
      </c>
      <c r="L439">
        <f t="shared" ca="1" si="74"/>
        <v>65126.400000000001</v>
      </c>
      <c r="M439">
        <f t="shared" ca="1" si="75"/>
        <v>65126</v>
      </c>
      <c r="N439" t="str">
        <f t="shared" ca="1" si="76"/>
        <v>1111111001100110</v>
      </c>
      <c r="O439">
        <f t="shared" ca="1" si="77"/>
        <v>111111100</v>
      </c>
    </row>
    <row r="440" spans="4:15" x14ac:dyDescent="0.25">
      <c r="D440">
        <v>438</v>
      </c>
      <c r="E440">
        <f t="shared" si="67"/>
        <v>63.800000000000004</v>
      </c>
      <c r="F440">
        <f t="shared" ca="1" si="68"/>
        <v>41.900000000000006</v>
      </c>
      <c r="G440" s="1">
        <f t="shared" si="69"/>
        <v>3.6499999999999995</v>
      </c>
      <c r="H440" s="6">
        <f t="shared" ca="1" si="70"/>
        <v>1.8250000000000004</v>
      </c>
      <c r="I440" s="5">
        <f t="shared" ca="1" si="71"/>
        <v>1.8249999999999991</v>
      </c>
      <c r="J440" s="8">
        <f t="shared" ca="1" si="72"/>
        <v>3.4674999999999994</v>
      </c>
      <c r="K440" s="5">
        <f t="shared" ca="1" si="73"/>
        <v>0.18250000000000011</v>
      </c>
      <c r="L440">
        <f t="shared" ca="1" si="74"/>
        <v>25395.200000000001</v>
      </c>
      <c r="M440">
        <f t="shared" ca="1" si="75"/>
        <v>25395</v>
      </c>
      <c r="N440" t="str">
        <f t="shared" ca="1" si="76"/>
        <v>0110001100110011</v>
      </c>
      <c r="O440">
        <f t="shared" ca="1" si="77"/>
        <v>11000110</v>
      </c>
    </row>
    <row r="441" spans="4:15" x14ac:dyDescent="0.25">
      <c r="D441">
        <v>439</v>
      </c>
      <c r="E441">
        <f t="shared" si="67"/>
        <v>63.900000000000006</v>
      </c>
      <c r="F441">
        <f t="shared" ca="1" si="68"/>
        <v>59.510000000000005</v>
      </c>
      <c r="G441" s="1">
        <f t="shared" si="69"/>
        <v>3.6583333333333332</v>
      </c>
      <c r="H441" s="6">
        <f t="shared" ca="1" si="70"/>
        <v>3.2924999999999995</v>
      </c>
      <c r="I441" s="5">
        <f t="shared" ca="1" si="71"/>
        <v>0.36583333333333368</v>
      </c>
      <c r="J441" s="8">
        <f t="shared" ca="1" si="72"/>
        <v>3.8412500000000001</v>
      </c>
      <c r="K441" s="5">
        <f t="shared" ca="1" si="73"/>
        <v>0.18291666666666684</v>
      </c>
      <c r="L441">
        <f t="shared" ca="1" si="74"/>
        <v>41424.213333333326</v>
      </c>
      <c r="M441">
        <f t="shared" ca="1" si="75"/>
        <v>41424</v>
      </c>
      <c r="N441" t="str">
        <f t="shared" ca="1" si="76"/>
        <v>1010000111010000</v>
      </c>
      <c r="O441">
        <f t="shared" ca="1" si="77"/>
        <v>101000011</v>
      </c>
    </row>
    <row r="442" spans="4:15" x14ac:dyDescent="0.25">
      <c r="D442">
        <v>440</v>
      </c>
      <c r="E442">
        <f t="shared" si="67"/>
        <v>64</v>
      </c>
      <c r="F442">
        <f t="shared" ca="1" si="68"/>
        <v>42</v>
      </c>
      <c r="G442" s="1">
        <f t="shared" si="69"/>
        <v>3.6666666666666661</v>
      </c>
      <c r="H442" s="6">
        <f t="shared" ca="1" si="70"/>
        <v>1.8333333333333333</v>
      </c>
      <c r="I442" s="5">
        <f t="shared" ca="1" si="71"/>
        <v>1.8333333333333328</v>
      </c>
      <c r="J442" s="8">
        <f t="shared" ca="1" si="72"/>
        <v>3.4833333333333325</v>
      </c>
      <c r="K442" s="5">
        <f t="shared" ca="1" si="73"/>
        <v>0.18333333333333357</v>
      </c>
      <c r="L442">
        <f t="shared" ca="1" si="74"/>
        <v>25486.222222222219</v>
      </c>
      <c r="M442">
        <f t="shared" ca="1" si="75"/>
        <v>25486</v>
      </c>
      <c r="N442" t="str">
        <f t="shared" ca="1" si="76"/>
        <v>0110001110001110</v>
      </c>
      <c r="O442">
        <f t="shared" ca="1" si="77"/>
        <v>11000111</v>
      </c>
    </row>
    <row r="443" spans="4:15" x14ac:dyDescent="0.25">
      <c r="D443">
        <v>441</v>
      </c>
      <c r="E443">
        <f t="shared" si="67"/>
        <v>64.099999999999994</v>
      </c>
      <c r="F443">
        <f t="shared" ca="1" si="68"/>
        <v>55.279999999999994</v>
      </c>
      <c r="G443" s="1">
        <f t="shared" si="69"/>
        <v>3.6749999999999989</v>
      </c>
      <c r="H443" s="6">
        <f t="shared" ca="1" si="70"/>
        <v>2.9399999999999986</v>
      </c>
      <c r="I443" s="5">
        <f t="shared" ca="1" si="71"/>
        <v>0.73500000000000032</v>
      </c>
      <c r="J443" s="8">
        <f t="shared" ca="1" si="72"/>
        <v>3.4912499999999986</v>
      </c>
      <c r="K443" s="5">
        <f t="shared" ca="1" si="73"/>
        <v>0.1837500000000003</v>
      </c>
      <c r="L443">
        <f t="shared" ca="1" si="74"/>
        <v>37573.973333333321</v>
      </c>
      <c r="M443">
        <f t="shared" ca="1" si="75"/>
        <v>37574</v>
      </c>
      <c r="N443" t="str">
        <f t="shared" ca="1" si="76"/>
        <v>1001001011000110</v>
      </c>
      <c r="O443">
        <f t="shared" ca="1" si="77"/>
        <v>100100101</v>
      </c>
    </row>
    <row r="444" spans="4:15" x14ac:dyDescent="0.25">
      <c r="D444">
        <v>442</v>
      </c>
      <c r="E444">
        <f t="shared" si="67"/>
        <v>64.2</v>
      </c>
      <c r="F444">
        <f t="shared" ca="1" si="68"/>
        <v>64.2</v>
      </c>
      <c r="G444" s="1">
        <f t="shared" si="69"/>
        <v>3.6833333333333327</v>
      </c>
      <c r="H444" s="6">
        <f t="shared" ca="1" si="70"/>
        <v>3.6833333333333327</v>
      </c>
      <c r="I444" s="5">
        <f t="shared" ca="1" si="71"/>
        <v>0</v>
      </c>
      <c r="J444" s="8">
        <f t="shared" ca="1" si="72"/>
        <v>3.8674999999999993</v>
      </c>
      <c r="K444" s="5">
        <f t="shared" ca="1" si="73"/>
        <v>0.18416666666666659</v>
      </c>
      <c r="L444">
        <f t="shared" ca="1" si="74"/>
        <v>45693.155555555546</v>
      </c>
      <c r="M444">
        <f t="shared" ca="1" si="75"/>
        <v>45693</v>
      </c>
      <c r="N444" t="str">
        <f t="shared" ca="1" si="76"/>
        <v>1011001001111101</v>
      </c>
      <c r="O444">
        <f t="shared" ca="1" si="77"/>
        <v>101100100</v>
      </c>
    </row>
    <row r="445" spans="4:15" x14ac:dyDescent="0.25">
      <c r="D445">
        <v>443</v>
      </c>
      <c r="E445">
        <f t="shared" si="67"/>
        <v>64.300000000000011</v>
      </c>
      <c r="F445">
        <f t="shared" ca="1" si="68"/>
        <v>55.440000000000012</v>
      </c>
      <c r="G445" s="1">
        <f t="shared" si="69"/>
        <v>3.6916666666666673</v>
      </c>
      <c r="H445" s="6">
        <f t="shared" ca="1" si="70"/>
        <v>2.953333333333334</v>
      </c>
      <c r="I445" s="5">
        <f t="shared" ca="1" si="71"/>
        <v>0.73833333333333329</v>
      </c>
      <c r="J445" s="8">
        <f t="shared" ca="1" si="72"/>
        <v>3.507083333333334</v>
      </c>
      <c r="K445" s="5">
        <f t="shared" ca="1" si="73"/>
        <v>0.18458333333333332</v>
      </c>
      <c r="L445">
        <f t="shared" ca="1" si="74"/>
        <v>37719.608888888899</v>
      </c>
      <c r="M445">
        <f t="shared" ca="1" si="75"/>
        <v>37720</v>
      </c>
      <c r="N445" t="str">
        <f t="shared" ca="1" si="76"/>
        <v>1001001101011000</v>
      </c>
      <c r="O445">
        <f t="shared" ca="1" si="77"/>
        <v>100100110</v>
      </c>
    </row>
    <row r="446" spans="4:15" x14ac:dyDescent="0.25">
      <c r="D446">
        <v>444</v>
      </c>
      <c r="E446">
        <f t="shared" si="67"/>
        <v>64.400000000000006</v>
      </c>
      <c r="F446">
        <f t="shared" ca="1" si="68"/>
        <v>77.72</v>
      </c>
      <c r="G446" s="1">
        <f t="shared" si="69"/>
        <v>3.7</v>
      </c>
      <c r="H446" s="6">
        <f t="shared" ca="1" si="70"/>
        <v>4.8099999999999996</v>
      </c>
      <c r="I446" s="5">
        <f t="shared" ca="1" si="71"/>
        <v>1.1099999999999994</v>
      </c>
      <c r="J446" s="8">
        <f t="shared" ca="1" si="72"/>
        <v>3.8850000000000002</v>
      </c>
      <c r="K446" s="5">
        <f t="shared" ca="1" si="73"/>
        <v>0.18500000000000005</v>
      </c>
      <c r="L446">
        <f t="shared" ca="1" si="74"/>
        <v>57999.359999999993</v>
      </c>
      <c r="M446">
        <f t="shared" ca="1" si="75"/>
        <v>57999</v>
      </c>
      <c r="N446" t="str">
        <f t="shared" ca="1" si="76"/>
        <v>1110001010001111</v>
      </c>
      <c r="O446">
        <f t="shared" ca="1" si="77"/>
        <v>111000101</v>
      </c>
    </row>
    <row r="447" spans="4:15" x14ac:dyDescent="0.25">
      <c r="D447">
        <v>445</v>
      </c>
      <c r="E447">
        <f t="shared" si="67"/>
        <v>64.5</v>
      </c>
      <c r="F447">
        <f t="shared" ca="1" si="68"/>
        <v>46.7</v>
      </c>
      <c r="G447" s="1">
        <f t="shared" si="69"/>
        <v>3.708333333333333</v>
      </c>
      <c r="H447" s="6">
        <f t="shared" ca="1" si="70"/>
        <v>2.2249999999999996</v>
      </c>
      <c r="I447" s="5">
        <f t="shared" ca="1" si="71"/>
        <v>1.4833333333333334</v>
      </c>
      <c r="J447" s="8">
        <f t="shared" ca="1" si="72"/>
        <v>3.8937499999999998</v>
      </c>
      <c r="K447" s="5">
        <f t="shared" ca="1" si="73"/>
        <v>0.18541666666666679</v>
      </c>
      <c r="L447">
        <f t="shared" ca="1" si="74"/>
        <v>29764.266666666663</v>
      </c>
      <c r="M447">
        <f t="shared" ca="1" si="75"/>
        <v>29764</v>
      </c>
      <c r="N447" t="str">
        <f t="shared" ca="1" si="76"/>
        <v>0111010001000100</v>
      </c>
      <c r="O447">
        <f t="shared" ca="1" si="77"/>
        <v>11101000</v>
      </c>
    </row>
    <row r="448" spans="4:15" x14ac:dyDescent="0.25">
      <c r="D448">
        <v>446</v>
      </c>
      <c r="E448">
        <f t="shared" si="67"/>
        <v>64.599999999999994</v>
      </c>
      <c r="F448">
        <f t="shared" ca="1" si="68"/>
        <v>46.759999999999991</v>
      </c>
      <c r="G448" s="1">
        <f t="shared" si="69"/>
        <v>3.7166666666666659</v>
      </c>
      <c r="H448" s="6">
        <f t="shared" ca="1" si="70"/>
        <v>2.2299999999999986</v>
      </c>
      <c r="I448" s="5">
        <f t="shared" ca="1" si="71"/>
        <v>1.4866666666666672</v>
      </c>
      <c r="J448" s="8">
        <f t="shared" ca="1" si="72"/>
        <v>3.5308333333333324</v>
      </c>
      <c r="K448" s="5">
        <f t="shared" ca="1" si="73"/>
        <v>0.18583333333333352</v>
      </c>
      <c r="L448">
        <f t="shared" ca="1" si="74"/>
        <v>29818.879999999986</v>
      </c>
      <c r="M448">
        <f t="shared" ca="1" si="75"/>
        <v>29819</v>
      </c>
      <c r="N448" t="str">
        <f t="shared" ca="1" si="76"/>
        <v>0111010001111011</v>
      </c>
      <c r="O448">
        <f t="shared" ca="1" si="77"/>
        <v>11101000</v>
      </c>
    </row>
    <row r="449" spans="4:15" x14ac:dyDescent="0.25">
      <c r="D449">
        <v>447</v>
      </c>
      <c r="E449">
        <f t="shared" si="67"/>
        <v>64.7</v>
      </c>
      <c r="F449">
        <f t="shared" ca="1" si="68"/>
        <v>64.7</v>
      </c>
      <c r="G449" s="1">
        <f t="shared" si="69"/>
        <v>3.7249999999999996</v>
      </c>
      <c r="H449" s="6">
        <f t="shared" ca="1" si="70"/>
        <v>3.7249999999999996</v>
      </c>
      <c r="I449" s="5">
        <f t="shared" ca="1" si="71"/>
        <v>0</v>
      </c>
      <c r="J449" s="8">
        <f t="shared" ca="1" si="72"/>
        <v>3.5387499999999994</v>
      </c>
      <c r="K449" s="5">
        <f t="shared" ca="1" si="73"/>
        <v>0.18625000000000025</v>
      </c>
      <c r="L449">
        <f t="shared" ca="1" si="74"/>
        <v>46148.266666666663</v>
      </c>
      <c r="M449">
        <f t="shared" ca="1" si="75"/>
        <v>46148</v>
      </c>
      <c r="N449" t="str">
        <f t="shared" ca="1" si="76"/>
        <v>1011010001000100</v>
      </c>
      <c r="O449">
        <f t="shared" ca="1" si="77"/>
        <v>101101000</v>
      </c>
    </row>
    <row r="450" spans="4:15" x14ac:dyDescent="0.25">
      <c r="D450">
        <v>448</v>
      </c>
      <c r="E450">
        <f t="shared" si="67"/>
        <v>64.800000000000011</v>
      </c>
      <c r="F450">
        <f t="shared" ca="1" si="68"/>
        <v>46.88000000000001</v>
      </c>
      <c r="G450" s="1">
        <f t="shared" si="69"/>
        <v>3.7333333333333334</v>
      </c>
      <c r="H450" s="6">
        <f t="shared" ca="1" si="70"/>
        <v>2.2400000000000002</v>
      </c>
      <c r="I450" s="5">
        <f t="shared" ca="1" si="71"/>
        <v>1.4933333333333332</v>
      </c>
      <c r="J450" s="8">
        <f t="shared" ca="1" si="72"/>
        <v>3.5466666666666664</v>
      </c>
      <c r="K450" s="5">
        <f t="shared" ca="1" si="73"/>
        <v>0.18666666666666698</v>
      </c>
      <c r="L450">
        <f t="shared" ca="1" si="74"/>
        <v>29928.10666666667</v>
      </c>
      <c r="M450">
        <f t="shared" ca="1" si="75"/>
        <v>29928</v>
      </c>
      <c r="N450" t="str">
        <f t="shared" ca="1" si="76"/>
        <v>0111010011101000</v>
      </c>
      <c r="O450">
        <f t="shared" ca="1" si="77"/>
        <v>11101001</v>
      </c>
    </row>
    <row r="451" spans="4:15" x14ac:dyDescent="0.25">
      <c r="D451">
        <v>449</v>
      </c>
      <c r="E451">
        <f t="shared" ref="E451:E514" si="78">0.1*D451+20</f>
        <v>64.900000000000006</v>
      </c>
      <c r="F451">
        <f t="shared" ref="F451:F514" ca="1" si="79">0.1*D451+20 + (RANDBETWEEN(-5,5)/100)*D451</f>
        <v>55.92</v>
      </c>
      <c r="G451" s="1">
        <f t="shared" ref="G451:G514" si="80">1/12*E451-5/3</f>
        <v>3.7416666666666663</v>
      </c>
      <c r="H451" s="6">
        <f t="shared" ref="H451:H514" ca="1" si="81">1/12*F451-5/3</f>
        <v>2.9933333333333332</v>
      </c>
      <c r="I451" s="5">
        <f t="shared" ref="I451:I514" ca="1" si="82">ABS(G451-H451)</f>
        <v>0.74833333333333307</v>
      </c>
      <c r="J451" s="8">
        <f t="shared" ref="J451:J514" ca="1" si="83" xml:space="preserve"> G451 * (1 + $B$1 * IF(RANDBETWEEN(0,1)=0,-1,1))</f>
        <v>3.9287499999999995</v>
      </c>
      <c r="K451" s="5">
        <f t="shared" ref="K451:K514" ca="1" si="84">ABS(G451-J451)</f>
        <v>0.18708333333333327</v>
      </c>
      <c r="L451">
        <f t="shared" ref="L451:L514" ca="1" si="85">(H451-$B$2)/($B$3-$B$2)*(2^$B$4)</f>
        <v>38156.515555555554</v>
      </c>
      <c r="M451">
        <f t="shared" ref="M451:M514" ca="1" si="86">ROUND(L451,0)</f>
        <v>38157</v>
      </c>
      <c r="N451" t="str">
        <f t="shared" ref="N451:N514" ca="1" si="87">_xlfn.BASE(M451,2,$B$4)</f>
        <v>1001010100001101</v>
      </c>
      <c r="O451">
        <f t="shared" ref="O451:O514" ca="1" si="88">VALUE(LEFT(N451,9))</f>
        <v>100101010</v>
      </c>
    </row>
    <row r="452" spans="4:15" x14ac:dyDescent="0.25">
      <c r="D452">
        <v>450</v>
      </c>
      <c r="E452">
        <f t="shared" si="78"/>
        <v>65</v>
      </c>
      <c r="F452">
        <f t="shared" ca="1" si="79"/>
        <v>69.5</v>
      </c>
      <c r="G452" s="1">
        <f t="shared" si="80"/>
        <v>3.7499999999999991</v>
      </c>
      <c r="H452" s="6">
        <f t="shared" ca="1" si="81"/>
        <v>4.1249999999999991</v>
      </c>
      <c r="I452" s="5">
        <f t="shared" ca="1" si="82"/>
        <v>0.375</v>
      </c>
      <c r="J452" s="8">
        <f t="shared" ca="1" si="83"/>
        <v>3.9374999999999991</v>
      </c>
      <c r="K452" s="5">
        <f t="shared" ca="1" si="84"/>
        <v>0.1875</v>
      </c>
      <c r="L452">
        <f t="shared" ca="1" si="85"/>
        <v>50517.333333333321</v>
      </c>
      <c r="M452">
        <f t="shared" ca="1" si="86"/>
        <v>50517</v>
      </c>
      <c r="N452" t="str">
        <f t="shared" ca="1" si="87"/>
        <v>1100010101010101</v>
      </c>
      <c r="O452">
        <f t="shared" ca="1" si="88"/>
        <v>110001010</v>
      </c>
    </row>
    <row r="453" spans="4:15" x14ac:dyDescent="0.25">
      <c r="D453">
        <v>451</v>
      </c>
      <c r="E453">
        <f t="shared" si="78"/>
        <v>65.099999999999994</v>
      </c>
      <c r="F453">
        <f t="shared" ca="1" si="79"/>
        <v>42.55</v>
      </c>
      <c r="G453" s="1">
        <f t="shared" si="80"/>
        <v>3.758333333333332</v>
      </c>
      <c r="H453" s="6">
        <f t="shared" ca="1" si="81"/>
        <v>1.8791666666666662</v>
      </c>
      <c r="I453" s="5">
        <f t="shared" ca="1" si="82"/>
        <v>1.8791666666666658</v>
      </c>
      <c r="J453" s="8">
        <f t="shared" ca="1" si="83"/>
        <v>3.5704166666666652</v>
      </c>
      <c r="K453" s="5">
        <f t="shared" ca="1" si="84"/>
        <v>0.18791666666666673</v>
      </c>
      <c r="L453">
        <f t="shared" ca="1" si="85"/>
        <v>25986.844444444443</v>
      </c>
      <c r="M453">
        <f t="shared" ca="1" si="86"/>
        <v>25987</v>
      </c>
      <c r="N453" t="str">
        <f t="shared" ca="1" si="87"/>
        <v>0110010110000011</v>
      </c>
      <c r="O453">
        <f t="shared" ca="1" si="88"/>
        <v>11001011</v>
      </c>
    </row>
    <row r="454" spans="4:15" x14ac:dyDescent="0.25">
      <c r="D454">
        <v>452</v>
      </c>
      <c r="E454">
        <f t="shared" si="78"/>
        <v>65.2</v>
      </c>
      <c r="F454">
        <f t="shared" ca="1" si="79"/>
        <v>87.800000000000011</v>
      </c>
      <c r="G454" s="1">
        <f t="shared" si="80"/>
        <v>3.7666666666666666</v>
      </c>
      <c r="H454" s="6">
        <f t="shared" ca="1" si="81"/>
        <v>5.65</v>
      </c>
      <c r="I454" s="5">
        <f t="shared" ca="1" si="82"/>
        <v>1.8833333333333337</v>
      </c>
      <c r="J454" s="8">
        <f t="shared" ca="1" si="83"/>
        <v>3.5783333333333331</v>
      </c>
      <c r="K454" s="5">
        <f t="shared" ca="1" si="84"/>
        <v>0.18833333333333346</v>
      </c>
      <c r="L454">
        <f t="shared" ca="1" si="85"/>
        <v>67174.400000000009</v>
      </c>
      <c r="M454">
        <f t="shared" ca="1" si="86"/>
        <v>67174</v>
      </c>
      <c r="N454" t="str">
        <f t="shared" ca="1" si="87"/>
        <v>10000011001100110</v>
      </c>
      <c r="O454">
        <f t="shared" ca="1" si="88"/>
        <v>100000110</v>
      </c>
    </row>
    <row r="455" spans="4:15" x14ac:dyDescent="0.25">
      <c r="D455">
        <v>453</v>
      </c>
      <c r="E455">
        <f t="shared" si="78"/>
        <v>65.300000000000011</v>
      </c>
      <c r="F455">
        <f t="shared" ca="1" si="79"/>
        <v>78.890000000000015</v>
      </c>
      <c r="G455" s="1">
        <f t="shared" si="80"/>
        <v>3.7750000000000004</v>
      </c>
      <c r="H455" s="6">
        <f t="shared" ca="1" si="81"/>
        <v>4.9075000000000006</v>
      </c>
      <c r="I455" s="5">
        <f t="shared" ca="1" si="82"/>
        <v>1.1325000000000003</v>
      </c>
      <c r="J455" s="8">
        <f t="shared" ca="1" si="83"/>
        <v>3.9637500000000006</v>
      </c>
      <c r="K455" s="5">
        <f t="shared" ca="1" si="84"/>
        <v>0.1887500000000002</v>
      </c>
      <c r="L455">
        <f t="shared" ca="1" si="85"/>
        <v>59064.320000000007</v>
      </c>
      <c r="M455">
        <f t="shared" ca="1" si="86"/>
        <v>59064</v>
      </c>
      <c r="N455" t="str">
        <f t="shared" ca="1" si="87"/>
        <v>1110011010111000</v>
      </c>
      <c r="O455">
        <f t="shared" ca="1" si="88"/>
        <v>111001101</v>
      </c>
    </row>
    <row r="456" spans="4:15" x14ac:dyDescent="0.25">
      <c r="D456">
        <v>454</v>
      </c>
      <c r="E456">
        <f t="shared" si="78"/>
        <v>65.400000000000006</v>
      </c>
      <c r="F456">
        <f t="shared" ca="1" si="79"/>
        <v>47.240000000000009</v>
      </c>
      <c r="G456" s="1">
        <f t="shared" si="80"/>
        <v>3.7833333333333332</v>
      </c>
      <c r="H456" s="6">
        <f t="shared" ca="1" si="81"/>
        <v>2.2700000000000005</v>
      </c>
      <c r="I456" s="5">
        <f t="shared" ca="1" si="82"/>
        <v>1.5133333333333328</v>
      </c>
      <c r="J456" s="8">
        <f t="shared" ca="1" si="83"/>
        <v>3.5941666666666663</v>
      </c>
      <c r="K456" s="5">
        <f t="shared" ca="1" si="84"/>
        <v>0.18916666666666693</v>
      </c>
      <c r="L456">
        <f t="shared" ca="1" si="85"/>
        <v>30255.78666666667</v>
      </c>
      <c r="M456">
        <f t="shared" ca="1" si="86"/>
        <v>30256</v>
      </c>
      <c r="N456" t="str">
        <f t="shared" ca="1" si="87"/>
        <v>0111011000110000</v>
      </c>
      <c r="O456">
        <f t="shared" ca="1" si="88"/>
        <v>11101100</v>
      </c>
    </row>
    <row r="457" spans="4:15" x14ac:dyDescent="0.25">
      <c r="D457">
        <v>455</v>
      </c>
      <c r="E457">
        <f t="shared" si="78"/>
        <v>65.5</v>
      </c>
      <c r="F457">
        <f t="shared" ca="1" si="79"/>
        <v>65.5</v>
      </c>
      <c r="G457" s="1">
        <f t="shared" si="80"/>
        <v>3.7916666666666661</v>
      </c>
      <c r="H457" s="6">
        <f t="shared" ca="1" si="81"/>
        <v>3.7916666666666661</v>
      </c>
      <c r="I457" s="5">
        <f t="shared" ca="1" si="82"/>
        <v>0</v>
      </c>
      <c r="J457" s="8">
        <f t="shared" ca="1" si="83"/>
        <v>3.6020833333333324</v>
      </c>
      <c r="K457" s="5">
        <f t="shared" ca="1" si="84"/>
        <v>0.18958333333333366</v>
      </c>
      <c r="L457">
        <f t="shared" ca="1" si="85"/>
        <v>46876.444444444438</v>
      </c>
      <c r="M457">
        <f t="shared" ca="1" si="86"/>
        <v>46876</v>
      </c>
      <c r="N457" t="str">
        <f t="shared" ca="1" si="87"/>
        <v>1011011100011100</v>
      </c>
      <c r="O457">
        <f t="shared" ca="1" si="88"/>
        <v>101101110</v>
      </c>
    </row>
    <row r="458" spans="4:15" x14ac:dyDescent="0.25">
      <c r="D458">
        <v>456</v>
      </c>
      <c r="E458">
        <f t="shared" si="78"/>
        <v>65.599999999999994</v>
      </c>
      <c r="F458">
        <f t="shared" ca="1" si="79"/>
        <v>61.039999999999992</v>
      </c>
      <c r="G458" s="1">
        <f t="shared" si="80"/>
        <v>3.7999999999999989</v>
      </c>
      <c r="H458" s="6">
        <f t="shared" ca="1" si="81"/>
        <v>3.419999999999999</v>
      </c>
      <c r="I458" s="5">
        <f t="shared" ca="1" si="82"/>
        <v>0.37999999999999989</v>
      </c>
      <c r="J458" s="8">
        <f t="shared" ca="1" si="83"/>
        <v>3.9899999999999989</v>
      </c>
      <c r="K458" s="5">
        <f t="shared" ca="1" si="84"/>
        <v>0.18999999999999995</v>
      </c>
      <c r="L458">
        <f t="shared" ca="1" si="85"/>
        <v>42816.853333333325</v>
      </c>
      <c r="M458">
        <f t="shared" ca="1" si="86"/>
        <v>42817</v>
      </c>
      <c r="N458" t="str">
        <f t="shared" ca="1" si="87"/>
        <v>1010011101000001</v>
      </c>
      <c r="O458">
        <f t="shared" ca="1" si="88"/>
        <v>101001110</v>
      </c>
    </row>
    <row r="459" spans="4:15" x14ac:dyDescent="0.25">
      <c r="D459">
        <v>457</v>
      </c>
      <c r="E459">
        <f t="shared" si="78"/>
        <v>65.7</v>
      </c>
      <c r="F459">
        <f t="shared" ca="1" si="79"/>
        <v>79.41</v>
      </c>
      <c r="G459" s="1">
        <f t="shared" si="80"/>
        <v>3.8083333333333327</v>
      </c>
      <c r="H459" s="6">
        <f t="shared" ca="1" si="81"/>
        <v>4.9508333333333328</v>
      </c>
      <c r="I459" s="5">
        <f t="shared" ca="1" si="82"/>
        <v>1.1425000000000001</v>
      </c>
      <c r="J459" s="8">
        <f t="shared" ca="1" si="83"/>
        <v>3.617916666666666</v>
      </c>
      <c r="K459" s="5">
        <f t="shared" ca="1" si="84"/>
        <v>0.19041666666666668</v>
      </c>
      <c r="L459">
        <f t="shared" ca="1" si="85"/>
        <v>59537.635555555549</v>
      </c>
      <c r="M459">
        <f t="shared" ca="1" si="86"/>
        <v>59538</v>
      </c>
      <c r="N459" t="str">
        <f t="shared" ca="1" si="87"/>
        <v>1110100010010010</v>
      </c>
      <c r="O459">
        <f t="shared" ca="1" si="88"/>
        <v>111010001</v>
      </c>
    </row>
    <row r="460" spans="4:15" x14ac:dyDescent="0.25">
      <c r="D460">
        <v>458</v>
      </c>
      <c r="E460">
        <f t="shared" si="78"/>
        <v>65.800000000000011</v>
      </c>
      <c r="F460">
        <f t="shared" ca="1" si="79"/>
        <v>52.060000000000009</v>
      </c>
      <c r="G460" s="1">
        <f t="shared" si="80"/>
        <v>3.8166666666666673</v>
      </c>
      <c r="H460" s="6">
        <f t="shared" ca="1" si="81"/>
        <v>2.6716666666666669</v>
      </c>
      <c r="I460" s="5">
        <f t="shared" ca="1" si="82"/>
        <v>1.1450000000000005</v>
      </c>
      <c r="J460" s="8">
        <f t="shared" ca="1" si="83"/>
        <v>4.0075000000000012</v>
      </c>
      <c r="K460" s="5">
        <f t="shared" ca="1" si="84"/>
        <v>0.19083333333333385</v>
      </c>
      <c r="L460">
        <f t="shared" ca="1" si="85"/>
        <v>34643.05777777778</v>
      </c>
      <c r="M460">
        <f t="shared" ca="1" si="86"/>
        <v>34643</v>
      </c>
      <c r="N460" t="str">
        <f t="shared" ca="1" si="87"/>
        <v>1000011101010011</v>
      </c>
      <c r="O460">
        <f t="shared" ca="1" si="88"/>
        <v>100001110</v>
      </c>
    </row>
    <row r="461" spans="4:15" x14ac:dyDescent="0.25">
      <c r="D461">
        <v>459</v>
      </c>
      <c r="E461">
        <f t="shared" si="78"/>
        <v>65.900000000000006</v>
      </c>
      <c r="F461">
        <f t="shared" ca="1" si="79"/>
        <v>56.720000000000006</v>
      </c>
      <c r="G461" s="1">
        <f t="shared" si="80"/>
        <v>3.8250000000000002</v>
      </c>
      <c r="H461" s="6">
        <f t="shared" ca="1" si="81"/>
        <v>3.0599999999999996</v>
      </c>
      <c r="I461" s="5">
        <f t="shared" ca="1" si="82"/>
        <v>0.76500000000000057</v>
      </c>
      <c r="J461" s="8">
        <f t="shared" ca="1" si="83"/>
        <v>3.63375</v>
      </c>
      <c r="K461" s="5">
        <f t="shared" ca="1" si="84"/>
        <v>0.19125000000000014</v>
      </c>
      <c r="L461">
        <f t="shared" ca="1" si="85"/>
        <v>38884.693333333329</v>
      </c>
      <c r="M461">
        <f t="shared" ca="1" si="86"/>
        <v>38885</v>
      </c>
      <c r="N461" t="str">
        <f t="shared" ca="1" si="87"/>
        <v>1001011111100101</v>
      </c>
      <c r="O461">
        <f t="shared" ca="1" si="88"/>
        <v>100101111</v>
      </c>
    </row>
    <row r="462" spans="4:15" x14ac:dyDescent="0.25">
      <c r="D462">
        <v>460</v>
      </c>
      <c r="E462">
        <f t="shared" si="78"/>
        <v>66</v>
      </c>
      <c r="F462">
        <f t="shared" ca="1" si="79"/>
        <v>84.4</v>
      </c>
      <c r="G462" s="1">
        <f t="shared" si="80"/>
        <v>3.833333333333333</v>
      </c>
      <c r="H462" s="6">
        <f t="shared" ca="1" si="81"/>
        <v>5.3666666666666663</v>
      </c>
      <c r="I462" s="5">
        <f t="shared" ca="1" si="82"/>
        <v>1.5333333333333332</v>
      </c>
      <c r="J462" s="8">
        <f t="shared" ca="1" si="83"/>
        <v>4.0249999999999995</v>
      </c>
      <c r="K462" s="5">
        <f t="shared" ca="1" si="84"/>
        <v>0.19166666666666643</v>
      </c>
      <c r="L462">
        <f t="shared" ca="1" si="85"/>
        <v>64079.644444444442</v>
      </c>
      <c r="M462">
        <f t="shared" ca="1" si="86"/>
        <v>64080</v>
      </c>
      <c r="N462" t="str">
        <f t="shared" ca="1" si="87"/>
        <v>1111101001010000</v>
      </c>
      <c r="O462">
        <f t="shared" ca="1" si="88"/>
        <v>111110100</v>
      </c>
    </row>
    <row r="463" spans="4:15" x14ac:dyDescent="0.25">
      <c r="D463">
        <v>461</v>
      </c>
      <c r="E463">
        <f t="shared" si="78"/>
        <v>66.099999999999994</v>
      </c>
      <c r="F463">
        <f t="shared" ca="1" si="79"/>
        <v>89.149999999999991</v>
      </c>
      <c r="G463" s="1">
        <f t="shared" si="80"/>
        <v>3.8416666666666659</v>
      </c>
      <c r="H463" s="6">
        <f t="shared" ca="1" si="81"/>
        <v>5.7624999999999984</v>
      </c>
      <c r="I463" s="5">
        <f t="shared" ca="1" si="82"/>
        <v>1.9208333333333325</v>
      </c>
      <c r="J463" s="8">
        <f t="shared" ca="1" si="83"/>
        <v>4.0337499999999995</v>
      </c>
      <c r="K463" s="5">
        <f t="shared" ca="1" si="84"/>
        <v>0.19208333333333361</v>
      </c>
      <c r="L463">
        <f t="shared" ca="1" si="85"/>
        <v>68403.199999999983</v>
      </c>
      <c r="M463">
        <f t="shared" ca="1" si="86"/>
        <v>68403</v>
      </c>
      <c r="N463" t="str">
        <f t="shared" ca="1" si="87"/>
        <v>10000101100110011</v>
      </c>
      <c r="O463">
        <f t="shared" ca="1" si="88"/>
        <v>100001011</v>
      </c>
    </row>
    <row r="464" spans="4:15" x14ac:dyDescent="0.25">
      <c r="D464">
        <v>462</v>
      </c>
      <c r="E464">
        <f t="shared" si="78"/>
        <v>66.2</v>
      </c>
      <c r="F464">
        <f t="shared" ca="1" si="79"/>
        <v>56.96</v>
      </c>
      <c r="G464" s="1">
        <f t="shared" si="80"/>
        <v>3.8499999999999996</v>
      </c>
      <c r="H464" s="6">
        <f t="shared" ca="1" si="81"/>
        <v>3.0799999999999992</v>
      </c>
      <c r="I464" s="5">
        <f t="shared" ca="1" si="82"/>
        <v>0.77000000000000046</v>
      </c>
      <c r="J464" s="8">
        <f t="shared" ca="1" si="83"/>
        <v>4.0424999999999995</v>
      </c>
      <c r="K464" s="5">
        <f t="shared" ca="1" si="84"/>
        <v>0.19249999999999989</v>
      </c>
      <c r="L464">
        <f t="shared" ca="1" si="85"/>
        <v>39103.14666666666</v>
      </c>
      <c r="M464">
        <f t="shared" ca="1" si="86"/>
        <v>39103</v>
      </c>
      <c r="N464" t="str">
        <f t="shared" ca="1" si="87"/>
        <v>1001100010111111</v>
      </c>
      <c r="O464">
        <f t="shared" ca="1" si="88"/>
        <v>100110001</v>
      </c>
    </row>
    <row r="465" spans="4:15" x14ac:dyDescent="0.25">
      <c r="D465">
        <v>463</v>
      </c>
      <c r="E465">
        <f t="shared" si="78"/>
        <v>66.300000000000011</v>
      </c>
      <c r="F465">
        <f t="shared" ca="1" si="79"/>
        <v>61.670000000000009</v>
      </c>
      <c r="G465" s="1">
        <f t="shared" si="80"/>
        <v>3.8583333333333334</v>
      </c>
      <c r="H465" s="6">
        <f t="shared" ca="1" si="81"/>
        <v>3.4725000000000001</v>
      </c>
      <c r="I465" s="5">
        <f t="shared" ca="1" si="82"/>
        <v>0.38583333333333325</v>
      </c>
      <c r="J465" s="8">
        <f t="shared" ca="1" si="83"/>
        <v>3.6654166666666668</v>
      </c>
      <c r="K465" s="5">
        <f t="shared" ca="1" si="84"/>
        <v>0.19291666666666663</v>
      </c>
      <c r="L465">
        <f t="shared" ca="1" si="85"/>
        <v>43390.293333333335</v>
      </c>
      <c r="M465">
        <f t="shared" ca="1" si="86"/>
        <v>43390</v>
      </c>
      <c r="N465" t="str">
        <f t="shared" ca="1" si="87"/>
        <v>1010100101111110</v>
      </c>
      <c r="O465">
        <f t="shared" ca="1" si="88"/>
        <v>101010010</v>
      </c>
    </row>
    <row r="466" spans="4:15" x14ac:dyDescent="0.25">
      <c r="D466">
        <v>464</v>
      </c>
      <c r="E466">
        <f t="shared" si="78"/>
        <v>66.400000000000006</v>
      </c>
      <c r="F466">
        <f t="shared" ca="1" si="79"/>
        <v>66.400000000000006</v>
      </c>
      <c r="G466" s="1">
        <f t="shared" si="80"/>
        <v>3.8666666666666663</v>
      </c>
      <c r="H466" s="6">
        <f t="shared" ca="1" si="81"/>
        <v>3.8666666666666663</v>
      </c>
      <c r="I466" s="5">
        <f t="shared" ca="1" si="82"/>
        <v>0</v>
      </c>
      <c r="J466" s="8">
        <f t="shared" ca="1" si="83"/>
        <v>3.6733333333333329</v>
      </c>
      <c r="K466" s="5">
        <f t="shared" ca="1" si="84"/>
        <v>0.19333333333333336</v>
      </c>
      <c r="L466">
        <f t="shared" ca="1" si="85"/>
        <v>47695.644444444442</v>
      </c>
      <c r="M466">
        <f t="shared" ca="1" si="86"/>
        <v>47696</v>
      </c>
      <c r="N466" t="str">
        <f t="shared" ca="1" si="87"/>
        <v>1011101001010000</v>
      </c>
      <c r="O466">
        <f t="shared" ca="1" si="88"/>
        <v>101110100</v>
      </c>
    </row>
    <row r="467" spans="4:15" x14ac:dyDescent="0.25">
      <c r="D467">
        <v>465</v>
      </c>
      <c r="E467">
        <f t="shared" si="78"/>
        <v>66.5</v>
      </c>
      <c r="F467">
        <f t="shared" ca="1" si="79"/>
        <v>52.55</v>
      </c>
      <c r="G467" s="1">
        <f t="shared" si="80"/>
        <v>3.8749999999999991</v>
      </c>
      <c r="H467" s="6">
        <f t="shared" ca="1" si="81"/>
        <v>2.7124999999999995</v>
      </c>
      <c r="I467" s="5">
        <f t="shared" ca="1" si="82"/>
        <v>1.1624999999999996</v>
      </c>
      <c r="J467" s="8">
        <f t="shared" ca="1" si="83"/>
        <v>3.681249999999999</v>
      </c>
      <c r="K467" s="5">
        <f t="shared" ca="1" si="84"/>
        <v>0.19375000000000009</v>
      </c>
      <c r="L467">
        <f t="shared" ca="1" si="85"/>
        <v>35089.066666666658</v>
      </c>
      <c r="M467">
        <f t="shared" ca="1" si="86"/>
        <v>35089</v>
      </c>
      <c r="N467" t="str">
        <f t="shared" ca="1" si="87"/>
        <v>1000100100010001</v>
      </c>
      <c r="O467">
        <f t="shared" ca="1" si="88"/>
        <v>100010010</v>
      </c>
    </row>
    <row r="468" spans="4:15" x14ac:dyDescent="0.25">
      <c r="D468">
        <v>466</v>
      </c>
      <c r="E468">
        <f t="shared" si="78"/>
        <v>66.599999999999994</v>
      </c>
      <c r="F468">
        <f t="shared" ca="1" si="79"/>
        <v>52.62</v>
      </c>
      <c r="G468" s="1">
        <f t="shared" si="80"/>
        <v>3.883333333333332</v>
      </c>
      <c r="H468" s="6">
        <f t="shared" ca="1" si="81"/>
        <v>2.7183333333333328</v>
      </c>
      <c r="I468" s="5">
        <f t="shared" ca="1" si="82"/>
        <v>1.1649999999999991</v>
      </c>
      <c r="J468" s="8">
        <f t="shared" ca="1" si="83"/>
        <v>3.6891666666666652</v>
      </c>
      <c r="K468" s="5">
        <f t="shared" ca="1" si="84"/>
        <v>0.19416666666666682</v>
      </c>
      <c r="L468">
        <f t="shared" ca="1" si="85"/>
        <v>35152.782222222217</v>
      </c>
      <c r="M468">
        <f t="shared" ca="1" si="86"/>
        <v>35153</v>
      </c>
      <c r="N468" t="str">
        <f t="shared" ca="1" si="87"/>
        <v>1000100101010001</v>
      </c>
      <c r="O468">
        <f t="shared" ca="1" si="88"/>
        <v>100010010</v>
      </c>
    </row>
    <row r="469" spans="4:15" x14ac:dyDescent="0.25">
      <c r="D469">
        <v>467</v>
      </c>
      <c r="E469">
        <f t="shared" si="78"/>
        <v>66.7</v>
      </c>
      <c r="F469">
        <f t="shared" ca="1" si="79"/>
        <v>43.35</v>
      </c>
      <c r="G469" s="1">
        <f t="shared" si="80"/>
        <v>3.8916666666666666</v>
      </c>
      <c r="H469" s="6">
        <f t="shared" ca="1" si="81"/>
        <v>1.9458333333333331</v>
      </c>
      <c r="I469" s="5">
        <f t="shared" ca="1" si="82"/>
        <v>1.9458333333333335</v>
      </c>
      <c r="J469" s="8">
        <f t="shared" ca="1" si="83"/>
        <v>4.0862499999999997</v>
      </c>
      <c r="K469" s="5">
        <f t="shared" ca="1" si="84"/>
        <v>0.19458333333333311</v>
      </c>
      <c r="L469">
        <f t="shared" ca="1" si="85"/>
        <v>26715.022222222218</v>
      </c>
      <c r="M469">
        <f t="shared" ca="1" si="86"/>
        <v>26715</v>
      </c>
      <c r="N469" t="str">
        <f t="shared" ca="1" si="87"/>
        <v>0110100001011011</v>
      </c>
      <c r="O469">
        <f t="shared" ca="1" si="88"/>
        <v>11010000</v>
      </c>
    </row>
    <row r="470" spans="4:15" x14ac:dyDescent="0.25">
      <c r="D470">
        <v>468</v>
      </c>
      <c r="E470">
        <f t="shared" si="78"/>
        <v>66.800000000000011</v>
      </c>
      <c r="F470">
        <f t="shared" ca="1" si="79"/>
        <v>71.480000000000018</v>
      </c>
      <c r="G470" s="1">
        <f t="shared" si="80"/>
        <v>3.9000000000000004</v>
      </c>
      <c r="H470" s="6">
        <f t="shared" ca="1" si="81"/>
        <v>4.2900000000000009</v>
      </c>
      <c r="I470" s="5">
        <f t="shared" ca="1" si="82"/>
        <v>0.39000000000000057</v>
      </c>
      <c r="J470" s="8">
        <f t="shared" ca="1" si="83"/>
        <v>4.0950000000000006</v>
      </c>
      <c r="K470" s="5">
        <f t="shared" ca="1" si="84"/>
        <v>0.19500000000000028</v>
      </c>
      <c r="L470">
        <f t="shared" ca="1" si="85"/>
        <v>52319.573333333341</v>
      </c>
      <c r="M470">
        <f t="shared" ca="1" si="86"/>
        <v>52320</v>
      </c>
      <c r="N470" t="str">
        <f t="shared" ca="1" si="87"/>
        <v>1100110001100000</v>
      </c>
      <c r="O470">
        <f t="shared" ca="1" si="88"/>
        <v>110011000</v>
      </c>
    </row>
    <row r="471" spans="4:15" x14ac:dyDescent="0.25">
      <c r="D471">
        <v>469</v>
      </c>
      <c r="E471">
        <f t="shared" si="78"/>
        <v>66.900000000000006</v>
      </c>
      <c r="F471">
        <f t="shared" ca="1" si="79"/>
        <v>71.59</v>
      </c>
      <c r="G471" s="1">
        <f t="shared" si="80"/>
        <v>3.9083333333333332</v>
      </c>
      <c r="H471" s="6">
        <f t="shared" ca="1" si="81"/>
        <v>4.2991666666666664</v>
      </c>
      <c r="I471" s="5">
        <f t="shared" ca="1" si="82"/>
        <v>0.39083333333333314</v>
      </c>
      <c r="J471" s="8">
        <f t="shared" ca="1" si="83"/>
        <v>3.7129166666666662</v>
      </c>
      <c r="K471" s="5">
        <f t="shared" ca="1" si="84"/>
        <v>0.19541666666666702</v>
      </c>
      <c r="L471">
        <f t="shared" ca="1" si="85"/>
        <v>52419.697777777772</v>
      </c>
      <c r="M471">
        <f t="shared" ca="1" si="86"/>
        <v>52420</v>
      </c>
      <c r="N471" t="str">
        <f t="shared" ca="1" si="87"/>
        <v>1100110011000100</v>
      </c>
      <c r="O471">
        <f t="shared" ca="1" si="88"/>
        <v>110011001</v>
      </c>
    </row>
    <row r="472" spans="4:15" x14ac:dyDescent="0.25">
      <c r="D472">
        <v>470</v>
      </c>
      <c r="E472">
        <f t="shared" si="78"/>
        <v>67</v>
      </c>
      <c r="F472">
        <f t="shared" ca="1" si="79"/>
        <v>57.6</v>
      </c>
      <c r="G472" s="1">
        <f t="shared" si="80"/>
        <v>3.9166666666666661</v>
      </c>
      <c r="H472" s="6">
        <f t="shared" ca="1" si="81"/>
        <v>3.1333333333333329</v>
      </c>
      <c r="I472" s="5">
        <f t="shared" ca="1" si="82"/>
        <v>0.78333333333333321</v>
      </c>
      <c r="J472" s="8">
        <f t="shared" ca="1" si="83"/>
        <v>4.1124999999999998</v>
      </c>
      <c r="K472" s="5">
        <f t="shared" ca="1" si="84"/>
        <v>0.19583333333333375</v>
      </c>
      <c r="L472">
        <f t="shared" ca="1" si="85"/>
        <v>39685.688888888886</v>
      </c>
      <c r="M472">
        <f t="shared" ca="1" si="86"/>
        <v>39686</v>
      </c>
      <c r="N472" t="str">
        <f t="shared" ca="1" si="87"/>
        <v>1001101100000110</v>
      </c>
      <c r="O472">
        <f t="shared" ca="1" si="88"/>
        <v>100110110</v>
      </c>
    </row>
    <row r="473" spans="4:15" x14ac:dyDescent="0.25">
      <c r="D473">
        <v>471</v>
      </c>
      <c r="E473">
        <f t="shared" si="78"/>
        <v>67.099999999999994</v>
      </c>
      <c r="F473">
        <f t="shared" ca="1" si="79"/>
        <v>48.259999999999991</v>
      </c>
      <c r="G473" s="1">
        <f t="shared" si="80"/>
        <v>3.9249999999999989</v>
      </c>
      <c r="H473" s="6">
        <f t="shared" ca="1" si="81"/>
        <v>2.3549999999999986</v>
      </c>
      <c r="I473" s="5">
        <f t="shared" ca="1" si="82"/>
        <v>1.5700000000000003</v>
      </c>
      <c r="J473" s="8">
        <f t="shared" ca="1" si="83"/>
        <v>3.7287499999999989</v>
      </c>
      <c r="K473" s="5">
        <f t="shared" ca="1" si="84"/>
        <v>0.19625000000000004</v>
      </c>
      <c r="L473">
        <f t="shared" ca="1" si="85"/>
        <v>31184.213333333319</v>
      </c>
      <c r="M473">
        <f t="shared" ca="1" si="86"/>
        <v>31184</v>
      </c>
      <c r="N473" t="str">
        <f t="shared" ca="1" si="87"/>
        <v>0111100111010000</v>
      </c>
      <c r="O473">
        <f t="shared" ca="1" si="88"/>
        <v>11110011</v>
      </c>
    </row>
    <row r="474" spans="4:15" x14ac:dyDescent="0.25">
      <c r="D474">
        <v>472</v>
      </c>
      <c r="E474">
        <f t="shared" si="78"/>
        <v>67.2</v>
      </c>
      <c r="F474">
        <f t="shared" ca="1" si="79"/>
        <v>62.480000000000004</v>
      </c>
      <c r="G474" s="1">
        <f t="shared" si="80"/>
        <v>3.9333333333333327</v>
      </c>
      <c r="H474" s="6">
        <f t="shared" ca="1" si="81"/>
        <v>3.54</v>
      </c>
      <c r="I474" s="5">
        <f t="shared" ca="1" si="82"/>
        <v>0.39333333333333265</v>
      </c>
      <c r="J474" s="8">
        <f t="shared" ca="1" si="83"/>
        <v>3.7366666666666659</v>
      </c>
      <c r="K474" s="5">
        <f t="shared" ca="1" si="84"/>
        <v>0.19666666666666677</v>
      </c>
      <c r="L474">
        <f t="shared" ca="1" si="85"/>
        <v>44127.573333333334</v>
      </c>
      <c r="M474">
        <f t="shared" ca="1" si="86"/>
        <v>44128</v>
      </c>
      <c r="N474" t="str">
        <f t="shared" ca="1" si="87"/>
        <v>1010110001100000</v>
      </c>
      <c r="O474">
        <f t="shared" ca="1" si="88"/>
        <v>101011000</v>
      </c>
    </row>
    <row r="475" spans="4:15" x14ac:dyDescent="0.25">
      <c r="D475">
        <v>473</v>
      </c>
      <c r="E475">
        <f t="shared" si="78"/>
        <v>67.300000000000011</v>
      </c>
      <c r="F475">
        <f t="shared" ca="1" si="79"/>
        <v>90.950000000000017</v>
      </c>
      <c r="G475" s="1">
        <f t="shared" si="80"/>
        <v>3.9416666666666673</v>
      </c>
      <c r="H475" s="6">
        <f t="shared" ca="1" si="81"/>
        <v>5.9125000000000005</v>
      </c>
      <c r="I475" s="5">
        <f t="shared" ca="1" si="82"/>
        <v>1.9708333333333332</v>
      </c>
      <c r="J475" s="8">
        <f t="shared" ca="1" si="83"/>
        <v>4.1387500000000008</v>
      </c>
      <c r="K475" s="5">
        <f t="shared" ca="1" si="84"/>
        <v>0.1970833333333335</v>
      </c>
      <c r="L475">
        <f t="shared" ca="1" si="85"/>
        <v>70041.600000000006</v>
      </c>
      <c r="M475">
        <f t="shared" ca="1" si="86"/>
        <v>70042</v>
      </c>
      <c r="N475" t="str">
        <f t="shared" ca="1" si="87"/>
        <v>10001000110011010</v>
      </c>
      <c r="O475">
        <f t="shared" ca="1" si="88"/>
        <v>100010001</v>
      </c>
    </row>
    <row r="476" spans="4:15" x14ac:dyDescent="0.25">
      <c r="D476">
        <v>474</v>
      </c>
      <c r="E476">
        <f t="shared" si="78"/>
        <v>67.400000000000006</v>
      </c>
      <c r="F476">
        <f t="shared" ca="1" si="79"/>
        <v>81.62</v>
      </c>
      <c r="G476" s="1">
        <f t="shared" si="80"/>
        <v>3.95</v>
      </c>
      <c r="H476" s="6">
        <f t="shared" ca="1" si="81"/>
        <v>5.1349999999999998</v>
      </c>
      <c r="I476" s="5">
        <f t="shared" ca="1" si="82"/>
        <v>1.1849999999999996</v>
      </c>
      <c r="J476" s="8">
        <f t="shared" ca="1" si="83"/>
        <v>3.7524999999999999</v>
      </c>
      <c r="K476" s="5">
        <f t="shared" ca="1" si="84"/>
        <v>0.19750000000000023</v>
      </c>
      <c r="L476">
        <f t="shared" ca="1" si="85"/>
        <v>61549.226666666662</v>
      </c>
      <c r="M476">
        <f t="shared" ca="1" si="86"/>
        <v>61549</v>
      </c>
      <c r="N476" t="str">
        <f t="shared" ca="1" si="87"/>
        <v>1111000001101101</v>
      </c>
      <c r="O476">
        <f t="shared" ca="1" si="88"/>
        <v>111100000</v>
      </c>
    </row>
    <row r="477" spans="4:15" x14ac:dyDescent="0.25">
      <c r="D477">
        <v>475</v>
      </c>
      <c r="E477">
        <f t="shared" si="78"/>
        <v>67.5</v>
      </c>
      <c r="F477">
        <f t="shared" ca="1" si="79"/>
        <v>72.25</v>
      </c>
      <c r="G477" s="1">
        <f t="shared" si="80"/>
        <v>3.958333333333333</v>
      </c>
      <c r="H477" s="6">
        <f t="shared" ca="1" si="81"/>
        <v>4.3541666666666661</v>
      </c>
      <c r="I477" s="5">
        <f t="shared" ca="1" si="82"/>
        <v>0.39583333333333304</v>
      </c>
      <c r="J477" s="8">
        <f t="shared" ca="1" si="83"/>
        <v>3.7604166666666661</v>
      </c>
      <c r="K477" s="5">
        <f t="shared" ca="1" si="84"/>
        <v>0.19791666666666696</v>
      </c>
      <c r="L477">
        <f t="shared" ca="1" si="85"/>
        <v>53020.444444444438</v>
      </c>
      <c r="M477">
        <f t="shared" ca="1" si="86"/>
        <v>53020</v>
      </c>
      <c r="N477" t="str">
        <f t="shared" ca="1" si="87"/>
        <v>1100111100011100</v>
      </c>
      <c r="O477">
        <f t="shared" ca="1" si="88"/>
        <v>110011110</v>
      </c>
    </row>
    <row r="478" spans="4:15" x14ac:dyDescent="0.25">
      <c r="D478">
        <v>476</v>
      </c>
      <c r="E478">
        <f t="shared" si="78"/>
        <v>67.599999999999994</v>
      </c>
      <c r="F478">
        <f t="shared" ca="1" si="79"/>
        <v>58.08</v>
      </c>
      <c r="G478" s="1">
        <f t="shared" si="80"/>
        <v>3.9666666666666659</v>
      </c>
      <c r="H478" s="6">
        <f t="shared" ca="1" si="81"/>
        <v>3.1733333333333329</v>
      </c>
      <c r="I478" s="5">
        <f t="shared" ca="1" si="82"/>
        <v>0.793333333333333</v>
      </c>
      <c r="J478" s="8">
        <f t="shared" ca="1" si="83"/>
        <v>4.1649999999999991</v>
      </c>
      <c r="K478" s="5">
        <f t="shared" ca="1" si="84"/>
        <v>0.19833333333333325</v>
      </c>
      <c r="L478">
        <f t="shared" ca="1" si="85"/>
        <v>40122.595555555548</v>
      </c>
      <c r="M478">
        <f t="shared" ca="1" si="86"/>
        <v>40123</v>
      </c>
      <c r="N478" t="str">
        <f t="shared" ca="1" si="87"/>
        <v>1001110010111011</v>
      </c>
      <c r="O478">
        <f t="shared" ca="1" si="88"/>
        <v>100111001</v>
      </c>
    </row>
    <row r="479" spans="4:15" x14ac:dyDescent="0.25">
      <c r="D479">
        <v>477</v>
      </c>
      <c r="E479">
        <f t="shared" si="78"/>
        <v>67.7</v>
      </c>
      <c r="F479">
        <f t="shared" ca="1" si="79"/>
        <v>91.550000000000011</v>
      </c>
      <c r="G479" s="1">
        <f t="shared" si="80"/>
        <v>3.9749999999999996</v>
      </c>
      <c r="H479" s="6">
        <f t="shared" ca="1" si="81"/>
        <v>5.9625000000000004</v>
      </c>
      <c r="I479" s="5">
        <f t="shared" ca="1" si="82"/>
        <v>1.9875000000000007</v>
      </c>
      <c r="J479" s="8">
        <f t="shared" ca="1" si="83"/>
        <v>4.1737500000000001</v>
      </c>
      <c r="K479" s="5">
        <f t="shared" ca="1" si="84"/>
        <v>0.19875000000000043</v>
      </c>
      <c r="L479">
        <f t="shared" ca="1" si="85"/>
        <v>70587.733333333337</v>
      </c>
      <c r="M479">
        <f t="shared" ca="1" si="86"/>
        <v>70588</v>
      </c>
      <c r="N479" t="str">
        <f t="shared" ca="1" si="87"/>
        <v>10001001110111100</v>
      </c>
      <c r="O479">
        <f t="shared" ca="1" si="88"/>
        <v>100010011</v>
      </c>
    </row>
    <row r="480" spans="4:15" x14ac:dyDescent="0.25">
      <c r="D480">
        <v>478</v>
      </c>
      <c r="E480">
        <f t="shared" si="78"/>
        <v>67.800000000000011</v>
      </c>
      <c r="F480">
        <f t="shared" ca="1" si="79"/>
        <v>77.360000000000014</v>
      </c>
      <c r="G480" s="1">
        <f t="shared" si="80"/>
        <v>3.9833333333333334</v>
      </c>
      <c r="H480" s="6">
        <f t="shared" ca="1" si="81"/>
        <v>4.78</v>
      </c>
      <c r="I480" s="5">
        <f t="shared" ca="1" si="82"/>
        <v>0.79666666666666686</v>
      </c>
      <c r="J480" s="8">
        <f t="shared" ca="1" si="83"/>
        <v>3.7841666666666667</v>
      </c>
      <c r="K480" s="5">
        <f t="shared" ca="1" si="84"/>
        <v>0.19916666666666671</v>
      </c>
      <c r="L480">
        <f t="shared" ca="1" si="85"/>
        <v>57671.68</v>
      </c>
      <c r="M480">
        <f t="shared" ca="1" si="86"/>
        <v>57672</v>
      </c>
      <c r="N480" t="str">
        <f t="shared" ca="1" si="87"/>
        <v>1110000101001000</v>
      </c>
      <c r="O480">
        <f t="shared" ca="1" si="88"/>
        <v>111000010</v>
      </c>
    </row>
    <row r="481" spans="4:15" x14ac:dyDescent="0.25">
      <c r="D481">
        <v>479</v>
      </c>
      <c r="E481">
        <f t="shared" si="78"/>
        <v>67.900000000000006</v>
      </c>
      <c r="F481">
        <f t="shared" ca="1" si="79"/>
        <v>63.110000000000007</v>
      </c>
      <c r="G481" s="1">
        <f t="shared" si="80"/>
        <v>3.9916666666666663</v>
      </c>
      <c r="H481" s="6">
        <f t="shared" ca="1" si="81"/>
        <v>3.5925000000000002</v>
      </c>
      <c r="I481" s="5">
        <f t="shared" ca="1" si="82"/>
        <v>0.399166666666666</v>
      </c>
      <c r="J481" s="8">
        <f t="shared" ca="1" si="83"/>
        <v>3.7920833333333328</v>
      </c>
      <c r="K481" s="5">
        <f t="shared" ca="1" si="84"/>
        <v>0.19958333333333345</v>
      </c>
      <c r="L481">
        <f t="shared" ca="1" si="85"/>
        <v>44701.013333333336</v>
      </c>
      <c r="M481">
        <f t="shared" ca="1" si="86"/>
        <v>44701</v>
      </c>
      <c r="N481" t="str">
        <f t="shared" ca="1" si="87"/>
        <v>1010111010011101</v>
      </c>
      <c r="O481">
        <f t="shared" ca="1" si="88"/>
        <v>101011101</v>
      </c>
    </row>
    <row r="482" spans="4:15" x14ac:dyDescent="0.25">
      <c r="D482">
        <v>480</v>
      </c>
      <c r="E482">
        <f t="shared" si="78"/>
        <v>68</v>
      </c>
      <c r="F482">
        <f t="shared" ca="1" si="79"/>
        <v>87.2</v>
      </c>
      <c r="G482" s="1">
        <f t="shared" si="80"/>
        <v>3.9999999999999991</v>
      </c>
      <c r="H482" s="6">
        <f t="shared" ca="1" si="81"/>
        <v>5.6</v>
      </c>
      <c r="I482" s="5">
        <f t="shared" ca="1" si="82"/>
        <v>1.6000000000000005</v>
      </c>
      <c r="J482" s="8">
        <f t="shared" ca="1" si="83"/>
        <v>4.1999999999999993</v>
      </c>
      <c r="K482" s="5">
        <f t="shared" ca="1" si="84"/>
        <v>0.20000000000000018</v>
      </c>
      <c r="L482">
        <f t="shared" ca="1" si="85"/>
        <v>66628.266666666663</v>
      </c>
      <c r="M482">
        <f t="shared" ca="1" si="86"/>
        <v>66628</v>
      </c>
      <c r="N482" t="str">
        <f t="shared" ca="1" si="87"/>
        <v>10000010001000100</v>
      </c>
      <c r="O482">
        <f t="shared" ca="1" si="88"/>
        <v>100000100</v>
      </c>
    </row>
    <row r="483" spans="4:15" x14ac:dyDescent="0.25">
      <c r="D483">
        <v>481</v>
      </c>
      <c r="E483">
        <f t="shared" si="78"/>
        <v>68.099999999999994</v>
      </c>
      <c r="F483">
        <f t="shared" ca="1" si="79"/>
        <v>68.099999999999994</v>
      </c>
      <c r="G483" s="1">
        <f t="shared" si="80"/>
        <v>4.008333333333332</v>
      </c>
      <c r="H483" s="6">
        <f t="shared" ca="1" si="81"/>
        <v>4.008333333333332</v>
      </c>
      <c r="I483" s="5">
        <f t="shared" ca="1" si="82"/>
        <v>0</v>
      </c>
      <c r="J483" s="8">
        <f t="shared" ca="1" si="83"/>
        <v>4.2087499999999984</v>
      </c>
      <c r="K483" s="5">
        <f t="shared" ca="1" si="84"/>
        <v>0.20041666666666647</v>
      </c>
      <c r="L483">
        <f t="shared" ca="1" si="85"/>
        <v>49243.022222222207</v>
      </c>
      <c r="M483">
        <f t="shared" ca="1" si="86"/>
        <v>49243</v>
      </c>
      <c r="N483" t="str">
        <f t="shared" ca="1" si="87"/>
        <v>1100000001011011</v>
      </c>
      <c r="O483">
        <f t="shared" ca="1" si="88"/>
        <v>110000000</v>
      </c>
    </row>
    <row r="484" spans="4:15" x14ac:dyDescent="0.25">
      <c r="D484">
        <v>482</v>
      </c>
      <c r="E484">
        <f t="shared" si="78"/>
        <v>68.2</v>
      </c>
      <c r="F484">
        <f t="shared" ca="1" si="79"/>
        <v>53.74</v>
      </c>
      <c r="G484" s="1">
        <f t="shared" si="80"/>
        <v>4.0166666666666666</v>
      </c>
      <c r="H484" s="6">
        <f t="shared" ca="1" si="81"/>
        <v>2.8116666666666665</v>
      </c>
      <c r="I484" s="5">
        <f t="shared" ca="1" si="82"/>
        <v>1.2050000000000001</v>
      </c>
      <c r="J484" s="8">
        <f t="shared" ca="1" si="83"/>
        <v>4.2175000000000002</v>
      </c>
      <c r="K484" s="5">
        <f t="shared" ca="1" si="84"/>
        <v>0.20083333333333364</v>
      </c>
      <c r="L484">
        <f t="shared" ca="1" si="85"/>
        <v>36172.231111111112</v>
      </c>
      <c r="M484">
        <f t="shared" ca="1" si="86"/>
        <v>36172</v>
      </c>
      <c r="N484" t="str">
        <f t="shared" ca="1" si="87"/>
        <v>1000110101001100</v>
      </c>
      <c r="O484">
        <f t="shared" ca="1" si="88"/>
        <v>100011010</v>
      </c>
    </row>
    <row r="485" spans="4:15" x14ac:dyDescent="0.25">
      <c r="D485">
        <v>483</v>
      </c>
      <c r="E485">
        <f t="shared" si="78"/>
        <v>68.300000000000011</v>
      </c>
      <c r="F485">
        <f t="shared" ca="1" si="79"/>
        <v>68.300000000000011</v>
      </c>
      <c r="G485" s="1">
        <f t="shared" si="80"/>
        <v>4.0250000000000004</v>
      </c>
      <c r="H485" s="6">
        <f t="shared" ca="1" si="81"/>
        <v>4.0250000000000004</v>
      </c>
      <c r="I485" s="5">
        <f t="shared" ca="1" si="82"/>
        <v>0</v>
      </c>
      <c r="J485" s="8">
        <f t="shared" ca="1" si="83"/>
        <v>3.82375</v>
      </c>
      <c r="K485" s="5">
        <f t="shared" ca="1" si="84"/>
        <v>0.20125000000000037</v>
      </c>
      <c r="L485">
        <f t="shared" ca="1" si="85"/>
        <v>49425.066666666673</v>
      </c>
      <c r="M485">
        <f t="shared" ca="1" si="86"/>
        <v>49425</v>
      </c>
      <c r="N485" t="str">
        <f t="shared" ca="1" si="87"/>
        <v>1100000100010001</v>
      </c>
      <c r="O485">
        <f t="shared" ca="1" si="88"/>
        <v>110000010</v>
      </c>
    </row>
    <row r="486" spans="4:15" x14ac:dyDescent="0.25">
      <c r="D486">
        <v>484</v>
      </c>
      <c r="E486">
        <f t="shared" si="78"/>
        <v>68.400000000000006</v>
      </c>
      <c r="F486">
        <f t="shared" ca="1" si="79"/>
        <v>53.88000000000001</v>
      </c>
      <c r="G486" s="1">
        <f t="shared" si="80"/>
        <v>4.0333333333333332</v>
      </c>
      <c r="H486" s="6">
        <f t="shared" ca="1" si="81"/>
        <v>2.8233333333333333</v>
      </c>
      <c r="I486" s="5">
        <f t="shared" ca="1" si="82"/>
        <v>1.21</v>
      </c>
      <c r="J486" s="8">
        <f t="shared" ca="1" si="83"/>
        <v>4.2350000000000003</v>
      </c>
      <c r="K486" s="5">
        <f t="shared" ca="1" si="84"/>
        <v>0.2016666666666671</v>
      </c>
      <c r="L486">
        <f t="shared" ca="1" si="85"/>
        <v>36299.662222222221</v>
      </c>
      <c r="M486">
        <f t="shared" ca="1" si="86"/>
        <v>36300</v>
      </c>
      <c r="N486" t="str">
        <f t="shared" ca="1" si="87"/>
        <v>1000110111001100</v>
      </c>
      <c r="O486">
        <f t="shared" ca="1" si="88"/>
        <v>100011011</v>
      </c>
    </row>
    <row r="487" spans="4:15" x14ac:dyDescent="0.25">
      <c r="D487">
        <v>485</v>
      </c>
      <c r="E487">
        <f t="shared" si="78"/>
        <v>68.5</v>
      </c>
      <c r="F487">
        <f t="shared" ca="1" si="79"/>
        <v>58.8</v>
      </c>
      <c r="G487" s="1">
        <f t="shared" si="80"/>
        <v>4.0416666666666661</v>
      </c>
      <c r="H487" s="6">
        <f t="shared" ca="1" si="81"/>
        <v>3.2333333333333325</v>
      </c>
      <c r="I487" s="5">
        <f t="shared" ca="1" si="82"/>
        <v>0.80833333333333357</v>
      </c>
      <c r="J487" s="8">
        <f t="shared" ca="1" si="83"/>
        <v>3.8395833333333327</v>
      </c>
      <c r="K487" s="5">
        <f t="shared" ca="1" si="84"/>
        <v>0.20208333333333339</v>
      </c>
      <c r="L487">
        <f t="shared" ca="1" si="85"/>
        <v>40777.955555555549</v>
      </c>
      <c r="M487">
        <f t="shared" ca="1" si="86"/>
        <v>40778</v>
      </c>
      <c r="N487" t="str">
        <f t="shared" ca="1" si="87"/>
        <v>1001111101001010</v>
      </c>
      <c r="O487">
        <f t="shared" ca="1" si="88"/>
        <v>100111110</v>
      </c>
    </row>
    <row r="488" spans="4:15" x14ac:dyDescent="0.25">
      <c r="D488">
        <v>486</v>
      </c>
      <c r="E488">
        <f t="shared" si="78"/>
        <v>68.599999999999994</v>
      </c>
      <c r="F488">
        <f t="shared" ca="1" si="79"/>
        <v>49.16</v>
      </c>
      <c r="G488" s="1">
        <f t="shared" si="80"/>
        <v>4.0499999999999989</v>
      </c>
      <c r="H488" s="6">
        <f t="shared" ca="1" si="81"/>
        <v>2.4299999999999988</v>
      </c>
      <c r="I488" s="5">
        <f t="shared" ca="1" si="82"/>
        <v>1.62</v>
      </c>
      <c r="J488" s="8">
        <f t="shared" ca="1" si="83"/>
        <v>4.2524999999999995</v>
      </c>
      <c r="K488" s="5">
        <f t="shared" ca="1" si="84"/>
        <v>0.20250000000000057</v>
      </c>
      <c r="L488">
        <f t="shared" ca="1" si="85"/>
        <v>32003.413333333319</v>
      </c>
      <c r="M488">
        <f t="shared" ca="1" si="86"/>
        <v>32003</v>
      </c>
      <c r="N488" t="str">
        <f t="shared" ca="1" si="87"/>
        <v>0111110100000011</v>
      </c>
      <c r="O488">
        <f t="shared" ca="1" si="88"/>
        <v>11111010</v>
      </c>
    </row>
    <row r="489" spans="4:15" x14ac:dyDescent="0.25">
      <c r="D489">
        <v>487</v>
      </c>
      <c r="E489">
        <f t="shared" si="78"/>
        <v>68.7</v>
      </c>
      <c r="F489">
        <f t="shared" ca="1" si="79"/>
        <v>63.830000000000005</v>
      </c>
      <c r="G489" s="1">
        <f t="shared" si="80"/>
        <v>4.0583333333333327</v>
      </c>
      <c r="H489" s="6">
        <f t="shared" ca="1" si="81"/>
        <v>3.6524999999999999</v>
      </c>
      <c r="I489" s="5">
        <f t="shared" ca="1" si="82"/>
        <v>0.40583333333333282</v>
      </c>
      <c r="J489" s="8">
        <f t="shared" ca="1" si="83"/>
        <v>3.8554166666666658</v>
      </c>
      <c r="K489" s="5">
        <f t="shared" ca="1" si="84"/>
        <v>0.20291666666666686</v>
      </c>
      <c r="L489">
        <f t="shared" ca="1" si="85"/>
        <v>45356.373333333329</v>
      </c>
      <c r="M489">
        <f t="shared" ca="1" si="86"/>
        <v>45356</v>
      </c>
      <c r="N489" t="str">
        <f t="shared" ca="1" si="87"/>
        <v>1011000100101100</v>
      </c>
      <c r="O489">
        <f t="shared" ca="1" si="88"/>
        <v>101100010</v>
      </c>
    </row>
    <row r="490" spans="4:15" x14ac:dyDescent="0.25">
      <c r="D490">
        <v>488</v>
      </c>
      <c r="E490">
        <f t="shared" si="78"/>
        <v>68.800000000000011</v>
      </c>
      <c r="F490">
        <f t="shared" ca="1" si="79"/>
        <v>88.320000000000007</v>
      </c>
      <c r="G490" s="1">
        <f t="shared" si="80"/>
        <v>4.0666666666666673</v>
      </c>
      <c r="H490" s="6">
        <f t="shared" ca="1" si="81"/>
        <v>5.6933333333333334</v>
      </c>
      <c r="I490" s="5">
        <f t="shared" ca="1" si="82"/>
        <v>1.626666666666666</v>
      </c>
      <c r="J490" s="8">
        <f t="shared" ca="1" si="83"/>
        <v>3.8633333333333337</v>
      </c>
      <c r="K490" s="5">
        <f t="shared" ca="1" si="84"/>
        <v>0.20333333333333359</v>
      </c>
      <c r="L490">
        <f t="shared" ca="1" si="85"/>
        <v>67647.715555555551</v>
      </c>
      <c r="M490">
        <f t="shared" ca="1" si="86"/>
        <v>67648</v>
      </c>
      <c r="N490" t="str">
        <f t="shared" ca="1" si="87"/>
        <v>10000100001000000</v>
      </c>
      <c r="O490">
        <f t="shared" ca="1" si="88"/>
        <v>100001000</v>
      </c>
    </row>
    <row r="491" spans="4:15" x14ac:dyDescent="0.25">
      <c r="D491">
        <v>489</v>
      </c>
      <c r="E491">
        <f t="shared" si="78"/>
        <v>68.900000000000006</v>
      </c>
      <c r="F491">
        <f t="shared" ca="1" si="79"/>
        <v>93.350000000000009</v>
      </c>
      <c r="G491" s="1">
        <f t="shared" si="80"/>
        <v>4.0750000000000002</v>
      </c>
      <c r="H491" s="6">
        <f t="shared" ca="1" si="81"/>
        <v>6.1124999999999998</v>
      </c>
      <c r="I491" s="5">
        <f t="shared" ca="1" si="82"/>
        <v>2.0374999999999996</v>
      </c>
      <c r="J491" s="8">
        <f t="shared" ca="1" si="83"/>
        <v>3.8712499999999999</v>
      </c>
      <c r="K491" s="5">
        <f t="shared" ca="1" si="84"/>
        <v>0.20375000000000032</v>
      </c>
      <c r="L491">
        <f t="shared" ca="1" si="85"/>
        <v>72226.133333333331</v>
      </c>
      <c r="M491">
        <f t="shared" ca="1" si="86"/>
        <v>72226</v>
      </c>
      <c r="N491" t="str">
        <f t="shared" ca="1" si="87"/>
        <v>10001101000100010</v>
      </c>
      <c r="O491">
        <f t="shared" ca="1" si="88"/>
        <v>100011010</v>
      </c>
    </row>
    <row r="492" spans="4:15" x14ac:dyDescent="0.25">
      <c r="D492">
        <v>490</v>
      </c>
      <c r="E492">
        <f t="shared" si="78"/>
        <v>69</v>
      </c>
      <c r="F492">
        <f t="shared" ca="1" si="79"/>
        <v>69</v>
      </c>
      <c r="G492" s="1">
        <f t="shared" si="80"/>
        <v>4.083333333333333</v>
      </c>
      <c r="H492" s="6">
        <f t="shared" ca="1" si="81"/>
        <v>4.083333333333333</v>
      </c>
      <c r="I492" s="5">
        <f t="shared" ca="1" si="82"/>
        <v>0</v>
      </c>
      <c r="J492" s="8">
        <f t="shared" ca="1" si="83"/>
        <v>4.2874999999999996</v>
      </c>
      <c r="K492" s="5">
        <f t="shared" ca="1" si="84"/>
        <v>0.20416666666666661</v>
      </c>
      <c r="L492">
        <f t="shared" ca="1" si="85"/>
        <v>50062.222222222219</v>
      </c>
      <c r="M492">
        <f t="shared" ca="1" si="86"/>
        <v>50062</v>
      </c>
      <c r="N492" t="str">
        <f t="shared" ca="1" si="87"/>
        <v>1100001110001110</v>
      </c>
      <c r="O492">
        <f t="shared" ca="1" si="88"/>
        <v>110000111</v>
      </c>
    </row>
    <row r="493" spans="4:15" x14ac:dyDescent="0.25">
      <c r="D493">
        <v>491</v>
      </c>
      <c r="E493">
        <f t="shared" si="78"/>
        <v>69.099999999999994</v>
      </c>
      <c r="F493">
        <f t="shared" ca="1" si="79"/>
        <v>88.74</v>
      </c>
      <c r="G493" s="1">
        <f t="shared" si="80"/>
        <v>4.0916666666666659</v>
      </c>
      <c r="H493" s="6">
        <f t="shared" ca="1" si="81"/>
        <v>5.7283333333333326</v>
      </c>
      <c r="I493" s="5">
        <f t="shared" ca="1" si="82"/>
        <v>1.6366666666666667</v>
      </c>
      <c r="J493" s="8">
        <f t="shared" ca="1" si="83"/>
        <v>4.2962499999999997</v>
      </c>
      <c r="K493" s="5">
        <f t="shared" ca="1" si="84"/>
        <v>0.20458333333333378</v>
      </c>
      <c r="L493">
        <f t="shared" ca="1" si="85"/>
        <v>68030.008888888886</v>
      </c>
      <c r="M493">
        <f t="shared" ca="1" si="86"/>
        <v>68030</v>
      </c>
      <c r="N493" t="str">
        <f t="shared" ca="1" si="87"/>
        <v>10000100110111110</v>
      </c>
      <c r="O493">
        <f t="shared" ca="1" si="88"/>
        <v>100001001</v>
      </c>
    </row>
    <row r="494" spans="4:15" x14ac:dyDescent="0.25">
      <c r="D494">
        <v>492</v>
      </c>
      <c r="E494">
        <f t="shared" si="78"/>
        <v>69.2</v>
      </c>
      <c r="F494">
        <f t="shared" ca="1" si="79"/>
        <v>49.52</v>
      </c>
      <c r="G494" s="1">
        <f t="shared" si="80"/>
        <v>4.0999999999999996</v>
      </c>
      <c r="H494" s="6">
        <f t="shared" ca="1" si="81"/>
        <v>2.46</v>
      </c>
      <c r="I494" s="5">
        <f t="shared" ca="1" si="82"/>
        <v>1.6399999999999997</v>
      </c>
      <c r="J494" s="8">
        <f t="shared" ca="1" si="83"/>
        <v>3.8949999999999996</v>
      </c>
      <c r="K494" s="5">
        <f t="shared" ca="1" si="84"/>
        <v>0.20500000000000007</v>
      </c>
      <c r="L494">
        <f t="shared" ca="1" si="85"/>
        <v>32331.093333333334</v>
      </c>
      <c r="M494">
        <f t="shared" ca="1" si="86"/>
        <v>32331</v>
      </c>
      <c r="N494" t="str">
        <f t="shared" ca="1" si="87"/>
        <v>0111111001001011</v>
      </c>
      <c r="O494">
        <f t="shared" ca="1" si="88"/>
        <v>11111100</v>
      </c>
    </row>
    <row r="495" spans="4:15" x14ac:dyDescent="0.25">
      <c r="D495">
        <v>493</v>
      </c>
      <c r="E495">
        <f t="shared" si="78"/>
        <v>69.300000000000011</v>
      </c>
      <c r="F495">
        <f t="shared" ca="1" si="79"/>
        <v>74.230000000000018</v>
      </c>
      <c r="G495" s="1">
        <f t="shared" si="80"/>
        <v>4.1083333333333334</v>
      </c>
      <c r="H495" s="6">
        <f t="shared" ca="1" si="81"/>
        <v>4.5191666666666679</v>
      </c>
      <c r="I495" s="5">
        <f t="shared" ca="1" si="82"/>
        <v>0.41083333333333449</v>
      </c>
      <c r="J495" s="8">
        <f t="shared" ca="1" si="83"/>
        <v>3.9029166666666666</v>
      </c>
      <c r="K495" s="5">
        <f t="shared" ca="1" si="84"/>
        <v>0.2054166666666668</v>
      </c>
      <c r="L495">
        <f t="shared" ca="1" si="85"/>
        <v>54822.684444444458</v>
      </c>
      <c r="M495">
        <f t="shared" ca="1" si="86"/>
        <v>54823</v>
      </c>
      <c r="N495" t="str">
        <f t="shared" ca="1" si="87"/>
        <v>1101011000100111</v>
      </c>
      <c r="O495">
        <f t="shared" ca="1" si="88"/>
        <v>110101100</v>
      </c>
    </row>
    <row r="496" spans="4:15" x14ac:dyDescent="0.25">
      <c r="D496">
        <v>494</v>
      </c>
      <c r="E496">
        <f t="shared" si="78"/>
        <v>69.400000000000006</v>
      </c>
      <c r="F496">
        <f t="shared" ca="1" si="79"/>
        <v>94.100000000000009</v>
      </c>
      <c r="G496" s="1">
        <f t="shared" si="80"/>
        <v>4.1166666666666663</v>
      </c>
      <c r="H496" s="6">
        <f t="shared" ca="1" si="81"/>
        <v>6.1749999999999998</v>
      </c>
      <c r="I496" s="5">
        <f t="shared" ca="1" si="82"/>
        <v>2.0583333333333336</v>
      </c>
      <c r="J496" s="8">
        <f t="shared" ca="1" si="83"/>
        <v>3.9108333333333327</v>
      </c>
      <c r="K496" s="5">
        <f t="shared" ca="1" si="84"/>
        <v>0.20583333333333353</v>
      </c>
      <c r="L496">
        <f t="shared" ca="1" si="85"/>
        <v>72908.800000000003</v>
      </c>
      <c r="M496">
        <f t="shared" ca="1" si="86"/>
        <v>72909</v>
      </c>
      <c r="N496" t="str">
        <f t="shared" ca="1" si="87"/>
        <v>10001110011001101</v>
      </c>
      <c r="O496">
        <f t="shared" ca="1" si="88"/>
        <v>100011100</v>
      </c>
    </row>
    <row r="497" spans="4:15" x14ac:dyDescent="0.25">
      <c r="D497">
        <v>495</v>
      </c>
      <c r="E497">
        <f t="shared" si="78"/>
        <v>69.5</v>
      </c>
      <c r="F497">
        <f t="shared" ca="1" si="79"/>
        <v>74.45</v>
      </c>
      <c r="G497" s="1">
        <f t="shared" si="80"/>
        <v>4.1249999999999991</v>
      </c>
      <c r="H497" s="6">
        <f t="shared" ca="1" si="81"/>
        <v>4.5374999999999996</v>
      </c>
      <c r="I497" s="5">
        <f t="shared" ca="1" si="82"/>
        <v>0.41250000000000053</v>
      </c>
      <c r="J497" s="8">
        <f t="shared" ca="1" si="83"/>
        <v>3.9187499999999988</v>
      </c>
      <c r="K497" s="5">
        <f t="shared" ca="1" si="84"/>
        <v>0.20625000000000027</v>
      </c>
      <c r="L497">
        <f t="shared" ca="1" si="85"/>
        <v>55022.933333333327</v>
      </c>
      <c r="M497">
        <f t="shared" ca="1" si="86"/>
        <v>55023</v>
      </c>
      <c r="N497" t="str">
        <f t="shared" ca="1" si="87"/>
        <v>1101011011101111</v>
      </c>
      <c r="O497">
        <f t="shared" ca="1" si="88"/>
        <v>110101101</v>
      </c>
    </row>
    <row r="498" spans="4:15" x14ac:dyDescent="0.25">
      <c r="D498">
        <v>496</v>
      </c>
      <c r="E498">
        <f t="shared" si="78"/>
        <v>69.599999999999994</v>
      </c>
      <c r="F498">
        <f t="shared" ca="1" si="79"/>
        <v>59.679999999999993</v>
      </c>
      <c r="G498" s="1">
        <f t="shared" si="80"/>
        <v>4.133333333333332</v>
      </c>
      <c r="H498" s="6">
        <f t="shared" ca="1" si="81"/>
        <v>3.3066666666666658</v>
      </c>
      <c r="I498" s="5">
        <f t="shared" ca="1" si="82"/>
        <v>0.82666666666666622</v>
      </c>
      <c r="J498" s="8">
        <f t="shared" ca="1" si="83"/>
        <v>3.926666666666665</v>
      </c>
      <c r="K498" s="5">
        <f t="shared" ca="1" si="84"/>
        <v>0.206666666666667</v>
      </c>
      <c r="L498">
        <f t="shared" ca="1" si="85"/>
        <v>41578.951111111099</v>
      </c>
      <c r="M498">
        <f t="shared" ca="1" si="86"/>
        <v>41579</v>
      </c>
      <c r="N498" t="str">
        <f t="shared" ca="1" si="87"/>
        <v>1010001001101011</v>
      </c>
      <c r="O498">
        <f t="shared" ca="1" si="88"/>
        <v>101000100</v>
      </c>
    </row>
    <row r="499" spans="4:15" x14ac:dyDescent="0.25">
      <c r="D499">
        <v>497</v>
      </c>
      <c r="E499">
        <f t="shared" si="78"/>
        <v>69.7</v>
      </c>
      <c r="F499">
        <f t="shared" ca="1" si="79"/>
        <v>74.67</v>
      </c>
      <c r="G499" s="1">
        <f t="shared" si="80"/>
        <v>4.1416666666666666</v>
      </c>
      <c r="H499" s="6">
        <f t="shared" ca="1" si="81"/>
        <v>4.5558333333333332</v>
      </c>
      <c r="I499" s="5">
        <f t="shared" ca="1" si="82"/>
        <v>0.41416666666666657</v>
      </c>
      <c r="J499" s="8">
        <f t="shared" ca="1" si="83"/>
        <v>3.9345833333333329</v>
      </c>
      <c r="K499" s="5">
        <f t="shared" ca="1" si="84"/>
        <v>0.20708333333333373</v>
      </c>
      <c r="L499">
        <f t="shared" ca="1" si="85"/>
        <v>55223.182222222218</v>
      </c>
      <c r="M499">
        <f t="shared" ca="1" si="86"/>
        <v>55223</v>
      </c>
      <c r="N499" t="str">
        <f t="shared" ca="1" si="87"/>
        <v>1101011110110111</v>
      </c>
      <c r="O499">
        <f t="shared" ca="1" si="88"/>
        <v>110101111</v>
      </c>
    </row>
    <row r="500" spans="4:15" x14ac:dyDescent="0.25">
      <c r="D500">
        <v>498</v>
      </c>
      <c r="E500">
        <f t="shared" si="78"/>
        <v>69.800000000000011</v>
      </c>
      <c r="F500">
        <f t="shared" ca="1" si="79"/>
        <v>64.820000000000007</v>
      </c>
      <c r="G500" s="1">
        <f t="shared" si="80"/>
        <v>4.1500000000000004</v>
      </c>
      <c r="H500" s="6">
        <f t="shared" ca="1" si="81"/>
        <v>3.7350000000000003</v>
      </c>
      <c r="I500" s="5">
        <f t="shared" ca="1" si="82"/>
        <v>0.41500000000000004</v>
      </c>
      <c r="J500" s="8">
        <f t="shared" ca="1" si="83"/>
        <v>3.9425000000000003</v>
      </c>
      <c r="K500" s="5">
        <f t="shared" ca="1" si="84"/>
        <v>0.20750000000000002</v>
      </c>
      <c r="L500">
        <f t="shared" ca="1" si="85"/>
        <v>46257.493333333339</v>
      </c>
      <c r="M500">
        <f t="shared" ca="1" si="86"/>
        <v>46257</v>
      </c>
      <c r="N500" t="str">
        <f t="shared" ca="1" si="87"/>
        <v>1011010010110001</v>
      </c>
      <c r="O500">
        <f t="shared" ca="1" si="88"/>
        <v>101101001</v>
      </c>
    </row>
    <row r="501" spans="4:15" x14ac:dyDescent="0.25">
      <c r="D501">
        <v>499</v>
      </c>
      <c r="E501">
        <f t="shared" si="78"/>
        <v>69.900000000000006</v>
      </c>
      <c r="F501">
        <f t="shared" ca="1" si="79"/>
        <v>49.940000000000005</v>
      </c>
      <c r="G501" s="1">
        <f t="shared" si="80"/>
        <v>4.1583333333333332</v>
      </c>
      <c r="H501" s="6">
        <f t="shared" ca="1" si="81"/>
        <v>2.4950000000000001</v>
      </c>
      <c r="I501" s="5">
        <f t="shared" ca="1" si="82"/>
        <v>1.6633333333333331</v>
      </c>
      <c r="J501" s="8">
        <f t="shared" ca="1" si="83"/>
        <v>3.9504166666666665</v>
      </c>
      <c r="K501" s="5">
        <f t="shared" ca="1" si="84"/>
        <v>0.20791666666666675</v>
      </c>
      <c r="L501">
        <f t="shared" ca="1" si="85"/>
        <v>32713.386666666669</v>
      </c>
      <c r="M501">
        <f t="shared" ca="1" si="86"/>
        <v>32713</v>
      </c>
      <c r="N501" t="str">
        <f t="shared" ca="1" si="87"/>
        <v>0111111111001001</v>
      </c>
      <c r="O501">
        <f t="shared" ca="1" si="88"/>
        <v>11111111</v>
      </c>
    </row>
    <row r="502" spans="4:15" x14ac:dyDescent="0.25">
      <c r="D502">
        <v>500</v>
      </c>
      <c r="E502">
        <f t="shared" si="78"/>
        <v>70</v>
      </c>
      <c r="F502">
        <f t="shared" ca="1" si="79"/>
        <v>80</v>
      </c>
      <c r="G502" s="1">
        <f t="shared" si="80"/>
        <v>4.1666666666666661</v>
      </c>
      <c r="H502" s="6">
        <f t="shared" ca="1" si="81"/>
        <v>4.9999999999999991</v>
      </c>
      <c r="I502" s="5">
        <f t="shared" ca="1" si="82"/>
        <v>0.83333333333333304</v>
      </c>
      <c r="J502" s="8">
        <f t="shared" ca="1" si="83"/>
        <v>3.9583333333333326</v>
      </c>
      <c r="K502" s="5">
        <f t="shared" ca="1" si="84"/>
        <v>0.20833333333333348</v>
      </c>
      <c r="L502">
        <f t="shared" ca="1" si="85"/>
        <v>60074.666666666657</v>
      </c>
      <c r="M502">
        <f t="shared" ca="1" si="86"/>
        <v>60075</v>
      </c>
      <c r="N502" t="str">
        <f t="shared" ca="1" si="87"/>
        <v>1110101010101011</v>
      </c>
      <c r="O502">
        <f t="shared" ca="1" si="88"/>
        <v>111010101</v>
      </c>
    </row>
    <row r="503" spans="4:15" x14ac:dyDescent="0.25">
      <c r="D503">
        <v>501</v>
      </c>
      <c r="E503">
        <f t="shared" si="78"/>
        <v>70.099999999999994</v>
      </c>
      <c r="F503">
        <f t="shared" ca="1" si="79"/>
        <v>75.11</v>
      </c>
      <c r="G503" s="1">
        <f t="shared" si="80"/>
        <v>4.1749999999999989</v>
      </c>
      <c r="H503" s="6">
        <f t="shared" ca="1" si="81"/>
        <v>4.5924999999999994</v>
      </c>
      <c r="I503" s="5">
        <f t="shared" ca="1" si="82"/>
        <v>0.41750000000000043</v>
      </c>
      <c r="J503" s="8">
        <f t="shared" ca="1" si="83"/>
        <v>3.9662499999999987</v>
      </c>
      <c r="K503" s="5">
        <f t="shared" ca="1" si="84"/>
        <v>0.20875000000000021</v>
      </c>
      <c r="L503">
        <f t="shared" ca="1" si="85"/>
        <v>55623.679999999993</v>
      </c>
      <c r="M503">
        <f t="shared" ca="1" si="86"/>
        <v>55624</v>
      </c>
      <c r="N503" t="str">
        <f t="shared" ca="1" si="87"/>
        <v>1101100101001000</v>
      </c>
      <c r="O503">
        <f t="shared" ca="1" si="88"/>
        <v>110110010</v>
      </c>
    </row>
    <row r="504" spans="4:15" x14ac:dyDescent="0.25">
      <c r="D504">
        <v>502</v>
      </c>
      <c r="E504">
        <f t="shared" si="78"/>
        <v>70.2</v>
      </c>
      <c r="F504">
        <f t="shared" ca="1" si="79"/>
        <v>90.28</v>
      </c>
      <c r="G504" s="1">
        <f t="shared" si="80"/>
        <v>4.1833333333333327</v>
      </c>
      <c r="H504" s="6">
        <f t="shared" ca="1" si="81"/>
        <v>5.8566666666666665</v>
      </c>
      <c r="I504" s="5">
        <f t="shared" ca="1" si="82"/>
        <v>1.6733333333333338</v>
      </c>
      <c r="J504" s="8">
        <f t="shared" ca="1" si="83"/>
        <v>4.3924999999999992</v>
      </c>
      <c r="K504" s="5">
        <f t="shared" ca="1" si="84"/>
        <v>0.2091666666666665</v>
      </c>
      <c r="L504">
        <f t="shared" ca="1" si="85"/>
        <v>69431.751111111109</v>
      </c>
      <c r="M504">
        <f t="shared" ca="1" si="86"/>
        <v>69432</v>
      </c>
      <c r="N504" t="str">
        <f t="shared" ca="1" si="87"/>
        <v>10000111100111000</v>
      </c>
      <c r="O504">
        <f t="shared" ca="1" si="88"/>
        <v>100001111</v>
      </c>
    </row>
    <row r="505" spans="4:15" x14ac:dyDescent="0.25">
      <c r="D505">
        <v>503</v>
      </c>
      <c r="E505">
        <f t="shared" si="78"/>
        <v>70.300000000000011</v>
      </c>
      <c r="F505">
        <f t="shared" ca="1" si="79"/>
        <v>95.450000000000017</v>
      </c>
      <c r="G505" s="1">
        <f t="shared" si="80"/>
        <v>4.1916666666666673</v>
      </c>
      <c r="H505" s="6">
        <f t="shared" ca="1" si="81"/>
        <v>6.2875000000000005</v>
      </c>
      <c r="I505" s="5">
        <f t="shared" ca="1" si="82"/>
        <v>2.0958333333333332</v>
      </c>
      <c r="J505" s="8">
        <f t="shared" ca="1" si="83"/>
        <v>4.401250000000001</v>
      </c>
      <c r="K505" s="5">
        <f t="shared" ca="1" si="84"/>
        <v>0.20958333333333368</v>
      </c>
      <c r="L505">
        <f t="shared" ca="1" si="85"/>
        <v>74137.600000000006</v>
      </c>
      <c r="M505">
        <f t="shared" ca="1" si="86"/>
        <v>74138</v>
      </c>
      <c r="N505" t="str">
        <f t="shared" ca="1" si="87"/>
        <v>10010000110011010</v>
      </c>
      <c r="O505">
        <f t="shared" ca="1" si="88"/>
        <v>100100001</v>
      </c>
    </row>
    <row r="506" spans="4:15" x14ac:dyDescent="0.25">
      <c r="D506">
        <v>504</v>
      </c>
      <c r="E506">
        <f t="shared" si="78"/>
        <v>70.400000000000006</v>
      </c>
      <c r="F506">
        <f t="shared" ca="1" si="79"/>
        <v>45.2</v>
      </c>
      <c r="G506" s="1">
        <f t="shared" si="80"/>
        <v>4.2</v>
      </c>
      <c r="H506" s="6">
        <f t="shared" ca="1" si="81"/>
        <v>2.0999999999999996</v>
      </c>
      <c r="I506" s="5">
        <f t="shared" ca="1" si="82"/>
        <v>2.1000000000000005</v>
      </c>
      <c r="J506" s="8">
        <f t="shared" ca="1" si="83"/>
        <v>3.9899999999999998</v>
      </c>
      <c r="K506" s="5">
        <f t="shared" ca="1" si="84"/>
        <v>0.21000000000000041</v>
      </c>
      <c r="L506">
        <f t="shared" ca="1" si="85"/>
        <v>28398.933333333331</v>
      </c>
      <c r="M506">
        <f t="shared" ca="1" si="86"/>
        <v>28399</v>
      </c>
      <c r="N506" t="str">
        <f t="shared" ca="1" si="87"/>
        <v>0110111011101111</v>
      </c>
      <c r="O506">
        <f t="shared" ca="1" si="88"/>
        <v>11011101</v>
      </c>
    </row>
    <row r="507" spans="4:15" x14ac:dyDescent="0.25">
      <c r="D507">
        <v>505</v>
      </c>
      <c r="E507">
        <f t="shared" si="78"/>
        <v>70.5</v>
      </c>
      <c r="F507">
        <f t="shared" ca="1" si="79"/>
        <v>85.65</v>
      </c>
      <c r="G507" s="1">
        <f t="shared" si="80"/>
        <v>4.208333333333333</v>
      </c>
      <c r="H507" s="6">
        <f t="shared" ca="1" si="81"/>
        <v>5.4708333333333332</v>
      </c>
      <c r="I507" s="5">
        <f t="shared" ca="1" si="82"/>
        <v>1.2625000000000002</v>
      </c>
      <c r="J507" s="8">
        <f t="shared" ca="1" si="83"/>
        <v>3.9979166666666663</v>
      </c>
      <c r="K507" s="5">
        <f t="shared" ca="1" si="84"/>
        <v>0.2104166666666667</v>
      </c>
      <c r="L507">
        <f t="shared" ca="1" si="85"/>
        <v>65217.422222222223</v>
      </c>
      <c r="M507">
        <f t="shared" ca="1" si="86"/>
        <v>65217</v>
      </c>
      <c r="N507" t="str">
        <f t="shared" ca="1" si="87"/>
        <v>1111111011000001</v>
      </c>
      <c r="O507">
        <f t="shared" ca="1" si="88"/>
        <v>111111101</v>
      </c>
    </row>
    <row r="508" spans="4:15" x14ac:dyDescent="0.25">
      <c r="D508">
        <v>506</v>
      </c>
      <c r="E508">
        <f t="shared" si="78"/>
        <v>70.599999999999994</v>
      </c>
      <c r="F508">
        <f t="shared" ca="1" si="79"/>
        <v>65.539999999999992</v>
      </c>
      <c r="G508" s="1">
        <f t="shared" si="80"/>
        <v>4.2166666666666659</v>
      </c>
      <c r="H508" s="6">
        <f t="shared" ca="1" si="81"/>
        <v>3.794999999999999</v>
      </c>
      <c r="I508" s="5">
        <f t="shared" ca="1" si="82"/>
        <v>0.42166666666666686</v>
      </c>
      <c r="J508" s="8">
        <f t="shared" ca="1" si="83"/>
        <v>4.4274999999999993</v>
      </c>
      <c r="K508" s="5">
        <f t="shared" ca="1" si="84"/>
        <v>0.21083333333333343</v>
      </c>
      <c r="L508">
        <f t="shared" ca="1" si="85"/>
        <v>46912.853333333325</v>
      </c>
      <c r="M508">
        <f t="shared" ca="1" si="86"/>
        <v>46913</v>
      </c>
      <c r="N508" t="str">
        <f t="shared" ca="1" si="87"/>
        <v>1011011101000001</v>
      </c>
      <c r="O508">
        <f t="shared" ca="1" si="88"/>
        <v>101101110</v>
      </c>
    </row>
    <row r="509" spans="4:15" x14ac:dyDescent="0.25">
      <c r="D509">
        <v>507</v>
      </c>
      <c r="E509">
        <f t="shared" si="78"/>
        <v>70.7</v>
      </c>
      <c r="F509">
        <f t="shared" ca="1" si="79"/>
        <v>90.98</v>
      </c>
      <c r="G509" s="1">
        <f t="shared" si="80"/>
        <v>4.2249999999999996</v>
      </c>
      <c r="H509" s="6">
        <f t="shared" ca="1" si="81"/>
        <v>5.915</v>
      </c>
      <c r="I509" s="5">
        <f t="shared" ca="1" si="82"/>
        <v>1.6900000000000004</v>
      </c>
      <c r="J509" s="8">
        <f t="shared" ca="1" si="83"/>
        <v>4.4362500000000002</v>
      </c>
      <c r="K509" s="5">
        <f t="shared" ca="1" si="84"/>
        <v>0.2112500000000006</v>
      </c>
      <c r="L509">
        <f t="shared" ca="1" si="85"/>
        <v>70068.906666666662</v>
      </c>
      <c r="M509">
        <f t="shared" ca="1" si="86"/>
        <v>70069</v>
      </c>
      <c r="N509" t="str">
        <f t="shared" ca="1" si="87"/>
        <v>10001000110110101</v>
      </c>
      <c r="O509">
        <f t="shared" ca="1" si="88"/>
        <v>100010001</v>
      </c>
    </row>
    <row r="510" spans="4:15" x14ac:dyDescent="0.25">
      <c r="D510">
        <v>508</v>
      </c>
      <c r="E510">
        <f t="shared" si="78"/>
        <v>70.800000000000011</v>
      </c>
      <c r="F510">
        <f t="shared" ca="1" si="79"/>
        <v>65.720000000000013</v>
      </c>
      <c r="G510" s="1">
        <f t="shared" si="80"/>
        <v>4.2333333333333334</v>
      </c>
      <c r="H510" s="6">
        <f t="shared" ca="1" si="81"/>
        <v>3.8100000000000005</v>
      </c>
      <c r="I510" s="5">
        <f t="shared" ca="1" si="82"/>
        <v>0.4233333333333329</v>
      </c>
      <c r="J510" s="8">
        <f t="shared" ca="1" si="83"/>
        <v>4.0216666666666665</v>
      </c>
      <c r="K510" s="5">
        <f t="shared" ca="1" si="84"/>
        <v>0.21166666666666689</v>
      </c>
      <c r="L510">
        <f t="shared" ca="1" si="85"/>
        <v>47076.693333333336</v>
      </c>
      <c r="M510">
        <f t="shared" ca="1" si="86"/>
        <v>47077</v>
      </c>
      <c r="N510" t="str">
        <f t="shared" ca="1" si="87"/>
        <v>1011011111100101</v>
      </c>
      <c r="O510">
        <f t="shared" ca="1" si="88"/>
        <v>101101111</v>
      </c>
    </row>
    <row r="511" spans="4:15" x14ac:dyDescent="0.25">
      <c r="D511">
        <v>509</v>
      </c>
      <c r="E511">
        <f t="shared" si="78"/>
        <v>70.900000000000006</v>
      </c>
      <c r="F511">
        <f t="shared" ca="1" si="79"/>
        <v>65.81</v>
      </c>
      <c r="G511" s="1">
        <f t="shared" si="80"/>
        <v>4.2416666666666663</v>
      </c>
      <c r="H511" s="6">
        <f t="shared" ca="1" si="81"/>
        <v>3.8174999999999999</v>
      </c>
      <c r="I511" s="5">
        <f t="shared" ca="1" si="82"/>
        <v>0.42416666666666636</v>
      </c>
      <c r="J511" s="8">
        <f t="shared" ca="1" si="83"/>
        <v>4.4537499999999994</v>
      </c>
      <c r="K511" s="5">
        <f t="shared" ca="1" si="84"/>
        <v>0.21208333333333318</v>
      </c>
      <c r="L511">
        <f t="shared" ca="1" si="85"/>
        <v>47158.613333333335</v>
      </c>
      <c r="M511">
        <f t="shared" ca="1" si="86"/>
        <v>47159</v>
      </c>
      <c r="N511" t="str">
        <f t="shared" ca="1" si="87"/>
        <v>1011100000110111</v>
      </c>
      <c r="O511">
        <f t="shared" ca="1" si="88"/>
        <v>101110000</v>
      </c>
    </row>
    <row r="512" spans="4:15" x14ac:dyDescent="0.25">
      <c r="D512">
        <v>510</v>
      </c>
      <c r="E512">
        <f t="shared" si="78"/>
        <v>71</v>
      </c>
      <c r="F512">
        <f t="shared" ca="1" si="79"/>
        <v>81.2</v>
      </c>
      <c r="G512" s="1">
        <f t="shared" si="80"/>
        <v>4.2499999999999991</v>
      </c>
      <c r="H512" s="6">
        <f t="shared" ca="1" si="81"/>
        <v>5.0999999999999996</v>
      </c>
      <c r="I512" s="5">
        <f t="shared" ca="1" si="82"/>
        <v>0.85000000000000053</v>
      </c>
      <c r="J512" s="8">
        <f t="shared" ca="1" si="83"/>
        <v>4.0374999999999988</v>
      </c>
      <c r="K512" s="5">
        <f t="shared" ca="1" si="84"/>
        <v>0.21250000000000036</v>
      </c>
      <c r="L512">
        <f t="shared" ca="1" si="85"/>
        <v>61166.933333333327</v>
      </c>
      <c r="M512">
        <f t="shared" ca="1" si="86"/>
        <v>61167</v>
      </c>
      <c r="N512" t="str">
        <f t="shared" ca="1" si="87"/>
        <v>1110111011101111</v>
      </c>
      <c r="O512">
        <f t="shared" ca="1" si="88"/>
        <v>111011101</v>
      </c>
    </row>
    <row r="513" spans="4:15" x14ac:dyDescent="0.25">
      <c r="D513">
        <v>511</v>
      </c>
      <c r="E513">
        <f t="shared" si="78"/>
        <v>71.099999999999994</v>
      </c>
      <c r="F513">
        <f t="shared" ca="1" si="79"/>
        <v>96.649999999999991</v>
      </c>
      <c r="G513" s="1">
        <f t="shared" si="80"/>
        <v>4.258333333333332</v>
      </c>
      <c r="H513" s="6">
        <f t="shared" ca="1" si="81"/>
        <v>6.3874999999999984</v>
      </c>
      <c r="I513" s="5">
        <f t="shared" ca="1" si="82"/>
        <v>2.1291666666666664</v>
      </c>
      <c r="J513" s="8">
        <f t="shared" ca="1" si="83"/>
        <v>4.4712499999999986</v>
      </c>
      <c r="K513" s="5">
        <f t="shared" ca="1" si="84"/>
        <v>0.21291666666666664</v>
      </c>
      <c r="L513">
        <f t="shared" ca="1" si="85"/>
        <v>75229.866666666654</v>
      </c>
      <c r="M513">
        <f t="shared" ca="1" si="86"/>
        <v>75230</v>
      </c>
      <c r="N513" t="str">
        <f t="shared" ca="1" si="87"/>
        <v>10010010111011110</v>
      </c>
      <c r="O513">
        <f t="shared" ca="1" si="88"/>
        <v>100100101</v>
      </c>
    </row>
    <row r="514" spans="4:15" x14ac:dyDescent="0.25">
      <c r="D514">
        <v>512</v>
      </c>
      <c r="E514">
        <f t="shared" si="78"/>
        <v>71.2</v>
      </c>
      <c r="F514">
        <f t="shared" ca="1" si="79"/>
        <v>60.96</v>
      </c>
      <c r="G514" s="1">
        <f t="shared" si="80"/>
        <v>4.2666666666666666</v>
      </c>
      <c r="H514" s="6">
        <f t="shared" ca="1" si="81"/>
        <v>3.4133333333333331</v>
      </c>
      <c r="I514" s="5">
        <f t="shared" ca="1" si="82"/>
        <v>0.8533333333333335</v>
      </c>
      <c r="J514" s="8">
        <f t="shared" ca="1" si="83"/>
        <v>4.4800000000000004</v>
      </c>
      <c r="K514" s="5">
        <f t="shared" ca="1" si="84"/>
        <v>0.21333333333333382</v>
      </c>
      <c r="L514">
        <f t="shared" ca="1" si="85"/>
        <v>42744.035555555551</v>
      </c>
      <c r="M514">
        <f t="shared" ca="1" si="86"/>
        <v>42744</v>
      </c>
      <c r="N514" t="str">
        <f t="shared" ca="1" si="87"/>
        <v>1010011011111000</v>
      </c>
      <c r="O514">
        <f t="shared" ca="1" si="88"/>
        <v>101001101</v>
      </c>
    </row>
    <row r="515" spans="4:15" x14ac:dyDescent="0.25">
      <c r="D515">
        <v>513</v>
      </c>
      <c r="E515">
        <f t="shared" ref="E515:E578" si="89">0.1*D515+20</f>
        <v>71.300000000000011</v>
      </c>
      <c r="F515">
        <f t="shared" ref="F515:F578" ca="1" si="90">0.1*D515+20 + (RANDBETWEEN(-5,5)/100)*D515</f>
        <v>55.910000000000011</v>
      </c>
      <c r="G515" s="1">
        <f t="shared" ref="G515:G578" si="91">1/12*E515-5/3</f>
        <v>4.2750000000000004</v>
      </c>
      <c r="H515" s="6">
        <f t="shared" ref="H515:H578" ca="1" si="92">1/12*F515-5/3</f>
        <v>2.9925000000000006</v>
      </c>
      <c r="I515" s="5">
        <f t="shared" ref="I515:I578" ca="1" si="93">ABS(G515-H515)</f>
        <v>1.2824999999999998</v>
      </c>
      <c r="J515" s="8">
        <f t="shared" ref="J515:J578" ca="1" si="94" xml:space="preserve"> G515 * (1 + $B$1 * IF(RANDBETWEEN(0,1)=0,-1,1))</f>
        <v>4.0612500000000002</v>
      </c>
      <c r="K515" s="5">
        <f t="shared" ref="K515:K578" ca="1" si="95">ABS(G515-J515)</f>
        <v>0.21375000000000011</v>
      </c>
      <c r="L515">
        <f t="shared" ref="L515:L578" ca="1" si="96">(H515-$B$2)/($B$3-$B$2)*(2^$B$4)</f>
        <v>38147.413333333338</v>
      </c>
      <c r="M515">
        <f t="shared" ref="M515:M578" ca="1" si="97">ROUND(L515,0)</f>
        <v>38147</v>
      </c>
      <c r="N515" t="str">
        <f t="shared" ref="N515:N578" ca="1" si="98">_xlfn.BASE(M515,2,$B$4)</f>
        <v>1001010100000011</v>
      </c>
      <c r="O515">
        <f t="shared" ref="O515:O578" ca="1" si="99">VALUE(LEFT(N515,9))</f>
        <v>100101010</v>
      </c>
    </row>
    <row r="516" spans="4:15" x14ac:dyDescent="0.25">
      <c r="D516">
        <v>514</v>
      </c>
      <c r="E516">
        <f t="shared" si="89"/>
        <v>71.400000000000006</v>
      </c>
      <c r="F516">
        <f t="shared" ca="1" si="90"/>
        <v>50.84</v>
      </c>
      <c r="G516" s="1">
        <f t="shared" si="91"/>
        <v>4.2833333333333332</v>
      </c>
      <c r="H516" s="6">
        <f t="shared" ca="1" si="92"/>
        <v>2.5699999999999994</v>
      </c>
      <c r="I516" s="5">
        <f t="shared" ca="1" si="93"/>
        <v>1.7133333333333338</v>
      </c>
      <c r="J516" s="8">
        <f t="shared" ca="1" si="94"/>
        <v>4.4975000000000005</v>
      </c>
      <c r="K516" s="5">
        <f t="shared" ca="1" si="95"/>
        <v>0.21416666666666728</v>
      </c>
      <c r="L516">
        <f t="shared" ca="1" si="96"/>
        <v>33532.586666666662</v>
      </c>
      <c r="M516">
        <f t="shared" ca="1" si="97"/>
        <v>33533</v>
      </c>
      <c r="N516" t="str">
        <f t="shared" ca="1" si="98"/>
        <v>1000001011111101</v>
      </c>
      <c r="O516">
        <f t="shared" ca="1" si="99"/>
        <v>100000101</v>
      </c>
    </row>
    <row r="517" spans="4:15" x14ac:dyDescent="0.25">
      <c r="D517">
        <v>515</v>
      </c>
      <c r="E517">
        <f t="shared" si="89"/>
        <v>71.5</v>
      </c>
      <c r="F517">
        <f t="shared" ca="1" si="90"/>
        <v>66.349999999999994</v>
      </c>
      <c r="G517" s="1">
        <f t="shared" si="91"/>
        <v>4.2916666666666661</v>
      </c>
      <c r="H517" s="6">
        <f t="shared" ca="1" si="92"/>
        <v>3.8624999999999989</v>
      </c>
      <c r="I517" s="5">
        <f t="shared" ca="1" si="93"/>
        <v>0.42916666666666714</v>
      </c>
      <c r="J517" s="8">
        <f t="shared" ca="1" si="94"/>
        <v>4.5062499999999996</v>
      </c>
      <c r="K517" s="5">
        <f t="shared" ca="1" si="95"/>
        <v>0.21458333333333357</v>
      </c>
      <c r="L517">
        <f t="shared" ca="1" si="96"/>
        <v>47650.133333333324</v>
      </c>
      <c r="M517">
        <f t="shared" ca="1" si="97"/>
        <v>47650</v>
      </c>
      <c r="N517" t="str">
        <f t="shared" ca="1" si="98"/>
        <v>1011101000100010</v>
      </c>
      <c r="O517">
        <f t="shared" ca="1" si="99"/>
        <v>101110100</v>
      </c>
    </row>
    <row r="518" spans="4:15" x14ac:dyDescent="0.25">
      <c r="D518">
        <v>516</v>
      </c>
      <c r="E518">
        <f t="shared" si="89"/>
        <v>71.599999999999994</v>
      </c>
      <c r="F518">
        <f t="shared" ca="1" si="90"/>
        <v>81.919999999999987</v>
      </c>
      <c r="G518" s="1">
        <f t="shared" si="91"/>
        <v>4.2999999999999989</v>
      </c>
      <c r="H518" s="6">
        <f t="shared" ca="1" si="92"/>
        <v>5.1599999999999984</v>
      </c>
      <c r="I518" s="5">
        <f t="shared" ca="1" si="93"/>
        <v>0.85999999999999943</v>
      </c>
      <c r="J518" s="8">
        <f t="shared" ca="1" si="94"/>
        <v>4.5149999999999988</v>
      </c>
      <c r="K518" s="5">
        <f t="shared" ca="1" si="95"/>
        <v>0.21499999999999986</v>
      </c>
      <c r="L518">
        <f t="shared" ca="1" si="96"/>
        <v>61822.293333333313</v>
      </c>
      <c r="M518">
        <f t="shared" ca="1" si="97"/>
        <v>61822</v>
      </c>
      <c r="N518" t="str">
        <f t="shared" ca="1" si="98"/>
        <v>1111000101111110</v>
      </c>
      <c r="O518">
        <f t="shared" ca="1" si="99"/>
        <v>111100010</v>
      </c>
    </row>
    <row r="519" spans="4:15" x14ac:dyDescent="0.25">
      <c r="D519">
        <v>517</v>
      </c>
      <c r="E519">
        <f t="shared" si="89"/>
        <v>71.7</v>
      </c>
      <c r="F519">
        <f t="shared" ca="1" si="90"/>
        <v>56.190000000000005</v>
      </c>
      <c r="G519" s="1">
        <f t="shared" si="91"/>
        <v>4.3083333333333327</v>
      </c>
      <c r="H519" s="6">
        <f t="shared" ca="1" si="92"/>
        <v>3.0158333333333331</v>
      </c>
      <c r="I519" s="5">
        <f t="shared" ca="1" si="93"/>
        <v>1.2924999999999995</v>
      </c>
      <c r="J519" s="8">
        <f t="shared" ca="1" si="94"/>
        <v>4.0929166666666656</v>
      </c>
      <c r="K519" s="5">
        <f t="shared" ca="1" si="95"/>
        <v>0.21541666666666703</v>
      </c>
      <c r="L519">
        <f t="shared" ca="1" si="96"/>
        <v>38402.275555555556</v>
      </c>
      <c r="M519">
        <f t="shared" ca="1" si="97"/>
        <v>38402</v>
      </c>
      <c r="N519" t="str">
        <f t="shared" ca="1" si="98"/>
        <v>1001011000000010</v>
      </c>
      <c r="O519">
        <f t="shared" ca="1" si="99"/>
        <v>100101100</v>
      </c>
    </row>
    <row r="520" spans="4:15" x14ac:dyDescent="0.25">
      <c r="D520">
        <v>518</v>
      </c>
      <c r="E520">
        <f t="shared" si="89"/>
        <v>71.800000000000011</v>
      </c>
      <c r="F520">
        <f t="shared" ca="1" si="90"/>
        <v>66.62</v>
      </c>
      <c r="G520" s="1">
        <f t="shared" si="91"/>
        <v>4.3166666666666673</v>
      </c>
      <c r="H520" s="6">
        <f t="shared" ca="1" si="92"/>
        <v>3.8849999999999998</v>
      </c>
      <c r="I520" s="5">
        <f t="shared" ca="1" si="93"/>
        <v>0.43166666666666753</v>
      </c>
      <c r="J520" s="8">
        <f t="shared" ca="1" si="94"/>
        <v>4.5325000000000006</v>
      </c>
      <c r="K520" s="5">
        <f t="shared" ca="1" si="95"/>
        <v>0.21583333333333332</v>
      </c>
      <c r="L520">
        <f t="shared" ca="1" si="96"/>
        <v>47895.893333333333</v>
      </c>
      <c r="M520">
        <f t="shared" ca="1" si="97"/>
        <v>47896</v>
      </c>
      <c r="N520" t="str">
        <f t="shared" ca="1" si="98"/>
        <v>1011101100011000</v>
      </c>
      <c r="O520">
        <f t="shared" ca="1" si="99"/>
        <v>101110110</v>
      </c>
    </row>
    <row r="521" spans="4:15" x14ac:dyDescent="0.25">
      <c r="D521">
        <v>519</v>
      </c>
      <c r="E521">
        <f t="shared" si="89"/>
        <v>71.900000000000006</v>
      </c>
      <c r="F521">
        <f t="shared" ca="1" si="90"/>
        <v>82.28</v>
      </c>
      <c r="G521" s="1">
        <f t="shared" si="91"/>
        <v>4.3250000000000002</v>
      </c>
      <c r="H521" s="6">
        <f t="shared" ca="1" si="92"/>
        <v>5.1899999999999995</v>
      </c>
      <c r="I521" s="5">
        <f t="shared" ca="1" si="93"/>
        <v>0.86499999999999932</v>
      </c>
      <c r="J521" s="8">
        <f t="shared" ca="1" si="94"/>
        <v>4.5412500000000007</v>
      </c>
      <c r="K521" s="5">
        <f t="shared" ca="1" si="95"/>
        <v>0.2162500000000005</v>
      </c>
      <c r="L521">
        <f t="shared" ca="1" si="96"/>
        <v>62149.973333333328</v>
      </c>
      <c r="M521">
        <f t="shared" ca="1" si="97"/>
        <v>62150</v>
      </c>
      <c r="N521" t="str">
        <f t="shared" ca="1" si="98"/>
        <v>1111001011000110</v>
      </c>
      <c r="O521">
        <f t="shared" ca="1" si="99"/>
        <v>111100101</v>
      </c>
    </row>
    <row r="522" spans="4:15" x14ac:dyDescent="0.25">
      <c r="D522">
        <v>520</v>
      </c>
      <c r="E522">
        <f t="shared" si="89"/>
        <v>72</v>
      </c>
      <c r="F522">
        <f t="shared" ca="1" si="90"/>
        <v>72</v>
      </c>
      <c r="G522" s="1">
        <f t="shared" si="91"/>
        <v>4.333333333333333</v>
      </c>
      <c r="H522" s="6">
        <f t="shared" ca="1" si="92"/>
        <v>4.333333333333333</v>
      </c>
      <c r="I522" s="5">
        <f t="shared" ca="1" si="93"/>
        <v>0</v>
      </c>
      <c r="J522" s="8">
        <f t="shared" ca="1" si="94"/>
        <v>4.1166666666666663</v>
      </c>
      <c r="K522" s="5">
        <f t="shared" ca="1" si="95"/>
        <v>0.21666666666666679</v>
      </c>
      <c r="L522">
        <f t="shared" ca="1" si="96"/>
        <v>52792.888888888883</v>
      </c>
      <c r="M522">
        <f t="shared" ca="1" si="97"/>
        <v>52793</v>
      </c>
      <c r="N522" t="str">
        <f t="shared" ca="1" si="98"/>
        <v>1100111000111001</v>
      </c>
      <c r="O522">
        <f t="shared" ca="1" si="99"/>
        <v>110011100</v>
      </c>
    </row>
    <row r="523" spans="4:15" x14ac:dyDescent="0.25">
      <c r="D523">
        <v>521</v>
      </c>
      <c r="E523">
        <f t="shared" si="89"/>
        <v>72.099999999999994</v>
      </c>
      <c r="F523">
        <f t="shared" ca="1" si="90"/>
        <v>92.94</v>
      </c>
      <c r="G523" s="1">
        <f t="shared" si="91"/>
        <v>4.3416666666666659</v>
      </c>
      <c r="H523" s="6">
        <f t="shared" ca="1" si="92"/>
        <v>6.0783333333333323</v>
      </c>
      <c r="I523" s="5">
        <f t="shared" ca="1" si="93"/>
        <v>1.7366666666666664</v>
      </c>
      <c r="J523" s="8">
        <f t="shared" ca="1" si="94"/>
        <v>4.1245833333333328</v>
      </c>
      <c r="K523" s="5">
        <f t="shared" ca="1" si="95"/>
        <v>0.21708333333333307</v>
      </c>
      <c r="L523">
        <f t="shared" ca="1" si="96"/>
        <v>71852.942222222206</v>
      </c>
      <c r="M523">
        <f t="shared" ca="1" si="97"/>
        <v>71853</v>
      </c>
      <c r="N523" t="str">
        <f t="shared" ca="1" si="98"/>
        <v>10001100010101101</v>
      </c>
      <c r="O523">
        <f t="shared" ca="1" si="99"/>
        <v>100011000</v>
      </c>
    </row>
    <row r="524" spans="4:15" x14ac:dyDescent="0.25">
      <c r="D524">
        <v>522</v>
      </c>
      <c r="E524">
        <f t="shared" si="89"/>
        <v>72.2</v>
      </c>
      <c r="F524">
        <f t="shared" ca="1" si="90"/>
        <v>82.64</v>
      </c>
      <c r="G524" s="1">
        <f t="shared" si="91"/>
        <v>4.3499999999999996</v>
      </c>
      <c r="H524" s="6">
        <f t="shared" ca="1" si="92"/>
        <v>5.22</v>
      </c>
      <c r="I524" s="5">
        <f t="shared" ca="1" si="93"/>
        <v>0.87000000000000011</v>
      </c>
      <c r="J524" s="8">
        <f t="shared" ca="1" si="94"/>
        <v>4.1324999999999994</v>
      </c>
      <c r="K524" s="5">
        <f t="shared" ca="1" si="95"/>
        <v>0.21750000000000025</v>
      </c>
      <c r="L524">
        <f t="shared" ca="1" si="96"/>
        <v>62477.653333333328</v>
      </c>
      <c r="M524">
        <f t="shared" ca="1" si="97"/>
        <v>62478</v>
      </c>
      <c r="N524" t="str">
        <f t="shared" ca="1" si="98"/>
        <v>1111010000001110</v>
      </c>
      <c r="O524">
        <f t="shared" ca="1" si="99"/>
        <v>111101000</v>
      </c>
    </row>
    <row r="525" spans="4:15" x14ac:dyDescent="0.25">
      <c r="D525">
        <v>523</v>
      </c>
      <c r="E525">
        <f t="shared" si="89"/>
        <v>72.300000000000011</v>
      </c>
      <c r="F525">
        <f t="shared" ca="1" si="90"/>
        <v>77.530000000000015</v>
      </c>
      <c r="G525" s="1">
        <f t="shared" si="91"/>
        <v>4.3583333333333334</v>
      </c>
      <c r="H525" s="6">
        <f t="shared" ca="1" si="92"/>
        <v>4.7941666666666674</v>
      </c>
      <c r="I525" s="5">
        <f t="shared" ca="1" si="93"/>
        <v>0.43583333333333396</v>
      </c>
      <c r="J525" s="8">
        <f t="shared" ca="1" si="94"/>
        <v>4.1404166666666669</v>
      </c>
      <c r="K525" s="5">
        <f t="shared" ca="1" si="95"/>
        <v>0.21791666666666654</v>
      </c>
      <c r="L525">
        <f t="shared" ca="1" si="96"/>
        <v>57826.417777777788</v>
      </c>
      <c r="M525">
        <f t="shared" ca="1" si="97"/>
        <v>57826</v>
      </c>
      <c r="N525" t="str">
        <f t="shared" ca="1" si="98"/>
        <v>1110000111100010</v>
      </c>
      <c r="O525">
        <f t="shared" ca="1" si="99"/>
        <v>111000011</v>
      </c>
    </row>
    <row r="526" spans="4:15" x14ac:dyDescent="0.25">
      <c r="D526">
        <v>524</v>
      </c>
      <c r="E526">
        <f t="shared" si="89"/>
        <v>72.400000000000006</v>
      </c>
      <c r="F526">
        <f t="shared" ca="1" si="90"/>
        <v>46.2</v>
      </c>
      <c r="G526" s="1">
        <f t="shared" si="91"/>
        <v>4.3666666666666663</v>
      </c>
      <c r="H526" s="6">
        <f t="shared" ca="1" si="92"/>
        <v>2.1833333333333336</v>
      </c>
      <c r="I526" s="5">
        <f t="shared" ca="1" si="93"/>
        <v>2.1833333333333327</v>
      </c>
      <c r="J526" s="8">
        <f t="shared" ca="1" si="94"/>
        <v>4.585</v>
      </c>
      <c r="K526" s="5">
        <f t="shared" ca="1" si="95"/>
        <v>0.21833333333333371</v>
      </c>
      <c r="L526">
        <f t="shared" ca="1" si="96"/>
        <v>29309.155555555557</v>
      </c>
      <c r="M526">
        <f t="shared" ca="1" si="97"/>
        <v>29309</v>
      </c>
      <c r="N526" t="str">
        <f t="shared" ca="1" si="98"/>
        <v>0111001001111101</v>
      </c>
      <c r="O526">
        <f t="shared" ca="1" si="99"/>
        <v>11100100</v>
      </c>
    </row>
    <row r="527" spans="4:15" x14ac:dyDescent="0.25">
      <c r="D527">
        <v>525</v>
      </c>
      <c r="E527">
        <f t="shared" si="89"/>
        <v>72.5</v>
      </c>
      <c r="F527">
        <f t="shared" ca="1" si="90"/>
        <v>77.75</v>
      </c>
      <c r="G527" s="1">
        <f t="shared" si="91"/>
        <v>4.3749999999999991</v>
      </c>
      <c r="H527" s="6">
        <f t="shared" ca="1" si="92"/>
        <v>4.8124999999999991</v>
      </c>
      <c r="I527" s="5">
        <f t="shared" ca="1" si="93"/>
        <v>0.4375</v>
      </c>
      <c r="J527" s="8">
        <f t="shared" ca="1" si="94"/>
        <v>4.5937499999999991</v>
      </c>
      <c r="K527" s="5">
        <f t="shared" ca="1" si="95"/>
        <v>0.21875</v>
      </c>
      <c r="L527">
        <f t="shared" ca="1" si="96"/>
        <v>58026.666666666657</v>
      </c>
      <c r="M527">
        <f t="shared" ca="1" si="97"/>
        <v>58027</v>
      </c>
      <c r="N527" t="str">
        <f t="shared" ca="1" si="98"/>
        <v>1110001010101011</v>
      </c>
      <c r="O527">
        <f t="shared" ca="1" si="99"/>
        <v>111000101</v>
      </c>
    </row>
    <row r="528" spans="4:15" x14ac:dyDescent="0.25">
      <c r="D528">
        <v>526</v>
      </c>
      <c r="E528">
        <f t="shared" si="89"/>
        <v>72.599999999999994</v>
      </c>
      <c r="F528">
        <f t="shared" ca="1" si="90"/>
        <v>46.3</v>
      </c>
      <c r="G528" s="1">
        <f t="shared" si="91"/>
        <v>4.383333333333332</v>
      </c>
      <c r="H528" s="6">
        <f t="shared" ca="1" si="92"/>
        <v>2.1916666666666664</v>
      </c>
      <c r="I528" s="5">
        <f t="shared" ca="1" si="93"/>
        <v>2.1916666666666655</v>
      </c>
      <c r="J528" s="8">
        <f t="shared" ca="1" si="94"/>
        <v>4.6024999999999991</v>
      </c>
      <c r="K528" s="5">
        <f t="shared" ca="1" si="95"/>
        <v>0.21916666666666718</v>
      </c>
      <c r="L528">
        <f t="shared" ca="1" si="96"/>
        <v>29400.177777777775</v>
      </c>
      <c r="M528">
        <f t="shared" ca="1" si="97"/>
        <v>29400</v>
      </c>
      <c r="N528" t="str">
        <f t="shared" ca="1" si="98"/>
        <v>0111001011011000</v>
      </c>
      <c r="O528">
        <f t="shared" ca="1" si="99"/>
        <v>11100101</v>
      </c>
    </row>
    <row r="529" spans="4:15" x14ac:dyDescent="0.25">
      <c r="D529">
        <v>527</v>
      </c>
      <c r="E529">
        <f t="shared" si="89"/>
        <v>72.7</v>
      </c>
      <c r="F529">
        <f t="shared" ca="1" si="90"/>
        <v>67.430000000000007</v>
      </c>
      <c r="G529" s="1">
        <f t="shared" si="91"/>
        <v>4.3916666666666666</v>
      </c>
      <c r="H529" s="6">
        <f t="shared" ca="1" si="92"/>
        <v>3.9524999999999997</v>
      </c>
      <c r="I529" s="5">
        <f t="shared" ca="1" si="93"/>
        <v>0.43916666666666693</v>
      </c>
      <c r="J529" s="8">
        <f t="shared" ca="1" si="94"/>
        <v>4.1720833333333331</v>
      </c>
      <c r="K529" s="5">
        <f t="shared" ca="1" si="95"/>
        <v>0.21958333333333346</v>
      </c>
      <c r="L529">
        <f t="shared" ca="1" si="96"/>
        <v>48633.173333333332</v>
      </c>
      <c r="M529">
        <f t="shared" ca="1" si="97"/>
        <v>48633</v>
      </c>
      <c r="N529" t="str">
        <f t="shared" ca="1" si="98"/>
        <v>1011110111111001</v>
      </c>
      <c r="O529">
        <f t="shared" ca="1" si="99"/>
        <v>101111011</v>
      </c>
    </row>
    <row r="530" spans="4:15" x14ac:dyDescent="0.25">
      <c r="D530">
        <v>528</v>
      </c>
      <c r="E530">
        <f t="shared" si="89"/>
        <v>72.800000000000011</v>
      </c>
      <c r="F530">
        <f t="shared" ca="1" si="90"/>
        <v>51.680000000000007</v>
      </c>
      <c r="G530" s="1">
        <f t="shared" si="91"/>
        <v>4.4000000000000004</v>
      </c>
      <c r="H530" s="6">
        <f t="shared" ca="1" si="92"/>
        <v>2.6399999999999997</v>
      </c>
      <c r="I530" s="5">
        <f t="shared" ca="1" si="93"/>
        <v>1.7600000000000007</v>
      </c>
      <c r="J530" s="8">
        <f t="shared" ca="1" si="94"/>
        <v>4.18</v>
      </c>
      <c r="K530" s="5">
        <f t="shared" ca="1" si="95"/>
        <v>0.22000000000000064</v>
      </c>
      <c r="L530">
        <f t="shared" ca="1" si="96"/>
        <v>34297.173333333332</v>
      </c>
      <c r="M530">
        <f t="shared" ca="1" si="97"/>
        <v>34297</v>
      </c>
      <c r="N530" t="str">
        <f t="shared" ca="1" si="98"/>
        <v>1000010111111001</v>
      </c>
      <c r="O530">
        <f t="shared" ca="1" si="99"/>
        <v>100001011</v>
      </c>
    </row>
    <row r="531" spans="4:15" x14ac:dyDescent="0.25">
      <c r="D531">
        <v>529</v>
      </c>
      <c r="E531">
        <f t="shared" si="89"/>
        <v>72.900000000000006</v>
      </c>
      <c r="F531">
        <f t="shared" ca="1" si="90"/>
        <v>67.61</v>
      </c>
      <c r="G531" s="1">
        <f t="shared" si="91"/>
        <v>4.4083333333333332</v>
      </c>
      <c r="H531" s="6">
        <f t="shared" ca="1" si="92"/>
        <v>3.9674999999999994</v>
      </c>
      <c r="I531" s="5">
        <f t="shared" ca="1" si="93"/>
        <v>0.44083333333333385</v>
      </c>
      <c r="J531" s="8">
        <f t="shared" ca="1" si="94"/>
        <v>4.6287500000000001</v>
      </c>
      <c r="K531" s="5">
        <f t="shared" ca="1" si="95"/>
        <v>0.22041666666666693</v>
      </c>
      <c r="L531">
        <f t="shared" ca="1" si="96"/>
        <v>48797.013333333329</v>
      </c>
      <c r="M531">
        <f t="shared" ca="1" si="97"/>
        <v>48797</v>
      </c>
      <c r="N531" t="str">
        <f t="shared" ca="1" si="98"/>
        <v>1011111010011101</v>
      </c>
      <c r="O531">
        <f t="shared" ca="1" si="99"/>
        <v>101111101</v>
      </c>
    </row>
    <row r="532" spans="4:15" x14ac:dyDescent="0.25">
      <c r="D532">
        <v>530</v>
      </c>
      <c r="E532">
        <f t="shared" si="89"/>
        <v>73</v>
      </c>
      <c r="F532">
        <f t="shared" ca="1" si="90"/>
        <v>62.4</v>
      </c>
      <c r="G532" s="1">
        <f t="shared" si="91"/>
        <v>4.4166666666666661</v>
      </c>
      <c r="H532" s="6">
        <f t="shared" ca="1" si="92"/>
        <v>3.5333333333333323</v>
      </c>
      <c r="I532" s="5">
        <f t="shared" ca="1" si="93"/>
        <v>0.88333333333333375</v>
      </c>
      <c r="J532" s="8">
        <f t="shared" ca="1" si="94"/>
        <v>4.1958333333333329</v>
      </c>
      <c r="K532" s="5">
        <f t="shared" ca="1" si="95"/>
        <v>0.22083333333333321</v>
      </c>
      <c r="L532">
        <f t="shared" ca="1" si="96"/>
        <v>44054.755555555545</v>
      </c>
      <c r="M532">
        <f t="shared" ca="1" si="97"/>
        <v>44055</v>
      </c>
      <c r="N532" t="str">
        <f t="shared" ca="1" si="98"/>
        <v>1010110000010111</v>
      </c>
      <c r="O532">
        <f t="shared" ca="1" si="99"/>
        <v>101011000</v>
      </c>
    </row>
    <row r="533" spans="4:15" x14ac:dyDescent="0.25">
      <c r="D533">
        <v>531</v>
      </c>
      <c r="E533">
        <f t="shared" si="89"/>
        <v>73.099999999999994</v>
      </c>
      <c r="F533">
        <f t="shared" ca="1" si="90"/>
        <v>78.41</v>
      </c>
      <c r="G533" s="1">
        <f t="shared" si="91"/>
        <v>4.4249999999999989</v>
      </c>
      <c r="H533" s="6">
        <f t="shared" ca="1" si="92"/>
        <v>4.8674999999999988</v>
      </c>
      <c r="I533" s="5">
        <f t="shared" ca="1" si="93"/>
        <v>0.44249999999999989</v>
      </c>
      <c r="J533" s="8">
        <f t="shared" ca="1" si="94"/>
        <v>4.6462499999999993</v>
      </c>
      <c r="K533" s="5">
        <f t="shared" ca="1" si="95"/>
        <v>0.22125000000000039</v>
      </c>
      <c r="L533">
        <f t="shared" ca="1" si="96"/>
        <v>58627.413333333323</v>
      </c>
      <c r="M533">
        <f t="shared" ca="1" si="97"/>
        <v>58627</v>
      </c>
      <c r="N533" t="str">
        <f t="shared" ca="1" si="98"/>
        <v>1110010100000011</v>
      </c>
      <c r="O533">
        <f t="shared" ca="1" si="99"/>
        <v>111001010</v>
      </c>
    </row>
    <row r="534" spans="4:15" x14ac:dyDescent="0.25">
      <c r="D534">
        <v>532</v>
      </c>
      <c r="E534">
        <f t="shared" si="89"/>
        <v>73.2</v>
      </c>
      <c r="F534">
        <f t="shared" ca="1" si="90"/>
        <v>94.48</v>
      </c>
      <c r="G534" s="1">
        <f t="shared" si="91"/>
        <v>4.4333333333333327</v>
      </c>
      <c r="H534" s="6">
        <f t="shared" ca="1" si="92"/>
        <v>6.2066666666666661</v>
      </c>
      <c r="I534" s="5">
        <f t="shared" ca="1" si="93"/>
        <v>1.7733333333333334</v>
      </c>
      <c r="J534" s="8">
        <f t="shared" ca="1" si="94"/>
        <v>4.6549999999999994</v>
      </c>
      <c r="K534" s="5">
        <f t="shared" ca="1" si="95"/>
        <v>0.22166666666666668</v>
      </c>
      <c r="L534">
        <f t="shared" ca="1" si="96"/>
        <v>73254.684444444443</v>
      </c>
      <c r="M534">
        <f t="shared" ca="1" si="97"/>
        <v>73255</v>
      </c>
      <c r="N534" t="str">
        <f t="shared" ca="1" si="98"/>
        <v>10001111000100111</v>
      </c>
      <c r="O534">
        <f t="shared" ca="1" si="99"/>
        <v>100011110</v>
      </c>
    </row>
    <row r="535" spans="4:15" x14ac:dyDescent="0.25">
      <c r="D535">
        <v>533</v>
      </c>
      <c r="E535">
        <f t="shared" si="89"/>
        <v>73.300000000000011</v>
      </c>
      <c r="F535">
        <f t="shared" ca="1" si="90"/>
        <v>83.960000000000008</v>
      </c>
      <c r="G535" s="1">
        <f t="shared" si="91"/>
        <v>4.4416666666666673</v>
      </c>
      <c r="H535" s="6">
        <f t="shared" ca="1" si="92"/>
        <v>5.33</v>
      </c>
      <c r="I535" s="5">
        <f t="shared" ca="1" si="93"/>
        <v>0.88833333333333275</v>
      </c>
      <c r="J535" s="8">
        <f t="shared" ca="1" si="94"/>
        <v>4.6637500000000012</v>
      </c>
      <c r="K535" s="5">
        <f t="shared" ca="1" si="95"/>
        <v>0.22208333333333385</v>
      </c>
      <c r="L535">
        <f t="shared" ca="1" si="96"/>
        <v>63679.146666666667</v>
      </c>
      <c r="M535">
        <f t="shared" ca="1" si="97"/>
        <v>63679</v>
      </c>
      <c r="N535" t="str">
        <f t="shared" ca="1" si="98"/>
        <v>1111100010111111</v>
      </c>
      <c r="O535">
        <f t="shared" ca="1" si="99"/>
        <v>111110001</v>
      </c>
    </row>
    <row r="536" spans="4:15" x14ac:dyDescent="0.25">
      <c r="D536">
        <v>534</v>
      </c>
      <c r="E536">
        <f t="shared" si="89"/>
        <v>73.400000000000006</v>
      </c>
      <c r="F536">
        <f t="shared" ca="1" si="90"/>
        <v>89.42</v>
      </c>
      <c r="G536" s="1">
        <f t="shared" si="91"/>
        <v>4.45</v>
      </c>
      <c r="H536" s="6">
        <f t="shared" ca="1" si="92"/>
        <v>5.7849999999999993</v>
      </c>
      <c r="I536" s="5">
        <f t="shared" ca="1" si="93"/>
        <v>1.3349999999999991</v>
      </c>
      <c r="J536" s="8">
        <f t="shared" ca="1" si="94"/>
        <v>4.2275</v>
      </c>
      <c r="K536" s="5">
        <f t="shared" ca="1" si="95"/>
        <v>0.22250000000000014</v>
      </c>
      <c r="L536">
        <f t="shared" ca="1" si="96"/>
        <v>68648.959999999992</v>
      </c>
      <c r="M536">
        <f t="shared" ca="1" si="97"/>
        <v>68649</v>
      </c>
      <c r="N536" t="str">
        <f t="shared" ca="1" si="98"/>
        <v>10000110000101001</v>
      </c>
      <c r="O536">
        <f t="shared" ca="1" si="99"/>
        <v>100001100</v>
      </c>
    </row>
    <row r="537" spans="4:15" x14ac:dyDescent="0.25">
      <c r="D537">
        <v>535</v>
      </c>
      <c r="E537">
        <f t="shared" si="89"/>
        <v>73.5</v>
      </c>
      <c r="F537">
        <f t="shared" ca="1" si="90"/>
        <v>100.25</v>
      </c>
      <c r="G537" s="1">
        <f t="shared" si="91"/>
        <v>4.458333333333333</v>
      </c>
      <c r="H537" s="6">
        <f t="shared" ca="1" si="92"/>
        <v>6.6874999999999991</v>
      </c>
      <c r="I537" s="5">
        <f t="shared" ca="1" si="93"/>
        <v>2.2291666666666661</v>
      </c>
      <c r="J537" s="8">
        <f t="shared" ca="1" si="94"/>
        <v>4.2354166666666666</v>
      </c>
      <c r="K537" s="5">
        <f t="shared" ca="1" si="95"/>
        <v>0.22291666666666643</v>
      </c>
      <c r="L537">
        <f t="shared" ca="1" si="96"/>
        <v>78506.666666666657</v>
      </c>
      <c r="M537">
        <f t="shared" ca="1" si="97"/>
        <v>78507</v>
      </c>
      <c r="N537" t="str">
        <f t="shared" ca="1" si="98"/>
        <v>10011001010101011</v>
      </c>
      <c r="O537">
        <f t="shared" ca="1" si="99"/>
        <v>100110010</v>
      </c>
    </row>
    <row r="538" spans="4:15" x14ac:dyDescent="0.25">
      <c r="D538">
        <v>536</v>
      </c>
      <c r="E538">
        <f t="shared" si="89"/>
        <v>73.599999999999994</v>
      </c>
      <c r="F538">
        <f t="shared" ca="1" si="90"/>
        <v>73.599999999999994</v>
      </c>
      <c r="G538" s="1">
        <f t="shared" si="91"/>
        <v>4.4666666666666659</v>
      </c>
      <c r="H538" s="6">
        <f t="shared" ca="1" si="92"/>
        <v>4.4666666666666659</v>
      </c>
      <c r="I538" s="5">
        <f t="shared" ca="1" si="93"/>
        <v>0</v>
      </c>
      <c r="J538" s="8">
        <f t="shared" ca="1" si="94"/>
        <v>4.6899999999999995</v>
      </c>
      <c r="K538" s="5">
        <f t="shared" ca="1" si="95"/>
        <v>0.22333333333333361</v>
      </c>
      <c r="L538">
        <f t="shared" ca="1" si="96"/>
        <v>54249.244444444434</v>
      </c>
      <c r="M538">
        <f t="shared" ca="1" si="97"/>
        <v>54249</v>
      </c>
      <c r="N538" t="str">
        <f t="shared" ca="1" si="98"/>
        <v>1101001111101001</v>
      </c>
      <c r="O538">
        <f t="shared" ca="1" si="99"/>
        <v>110100111</v>
      </c>
    </row>
    <row r="539" spans="4:15" x14ac:dyDescent="0.25">
      <c r="D539">
        <v>537</v>
      </c>
      <c r="E539">
        <f t="shared" si="89"/>
        <v>73.7</v>
      </c>
      <c r="F539">
        <f t="shared" ca="1" si="90"/>
        <v>46.85</v>
      </c>
      <c r="G539" s="1">
        <f t="shared" si="91"/>
        <v>4.4749999999999996</v>
      </c>
      <c r="H539" s="6">
        <f t="shared" ca="1" si="92"/>
        <v>2.2374999999999998</v>
      </c>
      <c r="I539" s="5">
        <f t="shared" ca="1" si="93"/>
        <v>2.2374999999999998</v>
      </c>
      <c r="J539" s="8">
        <f t="shared" ca="1" si="94"/>
        <v>4.2512499999999998</v>
      </c>
      <c r="K539" s="5">
        <f t="shared" ca="1" si="95"/>
        <v>0.22374999999999989</v>
      </c>
      <c r="L539">
        <f t="shared" ca="1" si="96"/>
        <v>29900.799999999999</v>
      </c>
      <c r="M539">
        <f t="shared" ca="1" si="97"/>
        <v>29901</v>
      </c>
      <c r="N539" t="str">
        <f t="shared" ca="1" si="98"/>
        <v>0111010011001101</v>
      </c>
      <c r="O539">
        <f t="shared" ca="1" si="99"/>
        <v>11101001</v>
      </c>
    </row>
    <row r="540" spans="4:15" x14ac:dyDescent="0.25">
      <c r="D540">
        <v>538</v>
      </c>
      <c r="E540">
        <f t="shared" si="89"/>
        <v>73.800000000000011</v>
      </c>
      <c r="F540">
        <f t="shared" ca="1" si="90"/>
        <v>100.70000000000002</v>
      </c>
      <c r="G540" s="1">
        <f t="shared" si="91"/>
        <v>4.4833333333333334</v>
      </c>
      <c r="H540" s="6">
        <f t="shared" ca="1" si="92"/>
        <v>6.7250000000000005</v>
      </c>
      <c r="I540" s="5">
        <f t="shared" ca="1" si="93"/>
        <v>2.2416666666666671</v>
      </c>
      <c r="J540" s="8">
        <f t="shared" ca="1" si="94"/>
        <v>4.7075000000000005</v>
      </c>
      <c r="K540" s="5">
        <f t="shared" ca="1" si="95"/>
        <v>0.22416666666666707</v>
      </c>
      <c r="L540">
        <f t="shared" ca="1" si="96"/>
        <v>78916.266666666677</v>
      </c>
      <c r="M540">
        <f t="shared" ca="1" si="97"/>
        <v>78916</v>
      </c>
      <c r="N540" t="str">
        <f t="shared" ca="1" si="98"/>
        <v>10011010001000100</v>
      </c>
      <c r="O540">
        <f t="shared" ca="1" si="99"/>
        <v>100110100</v>
      </c>
    </row>
    <row r="541" spans="4:15" x14ac:dyDescent="0.25">
      <c r="D541">
        <v>539</v>
      </c>
      <c r="E541">
        <f t="shared" si="89"/>
        <v>73.900000000000006</v>
      </c>
      <c r="F541">
        <f t="shared" ca="1" si="90"/>
        <v>79.290000000000006</v>
      </c>
      <c r="G541" s="1">
        <f t="shared" si="91"/>
        <v>4.4916666666666663</v>
      </c>
      <c r="H541" s="6">
        <f t="shared" ca="1" si="92"/>
        <v>4.940833333333333</v>
      </c>
      <c r="I541" s="5">
        <f t="shared" ca="1" si="93"/>
        <v>0.44916666666666671</v>
      </c>
      <c r="J541" s="8">
        <f t="shared" ca="1" si="94"/>
        <v>4.7162499999999996</v>
      </c>
      <c r="K541" s="5">
        <f t="shared" ca="1" si="95"/>
        <v>0.22458333333333336</v>
      </c>
      <c r="L541">
        <f t="shared" ca="1" si="96"/>
        <v>59428.408888888887</v>
      </c>
      <c r="M541">
        <f t="shared" ca="1" si="97"/>
        <v>59428</v>
      </c>
      <c r="N541" t="str">
        <f t="shared" ca="1" si="98"/>
        <v>1110100000100100</v>
      </c>
      <c r="O541">
        <f t="shared" ca="1" si="99"/>
        <v>111010000</v>
      </c>
    </row>
    <row r="542" spans="4:15" x14ac:dyDescent="0.25">
      <c r="D542">
        <v>540</v>
      </c>
      <c r="E542">
        <f t="shared" si="89"/>
        <v>74</v>
      </c>
      <c r="F542">
        <f t="shared" ca="1" si="90"/>
        <v>57.8</v>
      </c>
      <c r="G542" s="1">
        <f t="shared" si="91"/>
        <v>4.4999999999999991</v>
      </c>
      <c r="H542" s="6">
        <f t="shared" ca="1" si="92"/>
        <v>3.1499999999999995</v>
      </c>
      <c r="I542" s="5">
        <f t="shared" ca="1" si="93"/>
        <v>1.3499999999999996</v>
      </c>
      <c r="J542" s="8">
        <f t="shared" ca="1" si="94"/>
        <v>4.7249999999999996</v>
      </c>
      <c r="K542" s="5">
        <f t="shared" ca="1" si="95"/>
        <v>0.22500000000000053</v>
      </c>
      <c r="L542">
        <f t="shared" ca="1" si="96"/>
        <v>39867.73333333333</v>
      </c>
      <c r="M542">
        <f t="shared" ca="1" si="97"/>
        <v>39868</v>
      </c>
      <c r="N542" t="str">
        <f t="shared" ca="1" si="98"/>
        <v>1001101110111100</v>
      </c>
      <c r="O542">
        <f t="shared" ca="1" si="99"/>
        <v>100110111</v>
      </c>
    </row>
    <row r="543" spans="4:15" x14ac:dyDescent="0.25">
      <c r="D543">
        <v>541</v>
      </c>
      <c r="E543">
        <f t="shared" si="89"/>
        <v>74.099999999999994</v>
      </c>
      <c r="F543">
        <f t="shared" ca="1" si="90"/>
        <v>95.74</v>
      </c>
      <c r="G543" s="1">
        <f t="shared" si="91"/>
        <v>4.508333333333332</v>
      </c>
      <c r="H543" s="6">
        <f t="shared" ca="1" si="92"/>
        <v>6.3116666666666656</v>
      </c>
      <c r="I543" s="5">
        <f t="shared" ca="1" si="93"/>
        <v>1.8033333333333337</v>
      </c>
      <c r="J543" s="8">
        <f t="shared" ca="1" si="94"/>
        <v>4.2829166666666652</v>
      </c>
      <c r="K543" s="5">
        <f t="shared" ca="1" si="95"/>
        <v>0.22541666666666682</v>
      </c>
      <c r="L543">
        <f t="shared" ca="1" si="96"/>
        <v>74401.564444444433</v>
      </c>
      <c r="M543">
        <f t="shared" ca="1" si="97"/>
        <v>74402</v>
      </c>
      <c r="N543" t="str">
        <f t="shared" ca="1" si="98"/>
        <v>10010001010100010</v>
      </c>
      <c r="O543">
        <f t="shared" ca="1" si="99"/>
        <v>100100010</v>
      </c>
    </row>
    <row r="544" spans="4:15" x14ac:dyDescent="0.25">
      <c r="D544">
        <v>542</v>
      </c>
      <c r="E544">
        <f t="shared" si="89"/>
        <v>74.2</v>
      </c>
      <c r="F544">
        <f t="shared" ca="1" si="90"/>
        <v>63.36</v>
      </c>
      <c r="G544" s="1">
        <f t="shared" si="91"/>
        <v>4.5166666666666666</v>
      </c>
      <c r="H544" s="6">
        <f t="shared" ca="1" si="92"/>
        <v>3.6133333333333324</v>
      </c>
      <c r="I544" s="5">
        <f t="shared" ca="1" si="93"/>
        <v>0.90333333333333421</v>
      </c>
      <c r="J544" s="8">
        <f t="shared" ca="1" si="94"/>
        <v>4.2908333333333335</v>
      </c>
      <c r="K544" s="5">
        <f t="shared" ca="1" si="95"/>
        <v>0.22583333333333311</v>
      </c>
      <c r="L544">
        <f t="shared" ca="1" si="96"/>
        <v>44928.568888888876</v>
      </c>
      <c r="M544">
        <f t="shared" ca="1" si="97"/>
        <v>44929</v>
      </c>
      <c r="N544" t="str">
        <f t="shared" ca="1" si="98"/>
        <v>1010111110000001</v>
      </c>
      <c r="O544">
        <f t="shared" ca="1" si="99"/>
        <v>101011111</v>
      </c>
    </row>
    <row r="545" spans="4:15" x14ac:dyDescent="0.25">
      <c r="D545">
        <v>543</v>
      </c>
      <c r="E545">
        <f t="shared" si="89"/>
        <v>74.300000000000011</v>
      </c>
      <c r="F545">
        <f t="shared" ca="1" si="90"/>
        <v>47.150000000000006</v>
      </c>
      <c r="G545" s="1">
        <f t="shared" si="91"/>
        <v>4.5250000000000004</v>
      </c>
      <c r="H545" s="6">
        <f t="shared" ca="1" si="92"/>
        <v>2.2625000000000002</v>
      </c>
      <c r="I545" s="5">
        <f t="shared" ca="1" si="93"/>
        <v>2.2625000000000002</v>
      </c>
      <c r="J545" s="8">
        <f t="shared" ca="1" si="94"/>
        <v>4.2987500000000001</v>
      </c>
      <c r="K545" s="5">
        <f t="shared" ca="1" si="95"/>
        <v>0.22625000000000028</v>
      </c>
      <c r="L545">
        <f t="shared" ca="1" si="96"/>
        <v>30173.866666666669</v>
      </c>
      <c r="M545">
        <f t="shared" ca="1" si="97"/>
        <v>30174</v>
      </c>
      <c r="N545" t="str">
        <f t="shared" ca="1" si="98"/>
        <v>0111010111011110</v>
      </c>
      <c r="O545">
        <f t="shared" ca="1" si="99"/>
        <v>11101011</v>
      </c>
    </row>
    <row r="546" spans="4:15" x14ac:dyDescent="0.25">
      <c r="D546">
        <v>544</v>
      </c>
      <c r="E546">
        <f t="shared" si="89"/>
        <v>74.400000000000006</v>
      </c>
      <c r="F546">
        <f t="shared" ca="1" si="90"/>
        <v>68.960000000000008</v>
      </c>
      <c r="G546" s="1">
        <f t="shared" si="91"/>
        <v>4.5333333333333332</v>
      </c>
      <c r="H546" s="6">
        <f t="shared" ca="1" si="92"/>
        <v>4.08</v>
      </c>
      <c r="I546" s="5">
        <f t="shared" ca="1" si="93"/>
        <v>0.45333333333333314</v>
      </c>
      <c r="J546" s="8">
        <f t="shared" ca="1" si="94"/>
        <v>4.76</v>
      </c>
      <c r="K546" s="5">
        <f t="shared" ca="1" si="95"/>
        <v>0.22666666666666657</v>
      </c>
      <c r="L546">
        <f t="shared" ca="1" si="96"/>
        <v>50025.813333333332</v>
      </c>
      <c r="M546">
        <f t="shared" ca="1" si="97"/>
        <v>50026</v>
      </c>
      <c r="N546" t="str">
        <f t="shared" ca="1" si="98"/>
        <v>1100001101101010</v>
      </c>
      <c r="O546">
        <f t="shared" ca="1" si="99"/>
        <v>110000110</v>
      </c>
    </row>
    <row r="547" spans="4:15" x14ac:dyDescent="0.25">
      <c r="D547">
        <v>545</v>
      </c>
      <c r="E547">
        <f t="shared" si="89"/>
        <v>74.5</v>
      </c>
      <c r="F547">
        <f t="shared" ca="1" si="90"/>
        <v>58.150000000000006</v>
      </c>
      <c r="G547" s="1">
        <f t="shared" si="91"/>
        <v>4.5416666666666661</v>
      </c>
      <c r="H547" s="6">
        <f t="shared" ca="1" si="92"/>
        <v>3.1791666666666663</v>
      </c>
      <c r="I547" s="5">
        <f t="shared" ca="1" si="93"/>
        <v>1.3624999999999998</v>
      </c>
      <c r="J547" s="8">
        <f t="shared" ca="1" si="94"/>
        <v>4.3145833333333323</v>
      </c>
      <c r="K547" s="5">
        <f t="shared" ca="1" si="95"/>
        <v>0.22708333333333375</v>
      </c>
      <c r="L547">
        <f t="shared" ca="1" si="96"/>
        <v>40186.311111111107</v>
      </c>
      <c r="M547">
        <f t="shared" ca="1" si="97"/>
        <v>40186</v>
      </c>
      <c r="N547" t="str">
        <f t="shared" ca="1" si="98"/>
        <v>1001110011111010</v>
      </c>
      <c r="O547">
        <f t="shared" ca="1" si="99"/>
        <v>100111001</v>
      </c>
    </row>
    <row r="548" spans="4:15" x14ac:dyDescent="0.25">
      <c r="D548">
        <v>546</v>
      </c>
      <c r="E548">
        <f t="shared" si="89"/>
        <v>74.599999999999994</v>
      </c>
      <c r="F548">
        <f t="shared" ca="1" si="90"/>
        <v>47.3</v>
      </c>
      <c r="G548" s="1">
        <f t="shared" si="91"/>
        <v>4.5499999999999989</v>
      </c>
      <c r="H548" s="6">
        <f t="shared" ca="1" si="92"/>
        <v>2.2749999999999995</v>
      </c>
      <c r="I548" s="5">
        <f t="shared" ca="1" si="93"/>
        <v>2.2749999999999995</v>
      </c>
      <c r="J548" s="8">
        <f t="shared" ca="1" si="94"/>
        <v>4.3224999999999989</v>
      </c>
      <c r="K548" s="5">
        <f t="shared" ca="1" si="95"/>
        <v>0.22750000000000004</v>
      </c>
      <c r="L548">
        <f t="shared" ca="1" si="96"/>
        <v>30310.399999999994</v>
      </c>
      <c r="M548">
        <f t="shared" ca="1" si="97"/>
        <v>30310</v>
      </c>
      <c r="N548" t="str">
        <f t="shared" ca="1" si="98"/>
        <v>0111011001100110</v>
      </c>
      <c r="O548">
        <f t="shared" ca="1" si="99"/>
        <v>11101100</v>
      </c>
    </row>
    <row r="549" spans="4:15" x14ac:dyDescent="0.25">
      <c r="D549">
        <v>547</v>
      </c>
      <c r="E549">
        <f t="shared" si="89"/>
        <v>74.7</v>
      </c>
      <c r="F549">
        <f t="shared" ca="1" si="90"/>
        <v>96.58</v>
      </c>
      <c r="G549" s="1">
        <f t="shared" si="91"/>
        <v>4.5583333333333327</v>
      </c>
      <c r="H549" s="6">
        <f t="shared" ca="1" si="92"/>
        <v>6.381666666666665</v>
      </c>
      <c r="I549" s="5">
        <f t="shared" ca="1" si="93"/>
        <v>1.8233333333333324</v>
      </c>
      <c r="J549" s="8">
        <f t="shared" ca="1" si="94"/>
        <v>4.3304166666666655</v>
      </c>
      <c r="K549" s="5">
        <f t="shared" ca="1" si="95"/>
        <v>0.22791666666666721</v>
      </c>
      <c r="L549">
        <f t="shared" ca="1" si="96"/>
        <v>75166.151111111089</v>
      </c>
      <c r="M549">
        <f t="shared" ca="1" si="97"/>
        <v>75166</v>
      </c>
      <c r="N549" t="str">
        <f t="shared" ca="1" si="98"/>
        <v>10010010110011110</v>
      </c>
      <c r="O549">
        <f t="shared" ca="1" si="99"/>
        <v>100100101</v>
      </c>
    </row>
    <row r="550" spans="4:15" x14ac:dyDescent="0.25">
      <c r="D550">
        <v>548</v>
      </c>
      <c r="E550">
        <f t="shared" si="89"/>
        <v>74.800000000000011</v>
      </c>
      <c r="F550">
        <f t="shared" ca="1" si="90"/>
        <v>91.240000000000009</v>
      </c>
      <c r="G550" s="1">
        <f t="shared" si="91"/>
        <v>4.5666666666666673</v>
      </c>
      <c r="H550" s="6">
        <f t="shared" ca="1" si="92"/>
        <v>5.9366666666666665</v>
      </c>
      <c r="I550" s="5">
        <f t="shared" ca="1" si="93"/>
        <v>1.3699999999999992</v>
      </c>
      <c r="J550" s="8">
        <f t="shared" ca="1" si="94"/>
        <v>4.7950000000000008</v>
      </c>
      <c r="K550" s="5">
        <f t="shared" ca="1" si="95"/>
        <v>0.2283333333333335</v>
      </c>
      <c r="L550">
        <f t="shared" ca="1" si="96"/>
        <v>70305.564444444448</v>
      </c>
      <c r="M550">
        <f t="shared" ca="1" si="97"/>
        <v>70306</v>
      </c>
      <c r="N550" t="str">
        <f t="shared" ca="1" si="98"/>
        <v>10001001010100010</v>
      </c>
      <c r="O550">
        <f t="shared" ca="1" si="99"/>
        <v>100010010</v>
      </c>
    </row>
    <row r="551" spans="4:15" x14ac:dyDescent="0.25">
      <c r="D551">
        <v>549</v>
      </c>
      <c r="E551">
        <f t="shared" si="89"/>
        <v>74.900000000000006</v>
      </c>
      <c r="F551">
        <f t="shared" ca="1" si="90"/>
        <v>91.37</v>
      </c>
      <c r="G551" s="1">
        <f t="shared" si="91"/>
        <v>4.5750000000000002</v>
      </c>
      <c r="H551" s="6">
        <f t="shared" ca="1" si="92"/>
        <v>5.9474999999999998</v>
      </c>
      <c r="I551" s="5">
        <f t="shared" ca="1" si="93"/>
        <v>1.3724999999999996</v>
      </c>
      <c r="J551" s="8">
        <f t="shared" ca="1" si="94"/>
        <v>4.80375</v>
      </c>
      <c r="K551" s="5">
        <f t="shared" ca="1" si="95"/>
        <v>0.22874999999999979</v>
      </c>
      <c r="L551">
        <f t="shared" ca="1" si="96"/>
        <v>70423.893333333326</v>
      </c>
      <c r="M551">
        <f t="shared" ca="1" si="97"/>
        <v>70424</v>
      </c>
      <c r="N551" t="str">
        <f t="shared" ca="1" si="98"/>
        <v>10001001100011000</v>
      </c>
      <c r="O551">
        <f t="shared" ca="1" si="99"/>
        <v>100010011</v>
      </c>
    </row>
    <row r="552" spans="4:15" x14ac:dyDescent="0.25">
      <c r="D552">
        <v>550</v>
      </c>
      <c r="E552">
        <f t="shared" si="89"/>
        <v>75</v>
      </c>
      <c r="F552">
        <f t="shared" ca="1" si="90"/>
        <v>58.5</v>
      </c>
      <c r="G552" s="1">
        <f t="shared" si="91"/>
        <v>4.583333333333333</v>
      </c>
      <c r="H552" s="6">
        <f t="shared" ca="1" si="92"/>
        <v>3.208333333333333</v>
      </c>
      <c r="I552" s="5">
        <f t="shared" ca="1" si="93"/>
        <v>1.375</v>
      </c>
      <c r="J552" s="8">
        <f t="shared" ca="1" si="94"/>
        <v>4.8125</v>
      </c>
      <c r="K552" s="5">
        <f t="shared" ca="1" si="95"/>
        <v>0.22916666666666696</v>
      </c>
      <c r="L552">
        <f t="shared" ca="1" si="96"/>
        <v>40504.888888888883</v>
      </c>
      <c r="M552">
        <f t="shared" ca="1" si="97"/>
        <v>40505</v>
      </c>
      <c r="N552" t="str">
        <f t="shared" ca="1" si="98"/>
        <v>1001111000111001</v>
      </c>
      <c r="O552">
        <f t="shared" ca="1" si="99"/>
        <v>100111100</v>
      </c>
    </row>
    <row r="553" spans="4:15" x14ac:dyDescent="0.25">
      <c r="D553">
        <v>551</v>
      </c>
      <c r="E553">
        <f t="shared" si="89"/>
        <v>75.099999999999994</v>
      </c>
      <c r="F553">
        <f t="shared" ca="1" si="90"/>
        <v>91.63</v>
      </c>
      <c r="G553" s="1">
        <f t="shared" si="91"/>
        <v>4.5916666666666659</v>
      </c>
      <c r="H553" s="6">
        <f t="shared" ca="1" si="92"/>
        <v>5.9691666666666654</v>
      </c>
      <c r="I553" s="5">
        <f t="shared" ca="1" si="93"/>
        <v>1.3774999999999995</v>
      </c>
      <c r="J553" s="8">
        <f t="shared" ca="1" si="94"/>
        <v>4.8212499999999991</v>
      </c>
      <c r="K553" s="5">
        <f t="shared" ca="1" si="95"/>
        <v>0.22958333333333325</v>
      </c>
      <c r="L553">
        <f t="shared" ca="1" si="96"/>
        <v>70660.551111111097</v>
      </c>
      <c r="M553">
        <f t="shared" ca="1" si="97"/>
        <v>70661</v>
      </c>
      <c r="N553" t="str">
        <f t="shared" ca="1" si="98"/>
        <v>10001010000000101</v>
      </c>
      <c r="O553">
        <f t="shared" ca="1" si="99"/>
        <v>100010100</v>
      </c>
    </row>
    <row r="554" spans="4:15" x14ac:dyDescent="0.25">
      <c r="D554">
        <v>552</v>
      </c>
      <c r="E554">
        <f t="shared" si="89"/>
        <v>75.2</v>
      </c>
      <c r="F554">
        <f t="shared" ca="1" si="90"/>
        <v>58.64</v>
      </c>
      <c r="G554" s="1">
        <f t="shared" si="91"/>
        <v>4.5999999999999996</v>
      </c>
      <c r="H554" s="6">
        <f t="shared" ca="1" si="92"/>
        <v>3.2199999999999998</v>
      </c>
      <c r="I554" s="5">
        <f t="shared" ca="1" si="93"/>
        <v>1.38</v>
      </c>
      <c r="J554" s="8">
        <f t="shared" ca="1" si="94"/>
        <v>4.83</v>
      </c>
      <c r="K554" s="5">
        <f t="shared" ca="1" si="95"/>
        <v>0.23000000000000043</v>
      </c>
      <c r="L554">
        <f t="shared" ca="1" si="96"/>
        <v>40632.32</v>
      </c>
      <c r="M554">
        <f t="shared" ca="1" si="97"/>
        <v>40632</v>
      </c>
      <c r="N554" t="str">
        <f t="shared" ca="1" si="98"/>
        <v>1001111010111000</v>
      </c>
      <c r="O554">
        <f t="shared" ca="1" si="99"/>
        <v>100111101</v>
      </c>
    </row>
    <row r="555" spans="4:15" x14ac:dyDescent="0.25">
      <c r="D555">
        <v>553</v>
      </c>
      <c r="E555">
        <f t="shared" si="89"/>
        <v>75.300000000000011</v>
      </c>
      <c r="F555">
        <f t="shared" ca="1" si="90"/>
        <v>53.180000000000007</v>
      </c>
      <c r="G555" s="1">
        <f t="shared" si="91"/>
        <v>4.6083333333333334</v>
      </c>
      <c r="H555" s="6">
        <f t="shared" ca="1" si="92"/>
        <v>2.7649999999999997</v>
      </c>
      <c r="I555" s="5">
        <f t="shared" ca="1" si="93"/>
        <v>1.8433333333333337</v>
      </c>
      <c r="J555" s="8">
        <f t="shared" ca="1" si="94"/>
        <v>4.8387500000000001</v>
      </c>
      <c r="K555" s="5">
        <f t="shared" ca="1" si="95"/>
        <v>0.23041666666666671</v>
      </c>
      <c r="L555">
        <f t="shared" ca="1" si="96"/>
        <v>35662.506666666661</v>
      </c>
      <c r="M555">
        <f t="shared" ca="1" si="97"/>
        <v>35663</v>
      </c>
      <c r="N555" t="str">
        <f t="shared" ca="1" si="98"/>
        <v>1000101101001111</v>
      </c>
      <c r="O555">
        <f t="shared" ca="1" si="99"/>
        <v>100010110</v>
      </c>
    </row>
    <row r="556" spans="4:15" x14ac:dyDescent="0.25">
      <c r="D556">
        <v>554</v>
      </c>
      <c r="E556">
        <f t="shared" si="89"/>
        <v>75.400000000000006</v>
      </c>
      <c r="F556">
        <f t="shared" ca="1" si="90"/>
        <v>92.02000000000001</v>
      </c>
      <c r="G556" s="1">
        <f t="shared" si="91"/>
        <v>4.6166666666666663</v>
      </c>
      <c r="H556" s="6">
        <f t="shared" ca="1" si="92"/>
        <v>6.0016666666666669</v>
      </c>
      <c r="I556" s="5">
        <f t="shared" ca="1" si="93"/>
        <v>1.3850000000000007</v>
      </c>
      <c r="J556" s="8">
        <f t="shared" ca="1" si="94"/>
        <v>4.8475000000000001</v>
      </c>
      <c r="K556" s="5">
        <f t="shared" ca="1" si="95"/>
        <v>0.23083333333333389</v>
      </c>
      <c r="L556">
        <f t="shared" ca="1" si="96"/>
        <v>71015.537777777776</v>
      </c>
      <c r="M556">
        <f t="shared" ca="1" si="97"/>
        <v>71016</v>
      </c>
      <c r="N556" t="str">
        <f t="shared" ca="1" si="98"/>
        <v>10001010101101000</v>
      </c>
      <c r="O556">
        <f t="shared" ca="1" si="99"/>
        <v>100010101</v>
      </c>
    </row>
    <row r="557" spans="4:15" x14ac:dyDescent="0.25">
      <c r="D557">
        <v>555</v>
      </c>
      <c r="E557">
        <f t="shared" si="89"/>
        <v>75.5</v>
      </c>
      <c r="F557">
        <f t="shared" ca="1" si="90"/>
        <v>103.25</v>
      </c>
      <c r="G557" s="1">
        <f t="shared" si="91"/>
        <v>4.6249999999999991</v>
      </c>
      <c r="H557" s="6">
        <f t="shared" ca="1" si="92"/>
        <v>6.9374999999999991</v>
      </c>
      <c r="I557" s="5">
        <f t="shared" ca="1" si="93"/>
        <v>2.3125</v>
      </c>
      <c r="J557" s="8">
        <f t="shared" ca="1" si="94"/>
        <v>4.3937499999999989</v>
      </c>
      <c r="K557" s="5">
        <f t="shared" ca="1" si="95"/>
        <v>0.23125000000000018</v>
      </c>
      <c r="L557">
        <f t="shared" ca="1" si="96"/>
        <v>81237.333333333328</v>
      </c>
      <c r="M557">
        <f t="shared" ca="1" si="97"/>
        <v>81237</v>
      </c>
      <c r="N557" t="str">
        <f t="shared" ca="1" si="98"/>
        <v>10011110101010101</v>
      </c>
      <c r="O557">
        <f t="shared" ca="1" si="99"/>
        <v>100111101</v>
      </c>
    </row>
    <row r="558" spans="4:15" x14ac:dyDescent="0.25">
      <c r="D558">
        <v>556</v>
      </c>
      <c r="E558">
        <f t="shared" si="89"/>
        <v>75.599999999999994</v>
      </c>
      <c r="F558">
        <f t="shared" ca="1" si="90"/>
        <v>97.84</v>
      </c>
      <c r="G558" s="1">
        <f t="shared" si="91"/>
        <v>4.633333333333332</v>
      </c>
      <c r="H558" s="6">
        <f t="shared" ca="1" si="92"/>
        <v>6.4866666666666655</v>
      </c>
      <c r="I558" s="5">
        <f t="shared" ca="1" si="93"/>
        <v>1.8533333333333335</v>
      </c>
      <c r="J558" s="8">
        <f t="shared" ca="1" si="94"/>
        <v>4.4016666666666655</v>
      </c>
      <c r="K558" s="5">
        <f t="shared" ca="1" si="95"/>
        <v>0.23166666666666647</v>
      </c>
      <c r="L558">
        <f t="shared" ca="1" si="96"/>
        <v>76313.031111111093</v>
      </c>
      <c r="M558">
        <f t="shared" ca="1" si="97"/>
        <v>76313</v>
      </c>
      <c r="N558" t="str">
        <f t="shared" ca="1" si="98"/>
        <v>10010101000011001</v>
      </c>
      <c r="O558">
        <f t="shared" ca="1" si="99"/>
        <v>100101010</v>
      </c>
    </row>
    <row r="559" spans="4:15" x14ac:dyDescent="0.25">
      <c r="D559">
        <v>557</v>
      </c>
      <c r="E559">
        <f t="shared" si="89"/>
        <v>75.7</v>
      </c>
      <c r="F559">
        <f t="shared" ca="1" si="90"/>
        <v>92.41</v>
      </c>
      <c r="G559" s="1">
        <f t="shared" si="91"/>
        <v>4.6416666666666666</v>
      </c>
      <c r="H559" s="6">
        <f t="shared" ca="1" si="92"/>
        <v>6.0341666666666658</v>
      </c>
      <c r="I559" s="5">
        <f t="shared" ca="1" si="93"/>
        <v>1.3924999999999992</v>
      </c>
      <c r="J559" s="8">
        <f t="shared" ca="1" si="94"/>
        <v>4.8737500000000002</v>
      </c>
      <c r="K559" s="5">
        <f t="shared" ca="1" si="95"/>
        <v>0.23208333333333364</v>
      </c>
      <c r="L559">
        <f t="shared" ca="1" si="96"/>
        <v>71370.52444444444</v>
      </c>
      <c r="M559">
        <f t="shared" ca="1" si="97"/>
        <v>71371</v>
      </c>
      <c r="N559" t="str">
        <f t="shared" ca="1" si="98"/>
        <v>10001011011001011</v>
      </c>
      <c r="O559">
        <f t="shared" ca="1" si="99"/>
        <v>100010110</v>
      </c>
    </row>
    <row r="560" spans="4:15" x14ac:dyDescent="0.25">
      <c r="D560">
        <v>558</v>
      </c>
      <c r="E560">
        <f t="shared" si="89"/>
        <v>75.800000000000011</v>
      </c>
      <c r="F560">
        <f t="shared" ca="1" si="90"/>
        <v>53.480000000000011</v>
      </c>
      <c r="G560" s="1">
        <f t="shared" si="91"/>
        <v>4.6500000000000004</v>
      </c>
      <c r="H560" s="6">
        <f t="shared" ca="1" si="92"/>
        <v>2.79</v>
      </c>
      <c r="I560" s="5">
        <f t="shared" ca="1" si="93"/>
        <v>1.8600000000000003</v>
      </c>
      <c r="J560" s="8">
        <f t="shared" ca="1" si="94"/>
        <v>4.4175000000000004</v>
      </c>
      <c r="K560" s="5">
        <f t="shared" ca="1" si="95"/>
        <v>0.23249999999999993</v>
      </c>
      <c r="L560">
        <f t="shared" ca="1" si="96"/>
        <v>35935.573333333334</v>
      </c>
      <c r="M560">
        <f t="shared" ca="1" si="97"/>
        <v>35936</v>
      </c>
      <c r="N560" t="str">
        <f t="shared" ca="1" si="98"/>
        <v>1000110001100000</v>
      </c>
      <c r="O560">
        <f t="shared" ca="1" si="99"/>
        <v>100011000</v>
      </c>
    </row>
    <row r="561" spans="4:15" x14ac:dyDescent="0.25">
      <c r="D561">
        <v>559</v>
      </c>
      <c r="E561">
        <f t="shared" si="89"/>
        <v>75.900000000000006</v>
      </c>
      <c r="F561">
        <f t="shared" ca="1" si="90"/>
        <v>98.26</v>
      </c>
      <c r="G561" s="1">
        <f t="shared" si="91"/>
        <v>4.6583333333333332</v>
      </c>
      <c r="H561" s="6">
        <f t="shared" ca="1" si="92"/>
        <v>6.5216666666666656</v>
      </c>
      <c r="I561" s="5">
        <f t="shared" ca="1" si="93"/>
        <v>1.8633333333333324</v>
      </c>
      <c r="J561" s="8">
        <f t="shared" ca="1" si="94"/>
        <v>4.8912500000000003</v>
      </c>
      <c r="K561" s="5">
        <f t="shared" ca="1" si="95"/>
        <v>0.2329166666666671</v>
      </c>
      <c r="L561">
        <f t="shared" ca="1" si="96"/>
        <v>76695.324444444428</v>
      </c>
      <c r="M561">
        <f t="shared" ca="1" si="97"/>
        <v>76695</v>
      </c>
      <c r="N561" t="str">
        <f t="shared" ca="1" si="98"/>
        <v>10010101110010111</v>
      </c>
      <c r="O561">
        <f t="shared" ca="1" si="99"/>
        <v>100101011</v>
      </c>
    </row>
    <row r="562" spans="4:15" x14ac:dyDescent="0.25">
      <c r="D562">
        <v>560</v>
      </c>
      <c r="E562">
        <f t="shared" si="89"/>
        <v>76</v>
      </c>
      <c r="F562">
        <f t="shared" ca="1" si="90"/>
        <v>76</v>
      </c>
      <c r="G562" s="1">
        <f t="shared" si="91"/>
        <v>4.6666666666666661</v>
      </c>
      <c r="H562" s="6">
        <f t="shared" ca="1" si="92"/>
        <v>4.6666666666666661</v>
      </c>
      <c r="I562" s="5">
        <f t="shared" ca="1" si="93"/>
        <v>0</v>
      </c>
      <c r="J562" s="8">
        <f t="shared" ca="1" si="94"/>
        <v>4.4333333333333327</v>
      </c>
      <c r="K562" s="5">
        <f t="shared" ca="1" si="95"/>
        <v>0.23333333333333339</v>
      </c>
      <c r="L562">
        <f t="shared" ca="1" si="96"/>
        <v>56433.777777777774</v>
      </c>
      <c r="M562">
        <f t="shared" ca="1" si="97"/>
        <v>56434</v>
      </c>
      <c r="N562" t="str">
        <f t="shared" ca="1" si="98"/>
        <v>1101110001110010</v>
      </c>
      <c r="O562">
        <f t="shared" ca="1" si="99"/>
        <v>110111000</v>
      </c>
    </row>
    <row r="563" spans="4:15" x14ac:dyDescent="0.25">
      <c r="D563">
        <v>561</v>
      </c>
      <c r="E563">
        <f t="shared" si="89"/>
        <v>76.099999999999994</v>
      </c>
      <c r="F563">
        <f t="shared" ca="1" si="90"/>
        <v>59.269999999999996</v>
      </c>
      <c r="G563" s="1">
        <f t="shared" si="91"/>
        <v>4.6749999999999989</v>
      </c>
      <c r="H563" s="6">
        <f t="shared" ca="1" si="92"/>
        <v>3.2724999999999991</v>
      </c>
      <c r="I563" s="5">
        <f t="shared" ca="1" si="93"/>
        <v>1.4024999999999999</v>
      </c>
      <c r="J563" s="8">
        <f t="shared" ca="1" si="94"/>
        <v>4.4412499999999984</v>
      </c>
      <c r="K563" s="5">
        <f t="shared" ca="1" si="95"/>
        <v>0.23375000000000057</v>
      </c>
      <c r="L563">
        <f t="shared" ca="1" si="96"/>
        <v>41205.759999999987</v>
      </c>
      <c r="M563">
        <f t="shared" ca="1" si="97"/>
        <v>41206</v>
      </c>
      <c r="N563" t="str">
        <f t="shared" ca="1" si="98"/>
        <v>1010000011110110</v>
      </c>
      <c r="O563">
        <f t="shared" ca="1" si="99"/>
        <v>101000001</v>
      </c>
    </row>
    <row r="564" spans="4:15" x14ac:dyDescent="0.25">
      <c r="D564">
        <v>562</v>
      </c>
      <c r="E564">
        <f t="shared" si="89"/>
        <v>76.2</v>
      </c>
      <c r="F564">
        <f t="shared" ca="1" si="90"/>
        <v>81.820000000000007</v>
      </c>
      <c r="G564" s="1">
        <f t="shared" si="91"/>
        <v>4.6833333333333327</v>
      </c>
      <c r="H564" s="6">
        <f t="shared" ca="1" si="92"/>
        <v>5.1516666666666664</v>
      </c>
      <c r="I564" s="5">
        <f t="shared" ca="1" si="93"/>
        <v>0.46833333333333371</v>
      </c>
      <c r="J564" s="8">
        <f t="shared" ca="1" si="94"/>
        <v>4.4491666666666658</v>
      </c>
      <c r="K564" s="5">
        <f t="shared" ca="1" si="95"/>
        <v>0.23416666666666686</v>
      </c>
      <c r="L564">
        <f t="shared" ca="1" si="96"/>
        <v>61731.271111111106</v>
      </c>
      <c r="M564">
        <f t="shared" ca="1" si="97"/>
        <v>61731</v>
      </c>
      <c r="N564" t="str">
        <f t="shared" ca="1" si="98"/>
        <v>1111000100100011</v>
      </c>
      <c r="O564">
        <f t="shared" ca="1" si="99"/>
        <v>111100010</v>
      </c>
    </row>
    <row r="565" spans="4:15" x14ac:dyDescent="0.25">
      <c r="D565">
        <v>563</v>
      </c>
      <c r="E565">
        <f t="shared" si="89"/>
        <v>76.300000000000011</v>
      </c>
      <c r="F565">
        <f t="shared" ca="1" si="90"/>
        <v>104.45000000000002</v>
      </c>
      <c r="G565" s="1">
        <f t="shared" si="91"/>
        <v>4.6916666666666673</v>
      </c>
      <c r="H565" s="6">
        <f t="shared" ca="1" si="92"/>
        <v>7.0375000000000005</v>
      </c>
      <c r="I565" s="5">
        <f t="shared" ca="1" si="93"/>
        <v>2.3458333333333332</v>
      </c>
      <c r="J565" s="8">
        <f t="shared" ca="1" si="94"/>
        <v>4.9262500000000005</v>
      </c>
      <c r="K565" s="5">
        <f t="shared" ca="1" si="95"/>
        <v>0.23458333333333314</v>
      </c>
      <c r="L565">
        <f t="shared" ca="1" si="96"/>
        <v>82329.600000000006</v>
      </c>
      <c r="M565">
        <f t="shared" ca="1" si="97"/>
        <v>82330</v>
      </c>
      <c r="N565" t="str">
        <f t="shared" ca="1" si="98"/>
        <v>10100000110011010</v>
      </c>
      <c r="O565">
        <f t="shared" ca="1" si="99"/>
        <v>101000001</v>
      </c>
    </row>
    <row r="566" spans="4:15" x14ac:dyDescent="0.25">
      <c r="D566">
        <v>564</v>
      </c>
      <c r="E566">
        <f t="shared" si="89"/>
        <v>76.400000000000006</v>
      </c>
      <c r="F566">
        <f t="shared" ca="1" si="90"/>
        <v>93.320000000000007</v>
      </c>
      <c r="G566" s="1">
        <f t="shared" si="91"/>
        <v>4.7</v>
      </c>
      <c r="H566" s="6">
        <f t="shared" ca="1" si="92"/>
        <v>6.11</v>
      </c>
      <c r="I566" s="5">
        <f t="shared" ca="1" si="93"/>
        <v>1.4100000000000001</v>
      </c>
      <c r="J566" s="8">
        <f t="shared" ca="1" si="94"/>
        <v>4.4649999999999999</v>
      </c>
      <c r="K566" s="5">
        <f t="shared" ca="1" si="95"/>
        <v>0.23500000000000032</v>
      </c>
      <c r="L566">
        <f t="shared" ca="1" si="96"/>
        <v>72198.826666666675</v>
      </c>
      <c r="M566">
        <f t="shared" ca="1" si="97"/>
        <v>72199</v>
      </c>
      <c r="N566" t="str">
        <f t="shared" ca="1" si="98"/>
        <v>10001101000000111</v>
      </c>
      <c r="O566">
        <f t="shared" ca="1" si="99"/>
        <v>100011010</v>
      </c>
    </row>
    <row r="567" spans="4:15" x14ac:dyDescent="0.25">
      <c r="D567">
        <v>565</v>
      </c>
      <c r="E567">
        <f t="shared" si="89"/>
        <v>76.5</v>
      </c>
      <c r="F567">
        <f t="shared" ca="1" si="90"/>
        <v>59.55</v>
      </c>
      <c r="G567" s="1">
        <f t="shared" si="91"/>
        <v>4.708333333333333</v>
      </c>
      <c r="H567" s="6">
        <f t="shared" ca="1" si="92"/>
        <v>3.2958333333333325</v>
      </c>
      <c r="I567" s="5">
        <f t="shared" ca="1" si="93"/>
        <v>1.4125000000000005</v>
      </c>
      <c r="J567" s="8">
        <f t="shared" ca="1" si="94"/>
        <v>4.4729166666666664</v>
      </c>
      <c r="K567" s="5">
        <f t="shared" ca="1" si="95"/>
        <v>0.23541666666666661</v>
      </c>
      <c r="L567">
        <f t="shared" ca="1" si="96"/>
        <v>41460.622222222213</v>
      </c>
      <c r="M567">
        <f t="shared" ca="1" si="97"/>
        <v>41461</v>
      </c>
      <c r="N567" t="str">
        <f t="shared" ca="1" si="98"/>
        <v>1010000111110101</v>
      </c>
      <c r="O567">
        <f t="shared" ca="1" si="99"/>
        <v>101000011</v>
      </c>
    </row>
    <row r="568" spans="4:15" x14ac:dyDescent="0.25">
      <c r="D568">
        <v>566</v>
      </c>
      <c r="E568">
        <f t="shared" si="89"/>
        <v>76.599999999999994</v>
      </c>
      <c r="F568">
        <f t="shared" ca="1" si="90"/>
        <v>82.259999999999991</v>
      </c>
      <c r="G568" s="1">
        <f t="shared" si="91"/>
        <v>4.7166666666666659</v>
      </c>
      <c r="H568" s="6">
        <f t="shared" ca="1" si="92"/>
        <v>5.1883333333333317</v>
      </c>
      <c r="I568" s="5">
        <f t="shared" ca="1" si="93"/>
        <v>0.47166666666666579</v>
      </c>
      <c r="J568" s="8">
        <f t="shared" ca="1" si="94"/>
        <v>4.9524999999999997</v>
      </c>
      <c r="K568" s="5">
        <f t="shared" ca="1" si="95"/>
        <v>0.23583333333333378</v>
      </c>
      <c r="L568">
        <f t="shared" ca="1" si="96"/>
        <v>62131.768888888873</v>
      </c>
      <c r="M568">
        <f t="shared" ca="1" si="97"/>
        <v>62132</v>
      </c>
      <c r="N568" t="str">
        <f t="shared" ca="1" si="98"/>
        <v>1111001010110100</v>
      </c>
      <c r="O568">
        <f t="shared" ca="1" si="99"/>
        <v>111100101</v>
      </c>
    </row>
    <row r="569" spans="4:15" x14ac:dyDescent="0.25">
      <c r="D569">
        <v>567</v>
      </c>
      <c r="E569">
        <f t="shared" si="89"/>
        <v>76.7</v>
      </c>
      <c r="F569">
        <f t="shared" ca="1" si="90"/>
        <v>71.03</v>
      </c>
      <c r="G569" s="1">
        <f t="shared" si="91"/>
        <v>4.7249999999999996</v>
      </c>
      <c r="H569" s="6">
        <f t="shared" ca="1" si="92"/>
        <v>4.2524999999999995</v>
      </c>
      <c r="I569" s="5">
        <f t="shared" ca="1" si="93"/>
        <v>0.47250000000000014</v>
      </c>
      <c r="J569" s="8">
        <f t="shared" ca="1" si="94"/>
        <v>4.9612499999999997</v>
      </c>
      <c r="K569" s="5">
        <f t="shared" ca="1" si="95"/>
        <v>0.23625000000000007</v>
      </c>
      <c r="L569">
        <f t="shared" ca="1" si="96"/>
        <v>51909.973333333328</v>
      </c>
      <c r="M569">
        <f t="shared" ca="1" si="97"/>
        <v>51910</v>
      </c>
      <c r="N569" t="str">
        <f t="shared" ca="1" si="98"/>
        <v>1100101011000110</v>
      </c>
      <c r="O569">
        <f t="shared" ca="1" si="99"/>
        <v>110010101</v>
      </c>
    </row>
    <row r="570" spans="4:15" x14ac:dyDescent="0.25">
      <c r="D570">
        <v>568</v>
      </c>
      <c r="E570">
        <f t="shared" si="89"/>
        <v>76.800000000000011</v>
      </c>
      <c r="F570">
        <f t="shared" ca="1" si="90"/>
        <v>93.84</v>
      </c>
      <c r="G570" s="1">
        <f t="shared" si="91"/>
        <v>4.7333333333333334</v>
      </c>
      <c r="H570" s="6">
        <f t="shared" ca="1" si="92"/>
        <v>6.1533333333333333</v>
      </c>
      <c r="I570" s="5">
        <f t="shared" ca="1" si="93"/>
        <v>1.42</v>
      </c>
      <c r="J570" s="8">
        <f t="shared" ca="1" si="94"/>
        <v>4.4966666666666661</v>
      </c>
      <c r="K570" s="5">
        <f t="shared" ca="1" si="95"/>
        <v>0.23666666666666725</v>
      </c>
      <c r="L570">
        <f t="shared" ca="1" si="96"/>
        <v>72672.142222222217</v>
      </c>
      <c r="M570">
        <f t="shared" ca="1" si="97"/>
        <v>72672</v>
      </c>
      <c r="N570" t="str">
        <f t="shared" ca="1" si="98"/>
        <v>10001101111100000</v>
      </c>
      <c r="O570">
        <f t="shared" ca="1" si="99"/>
        <v>100011011</v>
      </c>
    </row>
    <row r="571" spans="4:15" x14ac:dyDescent="0.25">
      <c r="D571">
        <v>569</v>
      </c>
      <c r="E571">
        <f t="shared" si="89"/>
        <v>76.900000000000006</v>
      </c>
      <c r="F571">
        <f t="shared" ca="1" si="90"/>
        <v>71.210000000000008</v>
      </c>
      <c r="G571" s="1">
        <f t="shared" si="91"/>
        <v>4.7416666666666663</v>
      </c>
      <c r="H571" s="6">
        <f t="shared" ca="1" si="92"/>
        <v>4.2675000000000001</v>
      </c>
      <c r="I571" s="5">
        <f t="shared" ca="1" si="93"/>
        <v>0.47416666666666618</v>
      </c>
      <c r="J571" s="8">
        <f t="shared" ca="1" si="94"/>
        <v>4.9787499999999998</v>
      </c>
      <c r="K571" s="5">
        <f t="shared" ca="1" si="95"/>
        <v>0.23708333333333353</v>
      </c>
      <c r="L571">
        <f t="shared" ca="1" si="96"/>
        <v>52073.813333333332</v>
      </c>
      <c r="M571">
        <f t="shared" ca="1" si="97"/>
        <v>52074</v>
      </c>
      <c r="N571" t="str">
        <f t="shared" ca="1" si="98"/>
        <v>1100101101101010</v>
      </c>
      <c r="O571">
        <f t="shared" ca="1" si="99"/>
        <v>110010110</v>
      </c>
    </row>
    <row r="572" spans="4:15" x14ac:dyDescent="0.25">
      <c r="D572">
        <v>570</v>
      </c>
      <c r="E572">
        <f t="shared" si="89"/>
        <v>77</v>
      </c>
      <c r="F572">
        <f t="shared" ca="1" si="90"/>
        <v>65.599999999999994</v>
      </c>
      <c r="G572" s="1">
        <f t="shared" si="91"/>
        <v>4.7499999999999991</v>
      </c>
      <c r="H572" s="6">
        <f t="shared" ca="1" si="92"/>
        <v>3.7999999999999989</v>
      </c>
      <c r="I572" s="5">
        <f t="shared" ca="1" si="93"/>
        <v>0.95000000000000018</v>
      </c>
      <c r="J572" s="8">
        <f t="shared" ca="1" si="94"/>
        <v>4.9874999999999989</v>
      </c>
      <c r="K572" s="5">
        <f t="shared" ca="1" si="95"/>
        <v>0.23749999999999982</v>
      </c>
      <c r="L572">
        <f t="shared" ca="1" si="96"/>
        <v>46967.466666666653</v>
      </c>
      <c r="M572">
        <f t="shared" ca="1" si="97"/>
        <v>46967</v>
      </c>
      <c r="N572" t="str">
        <f t="shared" ca="1" si="98"/>
        <v>1011011101110111</v>
      </c>
      <c r="O572">
        <f t="shared" ca="1" si="99"/>
        <v>101101110</v>
      </c>
    </row>
    <row r="573" spans="4:15" x14ac:dyDescent="0.25">
      <c r="D573">
        <v>571</v>
      </c>
      <c r="E573">
        <f t="shared" si="89"/>
        <v>77.099999999999994</v>
      </c>
      <c r="F573">
        <f t="shared" ca="1" si="90"/>
        <v>54.259999999999991</v>
      </c>
      <c r="G573" s="1">
        <f t="shared" si="91"/>
        <v>4.758333333333332</v>
      </c>
      <c r="H573" s="6">
        <f t="shared" ca="1" si="92"/>
        <v>2.8549999999999986</v>
      </c>
      <c r="I573" s="5">
        <f t="shared" ca="1" si="93"/>
        <v>1.9033333333333333</v>
      </c>
      <c r="J573" s="8">
        <f t="shared" ca="1" si="94"/>
        <v>4.520416666666665</v>
      </c>
      <c r="K573" s="5">
        <f t="shared" ca="1" si="95"/>
        <v>0.237916666666667</v>
      </c>
      <c r="L573">
        <f t="shared" ca="1" si="96"/>
        <v>36645.546666666654</v>
      </c>
      <c r="M573">
        <f t="shared" ca="1" si="97"/>
        <v>36646</v>
      </c>
      <c r="N573" t="str">
        <f t="shared" ca="1" si="98"/>
        <v>1000111100100110</v>
      </c>
      <c r="O573">
        <f t="shared" ca="1" si="99"/>
        <v>100011110</v>
      </c>
    </row>
    <row r="574" spans="4:15" x14ac:dyDescent="0.25">
      <c r="D574">
        <v>572</v>
      </c>
      <c r="E574">
        <f t="shared" si="89"/>
        <v>77.2</v>
      </c>
      <c r="F574">
        <f t="shared" ca="1" si="90"/>
        <v>60.040000000000006</v>
      </c>
      <c r="G574" s="1">
        <f t="shared" si="91"/>
        <v>4.7666666666666666</v>
      </c>
      <c r="H574" s="6">
        <f t="shared" ca="1" si="92"/>
        <v>3.3366666666666669</v>
      </c>
      <c r="I574" s="5">
        <f t="shared" ca="1" si="93"/>
        <v>1.4299999999999997</v>
      </c>
      <c r="J574" s="8">
        <f t="shared" ca="1" si="94"/>
        <v>5.0049999999999999</v>
      </c>
      <c r="K574" s="5">
        <f t="shared" ca="1" si="95"/>
        <v>0.23833333333333329</v>
      </c>
      <c r="L574">
        <f t="shared" ca="1" si="96"/>
        <v>41906.631111111114</v>
      </c>
      <c r="M574">
        <f t="shared" ca="1" si="97"/>
        <v>41907</v>
      </c>
      <c r="N574" t="str">
        <f t="shared" ca="1" si="98"/>
        <v>1010001110110011</v>
      </c>
      <c r="O574">
        <f t="shared" ca="1" si="99"/>
        <v>101000111</v>
      </c>
    </row>
    <row r="575" spans="4:15" x14ac:dyDescent="0.25">
      <c r="D575">
        <v>573</v>
      </c>
      <c r="E575">
        <f t="shared" si="89"/>
        <v>77.300000000000011</v>
      </c>
      <c r="F575">
        <f t="shared" ca="1" si="90"/>
        <v>60.110000000000014</v>
      </c>
      <c r="G575" s="1">
        <f t="shared" si="91"/>
        <v>4.7750000000000004</v>
      </c>
      <c r="H575" s="6">
        <f t="shared" ca="1" si="92"/>
        <v>3.3425000000000002</v>
      </c>
      <c r="I575" s="5">
        <f t="shared" ca="1" si="93"/>
        <v>1.4325000000000001</v>
      </c>
      <c r="J575" s="8">
        <f t="shared" ca="1" si="94"/>
        <v>4.5362499999999999</v>
      </c>
      <c r="K575" s="5">
        <f t="shared" ca="1" si="95"/>
        <v>0.23875000000000046</v>
      </c>
      <c r="L575">
        <f t="shared" ca="1" si="96"/>
        <v>41970.346666666672</v>
      </c>
      <c r="M575">
        <f t="shared" ca="1" si="97"/>
        <v>41970</v>
      </c>
      <c r="N575" t="str">
        <f t="shared" ca="1" si="98"/>
        <v>1010001111110010</v>
      </c>
      <c r="O575">
        <f t="shared" ca="1" si="99"/>
        <v>101000111</v>
      </c>
    </row>
    <row r="576" spans="4:15" x14ac:dyDescent="0.25">
      <c r="D576">
        <v>574</v>
      </c>
      <c r="E576">
        <f t="shared" si="89"/>
        <v>77.400000000000006</v>
      </c>
      <c r="F576">
        <f t="shared" ca="1" si="90"/>
        <v>94.62</v>
      </c>
      <c r="G576" s="1">
        <f t="shared" si="91"/>
        <v>4.7833333333333332</v>
      </c>
      <c r="H576" s="6">
        <f t="shared" ca="1" si="92"/>
        <v>6.2183333333333328</v>
      </c>
      <c r="I576" s="5">
        <f t="shared" ca="1" si="93"/>
        <v>1.4349999999999996</v>
      </c>
      <c r="J576" s="8">
        <f t="shared" ca="1" si="94"/>
        <v>4.5441666666666665</v>
      </c>
      <c r="K576" s="5">
        <f t="shared" ca="1" si="95"/>
        <v>0.23916666666666675</v>
      </c>
      <c r="L576">
        <f t="shared" ca="1" si="96"/>
        <v>73382.115555555545</v>
      </c>
      <c r="M576">
        <f t="shared" ca="1" si="97"/>
        <v>73382</v>
      </c>
      <c r="N576" t="str">
        <f t="shared" ca="1" si="98"/>
        <v>10001111010100110</v>
      </c>
      <c r="O576">
        <f t="shared" ca="1" si="99"/>
        <v>100011110</v>
      </c>
    </row>
    <row r="577" spans="4:15" x14ac:dyDescent="0.25">
      <c r="D577">
        <v>575</v>
      </c>
      <c r="E577">
        <f t="shared" si="89"/>
        <v>77.5</v>
      </c>
      <c r="F577">
        <f t="shared" ca="1" si="90"/>
        <v>48.75</v>
      </c>
      <c r="G577" s="1">
        <f t="shared" si="91"/>
        <v>4.7916666666666661</v>
      </c>
      <c r="H577" s="6">
        <f t="shared" ca="1" si="92"/>
        <v>2.395833333333333</v>
      </c>
      <c r="I577" s="5">
        <f t="shared" ca="1" si="93"/>
        <v>2.395833333333333</v>
      </c>
      <c r="J577" s="8">
        <f t="shared" ca="1" si="94"/>
        <v>5.03125</v>
      </c>
      <c r="K577" s="5">
        <f t="shared" ca="1" si="95"/>
        <v>0.23958333333333393</v>
      </c>
      <c r="L577">
        <f t="shared" ca="1" si="96"/>
        <v>31630.222222222219</v>
      </c>
      <c r="M577">
        <f t="shared" ca="1" si="97"/>
        <v>31630</v>
      </c>
      <c r="N577" t="str">
        <f t="shared" ca="1" si="98"/>
        <v>0111101110001110</v>
      </c>
      <c r="O577">
        <f t="shared" ca="1" si="99"/>
        <v>11110111</v>
      </c>
    </row>
    <row r="578" spans="4:15" x14ac:dyDescent="0.25">
      <c r="D578">
        <v>576</v>
      </c>
      <c r="E578">
        <f t="shared" si="89"/>
        <v>77.599999999999994</v>
      </c>
      <c r="F578">
        <f t="shared" ca="1" si="90"/>
        <v>48.8</v>
      </c>
      <c r="G578" s="1">
        <f t="shared" si="91"/>
        <v>4.7999999999999989</v>
      </c>
      <c r="H578" s="6">
        <f t="shared" ca="1" si="92"/>
        <v>2.3999999999999995</v>
      </c>
      <c r="I578" s="5">
        <f t="shared" ca="1" si="93"/>
        <v>2.3999999999999995</v>
      </c>
      <c r="J578" s="8">
        <f t="shared" ca="1" si="94"/>
        <v>4.5599999999999987</v>
      </c>
      <c r="K578" s="5">
        <f t="shared" ca="1" si="95"/>
        <v>0.24000000000000021</v>
      </c>
      <c r="L578">
        <f t="shared" ca="1" si="96"/>
        <v>31675.733333333326</v>
      </c>
      <c r="M578">
        <f t="shared" ca="1" si="97"/>
        <v>31676</v>
      </c>
      <c r="N578" t="str">
        <f t="shared" ca="1" si="98"/>
        <v>0111101110111100</v>
      </c>
      <c r="O578">
        <f t="shared" ca="1" si="99"/>
        <v>11110111</v>
      </c>
    </row>
    <row r="579" spans="4:15" x14ac:dyDescent="0.25">
      <c r="D579">
        <v>577</v>
      </c>
      <c r="E579">
        <f t="shared" ref="E579:E602" si="100">0.1*D579+20</f>
        <v>77.7</v>
      </c>
      <c r="F579">
        <f t="shared" ref="F579:F602" ca="1" si="101">0.1*D579+20 + (RANDBETWEEN(-5,5)/100)*D579</f>
        <v>60.39</v>
      </c>
      <c r="G579" s="1">
        <f t="shared" ref="G579:G602" si="102">1/12*E579-5/3</f>
        <v>4.8083333333333327</v>
      </c>
      <c r="H579" s="6">
        <f t="shared" ref="H579:H602" ca="1" si="103">1/12*F579-5/3</f>
        <v>3.3658333333333328</v>
      </c>
      <c r="I579" s="5">
        <f t="shared" ref="I579:I602" ca="1" si="104">ABS(G579-H579)</f>
        <v>1.4424999999999999</v>
      </c>
      <c r="J579" s="8">
        <f t="shared" ref="J579:J602" ca="1" si="105" xml:space="preserve"> G579 * (1 + $B$1 * IF(RANDBETWEEN(0,1)=0,-1,1))</f>
        <v>5.0487499999999992</v>
      </c>
      <c r="K579" s="5">
        <f t="shared" ref="K579:K602" ca="1" si="106">ABS(G579-J579)</f>
        <v>0.2404166666666665</v>
      </c>
      <c r="L579">
        <f t="shared" ref="L579:L602" ca="1" si="107">(H579-$B$2)/($B$3-$B$2)*(2^$B$4)</f>
        <v>42225.208888888883</v>
      </c>
      <c r="M579">
        <f t="shared" ref="M579:M602" ca="1" si="108">ROUND(L579,0)</f>
        <v>42225</v>
      </c>
      <c r="N579" t="str">
        <f t="shared" ref="N579:N602" ca="1" si="109">_xlfn.BASE(M579,2,$B$4)</f>
        <v>1010010011110001</v>
      </c>
      <c r="O579">
        <f t="shared" ref="O579:O602" ca="1" si="110">VALUE(LEFT(N579,9))</f>
        <v>101001001</v>
      </c>
    </row>
    <row r="580" spans="4:15" x14ac:dyDescent="0.25">
      <c r="D580">
        <v>578</v>
      </c>
      <c r="E580">
        <f t="shared" si="100"/>
        <v>77.800000000000011</v>
      </c>
      <c r="F580">
        <f t="shared" ca="1" si="101"/>
        <v>100.92000000000002</v>
      </c>
      <c r="G580" s="1">
        <f t="shared" si="102"/>
        <v>4.8166666666666673</v>
      </c>
      <c r="H580" s="6">
        <f t="shared" ca="1" si="103"/>
        <v>6.7433333333333332</v>
      </c>
      <c r="I580" s="5">
        <f t="shared" ca="1" si="104"/>
        <v>1.9266666666666659</v>
      </c>
      <c r="J580" s="8">
        <f t="shared" ca="1" si="105"/>
        <v>5.057500000000001</v>
      </c>
      <c r="K580" s="5">
        <f t="shared" ca="1" si="106"/>
        <v>0.24083333333333368</v>
      </c>
      <c r="L580">
        <f t="shared" ca="1" si="107"/>
        <v>79116.515555555554</v>
      </c>
      <c r="M580">
        <f t="shared" ca="1" si="108"/>
        <v>79117</v>
      </c>
      <c r="N580" t="str">
        <f t="shared" ca="1" si="109"/>
        <v>10011010100001101</v>
      </c>
      <c r="O580">
        <f t="shared" ca="1" si="110"/>
        <v>100110101</v>
      </c>
    </row>
    <row r="581" spans="4:15" x14ac:dyDescent="0.25">
      <c r="D581">
        <v>579</v>
      </c>
      <c r="E581">
        <f t="shared" si="100"/>
        <v>77.900000000000006</v>
      </c>
      <c r="F581">
        <f t="shared" ca="1" si="101"/>
        <v>101.06</v>
      </c>
      <c r="G581" s="1">
        <f t="shared" si="102"/>
        <v>4.8250000000000002</v>
      </c>
      <c r="H581" s="6">
        <f t="shared" ca="1" si="103"/>
        <v>6.7549999999999999</v>
      </c>
      <c r="I581" s="5">
        <f t="shared" ca="1" si="104"/>
        <v>1.9299999999999997</v>
      </c>
      <c r="J581" s="8">
        <f t="shared" ca="1" si="105"/>
        <v>4.5837500000000002</v>
      </c>
      <c r="K581" s="5">
        <f t="shared" ca="1" si="106"/>
        <v>0.24124999999999996</v>
      </c>
      <c r="L581">
        <f t="shared" ca="1" si="107"/>
        <v>79243.94666666667</v>
      </c>
      <c r="M581">
        <f t="shared" ca="1" si="108"/>
        <v>79244</v>
      </c>
      <c r="N581" t="str">
        <f t="shared" ca="1" si="109"/>
        <v>10011010110001100</v>
      </c>
      <c r="O581">
        <f t="shared" ca="1" si="110"/>
        <v>100110101</v>
      </c>
    </row>
    <row r="582" spans="4:15" x14ac:dyDescent="0.25">
      <c r="D582">
        <v>580</v>
      </c>
      <c r="E582">
        <f t="shared" si="100"/>
        <v>78</v>
      </c>
      <c r="F582">
        <f t="shared" ca="1" si="101"/>
        <v>49</v>
      </c>
      <c r="G582" s="1">
        <f t="shared" si="102"/>
        <v>4.833333333333333</v>
      </c>
      <c r="H582" s="6">
        <f t="shared" ca="1" si="103"/>
        <v>2.4166666666666661</v>
      </c>
      <c r="I582" s="5">
        <f t="shared" ca="1" si="104"/>
        <v>2.416666666666667</v>
      </c>
      <c r="J582" s="8">
        <f t="shared" ca="1" si="105"/>
        <v>4.5916666666666659</v>
      </c>
      <c r="K582" s="5">
        <f t="shared" ca="1" si="106"/>
        <v>0.24166666666666714</v>
      </c>
      <c r="L582">
        <f t="shared" ca="1" si="107"/>
        <v>31857.77777777777</v>
      </c>
      <c r="M582">
        <f t="shared" ca="1" si="108"/>
        <v>31858</v>
      </c>
      <c r="N582" t="str">
        <f t="shared" ca="1" si="109"/>
        <v>0111110001110010</v>
      </c>
      <c r="O582">
        <f t="shared" ca="1" si="110"/>
        <v>11111000</v>
      </c>
    </row>
    <row r="583" spans="4:15" x14ac:dyDescent="0.25">
      <c r="D583">
        <v>581</v>
      </c>
      <c r="E583">
        <f t="shared" si="100"/>
        <v>78.099999999999994</v>
      </c>
      <c r="F583">
        <f t="shared" ca="1" si="101"/>
        <v>49.05</v>
      </c>
      <c r="G583" s="1">
        <f t="shared" si="102"/>
        <v>4.8416666666666659</v>
      </c>
      <c r="H583" s="6">
        <f t="shared" ca="1" si="103"/>
        <v>2.4208333333333325</v>
      </c>
      <c r="I583" s="5">
        <f t="shared" ca="1" si="104"/>
        <v>2.4208333333333334</v>
      </c>
      <c r="J583" s="8">
        <f t="shared" ca="1" si="105"/>
        <v>5.0837499999999993</v>
      </c>
      <c r="K583" s="5">
        <f t="shared" ca="1" si="106"/>
        <v>0.24208333333333343</v>
      </c>
      <c r="L583">
        <f t="shared" ca="1" si="107"/>
        <v>31903.288888888881</v>
      </c>
      <c r="M583">
        <f t="shared" ca="1" si="108"/>
        <v>31903</v>
      </c>
      <c r="N583" t="str">
        <f t="shared" ca="1" si="109"/>
        <v>0111110010011111</v>
      </c>
      <c r="O583">
        <f t="shared" ca="1" si="110"/>
        <v>11111001</v>
      </c>
    </row>
    <row r="584" spans="4:15" x14ac:dyDescent="0.25">
      <c r="D584">
        <v>582</v>
      </c>
      <c r="E584">
        <f t="shared" si="100"/>
        <v>78.2</v>
      </c>
      <c r="F584">
        <f t="shared" ca="1" si="101"/>
        <v>60.74</v>
      </c>
      <c r="G584" s="1">
        <f t="shared" si="102"/>
        <v>4.8499999999999996</v>
      </c>
      <c r="H584" s="6">
        <f t="shared" ca="1" si="103"/>
        <v>3.3949999999999996</v>
      </c>
      <c r="I584" s="5">
        <f t="shared" ca="1" si="104"/>
        <v>1.4550000000000001</v>
      </c>
      <c r="J584" s="8">
        <f t="shared" ca="1" si="105"/>
        <v>5.0925000000000002</v>
      </c>
      <c r="K584" s="5">
        <f t="shared" ca="1" si="106"/>
        <v>0.2425000000000006</v>
      </c>
      <c r="L584">
        <f t="shared" ca="1" si="107"/>
        <v>42543.78666666666</v>
      </c>
      <c r="M584">
        <f t="shared" ca="1" si="108"/>
        <v>42544</v>
      </c>
      <c r="N584" t="str">
        <f t="shared" ca="1" si="109"/>
        <v>1010011000110000</v>
      </c>
      <c r="O584">
        <f t="shared" ca="1" si="110"/>
        <v>101001100</v>
      </c>
    </row>
    <row r="585" spans="4:15" x14ac:dyDescent="0.25">
      <c r="D585">
        <v>583</v>
      </c>
      <c r="E585">
        <f t="shared" si="100"/>
        <v>78.300000000000011</v>
      </c>
      <c r="F585">
        <f t="shared" ca="1" si="101"/>
        <v>49.150000000000006</v>
      </c>
      <c r="G585" s="1">
        <f t="shared" si="102"/>
        <v>4.8583333333333334</v>
      </c>
      <c r="H585" s="6">
        <f t="shared" ca="1" si="103"/>
        <v>2.4291666666666663</v>
      </c>
      <c r="I585" s="5">
        <f t="shared" ca="1" si="104"/>
        <v>2.4291666666666671</v>
      </c>
      <c r="J585" s="8">
        <f t="shared" ca="1" si="105"/>
        <v>5.1012500000000003</v>
      </c>
      <c r="K585" s="5">
        <f t="shared" ca="1" si="106"/>
        <v>0.24291666666666689</v>
      </c>
      <c r="L585">
        <f t="shared" ca="1" si="107"/>
        <v>31994.311111111107</v>
      </c>
      <c r="M585">
        <f t="shared" ca="1" si="108"/>
        <v>31994</v>
      </c>
      <c r="N585" t="str">
        <f t="shared" ca="1" si="109"/>
        <v>0111110011111010</v>
      </c>
      <c r="O585">
        <f t="shared" ca="1" si="110"/>
        <v>11111001</v>
      </c>
    </row>
    <row r="586" spans="4:15" x14ac:dyDescent="0.25">
      <c r="D586">
        <v>584</v>
      </c>
      <c r="E586">
        <f t="shared" si="100"/>
        <v>78.400000000000006</v>
      </c>
      <c r="F586">
        <f t="shared" ca="1" si="101"/>
        <v>84.240000000000009</v>
      </c>
      <c r="G586" s="1">
        <f t="shared" si="102"/>
        <v>4.8666666666666663</v>
      </c>
      <c r="H586" s="6">
        <f t="shared" ca="1" si="103"/>
        <v>5.3533333333333335</v>
      </c>
      <c r="I586" s="5">
        <f t="shared" ca="1" si="104"/>
        <v>0.48666666666666725</v>
      </c>
      <c r="J586" s="8">
        <f t="shared" ca="1" si="105"/>
        <v>5.1099999999999994</v>
      </c>
      <c r="K586" s="5">
        <f t="shared" ca="1" si="106"/>
        <v>0.24333333333333318</v>
      </c>
      <c r="L586">
        <f t="shared" ca="1" si="107"/>
        <v>63934.008888888893</v>
      </c>
      <c r="M586">
        <f t="shared" ca="1" si="108"/>
        <v>63934</v>
      </c>
      <c r="N586" t="str">
        <f t="shared" ca="1" si="109"/>
        <v>1111100110111110</v>
      </c>
      <c r="O586">
        <f t="shared" ca="1" si="110"/>
        <v>111110011</v>
      </c>
    </row>
    <row r="587" spans="4:15" x14ac:dyDescent="0.25">
      <c r="D587">
        <v>585</v>
      </c>
      <c r="E587">
        <f t="shared" si="100"/>
        <v>78.5</v>
      </c>
      <c r="F587">
        <f t="shared" ca="1" si="101"/>
        <v>66.8</v>
      </c>
      <c r="G587" s="1">
        <f t="shared" si="102"/>
        <v>4.8749999999999991</v>
      </c>
      <c r="H587" s="6">
        <f t="shared" ca="1" si="103"/>
        <v>3.8999999999999995</v>
      </c>
      <c r="I587" s="5">
        <f t="shared" ca="1" si="104"/>
        <v>0.97499999999999964</v>
      </c>
      <c r="J587" s="8">
        <f t="shared" ca="1" si="105"/>
        <v>5.1187499999999995</v>
      </c>
      <c r="K587" s="5">
        <f t="shared" ca="1" si="106"/>
        <v>0.24375000000000036</v>
      </c>
      <c r="L587">
        <f t="shared" ca="1" si="107"/>
        <v>48059.73333333333</v>
      </c>
      <c r="M587">
        <f t="shared" ca="1" si="108"/>
        <v>48060</v>
      </c>
      <c r="N587" t="str">
        <f t="shared" ca="1" si="109"/>
        <v>1011101110111100</v>
      </c>
      <c r="O587">
        <f t="shared" ca="1" si="110"/>
        <v>101110111</v>
      </c>
    </row>
    <row r="588" spans="4:15" x14ac:dyDescent="0.25">
      <c r="D588">
        <v>586</v>
      </c>
      <c r="E588">
        <f t="shared" si="100"/>
        <v>78.599999999999994</v>
      </c>
      <c r="F588">
        <f t="shared" ca="1" si="101"/>
        <v>90.32</v>
      </c>
      <c r="G588" s="1">
        <f t="shared" si="102"/>
        <v>4.883333333333332</v>
      </c>
      <c r="H588" s="6">
        <f t="shared" ca="1" si="103"/>
        <v>5.8599999999999985</v>
      </c>
      <c r="I588" s="5">
        <f t="shared" ca="1" si="104"/>
        <v>0.97666666666666657</v>
      </c>
      <c r="J588" s="8">
        <f t="shared" ca="1" si="105"/>
        <v>5.1274999999999986</v>
      </c>
      <c r="K588" s="5">
        <f t="shared" ca="1" si="106"/>
        <v>0.24416666666666664</v>
      </c>
      <c r="L588">
        <f t="shared" ca="1" si="107"/>
        <v>69468.159999999989</v>
      </c>
      <c r="M588">
        <f t="shared" ca="1" si="108"/>
        <v>69468</v>
      </c>
      <c r="N588" t="str">
        <f t="shared" ca="1" si="109"/>
        <v>10000111101011100</v>
      </c>
      <c r="O588">
        <f t="shared" ca="1" si="110"/>
        <v>100001111</v>
      </c>
    </row>
    <row r="589" spans="4:15" x14ac:dyDescent="0.25">
      <c r="D589">
        <v>587</v>
      </c>
      <c r="E589">
        <f t="shared" si="100"/>
        <v>78.7</v>
      </c>
      <c r="F589">
        <f t="shared" ca="1" si="101"/>
        <v>72.83</v>
      </c>
      <c r="G589" s="1">
        <f t="shared" si="102"/>
        <v>4.8916666666666666</v>
      </c>
      <c r="H589" s="6">
        <f t="shared" ca="1" si="103"/>
        <v>4.402499999999999</v>
      </c>
      <c r="I589" s="5">
        <f t="shared" ca="1" si="104"/>
        <v>0.48916666666666764</v>
      </c>
      <c r="J589" s="8">
        <f t="shared" ca="1" si="105"/>
        <v>5.1362500000000004</v>
      </c>
      <c r="K589" s="5">
        <f t="shared" ca="1" si="106"/>
        <v>0.24458333333333382</v>
      </c>
      <c r="L589">
        <f t="shared" ca="1" si="107"/>
        <v>53548.373333333322</v>
      </c>
      <c r="M589">
        <f t="shared" ca="1" si="108"/>
        <v>53548</v>
      </c>
      <c r="N589" t="str">
        <f t="shared" ca="1" si="109"/>
        <v>1101000100101100</v>
      </c>
      <c r="O589">
        <f t="shared" ca="1" si="110"/>
        <v>110100010</v>
      </c>
    </row>
    <row r="590" spans="4:15" x14ac:dyDescent="0.25">
      <c r="D590">
        <v>588</v>
      </c>
      <c r="E590">
        <f t="shared" si="100"/>
        <v>78.800000000000011</v>
      </c>
      <c r="F590">
        <f t="shared" ca="1" si="101"/>
        <v>102.32000000000001</v>
      </c>
      <c r="G590" s="1">
        <f t="shared" si="102"/>
        <v>4.9000000000000004</v>
      </c>
      <c r="H590" s="6">
        <f t="shared" ca="1" si="103"/>
        <v>6.86</v>
      </c>
      <c r="I590" s="5">
        <f t="shared" ca="1" si="104"/>
        <v>1.96</v>
      </c>
      <c r="J590" s="8">
        <f t="shared" ca="1" si="105"/>
        <v>4.6550000000000002</v>
      </c>
      <c r="K590" s="5">
        <f t="shared" ca="1" si="106"/>
        <v>0.24500000000000011</v>
      </c>
      <c r="L590">
        <f t="shared" ca="1" si="107"/>
        <v>80390.826666666675</v>
      </c>
      <c r="M590">
        <f t="shared" ca="1" si="108"/>
        <v>80391</v>
      </c>
      <c r="N590" t="str">
        <f t="shared" ca="1" si="109"/>
        <v>10011101000000111</v>
      </c>
      <c r="O590">
        <f t="shared" ca="1" si="110"/>
        <v>100111010</v>
      </c>
    </row>
    <row r="591" spans="4:15" x14ac:dyDescent="0.25">
      <c r="D591">
        <v>589</v>
      </c>
      <c r="E591">
        <f t="shared" si="100"/>
        <v>78.900000000000006</v>
      </c>
      <c r="F591">
        <f t="shared" ca="1" si="101"/>
        <v>78.900000000000006</v>
      </c>
      <c r="G591" s="1">
        <f t="shared" si="102"/>
        <v>4.9083333333333332</v>
      </c>
      <c r="H591" s="6">
        <f t="shared" ca="1" si="103"/>
        <v>4.9083333333333332</v>
      </c>
      <c r="I591" s="5">
        <f t="shared" ca="1" si="104"/>
        <v>0</v>
      </c>
      <c r="J591" s="8">
        <f t="shared" ca="1" si="105"/>
        <v>5.1537500000000005</v>
      </c>
      <c r="K591" s="5">
        <f t="shared" ca="1" si="106"/>
        <v>0.24541666666666728</v>
      </c>
      <c r="L591">
        <f t="shared" ca="1" si="107"/>
        <v>59073.422222222223</v>
      </c>
      <c r="M591">
        <f t="shared" ca="1" si="108"/>
        <v>59073</v>
      </c>
      <c r="N591" t="str">
        <f t="shared" ca="1" si="109"/>
        <v>1110011011000001</v>
      </c>
      <c r="O591">
        <f t="shared" ca="1" si="110"/>
        <v>111001101</v>
      </c>
    </row>
    <row r="592" spans="4:15" x14ac:dyDescent="0.25">
      <c r="D592">
        <v>590</v>
      </c>
      <c r="E592">
        <f t="shared" si="100"/>
        <v>79</v>
      </c>
      <c r="F592">
        <f t="shared" ca="1" si="101"/>
        <v>108.5</v>
      </c>
      <c r="G592" s="1">
        <f t="shared" si="102"/>
        <v>4.9166666666666661</v>
      </c>
      <c r="H592" s="6">
        <f t="shared" ca="1" si="103"/>
        <v>7.3749999999999991</v>
      </c>
      <c r="I592" s="5">
        <f t="shared" ca="1" si="104"/>
        <v>2.458333333333333</v>
      </c>
      <c r="J592" s="8">
        <f t="shared" ca="1" si="105"/>
        <v>4.6708333333333325</v>
      </c>
      <c r="K592" s="5">
        <f t="shared" ca="1" si="106"/>
        <v>0.24583333333333357</v>
      </c>
      <c r="L592">
        <f t="shared" ca="1" si="107"/>
        <v>86015.999999999985</v>
      </c>
      <c r="M592">
        <f t="shared" ca="1" si="108"/>
        <v>86016</v>
      </c>
      <c r="N592" t="str">
        <f t="shared" ca="1" si="109"/>
        <v>10101000000000000</v>
      </c>
      <c r="O592">
        <f t="shared" ca="1" si="110"/>
        <v>101010000</v>
      </c>
    </row>
    <row r="593" spans="4:15" x14ac:dyDescent="0.25">
      <c r="D593">
        <v>591</v>
      </c>
      <c r="E593">
        <f t="shared" si="100"/>
        <v>79.099999999999994</v>
      </c>
      <c r="F593">
        <f t="shared" ca="1" si="101"/>
        <v>85.009999999999991</v>
      </c>
      <c r="G593" s="1">
        <f t="shared" si="102"/>
        <v>4.9249999999999989</v>
      </c>
      <c r="H593" s="6">
        <f t="shared" ca="1" si="103"/>
        <v>5.4174999999999986</v>
      </c>
      <c r="I593" s="5">
        <f t="shared" ca="1" si="104"/>
        <v>0.49249999999999972</v>
      </c>
      <c r="J593" s="8">
        <f t="shared" ca="1" si="105"/>
        <v>5.1712499999999988</v>
      </c>
      <c r="K593" s="5">
        <f t="shared" ca="1" si="106"/>
        <v>0.24624999999999986</v>
      </c>
      <c r="L593">
        <f t="shared" ca="1" si="107"/>
        <v>64634.879999999983</v>
      </c>
      <c r="M593">
        <f t="shared" ca="1" si="108"/>
        <v>64635</v>
      </c>
      <c r="N593" t="str">
        <f t="shared" ca="1" si="109"/>
        <v>1111110001111011</v>
      </c>
      <c r="O593">
        <f t="shared" ca="1" si="110"/>
        <v>111111000</v>
      </c>
    </row>
    <row r="594" spans="4:15" x14ac:dyDescent="0.25">
      <c r="D594">
        <v>592</v>
      </c>
      <c r="E594">
        <f t="shared" si="100"/>
        <v>79.2</v>
      </c>
      <c r="F594">
        <f t="shared" ca="1" si="101"/>
        <v>108.80000000000001</v>
      </c>
      <c r="G594" s="1">
        <f t="shared" si="102"/>
        <v>4.9333333333333327</v>
      </c>
      <c r="H594" s="6">
        <f t="shared" ca="1" si="103"/>
        <v>7.3999999999999995</v>
      </c>
      <c r="I594" s="5">
        <f t="shared" ca="1" si="104"/>
        <v>2.4666666666666668</v>
      </c>
      <c r="J594" s="8">
        <f t="shared" ca="1" si="105"/>
        <v>5.18</v>
      </c>
      <c r="K594" s="5">
        <f t="shared" ca="1" si="106"/>
        <v>0.24666666666666703</v>
      </c>
      <c r="L594">
        <f t="shared" ca="1" si="107"/>
        <v>86289.066666666666</v>
      </c>
      <c r="M594">
        <f t="shared" ca="1" si="108"/>
        <v>86289</v>
      </c>
      <c r="N594" t="str">
        <f t="shared" ca="1" si="109"/>
        <v>10101000100010001</v>
      </c>
      <c r="O594">
        <f t="shared" ca="1" si="110"/>
        <v>101010001</v>
      </c>
    </row>
    <row r="595" spans="4:15" x14ac:dyDescent="0.25">
      <c r="D595">
        <v>593</v>
      </c>
      <c r="E595">
        <f t="shared" si="100"/>
        <v>79.300000000000011</v>
      </c>
      <c r="F595">
        <f t="shared" ca="1" si="101"/>
        <v>103.02000000000001</v>
      </c>
      <c r="G595" s="1">
        <f t="shared" si="102"/>
        <v>4.9416666666666673</v>
      </c>
      <c r="H595" s="6">
        <f t="shared" ca="1" si="103"/>
        <v>6.9183333333333339</v>
      </c>
      <c r="I595" s="5">
        <f t="shared" ca="1" si="104"/>
        <v>1.9766666666666666</v>
      </c>
      <c r="J595" s="8">
        <f t="shared" ca="1" si="105"/>
        <v>4.694583333333334</v>
      </c>
      <c r="K595" s="5">
        <f t="shared" ca="1" si="106"/>
        <v>0.24708333333333332</v>
      </c>
      <c r="L595">
        <f t="shared" ca="1" si="107"/>
        <v>81027.982222222228</v>
      </c>
      <c r="M595">
        <f t="shared" ca="1" si="108"/>
        <v>81028</v>
      </c>
      <c r="N595" t="str">
        <f t="shared" ca="1" si="109"/>
        <v>10011110010000100</v>
      </c>
      <c r="O595">
        <f t="shared" ca="1" si="110"/>
        <v>100111100</v>
      </c>
    </row>
    <row r="596" spans="4:15" x14ac:dyDescent="0.25">
      <c r="D596">
        <v>594</v>
      </c>
      <c r="E596">
        <f t="shared" si="100"/>
        <v>79.400000000000006</v>
      </c>
      <c r="F596">
        <f t="shared" ca="1" si="101"/>
        <v>49.7</v>
      </c>
      <c r="G596" s="1">
        <f t="shared" si="102"/>
        <v>4.95</v>
      </c>
      <c r="H596" s="6">
        <f t="shared" ca="1" si="103"/>
        <v>2.4749999999999996</v>
      </c>
      <c r="I596" s="5">
        <f t="shared" ca="1" si="104"/>
        <v>2.4750000000000005</v>
      </c>
      <c r="J596" s="8">
        <f t="shared" ca="1" si="105"/>
        <v>5.1975000000000007</v>
      </c>
      <c r="K596" s="5">
        <f t="shared" ca="1" si="106"/>
        <v>0.2475000000000005</v>
      </c>
      <c r="L596">
        <f t="shared" ca="1" si="107"/>
        <v>32494.933333333331</v>
      </c>
      <c r="M596">
        <f t="shared" ca="1" si="108"/>
        <v>32495</v>
      </c>
      <c r="N596" t="str">
        <f t="shared" ca="1" si="109"/>
        <v>0111111011101111</v>
      </c>
      <c r="O596">
        <f t="shared" ca="1" si="110"/>
        <v>11111101</v>
      </c>
    </row>
    <row r="597" spans="4:15" x14ac:dyDescent="0.25">
      <c r="D597">
        <v>595</v>
      </c>
      <c r="E597">
        <f t="shared" si="100"/>
        <v>79.5</v>
      </c>
      <c r="F597">
        <f t="shared" ca="1" si="101"/>
        <v>91.4</v>
      </c>
      <c r="G597" s="1">
        <f t="shared" si="102"/>
        <v>4.958333333333333</v>
      </c>
      <c r="H597" s="6">
        <f t="shared" ca="1" si="103"/>
        <v>5.95</v>
      </c>
      <c r="I597" s="5">
        <f t="shared" ca="1" si="104"/>
        <v>0.99166666666666714</v>
      </c>
      <c r="J597" s="8">
        <f t="shared" ca="1" si="105"/>
        <v>5.2062499999999998</v>
      </c>
      <c r="K597" s="5">
        <f t="shared" ca="1" si="106"/>
        <v>0.24791666666666679</v>
      </c>
      <c r="L597">
        <f t="shared" ca="1" si="107"/>
        <v>70451.199999999997</v>
      </c>
      <c r="M597">
        <f t="shared" ca="1" si="108"/>
        <v>70451</v>
      </c>
      <c r="N597" t="str">
        <f t="shared" ca="1" si="109"/>
        <v>10001001100110011</v>
      </c>
      <c r="O597">
        <f t="shared" ca="1" si="110"/>
        <v>100010011</v>
      </c>
    </row>
    <row r="598" spans="4:15" x14ac:dyDescent="0.25">
      <c r="D598">
        <v>596</v>
      </c>
      <c r="E598">
        <f t="shared" si="100"/>
        <v>79.599999999999994</v>
      </c>
      <c r="F598">
        <f t="shared" ca="1" si="101"/>
        <v>91.52</v>
      </c>
      <c r="G598" s="1">
        <f t="shared" si="102"/>
        <v>4.9666666666666659</v>
      </c>
      <c r="H598" s="6">
        <f t="shared" ca="1" si="103"/>
        <v>5.9599999999999991</v>
      </c>
      <c r="I598" s="5">
        <f t="shared" ca="1" si="104"/>
        <v>0.99333333333333318</v>
      </c>
      <c r="J598" s="8">
        <f t="shared" ca="1" si="105"/>
        <v>4.7183333333333328</v>
      </c>
      <c r="K598" s="5">
        <f t="shared" ca="1" si="106"/>
        <v>0.24833333333333307</v>
      </c>
      <c r="L598">
        <f t="shared" ca="1" si="107"/>
        <v>70560.426666666652</v>
      </c>
      <c r="M598">
        <f t="shared" ca="1" si="108"/>
        <v>70560</v>
      </c>
      <c r="N598" t="str">
        <f t="shared" ca="1" si="109"/>
        <v>10001001110100000</v>
      </c>
      <c r="O598">
        <f t="shared" ca="1" si="110"/>
        <v>100010011</v>
      </c>
    </row>
    <row r="599" spans="4:15" x14ac:dyDescent="0.25">
      <c r="D599">
        <v>597</v>
      </c>
      <c r="E599">
        <f t="shared" si="100"/>
        <v>79.7</v>
      </c>
      <c r="F599">
        <f t="shared" ca="1" si="101"/>
        <v>91.64</v>
      </c>
      <c r="G599" s="1">
        <f t="shared" si="102"/>
        <v>4.9749999999999996</v>
      </c>
      <c r="H599" s="6">
        <f t="shared" ca="1" si="103"/>
        <v>5.97</v>
      </c>
      <c r="I599" s="5">
        <f t="shared" ca="1" si="104"/>
        <v>0.99500000000000011</v>
      </c>
      <c r="J599" s="8">
        <f t="shared" ca="1" si="105"/>
        <v>4.7262499999999994</v>
      </c>
      <c r="K599" s="5">
        <f t="shared" ca="1" si="106"/>
        <v>0.24875000000000025</v>
      </c>
      <c r="L599">
        <f t="shared" ca="1" si="107"/>
        <v>70669.653333333335</v>
      </c>
      <c r="M599">
        <f t="shared" ca="1" si="108"/>
        <v>70670</v>
      </c>
      <c r="N599" t="str">
        <f t="shared" ca="1" si="109"/>
        <v>10001010000001110</v>
      </c>
      <c r="O599">
        <f t="shared" ca="1" si="110"/>
        <v>100010100</v>
      </c>
    </row>
    <row r="600" spans="4:15" x14ac:dyDescent="0.25">
      <c r="D600">
        <v>598</v>
      </c>
      <c r="E600">
        <f t="shared" si="100"/>
        <v>79.800000000000011</v>
      </c>
      <c r="F600">
        <f t="shared" ca="1" si="101"/>
        <v>103.72000000000001</v>
      </c>
      <c r="G600" s="1">
        <f t="shared" si="102"/>
        <v>4.9833333333333334</v>
      </c>
      <c r="H600" s="6">
        <f t="shared" ca="1" si="103"/>
        <v>6.9766666666666675</v>
      </c>
      <c r="I600" s="5">
        <f t="shared" ca="1" si="104"/>
        <v>1.9933333333333341</v>
      </c>
      <c r="J600" s="8">
        <f t="shared" ca="1" si="105"/>
        <v>5.2324999999999999</v>
      </c>
      <c r="K600" s="5">
        <f t="shared" ca="1" si="106"/>
        <v>0.24916666666666654</v>
      </c>
      <c r="L600">
        <f t="shared" ca="1" si="107"/>
        <v>81665.137777777782</v>
      </c>
      <c r="M600">
        <f t="shared" ca="1" si="108"/>
        <v>81665</v>
      </c>
      <c r="N600" t="str">
        <f t="shared" ca="1" si="109"/>
        <v>10011111100000001</v>
      </c>
      <c r="O600">
        <f t="shared" ca="1" si="110"/>
        <v>100111111</v>
      </c>
    </row>
    <row r="601" spans="4:15" x14ac:dyDescent="0.25">
      <c r="D601">
        <v>599</v>
      </c>
      <c r="E601">
        <f t="shared" si="100"/>
        <v>79.900000000000006</v>
      </c>
      <c r="F601">
        <f t="shared" ca="1" si="101"/>
        <v>73.910000000000011</v>
      </c>
      <c r="G601" s="1">
        <f t="shared" si="102"/>
        <v>4.9916666666666663</v>
      </c>
      <c r="H601" s="6">
        <f t="shared" ca="1" si="103"/>
        <v>4.4925000000000006</v>
      </c>
      <c r="I601" s="5">
        <f t="shared" ca="1" si="104"/>
        <v>0.49916666666666565</v>
      </c>
      <c r="J601" s="8">
        <f t="shared" ca="1" si="105"/>
        <v>4.7420833333333325</v>
      </c>
      <c r="K601" s="5">
        <f t="shared" ca="1" si="106"/>
        <v>0.24958333333333371</v>
      </c>
      <c r="L601">
        <f t="shared" ca="1" si="107"/>
        <v>54531.413333333338</v>
      </c>
      <c r="M601">
        <f t="shared" ca="1" si="108"/>
        <v>54531</v>
      </c>
      <c r="N601" t="str">
        <f t="shared" ca="1" si="109"/>
        <v>1101010100000011</v>
      </c>
      <c r="O601">
        <f t="shared" ca="1" si="110"/>
        <v>110101010</v>
      </c>
    </row>
    <row r="602" spans="4:15" x14ac:dyDescent="0.25">
      <c r="D602">
        <v>600</v>
      </c>
      <c r="E602">
        <f t="shared" si="100"/>
        <v>80</v>
      </c>
      <c r="F602">
        <f t="shared" ca="1" si="101"/>
        <v>62</v>
      </c>
      <c r="G602" s="1">
        <f t="shared" si="102"/>
        <v>4.9999999999999991</v>
      </c>
      <c r="H602" s="6">
        <f t="shared" ca="1" si="103"/>
        <v>3.4999999999999991</v>
      </c>
      <c r="I602" s="5">
        <f t="shared" ca="1" si="104"/>
        <v>1.5</v>
      </c>
      <c r="J602" s="8">
        <f t="shared" ca="1" si="105"/>
        <v>5.2499999999999991</v>
      </c>
      <c r="K602" s="5">
        <f t="shared" ca="1" si="106"/>
        <v>0.25</v>
      </c>
      <c r="L602">
        <f t="shared" ca="1" si="107"/>
        <v>43690.666666666657</v>
      </c>
      <c r="M602">
        <f t="shared" ca="1" si="108"/>
        <v>43691</v>
      </c>
      <c r="N602" t="str">
        <f t="shared" ca="1" si="109"/>
        <v>1010101010101011</v>
      </c>
      <c r="O602">
        <f t="shared" ca="1" si="110"/>
        <v>101010101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AD1D-1583-4B64-94F2-80C5B939A333}">
  <dimension ref="A1:Y602"/>
  <sheetViews>
    <sheetView topLeftCell="F1" workbookViewId="0">
      <pane ySplit="1" topLeftCell="A2" activePane="bottomLeft" state="frozen"/>
      <selection pane="bottomLeft" activeCell="R2" sqref="R2"/>
    </sheetView>
  </sheetViews>
  <sheetFormatPr defaultRowHeight="15" x14ac:dyDescent="0.25"/>
  <cols>
    <col min="1" max="1" width="33.28515625" customWidth="1"/>
    <col min="2" max="2" width="9.28515625" customWidth="1"/>
    <col min="3" max="3" width="20" customWidth="1"/>
    <col min="8" max="8" width="12.85546875" customWidth="1"/>
    <col min="9" max="9" width="11" customWidth="1"/>
    <col min="10" max="10" width="9.5703125" bestFit="1" customWidth="1"/>
    <col min="11" max="11" width="13.140625" style="11" bestFit="1" customWidth="1"/>
    <col min="12" max="12" width="10.7109375" customWidth="1"/>
    <col min="13" max="13" width="9.140625" style="14"/>
    <col min="20" max="20" width="16.140625" customWidth="1"/>
    <col min="22" max="23" width="17.5703125" customWidth="1"/>
    <col min="24" max="24" width="15.28515625" customWidth="1"/>
  </cols>
  <sheetData>
    <row r="1" spans="1:25" x14ac:dyDescent="0.25">
      <c r="E1" t="s">
        <v>53</v>
      </c>
      <c r="F1" t="s">
        <v>54</v>
      </c>
      <c r="G1" t="s">
        <v>55</v>
      </c>
      <c r="H1" t="s">
        <v>56</v>
      </c>
      <c r="I1" t="s">
        <v>57</v>
      </c>
      <c r="J1" t="s">
        <v>58</v>
      </c>
      <c r="K1" s="11" t="s">
        <v>59</v>
      </c>
      <c r="L1" t="s">
        <v>60</v>
      </c>
      <c r="N1" t="s">
        <v>69</v>
      </c>
      <c r="O1" t="s">
        <v>70</v>
      </c>
      <c r="P1" t="s">
        <v>71</v>
      </c>
      <c r="Q1" t="s">
        <v>72</v>
      </c>
      <c r="R1" t="s">
        <v>73</v>
      </c>
      <c r="S1" t="s">
        <v>74</v>
      </c>
      <c r="T1" t="s">
        <v>75</v>
      </c>
      <c r="U1" t="s">
        <v>8</v>
      </c>
      <c r="V1" t="s">
        <v>76</v>
      </c>
      <c r="W1" t="s">
        <v>78</v>
      </c>
      <c r="X1" t="s">
        <v>77</v>
      </c>
    </row>
    <row r="2" spans="1:25" x14ac:dyDescent="0.25">
      <c r="A2" t="s">
        <v>51</v>
      </c>
      <c r="B2" s="7">
        <v>-0.05</v>
      </c>
      <c r="C2" s="7">
        <v>0.05</v>
      </c>
      <c r="E2" cm="1">
        <f t="array" ref="E2:E602">_xlfn.SEQUENCE(601,1,0,1)</f>
        <v>0</v>
      </c>
      <c r="F2">
        <f>0.1*E2+20</f>
        <v>20</v>
      </c>
      <c r="G2">
        <f ca="1">F2+(RANDBETWEEN(-10,10)/100)*0.1</f>
        <v>19.989999999999998</v>
      </c>
      <c r="H2" s="5">
        <f ca="1">ABS(F2-G2)</f>
        <v>1.0000000000001563E-2</v>
      </c>
      <c r="I2" s="5">
        <f ca="1">ABS(F2-G2)/F2</f>
        <v>5.0000000000007818E-4</v>
      </c>
      <c r="J2" s="10">
        <f>1/12*F2-5/3</f>
        <v>0</v>
      </c>
      <c r="K2" s="12">
        <f ca="1">(1/12*G2-5/3) + J2*RANDBETWEEN($B$2,$C$2)</f>
        <v>-8.3333333333368564E-4</v>
      </c>
      <c r="L2" s="5">
        <f ca="1">IF(J2=0, ABS(J2-K2), ABS(J2-K2)/J2)</f>
        <v>8.3333333333368564E-4</v>
      </c>
      <c r="N2">
        <f ca="1">G2-$B$29</f>
        <v>-5.0100000000000016</v>
      </c>
      <c r="O2">
        <f ca="1">0.001 + 0.0000015*N2</f>
        <v>9.9248499999999998E-4</v>
      </c>
      <c r="P2">
        <f ca="1">1 + 0.000025*N2</f>
        <v>0.99987475000000003</v>
      </c>
      <c r="Q2">
        <f ca="1">(K2-O2)*P2</f>
        <v>-1.8255896495874356E-3</v>
      </c>
      <c r="R2">
        <f ca="1">Q2*32768/6.144</f>
        <v>-9.7364781311329889</v>
      </c>
      <c r="S2">
        <f ca="1">4*SIN(PI()*R2/32768)</f>
        <v>-3.7338920564383791E-3</v>
      </c>
      <c r="T2">
        <f ca="1">RANDBETWEEN(-1*$B$15,1*$B$15)</f>
        <v>-2</v>
      </c>
      <c r="U2">
        <f ca="1">ROUND(R2+S2+T2,0)</f>
        <v>-12</v>
      </c>
      <c r="V2">
        <f ca="1">U2*6.144/32768</f>
        <v>-2.2500000000000003E-3</v>
      </c>
      <c r="W2" s="3" t="e">
        <f ca="1">ABS(J2-V2)/J2</f>
        <v>#DIV/0!</v>
      </c>
      <c r="X2">
        <f ca="1">(U2*6.144/32768 -O2)/P2</f>
        <v>-3.2428911721193079E-3</v>
      </c>
      <c r="Y2" s="4" t="e">
        <f ca="1">ABS(J2-X2)/J2</f>
        <v>#DIV/0!</v>
      </c>
    </row>
    <row r="3" spans="1:25" x14ac:dyDescent="0.25">
      <c r="A3" t="s">
        <v>61</v>
      </c>
      <c r="B3" s="5">
        <f ca="1">MAX(L:L)</f>
        <v>4.0000000000022379E-2</v>
      </c>
      <c r="E3">
        <v>1</v>
      </c>
      <c r="F3">
        <f t="shared" ref="F3:F66" si="0">0.1*E3+20</f>
        <v>20.100000000000001</v>
      </c>
      <c r="G3">
        <f t="shared" ref="G3:G66" ca="1" si="1">F3+(RANDBETWEEN(-10,10)/100)*0.1</f>
        <v>20.096</v>
      </c>
      <c r="H3" s="5">
        <f t="shared" ref="H3:H66" ca="1" si="2">ABS(F3-G3)</f>
        <v>4.0000000000013358E-3</v>
      </c>
      <c r="I3" s="5">
        <f t="shared" ref="I3:I66" ca="1" si="3">ABS(F3-G3)/F3</f>
        <v>1.9900497512444456E-4</v>
      </c>
      <c r="J3" s="10">
        <f t="shared" ref="J3:J66" si="4">1/12*F3-5/3</f>
        <v>8.3333333333333037E-3</v>
      </c>
      <c r="K3" s="12">
        <f t="shared" ref="K3:K66" ca="1" si="5">(1/12*G3-5/3) + J3*RANDBETWEEN($B$2,$C$2)</f>
        <v>7.9999999999997851E-3</v>
      </c>
      <c r="L3" s="5">
        <f t="shared" ref="L3:L66" ca="1" si="6">IF(J3=0, ABS(J3-K3), ABS(J3-K3)/J3)</f>
        <v>4.0000000000022379E-2</v>
      </c>
      <c r="N3">
        <f t="shared" ref="N3:N66" ca="1" si="7">G3-$B$29</f>
        <v>-4.9039999999999999</v>
      </c>
      <c r="O3">
        <f t="shared" ref="O3:O66" ca="1" si="8">0.001 + 0.0000015*N3</f>
        <v>9.9264399999999999E-4</v>
      </c>
      <c r="P3">
        <f t="shared" ref="P3:P66" ca="1" si="9">1 + 0.000025*N3</f>
        <v>0.99987740000000003</v>
      </c>
      <c r="Q3">
        <f t="shared" ref="Q3:Q66" ca="1" si="10">(K3-O3)*P3</f>
        <v>7.0064968981541857E-3</v>
      </c>
      <c r="R3">
        <f t="shared" ref="R3:R66" ca="1" si="11">Q3*32768/6.144</f>
        <v>37.367983456822323</v>
      </c>
      <c r="S3">
        <f ca="1">4*SIN(PI()*R3/32768)</f>
        <v>1.4330411520779124E-2</v>
      </c>
      <c r="T3">
        <f t="shared" ref="T3:T66" ca="1" si="12">RANDBETWEEN(-1*$B$15,1*$B$15)</f>
        <v>3</v>
      </c>
      <c r="U3">
        <f t="shared" ref="U3:U66" ca="1" si="13">ROUND(R3+S3+T3,0)</f>
        <v>40</v>
      </c>
      <c r="V3">
        <f t="shared" ref="V3:V66" ca="1" si="14">U3*6.144/32768</f>
        <v>7.4999999999999997E-3</v>
      </c>
      <c r="W3" s="3">
        <f ca="1">ABS(J3-V3)/J3</f>
        <v>9.9999999999996841E-2</v>
      </c>
      <c r="X3">
        <f t="shared" ref="X3:X66" ca="1" si="15">(U3*6.144/32768 -O3)/P3</f>
        <v>6.5081538996680987E-3</v>
      </c>
      <c r="Y3" s="4">
        <f t="shared" ref="Y3:Y5" ca="1" si="16">ABS(J3-X3)/J3</f>
        <v>0.21902153203982538</v>
      </c>
    </row>
    <row r="4" spans="1:25" x14ac:dyDescent="0.25">
      <c r="A4" t="s">
        <v>62</v>
      </c>
      <c r="B4" s="5">
        <f ca="1">MIN(L:L)</f>
        <v>0</v>
      </c>
      <c r="E4">
        <v>2</v>
      </c>
      <c r="F4">
        <f t="shared" si="0"/>
        <v>20.2</v>
      </c>
      <c r="G4">
        <f t="shared" ca="1" si="1"/>
        <v>20.204000000000001</v>
      </c>
      <c r="H4" s="5">
        <f t="shared" ca="1" si="2"/>
        <v>4.0000000000013358E-3</v>
      </c>
      <c r="I4" s="5">
        <f t="shared" ca="1" si="3"/>
        <v>1.9801980198026417E-4</v>
      </c>
      <c r="J4" s="10">
        <f t="shared" si="4"/>
        <v>1.6666666666666385E-2</v>
      </c>
      <c r="K4" s="12">
        <f t="shared" ca="1" si="5"/>
        <v>1.6999999999999904E-2</v>
      </c>
      <c r="L4" s="5">
        <f t="shared" ca="1" si="6"/>
        <v>2.0000000000011457E-2</v>
      </c>
      <c r="N4">
        <f t="shared" ca="1" si="7"/>
        <v>-4.7959999999999994</v>
      </c>
      <c r="O4">
        <f t="shared" ca="1" si="8"/>
        <v>9.9280599999999994E-4</v>
      </c>
      <c r="P4">
        <f t="shared" ca="1" si="9"/>
        <v>0.99988010000000005</v>
      </c>
      <c r="Q4">
        <f t="shared" ca="1" si="10"/>
        <v>1.6005274737439307E-2</v>
      </c>
      <c r="R4">
        <f t="shared" ca="1" si="11"/>
        <v>85.361465266342975</v>
      </c>
      <c r="S4">
        <f t="shared" ref="S4:S66" ca="1" si="17">4*SIN(PI()*R4/32768)</f>
        <v>3.2735346515772666E-2</v>
      </c>
      <c r="T4">
        <f t="shared" ca="1" si="12"/>
        <v>-3</v>
      </c>
      <c r="U4">
        <f t="shared" ca="1" si="13"/>
        <v>82</v>
      </c>
      <c r="V4">
        <f t="shared" ca="1" si="14"/>
        <v>1.5375E-2</v>
      </c>
      <c r="W4" s="3">
        <f t="shared" ref="W4" ca="1" si="18">ABS(J4-V4)/J4</f>
        <v>7.7499999999984442E-2</v>
      </c>
      <c r="X4">
        <f t="shared" ca="1" si="15"/>
        <v>1.4383918631843956E-2</v>
      </c>
      <c r="Y4" s="4">
        <f t="shared" ca="1" si="16"/>
        <v>0.13696488208934807</v>
      </c>
    </row>
    <row r="5" spans="1:25" x14ac:dyDescent="0.25">
      <c r="E5">
        <v>3</v>
      </c>
      <c r="F5">
        <f t="shared" si="0"/>
        <v>20.3</v>
      </c>
      <c r="G5">
        <f t="shared" ca="1" si="1"/>
        <v>20.3</v>
      </c>
      <c r="H5" s="5">
        <f t="shared" ca="1" si="2"/>
        <v>0</v>
      </c>
      <c r="I5" s="5">
        <f t="shared" ca="1" si="3"/>
        <v>0</v>
      </c>
      <c r="J5" s="10">
        <f t="shared" si="4"/>
        <v>2.4999999999999911E-2</v>
      </c>
      <c r="K5" s="12">
        <f t="shared" ca="1" si="5"/>
        <v>2.4999999999999911E-2</v>
      </c>
      <c r="L5" s="5">
        <f t="shared" ca="1" si="6"/>
        <v>0</v>
      </c>
      <c r="N5">
        <f t="shared" ca="1" si="7"/>
        <v>-4.6999999999999993</v>
      </c>
      <c r="O5">
        <f t="shared" ca="1" si="8"/>
        <v>9.9295000000000004E-4</v>
      </c>
      <c r="P5">
        <f t="shared" ca="1" si="9"/>
        <v>0.99988250000000001</v>
      </c>
      <c r="Q5">
        <f t="shared" ca="1" si="10"/>
        <v>2.4004229171624911E-2</v>
      </c>
      <c r="R5">
        <f t="shared" ca="1" si="11"/>
        <v>128.02255558199951</v>
      </c>
      <c r="S5">
        <f t="shared" ca="1" si="17"/>
        <v>4.9094802448800753E-2</v>
      </c>
      <c r="T5">
        <f t="shared" ca="1" si="12"/>
        <v>1</v>
      </c>
      <c r="U5">
        <f t="shared" ca="1" si="13"/>
        <v>129</v>
      </c>
      <c r="V5">
        <f t="shared" ca="1" si="14"/>
        <v>2.4187500000000001E-2</v>
      </c>
      <c r="X5">
        <f t="shared" ca="1" si="15"/>
        <v>2.3197275679892389E-2</v>
      </c>
      <c r="Y5" s="4">
        <f t="shared" ca="1" si="16"/>
        <v>7.2108972804301147E-2</v>
      </c>
    </row>
    <row r="6" spans="1:25" x14ac:dyDescent="0.25">
      <c r="E6">
        <v>4</v>
      </c>
      <c r="F6">
        <f t="shared" si="0"/>
        <v>20.399999999999999</v>
      </c>
      <c r="G6">
        <f t="shared" ca="1" si="1"/>
        <v>20.392999999999997</v>
      </c>
      <c r="H6" s="5">
        <f t="shared" ca="1" si="2"/>
        <v>7.0000000000014495E-3</v>
      </c>
      <c r="I6" s="5">
        <f t="shared" ca="1" si="3"/>
        <v>3.4313725490203186E-4</v>
      </c>
      <c r="J6" s="10">
        <f t="shared" si="4"/>
        <v>3.3333333333332993E-2</v>
      </c>
      <c r="K6" s="12">
        <f t="shared" ca="1" si="5"/>
        <v>3.2749999999999613E-2</v>
      </c>
      <c r="L6" s="5">
        <f t="shared" ca="1" si="6"/>
        <v>1.7500000000001584E-2</v>
      </c>
      <c r="N6">
        <f t="shared" ca="1" si="7"/>
        <v>-4.6070000000000029</v>
      </c>
      <c r="O6">
        <f t="shared" ca="1" si="8"/>
        <v>9.9308950000000012E-4</v>
      </c>
      <c r="P6">
        <f t="shared" ca="1" si="9"/>
        <v>0.99988482499999998</v>
      </c>
      <c r="Q6">
        <f t="shared" ca="1" si="10"/>
        <v>3.1753252897832769E-2</v>
      </c>
      <c r="R6">
        <f t="shared" ca="1" si="11"/>
        <v>169.35068212177475</v>
      </c>
      <c r="S6">
        <f t="shared" ca="1" si="17"/>
        <v>6.4942319790807057E-2</v>
      </c>
      <c r="T6">
        <f t="shared" ca="1" si="12"/>
        <v>3</v>
      </c>
      <c r="U6">
        <f t="shared" ca="1" si="13"/>
        <v>172</v>
      </c>
      <c r="V6">
        <f t="shared" ca="1" si="14"/>
        <v>3.2250000000000001E-2</v>
      </c>
      <c r="X6">
        <f t="shared" ca="1" si="15"/>
        <v>3.1260510929346286E-2</v>
      </c>
    </row>
    <row r="7" spans="1:25" x14ac:dyDescent="0.25">
      <c r="E7">
        <v>5</v>
      </c>
      <c r="F7">
        <f t="shared" si="0"/>
        <v>20.5</v>
      </c>
      <c r="G7">
        <f t="shared" ca="1" si="1"/>
        <v>20.49</v>
      </c>
      <c r="H7" s="5">
        <f t="shared" ca="1" si="2"/>
        <v>1.0000000000001563E-2</v>
      </c>
      <c r="I7" s="5">
        <f t="shared" ca="1" si="3"/>
        <v>4.8780487804885676E-4</v>
      </c>
      <c r="J7" s="10">
        <f t="shared" si="4"/>
        <v>4.1666666666666519E-2</v>
      </c>
      <c r="K7" s="12">
        <f t="shared" ca="1" si="5"/>
        <v>4.0833333333333055E-2</v>
      </c>
      <c r="L7" s="5">
        <f t="shared" ca="1" si="6"/>
        <v>2.0000000000003196E-2</v>
      </c>
      <c r="N7">
        <f t="shared" ca="1" si="7"/>
        <v>-4.5100000000000016</v>
      </c>
      <c r="O7">
        <f t="shared" ca="1" si="8"/>
        <v>9.9323500000000008E-4</v>
      </c>
      <c r="P7">
        <f t="shared" ca="1" si="9"/>
        <v>0.99988725000000001</v>
      </c>
      <c r="Q7">
        <f t="shared" ca="1" si="10"/>
        <v>3.9835606362245972E-2</v>
      </c>
      <c r="R7">
        <f t="shared" ca="1" si="11"/>
        <v>212.45656726531183</v>
      </c>
      <c r="S7">
        <f t="shared" ca="1" si="17"/>
        <v>8.1470439199720579E-2</v>
      </c>
      <c r="T7">
        <f t="shared" ca="1" si="12"/>
        <v>-2</v>
      </c>
      <c r="U7">
        <f t="shared" ca="1" si="13"/>
        <v>211</v>
      </c>
      <c r="V7">
        <f t="shared" ca="1" si="14"/>
        <v>3.95625E-2</v>
      </c>
      <c r="X7">
        <f t="shared" ca="1" si="15"/>
        <v>3.857361417499823E-2</v>
      </c>
    </row>
    <row r="8" spans="1:25" x14ac:dyDescent="0.25">
      <c r="A8" s="13" t="s">
        <v>63</v>
      </c>
      <c r="B8" s="13"/>
      <c r="C8" s="13"/>
      <c r="D8" s="13"/>
      <c r="E8">
        <v>6</v>
      </c>
      <c r="F8">
        <f t="shared" si="0"/>
        <v>20.6</v>
      </c>
      <c r="G8">
        <f t="shared" ca="1" si="1"/>
        <v>20.591000000000001</v>
      </c>
      <c r="H8" s="5">
        <f t="shared" ca="1" si="2"/>
        <v>9.0000000000003411E-3</v>
      </c>
      <c r="I8" s="5">
        <f t="shared" ca="1" si="3"/>
        <v>4.3689320388351168E-4</v>
      </c>
      <c r="J8" s="10">
        <f t="shared" si="4"/>
        <v>5.0000000000000044E-2</v>
      </c>
      <c r="K8" s="12">
        <f t="shared" ca="1" si="5"/>
        <v>4.9250000000000016E-2</v>
      </c>
      <c r="L8" s="5">
        <f t="shared" ca="1" si="6"/>
        <v>1.5000000000000555E-2</v>
      </c>
      <c r="N8">
        <f t="shared" ca="1" si="7"/>
        <v>-4.4089999999999989</v>
      </c>
      <c r="O8">
        <f t="shared" ca="1" si="8"/>
        <v>9.9338649999999992E-4</v>
      </c>
      <c r="P8">
        <f t="shared" ca="1" si="9"/>
        <v>0.99988977499999998</v>
      </c>
      <c r="Q8">
        <f t="shared" ca="1" si="10"/>
        <v>4.8251294414776977E-2</v>
      </c>
      <c r="R8">
        <f t="shared" ca="1" si="11"/>
        <v>257.34023687881052</v>
      </c>
      <c r="S8">
        <f t="shared" ca="1" si="17"/>
        <v>9.8678732886200271E-2</v>
      </c>
      <c r="T8">
        <f t="shared" ca="1" si="12"/>
        <v>-3</v>
      </c>
      <c r="U8">
        <f t="shared" ca="1" si="13"/>
        <v>254</v>
      </c>
      <c r="V8">
        <f t="shared" ca="1" si="14"/>
        <v>4.7625000000000001E-2</v>
      </c>
      <c r="X8">
        <f t="shared" ca="1" si="15"/>
        <v>4.6636754036213646E-2</v>
      </c>
    </row>
    <row r="9" spans="1:25" x14ac:dyDescent="0.25">
      <c r="A9" t="s">
        <v>7</v>
      </c>
      <c r="B9">
        <v>16</v>
      </c>
      <c r="C9" s="5"/>
      <c r="E9">
        <v>7</v>
      </c>
      <c r="F9">
        <f t="shared" si="0"/>
        <v>20.7</v>
      </c>
      <c r="G9">
        <f t="shared" ca="1" si="1"/>
        <v>20.690999999999999</v>
      </c>
      <c r="H9" s="5">
        <f t="shared" ca="1" si="2"/>
        <v>9.0000000000003411E-3</v>
      </c>
      <c r="I9" s="5">
        <f t="shared" ca="1" si="3"/>
        <v>4.3478260869566867E-4</v>
      </c>
      <c r="J9" s="10">
        <f t="shared" si="4"/>
        <v>5.8333333333333126E-2</v>
      </c>
      <c r="K9" s="12">
        <f t="shared" ca="1" si="5"/>
        <v>5.7583333333333098E-2</v>
      </c>
      <c r="L9" s="5">
        <f t="shared" ca="1" si="6"/>
        <v>1.2857142857143389E-2</v>
      </c>
      <c r="N9">
        <f t="shared" ca="1" si="7"/>
        <v>-4.3090000000000011</v>
      </c>
      <c r="O9">
        <f t="shared" ca="1" si="8"/>
        <v>9.9353650000000011E-4</v>
      </c>
      <c r="P9">
        <f t="shared" ca="1" si="9"/>
        <v>0.999892275</v>
      </c>
      <c r="Q9">
        <f t="shared" ca="1" si="10"/>
        <v>5.6583700697469222E-2</v>
      </c>
      <c r="R9">
        <f t="shared" ca="1" si="11"/>
        <v>301.77973705316919</v>
      </c>
      <c r="S9">
        <f t="shared" ca="1" si="17"/>
        <v>0.11571493386468944</v>
      </c>
      <c r="T9">
        <f t="shared" ca="1" si="12"/>
        <v>-3</v>
      </c>
      <c r="U9">
        <f t="shared" ca="1" si="13"/>
        <v>299</v>
      </c>
      <c r="V9">
        <f t="shared" ca="1" si="14"/>
        <v>5.6062500000000001E-2</v>
      </c>
      <c r="X9">
        <f t="shared" ca="1" si="15"/>
        <v>5.5074896443219341E-2</v>
      </c>
    </row>
    <row r="10" spans="1:25" x14ac:dyDescent="0.25">
      <c r="A10" t="s">
        <v>12</v>
      </c>
      <c r="B10">
        <v>5</v>
      </c>
      <c r="C10" s="9">
        <v>5.5</v>
      </c>
      <c r="E10">
        <v>8</v>
      </c>
      <c r="F10">
        <f t="shared" si="0"/>
        <v>20.8</v>
      </c>
      <c r="G10">
        <f t="shared" ca="1" si="1"/>
        <v>20.802</v>
      </c>
      <c r="H10" s="5">
        <f t="shared" ca="1" si="2"/>
        <v>1.9999999999988916E-3</v>
      </c>
      <c r="I10" s="5">
        <f t="shared" ca="1" si="3"/>
        <v>9.6153846153792865E-5</v>
      </c>
      <c r="J10" s="10">
        <f t="shared" si="4"/>
        <v>6.6666666666666652E-2</v>
      </c>
      <c r="K10" s="12">
        <f t="shared" ca="1" si="5"/>
        <v>6.6833333333333078E-2</v>
      </c>
      <c r="L10" s="5">
        <f t="shared" ca="1" si="6"/>
        <v>2.4999999999963944E-3</v>
      </c>
      <c r="N10">
        <f t="shared" ca="1" si="7"/>
        <v>-4.1980000000000004</v>
      </c>
      <c r="O10">
        <f t="shared" ca="1" si="8"/>
        <v>9.9370300000000008E-4</v>
      </c>
      <c r="P10">
        <f t="shared" ca="1" si="9"/>
        <v>0.99989505000000001</v>
      </c>
      <c r="Q10">
        <f t="shared" ca="1" si="10"/>
        <v>6.5832720464129593E-2</v>
      </c>
      <c r="R10">
        <f t="shared" ca="1" si="11"/>
        <v>351.10784247535781</v>
      </c>
      <c r="S10">
        <f t="shared" ca="1" si="17"/>
        <v>0.13462274359846391</v>
      </c>
      <c r="T10">
        <f t="shared" ca="1" si="12"/>
        <v>-1</v>
      </c>
      <c r="U10">
        <f t="shared" ca="1" si="13"/>
        <v>350</v>
      </c>
      <c r="V10">
        <f t="shared" ca="1" si="14"/>
        <v>6.5625000000000003E-2</v>
      </c>
      <c r="X10">
        <f t="shared" ca="1" si="15"/>
        <v>6.4638080766576456E-2</v>
      </c>
    </row>
    <row r="11" spans="1:25" x14ac:dyDescent="0.25">
      <c r="A11" t="s">
        <v>13</v>
      </c>
      <c r="B11">
        <v>0</v>
      </c>
      <c r="C11" s="5"/>
      <c r="E11">
        <v>9</v>
      </c>
      <c r="F11">
        <f t="shared" si="0"/>
        <v>20.9</v>
      </c>
      <c r="G11">
        <f t="shared" ca="1" si="1"/>
        <v>20.893999999999998</v>
      </c>
      <c r="H11" s="5">
        <f t="shared" ca="1" si="2"/>
        <v>6.0000000000002274E-3</v>
      </c>
      <c r="I11" s="5">
        <f t="shared" ca="1" si="3"/>
        <v>2.8708133971292956E-4</v>
      </c>
      <c r="J11" s="10">
        <f t="shared" si="4"/>
        <v>7.4999999999999734E-2</v>
      </c>
      <c r="K11" s="12">
        <f t="shared" ca="1" si="5"/>
        <v>7.4499999999999789E-2</v>
      </c>
      <c r="L11" s="5">
        <f t="shared" ca="1" si="6"/>
        <v>6.6666666666659559E-3</v>
      </c>
      <c r="N11">
        <f t="shared" ca="1" si="7"/>
        <v>-4.1060000000000016</v>
      </c>
      <c r="O11">
        <f t="shared" ca="1" si="8"/>
        <v>9.9384100000000008E-4</v>
      </c>
      <c r="P11">
        <f t="shared" ca="1" si="9"/>
        <v>0.99989735000000002</v>
      </c>
      <c r="Q11">
        <f t="shared" ca="1" si="10"/>
        <v>7.3498613592778442E-2</v>
      </c>
      <c r="R11">
        <f t="shared" ca="1" si="11"/>
        <v>391.99260582815168</v>
      </c>
      <c r="S11">
        <f t="shared" ca="1" si="17"/>
        <v>0.15029189721000652</v>
      </c>
      <c r="T11">
        <f t="shared" ca="1" si="12"/>
        <v>3</v>
      </c>
      <c r="U11">
        <f t="shared" ca="1" si="13"/>
        <v>395</v>
      </c>
      <c r="V11">
        <f t="shared" ca="1" si="14"/>
        <v>7.4062500000000003E-2</v>
      </c>
      <c r="X11">
        <f t="shared" ca="1" si="15"/>
        <v>7.3076160267851506E-2</v>
      </c>
    </row>
    <row r="12" spans="1:25" x14ac:dyDescent="0.25">
      <c r="A12" t="s">
        <v>23</v>
      </c>
      <c r="B12">
        <v>16</v>
      </c>
      <c r="C12" t="s">
        <v>22</v>
      </c>
      <c r="E12">
        <v>10</v>
      </c>
      <c r="F12">
        <f t="shared" si="0"/>
        <v>21</v>
      </c>
      <c r="G12">
        <f t="shared" ca="1" si="1"/>
        <v>20.998999999999999</v>
      </c>
      <c r="H12" s="5">
        <f t="shared" ca="1" si="2"/>
        <v>1.0000000000012221E-3</v>
      </c>
      <c r="I12" s="5">
        <f t="shared" ca="1" si="3"/>
        <v>4.7619047619105815E-5</v>
      </c>
      <c r="J12" s="10">
        <f t="shared" si="4"/>
        <v>8.3333333333333259E-2</v>
      </c>
      <c r="K12" s="12">
        <f t="shared" ca="1" si="5"/>
        <v>8.3249999999999824E-2</v>
      </c>
      <c r="L12" s="5">
        <f t="shared" ca="1" si="6"/>
        <v>1.000000000001223E-3</v>
      </c>
      <c r="N12">
        <f t="shared" ca="1" si="7"/>
        <v>-4.0010000000000012</v>
      </c>
      <c r="O12">
        <f t="shared" ca="1" si="8"/>
        <v>9.9399850000000001E-4</v>
      </c>
      <c r="P12">
        <f t="shared" ca="1" si="9"/>
        <v>0.99989997500000005</v>
      </c>
      <c r="Q12">
        <f t="shared" ca="1" si="10"/>
        <v>8.2247773843449792E-2</v>
      </c>
      <c r="R12">
        <f t="shared" ca="1" si="11"/>
        <v>438.65479383173221</v>
      </c>
      <c r="S12">
        <f t="shared" ca="1" si="17"/>
        <v>0.16817242287934467</v>
      </c>
      <c r="T12">
        <f t="shared" ca="1" si="12"/>
        <v>1</v>
      </c>
      <c r="U12">
        <f t="shared" ca="1" si="13"/>
        <v>440</v>
      </c>
      <c r="V12">
        <f t="shared" ca="1" si="14"/>
        <v>8.2500000000000004E-2</v>
      </c>
      <c r="X12">
        <f t="shared" ca="1" si="15"/>
        <v>8.151415495334921E-2</v>
      </c>
    </row>
    <row r="13" spans="1:25" x14ac:dyDescent="0.25">
      <c r="A13" t="s">
        <v>14</v>
      </c>
      <c r="B13">
        <v>6.1440000000000001</v>
      </c>
      <c r="C13">
        <v>0</v>
      </c>
      <c r="D13">
        <f>B13*((2^15-1)/(2^15))</f>
        <v>6.1438125000000001</v>
      </c>
      <c r="E13">
        <v>11</v>
      </c>
      <c r="F13">
        <f t="shared" si="0"/>
        <v>21.1</v>
      </c>
      <c r="G13">
        <f t="shared" ca="1" si="1"/>
        <v>21.108000000000001</v>
      </c>
      <c r="H13" s="5">
        <f t="shared" ca="1" si="2"/>
        <v>7.9999999999991189E-3</v>
      </c>
      <c r="I13" s="5">
        <f t="shared" ca="1" si="3"/>
        <v>3.7914691943123781E-4</v>
      </c>
      <c r="J13" s="10">
        <f t="shared" si="4"/>
        <v>9.1666666666666563E-2</v>
      </c>
      <c r="K13" s="12">
        <f t="shared" ca="1" si="5"/>
        <v>9.2333333333333156E-2</v>
      </c>
      <c r="L13" s="5">
        <f t="shared" ca="1" si="6"/>
        <v>7.27272727272648E-3</v>
      </c>
      <c r="N13">
        <f t="shared" ca="1" si="7"/>
        <v>-3.8919999999999995</v>
      </c>
      <c r="O13">
        <f t="shared" ca="1" si="8"/>
        <v>9.9416200000000004E-4</v>
      </c>
      <c r="P13">
        <f t="shared" ca="1" si="9"/>
        <v>0.99990270000000003</v>
      </c>
      <c r="Q13">
        <f t="shared" ca="1" si="10"/>
        <v>9.1330284031962417E-2</v>
      </c>
      <c r="R13">
        <f t="shared" ca="1" si="11"/>
        <v>487.09484817046621</v>
      </c>
      <c r="S13">
        <f t="shared" ca="1" si="17"/>
        <v>0.18673064536859812</v>
      </c>
      <c r="T13">
        <f t="shared" ca="1" si="12"/>
        <v>1</v>
      </c>
      <c r="U13">
        <f t="shared" ca="1" si="13"/>
        <v>488</v>
      </c>
      <c r="V13">
        <f t="shared" ca="1" si="14"/>
        <v>9.1499999999999998E-2</v>
      </c>
      <c r="X13">
        <f t="shared" ca="1" si="15"/>
        <v>9.0514645074965788E-2</v>
      </c>
    </row>
    <row r="14" spans="1:25" x14ac:dyDescent="0.25">
      <c r="A14" t="s">
        <v>15</v>
      </c>
      <c r="B14">
        <v>128</v>
      </c>
      <c r="C14" t="s">
        <v>21</v>
      </c>
      <c r="E14">
        <v>12</v>
      </c>
      <c r="F14">
        <f t="shared" si="0"/>
        <v>21.2</v>
      </c>
      <c r="G14">
        <f t="shared" ca="1" si="1"/>
        <v>21.209</v>
      </c>
      <c r="H14" s="5">
        <f t="shared" ca="1" si="2"/>
        <v>9.0000000000003411E-3</v>
      </c>
      <c r="I14" s="5">
        <f t="shared" ca="1" si="3"/>
        <v>4.2452830188680855E-4</v>
      </c>
      <c r="J14" s="10">
        <f t="shared" si="4"/>
        <v>9.9999999999999867E-2</v>
      </c>
      <c r="K14" s="12">
        <f t="shared" ca="1" si="5"/>
        <v>0.1007499999999999</v>
      </c>
      <c r="L14" s="5">
        <f t="shared" ca="1" si="6"/>
        <v>7.5000000000002946E-3</v>
      </c>
      <c r="N14">
        <f t="shared" ca="1" si="7"/>
        <v>-3.7910000000000004</v>
      </c>
      <c r="O14">
        <f t="shared" ca="1" si="8"/>
        <v>9.9431350000000009E-4</v>
      </c>
      <c r="P14">
        <f t="shared" ca="1" si="9"/>
        <v>0.99990522500000001</v>
      </c>
      <c r="Q14">
        <f t="shared" ca="1" si="10"/>
        <v>9.9746232154811862E-2</v>
      </c>
      <c r="R14">
        <f t="shared" ca="1" si="11"/>
        <v>531.9799048256632</v>
      </c>
      <c r="S14">
        <f t="shared" ca="1" si="17"/>
        <v>0.20392330062273889</v>
      </c>
      <c r="T14">
        <f t="shared" ca="1" si="12"/>
        <v>-1</v>
      </c>
      <c r="U14">
        <f t="shared" ca="1" si="13"/>
        <v>531</v>
      </c>
      <c r="V14">
        <f t="shared" ca="1" si="14"/>
        <v>9.9562499999999998E-2</v>
      </c>
      <c r="X14">
        <f t="shared" ca="1" si="15"/>
        <v>9.8577529185328541E-2</v>
      </c>
    </row>
    <row r="15" spans="1:25" x14ac:dyDescent="0.25">
      <c r="A15" t="s">
        <v>16</v>
      </c>
      <c r="B15">
        <v>3</v>
      </c>
      <c r="C15" t="s">
        <v>17</v>
      </c>
      <c r="E15">
        <v>13</v>
      </c>
      <c r="F15">
        <f t="shared" si="0"/>
        <v>21.3</v>
      </c>
      <c r="G15">
        <f t="shared" ca="1" si="1"/>
        <v>21.305</v>
      </c>
      <c r="H15" s="5">
        <f t="shared" ca="1" si="2"/>
        <v>4.9999999999990052E-3</v>
      </c>
      <c r="I15" s="5">
        <f t="shared" ca="1" si="3"/>
        <v>2.3474178403751198E-4</v>
      </c>
      <c r="J15" s="10">
        <f t="shared" si="4"/>
        <v>0.10833333333333317</v>
      </c>
      <c r="K15" s="12">
        <f t="shared" ca="1" si="5"/>
        <v>0.1087499999999999</v>
      </c>
      <c r="L15" s="5">
        <f t="shared" ca="1" si="6"/>
        <v>3.8461538461544531E-3</v>
      </c>
      <c r="N15">
        <f t="shared" ca="1" si="7"/>
        <v>-3.6950000000000003</v>
      </c>
      <c r="O15">
        <f t="shared" ca="1" si="8"/>
        <v>9.9445749999999998E-4</v>
      </c>
      <c r="P15">
        <f t="shared" ca="1" si="9"/>
        <v>0.99990762499999997</v>
      </c>
      <c r="Q15">
        <f t="shared" ca="1" si="10"/>
        <v>0.10774558858176146</v>
      </c>
      <c r="R15">
        <f t="shared" ca="1" si="11"/>
        <v>574.64313910272779</v>
      </c>
      <c r="S15">
        <f t="shared" ca="1" si="17"/>
        <v>0.22026141912614947</v>
      </c>
      <c r="T15">
        <f t="shared" ca="1" si="12"/>
        <v>3</v>
      </c>
      <c r="U15">
        <f t="shared" ca="1" si="13"/>
        <v>578</v>
      </c>
      <c r="V15">
        <f t="shared" ca="1" si="14"/>
        <v>0.108375</v>
      </c>
      <c r="X15">
        <f t="shared" ca="1" si="15"/>
        <v>0.10739046269399136</v>
      </c>
    </row>
    <row r="16" spans="1:25" x14ac:dyDescent="0.25">
      <c r="A16" t="s">
        <v>27</v>
      </c>
      <c r="B16">
        <v>5.0000000000000001E-3</v>
      </c>
      <c r="C16" t="s">
        <v>18</v>
      </c>
      <c r="E16">
        <v>14</v>
      </c>
      <c r="F16">
        <f t="shared" si="0"/>
        <v>21.4</v>
      </c>
      <c r="G16">
        <f t="shared" ca="1" si="1"/>
        <v>21.407</v>
      </c>
      <c r="H16" s="5">
        <f t="shared" ca="1" si="2"/>
        <v>7.0000000000014495E-3</v>
      </c>
      <c r="I16" s="5">
        <f t="shared" ca="1" si="3"/>
        <v>3.2710280373838554E-4</v>
      </c>
      <c r="J16" s="10">
        <f t="shared" si="4"/>
        <v>0.11666666666666647</v>
      </c>
      <c r="K16" s="12">
        <f t="shared" ca="1" si="5"/>
        <v>0.11724999999999985</v>
      </c>
      <c r="L16" s="5">
        <f t="shared" ca="1" si="6"/>
        <v>5.0000000000004095E-3</v>
      </c>
      <c r="N16">
        <f t="shared" ca="1" si="7"/>
        <v>-3.593</v>
      </c>
      <c r="O16">
        <f t="shared" ca="1" si="8"/>
        <v>9.9461050000000011E-4</v>
      </c>
      <c r="P16">
        <f t="shared" ca="1" si="9"/>
        <v>0.99991017500000001</v>
      </c>
      <c r="Q16">
        <f t="shared" ca="1" si="10"/>
        <v>0.11624494685963802</v>
      </c>
      <c r="R16">
        <f t="shared" ca="1" si="11"/>
        <v>619.97304991806936</v>
      </c>
      <c r="S16">
        <f t="shared" ca="1" si="17"/>
        <v>0.23761671196204545</v>
      </c>
      <c r="T16">
        <f t="shared" ca="1" si="12"/>
        <v>0</v>
      </c>
      <c r="U16">
        <f t="shared" ca="1" si="13"/>
        <v>620</v>
      </c>
      <c r="V16">
        <f t="shared" ca="1" si="14"/>
        <v>0.11625000000000001</v>
      </c>
      <c r="X16">
        <f t="shared" ca="1" si="15"/>
        <v>0.11526574324538702</v>
      </c>
    </row>
    <row r="17" spans="1:24" x14ac:dyDescent="0.25">
      <c r="A17" t="s">
        <v>19</v>
      </c>
      <c r="B17">
        <v>1</v>
      </c>
      <c r="C17" t="s">
        <v>20</v>
      </c>
      <c r="E17">
        <v>15</v>
      </c>
      <c r="F17">
        <f t="shared" si="0"/>
        <v>21.5</v>
      </c>
      <c r="G17">
        <f t="shared" ca="1" si="1"/>
        <v>21.491</v>
      </c>
      <c r="H17" s="5">
        <f t="shared" ca="1" si="2"/>
        <v>9.0000000000003411E-3</v>
      </c>
      <c r="I17" s="5">
        <f t="shared" ca="1" si="3"/>
        <v>4.1860465116280656E-4</v>
      </c>
      <c r="J17" s="10">
        <f t="shared" si="4"/>
        <v>0.12499999999999978</v>
      </c>
      <c r="K17" s="12">
        <f t="shared" ca="1" si="5"/>
        <v>0.12424999999999975</v>
      </c>
      <c r="L17" s="5">
        <f t="shared" ca="1" si="6"/>
        <v>6.0000000000002378E-3</v>
      </c>
      <c r="N17">
        <f t="shared" ca="1" si="7"/>
        <v>-3.5090000000000003</v>
      </c>
      <c r="O17">
        <f t="shared" ca="1" si="8"/>
        <v>9.9473649999999992E-4</v>
      </c>
      <c r="P17">
        <f t="shared" ca="1" si="9"/>
        <v>0.99991227500000002</v>
      </c>
      <c r="Q17">
        <f t="shared" ca="1" si="10"/>
        <v>0.12324445093200923</v>
      </c>
      <c r="R17">
        <f t="shared" ca="1" si="11"/>
        <v>657.30373830404915</v>
      </c>
      <c r="S17">
        <f t="shared" ca="1" si="17"/>
        <v>0.25190601715072997</v>
      </c>
      <c r="T17">
        <f t="shared" ca="1" si="12"/>
        <v>-2</v>
      </c>
      <c r="U17">
        <f t="shared" ca="1" si="13"/>
        <v>656</v>
      </c>
      <c r="V17">
        <f t="shared" ca="1" si="14"/>
        <v>0.123</v>
      </c>
      <c r="X17">
        <f t="shared" ca="1" si="15"/>
        <v>0.12201596735073585</v>
      </c>
    </row>
    <row r="18" spans="1:24" x14ac:dyDescent="0.25">
      <c r="A18" t="s">
        <v>26</v>
      </c>
      <c r="B18">
        <v>0.15</v>
      </c>
      <c r="C18" t="s">
        <v>24</v>
      </c>
      <c r="E18">
        <v>16</v>
      </c>
      <c r="F18">
        <f t="shared" si="0"/>
        <v>21.6</v>
      </c>
      <c r="G18">
        <f t="shared" ca="1" si="1"/>
        <v>21.594000000000001</v>
      </c>
      <c r="H18" s="5">
        <f t="shared" ca="1" si="2"/>
        <v>6.0000000000002274E-3</v>
      </c>
      <c r="I18" s="5">
        <f t="shared" ca="1" si="3"/>
        <v>2.7777777777778829E-4</v>
      </c>
      <c r="J18" s="10">
        <f t="shared" si="4"/>
        <v>0.1333333333333333</v>
      </c>
      <c r="K18" s="12">
        <f t="shared" ca="1" si="5"/>
        <v>0.13283333333333336</v>
      </c>
      <c r="L18" s="5">
        <f t="shared" ca="1" si="6"/>
        <v>3.7499999999995879E-3</v>
      </c>
      <c r="N18">
        <f t="shared" ca="1" si="7"/>
        <v>-3.4059999999999988</v>
      </c>
      <c r="O18">
        <f t="shared" ca="1" si="8"/>
        <v>9.9489099999999992E-4</v>
      </c>
      <c r="P18">
        <f t="shared" ca="1" si="9"/>
        <v>0.99991485000000002</v>
      </c>
      <c r="Q18">
        <f t="shared" ca="1" si="10"/>
        <v>0.13182721628996869</v>
      </c>
      <c r="R18">
        <f t="shared" ca="1" si="11"/>
        <v>703.07848687983301</v>
      </c>
      <c r="S18">
        <f t="shared" ca="1" si="17"/>
        <v>0.26942308600552367</v>
      </c>
      <c r="T18">
        <f t="shared" ca="1" si="12"/>
        <v>2</v>
      </c>
      <c r="U18">
        <f t="shared" ca="1" si="13"/>
        <v>705</v>
      </c>
      <c r="V18">
        <f t="shared" ca="1" si="14"/>
        <v>0.13218750000000001</v>
      </c>
      <c r="X18">
        <f t="shared" ca="1" si="15"/>
        <v>0.13120378100195232</v>
      </c>
    </row>
    <row r="19" spans="1:24" x14ac:dyDescent="0.25">
      <c r="A19" t="s">
        <v>25</v>
      </c>
      <c r="B19">
        <v>5</v>
      </c>
      <c r="C19" t="s">
        <v>28</v>
      </c>
      <c r="E19">
        <v>17</v>
      </c>
      <c r="F19">
        <f t="shared" si="0"/>
        <v>21.7</v>
      </c>
      <c r="G19">
        <f t="shared" ca="1" si="1"/>
        <v>21.709</v>
      </c>
      <c r="H19" s="5">
        <f t="shared" ca="1" si="2"/>
        <v>9.0000000000003411E-3</v>
      </c>
      <c r="I19" s="5">
        <f t="shared" ca="1" si="3"/>
        <v>4.1474654377881756E-4</v>
      </c>
      <c r="J19" s="10">
        <f t="shared" si="4"/>
        <v>0.14166666666666639</v>
      </c>
      <c r="K19" s="12">
        <f t="shared" ca="1" si="5"/>
        <v>0.14241666666666641</v>
      </c>
      <c r="L19" s="5">
        <f t="shared" ca="1" si="6"/>
        <v>5.2941176470590349E-3</v>
      </c>
      <c r="N19">
        <f t="shared" ca="1" si="7"/>
        <v>-3.2910000000000004</v>
      </c>
      <c r="O19">
        <f t="shared" ca="1" si="8"/>
        <v>9.9506349999999998E-4</v>
      </c>
      <c r="P19">
        <f t="shared" ca="1" si="9"/>
        <v>0.99991772499999998</v>
      </c>
      <c r="Q19">
        <f t="shared" ca="1" si="10"/>
        <v>0.14140996770426587</v>
      </c>
      <c r="R19">
        <f t="shared" ca="1" si="11"/>
        <v>754.18649442275125</v>
      </c>
      <c r="S19">
        <f t="shared" ca="1" si="17"/>
        <v>0.28897493841948302</v>
      </c>
      <c r="T19">
        <f t="shared" ca="1" si="12"/>
        <v>0</v>
      </c>
      <c r="U19">
        <f t="shared" ca="1" si="13"/>
        <v>754</v>
      </c>
      <c r="V19">
        <f t="shared" ca="1" si="14"/>
        <v>0.141375</v>
      </c>
      <c r="X19">
        <f t="shared" ca="1" si="15"/>
        <v>0.14039148720961017</v>
      </c>
    </row>
    <row r="20" spans="1:24" x14ac:dyDescent="0.25">
      <c r="A20" t="s">
        <v>29</v>
      </c>
      <c r="B20">
        <v>80</v>
      </c>
      <c r="C20" t="s">
        <v>30</v>
      </c>
      <c r="E20">
        <v>18</v>
      </c>
      <c r="F20">
        <f t="shared" si="0"/>
        <v>21.8</v>
      </c>
      <c r="G20">
        <f t="shared" ca="1" si="1"/>
        <v>21.809000000000001</v>
      </c>
      <c r="H20" s="5">
        <f t="shared" ca="1" si="2"/>
        <v>9.0000000000003411E-3</v>
      </c>
      <c r="I20" s="5">
        <f t="shared" ca="1" si="3"/>
        <v>4.1284403669726333E-4</v>
      </c>
      <c r="J20" s="10">
        <f t="shared" si="4"/>
        <v>0.14999999999999991</v>
      </c>
      <c r="K20" s="12">
        <f t="shared" ca="1" si="5"/>
        <v>0.15074999999999994</v>
      </c>
      <c r="L20" s="5">
        <f t="shared" ca="1" si="6"/>
        <v>5.0000000000001927E-3</v>
      </c>
      <c r="N20">
        <f t="shared" ca="1" si="7"/>
        <v>-3.1909999999999989</v>
      </c>
      <c r="O20">
        <f t="shared" ca="1" si="8"/>
        <v>9.9521349999999995E-4</v>
      </c>
      <c r="P20">
        <f t="shared" ca="1" si="9"/>
        <v>0.999920225</v>
      </c>
      <c r="Q20">
        <f t="shared" ca="1" si="10"/>
        <v>0.14974283981190689</v>
      </c>
      <c r="R20">
        <f t="shared" ca="1" si="11"/>
        <v>798.62847899683675</v>
      </c>
      <c r="S20">
        <f t="shared" ca="1" si="17"/>
        <v>0.30597101752251787</v>
      </c>
      <c r="T20">
        <f t="shared" ca="1" si="12"/>
        <v>1</v>
      </c>
      <c r="U20">
        <f t="shared" ca="1" si="13"/>
        <v>800</v>
      </c>
      <c r="V20">
        <f t="shared" ca="1" si="14"/>
        <v>0.15</v>
      </c>
      <c r="X20">
        <f t="shared" ca="1" si="15"/>
        <v>0.14901667430519269</v>
      </c>
    </row>
    <row r="21" spans="1:24" x14ac:dyDescent="0.25">
      <c r="A21" t="s">
        <v>31</v>
      </c>
      <c r="B21">
        <v>90</v>
      </c>
      <c r="C21" t="s">
        <v>32</v>
      </c>
      <c r="E21">
        <v>19</v>
      </c>
      <c r="F21">
        <f t="shared" si="0"/>
        <v>21.9</v>
      </c>
      <c r="G21">
        <f t="shared" ca="1" si="1"/>
        <v>21.892999999999997</v>
      </c>
      <c r="H21" s="5">
        <f t="shared" ca="1" si="2"/>
        <v>7.0000000000014495E-3</v>
      </c>
      <c r="I21" s="5">
        <f t="shared" ca="1" si="3"/>
        <v>3.1963470319641322E-4</v>
      </c>
      <c r="J21" s="10">
        <f t="shared" si="4"/>
        <v>0.15833333333333299</v>
      </c>
      <c r="K21" s="12">
        <f t="shared" ca="1" si="5"/>
        <v>0.15774999999999961</v>
      </c>
      <c r="L21" s="5">
        <f t="shared" ca="1" si="6"/>
        <v>3.684210526316093E-3</v>
      </c>
      <c r="N21">
        <f t="shared" ca="1" si="7"/>
        <v>-3.1070000000000029</v>
      </c>
      <c r="O21">
        <f t="shared" ca="1" si="8"/>
        <v>9.9533949999999999E-4</v>
      </c>
      <c r="P21">
        <f t="shared" ca="1" si="9"/>
        <v>0.999922325</v>
      </c>
      <c r="Q21">
        <f t="shared" ca="1" si="10"/>
        <v>0.15674248458174528</v>
      </c>
      <c r="R21">
        <f t="shared" ca="1" si="11"/>
        <v>835.95991776930816</v>
      </c>
      <c r="S21">
        <f t="shared" ca="1" si="17"/>
        <v>0.32024350960055636</v>
      </c>
      <c r="T21">
        <f t="shared" ca="1" si="12"/>
        <v>2</v>
      </c>
      <c r="U21">
        <f t="shared" ca="1" si="13"/>
        <v>838</v>
      </c>
      <c r="V21">
        <f t="shared" ca="1" si="14"/>
        <v>0.15712500000000001</v>
      </c>
      <c r="X21">
        <f t="shared" ca="1" si="15"/>
        <v>0.15614178881344609</v>
      </c>
    </row>
    <row r="22" spans="1:24" x14ac:dyDescent="0.25">
      <c r="A22" s="2" t="s">
        <v>33</v>
      </c>
      <c r="E22">
        <v>20</v>
      </c>
      <c r="F22">
        <f t="shared" si="0"/>
        <v>22</v>
      </c>
      <c r="G22">
        <f t="shared" ca="1" si="1"/>
        <v>22.01</v>
      </c>
      <c r="H22" s="5">
        <f t="shared" ca="1" si="2"/>
        <v>1.0000000000001563E-2</v>
      </c>
      <c r="I22" s="5">
        <f t="shared" ca="1" si="3"/>
        <v>4.5454545454552561E-4</v>
      </c>
      <c r="J22" s="10">
        <f t="shared" si="4"/>
        <v>0.16666666666666652</v>
      </c>
      <c r="K22" s="12">
        <f t="shared" ca="1" si="5"/>
        <v>0.16749999999999998</v>
      </c>
      <c r="L22" s="5">
        <f t="shared" ca="1" si="6"/>
        <v>5.0000000000007859E-3</v>
      </c>
      <c r="N22">
        <f t="shared" ca="1" si="7"/>
        <v>-2.9899999999999984</v>
      </c>
      <c r="O22">
        <f t="shared" ca="1" si="8"/>
        <v>9.9551499999999998E-4</v>
      </c>
      <c r="P22">
        <f t="shared" ca="1" si="9"/>
        <v>0.99992524999999999</v>
      </c>
      <c r="Q22">
        <f t="shared" ca="1" si="10"/>
        <v>0.16649203878974622</v>
      </c>
      <c r="R22">
        <f t="shared" ca="1" si="11"/>
        <v>887.95754021197979</v>
      </c>
      <c r="S22">
        <f t="shared" ca="1" si="17"/>
        <v>0.3401162757689779</v>
      </c>
      <c r="T22">
        <f t="shared" ca="1" si="12"/>
        <v>0</v>
      </c>
      <c r="U22">
        <f t="shared" ca="1" si="13"/>
        <v>888</v>
      </c>
      <c r="V22">
        <f t="shared" ca="1" si="14"/>
        <v>0.16650000000000001</v>
      </c>
      <c r="X22">
        <f t="shared" ca="1" si="15"/>
        <v>0.16551685738508953</v>
      </c>
    </row>
    <row r="23" spans="1:24" x14ac:dyDescent="0.25">
      <c r="A23" t="s">
        <v>34</v>
      </c>
      <c r="B23" t="s">
        <v>35</v>
      </c>
      <c r="C23">
        <v>5.5</v>
      </c>
      <c r="E23">
        <v>21</v>
      </c>
      <c r="F23">
        <f t="shared" si="0"/>
        <v>22.1</v>
      </c>
      <c r="G23">
        <f t="shared" ca="1" si="1"/>
        <v>22.091000000000001</v>
      </c>
      <c r="H23" s="5">
        <f t="shared" ca="1" si="2"/>
        <v>9.0000000000003411E-3</v>
      </c>
      <c r="I23" s="5">
        <f t="shared" ca="1" si="3"/>
        <v>4.0723981900454029E-4</v>
      </c>
      <c r="J23" s="10">
        <f t="shared" si="4"/>
        <v>0.17500000000000004</v>
      </c>
      <c r="K23" s="12">
        <f t="shared" ca="1" si="5"/>
        <v>0.17425000000000002</v>
      </c>
      <c r="L23" s="5">
        <f t="shared" ca="1" si="6"/>
        <v>4.2857142857144473E-3</v>
      </c>
      <c r="N23">
        <f t="shared" ca="1" si="7"/>
        <v>-2.9089999999999989</v>
      </c>
      <c r="O23">
        <f t="shared" ca="1" si="8"/>
        <v>9.956365E-4</v>
      </c>
      <c r="P23">
        <f t="shared" ca="1" si="9"/>
        <v>0.999927275</v>
      </c>
      <c r="Q23">
        <f t="shared" ca="1" si="10"/>
        <v>0.17324176357641446</v>
      </c>
      <c r="R23">
        <f t="shared" ca="1" si="11"/>
        <v>923.95607240754384</v>
      </c>
      <c r="S23">
        <f t="shared" ca="1" si="17"/>
        <v>0.35386949083176106</v>
      </c>
      <c r="T23">
        <f t="shared" ca="1" si="12"/>
        <v>-2</v>
      </c>
      <c r="U23">
        <f t="shared" ca="1" si="13"/>
        <v>922</v>
      </c>
      <c r="V23">
        <f t="shared" ca="1" si="14"/>
        <v>0.172875</v>
      </c>
      <c r="X23">
        <f t="shared" ca="1" si="15"/>
        <v>0.17189186433583381</v>
      </c>
    </row>
    <row r="24" spans="1:24" x14ac:dyDescent="0.25">
      <c r="A24" t="s">
        <v>36</v>
      </c>
      <c r="B24" t="s">
        <v>37</v>
      </c>
      <c r="C24" t="s">
        <v>38</v>
      </c>
      <c r="E24">
        <v>22</v>
      </c>
      <c r="F24">
        <f t="shared" si="0"/>
        <v>22.2</v>
      </c>
      <c r="G24">
        <f t="shared" ca="1" si="1"/>
        <v>22.204000000000001</v>
      </c>
      <c r="H24" s="5">
        <f t="shared" ca="1" si="2"/>
        <v>4.0000000000013358E-3</v>
      </c>
      <c r="I24" s="5">
        <f t="shared" ca="1" si="3"/>
        <v>1.8018018018024036E-4</v>
      </c>
      <c r="J24" s="10">
        <f t="shared" si="4"/>
        <v>0.18333333333333313</v>
      </c>
      <c r="K24" s="12">
        <f t="shared" ca="1" si="5"/>
        <v>0.18366666666666664</v>
      </c>
      <c r="L24" s="5">
        <f t="shared" ca="1" si="6"/>
        <v>1.818181818182831E-3</v>
      </c>
      <c r="N24">
        <f t="shared" ca="1" si="7"/>
        <v>-2.7959999999999994</v>
      </c>
      <c r="O24">
        <f t="shared" ca="1" si="8"/>
        <v>9.9580600000000012E-4</v>
      </c>
      <c r="P24">
        <f t="shared" ca="1" si="9"/>
        <v>0.99993010000000004</v>
      </c>
      <c r="Q24">
        <f t="shared" ca="1" si="10"/>
        <v>0.18265809197350608</v>
      </c>
      <c r="R24">
        <f t="shared" ca="1" si="11"/>
        <v>974.17649052536569</v>
      </c>
      <c r="S24">
        <f t="shared" ca="1" si="17"/>
        <v>0.3730490898391155</v>
      </c>
      <c r="T24">
        <f t="shared" ca="1" si="12"/>
        <v>-3</v>
      </c>
      <c r="U24">
        <f t="shared" ca="1" si="13"/>
        <v>972</v>
      </c>
      <c r="V24">
        <f t="shared" ca="1" si="14"/>
        <v>0.18225</v>
      </c>
      <c r="X24">
        <f t="shared" ca="1" si="15"/>
        <v>0.18126686455383231</v>
      </c>
    </row>
    <row r="25" spans="1:24" x14ac:dyDescent="0.25">
      <c r="E25">
        <v>23</v>
      </c>
      <c r="F25">
        <f t="shared" si="0"/>
        <v>22.3</v>
      </c>
      <c r="G25">
        <f t="shared" ca="1" si="1"/>
        <v>22.298000000000002</v>
      </c>
      <c r="H25" s="5">
        <f t="shared" ca="1" si="2"/>
        <v>1.9999999999988916E-3</v>
      </c>
      <c r="I25" s="5">
        <f t="shared" ca="1" si="3"/>
        <v>8.9686098654658805E-5</v>
      </c>
      <c r="J25" s="10">
        <f t="shared" si="4"/>
        <v>0.19166666666666665</v>
      </c>
      <c r="K25" s="12">
        <f t="shared" ca="1" si="5"/>
        <v>0.1915</v>
      </c>
      <c r="L25" s="5">
        <f t="shared" ca="1" si="6"/>
        <v>8.6956521739120865E-4</v>
      </c>
      <c r="N25">
        <f t="shared" ca="1" si="7"/>
        <v>-2.7019999999999982</v>
      </c>
      <c r="O25">
        <f t="shared" ca="1" si="8"/>
        <v>9.9594700000000006E-4</v>
      </c>
      <c r="P25">
        <f t="shared" ca="1" si="9"/>
        <v>0.99993244999999997</v>
      </c>
      <c r="Q25">
        <f t="shared" ca="1" si="10"/>
        <v>0.19049118445121985</v>
      </c>
      <c r="R25">
        <f t="shared" ca="1" si="11"/>
        <v>1015.9529837398392</v>
      </c>
      <c r="S25">
        <f t="shared" ca="1" si="17"/>
        <v>0.38899731275116006</v>
      </c>
      <c r="T25">
        <f t="shared" ca="1" si="12"/>
        <v>0</v>
      </c>
      <c r="U25">
        <f t="shared" ca="1" si="13"/>
        <v>1016</v>
      </c>
      <c r="V25">
        <f t="shared" ca="1" si="14"/>
        <v>0.1905</v>
      </c>
      <c r="X25">
        <f t="shared" ca="1" si="15"/>
        <v>0.18951685486354605</v>
      </c>
    </row>
    <row r="26" spans="1:24" x14ac:dyDescent="0.25">
      <c r="A26" t="s">
        <v>64</v>
      </c>
      <c r="B26">
        <v>5.0000000000000002E-5</v>
      </c>
      <c r="C26" t="s">
        <v>65</v>
      </c>
      <c r="E26">
        <v>24</v>
      </c>
      <c r="F26">
        <f t="shared" si="0"/>
        <v>22.4</v>
      </c>
      <c r="G26">
        <f t="shared" ca="1" si="1"/>
        <v>22.41</v>
      </c>
      <c r="H26" s="5">
        <f t="shared" ca="1" si="2"/>
        <v>1.0000000000001563E-2</v>
      </c>
      <c r="I26" s="5">
        <f t="shared" ca="1" si="3"/>
        <v>4.4642857142864124E-4</v>
      </c>
      <c r="J26" s="10">
        <f t="shared" si="4"/>
        <v>0.19999999999999973</v>
      </c>
      <c r="K26" s="12">
        <f t="shared" ca="1" si="5"/>
        <v>0.2008333333333332</v>
      </c>
      <c r="L26" s="5">
        <f t="shared" ca="1" si="6"/>
        <v>4.1666666666673232E-3</v>
      </c>
      <c r="N26">
        <f t="shared" ca="1" si="7"/>
        <v>-2.59</v>
      </c>
      <c r="O26">
        <f t="shared" ca="1" si="8"/>
        <v>9.9611500000000011E-4</v>
      </c>
      <c r="P26">
        <f t="shared" ca="1" si="9"/>
        <v>0.99993525000000005</v>
      </c>
      <c r="Q26">
        <f t="shared" ca="1" si="10"/>
        <v>0.19982427887344614</v>
      </c>
      <c r="R26">
        <f t="shared" ca="1" si="11"/>
        <v>1065.729487325046</v>
      </c>
      <c r="S26">
        <f t="shared" ca="1" si="17"/>
        <v>0.40799137995243095</v>
      </c>
      <c r="T26">
        <f t="shared" ca="1" si="12"/>
        <v>1</v>
      </c>
      <c r="U26">
        <f t="shared" ca="1" si="13"/>
        <v>1067</v>
      </c>
      <c r="V26">
        <f t="shared" ca="1" si="14"/>
        <v>0.2000625</v>
      </c>
      <c r="X26">
        <f t="shared" ca="1" si="15"/>
        <v>0.19907927538308107</v>
      </c>
    </row>
    <row r="27" spans="1:24" x14ac:dyDescent="0.25">
      <c r="A27" t="s">
        <v>66</v>
      </c>
      <c r="B27">
        <v>2.5000000000000001E-2</v>
      </c>
      <c r="C27" t="s">
        <v>67</v>
      </c>
      <c r="E27">
        <v>25</v>
      </c>
      <c r="F27">
        <f t="shared" si="0"/>
        <v>22.5</v>
      </c>
      <c r="G27">
        <f t="shared" ca="1" si="1"/>
        <v>22.5</v>
      </c>
      <c r="H27" s="5">
        <f t="shared" ca="1" si="2"/>
        <v>0</v>
      </c>
      <c r="I27" s="5">
        <f t="shared" ca="1" si="3"/>
        <v>0</v>
      </c>
      <c r="J27" s="10">
        <f t="shared" si="4"/>
        <v>0.20833333333333326</v>
      </c>
      <c r="K27" s="12">
        <f t="shared" ca="1" si="5"/>
        <v>0.20833333333333326</v>
      </c>
      <c r="L27" s="5">
        <f t="shared" ca="1" si="6"/>
        <v>0</v>
      </c>
      <c r="N27">
        <f t="shared" ca="1" si="7"/>
        <v>-2.5</v>
      </c>
      <c r="O27">
        <f t="shared" ca="1" si="8"/>
        <v>9.9624999999999996E-4</v>
      </c>
      <c r="P27">
        <f t="shared" ca="1" si="9"/>
        <v>0.99993750000000003</v>
      </c>
      <c r="Q27">
        <f t="shared" ca="1" si="10"/>
        <v>0.20732412476562492</v>
      </c>
      <c r="R27">
        <f t="shared" ca="1" si="11"/>
        <v>1105.7286654166662</v>
      </c>
      <c r="S27">
        <f t="shared" ca="1" si="17"/>
        <v>0.42324783393561072</v>
      </c>
      <c r="T27">
        <f t="shared" ca="1" si="12"/>
        <v>1</v>
      </c>
      <c r="U27">
        <f t="shared" ca="1" si="13"/>
        <v>1107</v>
      </c>
      <c r="V27">
        <f t="shared" ca="1" si="14"/>
        <v>0.20756250000000001</v>
      </c>
      <c r="X27">
        <f t="shared" ca="1" si="15"/>
        <v>0.20657916119757486</v>
      </c>
    </row>
    <row r="28" spans="1:24" x14ac:dyDescent="0.25">
      <c r="E28">
        <v>26</v>
      </c>
      <c r="F28">
        <f t="shared" si="0"/>
        <v>22.6</v>
      </c>
      <c r="G28">
        <f t="shared" ca="1" si="1"/>
        <v>22.598000000000003</v>
      </c>
      <c r="H28" s="5">
        <f t="shared" ca="1" si="2"/>
        <v>1.9999999999988916E-3</v>
      </c>
      <c r="I28" s="5">
        <f t="shared" ca="1" si="3"/>
        <v>8.8495575221189893E-5</v>
      </c>
      <c r="J28" s="10">
        <f t="shared" si="4"/>
        <v>0.21666666666666656</v>
      </c>
      <c r="K28" s="12">
        <f t="shared" ca="1" si="5"/>
        <v>0.21650000000000014</v>
      </c>
      <c r="L28" s="5">
        <f t="shared" ca="1" si="6"/>
        <v>7.6923076922966009E-4</v>
      </c>
      <c r="N28">
        <f t="shared" ca="1" si="7"/>
        <v>-2.4019999999999975</v>
      </c>
      <c r="O28">
        <f t="shared" ca="1" si="8"/>
        <v>9.9639699999999999E-4</v>
      </c>
      <c r="P28">
        <f t="shared" ca="1" si="9"/>
        <v>0.99993995000000002</v>
      </c>
      <c r="Q28">
        <f t="shared" ca="1" si="10"/>
        <v>0.21549066200863998</v>
      </c>
      <c r="R28">
        <f t="shared" ca="1" si="11"/>
        <v>1149.2835307127466</v>
      </c>
      <c r="S28">
        <f t="shared" ca="1" si="17"/>
        <v>0.4398534087423539</v>
      </c>
      <c r="T28">
        <f t="shared" ca="1" si="12"/>
        <v>-2</v>
      </c>
      <c r="U28">
        <f t="shared" ca="1" si="13"/>
        <v>1148</v>
      </c>
      <c r="V28">
        <f t="shared" ca="1" si="14"/>
        <v>0.21525</v>
      </c>
      <c r="X28">
        <f t="shared" ca="1" si="15"/>
        <v>0.21426646970150556</v>
      </c>
    </row>
    <row r="29" spans="1:24" x14ac:dyDescent="0.25">
      <c r="A29" t="s">
        <v>68</v>
      </c>
      <c r="B29">
        <v>25</v>
      </c>
      <c r="E29">
        <v>27</v>
      </c>
      <c r="F29">
        <f t="shared" si="0"/>
        <v>22.7</v>
      </c>
      <c r="G29">
        <f t="shared" ca="1" si="1"/>
        <v>22.706</v>
      </c>
      <c r="H29" s="5">
        <f t="shared" ca="1" si="2"/>
        <v>6.0000000000002274E-3</v>
      </c>
      <c r="I29" s="5">
        <f t="shared" ca="1" si="3"/>
        <v>2.643171806167501E-4</v>
      </c>
      <c r="J29" s="10">
        <f t="shared" si="4"/>
        <v>0.22499999999999987</v>
      </c>
      <c r="K29" s="12">
        <f t="shared" ca="1" si="5"/>
        <v>0.22549999999999981</v>
      </c>
      <c r="L29" s="5">
        <f t="shared" ca="1" si="6"/>
        <v>2.2222222222219789E-3</v>
      </c>
      <c r="N29">
        <f t="shared" ca="1" si="7"/>
        <v>-2.2940000000000005</v>
      </c>
      <c r="O29">
        <f t="shared" ca="1" si="8"/>
        <v>9.9655899999999994E-4</v>
      </c>
      <c r="P29">
        <f t="shared" ca="1" si="9"/>
        <v>0.99994265000000004</v>
      </c>
      <c r="Q29">
        <f t="shared" ca="1" si="10"/>
        <v>0.22449056572765846</v>
      </c>
      <c r="R29">
        <f t="shared" ca="1" si="11"/>
        <v>1197.2830172141785</v>
      </c>
      <c r="S29">
        <f t="shared" ca="1" si="17"/>
        <v>0.4581446291210477</v>
      </c>
      <c r="T29">
        <f t="shared" ca="1" si="12"/>
        <v>-2</v>
      </c>
      <c r="U29">
        <f t="shared" ca="1" si="13"/>
        <v>1196</v>
      </c>
      <c r="V29">
        <f t="shared" ca="1" si="14"/>
        <v>0.22425</v>
      </c>
      <c r="X29">
        <f t="shared" ca="1" si="15"/>
        <v>0.22326624531916905</v>
      </c>
    </row>
    <row r="30" spans="1:24" x14ac:dyDescent="0.25">
      <c r="E30">
        <v>28</v>
      </c>
      <c r="F30">
        <f t="shared" si="0"/>
        <v>22.8</v>
      </c>
      <c r="G30">
        <f t="shared" ca="1" si="1"/>
        <v>22.797000000000001</v>
      </c>
      <c r="H30" s="5">
        <f t="shared" ca="1" si="2"/>
        <v>3.0000000000001137E-3</v>
      </c>
      <c r="I30" s="5">
        <f t="shared" ca="1" si="3"/>
        <v>1.3157894736842604E-4</v>
      </c>
      <c r="J30" s="10">
        <f t="shared" si="4"/>
        <v>0.23333333333333317</v>
      </c>
      <c r="K30" s="12">
        <f t="shared" ca="1" si="5"/>
        <v>0.23308333333333331</v>
      </c>
      <c r="L30" s="5">
        <f t="shared" ca="1" si="6"/>
        <v>1.0714285714279784E-3</v>
      </c>
      <c r="N30">
        <f t="shared" ca="1" si="7"/>
        <v>-2.2029999999999994</v>
      </c>
      <c r="O30">
        <f t="shared" ca="1" si="8"/>
        <v>9.9669550000000009E-4</v>
      </c>
      <c r="P30">
        <f t="shared" ca="1" si="9"/>
        <v>0.99994492499999998</v>
      </c>
      <c r="Q30">
        <f t="shared" ca="1" si="10"/>
        <v>0.23207385566175462</v>
      </c>
      <c r="R30">
        <f t="shared" ca="1" si="11"/>
        <v>1237.7272301960247</v>
      </c>
      <c r="S30">
        <f t="shared" ca="1" si="17"/>
        <v>0.47354923663271048</v>
      </c>
      <c r="T30">
        <f t="shared" ca="1" si="12"/>
        <v>3</v>
      </c>
      <c r="U30">
        <f t="shared" ca="1" si="13"/>
        <v>1241</v>
      </c>
      <c r="V30">
        <f t="shared" ca="1" si="14"/>
        <v>0.23268749999999999</v>
      </c>
      <c r="X30">
        <f t="shared" ca="1" si="15"/>
        <v>0.23170356557387398</v>
      </c>
    </row>
    <row r="31" spans="1:24" x14ac:dyDescent="0.25">
      <c r="E31">
        <v>29</v>
      </c>
      <c r="F31">
        <f t="shared" si="0"/>
        <v>22.9</v>
      </c>
      <c r="G31">
        <f t="shared" ca="1" si="1"/>
        <v>22.898</v>
      </c>
      <c r="H31" s="5">
        <f t="shared" ca="1" si="2"/>
        <v>1.9999999999988916E-3</v>
      </c>
      <c r="I31" s="5">
        <f t="shared" ca="1" si="3"/>
        <v>8.7336244541436314E-5</v>
      </c>
      <c r="J31" s="10">
        <f t="shared" si="4"/>
        <v>0.24166666666666647</v>
      </c>
      <c r="K31" s="12">
        <f t="shared" ca="1" si="5"/>
        <v>0.24149999999999983</v>
      </c>
      <c r="L31" s="5">
        <f t="shared" ca="1" si="6"/>
        <v>6.896551724137177E-4</v>
      </c>
      <c r="N31">
        <f t="shared" ca="1" si="7"/>
        <v>-2.1020000000000003</v>
      </c>
      <c r="O31">
        <f t="shared" ca="1" si="8"/>
        <v>9.9684699999999992E-4</v>
      </c>
      <c r="P31">
        <f t="shared" ca="1" si="9"/>
        <v>0.99994744999999996</v>
      </c>
      <c r="Q31">
        <f t="shared" ca="1" si="10"/>
        <v>0.24049051455930967</v>
      </c>
      <c r="R31">
        <f t="shared" ca="1" si="11"/>
        <v>1282.6160776496515</v>
      </c>
      <c r="S31">
        <f t="shared" ca="1" si="17"/>
        <v>0.49063839366783635</v>
      </c>
      <c r="T31">
        <f t="shared" ca="1" si="12"/>
        <v>-1</v>
      </c>
      <c r="U31">
        <f t="shared" ca="1" si="13"/>
        <v>1282</v>
      </c>
      <c r="V31">
        <f t="shared" ca="1" si="14"/>
        <v>0.24037500000000001</v>
      </c>
      <c r="X31">
        <f t="shared" ca="1" si="15"/>
        <v>0.23939073298301827</v>
      </c>
    </row>
    <row r="32" spans="1:24" x14ac:dyDescent="0.25">
      <c r="E32">
        <v>30</v>
      </c>
      <c r="F32">
        <f t="shared" si="0"/>
        <v>23</v>
      </c>
      <c r="G32">
        <f t="shared" ca="1" si="1"/>
        <v>22.994</v>
      </c>
      <c r="H32" s="5">
        <f t="shared" ca="1" si="2"/>
        <v>6.0000000000002274E-3</v>
      </c>
      <c r="I32" s="5">
        <f t="shared" ca="1" si="3"/>
        <v>2.608695652174012E-4</v>
      </c>
      <c r="J32" s="10">
        <f t="shared" si="4"/>
        <v>0.24999999999999978</v>
      </c>
      <c r="K32" s="12">
        <f t="shared" ca="1" si="5"/>
        <v>0.24949999999999983</v>
      </c>
      <c r="L32" s="5">
        <f t="shared" ca="1" si="6"/>
        <v>1.9999999999997815E-3</v>
      </c>
      <c r="N32">
        <f t="shared" ca="1" si="7"/>
        <v>-2.0060000000000002</v>
      </c>
      <c r="O32">
        <f t="shared" ca="1" si="8"/>
        <v>9.9699100000000002E-4</v>
      </c>
      <c r="P32">
        <f t="shared" ca="1" si="9"/>
        <v>0.99994985000000003</v>
      </c>
      <c r="Q32">
        <f t="shared" ca="1" si="10"/>
        <v>0.2484905465740985</v>
      </c>
      <c r="R32">
        <f t="shared" ca="1" si="11"/>
        <v>1325.2829150618586</v>
      </c>
      <c r="S32">
        <f t="shared" ca="1" si="17"/>
        <v>0.50687321391401907</v>
      </c>
      <c r="T32">
        <f t="shared" ca="1" si="12"/>
        <v>2</v>
      </c>
      <c r="U32">
        <f t="shared" ca="1" si="13"/>
        <v>1328</v>
      </c>
      <c r="V32">
        <f t="shared" ca="1" si="14"/>
        <v>0.249</v>
      </c>
      <c r="X32">
        <f t="shared" ca="1" si="15"/>
        <v>0.24801544697466577</v>
      </c>
    </row>
    <row r="33" spans="5:24" x14ac:dyDescent="0.25">
      <c r="E33">
        <v>31</v>
      </c>
      <c r="F33">
        <f t="shared" si="0"/>
        <v>23.1</v>
      </c>
      <c r="G33">
        <f t="shared" ca="1" si="1"/>
        <v>23.091000000000001</v>
      </c>
      <c r="H33" s="5">
        <f t="shared" ca="1" si="2"/>
        <v>9.0000000000003411E-3</v>
      </c>
      <c r="I33" s="5">
        <f t="shared" ca="1" si="3"/>
        <v>3.8961038961040436E-4</v>
      </c>
      <c r="J33" s="10">
        <f t="shared" si="4"/>
        <v>0.2583333333333333</v>
      </c>
      <c r="K33" s="12">
        <f t="shared" ca="1" si="5"/>
        <v>0.25758333333333328</v>
      </c>
      <c r="L33" s="5">
        <f t="shared" ca="1" si="6"/>
        <v>2.9032258064517233E-3</v>
      </c>
      <c r="N33">
        <f t="shared" ca="1" si="7"/>
        <v>-1.9089999999999989</v>
      </c>
      <c r="O33">
        <f t="shared" ca="1" si="8"/>
        <v>9.9713649999999998E-4</v>
      </c>
      <c r="P33">
        <f t="shared" ca="1" si="9"/>
        <v>0.99995227499999995</v>
      </c>
      <c r="Q33">
        <f t="shared" ca="1" si="10"/>
        <v>0.25657395125708937</v>
      </c>
      <c r="R33">
        <f t="shared" ca="1" si="11"/>
        <v>1368.3944067044765</v>
      </c>
      <c r="S33">
        <f t="shared" ca="1" si="17"/>
        <v>0.52326861037826866</v>
      </c>
      <c r="T33">
        <f t="shared" ca="1" si="12"/>
        <v>-1</v>
      </c>
      <c r="U33">
        <f t="shared" ca="1" si="13"/>
        <v>1368</v>
      </c>
      <c r="V33">
        <f t="shared" ca="1" si="14"/>
        <v>0.25650000000000001</v>
      </c>
      <c r="X33">
        <f t="shared" ca="1" si="15"/>
        <v>0.25551505795614099</v>
      </c>
    </row>
    <row r="34" spans="5:24" x14ac:dyDescent="0.25">
      <c r="E34">
        <v>32</v>
      </c>
      <c r="F34">
        <f t="shared" si="0"/>
        <v>23.2</v>
      </c>
      <c r="G34">
        <f t="shared" ca="1" si="1"/>
        <v>23.192999999999998</v>
      </c>
      <c r="H34" s="5">
        <f t="shared" ca="1" si="2"/>
        <v>7.0000000000014495E-3</v>
      </c>
      <c r="I34" s="5">
        <f t="shared" ca="1" si="3"/>
        <v>3.0172413793109695E-4</v>
      </c>
      <c r="J34" s="10">
        <f t="shared" si="4"/>
        <v>0.26666666666666639</v>
      </c>
      <c r="K34" s="12">
        <f t="shared" ca="1" si="5"/>
        <v>0.26608333333333301</v>
      </c>
      <c r="L34" s="5">
        <f t="shared" ca="1" si="6"/>
        <v>2.1875000000001776E-3</v>
      </c>
      <c r="N34">
        <f t="shared" ca="1" si="7"/>
        <v>-1.8070000000000022</v>
      </c>
      <c r="O34">
        <f t="shared" ca="1" si="8"/>
        <v>9.9728950000000012E-4</v>
      </c>
      <c r="P34">
        <f t="shared" ca="1" si="9"/>
        <v>0.99995482499999999</v>
      </c>
      <c r="Q34">
        <f t="shared" ca="1" si="10"/>
        <v>0.26507406857130283</v>
      </c>
      <c r="R34">
        <f t="shared" ca="1" si="11"/>
        <v>1413.7283657136152</v>
      </c>
      <c r="S34">
        <f t="shared" ca="1" si="17"/>
        <v>0.54049956837484858</v>
      </c>
      <c r="T34">
        <f t="shared" ca="1" si="12"/>
        <v>0</v>
      </c>
      <c r="U34">
        <f t="shared" ca="1" si="13"/>
        <v>1414</v>
      </c>
      <c r="V34">
        <f t="shared" ca="1" si="14"/>
        <v>0.265125</v>
      </c>
      <c r="X34">
        <f t="shared" ca="1" si="15"/>
        <v>0.26413964300837289</v>
      </c>
    </row>
    <row r="35" spans="5:24" x14ac:dyDescent="0.25">
      <c r="E35">
        <v>33</v>
      </c>
      <c r="F35">
        <f t="shared" si="0"/>
        <v>23.3</v>
      </c>
      <c r="G35">
        <f t="shared" ca="1" si="1"/>
        <v>23.305</v>
      </c>
      <c r="H35" s="5">
        <f t="shared" ca="1" si="2"/>
        <v>4.9999999999990052E-3</v>
      </c>
      <c r="I35" s="5">
        <f t="shared" ca="1" si="3"/>
        <v>2.1459227467806889E-4</v>
      </c>
      <c r="J35" s="10">
        <f t="shared" si="4"/>
        <v>0.27499999999999991</v>
      </c>
      <c r="K35" s="12">
        <f t="shared" ca="1" si="5"/>
        <v>0.27541666666666642</v>
      </c>
      <c r="L35" s="5">
        <f t="shared" ca="1" si="6"/>
        <v>1.5151515151509451E-3</v>
      </c>
      <c r="N35">
        <f t="shared" ca="1" si="7"/>
        <v>-1.6950000000000003</v>
      </c>
      <c r="O35">
        <f t="shared" ca="1" si="8"/>
        <v>9.9745749999999994E-4</v>
      </c>
      <c r="P35">
        <f t="shared" ca="1" si="9"/>
        <v>0.99995762499999996</v>
      </c>
      <c r="Q35">
        <f t="shared" ca="1" si="10"/>
        <v>0.27440758065267795</v>
      </c>
      <c r="R35">
        <f t="shared" ca="1" si="11"/>
        <v>1463.5070968142825</v>
      </c>
      <c r="S35">
        <f t="shared" ca="1" si="17"/>
        <v>0.55940816388109427</v>
      </c>
      <c r="T35">
        <f t="shared" ca="1" si="12"/>
        <v>-3</v>
      </c>
      <c r="U35">
        <f t="shared" ca="1" si="13"/>
        <v>1461</v>
      </c>
      <c r="V35">
        <f t="shared" ca="1" si="14"/>
        <v>0.2739375</v>
      </c>
      <c r="X35">
        <f t="shared" ca="1" si="15"/>
        <v>0.27295160882442393</v>
      </c>
    </row>
    <row r="36" spans="5:24" x14ac:dyDescent="0.25">
      <c r="E36">
        <v>34</v>
      </c>
      <c r="F36">
        <f t="shared" si="0"/>
        <v>23.4</v>
      </c>
      <c r="G36">
        <f t="shared" ca="1" si="1"/>
        <v>23.404999999999998</v>
      </c>
      <c r="H36" s="5">
        <f t="shared" ca="1" si="2"/>
        <v>4.9999999999990052E-3</v>
      </c>
      <c r="I36" s="5">
        <f t="shared" ca="1" si="3"/>
        <v>2.1367521367517117E-4</v>
      </c>
      <c r="J36" s="10">
        <f t="shared" si="4"/>
        <v>0.28333333333333299</v>
      </c>
      <c r="K36" s="12">
        <f t="shared" ca="1" si="5"/>
        <v>0.28374999999999972</v>
      </c>
      <c r="L36" s="5">
        <f t="shared" ca="1" si="6"/>
        <v>1.4705882352943492E-3</v>
      </c>
      <c r="N36">
        <f t="shared" ca="1" si="7"/>
        <v>-1.5950000000000024</v>
      </c>
      <c r="O36">
        <f t="shared" ca="1" si="8"/>
        <v>9.9760749999999992E-4</v>
      </c>
      <c r="P36">
        <f t="shared" ca="1" si="9"/>
        <v>0.99996012499999998</v>
      </c>
      <c r="Q36">
        <f t="shared" ca="1" si="10"/>
        <v>0.28274111774834876</v>
      </c>
      <c r="R36">
        <f t="shared" ca="1" si="11"/>
        <v>1507.9526279911934</v>
      </c>
      <c r="S36">
        <f t="shared" ca="1" si="17"/>
        <v>0.57628017405478826</v>
      </c>
      <c r="T36">
        <f t="shared" ca="1" si="12"/>
        <v>-2</v>
      </c>
      <c r="U36">
        <f t="shared" ca="1" si="13"/>
        <v>1507</v>
      </c>
      <c r="V36">
        <f t="shared" ca="1" si="14"/>
        <v>0.28256249999999999</v>
      </c>
      <c r="X36">
        <f t="shared" ca="1" si="15"/>
        <v>0.28157612034779889</v>
      </c>
    </row>
    <row r="37" spans="5:24" x14ac:dyDescent="0.25">
      <c r="E37">
        <v>35</v>
      </c>
      <c r="F37">
        <f t="shared" si="0"/>
        <v>23.5</v>
      </c>
      <c r="G37">
        <f t="shared" ca="1" si="1"/>
        <v>23.507000000000001</v>
      </c>
      <c r="H37" s="5">
        <f t="shared" ca="1" si="2"/>
        <v>7.0000000000014495E-3</v>
      </c>
      <c r="I37" s="5">
        <f t="shared" ca="1" si="3"/>
        <v>2.9787234042559361E-4</v>
      </c>
      <c r="J37" s="10">
        <f t="shared" si="4"/>
        <v>0.29166666666666652</v>
      </c>
      <c r="K37" s="12">
        <f t="shared" ca="1" si="5"/>
        <v>0.2922499999999999</v>
      </c>
      <c r="L37" s="5">
        <f t="shared" ca="1" si="6"/>
        <v>2.0000000000001614E-3</v>
      </c>
      <c r="N37">
        <f t="shared" ca="1" si="7"/>
        <v>-1.4929999999999986</v>
      </c>
      <c r="O37">
        <f t="shared" ca="1" si="8"/>
        <v>9.9776050000000005E-4</v>
      </c>
      <c r="P37">
        <f t="shared" ca="1" si="9"/>
        <v>0.99996267500000002</v>
      </c>
      <c r="Q37">
        <f t="shared" ca="1" si="10"/>
        <v>0.29124136851016058</v>
      </c>
      <c r="R37">
        <f t="shared" ca="1" si="11"/>
        <v>1553.2872987208564</v>
      </c>
      <c r="S37">
        <f t="shared" ca="1" si="17"/>
        <v>0.59347892935192259</v>
      </c>
      <c r="T37">
        <f t="shared" ca="1" si="12"/>
        <v>-2</v>
      </c>
      <c r="U37">
        <f t="shared" ca="1" si="13"/>
        <v>1552</v>
      </c>
      <c r="V37">
        <f t="shared" ca="1" si="14"/>
        <v>0.29099999999999998</v>
      </c>
      <c r="X37">
        <f t="shared" ca="1" si="15"/>
        <v>0.29001306423762263</v>
      </c>
    </row>
    <row r="38" spans="5:24" x14ac:dyDescent="0.25">
      <c r="E38">
        <v>36</v>
      </c>
      <c r="F38">
        <f t="shared" si="0"/>
        <v>23.6</v>
      </c>
      <c r="G38">
        <f t="shared" ca="1" si="1"/>
        <v>23.608000000000001</v>
      </c>
      <c r="H38" s="5">
        <f t="shared" ca="1" si="2"/>
        <v>7.9999999999991189E-3</v>
      </c>
      <c r="I38" s="5">
        <f t="shared" ca="1" si="3"/>
        <v>3.389830508474203E-4</v>
      </c>
      <c r="J38" s="10">
        <f t="shared" si="4"/>
        <v>0.30000000000000004</v>
      </c>
      <c r="K38" s="12">
        <f t="shared" ca="1" si="5"/>
        <v>0.30066666666666664</v>
      </c>
      <c r="L38" s="5">
        <f t="shared" ca="1" si="6"/>
        <v>2.2222222222219772E-3</v>
      </c>
      <c r="N38">
        <f t="shared" ca="1" si="7"/>
        <v>-1.3919999999999995</v>
      </c>
      <c r="O38">
        <f t="shared" ca="1" si="8"/>
        <v>9.979120000000001E-4</v>
      </c>
      <c r="P38">
        <f t="shared" ca="1" si="9"/>
        <v>0.9999652</v>
      </c>
      <c r="Q38">
        <f t="shared" ca="1" si="10"/>
        <v>0.29965832619400423</v>
      </c>
      <c r="R38">
        <f t="shared" ca="1" si="11"/>
        <v>1598.1777397013559</v>
      </c>
      <c r="S38">
        <f t="shared" ca="1" si="17"/>
        <v>0.61049810957891348</v>
      </c>
      <c r="T38">
        <f t="shared" ca="1" si="12"/>
        <v>-2</v>
      </c>
      <c r="U38">
        <f t="shared" ca="1" si="13"/>
        <v>1597</v>
      </c>
      <c r="V38">
        <f t="shared" ca="1" si="14"/>
        <v>0.29943750000000002</v>
      </c>
      <c r="X38">
        <f t="shared" ca="1" si="15"/>
        <v>0.29844997405909729</v>
      </c>
    </row>
    <row r="39" spans="5:24" x14ac:dyDescent="0.25">
      <c r="E39">
        <v>37</v>
      </c>
      <c r="F39">
        <f t="shared" si="0"/>
        <v>23.7</v>
      </c>
      <c r="G39">
        <f t="shared" ca="1" si="1"/>
        <v>23.707999999999998</v>
      </c>
      <c r="H39" s="5">
        <f t="shared" ca="1" si="2"/>
        <v>7.9999999999991189E-3</v>
      </c>
      <c r="I39" s="5">
        <f t="shared" ca="1" si="3"/>
        <v>3.3755274261599661E-4</v>
      </c>
      <c r="J39" s="10">
        <f t="shared" si="4"/>
        <v>0.30833333333333313</v>
      </c>
      <c r="K39" s="12">
        <f t="shared" ca="1" si="5"/>
        <v>0.30899999999999972</v>
      </c>
      <c r="L39" s="5">
        <f t="shared" ca="1" si="6"/>
        <v>2.1621621621619254E-3</v>
      </c>
      <c r="N39">
        <f t="shared" ca="1" si="7"/>
        <v>-1.2920000000000016</v>
      </c>
      <c r="O39">
        <f t="shared" ca="1" si="8"/>
        <v>9.9806200000000008E-4</v>
      </c>
      <c r="P39">
        <f t="shared" ca="1" si="9"/>
        <v>0.99996770000000001</v>
      </c>
      <c r="Q39">
        <f t="shared" ca="1" si="10"/>
        <v>0.30799198953740231</v>
      </c>
      <c r="R39">
        <f t="shared" ca="1" si="11"/>
        <v>1642.623944199479</v>
      </c>
      <c r="S39">
        <f t="shared" ca="1" si="17"/>
        <v>0.62733772792728826</v>
      </c>
      <c r="T39">
        <f t="shared" ca="1" si="12"/>
        <v>1</v>
      </c>
      <c r="U39">
        <f t="shared" ca="1" si="13"/>
        <v>1644</v>
      </c>
      <c r="V39">
        <f t="shared" ca="1" si="14"/>
        <v>0.30825000000000002</v>
      </c>
      <c r="X39">
        <f t="shared" ca="1" si="15"/>
        <v>0.30726186255816063</v>
      </c>
    </row>
    <row r="40" spans="5:24" x14ac:dyDescent="0.25">
      <c r="E40">
        <v>38</v>
      </c>
      <c r="F40">
        <f t="shared" si="0"/>
        <v>23.8</v>
      </c>
      <c r="G40">
        <f t="shared" ca="1" si="1"/>
        <v>23.79</v>
      </c>
      <c r="H40" s="5">
        <f t="shared" ca="1" si="2"/>
        <v>1.0000000000001563E-2</v>
      </c>
      <c r="I40" s="5">
        <f t="shared" ca="1" si="3"/>
        <v>4.2016806722695643E-4</v>
      </c>
      <c r="J40" s="10">
        <f t="shared" si="4"/>
        <v>0.31666666666666665</v>
      </c>
      <c r="K40" s="12">
        <f t="shared" ca="1" si="5"/>
        <v>0.31583333333333319</v>
      </c>
      <c r="L40" s="5">
        <f t="shared" ca="1" si="6"/>
        <v>2.6315789473688326E-3</v>
      </c>
      <c r="N40">
        <f t="shared" ca="1" si="7"/>
        <v>-1.2100000000000009</v>
      </c>
      <c r="O40">
        <f t="shared" ca="1" si="8"/>
        <v>9.9818499999999996E-4</v>
      </c>
      <c r="P40">
        <f t="shared" ca="1" si="9"/>
        <v>0.99996974999999999</v>
      </c>
      <c r="Q40">
        <f t="shared" ca="1" si="10"/>
        <v>0.31482562457009611</v>
      </c>
      <c r="R40">
        <f t="shared" ca="1" si="11"/>
        <v>1679.0699977071793</v>
      </c>
      <c r="S40">
        <f t="shared" ca="1" si="17"/>
        <v>0.64113779130190962</v>
      </c>
      <c r="T40">
        <f t="shared" ca="1" si="12"/>
        <v>3</v>
      </c>
      <c r="U40">
        <f t="shared" ca="1" si="13"/>
        <v>1683</v>
      </c>
      <c r="V40">
        <f t="shared" ca="1" si="14"/>
        <v>0.31556250000000002</v>
      </c>
      <c r="X40">
        <f t="shared" ca="1" si="15"/>
        <v>0.31457383085838353</v>
      </c>
    </row>
    <row r="41" spans="5:24" x14ac:dyDescent="0.25">
      <c r="E41">
        <v>39</v>
      </c>
      <c r="F41">
        <f t="shared" si="0"/>
        <v>23.9</v>
      </c>
      <c r="G41">
        <f t="shared" ca="1" si="1"/>
        <v>23.893999999999998</v>
      </c>
      <c r="H41" s="5">
        <f t="shared" ca="1" si="2"/>
        <v>6.0000000000002274E-3</v>
      </c>
      <c r="I41" s="5">
        <f t="shared" ca="1" si="3"/>
        <v>2.5104602510461201E-4</v>
      </c>
      <c r="J41" s="10">
        <f t="shared" si="4"/>
        <v>0.32499999999999973</v>
      </c>
      <c r="K41" s="12">
        <f t="shared" ca="1" si="5"/>
        <v>0.32449999999999979</v>
      </c>
      <c r="L41" s="5">
        <f t="shared" ca="1" si="6"/>
        <v>1.5384615384613702E-3</v>
      </c>
      <c r="N41">
        <f t="shared" ca="1" si="7"/>
        <v>-1.1060000000000016</v>
      </c>
      <c r="O41">
        <f t="shared" ca="1" si="8"/>
        <v>9.9834100000000003E-4</v>
      </c>
      <c r="P41">
        <f t="shared" ca="1" si="9"/>
        <v>0.99997234999999995</v>
      </c>
      <c r="Q41">
        <f t="shared" ca="1" si="10"/>
        <v>0.32349271417912839</v>
      </c>
      <c r="R41">
        <f t="shared" ca="1" si="11"/>
        <v>1725.2944756220181</v>
      </c>
      <c r="S41">
        <f t="shared" ca="1" si="17"/>
        <v>0.65862911028597915</v>
      </c>
      <c r="T41">
        <f t="shared" ca="1" si="12"/>
        <v>-1</v>
      </c>
      <c r="U41">
        <f t="shared" ca="1" si="13"/>
        <v>1725</v>
      </c>
      <c r="V41">
        <f t="shared" ca="1" si="14"/>
        <v>0.32343749999999999</v>
      </c>
      <c r="X41">
        <f t="shared" ca="1" si="15"/>
        <v>0.32244807468926517</v>
      </c>
    </row>
    <row r="42" spans="5:24" x14ac:dyDescent="0.25">
      <c r="E42">
        <v>40</v>
      </c>
      <c r="F42">
        <f t="shared" si="0"/>
        <v>24</v>
      </c>
      <c r="G42">
        <f t="shared" ca="1" si="1"/>
        <v>23.992000000000001</v>
      </c>
      <c r="H42" s="5">
        <f t="shared" ca="1" si="2"/>
        <v>7.9999999999991189E-3</v>
      </c>
      <c r="I42" s="5">
        <f t="shared" ca="1" si="3"/>
        <v>3.3333333333329662E-4</v>
      </c>
      <c r="J42" s="10">
        <f t="shared" si="4"/>
        <v>0.33333333333333326</v>
      </c>
      <c r="K42" s="12">
        <f t="shared" ca="1" si="5"/>
        <v>0.33266666666666667</v>
      </c>
      <c r="L42" s="5">
        <f t="shared" ca="1" si="6"/>
        <v>1.9999999999997802E-3</v>
      </c>
      <c r="N42">
        <f t="shared" ca="1" si="7"/>
        <v>-1.0079999999999991</v>
      </c>
      <c r="O42">
        <f t="shared" ca="1" si="8"/>
        <v>9.9848800000000007E-4</v>
      </c>
      <c r="P42">
        <f t="shared" ca="1" si="9"/>
        <v>0.99997480000000005</v>
      </c>
      <c r="Q42">
        <f t="shared" ca="1" si="10"/>
        <v>0.33165982062856425</v>
      </c>
      <c r="R42">
        <f t="shared" ca="1" si="11"/>
        <v>1768.8523766856761</v>
      </c>
      <c r="S42">
        <f t="shared" ca="1" si="17"/>
        <v>0.67509956626258383</v>
      </c>
      <c r="T42">
        <f t="shared" ca="1" si="12"/>
        <v>0</v>
      </c>
      <c r="U42">
        <f t="shared" ca="1" si="13"/>
        <v>1770</v>
      </c>
      <c r="V42">
        <f t="shared" ca="1" si="14"/>
        <v>0.33187500000000003</v>
      </c>
      <c r="X42">
        <f t="shared" ca="1" si="15"/>
        <v>0.33088485029822751</v>
      </c>
    </row>
    <row r="43" spans="5:24" x14ac:dyDescent="0.25">
      <c r="E43">
        <v>41</v>
      </c>
      <c r="F43">
        <f t="shared" si="0"/>
        <v>24.1</v>
      </c>
      <c r="G43">
        <f t="shared" ca="1" si="1"/>
        <v>24.107000000000003</v>
      </c>
      <c r="H43" s="5">
        <f t="shared" ca="1" si="2"/>
        <v>7.0000000000014495E-3</v>
      </c>
      <c r="I43" s="5">
        <f t="shared" ca="1" si="3"/>
        <v>2.9045643153532985E-4</v>
      </c>
      <c r="J43" s="10">
        <f t="shared" si="4"/>
        <v>0.34166666666666656</v>
      </c>
      <c r="K43" s="12">
        <f t="shared" ca="1" si="5"/>
        <v>0.34225000000000017</v>
      </c>
      <c r="L43" s="5">
        <f t="shared" ca="1" si="6"/>
        <v>1.7073170731715191E-3</v>
      </c>
      <c r="N43">
        <f t="shared" ca="1" si="7"/>
        <v>-0.89299999999999713</v>
      </c>
      <c r="O43">
        <f t="shared" ca="1" si="8"/>
        <v>9.9866050000000013E-4</v>
      </c>
      <c r="P43">
        <f t="shared" ca="1" si="9"/>
        <v>0.99997767500000001</v>
      </c>
      <c r="Q43">
        <f t="shared" ca="1" si="10"/>
        <v>0.34124372106384582</v>
      </c>
      <c r="R43">
        <f t="shared" ca="1" si="11"/>
        <v>1819.9665123405109</v>
      </c>
      <c r="S43">
        <f t="shared" ca="1" si="17"/>
        <v>0.6944122097781914</v>
      </c>
      <c r="T43">
        <f t="shared" ca="1" si="12"/>
        <v>-2</v>
      </c>
      <c r="U43">
        <f t="shared" ca="1" si="13"/>
        <v>1819</v>
      </c>
      <c r="V43">
        <f t="shared" ca="1" si="14"/>
        <v>0.34106249999999999</v>
      </c>
      <c r="X43">
        <f t="shared" ca="1" si="15"/>
        <v>0.34007143159471032</v>
      </c>
    </row>
    <row r="44" spans="5:24" x14ac:dyDescent="0.25">
      <c r="E44">
        <v>42</v>
      </c>
      <c r="F44">
        <f t="shared" si="0"/>
        <v>24.2</v>
      </c>
      <c r="G44">
        <f t="shared" ca="1" si="1"/>
        <v>24.207999999999998</v>
      </c>
      <c r="H44" s="5">
        <f t="shared" ca="1" si="2"/>
        <v>7.9999999999991189E-3</v>
      </c>
      <c r="I44" s="5">
        <f t="shared" ca="1" si="3"/>
        <v>3.3057851239665781E-4</v>
      </c>
      <c r="J44" s="10">
        <f t="shared" si="4"/>
        <v>0.34999999999999987</v>
      </c>
      <c r="K44" s="12">
        <f t="shared" ca="1" si="5"/>
        <v>0.35066666666666646</v>
      </c>
      <c r="L44" s="5">
        <f t="shared" ca="1" si="6"/>
        <v>1.9047619047616957E-3</v>
      </c>
      <c r="N44">
        <f t="shared" ca="1" si="7"/>
        <v>-0.79200000000000159</v>
      </c>
      <c r="O44">
        <f t="shared" ca="1" si="8"/>
        <v>9.9881199999999996E-4</v>
      </c>
      <c r="P44">
        <f t="shared" ca="1" si="9"/>
        <v>0.99998019999999999</v>
      </c>
      <c r="Q44">
        <f t="shared" ca="1" si="10"/>
        <v>0.34966093124314401</v>
      </c>
      <c r="R44">
        <f t="shared" ca="1" si="11"/>
        <v>1864.8582999634348</v>
      </c>
      <c r="S44">
        <f t="shared" ca="1" si="17"/>
        <v>0.71136010125896754</v>
      </c>
      <c r="T44">
        <f t="shared" ca="1" si="12"/>
        <v>-2</v>
      </c>
      <c r="U44">
        <f t="shared" ca="1" si="13"/>
        <v>1864</v>
      </c>
      <c r="V44">
        <f t="shared" ca="1" si="14"/>
        <v>0.34950000000000003</v>
      </c>
      <c r="X44">
        <f t="shared" ca="1" si="15"/>
        <v>0.34850808846015152</v>
      </c>
    </row>
    <row r="45" spans="5:24" x14ac:dyDescent="0.25">
      <c r="E45">
        <v>43</v>
      </c>
      <c r="F45">
        <f t="shared" si="0"/>
        <v>24.3</v>
      </c>
      <c r="G45">
        <f t="shared" ca="1" si="1"/>
        <v>24.291</v>
      </c>
      <c r="H45" s="5">
        <f t="shared" ca="1" si="2"/>
        <v>9.0000000000003411E-3</v>
      </c>
      <c r="I45" s="5">
        <f t="shared" ca="1" si="3"/>
        <v>3.7037037037038439E-4</v>
      </c>
      <c r="J45" s="10">
        <f t="shared" si="4"/>
        <v>0.35833333333333317</v>
      </c>
      <c r="K45" s="12">
        <f t="shared" ca="1" si="5"/>
        <v>0.35758333333333314</v>
      </c>
      <c r="L45" s="5">
        <f t="shared" ca="1" si="6"/>
        <v>2.0930232558140339E-3</v>
      </c>
      <c r="N45">
        <f t="shared" ca="1" si="7"/>
        <v>-0.70899999999999963</v>
      </c>
      <c r="O45">
        <f t="shared" ca="1" si="8"/>
        <v>9.9893649999999992E-4</v>
      </c>
      <c r="P45">
        <f t="shared" ca="1" si="9"/>
        <v>0.99998227500000003</v>
      </c>
      <c r="Q45">
        <f t="shared" ca="1" si="10"/>
        <v>0.3565780763748993</v>
      </c>
      <c r="R45">
        <f t="shared" ca="1" si="11"/>
        <v>1901.7497406661296</v>
      </c>
      <c r="S45">
        <f t="shared" ca="1" si="17"/>
        <v>0.72527779055192099</v>
      </c>
      <c r="T45">
        <f t="shared" ca="1" si="12"/>
        <v>-3</v>
      </c>
      <c r="U45">
        <f t="shared" ca="1" si="13"/>
        <v>1899</v>
      </c>
      <c r="V45">
        <f t="shared" ca="1" si="14"/>
        <v>0.3560625</v>
      </c>
      <c r="X45">
        <f t="shared" ca="1" si="15"/>
        <v>0.35506985711321731</v>
      </c>
    </row>
    <row r="46" spans="5:24" x14ac:dyDescent="0.25">
      <c r="E46">
        <v>44</v>
      </c>
      <c r="F46">
        <f t="shared" si="0"/>
        <v>24.4</v>
      </c>
      <c r="G46">
        <f t="shared" ca="1" si="1"/>
        <v>24.4</v>
      </c>
      <c r="H46" s="5">
        <f t="shared" ca="1" si="2"/>
        <v>0</v>
      </c>
      <c r="I46" s="5">
        <f t="shared" ca="1" si="3"/>
        <v>0</v>
      </c>
      <c r="J46" s="10">
        <f t="shared" si="4"/>
        <v>0.36666666666666647</v>
      </c>
      <c r="K46" s="12">
        <f t="shared" ca="1" si="5"/>
        <v>0.36666666666666647</v>
      </c>
      <c r="L46" s="5">
        <f t="shared" ca="1" si="6"/>
        <v>0</v>
      </c>
      <c r="N46">
        <f t="shared" ca="1" si="7"/>
        <v>-0.60000000000000142</v>
      </c>
      <c r="O46">
        <f t="shared" ca="1" si="8"/>
        <v>9.9909999999999994E-4</v>
      </c>
      <c r="P46">
        <f t="shared" ca="1" si="9"/>
        <v>0.99998500000000001</v>
      </c>
      <c r="Q46">
        <f t="shared" ca="1" si="10"/>
        <v>0.36566208165316649</v>
      </c>
      <c r="R46">
        <f t="shared" ca="1" si="11"/>
        <v>1950.1977688168879</v>
      </c>
      <c r="S46">
        <f t="shared" ca="1" si="17"/>
        <v>0.74354151645404631</v>
      </c>
      <c r="T46">
        <f t="shared" ca="1" si="12"/>
        <v>-1</v>
      </c>
      <c r="U46">
        <f t="shared" ca="1" si="13"/>
        <v>1950</v>
      </c>
      <c r="V46">
        <f t="shared" ca="1" si="14"/>
        <v>0.36562500000000003</v>
      </c>
      <c r="X46">
        <f t="shared" ca="1" si="15"/>
        <v>0.36463136947054209</v>
      </c>
    </row>
    <row r="47" spans="5:24" x14ac:dyDescent="0.25">
      <c r="E47">
        <v>45</v>
      </c>
      <c r="F47">
        <f t="shared" si="0"/>
        <v>24.5</v>
      </c>
      <c r="G47">
        <f t="shared" ca="1" si="1"/>
        <v>24.498999999999999</v>
      </c>
      <c r="H47" s="5">
        <f t="shared" ca="1" si="2"/>
        <v>1.0000000000012221E-3</v>
      </c>
      <c r="I47" s="5">
        <f t="shared" ca="1" si="3"/>
        <v>4.0816326530662125E-5</v>
      </c>
      <c r="J47" s="10">
        <f t="shared" si="4"/>
        <v>0.37499999999999978</v>
      </c>
      <c r="K47" s="12">
        <f t="shared" ca="1" si="5"/>
        <v>0.37491666666666634</v>
      </c>
      <c r="L47" s="5">
        <f t="shared" ca="1" si="6"/>
        <v>2.2222222222249393E-4</v>
      </c>
      <c r="N47">
        <f t="shared" ca="1" si="7"/>
        <v>-0.50100000000000122</v>
      </c>
      <c r="O47">
        <f t="shared" ca="1" si="8"/>
        <v>9.9924850000000006E-4</v>
      </c>
      <c r="P47">
        <f t="shared" ca="1" si="9"/>
        <v>0.99998747499999996</v>
      </c>
      <c r="Q47">
        <f t="shared" ca="1" si="10"/>
        <v>0.37391273485100379</v>
      </c>
      <c r="R47">
        <f t="shared" ca="1" si="11"/>
        <v>1994.201252538687</v>
      </c>
      <c r="S47">
        <f t="shared" ca="1" si="17"/>
        <v>0.76011586591877878</v>
      </c>
      <c r="T47">
        <f t="shared" ca="1" si="12"/>
        <v>2</v>
      </c>
      <c r="U47">
        <f t="shared" ca="1" si="13"/>
        <v>1997</v>
      </c>
      <c r="V47">
        <f t="shared" ca="1" si="14"/>
        <v>0.37443750000000003</v>
      </c>
      <c r="X47">
        <f t="shared" ca="1" si="15"/>
        <v>0.37344292887268421</v>
      </c>
    </row>
    <row r="48" spans="5:24" x14ac:dyDescent="0.25">
      <c r="E48">
        <v>46</v>
      </c>
      <c r="F48">
        <f t="shared" si="0"/>
        <v>24.6</v>
      </c>
      <c r="G48">
        <f t="shared" ca="1" si="1"/>
        <v>24.596</v>
      </c>
      <c r="H48" s="5">
        <f t="shared" ca="1" si="2"/>
        <v>4.0000000000013358E-3</v>
      </c>
      <c r="I48" s="5">
        <f t="shared" ca="1" si="3"/>
        <v>1.6260162601631445E-4</v>
      </c>
      <c r="J48" s="10">
        <f t="shared" si="4"/>
        <v>0.38333333333333308</v>
      </c>
      <c r="K48" s="12">
        <f t="shared" ca="1" si="5"/>
        <v>0.38299999999999979</v>
      </c>
      <c r="L48" s="5">
        <f t="shared" ca="1" si="6"/>
        <v>8.6956521739120919E-4</v>
      </c>
      <c r="N48">
        <f t="shared" ca="1" si="7"/>
        <v>-0.40399999999999991</v>
      </c>
      <c r="O48">
        <f t="shared" ca="1" si="8"/>
        <v>9.9939400000000002E-4</v>
      </c>
      <c r="P48">
        <f t="shared" ca="1" si="9"/>
        <v>0.99998989999999999</v>
      </c>
      <c r="Q48">
        <f t="shared" ca="1" si="10"/>
        <v>0.38199674779387921</v>
      </c>
      <c r="R48">
        <f t="shared" ca="1" si="11"/>
        <v>2037.3159882340224</v>
      </c>
      <c r="S48">
        <f t="shared" ca="1" si="17"/>
        <v>0.77634234002368285</v>
      </c>
      <c r="T48">
        <f t="shared" ca="1" si="12"/>
        <v>3</v>
      </c>
      <c r="U48">
        <f t="shared" ca="1" si="13"/>
        <v>2041</v>
      </c>
      <c r="V48">
        <f t="shared" ca="1" si="14"/>
        <v>0.38268750000000001</v>
      </c>
      <c r="X48">
        <f t="shared" ca="1" si="15"/>
        <v>0.38169196108880704</v>
      </c>
    </row>
    <row r="49" spans="5:24" x14ac:dyDescent="0.25">
      <c r="E49">
        <v>47</v>
      </c>
      <c r="F49">
        <f t="shared" si="0"/>
        <v>24.7</v>
      </c>
      <c r="G49">
        <f t="shared" ca="1" si="1"/>
        <v>24.692</v>
      </c>
      <c r="H49" s="5">
        <f t="shared" ca="1" si="2"/>
        <v>7.9999999999991189E-3</v>
      </c>
      <c r="I49" s="5">
        <f t="shared" ca="1" si="3"/>
        <v>3.2388663967607769E-4</v>
      </c>
      <c r="J49" s="10">
        <f t="shared" si="4"/>
        <v>0.39166666666666639</v>
      </c>
      <c r="K49" s="12">
        <f t="shared" ca="1" si="5"/>
        <v>0.39099999999999979</v>
      </c>
      <c r="L49" s="5">
        <f t="shared" ca="1" si="6"/>
        <v>1.7021276595742818E-3</v>
      </c>
      <c r="N49">
        <f t="shared" ca="1" si="7"/>
        <v>-0.30799999999999983</v>
      </c>
      <c r="O49">
        <f t="shared" ca="1" si="8"/>
        <v>9.9953800000000012E-4</v>
      </c>
      <c r="P49">
        <f t="shared" ca="1" si="9"/>
        <v>0.99999229999999995</v>
      </c>
      <c r="Q49">
        <f t="shared" ca="1" si="10"/>
        <v>0.38999745899644234</v>
      </c>
      <c r="R49">
        <f t="shared" ca="1" si="11"/>
        <v>2079.9864479810258</v>
      </c>
      <c r="S49">
        <f t="shared" ca="1" si="17"/>
        <v>0.79238854873305831</v>
      </c>
      <c r="T49">
        <f t="shared" ca="1" si="12"/>
        <v>1</v>
      </c>
      <c r="U49">
        <f t="shared" ca="1" si="13"/>
        <v>2082</v>
      </c>
      <c r="V49">
        <f t="shared" ca="1" si="14"/>
        <v>0.39037500000000003</v>
      </c>
      <c r="X49">
        <f t="shared" ca="1" si="15"/>
        <v>0.38937846021414368</v>
      </c>
    </row>
    <row r="50" spans="5:24" x14ac:dyDescent="0.25">
      <c r="E50">
        <v>48</v>
      </c>
      <c r="F50">
        <f t="shared" si="0"/>
        <v>24.8</v>
      </c>
      <c r="G50">
        <f t="shared" ca="1" si="1"/>
        <v>24.8</v>
      </c>
      <c r="H50" s="5">
        <f t="shared" ca="1" si="2"/>
        <v>0</v>
      </c>
      <c r="I50" s="5">
        <f t="shared" ca="1" si="3"/>
        <v>0</v>
      </c>
      <c r="J50" s="10">
        <f t="shared" si="4"/>
        <v>0.39999999999999969</v>
      </c>
      <c r="K50" s="12">
        <f t="shared" ca="1" si="5"/>
        <v>0.39999999999999969</v>
      </c>
      <c r="L50" s="5">
        <f t="shared" ca="1" si="6"/>
        <v>0</v>
      </c>
      <c r="N50">
        <f t="shared" ca="1" si="7"/>
        <v>-0.19999999999999929</v>
      </c>
      <c r="O50">
        <f t="shared" ca="1" si="8"/>
        <v>9.9970000000000007E-4</v>
      </c>
      <c r="P50">
        <f t="shared" ca="1" si="9"/>
        <v>0.99999499999999997</v>
      </c>
      <c r="Q50">
        <f t="shared" ca="1" si="10"/>
        <v>0.3989983049984997</v>
      </c>
      <c r="R50">
        <f t="shared" ca="1" si="11"/>
        <v>2127.9909599919984</v>
      </c>
      <c r="S50">
        <f t="shared" ca="1" si="17"/>
        <v>0.81042476047873035</v>
      </c>
      <c r="T50">
        <f t="shared" ca="1" si="12"/>
        <v>0</v>
      </c>
      <c r="U50">
        <f t="shared" ca="1" si="13"/>
        <v>2129</v>
      </c>
      <c r="V50">
        <f t="shared" ca="1" si="14"/>
        <v>0.39918750000000003</v>
      </c>
      <c r="X50">
        <f t="shared" ca="1" si="15"/>
        <v>0.39818979094895479</v>
      </c>
    </row>
    <row r="51" spans="5:24" x14ac:dyDescent="0.25">
      <c r="E51">
        <v>49</v>
      </c>
      <c r="F51">
        <f t="shared" si="0"/>
        <v>24.9</v>
      </c>
      <c r="G51">
        <f t="shared" ca="1" si="1"/>
        <v>24.890999999999998</v>
      </c>
      <c r="H51" s="5">
        <f t="shared" ca="1" si="2"/>
        <v>9.0000000000003411E-3</v>
      </c>
      <c r="I51" s="5">
        <f t="shared" ca="1" si="3"/>
        <v>3.6144578313254385E-4</v>
      </c>
      <c r="J51" s="10">
        <f t="shared" si="4"/>
        <v>0.40833333333333299</v>
      </c>
      <c r="K51" s="12">
        <f t="shared" ca="1" si="5"/>
        <v>0.40758333333333296</v>
      </c>
      <c r="L51" s="5">
        <f t="shared" ca="1" si="6"/>
        <v>1.836734693877622E-3</v>
      </c>
      <c r="N51">
        <f t="shared" ca="1" si="7"/>
        <v>-0.10900000000000176</v>
      </c>
      <c r="O51">
        <f t="shared" ca="1" si="8"/>
        <v>9.9983649999999999E-4</v>
      </c>
      <c r="P51">
        <f t="shared" ca="1" si="9"/>
        <v>0.99999727500000002</v>
      </c>
      <c r="Q51">
        <f t="shared" ca="1" si="10"/>
        <v>0.40658238889330406</v>
      </c>
      <c r="R51">
        <f t="shared" ca="1" si="11"/>
        <v>2168.4394074309548</v>
      </c>
      <c r="S51">
        <f t="shared" ca="1" si="17"/>
        <v>0.82560870415717502</v>
      </c>
      <c r="T51">
        <f t="shared" ca="1" si="12"/>
        <v>-2</v>
      </c>
      <c r="U51">
        <f t="shared" ca="1" si="13"/>
        <v>2167</v>
      </c>
      <c r="V51">
        <f t="shared" ca="1" si="14"/>
        <v>0.40631250000000002</v>
      </c>
      <c r="X51">
        <f t="shared" ca="1" si="15"/>
        <v>0.40531376798001773</v>
      </c>
    </row>
    <row r="52" spans="5:24" x14ac:dyDescent="0.25">
      <c r="E52">
        <v>50</v>
      </c>
      <c r="F52">
        <f t="shared" si="0"/>
        <v>25</v>
      </c>
      <c r="G52">
        <f t="shared" ca="1" si="1"/>
        <v>25.003</v>
      </c>
      <c r="H52" s="5">
        <f t="shared" ca="1" si="2"/>
        <v>3.0000000000001137E-3</v>
      </c>
      <c r="I52" s="5">
        <f t="shared" ca="1" si="3"/>
        <v>1.2000000000000454E-4</v>
      </c>
      <c r="J52" s="10">
        <f t="shared" si="4"/>
        <v>0.4166666666666663</v>
      </c>
      <c r="K52" s="12">
        <f t="shared" ca="1" si="5"/>
        <v>0.4169166666666666</v>
      </c>
      <c r="L52" s="5">
        <f t="shared" ca="1" si="6"/>
        <v>6.0000000000073384E-4</v>
      </c>
      <c r="N52">
        <f t="shared" ca="1" si="7"/>
        <v>3.0000000000001137E-3</v>
      </c>
      <c r="O52">
        <f t="shared" ca="1" si="8"/>
        <v>1.0000045E-3</v>
      </c>
      <c r="P52">
        <f t="shared" ca="1" si="9"/>
        <v>1.000000075</v>
      </c>
      <c r="Q52">
        <f t="shared" ca="1" si="10"/>
        <v>0.41591669336041626</v>
      </c>
      <c r="R52">
        <f t="shared" ca="1" si="11"/>
        <v>2218.2223645888866</v>
      </c>
      <c r="S52">
        <f t="shared" ca="1" si="17"/>
        <v>0.84427966115949604</v>
      </c>
      <c r="T52">
        <f t="shared" ca="1" si="12"/>
        <v>-2</v>
      </c>
      <c r="U52">
        <f t="shared" ca="1" si="13"/>
        <v>2217</v>
      </c>
      <c r="V52">
        <f t="shared" ca="1" si="14"/>
        <v>0.41568749999999999</v>
      </c>
      <c r="X52">
        <f t="shared" ca="1" si="15"/>
        <v>0.41468746439844018</v>
      </c>
    </row>
    <row r="53" spans="5:24" x14ac:dyDescent="0.25">
      <c r="E53">
        <v>51</v>
      </c>
      <c r="F53">
        <f t="shared" si="0"/>
        <v>25.1</v>
      </c>
      <c r="G53">
        <f t="shared" ca="1" si="1"/>
        <v>25.097000000000001</v>
      </c>
      <c r="H53" s="5">
        <f t="shared" ca="1" si="2"/>
        <v>3.0000000000001137E-3</v>
      </c>
      <c r="I53" s="5">
        <f t="shared" ca="1" si="3"/>
        <v>1.1952191235060213E-4</v>
      </c>
      <c r="J53" s="10">
        <f t="shared" si="4"/>
        <v>0.42500000000000004</v>
      </c>
      <c r="K53" s="12">
        <f t="shared" ca="1" si="5"/>
        <v>0.42474999999999974</v>
      </c>
      <c r="L53" s="5">
        <f t="shared" ca="1" si="6"/>
        <v>5.8823529411836594E-4</v>
      </c>
      <c r="N53">
        <f t="shared" ca="1" si="7"/>
        <v>9.7000000000001307E-2</v>
      </c>
      <c r="O53">
        <f t="shared" ca="1" si="8"/>
        <v>1.0001455E-3</v>
      </c>
      <c r="P53">
        <f t="shared" ca="1" si="9"/>
        <v>1.0000024249999999</v>
      </c>
      <c r="Q53">
        <f t="shared" ca="1" si="10"/>
        <v>0.4237508820933969</v>
      </c>
      <c r="R53">
        <f t="shared" ca="1" si="11"/>
        <v>2260.0047044981166</v>
      </c>
      <c r="S53">
        <f t="shared" ca="1" si="17"/>
        <v>0.8599351819487856</v>
      </c>
      <c r="T53">
        <f t="shared" ca="1" si="12"/>
        <v>0</v>
      </c>
      <c r="U53">
        <f t="shared" ca="1" si="13"/>
        <v>2261</v>
      </c>
      <c r="V53">
        <f t="shared" ca="1" si="14"/>
        <v>0.42393750000000002</v>
      </c>
      <c r="X53">
        <f t="shared" ca="1" si="15"/>
        <v>0.42293632887940252</v>
      </c>
    </row>
    <row r="54" spans="5:24" x14ac:dyDescent="0.25">
      <c r="E54">
        <v>52</v>
      </c>
      <c r="F54">
        <f t="shared" si="0"/>
        <v>25.2</v>
      </c>
      <c r="G54">
        <f t="shared" ca="1" si="1"/>
        <v>25.202999999999999</v>
      </c>
      <c r="H54" s="5">
        <f t="shared" ca="1" si="2"/>
        <v>3.0000000000001137E-3</v>
      </c>
      <c r="I54" s="5">
        <f t="shared" ca="1" si="3"/>
        <v>1.1904761904762356E-4</v>
      </c>
      <c r="J54" s="10">
        <f t="shared" si="4"/>
        <v>0.4333333333333329</v>
      </c>
      <c r="K54" s="12">
        <f t="shared" ca="1" si="5"/>
        <v>0.43358333333333321</v>
      </c>
      <c r="L54" s="5">
        <f t="shared" ca="1" si="6"/>
        <v>5.7692307692378258E-4</v>
      </c>
      <c r="N54">
        <f t="shared" ca="1" si="7"/>
        <v>0.2029999999999994</v>
      </c>
      <c r="O54">
        <f t="shared" ca="1" si="8"/>
        <v>1.0003045E-3</v>
      </c>
      <c r="P54">
        <f t="shared" ca="1" si="9"/>
        <v>1.000005075</v>
      </c>
      <c r="Q54">
        <f t="shared" ca="1" si="10"/>
        <v>0.43258522419220458</v>
      </c>
      <c r="R54">
        <f t="shared" ca="1" si="11"/>
        <v>2307.1211956917577</v>
      </c>
      <c r="S54">
        <f t="shared" ca="1" si="17"/>
        <v>0.87757280126291071</v>
      </c>
      <c r="T54">
        <f t="shared" ca="1" si="12"/>
        <v>-1</v>
      </c>
      <c r="U54">
        <f t="shared" ca="1" si="13"/>
        <v>2307</v>
      </c>
      <c r="V54">
        <f t="shared" ca="1" si="14"/>
        <v>0.43256250000000002</v>
      </c>
      <c r="X54">
        <f t="shared" ca="1" si="15"/>
        <v>0.43156000533297295</v>
      </c>
    </row>
    <row r="55" spans="5:24" x14ac:dyDescent="0.25">
      <c r="E55">
        <v>53</v>
      </c>
      <c r="F55">
        <f t="shared" si="0"/>
        <v>25.3</v>
      </c>
      <c r="G55">
        <f t="shared" ca="1" si="1"/>
        <v>25.304000000000002</v>
      </c>
      <c r="H55" s="5">
        <f t="shared" ca="1" si="2"/>
        <v>4.0000000000013358E-3</v>
      </c>
      <c r="I55" s="5">
        <f t="shared" ca="1" si="3"/>
        <v>1.5810276679847178E-4</v>
      </c>
      <c r="J55" s="10">
        <f t="shared" si="4"/>
        <v>0.44166666666666665</v>
      </c>
      <c r="K55" s="12">
        <f t="shared" ca="1" si="5"/>
        <v>0.44199999999999995</v>
      </c>
      <c r="L55" s="5">
        <f t="shared" ca="1" si="6"/>
        <v>7.5471698113199238E-4</v>
      </c>
      <c r="N55">
        <f t="shared" ca="1" si="7"/>
        <v>0.30400000000000205</v>
      </c>
      <c r="O55">
        <f t="shared" ca="1" si="8"/>
        <v>1.000456E-3</v>
      </c>
      <c r="P55">
        <f t="shared" ca="1" si="9"/>
        <v>1.0000076</v>
      </c>
      <c r="Q55">
        <f t="shared" ca="1" si="10"/>
        <v>0.44100289559653438</v>
      </c>
      <c r="R55">
        <f t="shared" ca="1" si="11"/>
        <v>2352.0154431815167</v>
      </c>
      <c r="S55">
        <f t="shared" ca="1" si="17"/>
        <v>0.89436188937009697</v>
      </c>
      <c r="T55">
        <f t="shared" ca="1" si="12"/>
        <v>-1</v>
      </c>
      <c r="U55">
        <f t="shared" ca="1" si="13"/>
        <v>2352</v>
      </c>
      <c r="V55">
        <f t="shared" ca="1" si="14"/>
        <v>0.441</v>
      </c>
      <c r="X55">
        <f t="shared" ca="1" si="15"/>
        <v>0.43999620002887979</v>
      </c>
    </row>
    <row r="56" spans="5:24" x14ac:dyDescent="0.25">
      <c r="E56">
        <v>54</v>
      </c>
      <c r="F56">
        <f t="shared" si="0"/>
        <v>25.4</v>
      </c>
      <c r="G56">
        <f t="shared" ca="1" si="1"/>
        <v>25.407999999999998</v>
      </c>
      <c r="H56" s="5">
        <f t="shared" ca="1" si="2"/>
        <v>7.9999999999991189E-3</v>
      </c>
      <c r="I56" s="5">
        <f t="shared" ca="1" si="3"/>
        <v>3.1496062992122519E-4</v>
      </c>
      <c r="J56" s="10">
        <f t="shared" si="4"/>
        <v>0.44999999999999951</v>
      </c>
      <c r="K56" s="12">
        <f t="shared" ca="1" si="5"/>
        <v>0.4506666666666661</v>
      </c>
      <c r="L56" s="5">
        <f t="shared" ca="1" si="6"/>
        <v>1.4814814814813199E-3</v>
      </c>
      <c r="N56">
        <f t="shared" ca="1" si="7"/>
        <v>0.4079999999999977</v>
      </c>
      <c r="O56">
        <f t="shared" ca="1" si="8"/>
        <v>1.0006120000000001E-3</v>
      </c>
      <c r="P56">
        <f t="shared" ca="1" si="9"/>
        <v>1.0000102</v>
      </c>
      <c r="Q56">
        <f t="shared" ca="1" si="10"/>
        <v>0.44967064126042366</v>
      </c>
      <c r="R56">
        <f t="shared" ca="1" si="11"/>
        <v>2398.2434200555927</v>
      </c>
      <c r="S56">
        <f t="shared" ca="1" si="17"/>
        <v>0.91163243406466121</v>
      </c>
      <c r="T56">
        <f t="shared" ca="1" si="12"/>
        <v>0</v>
      </c>
      <c r="U56">
        <f t="shared" ca="1" si="13"/>
        <v>2399</v>
      </c>
      <c r="V56">
        <f t="shared" ca="1" si="14"/>
        <v>0.4498125</v>
      </c>
      <c r="X56">
        <f t="shared" ca="1" si="15"/>
        <v>0.44880731016543635</v>
      </c>
    </row>
    <row r="57" spans="5:24" x14ac:dyDescent="0.25">
      <c r="E57">
        <v>55</v>
      </c>
      <c r="F57">
        <f t="shared" si="0"/>
        <v>25.5</v>
      </c>
      <c r="G57">
        <f t="shared" ca="1" si="1"/>
        <v>25.507999999999999</v>
      </c>
      <c r="H57" s="5">
        <f t="shared" ca="1" si="2"/>
        <v>7.9999999999991189E-3</v>
      </c>
      <c r="I57" s="5">
        <f t="shared" ca="1" si="3"/>
        <v>3.1372549019604385E-4</v>
      </c>
      <c r="J57" s="10">
        <f t="shared" si="4"/>
        <v>0.45833333333333326</v>
      </c>
      <c r="K57" s="12">
        <f t="shared" ca="1" si="5"/>
        <v>0.45899999999999985</v>
      </c>
      <c r="L57" s="5">
        <f t="shared" ca="1" si="6"/>
        <v>1.4545454545452946E-3</v>
      </c>
      <c r="N57">
        <f t="shared" ca="1" si="7"/>
        <v>0.50799999999999912</v>
      </c>
      <c r="O57">
        <f t="shared" ca="1" si="8"/>
        <v>1.0007620000000001E-3</v>
      </c>
      <c r="P57">
        <f t="shared" ca="1" si="9"/>
        <v>1.0000127000000001</v>
      </c>
      <c r="Q57">
        <f t="shared" ca="1" si="10"/>
        <v>0.45800505459032248</v>
      </c>
      <c r="R57">
        <f t="shared" ca="1" si="11"/>
        <v>2442.6936244817198</v>
      </c>
      <c r="S57">
        <f t="shared" ca="1" si="17"/>
        <v>0.92822192831281869</v>
      </c>
      <c r="T57">
        <f t="shared" ca="1" si="12"/>
        <v>2</v>
      </c>
      <c r="U57">
        <f t="shared" ca="1" si="13"/>
        <v>2446</v>
      </c>
      <c r="V57">
        <f t="shared" ca="1" si="14"/>
        <v>0.458625</v>
      </c>
      <c r="X57">
        <f t="shared" ca="1" si="15"/>
        <v>0.45761842624598664</v>
      </c>
    </row>
    <row r="58" spans="5:24" x14ac:dyDescent="0.25">
      <c r="E58">
        <v>56</v>
      </c>
      <c r="F58">
        <f t="shared" si="0"/>
        <v>25.6</v>
      </c>
      <c r="G58">
        <f t="shared" ca="1" si="1"/>
        <v>25.606000000000002</v>
      </c>
      <c r="H58" s="5">
        <f t="shared" ca="1" si="2"/>
        <v>6.0000000000002274E-3</v>
      </c>
      <c r="I58" s="5">
        <f t="shared" ca="1" si="3"/>
        <v>2.3437500000000888E-4</v>
      </c>
      <c r="J58" s="10">
        <f t="shared" si="4"/>
        <v>0.46666666666666656</v>
      </c>
      <c r="K58" s="12">
        <f t="shared" ca="1" si="5"/>
        <v>0.46716666666666673</v>
      </c>
      <c r="L58" s="5">
        <f t="shared" ca="1" si="6"/>
        <v>1.0714285714289295E-3</v>
      </c>
      <c r="N58">
        <f t="shared" ca="1" si="7"/>
        <v>0.60600000000000165</v>
      </c>
      <c r="O58">
        <f t="shared" ca="1" si="8"/>
        <v>1.0009090000000001E-3</v>
      </c>
      <c r="P58">
        <f t="shared" ca="1" si="9"/>
        <v>1.0000151500000001</v>
      </c>
      <c r="Q58">
        <f t="shared" ca="1" si="10"/>
        <v>0.4661728200778954</v>
      </c>
      <c r="R58">
        <f t="shared" ca="1" si="11"/>
        <v>2486.2550404154422</v>
      </c>
      <c r="S58">
        <f t="shared" ca="1" si="17"/>
        <v>0.94446335961572936</v>
      </c>
      <c r="T58">
        <f t="shared" ca="1" si="12"/>
        <v>0</v>
      </c>
      <c r="U58">
        <f t="shared" ca="1" si="13"/>
        <v>2487</v>
      </c>
      <c r="V58">
        <f t="shared" ca="1" si="14"/>
        <v>0.46631250000000002</v>
      </c>
      <c r="X58">
        <f t="shared" ca="1" si="15"/>
        <v>0.46530454163619422</v>
      </c>
    </row>
    <row r="59" spans="5:24" x14ac:dyDescent="0.25">
      <c r="E59">
        <v>57</v>
      </c>
      <c r="F59">
        <f t="shared" si="0"/>
        <v>25.7</v>
      </c>
      <c r="G59">
        <f t="shared" ca="1" si="1"/>
        <v>25.709</v>
      </c>
      <c r="H59" s="5">
        <f t="shared" ca="1" si="2"/>
        <v>9.0000000000003411E-3</v>
      </c>
      <c r="I59" s="5">
        <f t="shared" ca="1" si="3"/>
        <v>3.5019455252919619E-4</v>
      </c>
      <c r="J59" s="10">
        <f t="shared" si="4"/>
        <v>0.47499999999999987</v>
      </c>
      <c r="K59" s="12">
        <f t="shared" ca="1" si="5"/>
        <v>0.4757499999999999</v>
      </c>
      <c r="L59" s="5">
        <f t="shared" ca="1" si="6"/>
        <v>1.5789473684211129E-3</v>
      </c>
      <c r="N59">
        <f t="shared" ca="1" si="7"/>
        <v>0.70899999999999963</v>
      </c>
      <c r="O59">
        <f t="shared" ca="1" si="8"/>
        <v>1.0010635000000001E-3</v>
      </c>
      <c r="P59">
        <f t="shared" ca="1" si="9"/>
        <v>1.000017725</v>
      </c>
      <c r="Q59">
        <f t="shared" ca="1" si="10"/>
        <v>0.47475735142489933</v>
      </c>
      <c r="R59">
        <f t="shared" ca="1" si="11"/>
        <v>2532.0392075994632</v>
      </c>
      <c r="S59">
        <f t="shared" ca="1" si="17"/>
        <v>0.96151576004433226</v>
      </c>
      <c r="T59">
        <f t="shared" ca="1" si="12"/>
        <v>-1</v>
      </c>
      <c r="U59">
        <f t="shared" ca="1" si="13"/>
        <v>2532</v>
      </c>
      <c r="V59">
        <f t="shared" ca="1" si="14"/>
        <v>0.47475000000000001</v>
      </c>
      <c r="X59">
        <f t="shared" ca="1" si="15"/>
        <v>0.47374053944893829</v>
      </c>
    </row>
    <row r="60" spans="5:24" x14ac:dyDescent="0.25">
      <c r="E60">
        <v>58</v>
      </c>
      <c r="F60">
        <f t="shared" si="0"/>
        <v>25.8</v>
      </c>
      <c r="G60">
        <f t="shared" ca="1" si="1"/>
        <v>25.794</v>
      </c>
      <c r="H60" s="5">
        <f t="shared" ca="1" si="2"/>
        <v>6.0000000000002274E-3</v>
      </c>
      <c r="I60" s="5">
        <f t="shared" ca="1" si="3"/>
        <v>2.3255813953489252E-4</v>
      </c>
      <c r="J60" s="10">
        <f t="shared" si="4"/>
        <v>0.48333333333333317</v>
      </c>
      <c r="K60" s="12">
        <f t="shared" ca="1" si="5"/>
        <v>0.482833333333333</v>
      </c>
      <c r="L60" s="5">
        <f t="shared" ca="1" si="6"/>
        <v>1.0344827586210355E-3</v>
      </c>
      <c r="N60">
        <f t="shared" ca="1" si="7"/>
        <v>0.79400000000000048</v>
      </c>
      <c r="O60">
        <f t="shared" ca="1" si="8"/>
        <v>1.001191E-3</v>
      </c>
      <c r="P60">
        <f t="shared" ca="1" si="9"/>
        <v>1.0000198499999999</v>
      </c>
      <c r="Q60">
        <f t="shared" ca="1" si="10"/>
        <v>0.48184170670135829</v>
      </c>
      <c r="R60">
        <f t="shared" ca="1" si="11"/>
        <v>2569.8224357405775</v>
      </c>
      <c r="S60">
        <f t="shared" ca="1" si="17"/>
        <v>0.97557425705839318</v>
      </c>
      <c r="T60">
        <f t="shared" ca="1" si="12"/>
        <v>-3</v>
      </c>
      <c r="U60">
        <f t="shared" ca="1" si="13"/>
        <v>2568</v>
      </c>
      <c r="V60">
        <f t="shared" ca="1" si="14"/>
        <v>0.48149999999999998</v>
      </c>
      <c r="X60">
        <f t="shared" ca="1" si="15"/>
        <v>0.48048927128796493</v>
      </c>
    </row>
    <row r="61" spans="5:24" x14ac:dyDescent="0.25">
      <c r="E61">
        <v>59</v>
      </c>
      <c r="F61">
        <f t="shared" si="0"/>
        <v>25.9</v>
      </c>
      <c r="G61">
        <f t="shared" ca="1" si="1"/>
        <v>25.907999999999998</v>
      </c>
      <c r="H61" s="5">
        <f t="shared" ca="1" si="2"/>
        <v>7.9999999999991189E-3</v>
      </c>
      <c r="I61" s="5">
        <f t="shared" ca="1" si="3"/>
        <v>3.0888030888027486E-4</v>
      </c>
      <c r="J61" s="10">
        <f t="shared" si="4"/>
        <v>0.49166666666666647</v>
      </c>
      <c r="K61" s="12">
        <f t="shared" ca="1" si="5"/>
        <v>0.49233333333333307</v>
      </c>
      <c r="L61" s="5">
        <f t="shared" ca="1" si="6"/>
        <v>1.3559322033896816E-3</v>
      </c>
      <c r="N61">
        <f t="shared" ca="1" si="7"/>
        <v>0.9079999999999977</v>
      </c>
      <c r="O61">
        <f t="shared" ca="1" si="8"/>
        <v>1.001362E-3</v>
      </c>
      <c r="P61">
        <f t="shared" ca="1" si="9"/>
        <v>1.0000226999999999</v>
      </c>
      <c r="Q61">
        <f t="shared" ca="1" si="10"/>
        <v>0.4913431245690823</v>
      </c>
      <c r="R61">
        <f t="shared" ca="1" si="11"/>
        <v>2620.4966643684388</v>
      </c>
      <c r="S61">
        <f t="shared" ca="1" si="17"/>
        <v>0.99440914541047221</v>
      </c>
      <c r="T61">
        <f t="shared" ca="1" si="12"/>
        <v>1</v>
      </c>
      <c r="U61">
        <f t="shared" ca="1" si="13"/>
        <v>2622</v>
      </c>
      <c r="V61">
        <f t="shared" ca="1" si="14"/>
        <v>0.49162500000000003</v>
      </c>
      <c r="X61">
        <f t="shared" ca="1" si="15"/>
        <v>0.49061250109622517</v>
      </c>
    </row>
    <row r="62" spans="5:24" x14ac:dyDescent="0.25">
      <c r="E62">
        <v>60</v>
      </c>
      <c r="F62">
        <f t="shared" si="0"/>
        <v>26</v>
      </c>
      <c r="G62">
        <f t="shared" ca="1" si="1"/>
        <v>25.991</v>
      </c>
      <c r="H62" s="5">
        <f t="shared" ca="1" si="2"/>
        <v>9.0000000000003411E-3</v>
      </c>
      <c r="I62" s="5">
        <f t="shared" ca="1" si="3"/>
        <v>3.4615384615385925E-4</v>
      </c>
      <c r="J62" s="10">
        <f t="shared" si="4"/>
        <v>0.49999999999999978</v>
      </c>
      <c r="K62" s="12">
        <f t="shared" ca="1" si="5"/>
        <v>0.49924999999999975</v>
      </c>
      <c r="L62" s="5">
        <f t="shared" ca="1" si="6"/>
        <v>1.5000000000000575E-3</v>
      </c>
      <c r="N62">
        <f t="shared" ca="1" si="7"/>
        <v>0.99099999999999966</v>
      </c>
      <c r="O62">
        <f t="shared" ca="1" si="8"/>
        <v>1.0014865E-3</v>
      </c>
      <c r="P62">
        <f t="shared" ca="1" si="9"/>
        <v>1.000024775</v>
      </c>
      <c r="Q62">
        <f t="shared" ca="1" si="10"/>
        <v>0.49826085760692174</v>
      </c>
      <c r="R62">
        <f t="shared" ca="1" si="11"/>
        <v>2657.391240570249</v>
      </c>
      <c r="S62">
        <f t="shared" ca="1" si="17"/>
        <v>1.0081075933020009</v>
      </c>
      <c r="T62">
        <f t="shared" ca="1" si="12"/>
        <v>1</v>
      </c>
      <c r="U62">
        <f t="shared" ca="1" si="13"/>
        <v>2659</v>
      </c>
      <c r="V62">
        <f t="shared" ca="1" si="14"/>
        <v>0.49856250000000002</v>
      </c>
      <c r="X62">
        <f t="shared" ca="1" si="15"/>
        <v>0.49754868673128627</v>
      </c>
    </row>
    <row r="63" spans="5:24" x14ac:dyDescent="0.25">
      <c r="E63">
        <v>61</v>
      </c>
      <c r="F63">
        <f t="shared" si="0"/>
        <v>26.1</v>
      </c>
      <c r="G63">
        <f t="shared" ca="1" si="1"/>
        <v>26.110000000000003</v>
      </c>
      <c r="H63" s="5">
        <f t="shared" ca="1" si="2"/>
        <v>1.0000000000001563E-2</v>
      </c>
      <c r="I63" s="5">
        <f t="shared" ca="1" si="3"/>
        <v>3.8314176245216714E-4</v>
      </c>
      <c r="J63" s="10">
        <f t="shared" si="4"/>
        <v>0.50833333333333308</v>
      </c>
      <c r="K63" s="12">
        <f t="shared" ca="1" si="5"/>
        <v>0.50916666666666655</v>
      </c>
      <c r="L63" s="5">
        <f t="shared" ca="1" si="6"/>
        <v>1.6393442622953391E-3</v>
      </c>
      <c r="N63">
        <f t="shared" ca="1" si="7"/>
        <v>1.110000000000003</v>
      </c>
      <c r="O63">
        <f t="shared" ca="1" si="8"/>
        <v>1.0016650000000001E-3</v>
      </c>
      <c r="P63">
        <f t="shared" ca="1" si="9"/>
        <v>1.0000277500000001</v>
      </c>
      <c r="Q63">
        <f t="shared" ca="1" si="10"/>
        <v>0.50817910324546289</v>
      </c>
      <c r="R63">
        <f t="shared" ca="1" si="11"/>
        <v>2710.2885506424686</v>
      </c>
      <c r="S63">
        <f t="shared" ca="1" si="17"/>
        <v>1.0277255863313588</v>
      </c>
      <c r="T63">
        <f t="shared" ca="1" si="12"/>
        <v>-3</v>
      </c>
      <c r="U63">
        <f t="shared" ca="1" si="13"/>
        <v>2708</v>
      </c>
      <c r="V63">
        <f t="shared" ca="1" si="14"/>
        <v>0.50775000000000003</v>
      </c>
      <c r="X63">
        <f t="shared" ca="1" si="15"/>
        <v>0.50673427312392083</v>
      </c>
    </row>
    <row r="64" spans="5:24" x14ac:dyDescent="0.25">
      <c r="E64">
        <v>62</v>
      </c>
      <c r="F64">
        <f t="shared" si="0"/>
        <v>26.2</v>
      </c>
      <c r="G64">
        <f t="shared" ca="1" si="1"/>
        <v>26.190999999999999</v>
      </c>
      <c r="H64" s="5">
        <f t="shared" ca="1" si="2"/>
        <v>9.0000000000003411E-3</v>
      </c>
      <c r="I64" s="5">
        <f t="shared" ca="1" si="3"/>
        <v>3.435114503816924E-4</v>
      </c>
      <c r="J64" s="10">
        <f t="shared" si="4"/>
        <v>0.51666666666666639</v>
      </c>
      <c r="K64" s="12">
        <f t="shared" ca="1" si="5"/>
        <v>0.51591666666666636</v>
      </c>
      <c r="L64" s="5">
        <f t="shared" ca="1" si="6"/>
        <v>1.4516129032258623E-3</v>
      </c>
      <c r="N64">
        <f t="shared" ca="1" si="7"/>
        <v>1.1909999999999989</v>
      </c>
      <c r="O64">
        <f t="shared" ca="1" si="8"/>
        <v>1.0017865000000001E-3</v>
      </c>
      <c r="P64">
        <f t="shared" ca="1" si="9"/>
        <v>1.000029775</v>
      </c>
      <c r="Q64">
        <f t="shared" ca="1" si="10"/>
        <v>0.51493021175722331</v>
      </c>
      <c r="R64">
        <f t="shared" ca="1" si="11"/>
        <v>2746.2944627051911</v>
      </c>
      <c r="S64">
        <f t="shared" ca="1" si="17"/>
        <v>1.041063988105837</v>
      </c>
      <c r="T64">
        <f t="shared" ca="1" si="12"/>
        <v>1</v>
      </c>
      <c r="U64">
        <f t="shared" ca="1" si="13"/>
        <v>2748</v>
      </c>
      <c r="V64">
        <f t="shared" ca="1" si="14"/>
        <v>0.51524999999999999</v>
      </c>
      <c r="X64">
        <f t="shared" ca="1" si="15"/>
        <v>0.51423290221533646</v>
      </c>
    </row>
    <row r="65" spans="5:24" x14ac:dyDescent="0.25">
      <c r="E65">
        <v>63</v>
      </c>
      <c r="F65">
        <f t="shared" si="0"/>
        <v>26.3</v>
      </c>
      <c r="G65">
        <f t="shared" ca="1" si="1"/>
        <v>26.295999999999999</v>
      </c>
      <c r="H65" s="5">
        <f t="shared" ca="1" si="2"/>
        <v>4.0000000000013358E-3</v>
      </c>
      <c r="I65" s="5">
        <f t="shared" ca="1" si="3"/>
        <v>1.5209125475290251E-4</v>
      </c>
      <c r="J65" s="10">
        <f t="shared" si="4"/>
        <v>0.52499999999999969</v>
      </c>
      <c r="K65" s="12">
        <f t="shared" ca="1" si="5"/>
        <v>0.52466666666666639</v>
      </c>
      <c r="L65" s="5">
        <f t="shared" ca="1" si="6"/>
        <v>6.3492063492056542E-4</v>
      </c>
      <c r="N65">
        <f t="shared" ca="1" si="7"/>
        <v>1.2959999999999994</v>
      </c>
      <c r="O65">
        <f t="shared" ca="1" si="8"/>
        <v>1.0019440000000001E-3</v>
      </c>
      <c r="P65">
        <f t="shared" ca="1" si="9"/>
        <v>1.0000324</v>
      </c>
      <c r="Q65">
        <f t="shared" ca="1" si="10"/>
        <v>0.52368168940368087</v>
      </c>
      <c r="R65">
        <f t="shared" ca="1" si="11"/>
        <v>2792.9690101529645</v>
      </c>
      <c r="S65">
        <f t="shared" ca="1" si="17"/>
        <v>1.0583361017901363</v>
      </c>
      <c r="T65">
        <f t="shared" ca="1" si="12"/>
        <v>2</v>
      </c>
      <c r="U65">
        <f t="shared" ca="1" si="13"/>
        <v>2796</v>
      </c>
      <c r="V65">
        <f t="shared" ca="1" si="14"/>
        <v>0.52424999999999999</v>
      </c>
      <c r="X65">
        <f t="shared" ca="1" si="15"/>
        <v>0.52323110331225264</v>
      </c>
    </row>
    <row r="66" spans="5:24" x14ac:dyDescent="0.25">
      <c r="E66">
        <v>64</v>
      </c>
      <c r="F66">
        <f t="shared" si="0"/>
        <v>26.4</v>
      </c>
      <c r="G66">
        <f t="shared" ca="1" si="1"/>
        <v>26.395</v>
      </c>
      <c r="H66" s="5">
        <f t="shared" ca="1" si="2"/>
        <v>4.9999999999990052E-3</v>
      </c>
      <c r="I66" s="5">
        <f t="shared" ca="1" si="3"/>
        <v>1.8939393939390172E-4</v>
      </c>
      <c r="J66" s="10">
        <f t="shared" si="4"/>
        <v>0.53333333333333299</v>
      </c>
      <c r="K66" s="12">
        <f t="shared" ca="1" si="5"/>
        <v>0.53291666666666626</v>
      </c>
      <c r="L66" s="5">
        <f t="shared" ca="1" si="6"/>
        <v>7.8125000000012267E-4</v>
      </c>
      <c r="N66">
        <f t="shared" ca="1" si="7"/>
        <v>1.3949999999999996</v>
      </c>
      <c r="O66">
        <f t="shared" ca="1" si="8"/>
        <v>1.0020925E-3</v>
      </c>
      <c r="P66">
        <f t="shared" ca="1" si="9"/>
        <v>1.0000348750000001</v>
      </c>
      <c r="Q66">
        <f t="shared" ca="1" si="10"/>
        <v>0.53193312468744036</v>
      </c>
      <c r="R66">
        <f t="shared" ca="1" si="11"/>
        <v>2836.9766649996818</v>
      </c>
      <c r="S66">
        <f t="shared" ca="1" si="17"/>
        <v>1.0746019158335338</v>
      </c>
      <c r="T66">
        <f t="shared" ca="1" si="12"/>
        <v>2</v>
      </c>
      <c r="U66">
        <f t="shared" ca="1" si="13"/>
        <v>2840</v>
      </c>
      <c r="V66">
        <f t="shared" ca="1" si="14"/>
        <v>0.53249999999999997</v>
      </c>
      <c r="X66">
        <f t="shared" ca="1" si="15"/>
        <v>0.53147937215689589</v>
      </c>
    </row>
    <row r="67" spans="5:24" x14ac:dyDescent="0.25">
      <c r="E67">
        <v>65</v>
      </c>
      <c r="F67">
        <f t="shared" ref="F67:F130" si="19">0.1*E67+20</f>
        <v>26.5</v>
      </c>
      <c r="G67">
        <f t="shared" ref="G67:G130" ca="1" si="20">F67+(RANDBETWEEN(-10,10)/100)*0.1</f>
        <v>26.497</v>
      </c>
      <c r="H67" s="5">
        <f t="shared" ref="H67:H130" ca="1" si="21">ABS(F67-G67)</f>
        <v>3.0000000000001137E-3</v>
      </c>
      <c r="I67" s="5">
        <f t="shared" ref="I67:I130" ca="1" si="22">ABS(F67-G67)/F67</f>
        <v>1.1320754716981562E-4</v>
      </c>
      <c r="J67" s="10">
        <f t="shared" ref="J67:J130" si="23">1/12*F67-5/3</f>
        <v>0.5416666666666663</v>
      </c>
      <c r="K67" s="12">
        <f t="shared" ref="K67:K130" ca="1" si="24">(1/12*G67-5/3) + J67*RANDBETWEEN($B$2,$C$2)</f>
        <v>0.54141666666666644</v>
      </c>
      <c r="L67" s="5">
        <f t="shared" ref="L67:L130" ca="1" si="25">IF(J67=0, ABS(J67-K67), ABS(J67-K67)/J67)</f>
        <v>4.6153846153820603E-4</v>
      </c>
      <c r="N67">
        <f t="shared" ref="N67:N130" ca="1" si="26">G67-$B$29</f>
        <v>1.4969999999999999</v>
      </c>
      <c r="O67">
        <f t="shared" ref="O67:O130" ca="1" si="27">0.001 + 0.0000015*N67</f>
        <v>1.0022455000000001E-3</v>
      </c>
      <c r="P67">
        <f t="shared" ref="P67:P130" ca="1" si="28">1 + 0.000025*N67</f>
        <v>1.0000374249999999</v>
      </c>
      <c r="Q67">
        <f t="shared" ref="Q67:Q130" ca="1" si="29">(K67-O67)*P67</f>
        <v>0.54043464617637849</v>
      </c>
      <c r="R67">
        <f t="shared" ref="R67:R130" ca="1" si="30">Q67*32768/6.144</f>
        <v>2882.3181129406853</v>
      </c>
      <c r="S67">
        <f t="shared" ref="S67:S130" ca="1" si="31">4*SIN(PI()*R67/32768)</f>
        <v>1.091340706529947</v>
      </c>
      <c r="T67">
        <f t="shared" ref="T67:T130" ca="1" si="32">RANDBETWEEN(-1*$B$15,1*$B$15)</f>
        <v>-2</v>
      </c>
      <c r="U67">
        <f t="shared" ref="U67:U130" ca="1" si="33">ROUND(R67+S67+T67,0)</f>
        <v>2881</v>
      </c>
      <c r="V67">
        <f t="shared" ref="V67:V130" ca="1" si="34">U67*6.144/32768</f>
        <v>0.54018750000000004</v>
      </c>
      <c r="X67">
        <f t="shared" ref="X67:X130" ca="1" si="35">(U67*6.144/32768 -O67)/P67</f>
        <v>0.53916507624702148</v>
      </c>
    </row>
    <row r="68" spans="5:24" x14ac:dyDescent="0.25">
      <c r="E68">
        <v>66</v>
      </c>
      <c r="F68">
        <f t="shared" si="19"/>
        <v>26.6</v>
      </c>
      <c r="G68">
        <f t="shared" ca="1" si="20"/>
        <v>26.598000000000003</v>
      </c>
      <c r="H68" s="5">
        <f t="shared" ca="1" si="21"/>
        <v>1.9999999999988916E-3</v>
      </c>
      <c r="I68" s="5">
        <f t="shared" ca="1" si="22"/>
        <v>7.5187969924770352E-5</v>
      </c>
      <c r="J68" s="10">
        <f t="shared" si="23"/>
        <v>0.55000000000000004</v>
      </c>
      <c r="K68" s="12">
        <f t="shared" ca="1" si="24"/>
        <v>0.54983333333333317</v>
      </c>
      <c r="L68" s="5">
        <f t="shared" ca="1" si="25"/>
        <v>3.0303030303067334E-4</v>
      </c>
      <c r="N68">
        <f t="shared" ca="1" si="26"/>
        <v>1.5980000000000025</v>
      </c>
      <c r="O68">
        <f t="shared" ca="1" si="27"/>
        <v>1.0023969999999999E-3</v>
      </c>
      <c r="P68">
        <f t="shared" ca="1" si="28"/>
        <v>1.0000399499999999</v>
      </c>
      <c r="Q68">
        <f t="shared" ca="1" si="29"/>
        <v>0.54885286212923956</v>
      </c>
      <c r="R68">
        <f t="shared" ca="1" si="30"/>
        <v>2927.2152646892778</v>
      </c>
      <c r="S68">
        <f t="shared" ca="1" si="31"/>
        <v>1.1078951557575705</v>
      </c>
      <c r="T68">
        <f t="shared" ca="1" si="32"/>
        <v>-3</v>
      </c>
      <c r="U68">
        <f t="shared" ca="1" si="33"/>
        <v>2925</v>
      </c>
      <c r="V68">
        <f t="shared" ca="1" si="34"/>
        <v>0.54843750000000002</v>
      </c>
      <c r="X68">
        <f t="shared" ca="1" si="35"/>
        <v>0.54741323384130802</v>
      </c>
    </row>
    <row r="69" spans="5:24" x14ac:dyDescent="0.25">
      <c r="E69">
        <v>67</v>
      </c>
      <c r="F69">
        <f t="shared" si="19"/>
        <v>26.7</v>
      </c>
      <c r="G69">
        <f t="shared" ca="1" si="20"/>
        <v>26.701999999999998</v>
      </c>
      <c r="H69" s="5">
        <f t="shared" ca="1" si="21"/>
        <v>1.9999999999988916E-3</v>
      </c>
      <c r="I69" s="5">
        <f t="shared" ca="1" si="22"/>
        <v>7.4906367041156993E-5</v>
      </c>
      <c r="J69" s="10">
        <f t="shared" si="23"/>
        <v>0.5583333333333329</v>
      </c>
      <c r="K69" s="12">
        <f t="shared" ca="1" si="24"/>
        <v>0.55849999999999977</v>
      </c>
      <c r="L69" s="5">
        <f t="shared" ca="1" si="25"/>
        <v>2.9850746268693222E-4</v>
      </c>
      <c r="N69">
        <f t="shared" ca="1" si="26"/>
        <v>1.7019999999999982</v>
      </c>
      <c r="O69">
        <f t="shared" ca="1" si="27"/>
        <v>1.002553E-3</v>
      </c>
      <c r="P69">
        <f t="shared" ca="1" si="28"/>
        <v>1.0000425500000001</v>
      </c>
      <c r="Q69">
        <f t="shared" ca="1" si="29"/>
        <v>0.55752116851636968</v>
      </c>
      <c r="R69">
        <f t="shared" ca="1" si="30"/>
        <v>2973.4462320873049</v>
      </c>
      <c r="S69">
        <f t="shared" ca="1" si="31"/>
        <v>1.1249199541892556</v>
      </c>
      <c r="T69">
        <f t="shared" ca="1" si="32"/>
        <v>1</v>
      </c>
      <c r="U69">
        <f t="shared" ca="1" si="33"/>
        <v>2976</v>
      </c>
      <c r="V69">
        <f t="shared" ca="1" si="34"/>
        <v>0.55800000000000005</v>
      </c>
      <c r="X69">
        <f t="shared" ca="1" si="35"/>
        <v>0.55697374776703257</v>
      </c>
    </row>
    <row r="70" spans="5:24" x14ac:dyDescent="0.25">
      <c r="E70">
        <v>68</v>
      </c>
      <c r="F70">
        <f t="shared" si="19"/>
        <v>26.8</v>
      </c>
      <c r="G70">
        <f t="shared" ca="1" si="20"/>
        <v>26.807000000000002</v>
      </c>
      <c r="H70" s="5">
        <f t="shared" ca="1" si="21"/>
        <v>7.0000000000014495E-3</v>
      </c>
      <c r="I70" s="5">
        <f t="shared" ca="1" si="22"/>
        <v>2.6119402985080035E-4</v>
      </c>
      <c r="J70" s="10">
        <f t="shared" si="23"/>
        <v>0.56666666666666665</v>
      </c>
      <c r="K70" s="12">
        <f t="shared" ca="1" si="24"/>
        <v>0.56724999999999981</v>
      </c>
      <c r="L70" s="5">
        <f t="shared" ca="1" si="25"/>
        <v>1.029411764705573E-3</v>
      </c>
      <c r="N70">
        <f t="shared" ca="1" si="26"/>
        <v>1.8070000000000022</v>
      </c>
      <c r="O70">
        <f t="shared" ca="1" si="27"/>
        <v>1.0027104999999999E-3</v>
      </c>
      <c r="P70">
        <f t="shared" ca="1" si="28"/>
        <v>1.0000451749999999</v>
      </c>
      <c r="Q70">
        <f t="shared" ca="1" si="29"/>
        <v>0.56627286972130286</v>
      </c>
      <c r="R70">
        <f t="shared" ca="1" si="30"/>
        <v>3020.1219718469483</v>
      </c>
      <c r="S70">
        <f t="shared" ca="1" si="31"/>
        <v>1.1420861216477942</v>
      </c>
      <c r="T70">
        <f t="shared" ca="1" si="32"/>
        <v>1</v>
      </c>
      <c r="U70">
        <f t="shared" ca="1" si="33"/>
        <v>3022</v>
      </c>
      <c r="V70">
        <f t="shared" ca="1" si="34"/>
        <v>0.56662500000000005</v>
      </c>
      <c r="X70">
        <f t="shared" ca="1" si="35"/>
        <v>0.56559673866733085</v>
      </c>
    </row>
    <row r="71" spans="5:24" x14ac:dyDescent="0.25">
      <c r="E71">
        <v>69</v>
      </c>
      <c r="F71">
        <f t="shared" si="19"/>
        <v>26.9</v>
      </c>
      <c r="G71">
        <f t="shared" ca="1" si="20"/>
        <v>26.904999999999998</v>
      </c>
      <c r="H71" s="5">
        <f t="shared" ca="1" si="21"/>
        <v>4.9999999999990052E-3</v>
      </c>
      <c r="I71" s="5">
        <f t="shared" ca="1" si="22"/>
        <v>1.8587360594791842E-4</v>
      </c>
      <c r="J71" s="10">
        <f t="shared" si="23"/>
        <v>0.57499999999999951</v>
      </c>
      <c r="K71" s="12">
        <f t="shared" ca="1" si="24"/>
        <v>0.57541666666666624</v>
      </c>
      <c r="L71" s="5">
        <f t="shared" ca="1" si="25"/>
        <v>7.2463768115953414E-4</v>
      </c>
      <c r="N71">
        <f t="shared" ca="1" si="26"/>
        <v>1.9049999999999976</v>
      </c>
      <c r="O71">
        <f t="shared" ca="1" si="27"/>
        <v>1.0028575E-3</v>
      </c>
      <c r="P71">
        <f t="shared" ca="1" si="28"/>
        <v>1.0000476250000001</v>
      </c>
      <c r="Q71">
        <f t="shared" ca="1" si="29"/>
        <v>0.5744411656243279</v>
      </c>
      <c r="R71">
        <f t="shared" ca="1" si="30"/>
        <v>3063.6862166630822</v>
      </c>
      <c r="S71">
        <f t="shared" ca="1" si="31"/>
        <v>1.1580873314656208</v>
      </c>
      <c r="T71">
        <f t="shared" ca="1" si="32"/>
        <v>3</v>
      </c>
      <c r="U71">
        <f t="shared" ca="1" si="33"/>
        <v>3068</v>
      </c>
      <c r="V71">
        <f t="shared" ca="1" si="34"/>
        <v>0.57525000000000004</v>
      </c>
      <c r="X71">
        <f t="shared" ca="1" si="35"/>
        <v>0.57421979528224976</v>
      </c>
    </row>
    <row r="72" spans="5:24" x14ac:dyDescent="0.25">
      <c r="E72">
        <v>70</v>
      </c>
      <c r="F72">
        <f t="shared" si="19"/>
        <v>27</v>
      </c>
      <c r="G72">
        <f t="shared" ca="1" si="20"/>
        <v>26.998000000000001</v>
      </c>
      <c r="H72" s="5">
        <f t="shared" ca="1" si="21"/>
        <v>1.9999999999988916E-3</v>
      </c>
      <c r="I72" s="5">
        <f t="shared" ca="1" si="22"/>
        <v>7.4074074074033023E-5</v>
      </c>
      <c r="J72" s="10">
        <f t="shared" si="23"/>
        <v>0.58333333333333326</v>
      </c>
      <c r="K72" s="12">
        <f t="shared" ca="1" si="24"/>
        <v>0.58316666666666639</v>
      </c>
      <c r="L72" s="5">
        <f t="shared" ca="1" si="25"/>
        <v>2.8571428571463496E-4</v>
      </c>
      <c r="N72">
        <f t="shared" ca="1" si="26"/>
        <v>1.9980000000000011</v>
      </c>
      <c r="O72">
        <f t="shared" ca="1" si="27"/>
        <v>1.002997E-3</v>
      </c>
      <c r="P72">
        <f t="shared" ca="1" si="28"/>
        <v>1.00004995</v>
      </c>
      <c r="Q72">
        <f t="shared" ca="1" si="29"/>
        <v>0.58219274874196625</v>
      </c>
      <c r="R72">
        <f t="shared" ca="1" si="30"/>
        <v>3105.0279932904864</v>
      </c>
      <c r="S72">
        <f t="shared" ca="1" si="31"/>
        <v>1.173253547267342</v>
      </c>
      <c r="T72">
        <f t="shared" ca="1" si="32"/>
        <v>-3</v>
      </c>
      <c r="U72">
        <f t="shared" ca="1" si="33"/>
        <v>3103</v>
      </c>
      <c r="V72">
        <f t="shared" ca="1" si="34"/>
        <v>0.58181250000000007</v>
      </c>
      <c r="X72">
        <f t="shared" ca="1" si="35"/>
        <v>0.58078049301437407</v>
      </c>
    </row>
    <row r="73" spans="5:24" x14ac:dyDescent="0.25">
      <c r="E73">
        <v>71</v>
      </c>
      <c r="F73">
        <f t="shared" si="19"/>
        <v>27.1</v>
      </c>
      <c r="G73">
        <f t="shared" ca="1" si="20"/>
        <v>27.095000000000002</v>
      </c>
      <c r="H73" s="5">
        <f t="shared" ca="1" si="21"/>
        <v>4.9999999999990052E-3</v>
      </c>
      <c r="I73" s="5">
        <f t="shared" ca="1" si="22"/>
        <v>1.8450184501841348E-4</v>
      </c>
      <c r="J73" s="10">
        <f t="shared" si="23"/>
        <v>0.59166666666666656</v>
      </c>
      <c r="K73" s="12">
        <f t="shared" ca="1" si="24"/>
        <v>0.59124999999999983</v>
      </c>
      <c r="L73" s="5">
        <f t="shared" ca="1" si="25"/>
        <v>7.0422535211278625E-4</v>
      </c>
      <c r="N73">
        <f t="shared" ca="1" si="26"/>
        <v>2.0950000000000024</v>
      </c>
      <c r="O73">
        <f t="shared" ca="1" si="27"/>
        <v>1.0031425E-3</v>
      </c>
      <c r="P73">
        <f t="shared" ca="1" si="28"/>
        <v>1.0000523750000001</v>
      </c>
      <c r="Q73">
        <f t="shared" ca="1" si="29"/>
        <v>0.59027777167916151</v>
      </c>
      <c r="R73">
        <f t="shared" ca="1" si="30"/>
        <v>3148.1481156221948</v>
      </c>
      <c r="S73">
        <f t="shared" ca="1" si="31"/>
        <v>1.1890525066957403</v>
      </c>
      <c r="T73">
        <f t="shared" ca="1" si="32"/>
        <v>2</v>
      </c>
      <c r="U73">
        <f t="shared" ca="1" si="33"/>
        <v>3151</v>
      </c>
      <c r="V73">
        <f t="shared" ca="1" si="34"/>
        <v>0.59081249999999996</v>
      </c>
      <c r="X73">
        <f t="shared" ca="1" si="35"/>
        <v>0.58977846785274612</v>
      </c>
    </row>
    <row r="74" spans="5:24" x14ac:dyDescent="0.25">
      <c r="E74">
        <v>72</v>
      </c>
      <c r="F74">
        <f t="shared" si="19"/>
        <v>27.2</v>
      </c>
      <c r="G74">
        <f t="shared" ca="1" si="20"/>
        <v>27.195999999999998</v>
      </c>
      <c r="H74" s="5">
        <f t="shared" ca="1" si="21"/>
        <v>4.0000000000013358E-3</v>
      </c>
      <c r="I74" s="5">
        <f t="shared" ca="1" si="22"/>
        <v>1.4705882352946087E-4</v>
      </c>
      <c r="J74" s="10">
        <f t="shared" si="23"/>
        <v>0.59999999999999987</v>
      </c>
      <c r="K74" s="12">
        <f t="shared" ca="1" si="24"/>
        <v>0.59966666666666613</v>
      </c>
      <c r="L74" s="5">
        <f t="shared" ca="1" si="25"/>
        <v>5.5555555555623459E-4</v>
      </c>
      <c r="N74">
        <f t="shared" ca="1" si="26"/>
        <v>2.195999999999998</v>
      </c>
      <c r="O74">
        <f t="shared" ca="1" si="27"/>
        <v>1.0032940000000001E-3</v>
      </c>
      <c r="P74">
        <f t="shared" ca="1" si="28"/>
        <v>1.0000549000000001</v>
      </c>
      <c r="Q74">
        <f t="shared" ca="1" si="29"/>
        <v>0.5986962392858256</v>
      </c>
      <c r="R74">
        <f t="shared" ca="1" si="30"/>
        <v>3193.0466095244033</v>
      </c>
      <c r="S74">
        <f t="shared" ca="1" si="31"/>
        <v>1.2054814509127245</v>
      </c>
      <c r="T74">
        <f t="shared" ca="1" si="32"/>
        <v>-1</v>
      </c>
      <c r="U74">
        <f t="shared" ca="1" si="33"/>
        <v>3193</v>
      </c>
      <c r="V74">
        <f t="shared" ca="1" si="34"/>
        <v>0.59868750000000004</v>
      </c>
      <c r="X74">
        <f t="shared" ca="1" si="35"/>
        <v>0.5976513949384179</v>
      </c>
    </row>
    <row r="75" spans="5:24" x14ac:dyDescent="0.25">
      <c r="E75">
        <v>73</v>
      </c>
      <c r="F75">
        <f t="shared" si="19"/>
        <v>27.3</v>
      </c>
      <c r="G75">
        <f t="shared" ca="1" si="20"/>
        <v>27.303000000000001</v>
      </c>
      <c r="H75" s="5">
        <f t="shared" ca="1" si="21"/>
        <v>3.0000000000001137E-3</v>
      </c>
      <c r="I75" s="5">
        <f t="shared" ca="1" si="22"/>
        <v>1.0989010989011405E-4</v>
      </c>
      <c r="J75" s="10">
        <f t="shared" si="23"/>
        <v>0.60833333333333317</v>
      </c>
      <c r="K75" s="12">
        <f t="shared" ca="1" si="24"/>
        <v>0.60858333333333303</v>
      </c>
      <c r="L75" s="5">
        <f t="shared" ca="1" si="25"/>
        <v>4.1095890410936138E-4</v>
      </c>
      <c r="N75">
        <f t="shared" ca="1" si="26"/>
        <v>2.3030000000000008</v>
      </c>
      <c r="O75">
        <f t="shared" ca="1" si="27"/>
        <v>1.0034544999999999E-3</v>
      </c>
      <c r="P75">
        <f t="shared" ca="1" si="28"/>
        <v>1.000057575</v>
      </c>
      <c r="Q75">
        <f t="shared" ca="1" si="29"/>
        <v>0.60761486024485689</v>
      </c>
      <c r="R75">
        <f t="shared" ca="1" si="30"/>
        <v>3240.6125879725701</v>
      </c>
      <c r="S75">
        <f t="shared" ca="1" si="31"/>
        <v>1.2228620889843731</v>
      </c>
      <c r="T75">
        <f t="shared" ca="1" si="32"/>
        <v>2</v>
      </c>
      <c r="U75">
        <f t="shared" ca="1" si="33"/>
        <v>3244</v>
      </c>
      <c r="V75">
        <f t="shared" ca="1" si="34"/>
        <v>0.60824999999999996</v>
      </c>
      <c r="X75">
        <f t="shared" ca="1" si="35"/>
        <v>0.6072115852929767</v>
      </c>
    </row>
    <row r="76" spans="5:24" x14ac:dyDescent="0.25">
      <c r="E76">
        <v>74</v>
      </c>
      <c r="F76">
        <f t="shared" si="19"/>
        <v>27.4</v>
      </c>
      <c r="G76">
        <f t="shared" ca="1" si="20"/>
        <v>27.407</v>
      </c>
      <c r="H76" s="5">
        <f t="shared" ca="1" si="21"/>
        <v>7.0000000000014495E-3</v>
      </c>
      <c r="I76" s="5">
        <f t="shared" ca="1" si="22"/>
        <v>2.5547445255479746E-4</v>
      </c>
      <c r="J76" s="10">
        <f t="shared" si="23"/>
        <v>0.61666666666666647</v>
      </c>
      <c r="K76" s="12">
        <f t="shared" ca="1" si="24"/>
        <v>0.61724999999999963</v>
      </c>
      <c r="L76" s="5">
        <f t="shared" ca="1" si="25"/>
        <v>9.4594594594566198E-4</v>
      </c>
      <c r="N76">
        <f t="shared" ca="1" si="26"/>
        <v>2.407</v>
      </c>
      <c r="O76">
        <f t="shared" ca="1" si="27"/>
        <v>1.0036105E-3</v>
      </c>
      <c r="P76">
        <f t="shared" ca="1" si="28"/>
        <v>1.000060175</v>
      </c>
      <c r="Q76">
        <f t="shared" ca="1" si="29"/>
        <v>0.61628347212648782</v>
      </c>
      <c r="R76">
        <f t="shared" ca="1" si="30"/>
        <v>3286.8451846746016</v>
      </c>
      <c r="S76">
        <f t="shared" ca="1" si="31"/>
        <v>1.2397311397728719</v>
      </c>
      <c r="T76">
        <f t="shared" ca="1" si="32"/>
        <v>-2</v>
      </c>
      <c r="U76">
        <f t="shared" ca="1" si="33"/>
        <v>3286</v>
      </c>
      <c r="V76">
        <f t="shared" ca="1" si="34"/>
        <v>0.61612500000000003</v>
      </c>
      <c r="X76">
        <f t="shared" ca="1" si="35"/>
        <v>0.61508437679762629</v>
      </c>
    </row>
    <row r="77" spans="5:24" x14ac:dyDescent="0.25">
      <c r="E77">
        <v>75</v>
      </c>
      <c r="F77">
        <f t="shared" si="19"/>
        <v>27.5</v>
      </c>
      <c r="G77">
        <f t="shared" ca="1" si="20"/>
        <v>27.501000000000001</v>
      </c>
      <c r="H77" s="5">
        <f t="shared" ca="1" si="21"/>
        <v>1.0000000000012221E-3</v>
      </c>
      <c r="I77" s="5">
        <f t="shared" ca="1" si="22"/>
        <v>3.6363636363680803E-5</v>
      </c>
      <c r="J77" s="10">
        <f t="shared" si="23"/>
        <v>0.62499999999999978</v>
      </c>
      <c r="K77" s="12">
        <f t="shared" ca="1" si="24"/>
        <v>0.62508333333333321</v>
      </c>
      <c r="L77" s="5">
        <f t="shared" ca="1" si="25"/>
        <v>1.3333333333349632E-4</v>
      </c>
      <c r="N77">
        <f t="shared" ca="1" si="26"/>
        <v>2.5010000000000012</v>
      </c>
      <c r="O77">
        <f t="shared" ca="1" si="27"/>
        <v>1.0037514999999999E-3</v>
      </c>
      <c r="P77">
        <f t="shared" ca="1" si="28"/>
        <v>1.0000625249999999</v>
      </c>
      <c r="Q77">
        <f t="shared" ca="1" si="29"/>
        <v>0.62411860240918726</v>
      </c>
      <c r="R77">
        <f t="shared" ca="1" si="30"/>
        <v>3328.6325461823321</v>
      </c>
      <c r="S77">
        <f t="shared" ca="1" si="31"/>
        <v>1.2549572943365672</v>
      </c>
      <c r="T77">
        <f t="shared" ca="1" si="32"/>
        <v>-2</v>
      </c>
      <c r="U77">
        <f t="shared" ca="1" si="33"/>
        <v>3328</v>
      </c>
      <c r="V77">
        <f t="shared" ca="1" si="34"/>
        <v>0.624</v>
      </c>
      <c r="X77">
        <f t="shared" ca="1" si="35"/>
        <v>0.62295729809493672</v>
      </c>
    </row>
    <row r="78" spans="5:24" x14ac:dyDescent="0.25">
      <c r="E78">
        <v>76</v>
      </c>
      <c r="F78">
        <f t="shared" si="19"/>
        <v>27.6</v>
      </c>
      <c r="G78">
        <f t="shared" ca="1" si="20"/>
        <v>27.597000000000001</v>
      </c>
      <c r="H78" s="5">
        <f t="shared" ca="1" si="21"/>
        <v>3.0000000000001137E-3</v>
      </c>
      <c r="I78" s="5">
        <f t="shared" ca="1" si="22"/>
        <v>1.0869565217391715E-4</v>
      </c>
      <c r="J78" s="10">
        <f t="shared" si="23"/>
        <v>0.63333333333333308</v>
      </c>
      <c r="K78" s="12">
        <f t="shared" ca="1" si="24"/>
        <v>0.63308333333333322</v>
      </c>
      <c r="L78" s="5">
        <f t="shared" ca="1" si="25"/>
        <v>3.9473684210504452E-4</v>
      </c>
      <c r="N78">
        <f t="shared" ca="1" si="26"/>
        <v>2.5970000000000013</v>
      </c>
      <c r="O78">
        <f t="shared" ca="1" si="27"/>
        <v>1.0038955E-3</v>
      </c>
      <c r="P78">
        <f t="shared" ca="1" si="28"/>
        <v>1.000064925</v>
      </c>
      <c r="Q78">
        <f t="shared" ca="1" si="29"/>
        <v>0.63212047559083451</v>
      </c>
      <c r="R78">
        <f t="shared" ca="1" si="30"/>
        <v>3371.3092031511173</v>
      </c>
      <c r="S78">
        <f t="shared" ca="1" si="31"/>
        <v>1.270486691410956</v>
      </c>
      <c r="T78">
        <f t="shared" ca="1" si="32"/>
        <v>-1</v>
      </c>
      <c r="U78">
        <f t="shared" ca="1" si="33"/>
        <v>3372</v>
      </c>
      <c r="V78">
        <f t="shared" ca="1" si="34"/>
        <v>0.63224999999999998</v>
      </c>
      <c r="X78">
        <f t="shared" ca="1" si="35"/>
        <v>0.63120512350735625</v>
      </c>
    </row>
    <row r="79" spans="5:24" x14ac:dyDescent="0.25">
      <c r="E79">
        <v>77</v>
      </c>
      <c r="F79">
        <f t="shared" si="19"/>
        <v>27.7</v>
      </c>
      <c r="G79">
        <f t="shared" ca="1" si="20"/>
        <v>27.704000000000001</v>
      </c>
      <c r="H79" s="5">
        <f t="shared" ca="1" si="21"/>
        <v>4.0000000000013358E-3</v>
      </c>
      <c r="I79" s="5">
        <f t="shared" ca="1" si="22"/>
        <v>1.4440433213001213E-4</v>
      </c>
      <c r="J79" s="10">
        <f t="shared" si="23"/>
        <v>0.64166666666666639</v>
      </c>
      <c r="K79" s="12">
        <f t="shared" ca="1" si="24"/>
        <v>0.64199999999999968</v>
      </c>
      <c r="L79" s="5">
        <f t="shared" ca="1" si="25"/>
        <v>5.1948051948046245E-4</v>
      </c>
      <c r="N79">
        <f t="shared" ca="1" si="26"/>
        <v>2.7040000000000006</v>
      </c>
      <c r="O79">
        <f t="shared" ca="1" si="27"/>
        <v>1.0040559999999999E-3</v>
      </c>
      <c r="P79">
        <f t="shared" ca="1" si="28"/>
        <v>1.0000675999999999</v>
      </c>
      <c r="Q79">
        <f t="shared" ca="1" si="29"/>
        <v>0.64103927532581406</v>
      </c>
      <c r="R79">
        <f t="shared" ca="1" si="30"/>
        <v>3418.8761350710083</v>
      </c>
      <c r="S79">
        <f t="shared" ca="1" si="31"/>
        <v>1.2877705100904993</v>
      </c>
      <c r="T79">
        <f t="shared" ca="1" si="32"/>
        <v>-1</v>
      </c>
      <c r="U79">
        <f t="shared" ca="1" si="33"/>
        <v>3419</v>
      </c>
      <c r="V79">
        <f t="shared" ca="1" si="34"/>
        <v>0.64106249999999998</v>
      </c>
      <c r="X79">
        <f t="shared" ca="1" si="35"/>
        <v>0.64001517897390137</v>
      </c>
    </row>
    <row r="80" spans="5:24" x14ac:dyDescent="0.25">
      <c r="E80">
        <v>78</v>
      </c>
      <c r="F80">
        <f t="shared" si="19"/>
        <v>27.8</v>
      </c>
      <c r="G80">
        <f t="shared" ca="1" si="20"/>
        <v>27.794</v>
      </c>
      <c r="H80" s="5">
        <f t="shared" ca="1" si="21"/>
        <v>6.0000000000002274E-3</v>
      </c>
      <c r="I80" s="5">
        <f t="shared" ca="1" si="22"/>
        <v>2.1582733812950457E-4</v>
      </c>
      <c r="J80" s="10">
        <f t="shared" si="23"/>
        <v>0.64999999999999969</v>
      </c>
      <c r="K80" s="12">
        <f t="shared" ca="1" si="24"/>
        <v>0.64949999999999997</v>
      </c>
      <c r="L80" s="5">
        <f t="shared" ca="1" si="25"/>
        <v>7.6923076923034325E-4</v>
      </c>
      <c r="N80">
        <f t="shared" ca="1" si="26"/>
        <v>2.7940000000000005</v>
      </c>
      <c r="O80">
        <f t="shared" ca="1" si="27"/>
        <v>1.004191E-3</v>
      </c>
      <c r="P80">
        <f t="shared" ca="1" si="28"/>
        <v>1.00006985</v>
      </c>
      <c r="Q80">
        <f t="shared" ca="1" si="29"/>
        <v>0.6485411064322586</v>
      </c>
      <c r="R80">
        <f t="shared" ca="1" si="30"/>
        <v>3458.8859009720459</v>
      </c>
      <c r="S80">
        <f t="shared" ca="1" si="31"/>
        <v>1.3022876500312133</v>
      </c>
      <c r="T80">
        <f t="shared" ca="1" si="32"/>
        <v>3</v>
      </c>
      <c r="U80">
        <f t="shared" ca="1" si="33"/>
        <v>3463</v>
      </c>
      <c r="V80">
        <f t="shared" ca="1" si="34"/>
        <v>0.64931249999999996</v>
      </c>
      <c r="X80">
        <f t="shared" ca="1" si="35"/>
        <v>0.64826302782750611</v>
      </c>
    </row>
    <row r="81" spans="5:24" x14ac:dyDescent="0.25">
      <c r="E81">
        <v>79</v>
      </c>
      <c r="F81">
        <f t="shared" si="19"/>
        <v>27.9</v>
      </c>
      <c r="G81">
        <f t="shared" ca="1" si="20"/>
        <v>27.890999999999998</v>
      </c>
      <c r="H81" s="5">
        <f t="shared" ca="1" si="21"/>
        <v>9.0000000000003411E-3</v>
      </c>
      <c r="I81" s="5">
        <f t="shared" ca="1" si="22"/>
        <v>3.2258064516130257E-4</v>
      </c>
      <c r="J81" s="10">
        <f t="shared" si="23"/>
        <v>0.65833333333333299</v>
      </c>
      <c r="K81" s="12">
        <f t="shared" ca="1" si="24"/>
        <v>0.65758333333333296</v>
      </c>
      <c r="L81" s="5">
        <f t="shared" ca="1" si="25"/>
        <v>1.1392405063291578E-3</v>
      </c>
      <c r="N81">
        <f t="shared" ca="1" si="26"/>
        <v>2.8909999999999982</v>
      </c>
      <c r="O81">
        <f t="shared" ca="1" si="27"/>
        <v>1.0043364999999999E-3</v>
      </c>
      <c r="P81">
        <f t="shared" ca="1" si="28"/>
        <v>1.000072275</v>
      </c>
      <c r="Q81">
        <f t="shared" ca="1" si="29"/>
        <v>0.65662645108032913</v>
      </c>
      <c r="R81">
        <f t="shared" ca="1" si="30"/>
        <v>3502.0077390950887</v>
      </c>
      <c r="S81">
        <f t="shared" ca="1" si="31"/>
        <v>1.3179125122362261</v>
      </c>
      <c r="T81">
        <f t="shared" ca="1" si="32"/>
        <v>2</v>
      </c>
      <c r="U81">
        <f t="shared" ca="1" si="33"/>
        <v>3505</v>
      </c>
      <c r="V81">
        <f t="shared" ca="1" si="34"/>
        <v>0.65718750000000004</v>
      </c>
      <c r="X81">
        <f t="shared" ca="1" si="35"/>
        <v>0.65613574128929841</v>
      </c>
    </row>
    <row r="82" spans="5:24" x14ac:dyDescent="0.25">
      <c r="E82">
        <v>80</v>
      </c>
      <c r="F82">
        <f t="shared" si="19"/>
        <v>28</v>
      </c>
      <c r="G82">
        <f t="shared" ca="1" si="20"/>
        <v>28.001000000000001</v>
      </c>
      <c r="H82" s="5">
        <f t="shared" ca="1" si="21"/>
        <v>1.0000000000012221E-3</v>
      </c>
      <c r="I82" s="5">
        <f t="shared" ca="1" si="22"/>
        <v>3.5714285714329363E-5</v>
      </c>
      <c r="J82" s="10">
        <f t="shared" si="23"/>
        <v>0.6666666666666663</v>
      </c>
      <c r="K82" s="12">
        <f t="shared" ca="1" si="24"/>
        <v>0.66674999999999973</v>
      </c>
      <c r="L82" s="5">
        <f t="shared" ca="1" si="25"/>
        <v>1.2500000000015285E-4</v>
      </c>
      <c r="N82">
        <f t="shared" ca="1" si="26"/>
        <v>3.0010000000000012</v>
      </c>
      <c r="O82">
        <f t="shared" ca="1" si="27"/>
        <v>1.0045015E-3</v>
      </c>
      <c r="P82">
        <f t="shared" ca="1" si="28"/>
        <v>1.0000750249999999</v>
      </c>
      <c r="Q82">
        <f t="shared" ca="1" si="29"/>
        <v>0.6657954460560247</v>
      </c>
      <c r="R82">
        <f t="shared" ca="1" si="30"/>
        <v>3550.9090456321314</v>
      </c>
      <c r="S82">
        <f t="shared" ca="1" si="31"/>
        <v>1.3356042486828326</v>
      </c>
      <c r="T82">
        <f t="shared" ca="1" si="32"/>
        <v>1</v>
      </c>
      <c r="U82">
        <f t="shared" ca="1" si="33"/>
        <v>3553</v>
      </c>
      <c r="V82">
        <f t="shared" ca="1" si="34"/>
        <v>0.66618750000000004</v>
      </c>
      <c r="X82">
        <f t="shared" ca="1" si="35"/>
        <v>0.66513309688940603</v>
      </c>
    </row>
    <row r="83" spans="5:24" x14ac:dyDescent="0.25">
      <c r="E83">
        <v>81</v>
      </c>
      <c r="F83">
        <f t="shared" si="19"/>
        <v>28.1</v>
      </c>
      <c r="G83">
        <f t="shared" ca="1" si="20"/>
        <v>28.104000000000003</v>
      </c>
      <c r="H83" s="5">
        <f t="shared" ca="1" si="21"/>
        <v>4.0000000000013358E-3</v>
      </c>
      <c r="I83" s="5">
        <f t="shared" ca="1" si="22"/>
        <v>1.4234875444844611E-4</v>
      </c>
      <c r="J83" s="10">
        <f t="shared" si="23"/>
        <v>0.67500000000000004</v>
      </c>
      <c r="K83" s="12">
        <f t="shared" ca="1" si="24"/>
        <v>0.67533333333333334</v>
      </c>
      <c r="L83" s="5">
        <f t="shared" ca="1" si="25"/>
        <v>4.9382716049377275E-4</v>
      </c>
      <c r="N83">
        <f t="shared" ca="1" si="26"/>
        <v>3.1040000000000028</v>
      </c>
      <c r="O83">
        <f t="shared" ca="1" si="27"/>
        <v>1.004656E-3</v>
      </c>
      <c r="P83">
        <f t="shared" ca="1" si="28"/>
        <v>1.0000776</v>
      </c>
      <c r="Q83">
        <f t="shared" ca="1" si="29"/>
        <v>0.67438100523869438</v>
      </c>
      <c r="R83">
        <f t="shared" ca="1" si="30"/>
        <v>3596.6986946063698</v>
      </c>
      <c r="S83">
        <f t="shared" ca="1" si="31"/>
        <v>1.352143628245277</v>
      </c>
      <c r="T83">
        <f t="shared" ca="1" si="32"/>
        <v>1</v>
      </c>
      <c r="U83">
        <f t="shared" ca="1" si="33"/>
        <v>3599</v>
      </c>
      <c r="V83">
        <f t="shared" ca="1" si="34"/>
        <v>0.67481250000000004</v>
      </c>
      <c r="X83">
        <f t="shared" ca="1" si="35"/>
        <v>0.67375556056849994</v>
      </c>
    </row>
    <row r="84" spans="5:24" x14ac:dyDescent="0.25">
      <c r="E84">
        <v>82</v>
      </c>
      <c r="F84">
        <f t="shared" si="19"/>
        <v>28.200000000000003</v>
      </c>
      <c r="G84">
        <f t="shared" ca="1" si="20"/>
        <v>28.207000000000004</v>
      </c>
      <c r="H84" s="5">
        <f t="shared" ca="1" si="21"/>
        <v>7.0000000000014495E-3</v>
      </c>
      <c r="I84" s="5">
        <f t="shared" ca="1" si="22"/>
        <v>2.4822695035466133E-4</v>
      </c>
      <c r="J84" s="10">
        <f t="shared" si="23"/>
        <v>0.68333333333333335</v>
      </c>
      <c r="K84" s="12">
        <f t="shared" ca="1" si="24"/>
        <v>0.68391666666666695</v>
      </c>
      <c r="L84" s="5">
        <f t="shared" ca="1" si="25"/>
        <v>8.536585365857592E-4</v>
      </c>
      <c r="N84">
        <f t="shared" ca="1" si="26"/>
        <v>3.2070000000000043</v>
      </c>
      <c r="O84">
        <f t="shared" ca="1" si="27"/>
        <v>1.0048105E-3</v>
      </c>
      <c r="P84">
        <f t="shared" ca="1" si="28"/>
        <v>1.0000801749999999</v>
      </c>
      <c r="Q84">
        <f t="shared" ca="1" si="29"/>
        <v>0.68296660862473502</v>
      </c>
      <c r="R84">
        <f t="shared" ca="1" si="30"/>
        <v>3642.4885793319199</v>
      </c>
      <c r="S84">
        <f t="shared" ca="1" si="31"/>
        <v>1.3686570338269282</v>
      </c>
      <c r="T84">
        <f t="shared" ca="1" si="32"/>
        <v>3</v>
      </c>
      <c r="U84">
        <f t="shared" ca="1" si="33"/>
        <v>3647</v>
      </c>
      <c r="V84">
        <f t="shared" ca="1" si="34"/>
        <v>0.68381250000000005</v>
      </c>
      <c r="X84">
        <f t="shared" ca="1" si="35"/>
        <v>0.68275294978225132</v>
      </c>
    </row>
    <row r="85" spans="5:24" x14ac:dyDescent="0.25">
      <c r="E85">
        <v>83</v>
      </c>
      <c r="F85">
        <f t="shared" si="19"/>
        <v>28.3</v>
      </c>
      <c r="G85">
        <f t="shared" ca="1" si="20"/>
        <v>28.301000000000002</v>
      </c>
      <c r="H85" s="5">
        <f t="shared" ca="1" si="21"/>
        <v>1.0000000000012221E-3</v>
      </c>
      <c r="I85" s="5">
        <f t="shared" ca="1" si="22"/>
        <v>3.5335689045979582E-5</v>
      </c>
      <c r="J85" s="10">
        <f t="shared" si="23"/>
        <v>0.69166666666666665</v>
      </c>
      <c r="K85" s="12">
        <f t="shared" ca="1" si="24"/>
        <v>0.69175000000000009</v>
      </c>
      <c r="L85" s="5">
        <f t="shared" ca="1" si="25"/>
        <v>1.2048192771099062E-4</v>
      </c>
      <c r="N85">
        <f t="shared" ca="1" si="26"/>
        <v>3.3010000000000019</v>
      </c>
      <c r="O85">
        <f t="shared" ca="1" si="27"/>
        <v>1.0049515E-3</v>
      </c>
      <c r="P85">
        <f t="shared" ca="1" si="28"/>
        <v>1.0000825250000001</v>
      </c>
      <c r="Q85">
        <f t="shared" ca="1" si="29"/>
        <v>0.69080205223512758</v>
      </c>
      <c r="R85">
        <f t="shared" ca="1" si="30"/>
        <v>3684.2776119206806</v>
      </c>
      <c r="S85">
        <f t="shared" ca="1" si="31"/>
        <v>1.3837045816751072</v>
      </c>
      <c r="T85">
        <f t="shared" ca="1" si="32"/>
        <v>0</v>
      </c>
      <c r="U85">
        <f t="shared" ca="1" si="33"/>
        <v>3686</v>
      </c>
      <c r="V85">
        <f t="shared" ca="1" si="34"/>
        <v>0.69112499999999999</v>
      </c>
      <c r="X85">
        <f t="shared" ca="1" si="35"/>
        <v>0.69006310104258639</v>
      </c>
    </row>
    <row r="86" spans="5:24" x14ac:dyDescent="0.25">
      <c r="E86">
        <v>84</v>
      </c>
      <c r="F86">
        <f t="shared" si="19"/>
        <v>28.4</v>
      </c>
      <c r="G86">
        <f t="shared" ca="1" si="20"/>
        <v>28.398</v>
      </c>
      <c r="H86" s="5">
        <f t="shared" ca="1" si="21"/>
        <v>1.9999999999988916E-3</v>
      </c>
      <c r="I86" s="5">
        <f t="shared" ca="1" si="22"/>
        <v>7.0422535211228578E-5</v>
      </c>
      <c r="J86" s="10">
        <f t="shared" si="23"/>
        <v>0.69999999999999951</v>
      </c>
      <c r="K86" s="12">
        <f t="shared" ca="1" si="24"/>
        <v>0.69983333333333309</v>
      </c>
      <c r="L86" s="5">
        <f t="shared" ca="1" si="25"/>
        <v>2.3809523809489484E-4</v>
      </c>
      <c r="N86">
        <f t="shared" ca="1" si="26"/>
        <v>3.3979999999999997</v>
      </c>
      <c r="O86">
        <f t="shared" ca="1" si="27"/>
        <v>1.0050969999999999E-3</v>
      </c>
      <c r="P86">
        <f t="shared" ca="1" si="28"/>
        <v>1.00008495</v>
      </c>
      <c r="Q86">
        <f t="shared" ca="1" si="29"/>
        <v>0.69888760179200959</v>
      </c>
      <c r="R86">
        <f t="shared" ca="1" si="30"/>
        <v>3727.4005428907176</v>
      </c>
      <c r="S86">
        <f t="shared" ca="1" si="31"/>
        <v>1.3992091561159345</v>
      </c>
      <c r="T86">
        <f t="shared" ca="1" si="32"/>
        <v>2</v>
      </c>
      <c r="U86">
        <f t="shared" ca="1" si="33"/>
        <v>3731</v>
      </c>
      <c r="V86">
        <f t="shared" ca="1" si="34"/>
        <v>0.69956249999999998</v>
      </c>
      <c r="X86">
        <f t="shared" ca="1" si="35"/>
        <v>0.69849806558932825</v>
      </c>
    </row>
    <row r="87" spans="5:24" x14ac:dyDescent="0.25">
      <c r="E87">
        <v>85</v>
      </c>
      <c r="F87">
        <f t="shared" si="19"/>
        <v>28.5</v>
      </c>
      <c r="G87">
        <f t="shared" ca="1" si="20"/>
        <v>28.492999999999999</v>
      </c>
      <c r="H87" s="5">
        <f t="shared" ca="1" si="21"/>
        <v>7.0000000000014495E-3</v>
      </c>
      <c r="I87" s="5">
        <f t="shared" ca="1" si="22"/>
        <v>2.4561403508777016E-4</v>
      </c>
      <c r="J87" s="10">
        <f t="shared" si="23"/>
        <v>0.70833333333333326</v>
      </c>
      <c r="K87" s="12">
        <f t="shared" ca="1" si="24"/>
        <v>0.70774999999999966</v>
      </c>
      <c r="L87" s="5">
        <f t="shared" ca="1" si="25"/>
        <v>8.235294117650855E-4</v>
      </c>
      <c r="N87">
        <f t="shared" ca="1" si="26"/>
        <v>3.4929999999999986</v>
      </c>
      <c r="O87">
        <f t="shared" ca="1" si="27"/>
        <v>1.0052395E-3</v>
      </c>
      <c r="P87">
        <f t="shared" ca="1" si="28"/>
        <v>1.000087325</v>
      </c>
      <c r="Q87">
        <f t="shared" ca="1" si="29"/>
        <v>0.70680647698621035</v>
      </c>
      <c r="R87">
        <f t="shared" ca="1" si="30"/>
        <v>3769.6345439264551</v>
      </c>
      <c r="S87">
        <f t="shared" ca="1" si="31"/>
        <v>1.4143709411309089</v>
      </c>
      <c r="T87">
        <f t="shared" ca="1" si="32"/>
        <v>0</v>
      </c>
      <c r="U87">
        <f t="shared" ca="1" si="33"/>
        <v>3771</v>
      </c>
      <c r="V87">
        <f t="shared" ca="1" si="34"/>
        <v>0.70706250000000004</v>
      </c>
      <c r="X87">
        <f t="shared" ca="1" si="35"/>
        <v>0.70599560943340633</v>
      </c>
    </row>
    <row r="88" spans="5:24" x14ac:dyDescent="0.25">
      <c r="E88">
        <v>86</v>
      </c>
      <c r="F88">
        <f t="shared" si="19"/>
        <v>28.6</v>
      </c>
      <c r="G88">
        <f t="shared" ca="1" si="20"/>
        <v>28.595000000000002</v>
      </c>
      <c r="H88" s="5">
        <f t="shared" ca="1" si="21"/>
        <v>4.9999999999990052E-3</v>
      </c>
      <c r="I88" s="5">
        <f t="shared" ca="1" si="22"/>
        <v>1.7482517482514002E-4</v>
      </c>
      <c r="J88" s="10">
        <f t="shared" si="23"/>
        <v>0.71666666666666656</v>
      </c>
      <c r="K88" s="12">
        <f t="shared" ca="1" si="24"/>
        <v>0.71624999999999983</v>
      </c>
      <c r="L88" s="5">
        <f t="shared" ca="1" si="25"/>
        <v>5.8139534883730026E-4</v>
      </c>
      <c r="N88">
        <f t="shared" ca="1" si="26"/>
        <v>3.5950000000000024</v>
      </c>
      <c r="O88">
        <f t="shared" ca="1" si="27"/>
        <v>1.0053925000000001E-3</v>
      </c>
      <c r="P88">
        <f t="shared" ca="1" si="28"/>
        <v>1.000089875</v>
      </c>
      <c r="Q88">
        <f t="shared" ca="1" si="29"/>
        <v>0.71530889010909893</v>
      </c>
      <c r="R88">
        <f t="shared" ca="1" si="30"/>
        <v>3814.9807472485277</v>
      </c>
      <c r="S88">
        <f t="shared" ca="1" si="31"/>
        <v>1.4306241682275285</v>
      </c>
      <c r="T88">
        <f t="shared" ca="1" si="32"/>
        <v>1</v>
      </c>
      <c r="U88">
        <f t="shared" ca="1" si="33"/>
        <v>3817</v>
      </c>
      <c r="V88">
        <f t="shared" ca="1" si="34"/>
        <v>0.71568750000000003</v>
      </c>
      <c r="X88">
        <f t="shared" ca="1" si="35"/>
        <v>0.71461788121792558</v>
      </c>
    </row>
    <row r="89" spans="5:24" x14ac:dyDescent="0.25">
      <c r="E89">
        <v>87</v>
      </c>
      <c r="F89">
        <f t="shared" si="19"/>
        <v>28.700000000000003</v>
      </c>
      <c r="G89">
        <f t="shared" ca="1" si="20"/>
        <v>28.701000000000004</v>
      </c>
      <c r="H89" s="5">
        <f t="shared" ca="1" si="21"/>
        <v>1.0000000000012221E-3</v>
      </c>
      <c r="I89" s="5">
        <f t="shared" ca="1" si="22"/>
        <v>3.4843205574955474E-5</v>
      </c>
      <c r="J89" s="10">
        <f t="shared" si="23"/>
        <v>0.72499999999999987</v>
      </c>
      <c r="K89" s="12">
        <f t="shared" ca="1" si="24"/>
        <v>0.7250833333333333</v>
      </c>
      <c r="L89" s="5">
        <f t="shared" ca="1" si="25"/>
        <v>1.1494252873577268E-4</v>
      </c>
      <c r="N89">
        <f t="shared" ca="1" si="26"/>
        <v>3.7010000000000041</v>
      </c>
      <c r="O89">
        <f t="shared" ca="1" si="27"/>
        <v>1.0055515000000001E-3</v>
      </c>
      <c r="P89">
        <f t="shared" ca="1" si="28"/>
        <v>1.0000925249999999</v>
      </c>
      <c r="Q89">
        <f t="shared" ca="1" si="29"/>
        <v>0.72414477713009728</v>
      </c>
      <c r="R89">
        <f t="shared" ca="1" si="30"/>
        <v>3862.1054780271857</v>
      </c>
      <c r="S89">
        <f t="shared" ca="1" si="31"/>
        <v>1.4474862087332909</v>
      </c>
      <c r="T89">
        <f t="shared" ca="1" si="32"/>
        <v>-3</v>
      </c>
      <c r="U89">
        <f t="shared" ca="1" si="33"/>
        <v>3861</v>
      </c>
      <c r="V89">
        <f t="shared" ca="1" si="34"/>
        <v>0.72393750000000001</v>
      </c>
      <c r="X89">
        <f t="shared" ca="1" si="35"/>
        <v>0.72286506540982298</v>
      </c>
    </row>
    <row r="90" spans="5:24" x14ac:dyDescent="0.25">
      <c r="E90">
        <v>88</v>
      </c>
      <c r="F90">
        <f t="shared" si="19"/>
        <v>28.8</v>
      </c>
      <c r="G90">
        <f t="shared" ca="1" si="20"/>
        <v>28.805</v>
      </c>
      <c r="H90" s="5">
        <f t="shared" ca="1" si="21"/>
        <v>4.9999999999990052E-3</v>
      </c>
      <c r="I90" s="5">
        <f t="shared" ca="1" si="22"/>
        <v>1.7361111111107656E-4</v>
      </c>
      <c r="J90" s="10">
        <f t="shared" si="23"/>
        <v>0.73333333333333317</v>
      </c>
      <c r="K90" s="12">
        <f t="shared" ca="1" si="24"/>
        <v>0.7337499999999999</v>
      </c>
      <c r="L90" s="5">
        <f t="shared" ca="1" si="25"/>
        <v>5.6818181818190717E-4</v>
      </c>
      <c r="N90">
        <f t="shared" ca="1" si="26"/>
        <v>3.8049999999999997</v>
      </c>
      <c r="O90">
        <f t="shared" ca="1" si="27"/>
        <v>1.0057075E-3</v>
      </c>
      <c r="P90">
        <f t="shared" ca="1" si="28"/>
        <v>1.0000951250000001</v>
      </c>
      <c r="Q90">
        <f t="shared" ca="1" si="29"/>
        <v>0.7328139948008241</v>
      </c>
      <c r="R90">
        <f t="shared" ca="1" si="30"/>
        <v>3908.3413056043951</v>
      </c>
      <c r="S90">
        <f t="shared" ca="1" si="31"/>
        <v>1.4640014703478703</v>
      </c>
      <c r="T90">
        <f t="shared" ca="1" si="32"/>
        <v>-2</v>
      </c>
      <c r="U90">
        <f t="shared" ca="1" si="33"/>
        <v>3908</v>
      </c>
      <c r="V90">
        <f t="shared" ca="1" si="34"/>
        <v>0.73275000000000001</v>
      </c>
      <c r="X90">
        <f t="shared" ca="1" si="35"/>
        <v>0.73167469194492873</v>
      </c>
    </row>
    <row r="91" spans="5:24" x14ac:dyDescent="0.25">
      <c r="E91">
        <v>89</v>
      </c>
      <c r="F91">
        <f t="shared" si="19"/>
        <v>28.9</v>
      </c>
      <c r="G91">
        <f t="shared" ca="1" si="20"/>
        <v>28.898</v>
      </c>
      <c r="H91" s="5">
        <f t="shared" ca="1" si="21"/>
        <v>1.9999999999988916E-3</v>
      </c>
      <c r="I91" s="5">
        <f t="shared" ca="1" si="22"/>
        <v>6.92041522490966E-5</v>
      </c>
      <c r="J91" s="10">
        <f t="shared" si="23"/>
        <v>0.74166666666666647</v>
      </c>
      <c r="K91" s="12">
        <f t="shared" ca="1" si="24"/>
        <v>0.7414999999999996</v>
      </c>
      <c r="L91" s="5">
        <f t="shared" ca="1" si="25"/>
        <v>2.247191011238702E-4</v>
      </c>
      <c r="N91">
        <f t="shared" ca="1" si="26"/>
        <v>3.8979999999999997</v>
      </c>
      <c r="O91">
        <f t="shared" ca="1" si="27"/>
        <v>1.005847E-3</v>
      </c>
      <c r="P91">
        <f t="shared" ca="1" si="28"/>
        <v>1.0000974499999999</v>
      </c>
      <c r="Q91">
        <f t="shared" ca="1" si="29"/>
        <v>0.74056631415520946</v>
      </c>
      <c r="R91">
        <f t="shared" ca="1" si="30"/>
        <v>3949.6870088277838</v>
      </c>
      <c r="S91">
        <f t="shared" ca="1" si="31"/>
        <v>1.4787456435543211</v>
      </c>
      <c r="T91">
        <f t="shared" ca="1" si="32"/>
        <v>-3</v>
      </c>
      <c r="U91">
        <f t="shared" ca="1" si="33"/>
        <v>3948</v>
      </c>
      <c r="V91">
        <f t="shared" ca="1" si="34"/>
        <v>0.74024999999999996</v>
      </c>
      <c r="X91">
        <f t="shared" ca="1" si="35"/>
        <v>0.73917212067684013</v>
      </c>
    </row>
    <row r="92" spans="5:24" x14ac:dyDescent="0.25">
      <c r="E92">
        <v>90</v>
      </c>
      <c r="F92">
        <f t="shared" si="19"/>
        <v>29</v>
      </c>
      <c r="G92">
        <f t="shared" ca="1" si="20"/>
        <v>29.007999999999999</v>
      </c>
      <c r="H92" s="5">
        <f t="shared" ca="1" si="21"/>
        <v>7.9999999999991189E-3</v>
      </c>
      <c r="I92" s="5">
        <f t="shared" ca="1" si="22"/>
        <v>2.7586206896548684E-4</v>
      </c>
      <c r="J92" s="10">
        <f t="shared" si="23"/>
        <v>0.74999999999999978</v>
      </c>
      <c r="K92" s="12">
        <f t="shared" ca="1" si="24"/>
        <v>0.75066666666666637</v>
      </c>
      <c r="L92" s="5">
        <f t="shared" ca="1" si="25"/>
        <v>8.8888888888879124E-4</v>
      </c>
      <c r="N92">
        <f t="shared" ca="1" si="26"/>
        <v>4.0079999999999991</v>
      </c>
      <c r="O92">
        <f t="shared" ca="1" si="27"/>
        <v>1.0060119999999999E-3</v>
      </c>
      <c r="P92">
        <f t="shared" ca="1" si="28"/>
        <v>1.0001002000000001</v>
      </c>
      <c r="Q92">
        <f t="shared" ca="1" si="29"/>
        <v>0.74973577066426411</v>
      </c>
      <c r="R92">
        <f t="shared" ca="1" si="30"/>
        <v>3998.5907768760753</v>
      </c>
      <c r="S92">
        <f t="shared" ca="1" si="31"/>
        <v>1.496155063419863</v>
      </c>
      <c r="T92">
        <f t="shared" ca="1" si="32"/>
        <v>2</v>
      </c>
      <c r="U92">
        <f t="shared" ca="1" si="33"/>
        <v>4002</v>
      </c>
      <c r="V92">
        <f t="shared" ca="1" si="34"/>
        <v>0.75037500000000001</v>
      </c>
      <c r="X92">
        <f t="shared" ca="1" si="35"/>
        <v>0.74929390875034318</v>
      </c>
    </row>
    <row r="93" spans="5:24" x14ac:dyDescent="0.25">
      <c r="E93">
        <v>91</v>
      </c>
      <c r="F93">
        <f t="shared" si="19"/>
        <v>29.1</v>
      </c>
      <c r="G93">
        <f t="shared" ca="1" si="20"/>
        <v>29.107000000000003</v>
      </c>
      <c r="H93" s="5">
        <f t="shared" ca="1" si="21"/>
        <v>7.0000000000014495E-3</v>
      </c>
      <c r="I93" s="5">
        <f t="shared" ca="1" si="22"/>
        <v>2.4054982817874396E-4</v>
      </c>
      <c r="J93" s="10">
        <f t="shared" si="23"/>
        <v>0.75833333333333308</v>
      </c>
      <c r="K93" s="12">
        <f t="shared" ca="1" si="24"/>
        <v>0.75891666666666668</v>
      </c>
      <c r="L93" s="5">
        <f t="shared" ca="1" si="25"/>
        <v>7.6923076923112398E-4</v>
      </c>
      <c r="N93">
        <f t="shared" ca="1" si="26"/>
        <v>4.1070000000000029</v>
      </c>
      <c r="O93">
        <f t="shared" ca="1" si="27"/>
        <v>1.0061605E-3</v>
      </c>
      <c r="P93">
        <f t="shared" ca="1" si="28"/>
        <v>1.0001026749999999</v>
      </c>
      <c r="Q93">
        <f t="shared" ca="1" si="29"/>
        <v>0.75798832462788723</v>
      </c>
      <c r="R93">
        <f t="shared" ca="1" si="30"/>
        <v>4042.6043980153986</v>
      </c>
      <c r="S93">
        <f t="shared" ca="1" si="31"/>
        <v>1.511795513094953</v>
      </c>
      <c r="T93">
        <f t="shared" ca="1" si="32"/>
        <v>3</v>
      </c>
      <c r="U93">
        <f t="shared" ca="1" si="33"/>
        <v>4047</v>
      </c>
      <c r="V93">
        <f t="shared" ca="1" si="34"/>
        <v>0.7588125</v>
      </c>
      <c r="X93">
        <f t="shared" ca="1" si="35"/>
        <v>0.75772853972218401</v>
      </c>
    </row>
    <row r="94" spans="5:24" x14ac:dyDescent="0.25">
      <c r="E94">
        <v>92</v>
      </c>
      <c r="F94">
        <f t="shared" si="19"/>
        <v>29.200000000000003</v>
      </c>
      <c r="G94">
        <f t="shared" ca="1" si="20"/>
        <v>29.204000000000004</v>
      </c>
      <c r="H94" s="5">
        <f t="shared" ca="1" si="21"/>
        <v>4.0000000000013358E-3</v>
      </c>
      <c r="I94" s="5">
        <f t="shared" ca="1" si="22"/>
        <v>1.3698630136990876E-4</v>
      </c>
      <c r="J94" s="10">
        <f t="shared" si="23"/>
        <v>0.76666666666666683</v>
      </c>
      <c r="K94" s="12">
        <f t="shared" ca="1" si="24"/>
        <v>0.76700000000000013</v>
      </c>
      <c r="L94" s="5">
        <f t="shared" ca="1" si="25"/>
        <v>4.3478260869560421E-4</v>
      </c>
      <c r="N94">
        <f t="shared" ca="1" si="26"/>
        <v>4.2040000000000042</v>
      </c>
      <c r="O94">
        <f t="shared" ca="1" si="27"/>
        <v>1.006306E-3</v>
      </c>
      <c r="P94">
        <f t="shared" ca="1" si="28"/>
        <v>1.0001051000000001</v>
      </c>
      <c r="Q94">
        <f t="shared" ca="1" si="29"/>
        <v>0.76607419993723969</v>
      </c>
      <c r="R94">
        <f t="shared" ca="1" si="30"/>
        <v>4085.729066331945</v>
      </c>
      <c r="S94">
        <f t="shared" ca="1" si="31"/>
        <v>1.5270939615596664</v>
      </c>
      <c r="T94">
        <f t="shared" ca="1" si="32"/>
        <v>0</v>
      </c>
      <c r="U94">
        <f t="shared" ca="1" si="33"/>
        <v>4087</v>
      </c>
      <c r="V94">
        <f t="shared" ca="1" si="34"/>
        <v>0.76631250000000006</v>
      </c>
      <c r="X94">
        <f t="shared" ca="1" si="35"/>
        <v>0.76522576877170212</v>
      </c>
    </row>
    <row r="95" spans="5:24" x14ac:dyDescent="0.25">
      <c r="E95">
        <v>93</v>
      </c>
      <c r="F95">
        <f t="shared" si="19"/>
        <v>29.3</v>
      </c>
      <c r="G95">
        <f t="shared" ca="1" si="20"/>
        <v>29.305</v>
      </c>
      <c r="H95" s="5">
        <f t="shared" ca="1" si="21"/>
        <v>4.9999999999990052E-3</v>
      </c>
      <c r="I95" s="5">
        <f t="shared" ca="1" si="22"/>
        <v>1.7064846416378856E-4</v>
      </c>
      <c r="J95" s="10">
        <f t="shared" si="23"/>
        <v>0.77499999999999969</v>
      </c>
      <c r="K95" s="12">
        <f t="shared" ca="1" si="24"/>
        <v>0.77541666666666642</v>
      </c>
      <c r="L95" s="5">
        <f t="shared" ca="1" si="25"/>
        <v>5.3763440860223478E-4</v>
      </c>
      <c r="N95">
        <f t="shared" ca="1" si="26"/>
        <v>4.3049999999999997</v>
      </c>
      <c r="O95">
        <f t="shared" ca="1" si="27"/>
        <v>1.0064575000000001E-3</v>
      </c>
      <c r="P95">
        <f t="shared" ca="1" si="28"/>
        <v>1.0001076250000001</v>
      </c>
      <c r="Q95">
        <f t="shared" ca="1" si="29"/>
        <v>0.77449355506542805</v>
      </c>
      <c r="R95">
        <f t="shared" ca="1" si="30"/>
        <v>4130.6322936822826</v>
      </c>
      <c r="S95">
        <f t="shared" ca="1" si="31"/>
        <v>1.5429956071978761</v>
      </c>
      <c r="T95">
        <f t="shared" ca="1" si="32"/>
        <v>1</v>
      </c>
      <c r="U95">
        <f t="shared" ca="1" si="33"/>
        <v>4133</v>
      </c>
      <c r="V95">
        <f t="shared" ca="1" si="34"/>
        <v>0.77493750000000006</v>
      </c>
      <c r="X95">
        <f t="shared" ca="1" si="35"/>
        <v>0.77384775713513843</v>
      </c>
    </row>
    <row r="96" spans="5:24" x14ac:dyDescent="0.25">
      <c r="E96">
        <v>94</v>
      </c>
      <c r="F96">
        <f t="shared" si="19"/>
        <v>29.4</v>
      </c>
      <c r="G96">
        <f t="shared" ca="1" si="20"/>
        <v>29.395</v>
      </c>
      <c r="H96" s="5">
        <f t="shared" ca="1" si="21"/>
        <v>4.9999999999990052E-3</v>
      </c>
      <c r="I96" s="5">
        <f t="shared" ca="1" si="22"/>
        <v>1.7006802721085051E-4</v>
      </c>
      <c r="J96" s="10">
        <f t="shared" si="23"/>
        <v>0.78333333333333299</v>
      </c>
      <c r="K96" s="12">
        <f t="shared" ca="1" si="24"/>
        <v>0.78291666666666626</v>
      </c>
      <c r="L96" s="5">
        <f t="shared" ca="1" si="25"/>
        <v>5.3191489361710466E-4</v>
      </c>
      <c r="N96">
        <f t="shared" ca="1" si="26"/>
        <v>4.3949999999999996</v>
      </c>
      <c r="O96">
        <f t="shared" ca="1" si="27"/>
        <v>1.0065925000000001E-3</v>
      </c>
      <c r="P96">
        <f t="shared" ca="1" si="28"/>
        <v>1.0001098749999999</v>
      </c>
      <c r="Q96">
        <f t="shared" ca="1" si="29"/>
        <v>0.78199598653606528</v>
      </c>
      <c r="R96">
        <f t="shared" ca="1" si="30"/>
        <v>4170.6452615256812</v>
      </c>
      <c r="S96">
        <f t="shared" ca="1" si="31"/>
        <v>1.5571413721769691</v>
      </c>
      <c r="T96">
        <f t="shared" ca="1" si="32"/>
        <v>1</v>
      </c>
      <c r="U96">
        <f t="shared" ca="1" si="33"/>
        <v>4173</v>
      </c>
      <c r="V96">
        <f t="shared" ca="1" si="34"/>
        <v>0.78243750000000001</v>
      </c>
      <c r="X96">
        <f t="shared" ca="1" si="35"/>
        <v>0.78134505721183889</v>
      </c>
    </row>
    <row r="97" spans="5:24" x14ac:dyDescent="0.25">
      <c r="E97">
        <v>95</v>
      </c>
      <c r="F97">
        <f t="shared" si="19"/>
        <v>29.5</v>
      </c>
      <c r="G97">
        <f t="shared" ca="1" si="20"/>
        <v>29.51</v>
      </c>
      <c r="H97" s="5">
        <f t="shared" ca="1" si="21"/>
        <v>1.0000000000001563E-2</v>
      </c>
      <c r="I97" s="5">
        <f t="shared" ca="1" si="22"/>
        <v>3.3898305084751061E-4</v>
      </c>
      <c r="J97" s="10">
        <f t="shared" si="23"/>
        <v>0.7916666666666663</v>
      </c>
      <c r="K97" s="12">
        <f t="shared" ca="1" si="24"/>
        <v>0.79249999999999976</v>
      </c>
      <c r="L97" s="5">
        <f t="shared" ca="1" si="25"/>
        <v>1.0526315789475334E-3</v>
      </c>
      <c r="N97">
        <f t="shared" ca="1" si="26"/>
        <v>4.5100000000000016</v>
      </c>
      <c r="O97">
        <f t="shared" ca="1" si="27"/>
        <v>1.006765E-3</v>
      </c>
      <c r="P97">
        <f t="shared" ca="1" si="28"/>
        <v>1.00011275</v>
      </c>
      <c r="Q97">
        <f t="shared" ca="1" si="29"/>
        <v>0.79158247586224606</v>
      </c>
      <c r="R97">
        <f t="shared" ca="1" si="30"/>
        <v>4221.7732045986459</v>
      </c>
      <c r="S97">
        <f t="shared" ca="1" si="31"/>
        <v>1.5751832329611539</v>
      </c>
      <c r="T97">
        <f t="shared" ca="1" si="32"/>
        <v>3</v>
      </c>
      <c r="U97">
        <f t="shared" ca="1" si="33"/>
        <v>4226</v>
      </c>
      <c r="V97">
        <f t="shared" ca="1" si="34"/>
        <v>0.79237500000000005</v>
      </c>
      <c r="X97">
        <f t="shared" ca="1" si="35"/>
        <v>0.79127901829068781</v>
      </c>
    </row>
    <row r="98" spans="5:24" x14ac:dyDescent="0.25">
      <c r="E98">
        <v>96</v>
      </c>
      <c r="F98">
        <f t="shared" si="19"/>
        <v>29.6</v>
      </c>
      <c r="G98">
        <f t="shared" ca="1" si="20"/>
        <v>29.599</v>
      </c>
      <c r="H98" s="5">
        <f t="shared" ca="1" si="21"/>
        <v>1.0000000000012221E-3</v>
      </c>
      <c r="I98" s="5">
        <f t="shared" ca="1" si="22"/>
        <v>3.3783783783825072E-5</v>
      </c>
      <c r="J98" s="10">
        <f t="shared" si="23"/>
        <v>0.8</v>
      </c>
      <c r="K98" s="12">
        <f t="shared" ca="1" si="24"/>
        <v>0.79991666666666661</v>
      </c>
      <c r="L98" s="5">
        <f t="shared" ca="1" si="25"/>
        <v>1.0416666666679397E-4</v>
      </c>
      <c r="N98">
        <f t="shared" ca="1" si="26"/>
        <v>4.5990000000000002</v>
      </c>
      <c r="O98">
        <f t="shared" ca="1" si="27"/>
        <v>1.0068984999999999E-3</v>
      </c>
      <c r="P98">
        <f t="shared" ca="1" si="28"/>
        <v>1.000114975</v>
      </c>
      <c r="Q98">
        <f t="shared" ca="1" si="29"/>
        <v>0.79900162281726161</v>
      </c>
      <c r="R98">
        <f t="shared" ca="1" si="30"/>
        <v>4261.3419883587285</v>
      </c>
      <c r="S98">
        <f t="shared" ca="1" si="31"/>
        <v>1.5891201776146799</v>
      </c>
      <c r="T98">
        <f t="shared" ca="1" si="32"/>
        <v>-2</v>
      </c>
      <c r="U98">
        <f t="shared" ca="1" si="33"/>
        <v>4261</v>
      </c>
      <c r="V98">
        <f t="shared" ca="1" si="34"/>
        <v>0.79893749999999997</v>
      </c>
      <c r="X98">
        <f t="shared" ca="1" si="35"/>
        <v>0.79783886997592446</v>
      </c>
    </row>
    <row r="99" spans="5:24" x14ac:dyDescent="0.25">
      <c r="E99">
        <v>97</v>
      </c>
      <c r="F99">
        <f t="shared" si="19"/>
        <v>29.700000000000003</v>
      </c>
      <c r="G99">
        <f t="shared" ca="1" si="20"/>
        <v>29.700000000000003</v>
      </c>
      <c r="H99" s="5">
        <f t="shared" ca="1" si="21"/>
        <v>0</v>
      </c>
      <c r="I99" s="5">
        <f t="shared" ca="1" si="22"/>
        <v>0</v>
      </c>
      <c r="J99" s="10">
        <f t="shared" si="23"/>
        <v>0.80833333333333335</v>
      </c>
      <c r="K99" s="12">
        <f t="shared" ca="1" si="24"/>
        <v>0.80833333333333335</v>
      </c>
      <c r="L99" s="5">
        <f t="shared" ca="1" si="25"/>
        <v>0</v>
      </c>
      <c r="N99">
        <f t="shared" ca="1" si="26"/>
        <v>4.7000000000000028</v>
      </c>
      <c r="O99">
        <f t="shared" ca="1" si="27"/>
        <v>1.00705E-3</v>
      </c>
      <c r="P99">
        <f t="shared" ca="1" si="28"/>
        <v>1.0001175</v>
      </c>
      <c r="Q99">
        <f t="shared" ca="1" si="29"/>
        <v>0.80742114417162503</v>
      </c>
      <c r="R99">
        <f t="shared" ca="1" si="30"/>
        <v>4306.2461022486668</v>
      </c>
      <c r="S99">
        <f t="shared" ca="1" si="31"/>
        <v>1.6049086218870074</v>
      </c>
      <c r="T99">
        <f t="shared" ca="1" si="32"/>
        <v>-2</v>
      </c>
      <c r="U99">
        <f t="shared" ca="1" si="33"/>
        <v>4306</v>
      </c>
      <c r="V99">
        <f t="shared" ca="1" si="34"/>
        <v>0.80737500000000006</v>
      </c>
      <c r="X99">
        <f t="shared" ca="1" si="35"/>
        <v>0.80627321289748466</v>
      </c>
    </row>
    <row r="100" spans="5:24" x14ac:dyDescent="0.25">
      <c r="E100">
        <v>98</v>
      </c>
      <c r="F100">
        <f t="shared" si="19"/>
        <v>29.8</v>
      </c>
      <c r="G100">
        <f t="shared" ca="1" si="20"/>
        <v>29.797000000000001</v>
      </c>
      <c r="H100" s="5">
        <f t="shared" ca="1" si="21"/>
        <v>3.0000000000001137E-3</v>
      </c>
      <c r="I100" s="5">
        <f t="shared" ca="1" si="22"/>
        <v>1.0067114093960113E-4</v>
      </c>
      <c r="J100" s="10">
        <f t="shared" si="23"/>
        <v>0.81666666666666665</v>
      </c>
      <c r="K100" s="12">
        <f t="shared" ca="1" si="24"/>
        <v>0.81641666666666635</v>
      </c>
      <c r="L100" s="5">
        <f t="shared" ca="1" si="25"/>
        <v>3.0612244897996598E-4</v>
      </c>
      <c r="N100">
        <f t="shared" ca="1" si="26"/>
        <v>4.7970000000000006</v>
      </c>
      <c r="O100">
        <f t="shared" ca="1" si="27"/>
        <v>1.0071955E-3</v>
      </c>
      <c r="P100">
        <f t="shared" ca="1" si="28"/>
        <v>1.0001199249999999</v>
      </c>
      <c r="Q100">
        <f t="shared" ca="1" si="29"/>
        <v>0.815507259147496</v>
      </c>
      <c r="R100">
        <f t="shared" ca="1" si="30"/>
        <v>4349.3720487866449</v>
      </c>
      <c r="S100">
        <f t="shared" ca="1" si="31"/>
        <v>1.6200438578926315</v>
      </c>
      <c r="T100">
        <f t="shared" ca="1" si="32"/>
        <v>1</v>
      </c>
      <c r="U100">
        <f t="shared" ca="1" si="33"/>
        <v>4352</v>
      </c>
      <c r="V100">
        <f t="shared" ca="1" si="34"/>
        <v>0.81600000000000006</v>
      </c>
      <c r="X100">
        <f t="shared" ca="1" si="35"/>
        <v>0.81489507820774609</v>
      </c>
    </row>
    <row r="101" spans="5:24" x14ac:dyDescent="0.25">
      <c r="E101">
        <v>99</v>
      </c>
      <c r="F101">
        <f t="shared" si="19"/>
        <v>29.9</v>
      </c>
      <c r="G101">
        <f t="shared" ca="1" si="20"/>
        <v>29.896999999999998</v>
      </c>
      <c r="H101" s="5">
        <f t="shared" ca="1" si="21"/>
        <v>3.0000000000001137E-3</v>
      </c>
      <c r="I101" s="5">
        <f t="shared" ca="1" si="22"/>
        <v>1.0033444816053892E-4</v>
      </c>
      <c r="J101" s="10">
        <f t="shared" si="23"/>
        <v>0.82499999999999951</v>
      </c>
      <c r="K101" s="12">
        <f t="shared" ca="1" si="24"/>
        <v>0.82474999999999965</v>
      </c>
      <c r="L101" s="5">
        <f t="shared" ca="1" si="25"/>
        <v>3.0303030303013525E-4</v>
      </c>
      <c r="N101">
        <f t="shared" ca="1" si="26"/>
        <v>4.8969999999999985</v>
      </c>
      <c r="O101">
        <f t="shared" ca="1" si="27"/>
        <v>1.0073454999999999E-3</v>
      </c>
      <c r="P101">
        <f t="shared" ca="1" si="28"/>
        <v>1.000122425</v>
      </c>
      <c r="Q101">
        <f t="shared" ca="1" si="29"/>
        <v>0.8238435011944768</v>
      </c>
      <c r="R101">
        <f t="shared" ca="1" si="30"/>
        <v>4393.8320063705432</v>
      </c>
      <c r="S101">
        <f t="shared" ca="1" si="31"/>
        <v>1.6356182746006123</v>
      </c>
      <c r="T101">
        <f t="shared" ca="1" si="32"/>
        <v>1</v>
      </c>
      <c r="U101">
        <f t="shared" ca="1" si="33"/>
        <v>4396</v>
      </c>
      <c r="V101">
        <f t="shared" ca="1" si="34"/>
        <v>0.82425000000000004</v>
      </c>
      <c r="X101">
        <f t="shared" ca="1" si="35"/>
        <v>0.82314188135517508</v>
      </c>
    </row>
    <row r="102" spans="5:24" x14ac:dyDescent="0.25">
      <c r="E102">
        <v>100</v>
      </c>
      <c r="F102">
        <f t="shared" si="19"/>
        <v>30</v>
      </c>
      <c r="G102">
        <f t="shared" ca="1" si="20"/>
        <v>29.991</v>
      </c>
      <c r="H102" s="5">
        <f t="shared" ca="1" si="21"/>
        <v>9.0000000000003411E-3</v>
      </c>
      <c r="I102" s="5">
        <f t="shared" ca="1" si="22"/>
        <v>3.0000000000001136E-4</v>
      </c>
      <c r="J102" s="10">
        <f t="shared" si="23"/>
        <v>0.83333333333333326</v>
      </c>
      <c r="K102" s="12">
        <f t="shared" ca="1" si="24"/>
        <v>0.83258333333333323</v>
      </c>
      <c r="L102" s="5">
        <f t="shared" ca="1" si="25"/>
        <v>9.0000000000003424E-4</v>
      </c>
      <c r="N102">
        <f t="shared" ca="1" si="26"/>
        <v>4.9909999999999997</v>
      </c>
      <c r="O102">
        <f t="shared" ca="1" si="27"/>
        <v>1.0074865000000001E-3</v>
      </c>
      <c r="P102">
        <f t="shared" ca="1" si="28"/>
        <v>1.000124775</v>
      </c>
      <c r="Q102">
        <f t="shared" ca="1" si="29"/>
        <v>0.83167960670962182</v>
      </c>
      <c r="R102">
        <f t="shared" ca="1" si="30"/>
        <v>4435.6245691179829</v>
      </c>
      <c r="S102">
        <f t="shared" ca="1" si="31"/>
        <v>1.6502312053890198</v>
      </c>
      <c r="T102">
        <f t="shared" ca="1" si="32"/>
        <v>-1</v>
      </c>
      <c r="U102">
        <f t="shared" ca="1" si="33"/>
        <v>4436</v>
      </c>
      <c r="V102">
        <f t="shared" ca="1" si="34"/>
        <v>0.83174999999999999</v>
      </c>
      <c r="X102">
        <f t="shared" ca="1" si="35"/>
        <v>0.83063887053492902</v>
      </c>
    </row>
    <row r="103" spans="5:24" x14ac:dyDescent="0.25">
      <c r="E103">
        <v>101</v>
      </c>
      <c r="F103">
        <f t="shared" si="19"/>
        <v>30.1</v>
      </c>
      <c r="G103">
        <f t="shared" ca="1" si="20"/>
        <v>30.097000000000001</v>
      </c>
      <c r="H103" s="5">
        <f t="shared" ca="1" si="21"/>
        <v>3.0000000000001137E-3</v>
      </c>
      <c r="I103" s="5">
        <f t="shared" ca="1" si="22"/>
        <v>9.9667774086382511E-5</v>
      </c>
      <c r="J103" s="10">
        <f t="shared" si="23"/>
        <v>0.84166666666666656</v>
      </c>
      <c r="K103" s="12">
        <f t="shared" ca="1" si="24"/>
        <v>0.8414166666666667</v>
      </c>
      <c r="L103" s="5">
        <f t="shared" ca="1" si="25"/>
        <v>2.9702970297013244E-4</v>
      </c>
      <c r="N103">
        <f t="shared" ca="1" si="26"/>
        <v>5.0970000000000013</v>
      </c>
      <c r="O103">
        <f t="shared" ca="1" si="27"/>
        <v>1.0076455000000001E-3</v>
      </c>
      <c r="P103">
        <f t="shared" ca="1" si="28"/>
        <v>1.0001274250000001</v>
      </c>
      <c r="Q103">
        <f t="shared" ca="1" si="29"/>
        <v>0.84051611028618889</v>
      </c>
      <c r="R103">
        <f t="shared" ca="1" si="30"/>
        <v>4482.7525881930069</v>
      </c>
      <c r="S103">
        <f t="shared" ca="1" si="31"/>
        <v>1.6666779040549236</v>
      </c>
      <c r="T103">
        <f t="shared" ca="1" si="32"/>
        <v>0</v>
      </c>
      <c r="U103">
        <f t="shared" ca="1" si="33"/>
        <v>4484</v>
      </c>
      <c r="V103">
        <f t="shared" ca="1" si="34"/>
        <v>0.84075</v>
      </c>
      <c r="X103">
        <f t="shared" ca="1" si="35"/>
        <v>0.83963536396374683</v>
      </c>
    </row>
    <row r="104" spans="5:24" x14ac:dyDescent="0.25">
      <c r="E104">
        <v>102</v>
      </c>
      <c r="F104">
        <f t="shared" si="19"/>
        <v>30.200000000000003</v>
      </c>
      <c r="G104">
        <f t="shared" ca="1" si="20"/>
        <v>30.196000000000002</v>
      </c>
      <c r="H104" s="5">
        <f t="shared" ca="1" si="21"/>
        <v>4.0000000000013358E-3</v>
      </c>
      <c r="I104" s="5">
        <f t="shared" ca="1" si="22"/>
        <v>1.3245033112587202E-4</v>
      </c>
      <c r="J104" s="10">
        <f t="shared" si="23"/>
        <v>0.84999999999999987</v>
      </c>
      <c r="K104" s="12">
        <f t="shared" ca="1" si="24"/>
        <v>0.84966666666666657</v>
      </c>
      <c r="L104" s="5">
        <f t="shared" ca="1" si="25"/>
        <v>3.9215686274505493E-4</v>
      </c>
      <c r="N104">
        <f t="shared" ca="1" si="26"/>
        <v>5.1960000000000015</v>
      </c>
      <c r="O104">
        <f t="shared" ca="1" si="27"/>
        <v>1.007794E-3</v>
      </c>
      <c r="P104">
        <f t="shared" ca="1" si="28"/>
        <v>1.0001298999999999</v>
      </c>
      <c r="Q104">
        <f t="shared" ca="1" si="29"/>
        <v>0.8487691134542259</v>
      </c>
      <c r="R104">
        <f t="shared" ca="1" si="30"/>
        <v>4526.7686050892044</v>
      </c>
      <c r="S104">
        <f t="shared" ca="1" si="31"/>
        <v>1.6820078555309426</v>
      </c>
      <c r="T104">
        <f t="shared" ca="1" si="32"/>
        <v>-2</v>
      </c>
      <c r="U104">
        <f t="shared" ca="1" si="33"/>
        <v>4526</v>
      </c>
      <c r="V104">
        <f t="shared" ca="1" si="34"/>
        <v>0.84862499999999996</v>
      </c>
      <c r="X104">
        <f t="shared" ca="1" si="35"/>
        <v>0.84750711482578422</v>
      </c>
    </row>
    <row r="105" spans="5:24" x14ac:dyDescent="0.25">
      <c r="E105">
        <v>103</v>
      </c>
      <c r="F105">
        <f t="shared" si="19"/>
        <v>30.3</v>
      </c>
      <c r="G105">
        <f t="shared" ca="1" si="20"/>
        <v>30.308</v>
      </c>
      <c r="H105" s="5">
        <f t="shared" ca="1" si="21"/>
        <v>7.9999999999991189E-3</v>
      </c>
      <c r="I105" s="5">
        <f t="shared" ca="1" si="22"/>
        <v>2.6402640264023495E-4</v>
      </c>
      <c r="J105" s="10">
        <f t="shared" si="23"/>
        <v>0.85833333333333317</v>
      </c>
      <c r="K105" s="12">
        <f t="shared" ca="1" si="24"/>
        <v>0.85899999999999976</v>
      </c>
      <c r="L105" s="5">
        <f t="shared" ca="1" si="25"/>
        <v>7.7669902912612821E-4</v>
      </c>
      <c r="N105">
        <f t="shared" ca="1" si="26"/>
        <v>5.3079999999999998</v>
      </c>
      <c r="O105">
        <f t="shared" ca="1" si="27"/>
        <v>1.0079620000000001E-3</v>
      </c>
      <c r="P105">
        <f t="shared" ca="1" si="28"/>
        <v>1.0001327</v>
      </c>
      <c r="Q105">
        <f t="shared" ca="1" si="29"/>
        <v>0.85810589354344236</v>
      </c>
      <c r="R105">
        <f t="shared" ca="1" si="30"/>
        <v>4576.5647655650255</v>
      </c>
      <c r="S105">
        <f t="shared" ca="1" si="31"/>
        <v>1.6993147959370218</v>
      </c>
      <c r="T105">
        <f t="shared" ca="1" si="32"/>
        <v>1</v>
      </c>
      <c r="U105">
        <f t="shared" ca="1" si="33"/>
        <v>4579</v>
      </c>
      <c r="V105">
        <f t="shared" ca="1" si="34"/>
        <v>0.85856250000000001</v>
      </c>
      <c r="X105">
        <f t="shared" ca="1" si="35"/>
        <v>0.85744075561173039</v>
      </c>
    </row>
    <row r="106" spans="5:24" x14ac:dyDescent="0.25">
      <c r="E106">
        <v>104</v>
      </c>
      <c r="F106">
        <f t="shared" si="19"/>
        <v>30.4</v>
      </c>
      <c r="G106">
        <f t="shared" ca="1" si="20"/>
        <v>30.398</v>
      </c>
      <c r="H106" s="5">
        <f t="shared" ca="1" si="21"/>
        <v>1.9999999999988916E-3</v>
      </c>
      <c r="I106" s="5">
        <f t="shared" ca="1" si="22"/>
        <v>6.5789473684174069E-5</v>
      </c>
      <c r="J106" s="10">
        <f t="shared" si="23"/>
        <v>0.86666666666666647</v>
      </c>
      <c r="K106" s="12">
        <f t="shared" ca="1" si="24"/>
        <v>0.8664999999999996</v>
      </c>
      <c r="L106" s="5">
        <f t="shared" ca="1" si="25"/>
        <v>1.9230769230792736E-4</v>
      </c>
      <c r="N106">
        <f t="shared" ca="1" si="26"/>
        <v>5.3979999999999997</v>
      </c>
      <c r="O106">
        <f t="shared" ca="1" si="27"/>
        <v>1.0080970000000001E-3</v>
      </c>
      <c r="P106">
        <f t="shared" ca="1" si="28"/>
        <v>1.0001349500000001</v>
      </c>
      <c r="Q106">
        <f t="shared" ca="1" si="29"/>
        <v>0.86560870113230948</v>
      </c>
      <c r="R106">
        <f t="shared" ca="1" si="30"/>
        <v>4616.5797393723169</v>
      </c>
      <c r="S106">
        <f t="shared" ca="1" si="31"/>
        <v>1.7131941806799125</v>
      </c>
      <c r="T106">
        <f t="shared" ca="1" si="32"/>
        <v>3</v>
      </c>
      <c r="U106">
        <f t="shared" ca="1" si="33"/>
        <v>4621</v>
      </c>
      <c r="V106">
        <f t="shared" ca="1" si="34"/>
        <v>0.86643749999999997</v>
      </c>
      <c r="X106">
        <f t="shared" ca="1" si="35"/>
        <v>0.86531262906070816</v>
      </c>
    </row>
    <row r="107" spans="5:24" x14ac:dyDescent="0.25">
      <c r="E107">
        <v>105</v>
      </c>
      <c r="F107">
        <f t="shared" si="19"/>
        <v>30.5</v>
      </c>
      <c r="G107">
        <f t="shared" ca="1" si="20"/>
        <v>30.504000000000001</v>
      </c>
      <c r="H107" s="5">
        <f t="shared" ca="1" si="21"/>
        <v>4.0000000000013358E-3</v>
      </c>
      <c r="I107" s="5">
        <f t="shared" ca="1" si="22"/>
        <v>1.3114754098365034E-4</v>
      </c>
      <c r="J107" s="10">
        <f t="shared" si="23"/>
        <v>0.87499999999999978</v>
      </c>
      <c r="K107" s="12">
        <f t="shared" ca="1" si="24"/>
        <v>0.87533333333333307</v>
      </c>
      <c r="L107" s="5">
        <f t="shared" ca="1" si="25"/>
        <v>3.8095238095233911E-4</v>
      </c>
      <c r="N107">
        <f t="shared" ca="1" si="26"/>
        <v>5.5040000000000013</v>
      </c>
      <c r="O107">
        <f t="shared" ca="1" si="27"/>
        <v>1.0082560000000001E-3</v>
      </c>
      <c r="P107">
        <f t="shared" ca="1" si="28"/>
        <v>1.0001376</v>
      </c>
      <c r="Q107">
        <f t="shared" ca="1" si="29"/>
        <v>0.87444538446397413</v>
      </c>
      <c r="R107">
        <f t="shared" ca="1" si="30"/>
        <v>4663.7087171411949</v>
      </c>
      <c r="S107">
        <f t="shared" ca="1" si="31"/>
        <v>1.7295087390544026</v>
      </c>
      <c r="T107">
        <f t="shared" ca="1" si="32"/>
        <v>0</v>
      </c>
      <c r="U107">
        <f t="shared" ca="1" si="33"/>
        <v>4665</v>
      </c>
      <c r="V107">
        <f t="shared" ca="1" si="34"/>
        <v>0.87468750000000006</v>
      </c>
      <c r="X107">
        <f t="shared" ca="1" si="35"/>
        <v>0.87355904227578296</v>
      </c>
    </row>
    <row r="108" spans="5:24" x14ac:dyDescent="0.25">
      <c r="E108">
        <v>106</v>
      </c>
      <c r="F108">
        <f t="shared" si="19"/>
        <v>30.6</v>
      </c>
      <c r="G108">
        <f t="shared" ca="1" si="20"/>
        <v>30.607000000000003</v>
      </c>
      <c r="H108" s="5">
        <f t="shared" ca="1" si="21"/>
        <v>7.0000000000014495E-3</v>
      </c>
      <c r="I108" s="5">
        <f t="shared" ca="1" si="22"/>
        <v>2.2875816993468787E-4</v>
      </c>
      <c r="J108" s="10">
        <f t="shared" si="23"/>
        <v>0.88333333333333308</v>
      </c>
      <c r="K108" s="12">
        <f t="shared" ca="1" si="24"/>
        <v>0.88391666666666668</v>
      </c>
      <c r="L108" s="5">
        <f t="shared" ca="1" si="25"/>
        <v>6.6037735849087053E-4</v>
      </c>
      <c r="N108">
        <f t="shared" ca="1" si="26"/>
        <v>5.6070000000000029</v>
      </c>
      <c r="O108">
        <f t="shared" ca="1" si="27"/>
        <v>1.0084105000000001E-3</v>
      </c>
      <c r="P108">
        <f t="shared" ca="1" si="28"/>
        <v>1.0001401750000001</v>
      </c>
      <c r="Q108">
        <f t="shared" ca="1" si="29"/>
        <v>0.88303201783147489</v>
      </c>
      <c r="R108">
        <f t="shared" ca="1" si="30"/>
        <v>4709.5040951011997</v>
      </c>
      <c r="S108">
        <f t="shared" ca="1" si="31"/>
        <v>1.7453278250346091</v>
      </c>
      <c r="T108">
        <f t="shared" ca="1" si="32"/>
        <v>1</v>
      </c>
      <c r="U108">
        <f t="shared" ca="1" si="33"/>
        <v>4712</v>
      </c>
      <c r="V108">
        <f t="shared" ca="1" si="34"/>
        <v>0.88350000000000006</v>
      </c>
      <c r="X108">
        <f t="shared" ca="1" si="35"/>
        <v>0.88236790357911576</v>
      </c>
    </row>
    <row r="109" spans="5:24" x14ac:dyDescent="0.25">
      <c r="E109">
        <v>107</v>
      </c>
      <c r="F109">
        <f t="shared" si="19"/>
        <v>30.700000000000003</v>
      </c>
      <c r="G109">
        <f t="shared" ca="1" si="20"/>
        <v>30.695000000000004</v>
      </c>
      <c r="H109" s="5">
        <f t="shared" ca="1" si="21"/>
        <v>4.9999999999990052E-3</v>
      </c>
      <c r="I109" s="5">
        <f t="shared" ca="1" si="22"/>
        <v>1.6286644951136824E-4</v>
      </c>
      <c r="J109" s="10">
        <f t="shared" si="23"/>
        <v>0.89166666666666683</v>
      </c>
      <c r="K109" s="12">
        <f t="shared" ca="1" si="24"/>
        <v>0.8912500000000001</v>
      </c>
      <c r="L109" s="5">
        <f t="shared" ca="1" si="25"/>
        <v>4.6728971962624121E-4</v>
      </c>
      <c r="N109">
        <f t="shared" ca="1" si="26"/>
        <v>5.6950000000000038</v>
      </c>
      <c r="O109">
        <f t="shared" ca="1" si="27"/>
        <v>1.0085425E-3</v>
      </c>
      <c r="P109">
        <f t="shared" ca="1" si="28"/>
        <v>1.000142375</v>
      </c>
      <c r="Q109">
        <f t="shared" ca="1" si="29"/>
        <v>0.89036820562751162</v>
      </c>
      <c r="R109">
        <f t="shared" ca="1" si="30"/>
        <v>4748.6304300133952</v>
      </c>
      <c r="S109">
        <f t="shared" ca="1" si="31"/>
        <v>1.7588165845835033</v>
      </c>
      <c r="T109">
        <f t="shared" ca="1" si="32"/>
        <v>-3</v>
      </c>
      <c r="U109">
        <f t="shared" ca="1" si="33"/>
        <v>4747</v>
      </c>
      <c r="V109">
        <f t="shared" ca="1" si="34"/>
        <v>0.89006249999999998</v>
      </c>
      <c r="X109">
        <f t="shared" ca="1" si="35"/>
        <v>0.88892739646192864</v>
      </c>
    </row>
    <row r="110" spans="5:24" x14ac:dyDescent="0.25">
      <c r="E110">
        <v>108</v>
      </c>
      <c r="F110">
        <f t="shared" si="19"/>
        <v>30.8</v>
      </c>
      <c r="G110">
        <f t="shared" ca="1" si="20"/>
        <v>30.798000000000002</v>
      </c>
      <c r="H110" s="5">
        <f t="shared" ca="1" si="21"/>
        <v>1.9999999999988916E-3</v>
      </c>
      <c r="I110" s="5">
        <f t="shared" ca="1" si="22"/>
        <v>6.4935064935028939E-5</v>
      </c>
      <c r="J110" s="10">
        <f t="shared" si="23"/>
        <v>0.89999999999999969</v>
      </c>
      <c r="K110" s="12">
        <f t="shared" ca="1" si="24"/>
        <v>0.89983333333333326</v>
      </c>
      <c r="L110" s="5">
        <f t="shared" ca="1" si="25"/>
        <v>1.8518518518491814E-4</v>
      </c>
      <c r="N110">
        <f t="shared" ca="1" si="26"/>
        <v>5.7980000000000018</v>
      </c>
      <c r="O110">
        <f t="shared" ca="1" si="27"/>
        <v>1.008697E-3</v>
      </c>
      <c r="P110">
        <f t="shared" ca="1" si="28"/>
        <v>1.0001449499999999</v>
      </c>
      <c r="Q110">
        <f t="shared" ca="1" si="29"/>
        <v>0.8989549209643698</v>
      </c>
      <c r="R110">
        <f t="shared" ca="1" si="30"/>
        <v>4794.4262451433051</v>
      </c>
      <c r="S110">
        <f t="shared" ca="1" si="31"/>
        <v>1.77457318950618</v>
      </c>
      <c r="T110">
        <f t="shared" ca="1" si="32"/>
        <v>2</v>
      </c>
      <c r="U110">
        <f t="shared" ca="1" si="33"/>
        <v>4798</v>
      </c>
      <c r="V110">
        <f t="shared" ca="1" si="34"/>
        <v>0.89962500000000001</v>
      </c>
      <c r="X110">
        <f t="shared" ca="1" si="35"/>
        <v>0.89848606744452408</v>
      </c>
    </row>
    <row r="111" spans="5:24" x14ac:dyDescent="0.25">
      <c r="E111">
        <v>109</v>
      </c>
      <c r="F111">
        <f t="shared" si="19"/>
        <v>30.9</v>
      </c>
      <c r="G111">
        <f t="shared" ca="1" si="20"/>
        <v>30.904</v>
      </c>
      <c r="H111" s="5">
        <f t="shared" ca="1" si="21"/>
        <v>4.0000000000013358E-3</v>
      </c>
      <c r="I111" s="5">
        <f t="shared" ca="1" si="22"/>
        <v>1.2944983818774549E-4</v>
      </c>
      <c r="J111" s="10">
        <f t="shared" si="23"/>
        <v>0.90833333333333299</v>
      </c>
      <c r="K111" s="12">
        <f t="shared" ca="1" si="24"/>
        <v>0.90866666666666629</v>
      </c>
      <c r="L111" s="5">
        <f t="shared" ca="1" si="25"/>
        <v>3.669724770641799E-4</v>
      </c>
      <c r="N111">
        <f t="shared" ca="1" si="26"/>
        <v>5.9039999999999999</v>
      </c>
      <c r="O111">
        <f t="shared" ca="1" si="27"/>
        <v>1.008856E-3</v>
      </c>
      <c r="P111">
        <f t="shared" ca="1" si="28"/>
        <v>1.0001476</v>
      </c>
      <c r="Q111">
        <f t="shared" ca="1" si="29"/>
        <v>0.90779178095952073</v>
      </c>
      <c r="R111">
        <f t="shared" ca="1" si="30"/>
        <v>4841.5561651174439</v>
      </c>
      <c r="S111">
        <f t="shared" ca="1" si="31"/>
        <v>1.7907530875726774</v>
      </c>
      <c r="T111">
        <f t="shared" ca="1" si="32"/>
        <v>-2</v>
      </c>
      <c r="U111">
        <f t="shared" ca="1" si="33"/>
        <v>4841</v>
      </c>
      <c r="V111">
        <f t="shared" ca="1" si="34"/>
        <v>0.90768749999999998</v>
      </c>
      <c r="X111">
        <f t="shared" ca="1" si="35"/>
        <v>0.90654483798191388</v>
      </c>
    </row>
    <row r="112" spans="5:24" x14ac:dyDescent="0.25">
      <c r="E112">
        <v>110</v>
      </c>
      <c r="F112">
        <f t="shared" si="19"/>
        <v>31</v>
      </c>
      <c r="G112">
        <f t="shared" ca="1" si="20"/>
        <v>31.001000000000001</v>
      </c>
      <c r="H112" s="5">
        <f t="shared" ca="1" si="21"/>
        <v>1.0000000000012221E-3</v>
      </c>
      <c r="I112" s="5">
        <f t="shared" ca="1" si="22"/>
        <v>3.2258064516168458E-5</v>
      </c>
      <c r="J112" s="10">
        <f t="shared" si="23"/>
        <v>0.9166666666666663</v>
      </c>
      <c r="K112" s="12">
        <f t="shared" ca="1" si="24"/>
        <v>0.91674999999999973</v>
      </c>
      <c r="L112" s="5">
        <f t="shared" ca="1" si="25"/>
        <v>9.0909090909202048E-5</v>
      </c>
      <c r="N112">
        <f t="shared" ca="1" si="26"/>
        <v>6.0010000000000012</v>
      </c>
      <c r="O112">
        <f t="shared" ca="1" si="27"/>
        <v>1.0090015E-3</v>
      </c>
      <c r="P112">
        <f t="shared" ca="1" si="28"/>
        <v>1.0001500249999999</v>
      </c>
      <c r="Q112">
        <f t="shared" ca="1" si="29"/>
        <v>0.91587838254329956</v>
      </c>
      <c r="R112">
        <f t="shared" ca="1" si="30"/>
        <v>4884.6847068975976</v>
      </c>
      <c r="S112">
        <f t="shared" ca="1" si="31"/>
        <v>1.8055272665760582</v>
      </c>
      <c r="T112">
        <f t="shared" ca="1" si="32"/>
        <v>-2</v>
      </c>
      <c r="U112">
        <f t="shared" ca="1" si="33"/>
        <v>4884</v>
      </c>
      <c r="V112">
        <f t="shared" ca="1" si="34"/>
        <v>0.91575000000000006</v>
      </c>
      <c r="X112">
        <f t="shared" ca="1" si="35"/>
        <v>0.91460378506714535</v>
      </c>
    </row>
    <row r="113" spans="5:24" x14ac:dyDescent="0.25">
      <c r="E113">
        <v>111</v>
      </c>
      <c r="F113">
        <f t="shared" si="19"/>
        <v>31.1</v>
      </c>
      <c r="G113">
        <f t="shared" ca="1" si="20"/>
        <v>31.105</v>
      </c>
      <c r="H113" s="5">
        <f t="shared" ca="1" si="21"/>
        <v>4.9999999999990052E-3</v>
      </c>
      <c r="I113" s="5">
        <f t="shared" ca="1" si="22"/>
        <v>1.6077170418003233E-4</v>
      </c>
      <c r="J113" s="10">
        <f t="shared" si="23"/>
        <v>0.92500000000000004</v>
      </c>
      <c r="K113" s="12">
        <f t="shared" ca="1" si="24"/>
        <v>0.92541666666666633</v>
      </c>
      <c r="L113" s="5">
        <f t="shared" ca="1" si="25"/>
        <v>4.5045045045004074E-4</v>
      </c>
      <c r="N113">
        <f t="shared" ca="1" si="26"/>
        <v>6.1050000000000004</v>
      </c>
      <c r="O113">
        <f t="shared" ca="1" si="27"/>
        <v>1.0091575000000001E-3</v>
      </c>
      <c r="P113">
        <f t="shared" ca="1" si="28"/>
        <v>1.0001526249999999</v>
      </c>
      <c r="Q113">
        <f t="shared" ca="1" si="29"/>
        <v>0.92454859686275281</v>
      </c>
      <c r="R113">
        <f t="shared" ca="1" si="30"/>
        <v>4930.9258499346815</v>
      </c>
      <c r="S113">
        <f t="shared" ca="1" si="31"/>
        <v>1.8213334043267708</v>
      </c>
      <c r="T113">
        <f t="shared" ca="1" si="32"/>
        <v>-1</v>
      </c>
      <c r="U113">
        <f t="shared" ca="1" si="33"/>
        <v>4932</v>
      </c>
      <c r="V113">
        <f t="shared" ca="1" si="34"/>
        <v>0.92475000000000007</v>
      </c>
      <c r="X113">
        <f t="shared" ca="1" si="35"/>
        <v>0.92359987806860999</v>
      </c>
    </row>
    <row r="114" spans="5:24" x14ac:dyDescent="0.25">
      <c r="E114">
        <v>112</v>
      </c>
      <c r="F114">
        <f t="shared" si="19"/>
        <v>31.200000000000003</v>
      </c>
      <c r="G114">
        <f t="shared" ca="1" si="20"/>
        <v>31.200000000000003</v>
      </c>
      <c r="H114" s="5">
        <f t="shared" ca="1" si="21"/>
        <v>0</v>
      </c>
      <c r="I114" s="5">
        <f t="shared" ca="1" si="22"/>
        <v>0</v>
      </c>
      <c r="J114" s="10">
        <f t="shared" si="23"/>
        <v>0.93333333333333335</v>
      </c>
      <c r="K114" s="12">
        <f t="shared" ca="1" si="24"/>
        <v>0.93333333333333335</v>
      </c>
      <c r="L114" s="5">
        <f t="shared" ca="1" si="25"/>
        <v>0</v>
      </c>
      <c r="N114">
        <f t="shared" ca="1" si="26"/>
        <v>6.2000000000000028</v>
      </c>
      <c r="O114">
        <f t="shared" ca="1" si="27"/>
        <v>1.0093000000000001E-3</v>
      </c>
      <c r="P114">
        <f t="shared" ca="1" si="28"/>
        <v>1.0001549999999999</v>
      </c>
      <c r="Q114">
        <f t="shared" ca="1" si="29"/>
        <v>0.93246854355849995</v>
      </c>
      <c r="R114">
        <f t="shared" ca="1" si="30"/>
        <v>4973.1655656453331</v>
      </c>
      <c r="S114">
        <f t="shared" ca="1" si="31"/>
        <v>1.835740498372137</v>
      </c>
      <c r="T114">
        <f t="shared" ca="1" si="32"/>
        <v>1</v>
      </c>
      <c r="U114">
        <f t="shared" ca="1" si="33"/>
        <v>4976</v>
      </c>
      <c r="V114">
        <f t="shared" ca="1" si="34"/>
        <v>0.93300000000000005</v>
      </c>
      <c r="X114">
        <f t="shared" ca="1" si="35"/>
        <v>0.93184626382910662</v>
      </c>
    </row>
    <row r="115" spans="5:24" x14ac:dyDescent="0.25">
      <c r="E115">
        <v>113</v>
      </c>
      <c r="F115">
        <f t="shared" si="19"/>
        <v>31.3</v>
      </c>
      <c r="G115">
        <f t="shared" ca="1" si="20"/>
        <v>31.3</v>
      </c>
      <c r="H115" s="5">
        <f t="shared" ca="1" si="21"/>
        <v>0</v>
      </c>
      <c r="I115" s="5">
        <f t="shared" ca="1" si="22"/>
        <v>0</v>
      </c>
      <c r="J115" s="10">
        <f t="shared" si="23"/>
        <v>0.94166666666666665</v>
      </c>
      <c r="K115" s="12">
        <f t="shared" ca="1" si="24"/>
        <v>0.94166666666666665</v>
      </c>
      <c r="L115" s="5">
        <f t="shared" ca="1" si="25"/>
        <v>0</v>
      </c>
      <c r="N115">
        <f t="shared" ca="1" si="26"/>
        <v>6.3000000000000007</v>
      </c>
      <c r="O115">
        <f t="shared" ca="1" si="27"/>
        <v>1.0094500000000001E-3</v>
      </c>
      <c r="P115">
        <f t="shared" ca="1" si="28"/>
        <v>1.0001575</v>
      </c>
      <c r="Q115">
        <f t="shared" ca="1" si="29"/>
        <v>0.94080537017829169</v>
      </c>
      <c r="R115">
        <f t="shared" ca="1" si="30"/>
        <v>5017.6286409508893</v>
      </c>
      <c r="S115">
        <f t="shared" ca="1" si="31"/>
        <v>1.8508734052639764</v>
      </c>
      <c r="T115">
        <f t="shared" ca="1" si="32"/>
        <v>-2</v>
      </c>
      <c r="U115">
        <f t="shared" ca="1" si="33"/>
        <v>5017</v>
      </c>
      <c r="V115">
        <f t="shared" ca="1" si="34"/>
        <v>0.94068750000000001</v>
      </c>
      <c r="X115">
        <f t="shared" ca="1" si="35"/>
        <v>0.93953007401334288</v>
      </c>
    </row>
    <row r="116" spans="5:24" x14ac:dyDescent="0.25">
      <c r="E116">
        <v>114</v>
      </c>
      <c r="F116">
        <f t="shared" si="19"/>
        <v>31.4</v>
      </c>
      <c r="G116">
        <f t="shared" ca="1" si="20"/>
        <v>31.395</v>
      </c>
      <c r="H116" s="5">
        <f t="shared" ca="1" si="21"/>
        <v>4.9999999999990052E-3</v>
      </c>
      <c r="I116" s="5">
        <f t="shared" ca="1" si="22"/>
        <v>1.5923566878977725E-4</v>
      </c>
      <c r="J116" s="10">
        <f t="shared" si="23"/>
        <v>0.94999999999999951</v>
      </c>
      <c r="K116" s="12">
        <f t="shared" ca="1" si="24"/>
        <v>0.94958333333333322</v>
      </c>
      <c r="L116" s="5">
        <f t="shared" ca="1" si="25"/>
        <v>4.3859649122767152E-4</v>
      </c>
      <c r="N116">
        <f t="shared" ca="1" si="26"/>
        <v>6.3949999999999996</v>
      </c>
      <c r="O116">
        <f t="shared" ca="1" si="27"/>
        <v>1.0095925000000001E-3</v>
      </c>
      <c r="P116">
        <f t="shared" ca="1" si="28"/>
        <v>1.000159875</v>
      </c>
      <c r="Q116">
        <f t="shared" ca="1" si="29"/>
        <v>0.948725394060149</v>
      </c>
      <c r="R116">
        <f t="shared" ca="1" si="30"/>
        <v>5059.8687683207945</v>
      </c>
      <c r="S116">
        <f t="shared" ca="1" si="31"/>
        <v>1.8652185876421417</v>
      </c>
      <c r="T116">
        <f t="shared" ca="1" si="32"/>
        <v>-2</v>
      </c>
      <c r="U116">
        <f t="shared" ca="1" si="33"/>
        <v>5060</v>
      </c>
      <c r="V116">
        <f t="shared" ca="1" si="34"/>
        <v>0.94874999999999998</v>
      </c>
      <c r="X116">
        <f t="shared" ca="1" si="35"/>
        <v>0.94758891172273829</v>
      </c>
    </row>
    <row r="117" spans="5:24" x14ac:dyDescent="0.25">
      <c r="E117">
        <v>115</v>
      </c>
      <c r="F117">
        <f t="shared" si="19"/>
        <v>31.5</v>
      </c>
      <c r="G117">
        <f t="shared" ca="1" si="20"/>
        <v>31.495999999999999</v>
      </c>
      <c r="H117" s="5">
        <f t="shared" ca="1" si="21"/>
        <v>4.0000000000013358E-3</v>
      </c>
      <c r="I117" s="5">
        <f t="shared" ca="1" si="22"/>
        <v>1.269841269841694E-4</v>
      </c>
      <c r="J117" s="10">
        <f t="shared" si="23"/>
        <v>0.95833333333333326</v>
      </c>
      <c r="K117" s="12">
        <f t="shared" ca="1" si="24"/>
        <v>0.95799999999999952</v>
      </c>
      <c r="L117" s="5">
        <f t="shared" ca="1" si="25"/>
        <v>3.4782608695694688E-4</v>
      </c>
      <c r="N117">
        <f t="shared" ca="1" si="26"/>
        <v>6.4959999999999987</v>
      </c>
      <c r="O117">
        <f t="shared" ca="1" si="27"/>
        <v>1.0097439999999999E-3</v>
      </c>
      <c r="P117">
        <f t="shared" ca="1" si="28"/>
        <v>1.0001624</v>
      </c>
      <c r="Q117">
        <f t="shared" ca="1" si="29"/>
        <v>0.95714567121757399</v>
      </c>
      <c r="R117">
        <f t="shared" ca="1" si="30"/>
        <v>5104.7769131603945</v>
      </c>
      <c r="S117">
        <f t="shared" ca="1" si="31"/>
        <v>1.8804363015552865</v>
      </c>
      <c r="T117">
        <f t="shared" ca="1" si="32"/>
        <v>1</v>
      </c>
      <c r="U117">
        <f t="shared" ca="1" si="33"/>
        <v>5108</v>
      </c>
      <c r="V117">
        <f t="shared" ca="1" si="34"/>
        <v>0.95774999999999999</v>
      </c>
      <c r="X117">
        <f t="shared" ca="1" si="35"/>
        <v>0.95658490661116635</v>
      </c>
    </row>
    <row r="118" spans="5:24" x14ac:dyDescent="0.25">
      <c r="E118">
        <v>116</v>
      </c>
      <c r="F118">
        <f t="shared" si="19"/>
        <v>31.6</v>
      </c>
      <c r="G118">
        <f t="shared" ca="1" si="20"/>
        <v>31.610000000000003</v>
      </c>
      <c r="H118" s="5">
        <f t="shared" ca="1" si="21"/>
        <v>1.0000000000001563E-2</v>
      </c>
      <c r="I118" s="5">
        <f t="shared" ca="1" si="22"/>
        <v>3.1645569620258109E-4</v>
      </c>
      <c r="J118" s="10">
        <f t="shared" si="23"/>
        <v>0.96666666666666656</v>
      </c>
      <c r="K118" s="12">
        <f t="shared" ca="1" si="24"/>
        <v>0.96750000000000003</v>
      </c>
      <c r="L118" s="5">
        <f t="shared" ca="1" si="25"/>
        <v>8.6206896551737624E-4</v>
      </c>
      <c r="N118">
        <f t="shared" ca="1" si="26"/>
        <v>6.610000000000003</v>
      </c>
      <c r="O118">
        <f t="shared" ca="1" si="27"/>
        <v>1.0099150000000001E-3</v>
      </c>
      <c r="P118">
        <f t="shared" ca="1" si="28"/>
        <v>1.00016525</v>
      </c>
      <c r="Q118">
        <f t="shared" ca="1" si="29"/>
        <v>0.96664979748654623</v>
      </c>
      <c r="R118">
        <f t="shared" ca="1" si="30"/>
        <v>5155.4655865949135</v>
      </c>
      <c r="S118">
        <f t="shared" ca="1" si="31"/>
        <v>1.8975709312477163</v>
      </c>
      <c r="T118">
        <f t="shared" ca="1" si="32"/>
        <v>2</v>
      </c>
      <c r="U118">
        <f t="shared" ca="1" si="33"/>
        <v>5159</v>
      </c>
      <c r="V118">
        <f t="shared" ca="1" si="34"/>
        <v>0.96731250000000002</v>
      </c>
      <c r="X118">
        <f t="shared" ca="1" si="35"/>
        <v>0.96614292988083716</v>
      </c>
    </row>
    <row r="119" spans="5:24" x14ac:dyDescent="0.25">
      <c r="E119">
        <v>117</v>
      </c>
      <c r="F119">
        <f t="shared" si="19"/>
        <v>31.700000000000003</v>
      </c>
      <c r="G119">
        <f t="shared" ca="1" si="20"/>
        <v>31.694000000000003</v>
      </c>
      <c r="H119" s="5">
        <f t="shared" ca="1" si="21"/>
        <v>6.0000000000002274E-3</v>
      </c>
      <c r="I119" s="5">
        <f t="shared" ca="1" si="22"/>
        <v>1.8927444794953396E-4</v>
      </c>
      <c r="J119" s="10">
        <f t="shared" si="23"/>
        <v>0.97499999999999987</v>
      </c>
      <c r="K119" s="12">
        <f t="shared" ca="1" si="24"/>
        <v>0.97450000000000014</v>
      </c>
      <c r="L119" s="5">
        <f t="shared" ca="1" si="25"/>
        <v>5.1282051282022865E-4</v>
      </c>
      <c r="N119">
        <f t="shared" ca="1" si="26"/>
        <v>6.6940000000000026</v>
      </c>
      <c r="O119">
        <f t="shared" ca="1" si="27"/>
        <v>1.0100409999999999E-3</v>
      </c>
      <c r="P119">
        <f t="shared" ca="1" si="28"/>
        <v>1.0001673499999999</v>
      </c>
      <c r="Q119">
        <f t="shared" ca="1" si="29"/>
        <v>0.97365287254463873</v>
      </c>
      <c r="R119">
        <f t="shared" ca="1" si="30"/>
        <v>5192.8153202380727</v>
      </c>
      <c r="S119">
        <f t="shared" ca="1" si="31"/>
        <v>1.9101678564660107</v>
      </c>
      <c r="T119">
        <f t="shared" ca="1" si="32"/>
        <v>0</v>
      </c>
      <c r="U119">
        <f t="shared" ca="1" si="33"/>
        <v>5195</v>
      </c>
      <c r="V119">
        <f t="shared" ca="1" si="34"/>
        <v>0.97406250000000005</v>
      </c>
      <c r="X119">
        <f t="shared" ca="1" si="35"/>
        <v>0.97288964591775584</v>
      </c>
    </row>
    <row r="120" spans="5:24" x14ac:dyDescent="0.25">
      <c r="E120">
        <v>118</v>
      </c>
      <c r="F120">
        <f t="shared" si="19"/>
        <v>31.8</v>
      </c>
      <c r="G120">
        <f t="shared" ca="1" si="20"/>
        <v>31.8</v>
      </c>
      <c r="H120" s="5">
        <f t="shared" ca="1" si="21"/>
        <v>0</v>
      </c>
      <c r="I120" s="5">
        <f t="shared" ca="1" si="22"/>
        <v>0</v>
      </c>
      <c r="J120" s="10">
        <f t="shared" si="23"/>
        <v>0.98333333333333317</v>
      </c>
      <c r="K120" s="12">
        <f t="shared" ca="1" si="24"/>
        <v>0.98333333333333317</v>
      </c>
      <c r="L120" s="5">
        <f t="shared" ca="1" si="25"/>
        <v>0</v>
      </c>
      <c r="N120">
        <f t="shared" ca="1" si="26"/>
        <v>6.8000000000000007</v>
      </c>
      <c r="O120">
        <f t="shared" ca="1" si="27"/>
        <v>1.0101999999999999E-3</v>
      </c>
      <c r="P120">
        <f t="shared" ca="1" si="28"/>
        <v>1.00017</v>
      </c>
      <c r="Q120">
        <f t="shared" ca="1" si="29"/>
        <v>0.98249012826599991</v>
      </c>
      <c r="R120">
        <f t="shared" ca="1" si="30"/>
        <v>5239.9473507519997</v>
      </c>
      <c r="S120">
        <f t="shared" ca="1" si="31"/>
        <v>1.9260290758962781</v>
      </c>
      <c r="T120">
        <f t="shared" ca="1" si="32"/>
        <v>-3</v>
      </c>
      <c r="U120">
        <f t="shared" ca="1" si="33"/>
        <v>5239</v>
      </c>
      <c r="V120">
        <f t="shared" ca="1" si="34"/>
        <v>0.98231250000000003</v>
      </c>
      <c r="X120">
        <f t="shared" ca="1" si="35"/>
        <v>0.98113550696381624</v>
      </c>
    </row>
    <row r="121" spans="5:24" x14ac:dyDescent="0.25">
      <c r="E121">
        <v>119</v>
      </c>
      <c r="F121">
        <f t="shared" si="19"/>
        <v>31.9</v>
      </c>
      <c r="G121">
        <f t="shared" ca="1" si="20"/>
        <v>31.902999999999999</v>
      </c>
      <c r="H121" s="5">
        <f t="shared" ca="1" si="21"/>
        <v>3.0000000000001137E-3</v>
      </c>
      <c r="I121" s="5">
        <f t="shared" ca="1" si="22"/>
        <v>9.4043887147338996E-5</v>
      </c>
      <c r="J121" s="10">
        <f t="shared" si="23"/>
        <v>0.99166666666666647</v>
      </c>
      <c r="K121" s="12">
        <f t="shared" ca="1" si="24"/>
        <v>0.99191666666666634</v>
      </c>
      <c r="L121" s="5">
        <f t="shared" ca="1" si="25"/>
        <v>2.521008403359948E-4</v>
      </c>
      <c r="N121">
        <f t="shared" ca="1" si="26"/>
        <v>6.9029999999999987</v>
      </c>
      <c r="O121">
        <f t="shared" ca="1" si="27"/>
        <v>1.0103544999999999E-3</v>
      </c>
      <c r="P121">
        <f t="shared" ca="1" si="28"/>
        <v>1.0001725749999999</v>
      </c>
      <c r="Q121">
        <f t="shared" ca="1" si="29"/>
        <v>0.9910773178234884</v>
      </c>
      <c r="R121">
        <f t="shared" ca="1" si="30"/>
        <v>5285.7456950586047</v>
      </c>
      <c r="S121">
        <f t="shared" ca="1" si="31"/>
        <v>1.9414038025013831</v>
      </c>
      <c r="T121">
        <f t="shared" ca="1" si="32"/>
        <v>3</v>
      </c>
      <c r="U121">
        <f t="shared" ca="1" si="33"/>
        <v>5291</v>
      </c>
      <c r="V121">
        <f t="shared" ca="1" si="34"/>
        <v>0.99206250000000007</v>
      </c>
      <c r="X121">
        <f t="shared" ca="1" si="35"/>
        <v>0.99088114418654216</v>
      </c>
    </row>
    <row r="122" spans="5:24" x14ac:dyDescent="0.25">
      <c r="E122">
        <v>120</v>
      </c>
      <c r="F122">
        <f t="shared" si="19"/>
        <v>32</v>
      </c>
      <c r="G122">
        <f t="shared" ca="1" si="20"/>
        <v>32.008000000000003</v>
      </c>
      <c r="H122" s="5">
        <f t="shared" ca="1" si="21"/>
        <v>8.0000000000026716E-3</v>
      </c>
      <c r="I122" s="5">
        <f t="shared" ca="1" si="22"/>
        <v>2.5000000000008349E-4</v>
      </c>
      <c r="J122" s="10">
        <f t="shared" si="23"/>
        <v>0.99999999999999978</v>
      </c>
      <c r="K122" s="12">
        <f t="shared" ca="1" si="24"/>
        <v>1.0006666666666668</v>
      </c>
      <c r="L122" s="5">
        <f t="shared" ca="1" si="25"/>
        <v>6.6666666666703744E-4</v>
      </c>
      <c r="N122">
        <f t="shared" ca="1" si="26"/>
        <v>7.0080000000000027</v>
      </c>
      <c r="O122">
        <f t="shared" ca="1" si="27"/>
        <v>1.0105120000000001E-3</v>
      </c>
      <c r="P122">
        <f t="shared" ca="1" si="28"/>
        <v>1.0001751999999999</v>
      </c>
      <c r="Q122">
        <f t="shared" ca="1" si="29"/>
        <v>0.99983129442496432</v>
      </c>
      <c r="R122">
        <f t="shared" ca="1" si="30"/>
        <v>5332.4335702664766</v>
      </c>
      <c r="S122">
        <f t="shared" ca="1" si="31"/>
        <v>1.957038619889458</v>
      </c>
      <c r="T122">
        <f t="shared" ca="1" si="32"/>
        <v>3</v>
      </c>
      <c r="U122">
        <f t="shared" ca="1" si="33"/>
        <v>5337</v>
      </c>
      <c r="V122">
        <f t="shared" ca="1" si="34"/>
        <v>1.0006875</v>
      </c>
      <c r="X122">
        <f t="shared" ca="1" si="35"/>
        <v>0.9995018752714524</v>
      </c>
    </row>
    <row r="123" spans="5:24" x14ac:dyDescent="0.25">
      <c r="E123">
        <v>121</v>
      </c>
      <c r="F123">
        <f t="shared" si="19"/>
        <v>32.1</v>
      </c>
      <c r="G123">
        <f t="shared" ca="1" si="20"/>
        <v>32.106999999999999</v>
      </c>
      <c r="H123" s="5">
        <f t="shared" ca="1" si="21"/>
        <v>6.9999999999978968E-3</v>
      </c>
      <c r="I123" s="5">
        <f t="shared" ca="1" si="22"/>
        <v>2.1806853582547963E-4</v>
      </c>
      <c r="J123" s="10">
        <f t="shared" si="23"/>
        <v>1.0083333333333331</v>
      </c>
      <c r="K123" s="12">
        <f t="shared" ca="1" si="24"/>
        <v>1.0089166666666662</v>
      </c>
      <c r="L123" s="5">
        <f t="shared" ca="1" si="25"/>
        <v>5.7851239669404122E-4</v>
      </c>
      <c r="N123">
        <f t="shared" ca="1" si="26"/>
        <v>7.1069999999999993</v>
      </c>
      <c r="O123">
        <f t="shared" ca="1" si="27"/>
        <v>1.0106605E-3</v>
      </c>
      <c r="P123">
        <f t="shared" ca="1" si="28"/>
        <v>1.000177675</v>
      </c>
      <c r="Q123">
        <f t="shared" ca="1" si="29"/>
        <v>1.008085085866312</v>
      </c>
      <c r="R123">
        <f t="shared" ca="1" si="30"/>
        <v>5376.4537912869973</v>
      </c>
      <c r="S123">
        <f t="shared" ca="1" si="31"/>
        <v>1.9717441854896456</v>
      </c>
      <c r="T123">
        <f t="shared" ca="1" si="32"/>
        <v>3</v>
      </c>
      <c r="U123">
        <f t="shared" ca="1" si="33"/>
        <v>5381</v>
      </c>
      <c r="V123">
        <f t="shared" ca="1" si="34"/>
        <v>1.0089375</v>
      </c>
      <c r="X123">
        <f t="shared" ca="1" si="35"/>
        <v>1.0077477879117829</v>
      </c>
    </row>
    <row r="124" spans="5:24" x14ac:dyDescent="0.25">
      <c r="E124">
        <v>122</v>
      </c>
      <c r="F124">
        <f t="shared" si="19"/>
        <v>32.200000000000003</v>
      </c>
      <c r="G124">
        <f t="shared" ca="1" si="20"/>
        <v>32.196000000000005</v>
      </c>
      <c r="H124" s="5">
        <f t="shared" ca="1" si="21"/>
        <v>3.9999999999977831E-3</v>
      </c>
      <c r="I124" s="5">
        <f t="shared" ca="1" si="22"/>
        <v>1.2422360248440318E-4</v>
      </c>
      <c r="J124" s="10">
        <f t="shared" si="23"/>
        <v>1.0166666666666668</v>
      </c>
      <c r="K124" s="12">
        <f t="shared" ca="1" si="24"/>
        <v>1.0163333333333335</v>
      </c>
      <c r="L124" s="5">
        <f t="shared" ca="1" si="25"/>
        <v>3.2786885245898024E-4</v>
      </c>
      <c r="N124">
        <f t="shared" ca="1" si="26"/>
        <v>7.1960000000000051</v>
      </c>
      <c r="O124">
        <f t="shared" ca="1" si="27"/>
        <v>1.010794E-3</v>
      </c>
      <c r="P124">
        <f t="shared" ca="1" si="28"/>
        <v>1.0001799</v>
      </c>
      <c r="Q124">
        <f t="shared" ca="1" si="29"/>
        <v>1.0155051958581598</v>
      </c>
      <c r="R124">
        <f t="shared" ca="1" si="30"/>
        <v>5416.0277112435188</v>
      </c>
      <c r="S124">
        <f t="shared" ca="1" si="31"/>
        <v>1.9849344319007645</v>
      </c>
      <c r="T124">
        <f t="shared" ca="1" si="32"/>
        <v>1</v>
      </c>
      <c r="U124">
        <f t="shared" ca="1" si="33"/>
        <v>5419</v>
      </c>
      <c r="V124">
        <f t="shared" ca="1" si="34"/>
        <v>1.0160625000000001</v>
      </c>
      <c r="X124">
        <f t="shared" ca="1" si="35"/>
        <v>1.0148691310433255</v>
      </c>
    </row>
    <row r="125" spans="5:24" x14ac:dyDescent="0.25">
      <c r="E125">
        <v>123</v>
      </c>
      <c r="F125">
        <f t="shared" si="19"/>
        <v>32.299999999999997</v>
      </c>
      <c r="G125">
        <f t="shared" ca="1" si="20"/>
        <v>32.295999999999999</v>
      </c>
      <c r="H125" s="5">
        <f t="shared" ca="1" si="21"/>
        <v>3.9999999999977831E-3</v>
      </c>
      <c r="I125" s="5">
        <f t="shared" ca="1" si="22"/>
        <v>1.2383900928785707E-4</v>
      </c>
      <c r="J125" s="10">
        <f t="shared" si="23"/>
        <v>1.0249999999999997</v>
      </c>
      <c r="K125" s="12">
        <f t="shared" ca="1" si="24"/>
        <v>1.0246666666666664</v>
      </c>
      <c r="L125" s="5">
        <f t="shared" ca="1" si="25"/>
        <v>3.252032520324846E-4</v>
      </c>
      <c r="N125">
        <f t="shared" ca="1" si="26"/>
        <v>7.2959999999999994</v>
      </c>
      <c r="O125">
        <f t="shared" ca="1" si="27"/>
        <v>1.0109439999999999E-3</v>
      </c>
      <c r="P125">
        <f t="shared" ca="1" si="28"/>
        <v>1.0001823999999999</v>
      </c>
      <c r="Q125">
        <f t="shared" ca="1" si="29"/>
        <v>1.0238424374704809</v>
      </c>
      <c r="R125">
        <f t="shared" ca="1" si="30"/>
        <v>5460.4929998425641</v>
      </c>
      <c r="S125">
        <f t="shared" ca="1" si="31"/>
        <v>1.9997209048220552</v>
      </c>
      <c r="T125">
        <f t="shared" ca="1" si="32"/>
        <v>1</v>
      </c>
      <c r="U125">
        <f t="shared" ca="1" si="33"/>
        <v>5463</v>
      </c>
      <c r="V125">
        <f t="shared" ca="1" si="34"/>
        <v>1.0243125</v>
      </c>
      <c r="X125">
        <f t="shared" ca="1" si="35"/>
        <v>1.0231149398349741</v>
      </c>
    </row>
    <row r="126" spans="5:24" x14ac:dyDescent="0.25">
      <c r="E126">
        <v>124</v>
      </c>
      <c r="F126">
        <f t="shared" si="19"/>
        <v>32.4</v>
      </c>
      <c r="G126">
        <f t="shared" ca="1" si="20"/>
        <v>32.408000000000001</v>
      </c>
      <c r="H126" s="5">
        <f t="shared" ca="1" si="21"/>
        <v>8.0000000000026716E-3</v>
      </c>
      <c r="I126" s="5">
        <f t="shared" ca="1" si="22"/>
        <v>2.4691358024699604E-4</v>
      </c>
      <c r="J126" s="10">
        <f t="shared" si="23"/>
        <v>1.033333333333333</v>
      </c>
      <c r="K126" s="12">
        <f t="shared" ca="1" si="24"/>
        <v>1.034</v>
      </c>
      <c r="L126" s="5">
        <f t="shared" ca="1" si="25"/>
        <v>6.4516129032293952E-4</v>
      </c>
      <c r="N126">
        <f t="shared" ca="1" si="26"/>
        <v>7.4080000000000013</v>
      </c>
      <c r="O126">
        <f t="shared" ca="1" si="27"/>
        <v>1.011112E-3</v>
      </c>
      <c r="P126">
        <f t="shared" ca="1" si="28"/>
        <v>1.0001852</v>
      </c>
      <c r="Q126">
        <f t="shared" ca="1" si="29"/>
        <v>1.0331801975420576</v>
      </c>
      <c r="R126">
        <f t="shared" ca="1" si="30"/>
        <v>5510.2943868909733</v>
      </c>
      <c r="S126">
        <f t="shared" ca="1" si="31"/>
        <v>2.0162386837147124</v>
      </c>
      <c r="T126">
        <f t="shared" ca="1" si="32"/>
        <v>1</v>
      </c>
      <c r="U126">
        <f t="shared" ca="1" si="33"/>
        <v>5513</v>
      </c>
      <c r="V126">
        <f t="shared" ca="1" si="34"/>
        <v>1.0336875000000001</v>
      </c>
      <c r="X126">
        <f t="shared" ca="1" si="35"/>
        <v>1.0324851717461927</v>
      </c>
    </row>
    <row r="127" spans="5:24" x14ac:dyDescent="0.25">
      <c r="E127">
        <v>125</v>
      </c>
      <c r="F127">
        <f t="shared" si="19"/>
        <v>32.5</v>
      </c>
      <c r="G127">
        <f t="shared" ca="1" si="20"/>
        <v>32.496000000000002</v>
      </c>
      <c r="H127" s="5">
        <f t="shared" ca="1" si="21"/>
        <v>3.9999999999977831E-3</v>
      </c>
      <c r="I127" s="5">
        <f t="shared" ca="1" si="22"/>
        <v>1.2307692307685487E-4</v>
      </c>
      <c r="J127" s="10">
        <f t="shared" si="23"/>
        <v>1.0416666666666663</v>
      </c>
      <c r="K127" s="12">
        <f t="shared" ca="1" si="24"/>
        <v>1.0413333333333334</v>
      </c>
      <c r="L127" s="5">
        <f t="shared" ca="1" si="25"/>
        <v>3.1999999999953854E-4</v>
      </c>
      <c r="N127">
        <f t="shared" ca="1" si="26"/>
        <v>7.4960000000000022</v>
      </c>
      <c r="O127">
        <f t="shared" ca="1" si="27"/>
        <v>1.0112440000000001E-3</v>
      </c>
      <c r="P127">
        <f t="shared" ca="1" si="28"/>
        <v>1.0001873999999999</v>
      </c>
      <c r="Q127">
        <f t="shared" ca="1" si="29"/>
        <v>1.0405170456928743</v>
      </c>
      <c r="R127">
        <f t="shared" ca="1" si="30"/>
        <v>5549.4242436953291</v>
      </c>
      <c r="S127">
        <f t="shared" ca="1" si="31"/>
        <v>2.0291847764160549</v>
      </c>
      <c r="T127">
        <f t="shared" ca="1" si="32"/>
        <v>2</v>
      </c>
      <c r="U127">
        <f t="shared" ca="1" si="33"/>
        <v>5553</v>
      </c>
      <c r="V127">
        <f t="shared" ca="1" si="34"/>
        <v>1.0411874999999999</v>
      </c>
      <c r="X127">
        <f t="shared" ca="1" si="35"/>
        <v>1.0399813634924815</v>
      </c>
    </row>
    <row r="128" spans="5:24" x14ac:dyDescent="0.25">
      <c r="E128">
        <v>126</v>
      </c>
      <c r="F128">
        <f t="shared" si="19"/>
        <v>32.6</v>
      </c>
      <c r="G128">
        <f t="shared" ca="1" si="20"/>
        <v>32.591999999999999</v>
      </c>
      <c r="H128" s="5">
        <f t="shared" ca="1" si="21"/>
        <v>8.0000000000026716E-3</v>
      </c>
      <c r="I128" s="5">
        <f t="shared" ca="1" si="22"/>
        <v>2.453987730062169E-4</v>
      </c>
      <c r="J128" s="10">
        <f t="shared" si="23"/>
        <v>1.05</v>
      </c>
      <c r="K128" s="12">
        <f t="shared" ca="1" si="24"/>
        <v>1.049333333333333</v>
      </c>
      <c r="L128" s="5">
        <f t="shared" ca="1" si="25"/>
        <v>6.3492063492098794E-4</v>
      </c>
      <c r="N128">
        <f t="shared" ca="1" si="26"/>
        <v>7.5919999999999987</v>
      </c>
      <c r="O128">
        <f t="shared" ca="1" si="27"/>
        <v>1.011388E-3</v>
      </c>
      <c r="P128">
        <f t="shared" ca="1" si="28"/>
        <v>1.0001898</v>
      </c>
      <c r="Q128">
        <f t="shared" ca="1" si="29"/>
        <v>1.0485209168385572</v>
      </c>
      <c r="R128">
        <f t="shared" ca="1" si="30"/>
        <v>5592.111556472305</v>
      </c>
      <c r="S128">
        <f t="shared" ca="1" si="31"/>
        <v>2.043275274047021</v>
      </c>
      <c r="T128">
        <f t="shared" ca="1" si="32"/>
        <v>-2</v>
      </c>
      <c r="U128">
        <f t="shared" ca="1" si="33"/>
        <v>5592</v>
      </c>
      <c r="V128">
        <f t="shared" ca="1" si="34"/>
        <v>1.0485</v>
      </c>
      <c r="X128">
        <f t="shared" ca="1" si="35"/>
        <v>1.0472898363890533</v>
      </c>
    </row>
    <row r="129" spans="5:24" x14ac:dyDescent="0.25">
      <c r="E129">
        <v>127</v>
      </c>
      <c r="F129">
        <f t="shared" si="19"/>
        <v>32.700000000000003</v>
      </c>
      <c r="G129">
        <f t="shared" ca="1" si="20"/>
        <v>32.700000000000003</v>
      </c>
      <c r="H129" s="5">
        <f t="shared" ca="1" si="21"/>
        <v>0</v>
      </c>
      <c r="I129" s="5">
        <f t="shared" ca="1" si="22"/>
        <v>0</v>
      </c>
      <c r="J129" s="10">
        <f t="shared" si="23"/>
        <v>1.0583333333333333</v>
      </c>
      <c r="K129" s="12">
        <f t="shared" ca="1" si="24"/>
        <v>1.0583333333333333</v>
      </c>
      <c r="L129" s="5">
        <f t="shared" ca="1" si="25"/>
        <v>0</v>
      </c>
      <c r="N129">
        <f t="shared" ca="1" si="26"/>
        <v>7.7000000000000028</v>
      </c>
      <c r="O129">
        <f t="shared" ca="1" si="27"/>
        <v>1.0115499999999999E-3</v>
      </c>
      <c r="P129">
        <f t="shared" ca="1" si="28"/>
        <v>1.0001925</v>
      </c>
      <c r="Q129">
        <f t="shared" ca="1" si="29"/>
        <v>1.0575253177766251</v>
      </c>
      <c r="R129">
        <f t="shared" ca="1" si="30"/>
        <v>5640.135028142</v>
      </c>
      <c r="S129">
        <f t="shared" ca="1" si="31"/>
        <v>2.0590862449170779</v>
      </c>
      <c r="T129">
        <f t="shared" ca="1" si="32"/>
        <v>1</v>
      </c>
      <c r="U129">
        <f t="shared" ca="1" si="33"/>
        <v>5643</v>
      </c>
      <c r="V129">
        <f t="shared" ca="1" si="34"/>
        <v>1.0580625000000001</v>
      </c>
      <c r="X129">
        <f t="shared" ca="1" si="35"/>
        <v>1.0568475068549303</v>
      </c>
    </row>
    <row r="130" spans="5:24" x14ac:dyDescent="0.25">
      <c r="E130">
        <v>128</v>
      </c>
      <c r="F130">
        <f t="shared" si="19"/>
        <v>32.799999999999997</v>
      </c>
      <c r="G130">
        <f t="shared" ca="1" si="20"/>
        <v>32.791999999999994</v>
      </c>
      <c r="H130" s="5">
        <f t="shared" ca="1" si="21"/>
        <v>8.0000000000026716E-3</v>
      </c>
      <c r="I130" s="5">
        <f t="shared" ca="1" si="22"/>
        <v>2.4390243902447172E-4</v>
      </c>
      <c r="J130" s="10">
        <f t="shared" si="23"/>
        <v>1.0666666666666662</v>
      </c>
      <c r="K130" s="12">
        <f t="shared" ca="1" si="24"/>
        <v>1.0659999999999992</v>
      </c>
      <c r="L130" s="5">
        <f t="shared" ca="1" si="25"/>
        <v>6.2500000000034772E-4</v>
      </c>
      <c r="N130">
        <f t="shared" ca="1" si="26"/>
        <v>7.7919999999999945</v>
      </c>
      <c r="O130">
        <f t="shared" ca="1" si="27"/>
        <v>1.011688E-3</v>
      </c>
      <c r="P130">
        <f t="shared" ca="1" si="28"/>
        <v>1.0001948000000001</v>
      </c>
      <c r="Q130">
        <f t="shared" ca="1" si="29"/>
        <v>1.0651957717231768</v>
      </c>
      <c r="R130">
        <f t="shared" ca="1" si="30"/>
        <v>5681.0441158569429</v>
      </c>
      <c r="S130">
        <f t="shared" ca="1" si="31"/>
        <v>2.0725205010840799</v>
      </c>
      <c r="T130">
        <f t="shared" ca="1" si="32"/>
        <v>3</v>
      </c>
      <c r="U130">
        <f t="shared" ca="1" si="33"/>
        <v>5686</v>
      </c>
      <c r="V130">
        <f t="shared" ca="1" si="34"/>
        <v>1.066125</v>
      </c>
      <c r="X130">
        <f t="shared" ca="1" si="35"/>
        <v>1.064905868336848</v>
      </c>
    </row>
    <row r="131" spans="5:24" x14ac:dyDescent="0.25">
      <c r="E131">
        <v>129</v>
      </c>
      <c r="F131">
        <f t="shared" ref="F131:F194" si="36">0.1*E131+20</f>
        <v>32.9</v>
      </c>
      <c r="G131">
        <f t="shared" ref="G131:G194" ca="1" si="37">F131+(RANDBETWEEN(-10,10)/100)*0.1</f>
        <v>32.9</v>
      </c>
      <c r="H131" s="5">
        <f t="shared" ref="H131:H194" ca="1" si="38">ABS(F131-G131)</f>
        <v>0</v>
      </c>
      <c r="I131" s="5">
        <f t="shared" ref="I131:I194" ca="1" si="39">ABS(F131-G131)/F131</f>
        <v>0</v>
      </c>
      <c r="J131" s="10">
        <f t="shared" ref="J131:J194" si="40">1/12*F131-5/3</f>
        <v>1.0749999999999995</v>
      </c>
      <c r="K131" s="12">
        <f t="shared" ref="K131:K194" ca="1" si="41">(1/12*G131-5/3) + J131*RANDBETWEEN($B$2,$C$2)</f>
        <v>1.0749999999999995</v>
      </c>
      <c r="L131" s="5">
        <f t="shared" ref="L131:L194" ca="1" si="42">IF(J131=0, ABS(J131-K131), ABS(J131-K131)/J131)</f>
        <v>0</v>
      </c>
      <c r="N131">
        <f t="shared" ref="N131:N194" ca="1" si="43">G131-$B$29</f>
        <v>7.8999999999999986</v>
      </c>
      <c r="O131">
        <f t="shared" ref="O131:O194" ca="1" si="44">0.001 + 0.0000015*N131</f>
        <v>1.0118500000000001E-3</v>
      </c>
      <c r="P131">
        <f t="shared" ref="P131:P194" ca="1" si="45">1 + 0.000025*N131</f>
        <v>1.0001975000000001</v>
      </c>
      <c r="Q131">
        <f t="shared" ref="Q131:Q194" ca="1" si="46">(K131-O131)*P131</f>
        <v>1.0742002626596245</v>
      </c>
      <c r="R131">
        <f t="shared" ref="R131:R194" ca="1" si="47">Q131*32768/6.144</f>
        <v>5729.0680675179974</v>
      </c>
      <c r="S131">
        <f t="shared" ref="S131:S194" ca="1" si="48">4*SIN(PI()*R131/32768)</f>
        <v>2.0882505324102896</v>
      </c>
      <c r="T131">
        <f t="shared" ref="T131:T194" ca="1" si="49">RANDBETWEEN(-1*$B$15,1*$B$15)</f>
        <v>-2</v>
      </c>
      <c r="U131">
        <f t="shared" ref="U131:U194" ca="1" si="50">ROUND(R131+S131+T131,0)</f>
        <v>5729</v>
      </c>
      <c r="V131">
        <f t="shared" ref="V131:V194" ca="1" si="51">U131*6.144/32768</f>
        <v>1.0741875000000001</v>
      </c>
      <c r="X131">
        <f t="shared" ref="X131:X194" ca="1" si="52">(U131*6.144/32768 -O131)/P131</f>
        <v>1.0729637396614169</v>
      </c>
    </row>
    <row r="132" spans="5:24" x14ac:dyDescent="0.25">
      <c r="E132">
        <v>130</v>
      </c>
      <c r="F132">
        <f t="shared" si="36"/>
        <v>33</v>
      </c>
      <c r="G132">
        <f t="shared" ca="1" si="37"/>
        <v>32.994999999999997</v>
      </c>
      <c r="H132" s="5">
        <f t="shared" ca="1" si="38"/>
        <v>5.000000000002558E-3</v>
      </c>
      <c r="I132" s="5">
        <f t="shared" ca="1" si="39"/>
        <v>1.5151515151522904E-4</v>
      </c>
      <c r="J132" s="10">
        <f t="shared" si="40"/>
        <v>1.0833333333333333</v>
      </c>
      <c r="K132" s="12">
        <f t="shared" ca="1" si="41"/>
        <v>1.0829166666666661</v>
      </c>
      <c r="L132" s="5">
        <f t="shared" ca="1" si="42"/>
        <v>3.8461538461585467E-4</v>
      </c>
      <c r="N132">
        <f t="shared" ca="1" si="43"/>
        <v>7.9949999999999974</v>
      </c>
      <c r="O132">
        <f t="shared" ca="1" si="44"/>
        <v>1.0119924999999999E-3</v>
      </c>
      <c r="P132">
        <f t="shared" ca="1" si="45"/>
        <v>1.0001998750000001</v>
      </c>
      <c r="Q132">
        <f t="shared" ca="1" si="46"/>
        <v>1.0821209198634152</v>
      </c>
      <c r="R132">
        <f t="shared" ca="1" si="47"/>
        <v>5771.3115726048809</v>
      </c>
      <c r="S132">
        <f t="shared" ca="1" si="48"/>
        <v>2.1020506184831502</v>
      </c>
      <c r="T132">
        <f t="shared" ca="1" si="49"/>
        <v>0</v>
      </c>
      <c r="U132">
        <f t="shared" ca="1" si="50"/>
        <v>5773</v>
      </c>
      <c r="V132">
        <f t="shared" ca="1" si="51"/>
        <v>1.0824374999999999</v>
      </c>
      <c r="X132">
        <f t="shared" ca="1" si="52"/>
        <v>1.0812094007710207</v>
      </c>
    </row>
    <row r="133" spans="5:24" x14ac:dyDescent="0.25">
      <c r="E133">
        <v>131</v>
      </c>
      <c r="F133">
        <f t="shared" si="36"/>
        <v>33.1</v>
      </c>
      <c r="G133">
        <f t="shared" ca="1" si="37"/>
        <v>33.091999999999999</v>
      </c>
      <c r="H133" s="5">
        <f t="shared" ca="1" si="38"/>
        <v>8.0000000000026716E-3</v>
      </c>
      <c r="I133" s="5">
        <f t="shared" ca="1" si="39"/>
        <v>2.4169184290038281E-4</v>
      </c>
      <c r="J133" s="10">
        <f t="shared" si="40"/>
        <v>1.0916666666666666</v>
      </c>
      <c r="K133" s="12">
        <f t="shared" ca="1" si="41"/>
        <v>1.0909999999999995</v>
      </c>
      <c r="L133" s="5">
        <f t="shared" ca="1" si="42"/>
        <v>6.1068702290110295E-4</v>
      </c>
      <c r="N133">
        <f t="shared" ca="1" si="43"/>
        <v>8.0919999999999987</v>
      </c>
      <c r="O133">
        <f t="shared" ca="1" si="44"/>
        <v>1.0121380000000001E-3</v>
      </c>
      <c r="P133">
        <f t="shared" ca="1" si="45"/>
        <v>1.0002023</v>
      </c>
      <c r="Q133">
        <f t="shared" ca="1" si="46"/>
        <v>1.0902083665444819</v>
      </c>
      <c r="R133">
        <f t="shared" ca="1" si="47"/>
        <v>5814.4446215705702</v>
      </c>
      <c r="S133">
        <f t="shared" ca="1" si="48"/>
        <v>2.1161057223097099</v>
      </c>
      <c r="T133">
        <f t="shared" ca="1" si="49"/>
        <v>-1</v>
      </c>
      <c r="U133">
        <f t="shared" ca="1" si="50"/>
        <v>5816</v>
      </c>
      <c r="V133">
        <f t="shared" ca="1" si="51"/>
        <v>1.0905</v>
      </c>
      <c r="X133">
        <f t="shared" ca="1" si="52"/>
        <v>1.0892675031841057</v>
      </c>
    </row>
    <row r="134" spans="5:24" x14ac:dyDescent="0.25">
      <c r="E134">
        <v>132</v>
      </c>
      <c r="F134">
        <f t="shared" si="36"/>
        <v>33.200000000000003</v>
      </c>
      <c r="G134">
        <f t="shared" ca="1" si="37"/>
        <v>33.197000000000003</v>
      </c>
      <c r="H134" s="5">
        <f t="shared" ca="1" si="38"/>
        <v>3.0000000000001137E-3</v>
      </c>
      <c r="I134" s="5">
        <f t="shared" ca="1" si="39"/>
        <v>9.0361445783135948E-5</v>
      </c>
      <c r="J134" s="10">
        <f t="shared" si="40"/>
        <v>1.0999999999999999</v>
      </c>
      <c r="K134" s="12">
        <f t="shared" ca="1" si="41"/>
        <v>1.09975</v>
      </c>
      <c r="L134" s="5">
        <f t="shared" ca="1" si="42"/>
        <v>2.2727272727260134E-4</v>
      </c>
      <c r="N134">
        <f t="shared" ca="1" si="43"/>
        <v>8.1970000000000027</v>
      </c>
      <c r="O134">
        <f t="shared" ca="1" si="44"/>
        <v>1.0122955E-3</v>
      </c>
      <c r="P134">
        <f t="shared" ca="1" si="45"/>
        <v>1.000204925</v>
      </c>
      <c r="Q134">
        <f t="shared" ca="1" si="46"/>
        <v>1.0989628633240947</v>
      </c>
      <c r="R134">
        <f t="shared" ca="1" si="47"/>
        <v>5861.1352710618385</v>
      </c>
      <c r="S134">
        <f t="shared" ca="1" si="48"/>
        <v>2.131279291779236</v>
      </c>
      <c r="T134">
        <f t="shared" ca="1" si="49"/>
        <v>-1</v>
      </c>
      <c r="U134">
        <f t="shared" ca="1" si="50"/>
        <v>5862</v>
      </c>
      <c r="V134">
        <f t="shared" ca="1" si="51"/>
        <v>1.0991250000000001</v>
      </c>
      <c r="X134">
        <f t="shared" ca="1" si="52"/>
        <v>1.097887719859008</v>
      </c>
    </row>
    <row r="135" spans="5:24" x14ac:dyDescent="0.25">
      <c r="E135">
        <v>133</v>
      </c>
      <c r="F135">
        <f t="shared" si="36"/>
        <v>33.299999999999997</v>
      </c>
      <c r="G135">
        <f t="shared" ca="1" si="37"/>
        <v>33.292999999999999</v>
      </c>
      <c r="H135" s="5">
        <f t="shared" ca="1" si="38"/>
        <v>6.9999999999978968E-3</v>
      </c>
      <c r="I135" s="5">
        <f t="shared" ca="1" si="39"/>
        <v>2.1021021021014707E-4</v>
      </c>
      <c r="J135" s="10">
        <f t="shared" si="40"/>
        <v>1.1083333333333327</v>
      </c>
      <c r="K135" s="12">
        <f t="shared" ca="1" si="41"/>
        <v>1.1077499999999996</v>
      </c>
      <c r="L135" s="5">
        <f t="shared" ca="1" si="42"/>
        <v>5.2631578947352634E-4</v>
      </c>
      <c r="N135">
        <f t="shared" ca="1" si="43"/>
        <v>8.2929999999999993</v>
      </c>
      <c r="O135">
        <f t="shared" ca="1" si="44"/>
        <v>1.0124394999999999E-3</v>
      </c>
      <c r="P135">
        <f t="shared" ca="1" si="45"/>
        <v>1.0002073250000001</v>
      </c>
      <c r="Q135">
        <f t="shared" ca="1" si="46"/>
        <v>1.1069670148647304</v>
      </c>
      <c r="R135">
        <f t="shared" ca="1" si="47"/>
        <v>5903.8240792785618</v>
      </c>
      <c r="S135">
        <f t="shared" ca="1" si="48"/>
        <v>2.1451149735564661</v>
      </c>
      <c r="T135">
        <f t="shared" ca="1" si="49"/>
        <v>-2</v>
      </c>
      <c r="U135">
        <f t="shared" ca="1" si="50"/>
        <v>5904</v>
      </c>
      <c r="V135">
        <f t="shared" ca="1" si="51"/>
        <v>1.107</v>
      </c>
      <c r="X135">
        <f t="shared" ca="1" si="52"/>
        <v>1.1057583091585537</v>
      </c>
    </row>
    <row r="136" spans="5:24" x14ac:dyDescent="0.25">
      <c r="E136">
        <v>134</v>
      </c>
      <c r="F136">
        <f t="shared" si="36"/>
        <v>33.4</v>
      </c>
      <c r="G136">
        <f t="shared" ca="1" si="37"/>
        <v>33.399000000000001</v>
      </c>
      <c r="H136" s="5">
        <f t="shared" ca="1" si="38"/>
        <v>9.9999999999766942E-4</v>
      </c>
      <c r="I136" s="5">
        <f t="shared" ca="1" si="39"/>
        <v>2.9940119760409266E-5</v>
      </c>
      <c r="J136" s="10">
        <f t="shared" si="40"/>
        <v>1.1166666666666665</v>
      </c>
      <c r="K136" s="12">
        <f t="shared" ca="1" si="41"/>
        <v>1.116583333333333</v>
      </c>
      <c r="L136" s="5">
        <f t="shared" ca="1" si="42"/>
        <v>7.4626865671733014E-5</v>
      </c>
      <c r="N136">
        <f t="shared" ca="1" si="43"/>
        <v>8.3990000000000009</v>
      </c>
      <c r="O136">
        <f t="shared" ca="1" si="44"/>
        <v>1.0125984999999999E-3</v>
      </c>
      <c r="P136">
        <f t="shared" ca="1" si="45"/>
        <v>1.000209975</v>
      </c>
      <c r="Q136">
        <f t="shared" ca="1" si="46"/>
        <v>1.1158049767983795</v>
      </c>
      <c r="R136">
        <f t="shared" ca="1" si="47"/>
        <v>5950.9598762580245</v>
      </c>
      <c r="S136">
        <f t="shared" ca="1" si="48"/>
        <v>2.160350198657941</v>
      </c>
      <c r="T136">
        <f t="shared" ca="1" si="49"/>
        <v>-1</v>
      </c>
      <c r="U136">
        <f t="shared" ca="1" si="50"/>
        <v>5952</v>
      </c>
      <c r="V136">
        <f t="shared" ca="1" si="51"/>
        <v>1.1160000000000001</v>
      </c>
      <c r="X136">
        <f t="shared" ca="1" si="52"/>
        <v>1.1147533311692879</v>
      </c>
    </row>
    <row r="137" spans="5:24" x14ac:dyDescent="0.25">
      <c r="E137">
        <v>135</v>
      </c>
      <c r="F137">
        <f t="shared" si="36"/>
        <v>33.5</v>
      </c>
      <c r="G137">
        <f t="shared" ca="1" si="37"/>
        <v>33.500999999999998</v>
      </c>
      <c r="H137" s="5">
        <f t="shared" ca="1" si="38"/>
        <v>9.9999999999766942E-4</v>
      </c>
      <c r="I137" s="5">
        <f t="shared" ca="1" si="39"/>
        <v>2.9850746268587145E-5</v>
      </c>
      <c r="J137" s="10">
        <f t="shared" si="40"/>
        <v>1.1249999999999998</v>
      </c>
      <c r="K137" s="12">
        <f t="shared" ca="1" si="41"/>
        <v>1.1250833333333328</v>
      </c>
      <c r="L137" s="5">
        <f t="shared" ca="1" si="42"/>
        <v>7.4074074073769873E-5</v>
      </c>
      <c r="N137">
        <f t="shared" ca="1" si="43"/>
        <v>8.5009999999999977</v>
      </c>
      <c r="O137">
        <f t="shared" ca="1" si="44"/>
        <v>1.0127515000000001E-3</v>
      </c>
      <c r="P137">
        <f t="shared" ca="1" si="45"/>
        <v>1.000212525</v>
      </c>
      <c r="Q137">
        <f t="shared" ca="1" si="46"/>
        <v>1.124309474933737</v>
      </c>
      <c r="R137">
        <f t="shared" ca="1" si="47"/>
        <v>5996.3171996465971</v>
      </c>
      <c r="S137">
        <f t="shared" ca="1" si="48"/>
        <v>2.1749689361132076</v>
      </c>
      <c r="T137">
        <f t="shared" ca="1" si="49"/>
        <v>0</v>
      </c>
      <c r="U137">
        <f t="shared" ca="1" si="50"/>
        <v>5998</v>
      </c>
      <c r="V137">
        <f t="shared" ca="1" si="51"/>
        <v>1.124625</v>
      </c>
      <c r="X137">
        <f t="shared" ca="1" si="52"/>
        <v>1.1233735035461587</v>
      </c>
    </row>
    <row r="138" spans="5:24" x14ac:dyDescent="0.25">
      <c r="E138">
        <v>136</v>
      </c>
      <c r="F138">
        <f t="shared" si="36"/>
        <v>33.6</v>
      </c>
      <c r="G138">
        <f t="shared" ca="1" si="37"/>
        <v>33.594999999999999</v>
      </c>
      <c r="H138" s="5">
        <f t="shared" ca="1" si="38"/>
        <v>5.000000000002558E-3</v>
      </c>
      <c r="I138" s="5">
        <f t="shared" ca="1" si="39"/>
        <v>1.4880952380959993E-4</v>
      </c>
      <c r="J138" s="10">
        <f t="shared" si="40"/>
        <v>1.1333333333333331</v>
      </c>
      <c r="K138" s="12">
        <f t="shared" ca="1" si="41"/>
        <v>1.1329166666666663</v>
      </c>
      <c r="L138" s="5">
        <f t="shared" ca="1" si="42"/>
        <v>3.6764705882358698E-4</v>
      </c>
      <c r="N138">
        <f t="shared" ca="1" si="43"/>
        <v>8.5949999999999989</v>
      </c>
      <c r="O138">
        <f t="shared" ca="1" si="44"/>
        <v>1.0128925E-3</v>
      </c>
      <c r="P138">
        <f t="shared" ca="1" si="45"/>
        <v>1.0002148749999999</v>
      </c>
      <c r="Q138">
        <f t="shared" ca="1" si="46"/>
        <v>1.1321469919901404</v>
      </c>
      <c r="R138">
        <f t="shared" ca="1" si="47"/>
        <v>6038.1172906140819</v>
      </c>
      <c r="S138">
        <f t="shared" ca="1" si="48"/>
        <v>2.1884047613173401</v>
      </c>
      <c r="T138">
        <f t="shared" ca="1" si="49"/>
        <v>-3</v>
      </c>
      <c r="U138">
        <f t="shared" ca="1" si="50"/>
        <v>6037</v>
      </c>
      <c r="V138">
        <f t="shared" ca="1" si="51"/>
        <v>1.1319375</v>
      </c>
      <c r="X138">
        <f t="shared" ca="1" si="52"/>
        <v>1.1306816522799665</v>
      </c>
    </row>
    <row r="139" spans="5:24" x14ac:dyDescent="0.25">
      <c r="E139">
        <v>137</v>
      </c>
      <c r="F139">
        <f t="shared" si="36"/>
        <v>33.700000000000003</v>
      </c>
      <c r="G139">
        <f t="shared" ca="1" si="37"/>
        <v>33.690000000000005</v>
      </c>
      <c r="H139" s="5">
        <f t="shared" ca="1" si="38"/>
        <v>9.9999999999980105E-3</v>
      </c>
      <c r="I139" s="5">
        <f t="shared" ca="1" si="39"/>
        <v>2.9673590504445134E-4</v>
      </c>
      <c r="J139" s="10">
        <f t="shared" si="40"/>
        <v>1.1416666666666668</v>
      </c>
      <c r="K139" s="12">
        <f t="shared" ca="1" si="41"/>
        <v>1.1408333333333334</v>
      </c>
      <c r="L139" s="5">
        <f t="shared" ca="1" si="42"/>
        <v>7.2992700729938409E-4</v>
      </c>
      <c r="N139">
        <f t="shared" ca="1" si="43"/>
        <v>8.6900000000000048</v>
      </c>
      <c r="O139">
        <f t="shared" ca="1" si="44"/>
        <v>1.013035E-3</v>
      </c>
      <c r="P139">
        <f t="shared" ca="1" si="45"/>
        <v>1.0002172499999999</v>
      </c>
      <c r="Q139">
        <f t="shared" ca="1" si="46"/>
        <v>1.1400679242931462</v>
      </c>
      <c r="R139">
        <f t="shared" ca="1" si="47"/>
        <v>6080.3622628967796</v>
      </c>
      <c r="S139">
        <f t="shared" ca="1" si="48"/>
        <v>2.2019478746457417</v>
      </c>
      <c r="T139">
        <f t="shared" ca="1" si="49"/>
        <v>3</v>
      </c>
      <c r="U139">
        <f t="shared" ca="1" si="50"/>
        <v>6086</v>
      </c>
      <c r="V139">
        <f t="shared" ca="1" si="51"/>
        <v>1.1411249999999999</v>
      </c>
      <c r="X139">
        <f t="shared" ca="1" si="52"/>
        <v>1.1398643294744217</v>
      </c>
    </row>
    <row r="140" spans="5:24" x14ac:dyDescent="0.25">
      <c r="E140">
        <v>138</v>
      </c>
      <c r="F140">
        <f t="shared" si="36"/>
        <v>33.799999999999997</v>
      </c>
      <c r="G140">
        <f t="shared" ca="1" si="37"/>
        <v>33.791999999999994</v>
      </c>
      <c r="H140" s="5">
        <f t="shared" ca="1" si="38"/>
        <v>8.0000000000026716E-3</v>
      </c>
      <c r="I140" s="5">
        <f t="shared" ca="1" si="39"/>
        <v>2.3668639053262344E-4</v>
      </c>
      <c r="J140" s="10">
        <f t="shared" si="40"/>
        <v>1.1499999999999997</v>
      </c>
      <c r="K140" s="12">
        <f t="shared" ca="1" si="41"/>
        <v>1.1493333333333327</v>
      </c>
      <c r="L140" s="5">
        <f t="shared" ca="1" si="42"/>
        <v>5.7971014492785866E-4</v>
      </c>
      <c r="N140">
        <f t="shared" ca="1" si="43"/>
        <v>8.7919999999999945</v>
      </c>
      <c r="O140">
        <f t="shared" ca="1" si="44"/>
        <v>1.0131879999999999E-3</v>
      </c>
      <c r="P140">
        <f t="shared" ca="1" si="45"/>
        <v>1.0002198</v>
      </c>
      <c r="Q140">
        <f t="shared" ca="1" si="46"/>
        <v>1.148572546101277</v>
      </c>
      <c r="R140">
        <f t="shared" ca="1" si="47"/>
        <v>6125.7202458734773</v>
      </c>
      <c r="S140">
        <f t="shared" ca="1" si="48"/>
        <v>2.216448755735418</v>
      </c>
      <c r="T140">
        <f t="shared" ca="1" si="49"/>
        <v>-3</v>
      </c>
      <c r="U140">
        <f t="shared" ca="1" si="50"/>
        <v>6125</v>
      </c>
      <c r="V140">
        <f t="shared" ca="1" si="51"/>
        <v>1.1484375</v>
      </c>
      <c r="X140">
        <f t="shared" ca="1" si="52"/>
        <v>1.14717216355845</v>
      </c>
    </row>
    <row r="141" spans="5:24" x14ac:dyDescent="0.25">
      <c r="E141">
        <v>139</v>
      </c>
      <c r="F141">
        <f t="shared" si="36"/>
        <v>33.9</v>
      </c>
      <c r="G141">
        <f t="shared" ca="1" si="37"/>
        <v>33.902999999999999</v>
      </c>
      <c r="H141" s="5">
        <f t="shared" ca="1" si="38"/>
        <v>3.0000000000001137E-3</v>
      </c>
      <c r="I141" s="5">
        <f t="shared" ca="1" si="39"/>
        <v>8.8495575221242301E-5</v>
      </c>
      <c r="J141" s="10">
        <f t="shared" si="40"/>
        <v>1.158333333333333</v>
      </c>
      <c r="K141" s="12">
        <f t="shared" ca="1" si="41"/>
        <v>1.1585833333333329</v>
      </c>
      <c r="L141" s="5">
        <f t="shared" ca="1" si="42"/>
        <v>2.1582733812937685E-4</v>
      </c>
      <c r="N141">
        <f t="shared" ca="1" si="43"/>
        <v>8.9029999999999987</v>
      </c>
      <c r="O141">
        <f t="shared" ca="1" si="44"/>
        <v>1.0133545000000001E-3</v>
      </c>
      <c r="P141">
        <f t="shared" ca="1" si="45"/>
        <v>1.000222575</v>
      </c>
      <c r="Q141">
        <f t="shared" ca="1" si="46"/>
        <v>1.1578276249713717</v>
      </c>
      <c r="R141">
        <f t="shared" ca="1" si="47"/>
        <v>6175.0806665139826</v>
      </c>
      <c r="S141">
        <f t="shared" ca="1" si="48"/>
        <v>2.232181575610015</v>
      </c>
      <c r="T141">
        <f t="shared" ca="1" si="49"/>
        <v>0</v>
      </c>
      <c r="U141">
        <f t="shared" ca="1" si="50"/>
        <v>6177</v>
      </c>
      <c r="V141">
        <f t="shared" ca="1" si="51"/>
        <v>1.1581874999999999</v>
      </c>
      <c r="X141">
        <f t="shared" ca="1" si="52"/>
        <v>1.1569166447777885</v>
      </c>
    </row>
    <row r="142" spans="5:24" x14ac:dyDescent="0.25">
      <c r="E142">
        <v>140</v>
      </c>
      <c r="F142">
        <f t="shared" si="36"/>
        <v>34</v>
      </c>
      <c r="G142">
        <f t="shared" ca="1" si="37"/>
        <v>34</v>
      </c>
      <c r="H142" s="5">
        <f t="shared" ca="1" si="38"/>
        <v>0</v>
      </c>
      <c r="I142" s="5">
        <f t="shared" ca="1" si="39"/>
        <v>0</v>
      </c>
      <c r="J142" s="10">
        <f t="shared" si="40"/>
        <v>1.1666666666666663</v>
      </c>
      <c r="K142" s="12">
        <f t="shared" ca="1" si="41"/>
        <v>1.1666666666666663</v>
      </c>
      <c r="L142" s="5">
        <f t="shared" ca="1" si="42"/>
        <v>0</v>
      </c>
      <c r="N142">
        <f t="shared" ca="1" si="43"/>
        <v>9</v>
      </c>
      <c r="O142">
        <f t="shared" ca="1" si="44"/>
        <v>1.0135000000000001E-3</v>
      </c>
      <c r="P142">
        <f t="shared" ca="1" si="45"/>
        <v>1.0002249999999999</v>
      </c>
      <c r="Q142">
        <f t="shared" ca="1" si="46"/>
        <v>1.1659154386291661</v>
      </c>
      <c r="R142">
        <f t="shared" ca="1" si="47"/>
        <v>6218.2156726888861</v>
      </c>
      <c r="S142">
        <f t="shared" ca="1" si="48"/>
        <v>2.2458892287561532</v>
      </c>
      <c r="T142">
        <f t="shared" ca="1" si="49"/>
        <v>1</v>
      </c>
      <c r="U142">
        <f t="shared" ca="1" si="50"/>
        <v>6221</v>
      </c>
      <c r="V142">
        <f t="shared" ca="1" si="51"/>
        <v>1.1664375</v>
      </c>
      <c r="X142">
        <f t="shared" ca="1" si="52"/>
        <v>1.1651618385863183</v>
      </c>
    </row>
    <row r="143" spans="5:24" x14ac:dyDescent="0.25">
      <c r="E143">
        <v>141</v>
      </c>
      <c r="F143">
        <f t="shared" si="36"/>
        <v>34.1</v>
      </c>
      <c r="G143">
        <f t="shared" ca="1" si="37"/>
        <v>34.090000000000003</v>
      </c>
      <c r="H143" s="5">
        <f t="shared" ca="1" si="38"/>
        <v>9.9999999999980105E-3</v>
      </c>
      <c r="I143" s="5">
        <f t="shared" ca="1" si="39"/>
        <v>2.9325513196475105E-4</v>
      </c>
      <c r="J143" s="10">
        <f t="shared" si="40"/>
        <v>1.175</v>
      </c>
      <c r="K143" s="12">
        <f t="shared" ca="1" si="41"/>
        <v>1.1741666666666666</v>
      </c>
      <c r="L143" s="5">
        <f t="shared" ca="1" si="42"/>
        <v>7.0921985815613922E-4</v>
      </c>
      <c r="N143">
        <f t="shared" ca="1" si="43"/>
        <v>9.0900000000000034</v>
      </c>
      <c r="O143">
        <f t="shared" ca="1" si="44"/>
        <v>1.0136349999999999E-3</v>
      </c>
      <c r="P143">
        <f t="shared" ca="1" si="45"/>
        <v>1.00022725</v>
      </c>
      <c r="Q143">
        <f t="shared" ca="1" si="46"/>
        <v>1.1734196306931128</v>
      </c>
      <c r="R143">
        <f t="shared" ca="1" si="47"/>
        <v>6258.2380303632681</v>
      </c>
      <c r="S143">
        <f t="shared" ca="1" si="48"/>
        <v>2.2585733815694482</v>
      </c>
      <c r="T143">
        <f t="shared" ca="1" si="49"/>
        <v>2</v>
      </c>
      <c r="U143">
        <f t="shared" ca="1" si="50"/>
        <v>6262</v>
      </c>
      <c r="V143">
        <f t="shared" ca="1" si="51"/>
        <v>1.1741250000000001</v>
      </c>
      <c r="X143">
        <f t="shared" ca="1" si="52"/>
        <v>1.1728448360110164</v>
      </c>
    </row>
    <row r="144" spans="5:24" x14ac:dyDescent="0.25">
      <c r="E144">
        <v>142</v>
      </c>
      <c r="F144">
        <f t="shared" si="36"/>
        <v>34.200000000000003</v>
      </c>
      <c r="G144">
        <f t="shared" ca="1" si="37"/>
        <v>34.207000000000001</v>
      </c>
      <c r="H144" s="5">
        <f t="shared" ca="1" si="38"/>
        <v>6.9999999999978968E-3</v>
      </c>
      <c r="I144" s="5">
        <f t="shared" ca="1" si="39"/>
        <v>2.0467836257303791E-4</v>
      </c>
      <c r="J144" s="10">
        <f t="shared" si="40"/>
        <v>1.1833333333333333</v>
      </c>
      <c r="K144" s="12">
        <f t="shared" ca="1" si="41"/>
        <v>1.1839166666666665</v>
      </c>
      <c r="L144" s="5">
        <f t="shared" ca="1" si="42"/>
        <v>4.9295774647872511E-4</v>
      </c>
      <c r="N144">
        <f t="shared" ca="1" si="43"/>
        <v>9.2070000000000007</v>
      </c>
      <c r="O144">
        <f t="shared" ca="1" si="44"/>
        <v>1.0138104999999999E-3</v>
      </c>
      <c r="P144">
        <f t="shared" ca="1" si="45"/>
        <v>1.000230175</v>
      </c>
      <c r="Q144">
        <f t="shared" ca="1" si="46"/>
        <v>1.1831751308315848</v>
      </c>
      <c r="R144">
        <f t="shared" ca="1" si="47"/>
        <v>6310.2673644351189</v>
      </c>
      <c r="S144">
        <f t="shared" ca="1" si="48"/>
        <v>2.275013123090837</v>
      </c>
      <c r="T144">
        <f t="shared" ca="1" si="49"/>
        <v>1</v>
      </c>
      <c r="U144">
        <f t="shared" ca="1" si="50"/>
        <v>6314</v>
      </c>
      <c r="V144">
        <f t="shared" ca="1" si="51"/>
        <v>1.183875</v>
      </c>
      <c r="X144">
        <f t="shared" ca="1" si="52"/>
        <v>1.1825889870798989</v>
      </c>
    </row>
    <row r="145" spans="5:24" x14ac:dyDescent="0.25">
      <c r="E145">
        <v>143</v>
      </c>
      <c r="F145">
        <f t="shared" si="36"/>
        <v>34.299999999999997</v>
      </c>
      <c r="G145">
        <f t="shared" ca="1" si="37"/>
        <v>34.308</v>
      </c>
      <c r="H145" s="5">
        <f t="shared" ca="1" si="38"/>
        <v>8.0000000000026716E-3</v>
      </c>
      <c r="I145" s="5">
        <f t="shared" ca="1" si="39"/>
        <v>2.3323615160357645E-4</v>
      </c>
      <c r="J145" s="10">
        <f t="shared" si="40"/>
        <v>1.1916666666666662</v>
      </c>
      <c r="K145" s="12">
        <f t="shared" ca="1" si="41"/>
        <v>1.1923333333333332</v>
      </c>
      <c r="L145" s="5">
        <f t="shared" ca="1" si="42"/>
        <v>5.5944055944087071E-4</v>
      </c>
      <c r="N145">
        <f t="shared" ca="1" si="43"/>
        <v>9.3079999999999998</v>
      </c>
      <c r="O145">
        <f t="shared" ca="1" si="44"/>
        <v>1.013962E-3</v>
      </c>
      <c r="P145">
        <f t="shared" ca="1" si="45"/>
        <v>1.0002327</v>
      </c>
      <c r="Q145">
        <f t="shared" ca="1" si="46"/>
        <v>1.1915965913510425</v>
      </c>
      <c r="R145">
        <f t="shared" ca="1" si="47"/>
        <v>6355.1818205388927</v>
      </c>
      <c r="S145">
        <f t="shared" ca="1" si="48"/>
        <v>2.2891592611385487</v>
      </c>
      <c r="T145">
        <f t="shared" ca="1" si="49"/>
        <v>-2</v>
      </c>
      <c r="U145">
        <f t="shared" ca="1" si="50"/>
        <v>6355</v>
      </c>
      <c r="V145">
        <f t="shared" ca="1" si="51"/>
        <v>1.1915625000000001</v>
      </c>
      <c r="X145">
        <f t="shared" ca="1" si="52"/>
        <v>1.1902715618075674</v>
      </c>
    </row>
    <row r="146" spans="5:24" x14ac:dyDescent="0.25">
      <c r="E146">
        <v>144</v>
      </c>
      <c r="F146">
        <f t="shared" si="36"/>
        <v>34.4</v>
      </c>
      <c r="G146">
        <f t="shared" ca="1" si="37"/>
        <v>34.396999999999998</v>
      </c>
      <c r="H146" s="5">
        <f t="shared" ca="1" si="38"/>
        <v>3.0000000000001137E-3</v>
      </c>
      <c r="I146" s="5">
        <f t="shared" ca="1" si="39"/>
        <v>8.7209302325584704E-5</v>
      </c>
      <c r="J146" s="10">
        <f t="shared" si="40"/>
        <v>1.1999999999999995</v>
      </c>
      <c r="K146" s="12">
        <f t="shared" ca="1" si="41"/>
        <v>1.1997499999999997</v>
      </c>
      <c r="L146" s="5">
        <f t="shared" ca="1" si="42"/>
        <v>2.0833333333321796E-4</v>
      </c>
      <c r="N146">
        <f t="shared" ca="1" si="43"/>
        <v>9.3969999999999985</v>
      </c>
      <c r="O146">
        <f t="shared" ca="1" si="44"/>
        <v>1.0140955E-3</v>
      </c>
      <c r="P146">
        <f t="shared" ca="1" si="45"/>
        <v>1.000234925</v>
      </c>
      <c r="Q146">
        <f t="shared" ca="1" si="46"/>
        <v>1.1990175175323643</v>
      </c>
      <c r="R146">
        <f t="shared" ca="1" si="47"/>
        <v>6394.7600935059427</v>
      </c>
      <c r="S146">
        <f t="shared" ca="1" si="48"/>
        <v>2.3015895556101813</v>
      </c>
      <c r="T146">
        <f t="shared" ca="1" si="49"/>
        <v>-2</v>
      </c>
      <c r="U146">
        <f t="shared" ca="1" si="50"/>
        <v>6395</v>
      </c>
      <c r="V146">
        <f t="shared" ca="1" si="51"/>
        <v>1.1990624999999999</v>
      </c>
      <c r="X146">
        <f t="shared" ca="1" si="52"/>
        <v>1.1977670190830418</v>
      </c>
    </row>
    <row r="147" spans="5:24" x14ac:dyDescent="0.25">
      <c r="E147">
        <v>145</v>
      </c>
      <c r="F147">
        <f t="shared" si="36"/>
        <v>34.5</v>
      </c>
      <c r="G147">
        <f t="shared" ca="1" si="37"/>
        <v>34.497999999999998</v>
      </c>
      <c r="H147" s="5">
        <f t="shared" ca="1" si="38"/>
        <v>2.0000000000024443E-3</v>
      </c>
      <c r="I147" s="5">
        <f t="shared" ca="1" si="39"/>
        <v>5.7971014492824473E-5</v>
      </c>
      <c r="J147" s="10">
        <f t="shared" si="40"/>
        <v>1.2083333333333333</v>
      </c>
      <c r="K147" s="12">
        <f t="shared" ca="1" si="41"/>
        <v>1.2081666666666664</v>
      </c>
      <c r="L147" s="5">
        <f t="shared" ca="1" si="42"/>
        <v>1.3793103448292719E-4</v>
      </c>
      <c r="N147">
        <f t="shared" ca="1" si="43"/>
        <v>9.4979999999999976</v>
      </c>
      <c r="O147">
        <f t="shared" ca="1" si="44"/>
        <v>1.014247E-3</v>
      </c>
      <c r="P147">
        <f t="shared" ca="1" si="45"/>
        <v>1.00023745</v>
      </c>
      <c r="Q147">
        <f t="shared" ca="1" si="46"/>
        <v>1.2074390580087162</v>
      </c>
      <c r="R147">
        <f t="shared" ca="1" si="47"/>
        <v>6439.6749760464863</v>
      </c>
      <c r="S147">
        <f t="shared" ca="1" si="48"/>
        <v>2.3156557591563796</v>
      </c>
      <c r="T147">
        <f t="shared" ca="1" si="49"/>
        <v>2</v>
      </c>
      <c r="U147">
        <f t="shared" ca="1" si="50"/>
        <v>6444</v>
      </c>
      <c r="V147">
        <f t="shared" ca="1" si="51"/>
        <v>1.20825</v>
      </c>
      <c r="X147">
        <f t="shared" ca="1" si="52"/>
        <v>1.2069491629212643</v>
      </c>
    </row>
    <row r="148" spans="5:24" x14ac:dyDescent="0.25">
      <c r="E148">
        <v>146</v>
      </c>
      <c r="F148">
        <f t="shared" si="36"/>
        <v>34.6</v>
      </c>
      <c r="G148">
        <f t="shared" ca="1" si="37"/>
        <v>34.594000000000001</v>
      </c>
      <c r="H148" s="5">
        <f t="shared" ca="1" si="38"/>
        <v>6.0000000000002274E-3</v>
      </c>
      <c r="I148" s="5">
        <f t="shared" ca="1" si="39"/>
        <v>1.7341040462428401E-4</v>
      </c>
      <c r="J148" s="10">
        <f t="shared" si="40"/>
        <v>1.2166666666666666</v>
      </c>
      <c r="K148" s="12">
        <f t="shared" ca="1" si="41"/>
        <v>1.2161666666666664</v>
      </c>
      <c r="L148" s="5">
        <f t="shared" ca="1" si="42"/>
        <v>4.1095890410972633E-4</v>
      </c>
      <c r="N148">
        <f t="shared" ca="1" si="43"/>
        <v>9.5940000000000012</v>
      </c>
      <c r="O148">
        <f t="shared" ca="1" si="44"/>
        <v>1.0143910000000001E-3</v>
      </c>
      <c r="P148">
        <f t="shared" ca="1" si="45"/>
        <v>1.00023985</v>
      </c>
      <c r="Q148">
        <f t="shared" ca="1" si="46"/>
        <v>1.2154437299399852</v>
      </c>
      <c r="R148">
        <f t="shared" ca="1" si="47"/>
        <v>6482.366559679921</v>
      </c>
      <c r="S148">
        <f t="shared" ca="1" si="48"/>
        <v>2.3289858822459362</v>
      </c>
      <c r="T148">
        <f t="shared" ca="1" si="49"/>
        <v>-3</v>
      </c>
      <c r="U148">
        <f t="shared" ca="1" si="50"/>
        <v>6482</v>
      </c>
      <c r="V148">
        <f t="shared" ca="1" si="51"/>
        <v>1.2153750000000001</v>
      </c>
      <c r="X148">
        <f t="shared" ca="1" si="52"/>
        <v>1.2140694144509441</v>
      </c>
    </row>
    <row r="149" spans="5:24" x14ac:dyDescent="0.25">
      <c r="E149">
        <v>147</v>
      </c>
      <c r="F149">
        <f t="shared" si="36"/>
        <v>34.700000000000003</v>
      </c>
      <c r="G149">
        <f t="shared" ca="1" si="37"/>
        <v>34.696000000000005</v>
      </c>
      <c r="H149" s="5">
        <f t="shared" ca="1" si="38"/>
        <v>3.9999999999977831E-3</v>
      </c>
      <c r="I149" s="5">
        <f t="shared" ca="1" si="39"/>
        <v>1.1527377521607443E-4</v>
      </c>
      <c r="J149" s="10">
        <f t="shared" si="40"/>
        <v>1.2249999999999999</v>
      </c>
      <c r="K149" s="12">
        <f t="shared" ca="1" si="41"/>
        <v>1.224666666666667</v>
      </c>
      <c r="L149" s="5">
        <f t="shared" ca="1" si="42"/>
        <v>2.7210884353702253E-4</v>
      </c>
      <c r="N149">
        <f t="shared" ca="1" si="43"/>
        <v>9.6960000000000051</v>
      </c>
      <c r="O149">
        <f t="shared" ca="1" si="44"/>
        <v>1.014544E-3</v>
      </c>
      <c r="P149">
        <f t="shared" ca="1" si="45"/>
        <v>1.0002424000000001</v>
      </c>
      <c r="Q149">
        <f t="shared" ca="1" si="46"/>
        <v>1.2239487359412016</v>
      </c>
      <c r="R149">
        <f t="shared" ca="1" si="47"/>
        <v>6527.726591686408</v>
      </c>
      <c r="S149">
        <f t="shared" ca="1" si="48"/>
        <v>2.3431064519553537</v>
      </c>
      <c r="T149">
        <f t="shared" ca="1" si="49"/>
        <v>3</v>
      </c>
      <c r="U149">
        <f t="shared" ca="1" si="50"/>
        <v>6533</v>
      </c>
      <c r="V149">
        <f t="shared" ca="1" si="51"/>
        <v>1.2249375</v>
      </c>
      <c r="X149">
        <f t="shared" ca="1" si="52"/>
        <v>1.2236263489730088</v>
      </c>
    </row>
    <row r="150" spans="5:24" x14ac:dyDescent="0.25">
      <c r="E150">
        <v>148</v>
      </c>
      <c r="F150">
        <f t="shared" si="36"/>
        <v>34.799999999999997</v>
      </c>
      <c r="G150">
        <f t="shared" ca="1" si="37"/>
        <v>34.791999999999994</v>
      </c>
      <c r="H150" s="5">
        <f t="shared" ca="1" si="38"/>
        <v>8.0000000000026716E-3</v>
      </c>
      <c r="I150" s="5">
        <f t="shared" ca="1" si="39"/>
        <v>2.2988505747134115E-4</v>
      </c>
      <c r="J150" s="10">
        <f t="shared" si="40"/>
        <v>1.2333333333333327</v>
      </c>
      <c r="K150" s="12">
        <f t="shared" ca="1" si="41"/>
        <v>1.2326666666666661</v>
      </c>
      <c r="L150" s="5">
        <f t="shared" ca="1" si="42"/>
        <v>5.4054054054048124E-4</v>
      </c>
      <c r="N150">
        <f t="shared" ca="1" si="43"/>
        <v>9.7919999999999945</v>
      </c>
      <c r="O150">
        <f t="shared" ca="1" si="44"/>
        <v>1.0146879999999999E-3</v>
      </c>
      <c r="P150">
        <f t="shared" ca="1" si="45"/>
        <v>1.0002447999999999</v>
      </c>
      <c r="Q150">
        <f t="shared" ca="1" si="46"/>
        <v>1.2319534870710438</v>
      </c>
      <c r="R150">
        <f t="shared" ca="1" si="47"/>
        <v>6570.4185977122333</v>
      </c>
      <c r="S150">
        <f t="shared" ca="1" si="48"/>
        <v>2.3563559898113042</v>
      </c>
      <c r="T150">
        <f t="shared" ca="1" si="49"/>
        <v>0</v>
      </c>
      <c r="U150">
        <f t="shared" ca="1" si="50"/>
        <v>6573</v>
      </c>
      <c r="V150">
        <f t="shared" ca="1" si="51"/>
        <v>1.2324375000000001</v>
      </c>
      <c r="X150">
        <f t="shared" ca="1" si="52"/>
        <v>1.231121433473086</v>
      </c>
    </row>
    <row r="151" spans="5:24" x14ac:dyDescent="0.25">
      <c r="E151">
        <v>149</v>
      </c>
      <c r="F151">
        <f t="shared" si="36"/>
        <v>34.9</v>
      </c>
      <c r="G151">
        <f t="shared" ca="1" si="37"/>
        <v>34.9</v>
      </c>
      <c r="H151" s="5">
        <f t="shared" ca="1" si="38"/>
        <v>0</v>
      </c>
      <c r="I151" s="5">
        <f t="shared" ca="1" si="39"/>
        <v>0</v>
      </c>
      <c r="J151" s="10">
        <f t="shared" si="40"/>
        <v>1.2416666666666665</v>
      </c>
      <c r="K151" s="12">
        <f t="shared" ca="1" si="41"/>
        <v>1.2416666666666665</v>
      </c>
      <c r="L151" s="5">
        <f t="shared" ca="1" si="42"/>
        <v>0</v>
      </c>
      <c r="N151">
        <f t="shared" ca="1" si="43"/>
        <v>9.8999999999999986</v>
      </c>
      <c r="O151">
        <f t="shared" ca="1" si="44"/>
        <v>1.0148500000000001E-3</v>
      </c>
      <c r="P151">
        <f t="shared" ca="1" si="45"/>
        <v>1.0002475</v>
      </c>
      <c r="Q151">
        <f t="shared" ca="1" si="46"/>
        <v>1.2409588779912915</v>
      </c>
      <c r="R151">
        <f t="shared" ca="1" si="47"/>
        <v>6618.4473492868874</v>
      </c>
      <c r="S151">
        <f t="shared" ca="1" si="48"/>
        <v>2.3712145983009916</v>
      </c>
      <c r="T151">
        <f t="shared" ca="1" si="49"/>
        <v>2</v>
      </c>
      <c r="U151">
        <f t="shared" ca="1" si="50"/>
        <v>6623</v>
      </c>
      <c r="V151">
        <f t="shared" ca="1" si="51"/>
        <v>1.2418125</v>
      </c>
      <c r="X151">
        <f t="shared" ca="1" si="52"/>
        <v>1.240490628569429</v>
      </c>
    </row>
    <row r="152" spans="5:24" x14ac:dyDescent="0.25">
      <c r="E152">
        <v>150</v>
      </c>
      <c r="F152">
        <f t="shared" si="36"/>
        <v>35</v>
      </c>
      <c r="G152">
        <f t="shared" ca="1" si="37"/>
        <v>34.994</v>
      </c>
      <c r="H152" s="5">
        <f t="shared" ca="1" si="38"/>
        <v>6.0000000000002274E-3</v>
      </c>
      <c r="I152" s="5">
        <f t="shared" ca="1" si="39"/>
        <v>1.7142857142857793E-4</v>
      </c>
      <c r="J152" s="10">
        <f t="shared" si="40"/>
        <v>1.2499999999999998</v>
      </c>
      <c r="K152" s="12">
        <f t="shared" ca="1" si="41"/>
        <v>1.2494999999999996</v>
      </c>
      <c r="L152" s="5">
        <f t="shared" ca="1" si="42"/>
        <v>4.0000000000013365E-4</v>
      </c>
      <c r="N152">
        <f t="shared" ca="1" si="43"/>
        <v>9.9939999999999998</v>
      </c>
      <c r="O152">
        <f t="shared" ca="1" si="44"/>
        <v>1.014991E-3</v>
      </c>
      <c r="P152">
        <f t="shared" ca="1" si="45"/>
        <v>1.0002498500000001</v>
      </c>
      <c r="Q152">
        <f t="shared" ca="1" si="46"/>
        <v>1.2487969429794985</v>
      </c>
      <c r="R152">
        <f t="shared" ca="1" si="47"/>
        <v>6660.2503625573254</v>
      </c>
      <c r="S152">
        <f t="shared" ca="1" si="48"/>
        <v>2.3841062432526305</v>
      </c>
      <c r="T152">
        <f t="shared" ca="1" si="49"/>
        <v>-1</v>
      </c>
      <c r="U152">
        <f t="shared" ca="1" si="50"/>
        <v>6662</v>
      </c>
      <c r="V152">
        <f t="shared" ca="1" si="51"/>
        <v>1.249125</v>
      </c>
      <c r="X152">
        <f t="shared" ca="1" si="52"/>
        <v>1.247798246608085</v>
      </c>
    </row>
    <row r="153" spans="5:24" x14ac:dyDescent="0.25">
      <c r="E153">
        <v>151</v>
      </c>
      <c r="F153">
        <f t="shared" si="36"/>
        <v>35.1</v>
      </c>
      <c r="G153">
        <f t="shared" ca="1" si="37"/>
        <v>35.094999999999999</v>
      </c>
      <c r="H153" s="5">
        <f t="shared" ca="1" si="38"/>
        <v>5.000000000002558E-3</v>
      </c>
      <c r="I153" s="5">
        <f t="shared" ca="1" si="39"/>
        <v>1.4245014245021533E-4</v>
      </c>
      <c r="J153" s="10">
        <f t="shared" si="40"/>
        <v>1.2583333333333331</v>
      </c>
      <c r="K153" s="12">
        <f t="shared" ca="1" si="41"/>
        <v>1.2579166666666663</v>
      </c>
      <c r="L153" s="5">
        <f t="shared" ca="1" si="42"/>
        <v>3.3112582781462136E-4</v>
      </c>
      <c r="N153">
        <f t="shared" ca="1" si="43"/>
        <v>10.094999999999999</v>
      </c>
      <c r="O153">
        <f t="shared" ca="1" si="44"/>
        <v>1.0151425000000001E-3</v>
      </c>
      <c r="P153">
        <f t="shared" ca="1" si="45"/>
        <v>1.0002523750000001</v>
      </c>
      <c r="Q153">
        <f t="shared" ca="1" si="46"/>
        <v>1.2572187346888279</v>
      </c>
      <c r="R153">
        <f t="shared" ca="1" si="47"/>
        <v>6705.1665850070822</v>
      </c>
      <c r="S153">
        <f t="shared" ca="1" si="48"/>
        <v>2.3979152871520983</v>
      </c>
      <c r="T153">
        <f t="shared" ca="1" si="49"/>
        <v>1</v>
      </c>
      <c r="U153">
        <f t="shared" ca="1" si="50"/>
        <v>6709</v>
      </c>
      <c r="V153">
        <f t="shared" ca="1" si="51"/>
        <v>1.2579374999999999</v>
      </c>
      <c r="X153">
        <f t="shared" ca="1" si="52"/>
        <v>1.2566052217571588</v>
      </c>
    </row>
    <row r="154" spans="5:24" x14ac:dyDescent="0.25">
      <c r="E154">
        <v>152</v>
      </c>
      <c r="F154">
        <f t="shared" si="36"/>
        <v>35.200000000000003</v>
      </c>
      <c r="G154">
        <f t="shared" ca="1" si="37"/>
        <v>35.196000000000005</v>
      </c>
      <c r="H154" s="5">
        <f t="shared" ca="1" si="38"/>
        <v>3.9999999999977831E-3</v>
      </c>
      <c r="I154" s="5">
        <f t="shared" ca="1" si="39"/>
        <v>1.1363636363630064E-4</v>
      </c>
      <c r="J154" s="10">
        <f t="shared" si="40"/>
        <v>1.2666666666666668</v>
      </c>
      <c r="K154" s="12">
        <f t="shared" ca="1" si="41"/>
        <v>1.2663333333333335</v>
      </c>
      <c r="L154" s="5">
        <f t="shared" ca="1" si="42"/>
        <v>2.631578947368131E-4</v>
      </c>
      <c r="N154">
        <f t="shared" ca="1" si="43"/>
        <v>10.196000000000005</v>
      </c>
      <c r="O154">
        <f t="shared" ca="1" si="44"/>
        <v>1.0152939999999999E-3</v>
      </c>
      <c r="P154">
        <f t="shared" ca="1" si="45"/>
        <v>1.0002549000000001</v>
      </c>
      <c r="Q154">
        <f t="shared" ca="1" si="46"/>
        <v>1.2656405689015597</v>
      </c>
      <c r="R154">
        <f t="shared" ca="1" si="47"/>
        <v>6750.0830341416522</v>
      </c>
      <c r="S154">
        <f t="shared" ca="1" si="48"/>
        <v>2.4116799332366901</v>
      </c>
      <c r="T154">
        <f t="shared" ca="1" si="49"/>
        <v>0</v>
      </c>
      <c r="U154">
        <f t="shared" ca="1" si="50"/>
        <v>6752</v>
      </c>
      <c r="V154">
        <f t="shared" ca="1" si="51"/>
        <v>1.266</v>
      </c>
      <c r="X154">
        <f t="shared" ca="1" si="52"/>
        <v>1.2646623435686242</v>
      </c>
    </row>
    <row r="155" spans="5:24" x14ac:dyDescent="0.25">
      <c r="E155">
        <v>153</v>
      </c>
      <c r="F155">
        <f t="shared" si="36"/>
        <v>35.299999999999997</v>
      </c>
      <c r="G155">
        <f t="shared" ca="1" si="37"/>
        <v>35.293999999999997</v>
      </c>
      <c r="H155" s="5">
        <f t="shared" ca="1" si="38"/>
        <v>6.0000000000002274E-3</v>
      </c>
      <c r="I155" s="5">
        <f t="shared" ca="1" si="39"/>
        <v>1.6997167138810843E-4</v>
      </c>
      <c r="J155" s="10">
        <f t="shared" si="40"/>
        <v>1.2749999999999997</v>
      </c>
      <c r="K155" s="12">
        <f t="shared" ca="1" si="41"/>
        <v>1.2744999999999995</v>
      </c>
      <c r="L155" s="5">
        <f t="shared" ca="1" si="42"/>
        <v>3.921568627452291E-4</v>
      </c>
      <c r="N155">
        <f t="shared" ca="1" si="43"/>
        <v>10.293999999999997</v>
      </c>
      <c r="O155">
        <f t="shared" ca="1" si="44"/>
        <v>1.015441E-3</v>
      </c>
      <c r="P155">
        <f t="shared" ca="1" si="45"/>
        <v>1.00025735</v>
      </c>
      <c r="Q155">
        <f t="shared" ca="1" si="46"/>
        <v>1.2738122902512581</v>
      </c>
      <c r="R155">
        <f t="shared" ca="1" si="47"/>
        <v>6793.6655480067093</v>
      </c>
      <c r="S155">
        <f t="shared" ca="1" si="48"/>
        <v>2.4249930469434098</v>
      </c>
      <c r="T155">
        <f t="shared" ca="1" si="49"/>
        <v>-1</v>
      </c>
      <c r="U155">
        <f t="shared" ca="1" si="50"/>
        <v>6795</v>
      </c>
      <c r="V155">
        <f t="shared" ca="1" si="51"/>
        <v>1.2740625000000001</v>
      </c>
      <c r="X155">
        <f t="shared" ca="1" si="52"/>
        <v>1.2727195246303364</v>
      </c>
    </row>
    <row r="156" spans="5:24" x14ac:dyDescent="0.25">
      <c r="E156">
        <v>154</v>
      </c>
      <c r="F156">
        <f t="shared" si="36"/>
        <v>35.4</v>
      </c>
      <c r="G156">
        <f t="shared" ca="1" si="37"/>
        <v>35.391999999999996</v>
      </c>
      <c r="H156" s="5">
        <f t="shared" ca="1" si="38"/>
        <v>8.0000000000026716E-3</v>
      </c>
      <c r="I156" s="5">
        <f t="shared" ca="1" si="39"/>
        <v>2.2598870056504724E-4</v>
      </c>
      <c r="J156" s="10">
        <f t="shared" si="40"/>
        <v>1.283333333333333</v>
      </c>
      <c r="K156" s="12">
        <f t="shared" ca="1" si="41"/>
        <v>1.282666666666666</v>
      </c>
      <c r="L156" s="5">
        <f t="shared" ca="1" si="42"/>
        <v>5.1948051948080842E-4</v>
      </c>
      <c r="N156">
        <f t="shared" ca="1" si="43"/>
        <v>10.391999999999996</v>
      </c>
      <c r="O156">
        <f t="shared" ca="1" si="44"/>
        <v>1.015588E-3</v>
      </c>
      <c r="P156">
        <f t="shared" ca="1" si="45"/>
        <v>1.0002598</v>
      </c>
      <c r="Q156">
        <f t="shared" ca="1" si="46"/>
        <v>1.2819840516169037</v>
      </c>
      <c r="R156">
        <f t="shared" ca="1" si="47"/>
        <v>6837.2482752901524</v>
      </c>
      <c r="S156">
        <f t="shared" ca="1" si="48"/>
        <v>2.4382638871457658</v>
      </c>
      <c r="T156">
        <f t="shared" ca="1" si="49"/>
        <v>-2</v>
      </c>
      <c r="U156">
        <f t="shared" ca="1" si="50"/>
        <v>6838</v>
      </c>
      <c r="V156">
        <f t="shared" ca="1" si="51"/>
        <v>1.282125</v>
      </c>
      <c r="X156">
        <f t="shared" ca="1" si="52"/>
        <v>1.2807766662221154</v>
      </c>
    </row>
    <row r="157" spans="5:24" x14ac:dyDescent="0.25">
      <c r="E157">
        <v>155</v>
      </c>
      <c r="F157">
        <f t="shared" si="36"/>
        <v>35.5</v>
      </c>
      <c r="G157">
        <f t="shared" ca="1" si="37"/>
        <v>35.491999999999997</v>
      </c>
      <c r="H157" s="5">
        <f t="shared" ca="1" si="38"/>
        <v>8.0000000000026716E-3</v>
      </c>
      <c r="I157" s="5">
        <f t="shared" ca="1" si="39"/>
        <v>2.2535211267613159E-4</v>
      </c>
      <c r="J157" s="10">
        <f t="shared" si="40"/>
        <v>1.2916666666666663</v>
      </c>
      <c r="K157" s="12">
        <f t="shared" ca="1" si="41"/>
        <v>1.2909999999999997</v>
      </c>
      <c r="L157" s="5">
        <f t="shared" ca="1" si="42"/>
        <v>5.1612903225800783E-4</v>
      </c>
      <c r="N157">
        <f t="shared" ca="1" si="43"/>
        <v>10.491999999999997</v>
      </c>
      <c r="O157">
        <f t="shared" ca="1" si="44"/>
        <v>1.015738E-3</v>
      </c>
      <c r="P157">
        <f t="shared" ca="1" si="45"/>
        <v>1.0002622999999999</v>
      </c>
      <c r="Q157">
        <f t="shared" ca="1" si="46"/>
        <v>1.2903226248719222</v>
      </c>
      <c r="R157">
        <f t="shared" ca="1" si="47"/>
        <v>6881.7206659835847</v>
      </c>
      <c r="S157">
        <f t="shared" ca="1" si="48"/>
        <v>2.4517617433175936</v>
      </c>
      <c r="T157">
        <f t="shared" ca="1" si="49"/>
        <v>3</v>
      </c>
      <c r="U157">
        <f t="shared" ca="1" si="50"/>
        <v>6887</v>
      </c>
      <c r="V157">
        <f t="shared" ca="1" si="51"/>
        <v>1.2913125000000001</v>
      </c>
      <c r="X157">
        <f t="shared" ca="1" si="52"/>
        <v>1.2899584059101299</v>
      </c>
    </row>
    <row r="158" spans="5:24" x14ac:dyDescent="0.25">
      <c r="E158">
        <v>156</v>
      </c>
      <c r="F158">
        <f t="shared" si="36"/>
        <v>35.6</v>
      </c>
      <c r="G158">
        <f t="shared" ca="1" si="37"/>
        <v>35.597000000000001</v>
      </c>
      <c r="H158" s="5">
        <f t="shared" ca="1" si="38"/>
        <v>3.0000000000001137E-3</v>
      </c>
      <c r="I158" s="5">
        <f t="shared" ca="1" si="39"/>
        <v>8.426966292135151E-5</v>
      </c>
      <c r="J158" s="10">
        <f t="shared" si="40"/>
        <v>1.3</v>
      </c>
      <c r="K158" s="12">
        <f t="shared" ca="1" si="41"/>
        <v>1.2997499999999997</v>
      </c>
      <c r="L158" s="5">
        <f t="shared" ca="1" si="42"/>
        <v>1.9230769230792734E-4</v>
      </c>
      <c r="N158">
        <f t="shared" ca="1" si="43"/>
        <v>10.597000000000001</v>
      </c>
      <c r="O158">
        <f t="shared" ca="1" si="44"/>
        <v>1.0158955000000001E-3</v>
      </c>
      <c r="P158">
        <f t="shared" ca="1" si="45"/>
        <v>1.000264925</v>
      </c>
      <c r="Q158">
        <f t="shared" ca="1" si="46"/>
        <v>1.2990781716326345</v>
      </c>
      <c r="R158">
        <f t="shared" ca="1" si="47"/>
        <v>6928.4169153740504</v>
      </c>
      <c r="S158">
        <f t="shared" ca="1" si="48"/>
        <v>2.4658865899161753</v>
      </c>
      <c r="T158">
        <f t="shared" ca="1" si="49"/>
        <v>0</v>
      </c>
      <c r="U158">
        <f t="shared" ca="1" si="50"/>
        <v>6931</v>
      </c>
      <c r="V158">
        <f t="shared" ca="1" si="51"/>
        <v>1.2995625</v>
      </c>
      <c r="X158">
        <f t="shared" ca="1" si="52"/>
        <v>1.2982026781554896</v>
      </c>
    </row>
    <row r="159" spans="5:24" x14ac:dyDescent="0.25">
      <c r="E159">
        <v>157</v>
      </c>
      <c r="F159">
        <f t="shared" si="36"/>
        <v>35.700000000000003</v>
      </c>
      <c r="G159">
        <f t="shared" ca="1" si="37"/>
        <v>35.691000000000003</v>
      </c>
      <c r="H159" s="5">
        <f t="shared" ca="1" si="38"/>
        <v>9.0000000000003411E-3</v>
      </c>
      <c r="I159" s="5">
        <f t="shared" ca="1" si="39"/>
        <v>2.5210084033614399E-4</v>
      </c>
      <c r="J159" s="10">
        <f t="shared" si="40"/>
        <v>1.3083333333333333</v>
      </c>
      <c r="K159" s="12">
        <f t="shared" ca="1" si="41"/>
        <v>1.3075833333333333</v>
      </c>
      <c r="L159" s="5">
        <f t="shared" ca="1" si="42"/>
        <v>5.7324840764333385E-4</v>
      </c>
      <c r="N159">
        <f t="shared" ca="1" si="43"/>
        <v>10.691000000000003</v>
      </c>
      <c r="O159">
        <f t="shared" ca="1" si="44"/>
        <v>1.0160365000000001E-3</v>
      </c>
      <c r="P159">
        <f t="shared" ca="1" si="45"/>
        <v>1.0002672749999999</v>
      </c>
      <c r="Q159">
        <f t="shared" ca="1" si="46"/>
        <v>1.3069165096075943</v>
      </c>
      <c r="R159">
        <f t="shared" ca="1" si="47"/>
        <v>6970.2213845738361</v>
      </c>
      <c r="S159">
        <f t="shared" ca="1" si="48"/>
        <v>2.4784898331790237</v>
      </c>
      <c r="T159">
        <f t="shared" ca="1" si="49"/>
        <v>-1</v>
      </c>
      <c r="U159">
        <f t="shared" ca="1" si="50"/>
        <v>6972</v>
      </c>
      <c r="V159">
        <f t="shared" ca="1" si="51"/>
        <v>1.30725</v>
      </c>
      <c r="X159">
        <f t="shared" ca="1" si="52"/>
        <v>1.3058849331045046</v>
      </c>
    </row>
    <row r="160" spans="5:24" x14ac:dyDescent="0.25">
      <c r="E160">
        <v>158</v>
      </c>
      <c r="F160">
        <f t="shared" si="36"/>
        <v>35.799999999999997</v>
      </c>
      <c r="G160">
        <f t="shared" ca="1" si="37"/>
        <v>35.806999999999995</v>
      </c>
      <c r="H160" s="5">
        <f t="shared" ca="1" si="38"/>
        <v>6.9999999999978968E-3</v>
      </c>
      <c r="I160" s="5">
        <f t="shared" ca="1" si="39"/>
        <v>1.9553072625692452E-4</v>
      </c>
      <c r="J160" s="10">
        <f t="shared" si="40"/>
        <v>1.3166666666666662</v>
      </c>
      <c r="K160" s="12">
        <f t="shared" ca="1" si="41"/>
        <v>1.3172499999999994</v>
      </c>
      <c r="L160" s="5">
        <f t="shared" ca="1" si="42"/>
        <v>4.4303797468341137E-4</v>
      </c>
      <c r="N160">
        <f t="shared" ca="1" si="43"/>
        <v>10.806999999999995</v>
      </c>
      <c r="O160">
        <f t="shared" ca="1" si="44"/>
        <v>1.0162105E-3</v>
      </c>
      <c r="P160">
        <f t="shared" ca="1" si="45"/>
        <v>1.000270175</v>
      </c>
      <c r="Q160">
        <f t="shared" ca="1" si="46"/>
        <v>1.3165894029640777</v>
      </c>
      <c r="R160">
        <f t="shared" ca="1" si="47"/>
        <v>7021.8101491417474</v>
      </c>
      <c r="S160">
        <f t="shared" ca="1" si="48"/>
        <v>2.493987949928608</v>
      </c>
      <c r="T160">
        <f t="shared" ca="1" si="49"/>
        <v>0</v>
      </c>
      <c r="U160">
        <f t="shared" ca="1" si="50"/>
        <v>7024</v>
      </c>
      <c r="V160">
        <f t="shared" ca="1" si="51"/>
        <v>1.3169999999999999</v>
      </c>
      <c r="X160">
        <f t="shared" ca="1" si="52"/>
        <v>1.3156283396133448</v>
      </c>
    </row>
    <row r="161" spans="5:24" x14ac:dyDescent="0.25">
      <c r="E161">
        <v>159</v>
      </c>
      <c r="F161">
        <f t="shared" si="36"/>
        <v>35.9</v>
      </c>
      <c r="G161">
        <f t="shared" ca="1" si="37"/>
        <v>35.896000000000001</v>
      </c>
      <c r="H161" s="5">
        <f t="shared" ca="1" si="38"/>
        <v>3.9999999999977831E-3</v>
      </c>
      <c r="I161" s="5">
        <f t="shared" ca="1" si="39"/>
        <v>1.1142061281330872E-4</v>
      </c>
      <c r="J161" s="10">
        <f t="shared" si="40"/>
        <v>1.3249999999999995</v>
      </c>
      <c r="K161" s="12">
        <f t="shared" ca="1" si="41"/>
        <v>1.3246666666666667</v>
      </c>
      <c r="L161" s="5">
        <f t="shared" ca="1" si="42"/>
        <v>2.5157232704366237E-4</v>
      </c>
      <c r="N161">
        <f t="shared" ca="1" si="43"/>
        <v>10.896000000000001</v>
      </c>
      <c r="O161">
        <f t="shared" ca="1" si="44"/>
        <v>1.016344E-3</v>
      </c>
      <c r="P161">
        <f t="shared" ca="1" si="45"/>
        <v>1.0002724000000001</v>
      </c>
      <c r="Q161">
        <f t="shared" ca="1" si="46"/>
        <v>1.3240108850145611</v>
      </c>
      <c r="R161">
        <f t="shared" ca="1" si="47"/>
        <v>7061.3913867443262</v>
      </c>
      <c r="S161">
        <f t="shared" ca="1" si="48"/>
        <v>2.5058374648879962</v>
      </c>
      <c r="T161">
        <f t="shared" ca="1" si="49"/>
        <v>1</v>
      </c>
      <c r="U161">
        <f t="shared" ca="1" si="50"/>
        <v>7065</v>
      </c>
      <c r="V161">
        <f t="shared" ca="1" si="51"/>
        <v>1.3246875</v>
      </c>
      <c r="X161">
        <f t="shared" ca="1" si="52"/>
        <v>1.3233106861690875</v>
      </c>
    </row>
    <row r="162" spans="5:24" x14ac:dyDescent="0.25">
      <c r="E162">
        <v>160</v>
      </c>
      <c r="F162">
        <f t="shared" si="36"/>
        <v>36</v>
      </c>
      <c r="G162">
        <f t="shared" ca="1" si="37"/>
        <v>35.997</v>
      </c>
      <c r="H162" s="5">
        <f t="shared" ca="1" si="38"/>
        <v>3.0000000000001137E-3</v>
      </c>
      <c r="I162" s="5">
        <f t="shared" ca="1" si="39"/>
        <v>8.3333333333336488E-5</v>
      </c>
      <c r="J162" s="10">
        <f t="shared" si="40"/>
        <v>1.3333333333333333</v>
      </c>
      <c r="K162" s="12">
        <f t="shared" ca="1" si="41"/>
        <v>1.333083333333333</v>
      </c>
      <c r="L162" s="5">
        <f t="shared" ca="1" si="42"/>
        <v>1.8750000000022915E-4</v>
      </c>
      <c r="N162">
        <f t="shared" ca="1" si="43"/>
        <v>10.997</v>
      </c>
      <c r="O162">
        <f t="shared" ca="1" si="44"/>
        <v>1.0164955E-3</v>
      </c>
      <c r="P162">
        <f t="shared" ca="1" si="45"/>
        <v>1.000274925</v>
      </c>
      <c r="Q162">
        <f t="shared" ca="1" si="46"/>
        <v>1.3324330563087243</v>
      </c>
      <c r="R162">
        <f t="shared" ca="1" si="47"/>
        <v>7106.3096336465296</v>
      </c>
      <c r="S162">
        <f t="shared" ca="1" si="48"/>
        <v>2.5192410099783733</v>
      </c>
      <c r="T162">
        <f t="shared" ca="1" si="49"/>
        <v>0</v>
      </c>
      <c r="U162">
        <f t="shared" ca="1" si="50"/>
        <v>7109</v>
      </c>
      <c r="V162">
        <f t="shared" ca="1" si="51"/>
        <v>1.3329375000000001</v>
      </c>
      <c r="X162">
        <f t="shared" ca="1" si="52"/>
        <v>1.3315549267617601</v>
      </c>
    </row>
    <row r="163" spans="5:24" x14ac:dyDescent="0.25">
      <c r="E163">
        <v>161</v>
      </c>
      <c r="F163">
        <f t="shared" si="36"/>
        <v>36.1</v>
      </c>
      <c r="G163">
        <f t="shared" ca="1" si="37"/>
        <v>36.11</v>
      </c>
      <c r="H163" s="5">
        <f t="shared" ca="1" si="38"/>
        <v>9.9999999999980105E-3</v>
      </c>
      <c r="I163" s="5">
        <f t="shared" ca="1" si="39"/>
        <v>2.7700831024925237E-4</v>
      </c>
      <c r="J163" s="10">
        <f t="shared" si="40"/>
        <v>1.3416666666666666</v>
      </c>
      <c r="K163" s="12">
        <f t="shared" ca="1" si="41"/>
        <v>1.3424999999999996</v>
      </c>
      <c r="L163" s="5">
        <f t="shared" ca="1" si="42"/>
        <v>6.2111801242212641E-4</v>
      </c>
      <c r="N163">
        <f t="shared" ca="1" si="43"/>
        <v>11.11</v>
      </c>
      <c r="O163">
        <f t="shared" ca="1" si="44"/>
        <v>1.0166649999999999E-3</v>
      </c>
      <c r="P163">
        <f t="shared" ca="1" si="45"/>
        <v>1.00027775</v>
      </c>
      <c r="Q163">
        <f t="shared" ca="1" si="46"/>
        <v>1.3418559319962957</v>
      </c>
      <c r="R163">
        <f t="shared" ca="1" si="47"/>
        <v>7156.5649706469103</v>
      </c>
      <c r="S163">
        <f t="shared" ca="1" si="48"/>
        <v>2.5341817459780693</v>
      </c>
      <c r="T163">
        <f t="shared" ca="1" si="49"/>
        <v>3</v>
      </c>
      <c r="U163">
        <f t="shared" ca="1" si="50"/>
        <v>7162</v>
      </c>
      <c r="V163">
        <f t="shared" ca="1" si="51"/>
        <v>1.342875</v>
      </c>
      <c r="X163">
        <f t="shared" ca="1" si="52"/>
        <v>1.3414857373364548</v>
      </c>
    </row>
    <row r="164" spans="5:24" x14ac:dyDescent="0.25">
      <c r="E164">
        <v>162</v>
      </c>
      <c r="F164">
        <f t="shared" si="36"/>
        <v>36.200000000000003</v>
      </c>
      <c r="G164">
        <f t="shared" ca="1" si="37"/>
        <v>36.207000000000001</v>
      </c>
      <c r="H164" s="5">
        <f t="shared" ca="1" si="38"/>
        <v>6.9999999999978968E-3</v>
      </c>
      <c r="I164" s="5">
        <f t="shared" ca="1" si="39"/>
        <v>1.9337016574579824E-4</v>
      </c>
      <c r="J164" s="10">
        <f t="shared" si="40"/>
        <v>1.3499999999999999</v>
      </c>
      <c r="K164" s="12">
        <f t="shared" ca="1" si="41"/>
        <v>1.350583333333333</v>
      </c>
      <c r="L164" s="5">
        <f t="shared" ca="1" si="42"/>
        <v>4.3209876543196896E-4</v>
      </c>
      <c r="N164">
        <f t="shared" ca="1" si="43"/>
        <v>11.207000000000001</v>
      </c>
      <c r="O164">
        <f t="shared" ca="1" si="44"/>
        <v>1.0168105000000001E-3</v>
      </c>
      <c r="P164">
        <f t="shared" ca="1" si="45"/>
        <v>1.0002801750000001</v>
      </c>
      <c r="Q164">
        <f t="shared" ca="1" si="46"/>
        <v>1.3499446376338682</v>
      </c>
      <c r="R164">
        <f t="shared" ca="1" si="47"/>
        <v>7199.7047340472973</v>
      </c>
      <c r="S164">
        <f t="shared" ca="1" si="48"/>
        <v>2.5469601343706652</v>
      </c>
      <c r="T164">
        <f t="shared" ca="1" si="49"/>
        <v>-2</v>
      </c>
      <c r="U164">
        <f t="shared" ca="1" si="50"/>
        <v>7200</v>
      </c>
      <c r="V164">
        <f t="shared" ca="1" si="51"/>
        <v>1.35</v>
      </c>
      <c r="X164">
        <f t="shared" ca="1" si="52"/>
        <v>1.3486053439977455</v>
      </c>
    </row>
    <row r="165" spans="5:24" x14ac:dyDescent="0.25">
      <c r="E165">
        <v>163</v>
      </c>
      <c r="F165">
        <f t="shared" si="36"/>
        <v>36.299999999999997</v>
      </c>
      <c r="G165">
        <f t="shared" ca="1" si="37"/>
        <v>36.294999999999995</v>
      </c>
      <c r="H165" s="5">
        <f t="shared" ca="1" si="38"/>
        <v>5.000000000002558E-3</v>
      </c>
      <c r="I165" s="5">
        <f t="shared" ca="1" si="39"/>
        <v>1.3774104683202641E-4</v>
      </c>
      <c r="J165" s="10">
        <f t="shared" si="40"/>
        <v>1.3583333333333327</v>
      </c>
      <c r="K165" s="12">
        <f t="shared" ca="1" si="41"/>
        <v>1.357916666666666</v>
      </c>
      <c r="L165" s="5">
        <f t="shared" ca="1" si="42"/>
        <v>3.0674846625771681E-4</v>
      </c>
      <c r="N165">
        <f t="shared" ca="1" si="43"/>
        <v>11.294999999999995</v>
      </c>
      <c r="O165">
        <f t="shared" ca="1" si="44"/>
        <v>1.0169425E-3</v>
      </c>
      <c r="P165">
        <f t="shared" ca="1" si="45"/>
        <v>1.0002823750000001</v>
      </c>
      <c r="Q165">
        <f t="shared" ca="1" si="46"/>
        <v>1.3572828787262776</v>
      </c>
      <c r="R165">
        <f t="shared" ca="1" si="47"/>
        <v>7238.8420198734802</v>
      </c>
      <c r="S165">
        <f t="shared" ca="1" si="48"/>
        <v>2.5585152655019381</v>
      </c>
      <c r="T165">
        <f t="shared" ca="1" si="49"/>
        <v>-1</v>
      </c>
      <c r="U165">
        <f t="shared" ca="1" si="50"/>
        <v>7240</v>
      </c>
      <c r="V165">
        <f t="shared" ca="1" si="51"/>
        <v>1.3574999999999999</v>
      </c>
      <c r="X165">
        <f t="shared" ca="1" si="52"/>
        <v>1.3561001287261509</v>
      </c>
    </row>
    <row r="166" spans="5:24" x14ac:dyDescent="0.25">
      <c r="E166">
        <v>164</v>
      </c>
      <c r="F166">
        <f t="shared" si="36"/>
        <v>36.400000000000006</v>
      </c>
      <c r="G166">
        <f t="shared" ca="1" si="37"/>
        <v>36.403000000000006</v>
      </c>
      <c r="H166" s="5">
        <f t="shared" ca="1" si="38"/>
        <v>3.0000000000001137E-3</v>
      </c>
      <c r="I166" s="5">
        <f t="shared" ca="1" si="39"/>
        <v>8.2417582417585535E-5</v>
      </c>
      <c r="J166" s="10">
        <f t="shared" si="40"/>
        <v>1.3666666666666669</v>
      </c>
      <c r="K166" s="12">
        <f t="shared" ca="1" si="41"/>
        <v>1.3669166666666668</v>
      </c>
      <c r="L166" s="5">
        <f t="shared" ca="1" si="42"/>
        <v>1.8292682926819126E-4</v>
      </c>
      <c r="N166">
        <f t="shared" ca="1" si="43"/>
        <v>11.403000000000006</v>
      </c>
      <c r="O166">
        <f t="shared" ca="1" si="44"/>
        <v>1.0171045E-3</v>
      </c>
      <c r="P166">
        <f t="shared" ca="1" si="45"/>
        <v>1.0002850750000001</v>
      </c>
      <c r="Q166">
        <f t="shared" ca="1" si="46"/>
        <v>1.3662889459843515</v>
      </c>
      <c r="R166">
        <f t="shared" ca="1" si="47"/>
        <v>7286.8743785832075</v>
      </c>
      <c r="S166">
        <f t="shared" ca="1" si="48"/>
        <v>2.5726473824062159</v>
      </c>
      <c r="T166">
        <f t="shared" ca="1" si="49"/>
        <v>3</v>
      </c>
      <c r="U166">
        <f t="shared" ca="1" si="50"/>
        <v>7292</v>
      </c>
      <c r="V166">
        <f t="shared" ca="1" si="51"/>
        <v>1.3672500000000001</v>
      </c>
      <c r="X166">
        <f t="shared" ca="1" si="52"/>
        <v>1.3658435276563532</v>
      </c>
    </row>
    <row r="167" spans="5:24" x14ac:dyDescent="0.25">
      <c r="E167">
        <v>165</v>
      </c>
      <c r="F167">
        <f t="shared" si="36"/>
        <v>36.5</v>
      </c>
      <c r="G167">
        <f t="shared" ca="1" si="37"/>
        <v>36.51</v>
      </c>
      <c r="H167" s="5">
        <f t="shared" ca="1" si="38"/>
        <v>9.9999999999980105E-3</v>
      </c>
      <c r="I167" s="5">
        <f t="shared" ca="1" si="39"/>
        <v>2.7397260273967153E-4</v>
      </c>
      <c r="J167" s="10">
        <f t="shared" si="40"/>
        <v>1.3749999999999998</v>
      </c>
      <c r="K167" s="12">
        <f t="shared" ca="1" si="41"/>
        <v>1.3758333333333328</v>
      </c>
      <c r="L167" s="5">
        <f t="shared" ca="1" si="42"/>
        <v>6.0606060606037794E-4</v>
      </c>
      <c r="N167">
        <f t="shared" ca="1" si="43"/>
        <v>11.509999999999998</v>
      </c>
      <c r="O167">
        <f t="shared" ca="1" si="44"/>
        <v>1.0172650000000001E-3</v>
      </c>
      <c r="P167">
        <f t="shared" ca="1" si="45"/>
        <v>1.00028775</v>
      </c>
      <c r="Q167">
        <f t="shared" ca="1" si="46"/>
        <v>1.3752116716569958</v>
      </c>
      <c r="R167">
        <f t="shared" ca="1" si="47"/>
        <v>7334.4622488373107</v>
      </c>
      <c r="S167">
        <f t="shared" ca="1" si="48"/>
        <v>2.5865949208610588</v>
      </c>
      <c r="T167">
        <f t="shared" ca="1" si="49"/>
        <v>-2</v>
      </c>
      <c r="U167">
        <f t="shared" ca="1" si="50"/>
        <v>7335</v>
      </c>
      <c r="V167">
        <f t="shared" ca="1" si="51"/>
        <v>1.3753124999999999</v>
      </c>
      <c r="X167">
        <f t="shared" ca="1" si="52"/>
        <v>1.3738998953051258</v>
      </c>
    </row>
    <row r="168" spans="5:24" x14ac:dyDescent="0.25">
      <c r="E168">
        <v>166</v>
      </c>
      <c r="F168">
        <f t="shared" si="36"/>
        <v>36.6</v>
      </c>
      <c r="G168">
        <f t="shared" ca="1" si="37"/>
        <v>36.591999999999999</v>
      </c>
      <c r="H168" s="5">
        <f t="shared" ca="1" si="38"/>
        <v>8.0000000000026716E-3</v>
      </c>
      <c r="I168" s="5">
        <f t="shared" ca="1" si="39"/>
        <v>2.1857923497275059E-4</v>
      </c>
      <c r="J168" s="10">
        <f t="shared" si="40"/>
        <v>1.3833333333333331</v>
      </c>
      <c r="K168" s="12">
        <f t="shared" ca="1" si="41"/>
        <v>1.3826666666666665</v>
      </c>
      <c r="L168" s="5">
        <f t="shared" ca="1" si="42"/>
        <v>4.8192771084332051E-4</v>
      </c>
      <c r="N168">
        <f t="shared" ca="1" si="43"/>
        <v>11.591999999999999</v>
      </c>
      <c r="O168">
        <f t="shared" ca="1" si="44"/>
        <v>1.0173879999999999E-3</v>
      </c>
      <c r="P168">
        <f t="shared" ca="1" si="45"/>
        <v>1.0002898</v>
      </c>
      <c r="Q168">
        <f t="shared" ca="1" si="46"/>
        <v>1.3820496806276241</v>
      </c>
      <c r="R168">
        <f t="shared" ca="1" si="47"/>
        <v>7370.9316300139953</v>
      </c>
      <c r="S168">
        <f t="shared" ca="1" si="48"/>
        <v>2.5972473124715121</v>
      </c>
      <c r="T168">
        <f t="shared" ca="1" si="49"/>
        <v>0</v>
      </c>
      <c r="U168">
        <f t="shared" ca="1" si="50"/>
        <v>7374</v>
      </c>
      <c r="V168">
        <f t="shared" ca="1" si="51"/>
        <v>1.382625</v>
      </c>
      <c r="X168">
        <f t="shared" ca="1" si="52"/>
        <v>1.3812073381134147</v>
      </c>
    </row>
    <row r="169" spans="5:24" x14ac:dyDescent="0.25">
      <c r="E169">
        <v>167</v>
      </c>
      <c r="F169">
        <f t="shared" si="36"/>
        <v>36.700000000000003</v>
      </c>
      <c r="G169">
        <f t="shared" ca="1" si="37"/>
        <v>36.708000000000006</v>
      </c>
      <c r="H169" s="5">
        <f t="shared" ca="1" si="38"/>
        <v>8.0000000000026716E-3</v>
      </c>
      <c r="I169" s="5">
        <f t="shared" ca="1" si="39"/>
        <v>2.1798365122623081E-4</v>
      </c>
      <c r="J169" s="10">
        <f t="shared" si="40"/>
        <v>1.3916666666666668</v>
      </c>
      <c r="K169" s="12">
        <f t="shared" ca="1" si="41"/>
        <v>1.3923333333333334</v>
      </c>
      <c r="L169" s="5">
        <f t="shared" ca="1" si="42"/>
        <v>4.7904191616761186E-4</v>
      </c>
      <c r="N169">
        <f t="shared" ca="1" si="43"/>
        <v>11.708000000000006</v>
      </c>
      <c r="O169">
        <f t="shared" ca="1" si="44"/>
        <v>1.0175620000000001E-3</v>
      </c>
      <c r="P169">
        <f t="shared" ca="1" si="45"/>
        <v>1.0002926999999999</v>
      </c>
      <c r="Q169">
        <f t="shared" ca="1" si="46"/>
        <v>1.3917230094596027</v>
      </c>
      <c r="R169">
        <f t="shared" ca="1" si="47"/>
        <v>7422.5227171178813</v>
      </c>
      <c r="S169">
        <f t="shared" ca="1" si="48"/>
        <v>2.6122623634098496</v>
      </c>
      <c r="T169">
        <f t="shared" ca="1" si="49"/>
        <v>-2</v>
      </c>
      <c r="U169">
        <f t="shared" ca="1" si="50"/>
        <v>7423</v>
      </c>
      <c r="V169">
        <f t="shared" ca="1" si="51"/>
        <v>1.3918125000000001</v>
      </c>
      <c r="X169">
        <f t="shared" ca="1" si="52"/>
        <v>1.3903879714407597</v>
      </c>
    </row>
    <row r="170" spans="5:24" x14ac:dyDescent="0.25">
      <c r="E170">
        <v>168</v>
      </c>
      <c r="F170">
        <f t="shared" si="36"/>
        <v>36.799999999999997</v>
      </c>
      <c r="G170">
        <f t="shared" ca="1" si="37"/>
        <v>36.805</v>
      </c>
      <c r="H170" s="5">
        <f t="shared" ca="1" si="38"/>
        <v>5.000000000002558E-3</v>
      </c>
      <c r="I170" s="5">
        <f t="shared" ca="1" si="39"/>
        <v>1.3586956521746083E-4</v>
      </c>
      <c r="J170" s="10">
        <f t="shared" si="40"/>
        <v>1.3999999999999997</v>
      </c>
      <c r="K170" s="12">
        <f t="shared" ca="1" si="41"/>
        <v>1.4004166666666664</v>
      </c>
      <c r="L170" s="5">
        <f t="shared" ca="1" si="42"/>
        <v>2.9761904761909421E-4</v>
      </c>
      <c r="N170">
        <f t="shared" ca="1" si="43"/>
        <v>11.805</v>
      </c>
      <c r="O170">
        <f t="shared" ca="1" si="44"/>
        <v>1.0177075E-3</v>
      </c>
      <c r="P170">
        <f t="shared" ca="1" si="45"/>
        <v>1.0002951250000001</v>
      </c>
      <c r="Q170">
        <f t="shared" ca="1" si="46"/>
        <v>1.3998119567844907</v>
      </c>
      <c r="R170">
        <f t="shared" ca="1" si="47"/>
        <v>7465.6637695172831</v>
      </c>
      <c r="S170">
        <f t="shared" ca="1" si="48"/>
        <v>2.6247690694859531</v>
      </c>
      <c r="T170">
        <f t="shared" ca="1" si="49"/>
        <v>3</v>
      </c>
      <c r="U170">
        <f t="shared" ca="1" si="50"/>
        <v>7471</v>
      </c>
      <c r="V170">
        <f t="shared" ca="1" si="51"/>
        <v>1.4008125</v>
      </c>
      <c r="X170">
        <f t="shared" ca="1" si="52"/>
        <v>1.3993817999462907</v>
      </c>
    </row>
    <row r="171" spans="5:24" x14ac:dyDescent="0.25">
      <c r="E171">
        <v>169</v>
      </c>
      <c r="F171">
        <f t="shared" si="36"/>
        <v>36.900000000000006</v>
      </c>
      <c r="G171">
        <f t="shared" ca="1" si="37"/>
        <v>36.897000000000006</v>
      </c>
      <c r="H171" s="5">
        <f t="shared" ca="1" si="38"/>
        <v>3.0000000000001137E-3</v>
      </c>
      <c r="I171" s="5">
        <f t="shared" ca="1" si="39"/>
        <v>8.1300813008133144E-5</v>
      </c>
      <c r="J171" s="10">
        <f t="shared" si="40"/>
        <v>1.4083333333333334</v>
      </c>
      <c r="K171" s="12">
        <f t="shared" ca="1" si="41"/>
        <v>1.4080833333333336</v>
      </c>
      <c r="L171" s="5">
        <f t="shared" ca="1" si="42"/>
        <v>1.7751479289930988E-4</v>
      </c>
      <c r="N171">
        <f t="shared" ca="1" si="43"/>
        <v>11.897000000000006</v>
      </c>
      <c r="O171">
        <f t="shared" ca="1" si="44"/>
        <v>1.0178455E-3</v>
      </c>
      <c r="P171">
        <f t="shared" ca="1" si="45"/>
        <v>1.0002974250000001</v>
      </c>
      <c r="Q171">
        <f t="shared" ca="1" si="46"/>
        <v>1.4074839842860525</v>
      </c>
      <c r="R171">
        <f t="shared" ca="1" si="47"/>
        <v>7506.5812495256132</v>
      </c>
      <c r="S171">
        <f t="shared" ca="1" si="48"/>
        <v>2.6365896686601116</v>
      </c>
      <c r="T171">
        <f t="shared" ca="1" si="49"/>
        <v>3</v>
      </c>
      <c r="U171">
        <f t="shared" ca="1" si="50"/>
        <v>7512</v>
      </c>
      <c r="V171">
        <f t="shared" ca="1" si="51"/>
        <v>1.4085000000000001</v>
      </c>
      <c r="X171">
        <f t="shared" ca="1" si="52"/>
        <v>1.4070636585913434</v>
      </c>
    </row>
    <row r="172" spans="5:24" x14ac:dyDescent="0.25">
      <c r="E172">
        <v>170</v>
      </c>
      <c r="F172">
        <f t="shared" si="36"/>
        <v>37</v>
      </c>
      <c r="G172">
        <f t="shared" ca="1" si="37"/>
        <v>36.999000000000002</v>
      </c>
      <c r="H172" s="5">
        <f t="shared" ca="1" si="38"/>
        <v>9.9999999999766942E-4</v>
      </c>
      <c r="I172" s="5">
        <f t="shared" ca="1" si="39"/>
        <v>2.7027027026964038E-5</v>
      </c>
      <c r="J172" s="10">
        <f t="shared" si="40"/>
        <v>1.4166666666666663</v>
      </c>
      <c r="K172" s="12">
        <f t="shared" ca="1" si="41"/>
        <v>1.4165833333333333</v>
      </c>
      <c r="L172" s="5">
        <f t="shared" ca="1" si="42"/>
        <v>5.8823529411523134E-5</v>
      </c>
      <c r="N172">
        <f t="shared" ca="1" si="43"/>
        <v>11.999000000000002</v>
      </c>
      <c r="O172">
        <f t="shared" ca="1" si="44"/>
        <v>1.0179984999999999E-3</v>
      </c>
      <c r="P172">
        <f t="shared" ca="1" si="45"/>
        <v>1.0002999749999999</v>
      </c>
      <c r="Q172">
        <f t="shared" ca="1" si="46"/>
        <v>1.4159899690446498</v>
      </c>
      <c r="R172">
        <f t="shared" ca="1" si="47"/>
        <v>7551.9465015714659</v>
      </c>
      <c r="S172">
        <f t="shared" ca="1" si="48"/>
        <v>2.6496477407511096</v>
      </c>
      <c r="T172">
        <f t="shared" ca="1" si="49"/>
        <v>3</v>
      </c>
      <c r="U172">
        <f t="shared" ca="1" si="50"/>
        <v>7558</v>
      </c>
      <c r="V172">
        <f t="shared" ca="1" si="51"/>
        <v>1.417125</v>
      </c>
      <c r="X172">
        <f t="shared" ca="1" si="52"/>
        <v>1.4156823321924006</v>
      </c>
    </row>
    <row r="173" spans="5:24" x14ac:dyDescent="0.25">
      <c r="E173">
        <v>171</v>
      </c>
      <c r="F173">
        <f t="shared" si="36"/>
        <v>37.1</v>
      </c>
      <c r="G173">
        <f t="shared" ca="1" si="37"/>
        <v>37.090000000000003</v>
      </c>
      <c r="H173" s="5">
        <f t="shared" ca="1" si="38"/>
        <v>9.9999999999980105E-3</v>
      </c>
      <c r="I173" s="5">
        <f t="shared" ca="1" si="39"/>
        <v>2.695417789756876E-4</v>
      </c>
      <c r="J173" s="10">
        <f t="shared" si="40"/>
        <v>1.425</v>
      </c>
      <c r="K173" s="12">
        <f t="shared" ca="1" si="41"/>
        <v>1.4241666666666666</v>
      </c>
      <c r="L173" s="5">
        <f t="shared" ca="1" si="42"/>
        <v>5.8479532163751831E-4</v>
      </c>
      <c r="N173">
        <f t="shared" ca="1" si="43"/>
        <v>12.090000000000003</v>
      </c>
      <c r="O173">
        <f t="shared" ca="1" si="44"/>
        <v>1.0181350000000001E-3</v>
      </c>
      <c r="P173">
        <f t="shared" ca="1" si="45"/>
        <v>1.0003022500000001</v>
      </c>
      <c r="Q173">
        <f t="shared" ca="1" si="46"/>
        <v>1.4235786783103628</v>
      </c>
      <c r="R173">
        <f t="shared" ca="1" si="47"/>
        <v>7592.4196176552678</v>
      </c>
      <c r="S173">
        <f t="shared" ca="1" si="48"/>
        <v>2.6612553466875273</v>
      </c>
      <c r="T173">
        <f t="shared" ca="1" si="49"/>
        <v>3</v>
      </c>
      <c r="U173">
        <f t="shared" ca="1" si="50"/>
        <v>7598</v>
      </c>
      <c r="V173">
        <f t="shared" ca="1" si="51"/>
        <v>1.424625</v>
      </c>
      <c r="X173">
        <f t="shared" ca="1" si="52"/>
        <v>1.423176709839451</v>
      </c>
    </row>
    <row r="174" spans="5:24" x14ac:dyDescent="0.25">
      <c r="E174">
        <v>172</v>
      </c>
      <c r="F174">
        <f t="shared" si="36"/>
        <v>37.200000000000003</v>
      </c>
      <c r="G174">
        <f t="shared" ca="1" si="37"/>
        <v>37.207000000000001</v>
      </c>
      <c r="H174" s="5">
        <f t="shared" ca="1" si="38"/>
        <v>6.9999999999978968E-3</v>
      </c>
      <c r="I174" s="5">
        <f t="shared" ca="1" si="39"/>
        <v>1.8817204301069615E-4</v>
      </c>
      <c r="J174" s="10">
        <f t="shared" si="40"/>
        <v>1.4333333333333333</v>
      </c>
      <c r="K174" s="12">
        <f t="shared" ca="1" si="41"/>
        <v>1.4339166666666665</v>
      </c>
      <c r="L174" s="5">
        <f t="shared" ca="1" si="42"/>
        <v>4.0697674418592423E-4</v>
      </c>
      <c r="N174">
        <f t="shared" ca="1" si="43"/>
        <v>12.207000000000001</v>
      </c>
      <c r="O174">
        <f t="shared" ca="1" si="44"/>
        <v>1.0183105000000001E-3</v>
      </c>
      <c r="P174">
        <f t="shared" ca="1" si="45"/>
        <v>1.000305175</v>
      </c>
      <c r="Q174">
        <f t="shared" ca="1" si="46"/>
        <v>1.4333356409225098</v>
      </c>
      <c r="R174">
        <f t="shared" ca="1" si="47"/>
        <v>7644.4567515867184</v>
      </c>
      <c r="S174">
        <f t="shared" ca="1" si="48"/>
        <v>2.676120585801113</v>
      </c>
      <c r="T174">
        <f t="shared" ca="1" si="49"/>
        <v>0</v>
      </c>
      <c r="U174">
        <f t="shared" ca="1" si="50"/>
        <v>7647</v>
      </c>
      <c r="V174">
        <f t="shared" ca="1" si="51"/>
        <v>1.4338124999999999</v>
      </c>
      <c r="X174">
        <f t="shared" ca="1" si="52"/>
        <v>1.4323570699311836</v>
      </c>
    </row>
    <row r="175" spans="5:24" x14ac:dyDescent="0.25">
      <c r="E175">
        <v>173</v>
      </c>
      <c r="F175">
        <f t="shared" si="36"/>
        <v>37.299999999999997</v>
      </c>
      <c r="G175">
        <f t="shared" ca="1" si="37"/>
        <v>37.308999999999997</v>
      </c>
      <c r="H175" s="5">
        <f t="shared" ca="1" si="38"/>
        <v>9.0000000000003411E-3</v>
      </c>
      <c r="I175" s="5">
        <f t="shared" ca="1" si="39"/>
        <v>2.4128686327078665E-4</v>
      </c>
      <c r="J175" s="10">
        <f t="shared" si="40"/>
        <v>1.4416666666666662</v>
      </c>
      <c r="K175" s="12">
        <f t="shared" ca="1" si="41"/>
        <v>1.4424166666666662</v>
      </c>
      <c r="L175" s="5">
        <f t="shared" ca="1" si="42"/>
        <v>5.2023121387285228E-4</v>
      </c>
      <c r="N175">
        <f t="shared" ca="1" si="43"/>
        <v>12.308999999999997</v>
      </c>
      <c r="O175">
        <f t="shared" ca="1" si="44"/>
        <v>1.0184635E-3</v>
      </c>
      <c r="P175">
        <f t="shared" ca="1" si="45"/>
        <v>1.0003077250000001</v>
      </c>
      <c r="Q175">
        <f t="shared" ca="1" si="46"/>
        <v>1.4418417574287359</v>
      </c>
      <c r="R175">
        <f t="shared" ca="1" si="47"/>
        <v>7689.8227062865908</v>
      </c>
      <c r="S175">
        <f t="shared" ca="1" si="48"/>
        <v>2.6890257615551278</v>
      </c>
      <c r="T175">
        <f t="shared" ca="1" si="49"/>
        <v>2</v>
      </c>
      <c r="U175">
        <f t="shared" ca="1" si="50"/>
        <v>7695</v>
      </c>
      <c r="V175">
        <f t="shared" ca="1" si="51"/>
        <v>1.4428125000000001</v>
      </c>
      <c r="X175">
        <f t="shared" ca="1" si="52"/>
        <v>1.4413504969183357</v>
      </c>
    </row>
    <row r="176" spans="5:24" x14ac:dyDescent="0.25">
      <c r="E176">
        <v>174</v>
      </c>
      <c r="F176">
        <f t="shared" si="36"/>
        <v>37.400000000000006</v>
      </c>
      <c r="G176">
        <f t="shared" ca="1" si="37"/>
        <v>37.393000000000008</v>
      </c>
      <c r="H176" s="5">
        <f t="shared" ca="1" si="38"/>
        <v>6.9999999999978968E-3</v>
      </c>
      <c r="I176" s="5">
        <f t="shared" ca="1" si="39"/>
        <v>1.8716577540101324E-4</v>
      </c>
      <c r="J176" s="10">
        <f t="shared" si="40"/>
        <v>1.4500000000000004</v>
      </c>
      <c r="K176" s="12">
        <f t="shared" ca="1" si="41"/>
        <v>1.4494166666666672</v>
      </c>
      <c r="L176" s="5">
        <f t="shared" ca="1" si="42"/>
        <v>4.0229885057459165E-4</v>
      </c>
      <c r="N176">
        <f t="shared" ca="1" si="43"/>
        <v>12.393000000000008</v>
      </c>
      <c r="O176">
        <f t="shared" ca="1" si="44"/>
        <v>1.0185895E-3</v>
      </c>
      <c r="P176">
        <f t="shared" ca="1" si="45"/>
        <v>1.000309825</v>
      </c>
      <c r="Q176">
        <f t="shared" ca="1" si="46"/>
        <v>1.4488468271009256</v>
      </c>
      <c r="R176">
        <f t="shared" ca="1" si="47"/>
        <v>7727.183077871603</v>
      </c>
      <c r="S176">
        <f t="shared" ca="1" si="48"/>
        <v>2.6996154173826921</v>
      </c>
      <c r="T176">
        <f t="shared" ca="1" si="49"/>
        <v>2</v>
      </c>
      <c r="U176">
        <f t="shared" ca="1" si="50"/>
        <v>7732</v>
      </c>
      <c r="V176">
        <f t="shared" ca="1" si="51"/>
        <v>1.4497500000000001</v>
      </c>
      <c r="X176">
        <f t="shared" ca="1" si="52"/>
        <v>1.4482826963136148</v>
      </c>
    </row>
    <row r="177" spans="5:24" x14ac:dyDescent="0.25">
      <c r="E177">
        <v>175</v>
      </c>
      <c r="F177">
        <f t="shared" si="36"/>
        <v>37.5</v>
      </c>
      <c r="G177">
        <f t="shared" ca="1" si="37"/>
        <v>37.505000000000003</v>
      </c>
      <c r="H177" s="5">
        <f t="shared" ca="1" si="38"/>
        <v>5.000000000002558E-3</v>
      </c>
      <c r="I177" s="5">
        <f t="shared" ca="1" si="39"/>
        <v>1.3333333333340154E-4</v>
      </c>
      <c r="J177" s="10">
        <f t="shared" si="40"/>
        <v>1.4583333333333333</v>
      </c>
      <c r="K177" s="12">
        <f t="shared" ca="1" si="41"/>
        <v>1.45875</v>
      </c>
      <c r="L177" s="5">
        <f t="shared" ca="1" si="42"/>
        <v>2.857142857143304E-4</v>
      </c>
      <c r="N177">
        <f t="shared" ca="1" si="43"/>
        <v>12.505000000000003</v>
      </c>
      <c r="O177">
        <f t="shared" ca="1" si="44"/>
        <v>1.0187575000000001E-3</v>
      </c>
      <c r="P177">
        <f t="shared" ca="1" si="45"/>
        <v>1.0003126250000001</v>
      </c>
      <c r="Q177">
        <f t="shared" ca="1" si="46"/>
        <v>1.4581869657296866</v>
      </c>
      <c r="R177">
        <f t="shared" ca="1" si="47"/>
        <v>7776.9971505583289</v>
      </c>
      <c r="S177">
        <f t="shared" ca="1" si="48"/>
        <v>2.7136811260664184</v>
      </c>
      <c r="T177">
        <f t="shared" ca="1" si="49"/>
        <v>1</v>
      </c>
      <c r="U177">
        <f t="shared" ca="1" si="50"/>
        <v>7781</v>
      </c>
      <c r="V177">
        <f t="shared" ca="1" si="51"/>
        <v>1.4589375</v>
      </c>
      <c r="X177">
        <f t="shared" ca="1" si="52"/>
        <v>1.4574631030973941</v>
      </c>
    </row>
    <row r="178" spans="5:24" x14ac:dyDescent="0.25">
      <c r="E178">
        <v>176</v>
      </c>
      <c r="F178">
        <f t="shared" si="36"/>
        <v>37.6</v>
      </c>
      <c r="G178">
        <f t="shared" ca="1" si="37"/>
        <v>37.602000000000004</v>
      </c>
      <c r="H178" s="5">
        <f t="shared" ca="1" si="38"/>
        <v>2.0000000000024443E-3</v>
      </c>
      <c r="I178" s="5">
        <f t="shared" ca="1" si="39"/>
        <v>5.3191489361767132E-5</v>
      </c>
      <c r="J178" s="10">
        <f t="shared" si="40"/>
        <v>1.4666666666666666</v>
      </c>
      <c r="K178" s="12">
        <f t="shared" ca="1" si="41"/>
        <v>1.4668333333333334</v>
      </c>
      <c r="L178" s="5">
        <f t="shared" ca="1" si="42"/>
        <v>1.1363636363650252E-4</v>
      </c>
      <c r="N178">
        <f t="shared" ca="1" si="43"/>
        <v>12.602000000000004</v>
      </c>
      <c r="O178">
        <f t="shared" ca="1" si="44"/>
        <v>1.018903E-3</v>
      </c>
      <c r="P178">
        <f t="shared" ca="1" si="45"/>
        <v>1.00031505</v>
      </c>
      <c r="Q178">
        <f t="shared" ca="1" si="46"/>
        <v>1.4662762351696099</v>
      </c>
      <c r="R178">
        <f t="shared" ca="1" si="47"/>
        <v>7820.1399209045858</v>
      </c>
      <c r="S178">
        <f t="shared" ca="1" si="48"/>
        <v>2.7258130926630897</v>
      </c>
      <c r="T178">
        <f t="shared" ca="1" si="49"/>
        <v>3</v>
      </c>
      <c r="U178">
        <f t="shared" ca="1" si="50"/>
        <v>7826</v>
      </c>
      <c r="V178">
        <f t="shared" ca="1" si="51"/>
        <v>1.4673750000000001</v>
      </c>
      <c r="X178">
        <f t="shared" ca="1" si="52"/>
        <v>1.4658942670111781</v>
      </c>
    </row>
    <row r="179" spans="5:24" x14ac:dyDescent="0.25">
      <c r="E179">
        <v>177</v>
      </c>
      <c r="F179">
        <f t="shared" si="36"/>
        <v>37.700000000000003</v>
      </c>
      <c r="G179">
        <f t="shared" ca="1" si="37"/>
        <v>37.701000000000001</v>
      </c>
      <c r="H179" s="5">
        <f t="shared" ca="1" si="38"/>
        <v>9.9999999999766942E-4</v>
      </c>
      <c r="I179" s="5">
        <f t="shared" ca="1" si="39"/>
        <v>2.6525198938930221E-5</v>
      </c>
      <c r="J179" s="10">
        <f t="shared" si="40"/>
        <v>1.4749999999999999</v>
      </c>
      <c r="K179" s="12">
        <f t="shared" ca="1" si="41"/>
        <v>1.4750833333333333</v>
      </c>
      <c r="L179" s="5">
        <f t="shared" ca="1" si="42"/>
        <v>5.6497175141311987E-5</v>
      </c>
      <c r="N179">
        <f t="shared" ca="1" si="43"/>
        <v>12.701000000000001</v>
      </c>
      <c r="O179">
        <f t="shared" ca="1" si="44"/>
        <v>1.0190514999999999E-3</v>
      </c>
      <c r="P179">
        <f t="shared" ca="1" si="45"/>
        <v>1.000317525</v>
      </c>
      <c r="Q179">
        <f t="shared" ca="1" si="46"/>
        <v>1.4745323340944225</v>
      </c>
      <c r="R179">
        <f t="shared" ca="1" si="47"/>
        <v>7864.1724485035866</v>
      </c>
      <c r="S179">
        <f t="shared" ca="1" si="48"/>
        <v>2.7381471745394599</v>
      </c>
      <c r="T179">
        <f t="shared" ca="1" si="49"/>
        <v>1</v>
      </c>
      <c r="U179">
        <f t="shared" ca="1" si="50"/>
        <v>7868</v>
      </c>
      <c r="V179">
        <f t="shared" ca="1" si="51"/>
        <v>1.47525</v>
      </c>
      <c r="X179">
        <f t="shared" ca="1" si="52"/>
        <v>1.4737629919059949</v>
      </c>
    </row>
    <row r="180" spans="5:24" x14ac:dyDescent="0.25">
      <c r="E180">
        <v>178</v>
      </c>
      <c r="F180">
        <f t="shared" si="36"/>
        <v>37.799999999999997</v>
      </c>
      <c r="G180">
        <f t="shared" ca="1" si="37"/>
        <v>37.798999999999999</v>
      </c>
      <c r="H180" s="5">
        <f t="shared" ca="1" si="38"/>
        <v>9.9999999999766942E-4</v>
      </c>
      <c r="I180" s="5">
        <f t="shared" ca="1" si="39"/>
        <v>2.6455026454964802E-5</v>
      </c>
      <c r="J180" s="10">
        <f t="shared" si="40"/>
        <v>1.4833333333333327</v>
      </c>
      <c r="K180" s="12">
        <f t="shared" ca="1" si="41"/>
        <v>1.4832499999999997</v>
      </c>
      <c r="L180" s="5">
        <f t="shared" ca="1" si="42"/>
        <v>5.6179775280668174E-5</v>
      </c>
      <c r="N180">
        <f t="shared" ca="1" si="43"/>
        <v>12.798999999999999</v>
      </c>
      <c r="O180">
        <f t="shared" ca="1" si="44"/>
        <v>1.0191985E-3</v>
      </c>
      <c r="P180">
        <f t="shared" ca="1" si="45"/>
        <v>1.000319975</v>
      </c>
      <c r="Q180">
        <f t="shared" ca="1" si="46"/>
        <v>1.4827050783007096</v>
      </c>
      <c r="R180">
        <f t="shared" ca="1" si="47"/>
        <v>7907.7604176037848</v>
      </c>
      <c r="S180">
        <f t="shared" ca="1" si="48"/>
        <v>2.7503086689270928</v>
      </c>
      <c r="T180">
        <f t="shared" ca="1" si="49"/>
        <v>2</v>
      </c>
      <c r="U180">
        <f t="shared" ca="1" si="50"/>
        <v>7913</v>
      </c>
      <c r="V180">
        <f t="shared" ca="1" si="51"/>
        <v>1.4836875</v>
      </c>
      <c r="X180">
        <f t="shared" ca="1" si="52"/>
        <v>1.4821940364631827</v>
      </c>
    </row>
    <row r="181" spans="5:24" x14ac:dyDescent="0.25">
      <c r="E181">
        <v>179</v>
      </c>
      <c r="F181">
        <f t="shared" si="36"/>
        <v>37.900000000000006</v>
      </c>
      <c r="G181">
        <f t="shared" ca="1" si="37"/>
        <v>37.901000000000003</v>
      </c>
      <c r="H181" s="5">
        <f t="shared" ca="1" si="38"/>
        <v>9.9999999999766942E-4</v>
      </c>
      <c r="I181" s="5">
        <f t="shared" ca="1" si="39"/>
        <v>2.6385224274344836E-5</v>
      </c>
      <c r="J181" s="10">
        <f t="shared" si="40"/>
        <v>1.4916666666666669</v>
      </c>
      <c r="K181" s="12">
        <f t="shared" ca="1" si="41"/>
        <v>1.4917499999999999</v>
      </c>
      <c r="L181" s="5">
        <f t="shared" ca="1" si="42"/>
        <v>5.5865921787480047E-5</v>
      </c>
      <c r="N181">
        <f t="shared" ca="1" si="43"/>
        <v>12.901000000000003</v>
      </c>
      <c r="O181">
        <f t="shared" ca="1" si="44"/>
        <v>1.0193515000000001E-3</v>
      </c>
      <c r="P181">
        <f t="shared" ca="1" si="45"/>
        <v>1.0003225250000001</v>
      </c>
      <c r="Q181">
        <f t="shared" ca="1" si="46"/>
        <v>1.4912114464024073</v>
      </c>
      <c r="R181">
        <f t="shared" ca="1" si="47"/>
        <v>7953.1277141461724</v>
      </c>
      <c r="S181">
        <f t="shared" ca="1" si="48"/>
        <v>2.7629155998563375</v>
      </c>
      <c r="T181">
        <f t="shared" ca="1" si="49"/>
        <v>2</v>
      </c>
      <c r="U181">
        <f t="shared" ca="1" si="50"/>
        <v>7958</v>
      </c>
      <c r="V181">
        <f t="shared" ca="1" si="51"/>
        <v>1.4921249999999999</v>
      </c>
      <c r="X181">
        <f t="shared" ca="1" si="52"/>
        <v>1.4906248847090589</v>
      </c>
    </row>
    <row r="182" spans="5:24" x14ac:dyDescent="0.25">
      <c r="E182">
        <v>180</v>
      </c>
      <c r="F182">
        <f t="shared" si="36"/>
        <v>38</v>
      </c>
      <c r="G182">
        <f t="shared" ca="1" si="37"/>
        <v>38.003999999999998</v>
      </c>
      <c r="H182" s="5">
        <f t="shared" ca="1" si="38"/>
        <v>3.9999999999977831E-3</v>
      </c>
      <c r="I182" s="5">
        <f t="shared" ca="1" si="39"/>
        <v>1.052631578946785E-4</v>
      </c>
      <c r="J182" s="10">
        <f t="shared" si="40"/>
        <v>1.4999999999999998</v>
      </c>
      <c r="K182" s="12">
        <f t="shared" ca="1" si="41"/>
        <v>1.5003333333333331</v>
      </c>
      <c r="L182" s="5">
        <f t="shared" ca="1" si="42"/>
        <v>2.2222222222219778E-4</v>
      </c>
      <c r="N182">
        <f t="shared" ca="1" si="43"/>
        <v>13.003999999999998</v>
      </c>
      <c r="O182">
        <f t="shared" ca="1" si="44"/>
        <v>1.0195060000000001E-3</v>
      </c>
      <c r="P182">
        <f t="shared" ca="1" si="45"/>
        <v>1.0003251</v>
      </c>
      <c r="Q182">
        <f t="shared" ca="1" si="46"/>
        <v>1.499801254258599</v>
      </c>
      <c r="R182">
        <f t="shared" ca="1" si="47"/>
        <v>7998.9400227125279</v>
      </c>
      <c r="S182">
        <f t="shared" ca="1" si="48"/>
        <v>2.7755931509427114</v>
      </c>
      <c r="T182">
        <f t="shared" ca="1" si="49"/>
        <v>0</v>
      </c>
      <c r="U182">
        <f t="shared" ca="1" si="50"/>
        <v>8002</v>
      </c>
      <c r="V182">
        <f t="shared" ca="1" si="51"/>
        <v>1.500375</v>
      </c>
      <c r="X182">
        <f t="shared" ca="1" si="52"/>
        <v>1.4988682119442969</v>
      </c>
    </row>
    <row r="183" spans="5:24" x14ac:dyDescent="0.25">
      <c r="E183">
        <v>181</v>
      </c>
      <c r="F183">
        <f t="shared" si="36"/>
        <v>38.1</v>
      </c>
      <c r="G183">
        <f t="shared" ca="1" si="37"/>
        <v>38.093000000000004</v>
      </c>
      <c r="H183" s="5">
        <f t="shared" ca="1" si="38"/>
        <v>6.9999999999978968E-3</v>
      </c>
      <c r="I183" s="5">
        <f t="shared" ca="1" si="39"/>
        <v>1.8372703412067971E-4</v>
      </c>
      <c r="J183" s="10">
        <f t="shared" si="40"/>
        <v>1.5083333333333331</v>
      </c>
      <c r="K183" s="12">
        <f t="shared" ca="1" si="41"/>
        <v>1.5077499999999999</v>
      </c>
      <c r="L183" s="5">
        <f t="shared" ca="1" si="42"/>
        <v>3.867403314915966E-4</v>
      </c>
      <c r="N183">
        <f t="shared" ca="1" si="43"/>
        <v>13.093000000000004</v>
      </c>
      <c r="O183">
        <f t="shared" ca="1" si="44"/>
        <v>1.0196395000000001E-3</v>
      </c>
      <c r="P183">
        <f t="shared" ca="1" si="45"/>
        <v>1.000327325</v>
      </c>
      <c r="Q183">
        <f t="shared" ca="1" si="46"/>
        <v>1.5072235510152505</v>
      </c>
      <c r="R183">
        <f t="shared" ca="1" si="47"/>
        <v>8038.5256054146694</v>
      </c>
      <c r="S183">
        <f t="shared" ca="1" si="48"/>
        <v>2.7865044781617505</v>
      </c>
      <c r="T183">
        <f t="shared" ca="1" si="49"/>
        <v>-1</v>
      </c>
      <c r="U183">
        <f t="shared" ca="1" si="50"/>
        <v>8040</v>
      </c>
      <c r="V183">
        <f t="shared" ca="1" si="51"/>
        <v>1.5075000000000001</v>
      </c>
      <c r="X183">
        <f t="shared" ca="1" si="52"/>
        <v>1.5059874131699842</v>
      </c>
    </row>
    <row r="184" spans="5:24" x14ac:dyDescent="0.25">
      <c r="E184">
        <v>182</v>
      </c>
      <c r="F184">
        <f t="shared" si="36"/>
        <v>38.200000000000003</v>
      </c>
      <c r="G184">
        <f t="shared" ca="1" si="37"/>
        <v>38.205000000000005</v>
      </c>
      <c r="H184" s="5">
        <f t="shared" ca="1" si="38"/>
        <v>5.000000000002558E-3</v>
      </c>
      <c r="I184" s="5">
        <f t="shared" ca="1" si="39"/>
        <v>1.3089005235608791E-4</v>
      </c>
      <c r="J184" s="10">
        <f t="shared" si="40"/>
        <v>1.5166666666666668</v>
      </c>
      <c r="K184" s="12">
        <f t="shared" ca="1" si="41"/>
        <v>1.5170833333333336</v>
      </c>
      <c r="L184" s="5">
        <f t="shared" ca="1" si="42"/>
        <v>2.7472527472531766E-4</v>
      </c>
      <c r="N184">
        <f t="shared" ca="1" si="43"/>
        <v>13.205000000000005</v>
      </c>
      <c r="O184">
        <f t="shared" ca="1" si="44"/>
        <v>1.0198075000000001E-3</v>
      </c>
      <c r="P184">
        <f t="shared" ca="1" si="45"/>
        <v>1.0003301250000001</v>
      </c>
      <c r="Q184">
        <f t="shared" ca="1" si="46"/>
        <v>1.5165640163047993</v>
      </c>
      <c r="R184">
        <f t="shared" ca="1" si="47"/>
        <v>8088.3414202922631</v>
      </c>
      <c r="S184">
        <f t="shared" ca="1" si="48"/>
        <v>2.800178601440372</v>
      </c>
      <c r="T184">
        <f t="shared" ca="1" si="49"/>
        <v>3</v>
      </c>
      <c r="U184">
        <f t="shared" ca="1" si="50"/>
        <v>8094</v>
      </c>
      <c r="V184">
        <f t="shared" ca="1" si="51"/>
        <v>1.517625</v>
      </c>
      <c r="X184">
        <f t="shared" ca="1" si="52"/>
        <v>1.5161046884397287</v>
      </c>
    </row>
    <row r="185" spans="5:24" x14ac:dyDescent="0.25">
      <c r="E185">
        <v>183</v>
      </c>
      <c r="F185">
        <f t="shared" si="36"/>
        <v>38.299999999999997</v>
      </c>
      <c r="G185">
        <f t="shared" ca="1" si="37"/>
        <v>38.299999999999997</v>
      </c>
      <c r="H185" s="5">
        <f t="shared" ca="1" si="38"/>
        <v>0</v>
      </c>
      <c r="I185" s="5">
        <f t="shared" ca="1" si="39"/>
        <v>0</v>
      </c>
      <c r="J185" s="10">
        <f t="shared" si="40"/>
        <v>1.5249999999999997</v>
      </c>
      <c r="K185" s="12">
        <f t="shared" ca="1" si="41"/>
        <v>1.5249999999999997</v>
      </c>
      <c r="L185" s="5">
        <f t="shared" ca="1" si="42"/>
        <v>0</v>
      </c>
      <c r="N185">
        <f t="shared" ca="1" si="43"/>
        <v>13.299999999999997</v>
      </c>
      <c r="O185">
        <f t="shared" ca="1" si="44"/>
        <v>1.0199499999999999E-3</v>
      </c>
      <c r="P185">
        <f t="shared" ca="1" si="45"/>
        <v>1.0003325000000001</v>
      </c>
      <c r="Q185">
        <f t="shared" ca="1" si="46"/>
        <v>1.5244867733666247</v>
      </c>
      <c r="R185">
        <f t="shared" ca="1" si="47"/>
        <v>8130.5961246219986</v>
      </c>
      <c r="S185">
        <f t="shared" ca="1" si="48"/>
        <v>2.8117271935838479</v>
      </c>
      <c r="T185">
        <f t="shared" ca="1" si="49"/>
        <v>2</v>
      </c>
      <c r="U185">
        <f t="shared" ca="1" si="50"/>
        <v>8135</v>
      </c>
      <c r="V185">
        <f t="shared" ca="1" si="51"/>
        <v>1.5253125000000001</v>
      </c>
      <c r="X185">
        <f t="shared" ca="1" si="52"/>
        <v>1.5237858911911788</v>
      </c>
    </row>
    <row r="186" spans="5:24" x14ac:dyDescent="0.25">
      <c r="E186">
        <v>184</v>
      </c>
      <c r="F186">
        <f t="shared" si="36"/>
        <v>38.400000000000006</v>
      </c>
      <c r="G186">
        <f t="shared" ca="1" si="37"/>
        <v>38.409000000000006</v>
      </c>
      <c r="H186" s="5">
        <f t="shared" ca="1" si="38"/>
        <v>9.0000000000003411E-3</v>
      </c>
      <c r="I186" s="5">
        <f t="shared" ca="1" si="39"/>
        <v>2.3437500000000885E-4</v>
      </c>
      <c r="J186" s="10">
        <f t="shared" si="40"/>
        <v>1.5333333333333334</v>
      </c>
      <c r="K186" s="12">
        <f t="shared" ca="1" si="41"/>
        <v>1.5340833333333335</v>
      </c>
      <c r="L186" s="5">
        <f t="shared" ca="1" si="42"/>
        <v>4.8913043478262717E-4</v>
      </c>
      <c r="N186">
        <f t="shared" ca="1" si="43"/>
        <v>13.409000000000006</v>
      </c>
      <c r="O186">
        <f t="shared" ca="1" si="44"/>
        <v>1.0201135E-3</v>
      </c>
      <c r="P186">
        <f t="shared" ca="1" si="45"/>
        <v>1.0003352249999999</v>
      </c>
      <c r="Q186">
        <f t="shared" ca="1" si="46"/>
        <v>1.533577140951202</v>
      </c>
      <c r="R186">
        <f t="shared" ca="1" si="47"/>
        <v>8179.0780850730771</v>
      </c>
      <c r="S186">
        <f t="shared" ca="1" si="48"/>
        <v>2.824920892882016</v>
      </c>
      <c r="T186">
        <f t="shared" ca="1" si="49"/>
        <v>1</v>
      </c>
      <c r="U186">
        <f t="shared" ca="1" si="50"/>
        <v>8183</v>
      </c>
      <c r="V186">
        <f t="shared" ca="1" si="51"/>
        <v>1.5343125</v>
      </c>
      <c r="X186">
        <f t="shared" ca="1" si="52"/>
        <v>1.5327785608069535</v>
      </c>
    </row>
    <row r="187" spans="5:24" x14ac:dyDescent="0.25">
      <c r="E187">
        <v>185</v>
      </c>
      <c r="F187">
        <f t="shared" si="36"/>
        <v>38.5</v>
      </c>
      <c r="G187">
        <f t="shared" ca="1" si="37"/>
        <v>38.508000000000003</v>
      </c>
      <c r="H187" s="5">
        <f t="shared" ca="1" si="38"/>
        <v>8.0000000000026716E-3</v>
      </c>
      <c r="I187" s="5">
        <f t="shared" ca="1" si="39"/>
        <v>2.0779220779227719E-4</v>
      </c>
      <c r="J187" s="10">
        <f t="shared" si="40"/>
        <v>1.5416666666666663</v>
      </c>
      <c r="K187" s="12">
        <f t="shared" ca="1" si="41"/>
        <v>1.5423333333333333</v>
      </c>
      <c r="L187" s="5">
        <f t="shared" ca="1" si="42"/>
        <v>4.3243243243267296E-4</v>
      </c>
      <c r="N187">
        <f t="shared" ca="1" si="43"/>
        <v>13.508000000000003</v>
      </c>
      <c r="O187">
        <f t="shared" ca="1" si="44"/>
        <v>1.0202620000000001E-3</v>
      </c>
      <c r="P187">
        <f t="shared" ca="1" si="45"/>
        <v>1.0003377</v>
      </c>
      <c r="Q187">
        <f t="shared" ca="1" si="46"/>
        <v>1.5418335727575228</v>
      </c>
      <c r="R187">
        <f t="shared" ca="1" si="47"/>
        <v>8223.112388040121</v>
      </c>
      <c r="S187">
        <f t="shared" ca="1" si="48"/>
        <v>2.8368513395006536</v>
      </c>
      <c r="T187">
        <f t="shared" ca="1" si="49"/>
        <v>-2</v>
      </c>
      <c r="U187">
        <f t="shared" ca="1" si="50"/>
        <v>8224</v>
      </c>
      <c r="V187">
        <f t="shared" ca="1" si="51"/>
        <v>1.542</v>
      </c>
      <c r="X187">
        <f t="shared" ca="1" si="52"/>
        <v>1.5404595248184689</v>
      </c>
    </row>
    <row r="188" spans="5:24" x14ac:dyDescent="0.25">
      <c r="E188">
        <v>186</v>
      </c>
      <c r="F188">
        <f t="shared" si="36"/>
        <v>38.6</v>
      </c>
      <c r="G188">
        <f t="shared" ca="1" si="37"/>
        <v>38.591000000000001</v>
      </c>
      <c r="H188" s="5">
        <f t="shared" ca="1" si="38"/>
        <v>9.0000000000003411E-3</v>
      </c>
      <c r="I188" s="5">
        <f t="shared" ca="1" si="39"/>
        <v>2.3316062176166686E-4</v>
      </c>
      <c r="J188" s="10">
        <f t="shared" si="40"/>
        <v>1.55</v>
      </c>
      <c r="K188" s="12">
        <f t="shared" ca="1" si="41"/>
        <v>1.54925</v>
      </c>
      <c r="L188" s="5">
        <f t="shared" ca="1" si="42"/>
        <v>4.8387096774195381E-4</v>
      </c>
      <c r="N188">
        <f t="shared" ca="1" si="43"/>
        <v>13.591000000000001</v>
      </c>
      <c r="O188">
        <f t="shared" ca="1" si="44"/>
        <v>1.0203865E-3</v>
      </c>
      <c r="P188">
        <f t="shared" ca="1" si="45"/>
        <v>1.000339775</v>
      </c>
      <c r="Q188">
        <f t="shared" ca="1" si="46"/>
        <v>1.548755663216927</v>
      </c>
      <c r="R188">
        <f t="shared" ca="1" si="47"/>
        <v>8260.0302038236114</v>
      </c>
      <c r="S188">
        <f t="shared" ca="1" si="48"/>
        <v>2.8468147228228355</v>
      </c>
      <c r="T188">
        <f t="shared" ca="1" si="49"/>
        <v>1</v>
      </c>
      <c r="U188">
        <f t="shared" ca="1" si="50"/>
        <v>8264</v>
      </c>
      <c r="V188">
        <f t="shared" ca="1" si="51"/>
        <v>1.5495000000000001</v>
      </c>
      <c r="X188">
        <f t="shared" ca="1" si="52"/>
        <v>1.5479536575460073</v>
      </c>
    </row>
    <row r="189" spans="5:24" x14ac:dyDescent="0.25">
      <c r="E189">
        <v>187</v>
      </c>
      <c r="F189">
        <f t="shared" si="36"/>
        <v>38.700000000000003</v>
      </c>
      <c r="G189">
        <f t="shared" ca="1" si="37"/>
        <v>38.708000000000006</v>
      </c>
      <c r="H189" s="5">
        <f t="shared" ca="1" si="38"/>
        <v>8.0000000000026716E-3</v>
      </c>
      <c r="I189" s="5">
        <f t="shared" ca="1" si="39"/>
        <v>2.06718346253299E-4</v>
      </c>
      <c r="J189" s="10">
        <f t="shared" si="40"/>
        <v>1.5583333333333333</v>
      </c>
      <c r="K189" s="12">
        <f t="shared" ca="1" si="41"/>
        <v>1.5590000000000004</v>
      </c>
      <c r="L189" s="5">
        <f t="shared" ca="1" si="42"/>
        <v>4.2780748663125389E-4</v>
      </c>
      <c r="N189">
        <f t="shared" ca="1" si="43"/>
        <v>13.708000000000006</v>
      </c>
      <c r="O189">
        <f t="shared" ca="1" si="44"/>
        <v>1.020562E-3</v>
      </c>
      <c r="P189">
        <f t="shared" ca="1" si="45"/>
        <v>1.0003427</v>
      </c>
      <c r="Q189">
        <f t="shared" ca="1" si="46"/>
        <v>1.5585133575534031</v>
      </c>
      <c r="R189">
        <f t="shared" ca="1" si="47"/>
        <v>8312.0712402848167</v>
      </c>
      <c r="S189">
        <f t="shared" ca="1" si="48"/>
        <v>2.8607989625336741</v>
      </c>
      <c r="T189">
        <f t="shared" ca="1" si="49"/>
        <v>0</v>
      </c>
      <c r="U189">
        <f t="shared" ca="1" si="50"/>
        <v>8315</v>
      </c>
      <c r="V189">
        <f t="shared" ca="1" si="51"/>
        <v>1.5590625</v>
      </c>
      <c r="X189">
        <f t="shared" ca="1" si="52"/>
        <v>1.5575081799467323</v>
      </c>
    </row>
    <row r="190" spans="5:24" x14ac:dyDescent="0.25">
      <c r="E190">
        <v>188</v>
      </c>
      <c r="F190">
        <f t="shared" si="36"/>
        <v>38.799999999999997</v>
      </c>
      <c r="G190">
        <f t="shared" ca="1" si="37"/>
        <v>38.808</v>
      </c>
      <c r="H190" s="5">
        <f t="shared" ca="1" si="38"/>
        <v>8.0000000000026716E-3</v>
      </c>
      <c r="I190" s="5">
        <f t="shared" ca="1" si="39"/>
        <v>2.0618556701037816E-4</v>
      </c>
      <c r="J190" s="10">
        <f t="shared" si="40"/>
        <v>1.5666666666666662</v>
      </c>
      <c r="K190" s="12">
        <f t="shared" ca="1" si="41"/>
        <v>1.5673333333333332</v>
      </c>
      <c r="L190" s="5">
        <f t="shared" ca="1" si="42"/>
        <v>4.2553191489385375E-4</v>
      </c>
      <c r="N190">
        <f t="shared" ca="1" si="43"/>
        <v>13.808</v>
      </c>
      <c r="O190">
        <f t="shared" ca="1" si="44"/>
        <v>1.020712E-3</v>
      </c>
      <c r="P190">
        <f t="shared" ca="1" si="45"/>
        <v>1.0003451999999999</v>
      </c>
      <c r="Q190">
        <f t="shared" ca="1" si="46"/>
        <v>1.5668533124502173</v>
      </c>
      <c r="R190">
        <f t="shared" ca="1" si="47"/>
        <v>8356.5509997344925</v>
      </c>
      <c r="S190">
        <f t="shared" ca="1" si="48"/>
        <v>2.8726949354298732</v>
      </c>
      <c r="T190">
        <f t="shared" ca="1" si="49"/>
        <v>-3</v>
      </c>
      <c r="U190">
        <f t="shared" ca="1" si="50"/>
        <v>8356</v>
      </c>
      <c r="V190">
        <f t="shared" ca="1" si="51"/>
        <v>1.5667500000000001</v>
      </c>
      <c r="X190">
        <f t="shared" ca="1" si="52"/>
        <v>1.56518898476246</v>
      </c>
    </row>
    <row r="191" spans="5:24" x14ac:dyDescent="0.25">
      <c r="E191">
        <v>189</v>
      </c>
      <c r="F191">
        <f t="shared" si="36"/>
        <v>38.900000000000006</v>
      </c>
      <c r="G191">
        <f t="shared" ca="1" si="37"/>
        <v>38.902000000000008</v>
      </c>
      <c r="H191" s="5">
        <f t="shared" ca="1" si="38"/>
        <v>2.0000000000024443E-3</v>
      </c>
      <c r="I191" s="5">
        <f t="shared" ca="1" si="39"/>
        <v>5.1413881748134804E-5</v>
      </c>
      <c r="J191" s="10">
        <f t="shared" si="40"/>
        <v>1.5750000000000004</v>
      </c>
      <c r="K191" s="12">
        <f t="shared" ca="1" si="41"/>
        <v>1.5751666666666673</v>
      </c>
      <c r="L191" s="5">
        <f t="shared" ca="1" si="42"/>
        <v>1.0582010582023512E-4</v>
      </c>
      <c r="N191">
        <f t="shared" ca="1" si="43"/>
        <v>13.902000000000008</v>
      </c>
      <c r="O191">
        <f t="shared" ca="1" si="44"/>
        <v>1.020853E-3</v>
      </c>
      <c r="P191">
        <f t="shared" ca="1" si="45"/>
        <v>1.0003475500000001</v>
      </c>
      <c r="Q191">
        <f t="shared" ca="1" si="46"/>
        <v>1.5746929080442074</v>
      </c>
      <c r="R191">
        <f t="shared" ca="1" si="47"/>
        <v>8398.3621762357725</v>
      </c>
      <c r="S191">
        <f t="shared" ca="1" si="48"/>
        <v>2.883829574156807</v>
      </c>
      <c r="T191">
        <f t="shared" ca="1" si="49"/>
        <v>0</v>
      </c>
      <c r="U191">
        <f t="shared" ca="1" si="50"/>
        <v>8401</v>
      </c>
      <c r="V191">
        <f t="shared" ca="1" si="51"/>
        <v>1.5751875</v>
      </c>
      <c r="X191">
        <f t="shared" ca="1" si="52"/>
        <v>1.5736197354609405</v>
      </c>
    </row>
    <row r="192" spans="5:24" x14ac:dyDescent="0.25">
      <c r="E192">
        <v>190</v>
      </c>
      <c r="F192">
        <f t="shared" si="36"/>
        <v>39</v>
      </c>
      <c r="G192">
        <f t="shared" ca="1" si="37"/>
        <v>39</v>
      </c>
      <c r="H192" s="5">
        <f t="shared" ca="1" si="38"/>
        <v>0</v>
      </c>
      <c r="I192" s="5">
        <f t="shared" ca="1" si="39"/>
        <v>0</v>
      </c>
      <c r="J192" s="10">
        <f t="shared" si="40"/>
        <v>1.5833333333333333</v>
      </c>
      <c r="K192" s="12">
        <f t="shared" ca="1" si="41"/>
        <v>1.5833333333333333</v>
      </c>
      <c r="L192" s="5">
        <f t="shared" ca="1" si="42"/>
        <v>0</v>
      </c>
      <c r="N192">
        <f t="shared" ca="1" si="43"/>
        <v>14</v>
      </c>
      <c r="O192">
        <f t="shared" ca="1" si="44"/>
        <v>1.021E-3</v>
      </c>
      <c r="P192">
        <f t="shared" ca="1" si="45"/>
        <v>1.0003500000000001</v>
      </c>
      <c r="Q192">
        <f t="shared" ca="1" si="46"/>
        <v>1.5828661426500001</v>
      </c>
      <c r="R192">
        <f t="shared" ca="1" si="47"/>
        <v>8441.9527608000008</v>
      </c>
      <c r="S192">
        <f t="shared" ca="1" si="48"/>
        <v>2.8953887403623924</v>
      </c>
      <c r="T192">
        <f t="shared" ca="1" si="49"/>
        <v>2</v>
      </c>
      <c r="U192">
        <f t="shared" ca="1" si="50"/>
        <v>8447</v>
      </c>
      <c r="V192">
        <f t="shared" ca="1" si="51"/>
        <v>1.5838125000000001</v>
      </c>
      <c r="X192">
        <f t="shared" ca="1" si="52"/>
        <v>1.5822377167991204</v>
      </c>
    </row>
    <row r="193" spans="5:24" x14ac:dyDescent="0.25">
      <c r="E193">
        <v>191</v>
      </c>
      <c r="F193">
        <f t="shared" si="36"/>
        <v>39.1</v>
      </c>
      <c r="G193">
        <f t="shared" ca="1" si="37"/>
        <v>39.097999999999999</v>
      </c>
      <c r="H193" s="5">
        <f t="shared" ca="1" si="38"/>
        <v>2.0000000000024443E-3</v>
      </c>
      <c r="I193" s="5">
        <f t="shared" ca="1" si="39"/>
        <v>5.1150895140727475E-5</v>
      </c>
      <c r="J193" s="10">
        <f t="shared" si="40"/>
        <v>1.5916666666666666</v>
      </c>
      <c r="K193" s="12">
        <f t="shared" ca="1" si="41"/>
        <v>1.5914999999999997</v>
      </c>
      <c r="L193" s="5">
        <f t="shared" ca="1" si="42"/>
        <v>1.0471204188494473E-4</v>
      </c>
      <c r="N193">
        <f t="shared" ca="1" si="43"/>
        <v>14.097999999999999</v>
      </c>
      <c r="O193">
        <f t="shared" ca="1" si="44"/>
        <v>1.021147E-3</v>
      </c>
      <c r="P193">
        <f t="shared" ca="1" si="45"/>
        <v>1.0003524500000001</v>
      </c>
      <c r="Q193">
        <f t="shared" ca="1" si="46"/>
        <v>1.5910394172717395</v>
      </c>
      <c r="R193">
        <f t="shared" ca="1" si="47"/>
        <v>8485.5435587826105</v>
      </c>
      <c r="S193">
        <f t="shared" ca="1" si="48"/>
        <v>2.9068973929576614</v>
      </c>
      <c r="T193">
        <f t="shared" ca="1" si="49"/>
        <v>-1</v>
      </c>
      <c r="U193">
        <f t="shared" ca="1" si="50"/>
        <v>8487</v>
      </c>
      <c r="V193">
        <f t="shared" ca="1" si="51"/>
        <v>1.5913125000000001</v>
      </c>
      <c r="X193">
        <f t="shared" ca="1" si="52"/>
        <v>1.5897310522906201</v>
      </c>
    </row>
    <row r="194" spans="5:24" x14ac:dyDescent="0.25">
      <c r="E194">
        <v>192</v>
      </c>
      <c r="F194">
        <f t="shared" si="36"/>
        <v>39.200000000000003</v>
      </c>
      <c r="G194">
        <f t="shared" ca="1" si="37"/>
        <v>39.208000000000006</v>
      </c>
      <c r="H194" s="5">
        <f t="shared" ca="1" si="38"/>
        <v>8.0000000000026716E-3</v>
      </c>
      <c r="I194" s="5">
        <f t="shared" ca="1" si="39"/>
        <v>2.0408163265312937E-4</v>
      </c>
      <c r="J194" s="10">
        <f t="shared" si="40"/>
        <v>1.5999999999999999</v>
      </c>
      <c r="K194" s="12">
        <f t="shared" ca="1" si="41"/>
        <v>1.6006666666666669</v>
      </c>
      <c r="L194" s="5">
        <f t="shared" ca="1" si="42"/>
        <v>4.1666666666689839E-4</v>
      </c>
      <c r="N194">
        <f t="shared" ca="1" si="43"/>
        <v>14.208000000000006</v>
      </c>
      <c r="O194">
        <f t="shared" ca="1" si="44"/>
        <v>1.0213120000000001E-3</v>
      </c>
      <c r="P194">
        <f t="shared" ca="1" si="45"/>
        <v>1.0003552</v>
      </c>
      <c r="Q194">
        <f t="shared" ca="1" si="46"/>
        <v>1.6002135486966444</v>
      </c>
      <c r="R194">
        <f t="shared" ca="1" si="47"/>
        <v>8534.4722597154378</v>
      </c>
      <c r="S194">
        <f t="shared" ca="1" si="48"/>
        <v>2.9197548479081119</v>
      </c>
      <c r="T194">
        <f t="shared" ca="1" si="49"/>
        <v>3</v>
      </c>
      <c r="U194">
        <f t="shared" ca="1" si="50"/>
        <v>8540</v>
      </c>
      <c r="V194">
        <f t="shared" ca="1" si="51"/>
        <v>1.6012500000000001</v>
      </c>
      <c r="X194">
        <f t="shared" ca="1" si="52"/>
        <v>1.5996604885944514</v>
      </c>
    </row>
    <row r="195" spans="5:24" x14ac:dyDescent="0.25">
      <c r="E195">
        <v>193</v>
      </c>
      <c r="F195">
        <f t="shared" ref="F195:F258" si="53">0.1*E195+20</f>
        <v>39.299999999999997</v>
      </c>
      <c r="G195">
        <f t="shared" ref="G195:G258" ca="1" si="54">F195+(RANDBETWEEN(-10,10)/100)*0.1</f>
        <v>39.297999999999995</v>
      </c>
      <c r="H195" s="5">
        <f t="shared" ref="H195:H258" ca="1" si="55">ABS(F195-G195)</f>
        <v>2.0000000000024443E-3</v>
      </c>
      <c r="I195" s="5">
        <f t="shared" ref="I195:I258" ca="1" si="56">ABS(F195-G195)/F195</f>
        <v>5.0890585241792476E-5</v>
      </c>
      <c r="J195" s="10">
        <f t="shared" ref="J195:J258" si="57">1/12*F195-5/3</f>
        <v>1.6083333333333327</v>
      </c>
      <c r="K195" s="12">
        <f t="shared" ref="K195:K258" ca="1" si="58">(1/12*G195-5/3) + J195*RANDBETWEEN($B$2,$C$2)</f>
        <v>1.6081666666666659</v>
      </c>
      <c r="L195" s="5">
        <f t="shared" ref="L195:L258" ca="1" si="59">IF(J195=0, ABS(J195-K195), ABS(J195-K195)/J195)</f>
        <v>1.0362694300530804E-4</v>
      </c>
      <c r="N195">
        <f t="shared" ref="N195:N258" ca="1" si="60">G195-$B$29</f>
        <v>14.297999999999995</v>
      </c>
      <c r="O195">
        <f t="shared" ref="O195:O258" ca="1" si="61">0.001 + 0.0000015*N195</f>
        <v>1.021447E-3</v>
      </c>
      <c r="P195">
        <f t="shared" ref="P195:P258" ca="1" si="62">1 + 0.000025*N195</f>
        <v>1.0003574500000001</v>
      </c>
      <c r="Q195">
        <f t="shared" ref="Q195:Q258" ca="1" si="63">(K195-O195)*P195</f>
        <v>1.6077196937254359</v>
      </c>
      <c r="R195">
        <f t="shared" ref="R195:R258" ca="1" si="64">Q195*32768/6.144</f>
        <v>8574.5050332023238</v>
      </c>
      <c r="S195">
        <f t="shared" ref="S195:S258" ca="1" si="65">4*SIN(PI()*R195/32768)</f>
        <v>2.9302268594707677</v>
      </c>
      <c r="T195">
        <f t="shared" ref="T195:T258" ca="1" si="66">RANDBETWEEN(-1*$B$15,1*$B$15)</f>
        <v>2</v>
      </c>
      <c r="U195">
        <f t="shared" ref="U195:U258" ca="1" si="67">ROUND(R195+S195+T195,0)</f>
        <v>8579</v>
      </c>
      <c r="V195">
        <f t="shared" ref="V195:V258" ca="1" si="68">U195*6.144/32768</f>
        <v>1.6085625000000001</v>
      </c>
      <c r="X195">
        <f t="shared" ref="X195:X258" ca="1" si="69">(U195*6.144/32768 -O195)/P195</f>
        <v>1.6069666427735405</v>
      </c>
    </row>
    <row r="196" spans="5:24" x14ac:dyDescent="0.25">
      <c r="E196">
        <v>194</v>
      </c>
      <c r="F196">
        <f t="shared" si="53"/>
        <v>39.400000000000006</v>
      </c>
      <c r="G196">
        <f t="shared" ca="1" si="54"/>
        <v>39.406000000000006</v>
      </c>
      <c r="H196" s="5">
        <f t="shared" ca="1" si="55"/>
        <v>6.0000000000002274E-3</v>
      </c>
      <c r="I196" s="5">
        <f t="shared" ca="1" si="56"/>
        <v>1.5228426395939661E-4</v>
      </c>
      <c r="J196" s="10">
        <f t="shared" si="57"/>
        <v>1.6166666666666669</v>
      </c>
      <c r="K196" s="12">
        <f t="shared" ca="1" si="58"/>
        <v>1.6171666666666671</v>
      </c>
      <c r="L196" s="5">
        <f t="shared" ca="1" si="59"/>
        <v>3.0927835051556716E-4</v>
      </c>
      <c r="N196">
        <f t="shared" ca="1" si="60"/>
        <v>14.406000000000006</v>
      </c>
      <c r="O196">
        <f t="shared" ca="1" si="61"/>
        <v>1.0216089999999999E-3</v>
      </c>
      <c r="P196">
        <f t="shared" ca="1" si="62"/>
        <v>1.0003601499999999</v>
      </c>
      <c r="Q196">
        <f t="shared" ca="1" si="63"/>
        <v>1.6167271123091855</v>
      </c>
      <c r="R196">
        <f t="shared" ca="1" si="64"/>
        <v>8622.544598982322</v>
      </c>
      <c r="S196">
        <f t="shared" ca="1" si="65"/>
        <v>2.9427363437049614</v>
      </c>
      <c r="T196">
        <f t="shared" ca="1" si="66"/>
        <v>3</v>
      </c>
      <c r="U196">
        <f t="shared" ca="1" si="67"/>
        <v>8628</v>
      </c>
      <c r="V196">
        <f t="shared" ca="1" si="68"/>
        <v>1.61775</v>
      </c>
      <c r="X196">
        <f t="shared" ca="1" si="69"/>
        <v>1.6161463358971269</v>
      </c>
    </row>
    <row r="197" spans="5:24" x14ac:dyDescent="0.25">
      <c r="E197">
        <v>195</v>
      </c>
      <c r="F197">
        <f t="shared" si="53"/>
        <v>39.5</v>
      </c>
      <c r="G197">
        <f t="shared" ca="1" si="54"/>
        <v>39.502000000000002</v>
      </c>
      <c r="H197" s="5">
        <f t="shared" ca="1" si="55"/>
        <v>2.0000000000024443E-3</v>
      </c>
      <c r="I197" s="5">
        <f t="shared" ca="1" si="56"/>
        <v>5.063291139246694E-5</v>
      </c>
      <c r="J197" s="10">
        <f t="shared" si="57"/>
        <v>1.6249999999999998</v>
      </c>
      <c r="K197" s="12">
        <f t="shared" ca="1" si="58"/>
        <v>1.6251666666666666</v>
      </c>
      <c r="L197" s="5">
        <f t="shared" ca="1" si="59"/>
        <v>1.0256410256422792E-4</v>
      </c>
      <c r="N197">
        <f t="shared" ca="1" si="60"/>
        <v>14.502000000000002</v>
      </c>
      <c r="O197">
        <f t="shared" ca="1" si="61"/>
        <v>1.021753E-3</v>
      </c>
      <c r="P197">
        <f t="shared" ca="1" si="62"/>
        <v>1.00036255</v>
      </c>
      <c r="Q197">
        <f t="shared" ca="1" si="63"/>
        <v>1.6247337474051164</v>
      </c>
      <c r="R197">
        <f t="shared" ca="1" si="64"/>
        <v>8665.2466528272871</v>
      </c>
      <c r="S197">
        <f t="shared" ca="1" si="65"/>
        <v>2.9538035447635904</v>
      </c>
      <c r="T197">
        <f t="shared" ca="1" si="66"/>
        <v>0</v>
      </c>
      <c r="U197">
        <f t="shared" ca="1" si="67"/>
        <v>8668</v>
      </c>
      <c r="V197">
        <f t="shared" ca="1" si="68"/>
        <v>1.6252500000000001</v>
      </c>
      <c r="X197">
        <f t="shared" ca="1" si="69"/>
        <v>1.623639596464302</v>
      </c>
    </row>
    <row r="198" spans="5:24" x14ac:dyDescent="0.25">
      <c r="E198">
        <v>196</v>
      </c>
      <c r="F198">
        <f t="shared" si="53"/>
        <v>39.6</v>
      </c>
      <c r="G198">
        <f t="shared" ca="1" si="54"/>
        <v>39.603000000000002</v>
      </c>
      <c r="H198" s="5">
        <f t="shared" ca="1" si="55"/>
        <v>3.0000000000001137E-3</v>
      </c>
      <c r="I198" s="5">
        <f t="shared" ca="1" si="56"/>
        <v>7.5757575757578631E-5</v>
      </c>
      <c r="J198" s="10">
        <f t="shared" si="57"/>
        <v>1.6333333333333331</v>
      </c>
      <c r="K198" s="12">
        <f t="shared" ca="1" si="58"/>
        <v>1.6335833333333334</v>
      </c>
      <c r="L198" s="5">
        <f t="shared" ca="1" si="59"/>
        <v>1.5306122448998302E-4</v>
      </c>
      <c r="N198">
        <f t="shared" ca="1" si="60"/>
        <v>14.603000000000002</v>
      </c>
      <c r="O198">
        <f t="shared" ca="1" si="61"/>
        <v>1.0219045000000001E-3</v>
      </c>
      <c r="P198">
        <f t="shared" ca="1" si="62"/>
        <v>1.0003650749999999</v>
      </c>
      <c r="Q198">
        <f t="shared" ca="1" si="63"/>
        <v>1.6331574361969647</v>
      </c>
      <c r="R198">
        <f t="shared" ca="1" si="64"/>
        <v>8710.1729930504789</v>
      </c>
      <c r="S198">
        <f t="shared" ca="1" si="65"/>
        <v>2.9653937726437261</v>
      </c>
      <c r="T198">
        <f t="shared" ca="1" si="66"/>
        <v>1</v>
      </c>
      <c r="U198">
        <f t="shared" ca="1" si="67"/>
        <v>8714</v>
      </c>
      <c r="V198">
        <f t="shared" ca="1" si="68"/>
        <v>1.633875</v>
      </c>
      <c r="X198">
        <f t="shared" ca="1" si="69"/>
        <v>1.6322571992030011</v>
      </c>
    </row>
    <row r="199" spans="5:24" x14ac:dyDescent="0.25">
      <c r="E199">
        <v>197</v>
      </c>
      <c r="F199">
        <f t="shared" si="53"/>
        <v>39.700000000000003</v>
      </c>
      <c r="G199">
        <f t="shared" ca="1" si="54"/>
        <v>39.695</v>
      </c>
      <c r="H199" s="5">
        <f t="shared" ca="1" si="55"/>
        <v>5.000000000002558E-3</v>
      </c>
      <c r="I199" s="5">
        <f t="shared" ca="1" si="56"/>
        <v>1.2594458438293596E-4</v>
      </c>
      <c r="J199" s="10">
        <f t="shared" si="57"/>
        <v>1.6416666666666668</v>
      </c>
      <c r="K199" s="12">
        <f t="shared" ca="1" si="58"/>
        <v>1.6412499999999997</v>
      </c>
      <c r="L199" s="5">
        <f t="shared" ca="1" si="59"/>
        <v>2.5380710659929492E-4</v>
      </c>
      <c r="N199">
        <f t="shared" ca="1" si="60"/>
        <v>14.695</v>
      </c>
      <c r="O199">
        <f t="shared" ca="1" si="61"/>
        <v>1.0220425000000001E-3</v>
      </c>
      <c r="P199">
        <f t="shared" ca="1" si="62"/>
        <v>1.0003673749999999</v>
      </c>
      <c r="Q199">
        <f t="shared" ca="1" si="63"/>
        <v>1.6408305362458862</v>
      </c>
      <c r="R199">
        <f t="shared" ca="1" si="64"/>
        <v>8751.0961933113922</v>
      </c>
      <c r="S199">
        <f t="shared" ca="1" si="65"/>
        <v>2.9759033838244857</v>
      </c>
      <c r="T199">
        <f t="shared" ca="1" si="66"/>
        <v>-2</v>
      </c>
      <c r="U199">
        <f t="shared" ca="1" si="67"/>
        <v>8752</v>
      </c>
      <c r="V199">
        <f t="shared" ca="1" si="68"/>
        <v>1.641</v>
      </c>
      <c r="X199">
        <f t="shared" ca="1" si="69"/>
        <v>1.6393756918552047</v>
      </c>
    </row>
    <row r="200" spans="5:24" x14ac:dyDescent="0.25">
      <c r="E200">
        <v>198</v>
      </c>
      <c r="F200">
        <f t="shared" si="53"/>
        <v>39.799999999999997</v>
      </c>
      <c r="G200">
        <f t="shared" ca="1" si="54"/>
        <v>39.793999999999997</v>
      </c>
      <c r="H200" s="5">
        <f t="shared" ca="1" si="55"/>
        <v>6.0000000000002274E-3</v>
      </c>
      <c r="I200" s="5">
        <f t="shared" ca="1" si="56"/>
        <v>1.5075376884422683E-4</v>
      </c>
      <c r="J200" s="10">
        <f t="shared" si="57"/>
        <v>1.6499999999999997</v>
      </c>
      <c r="K200" s="12">
        <f t="shared" ca="1" si="58"/>
        <v>1.6494999999999995</v>
      </c>
      <c r="L200" s="5">
        <f t="shared" ca="1" si="59"/>
        <v>3.0303030303040429E-4</v>
      </c>
      <c r="N200">
        <f t="shared" ca="1" si="60"/>
        <v>14.793999999999997</v>
      </c>
      <c r="O200">
        <f t="shared" ca="1" si="61"/>
        <v>1.022191E-3</v>
      </c>
      <c r="P200">
        <f t="shared" ca="1" si="62"/>
        <v>1.00036985</v>
      </c>
      <c r="Q200">
        <f t="shared" ca="1" si="63"/>
        <v>1.6490874985176582</v>
      </c>
      <c r="R200">
        <f t="shared" ca="1" si="64"/>
        <v>8795.1333254275105</v>
      </c>
      <c r="S200">
        <f t="shared" ca="1" si="65"/>
        <v>2.9871615177830555</v>
      </c>
      <c r="T200">
        <f t="shared" ca="1" si="66"/>
        <v>-3</v>
      </c>
      <c r="U200">
        <f t="shared" ca="1" si="67"/>
        <v>8795</v>
      </c>
      <c r="V200">
        <f t="shared" ca="1" si="68"/>
        <v>1.6490625000000001</v>
      </c>
      <c r="X200">
        <f t="shared" ca="1" si="69"/>
        <v>1.6474310066421936</v>
      </c>
    </row>
    <row r="201" spans="5:24" x14ac:dyDescent="0.25">
      <c r="E201">
        <v>199</v>
      </c>
      <c r="F201">
        <f t="shared" si="53"/>
        <v>39.900000000000006</v>
      </c>
      <c r="G201">
        <f t="shared" ca="1" si="54"/>
        <v>39.904000000000003</v>
      </c>
      <c r="H201" s="5">
        <f t="shared" ca="1" si="55"/>
        <v>3.9999999999977831E-3</v>
      </c>
      <c r="I201" s="5">
        <f t="shared" ca="1" si="56"/>
        <v>1.0025062656636047E-4</v>
      </c>
      <c r="J201" s="10">
        <f t="shared" si="57"/>
        <v>1.6583333333333334</v>
      </c>
      <c r="K201" s="12">
        <f t="shared" ca="1" si="58"/>
        <v>1.6586666666666667</v>
      </c>
      <c r="L201" s="5">
        <f t="shared" ca="1" si="59"/>
        <v>2.01005025125606E-4</v>
      </c>
      <c r="N201">
        <f t="shared" ca="1" si="60"/>
        <v>14.904000000000003</v>
      </c>
      <c r="O201">
        <f t="shared" ca="1" si="61"/>
        <v>1.0223560000000001E-3</v>
      </c>
      <c r="P201">
        <f t="shared" ca="1" si="62"/>
        <v>1.0003725999999999</v>
      </c>
      <c r="Q201">
        <f t="shared" ca="1" si="63"/>
        <v>1.6582619489368211</v>
      </c>
      <c r="R201">
        <f t="shared" ca="1" si="64"/>
        <v>8844.0637276630459</v>
      </c>
      <c r="S201">
        <f t="shared" ca="1" si="65"/>
        <v>2.9996081613277461</v>
      </c>
      <c r="T201">
        <f t="shared" ca="1" si="66"/>
        <v>-1</v>
      </c>
      <c r="U201">
        <f t="shared" ca="1" si="67"/>
        <v>8846</v>
      </c>
      <c r="V201">
        <f t="shared" ca="1" si="68"/>
        <v>1.658625</v>
      </c>
      <c r="X201">
        <f t="shared" ca="1" si="69"/>
        <v>1.6569852512953676</v>
      </c>
    </row>
    <row r="202" spans="5:24" x14ac:dyDescent="0.25">
      <c r="E202">
        <v>200</v>
      </c>
      <c r="F202">
        <f t="shared" si="53"/>
        <v>40</v>
      </c>
      <c r="G202">
        <f t="shared" ca="1" si="54"/>
        <v>39.993000000000002</v>
      </c>
      <c r="H202" s="5">
        <f t="shared" ca="1" si="55"/>
        <v>6.9999999999978968E-3</v>
      </c>
      <c r="I202" s="5">
        <f t="shared" ca="1" si="56"/>
        <v>1.7499999999994741E-4</v>
      </c>
      <c r="J202" s="10">
        <f t="shared" si="57"/>
        <v>1.6666666666666663</v>
      </c>
      <c r="K202" s="12">
        <f t="shared" ca="1" si="58"/>
        <v>1.6660833333333331</v>
      </c>
      <c r="L202" s="5">
        <f t="shared" ca="1" si="59"/>
        <v>3.4999999999989494E-4</v>
      </c>
      <c r="N202">
        <f t="shared" ca="1" si="60"/>
        <v>14.993000000000002</v>
      </c>
      <c r="O202">
        <f t="shared" ca="1" si="61"/>
        <v>1.0224895000000001E-3</v>
      </c>
      <c r="P202">
        <f t="shared" ca="1" si="62"/>
        <v>1.000374825</v>
      </c>
      <c r="Q202">
        <f t="shared" ca="1" si="63"/>
        <v>1.6656849502641229</v>
      </c>
      <c r="R202">
        <f t="shared" ca="1" si="64"/>
        <v>8883.6530680753222</v>
      </c>
      <c r="S202">
        <f t="shared" ca="1" si="65"/>
        <v>3.0096303785682688</v>
      </c>
      <c r="T202">
        <f t="shared" ca="1" si="66"/>
        <v>3</v>
      </c>
      <c r="U202">
        <f t="shared" ca="1" si="67"/>
        <v>8890</v>
      </c>
      <c r="V202">
        <f t="shared" ca="1" si="68"/>
        <v>1.6668750000000001</v>
      </c>
      <c r="X202">
        <f t="shared" ca="1" si="69"/>
        <v>1.6652283412869773</v>
      </c>
    </row>
    <row r="203" spans="5:24" x14ac:dyDescent="0.25">
      <c r="E203">
        <v>201</v>
      </c>
      <c r="F203">
        <f t="shared" si="53"/>
        <v>40.1</v>
      </c>
      <c r="G203">
        <f t="shared" ca="1" si="54"/>
        <v>40.097999999999999</v>
      </c>
      <c r="H203" s="5">
        <f t="shared" ca="1" si="55"/>
        <v>2.0000000000024443E-3</v>
      </c>
      <c r="I203" s="5">
        <f t="shared" ca="1" si="56"/>
        <v>4.987531172075921E-5</v>
      </c>
      <c r="J203" s="10">
        <f t="shared" si="57"/>
        <v>1.675</v>
      </c>
      <c r="K203" s="12">
        <f t="shared" ca="1" si="58"/>
        <v>1.6748333333333332</v>
      </c>
      <c r="L203" s="5">
        <f t="shared" ca="1" si="59"/>
        <v>9.9502487562310658E-5</v>
      </c>
      <c r="N203">
        <f t="shared" ca="1" si="60"/>
        <v>15.097999999999999</v>
      </c>
      <c r="O203">
        <f t="shared" ca="1" si="61"/>
        <v>1.022647E-3</v>
      </c>
      <c r="P203">
        <f t="shared" ca="1" si="62"/>
        <v>1.00037745</v>
      </c>
      <c r="Q203">
        <f t="shared" ca="1" si="63"/>
        <v>1.6744424661768895</v>
      </c>
      <c r="R203">
        <f t="shared" ca="1" si="64"/>
        <v>8930.3598196100775</v>
      </c>
      <c r="S203">
        <f t="shared" ca="1" si="65"/>
        <v>3.0213986378537943</v>
      </c>
      <c r="T203">
        <f t="shared" ca="1" si="66"/>
        <v>3</v>
      </c>
      <c r="U203">
        <f t="shared" ca="1" si="67"/>
        <v>8936</v>
      </c>
      <c r="V203">
        <f t="shared" ca="1" si="68"/>
        <v>1.6755</v>
      </c>
      <c r="X203">
        <f t="shared" ca="1" si="69"/>
        <v>1.6738455599933804</v>
      </c>
    </row>
    <row r="204" spans="5:24" x14ac:dyDescent="0.25">
      <c r="E204">
        <v>202</v>
      </c>
      <c r="F204">
        <f t="shared" si="53"/>
        <v>40.200000000000003</v>
      </c>
      <c r="G204">
        <f t="shared" ca="1" si="54"/>
        <v>40.198</v>
      </c>
      <c r="H204" s="5">
        <f t="shared" ca="1" si="55"/>
        <v>2.0000000000024443E-3</v>
      </c>
      <c r="I204" s="5">
        <f t="shared" ca="1" si="56"/>
        <v>4.9751243781155329E-5</v>
      </c>
      <c r="J204" s="10">
        <f t="shared" si="57"/>
        <v>1.6833333333333333</v>
      </c>
      <c r="K204" s="12">
        <f t="shared" ca="1" si="58"/>
        <v>1.6831666666666665</v>
      </c>
      <c r="L204" s="5">
        <f t="shared" ca="1" si="59"/>
        <v>9.9009900990220013E-5</v>
      </c>
      <c r="N204">
        <f t="shared" ca="1" si="60"/>
        <v>15.198</v>
      </c>
      <c r="O204">
        <f t="shared" ca="1" si="61"/>
        <v>1.022797E-3</v>
      </c>
      <c r="P204">
        <f t="shared" ca="1" si="62"/>
        <v>1.0003799499999999</v>
      </c>
      <c r="Q204">
        <f t="shared" ca="1" si="63"/>
        <v>1.6827830002299462</v>
      </c>
      <c r="R204">
        <f t="shared" ca="1" si="64"/>
        <v>8974.8426678930464</v>
      </c>
      <c r="S204">
        <f t="shared" ca="1" si="65"/>
        <v>3.0325502378985956</v>
      </c>
      <c r="T204">
        <f t="shared" ca="1" si="66"/>
        <v>2</v>
      </c>
      <c r="U204">
        <f t="shared" ca="1" si="67"/>
        <v>8980</v>
      </c>
      <c r="V204">
        <f t="shared" ca="1" si="68"/>
        <v>1.6837500000000001</v>
      </c>
      <c r="X204">
        <f t="shared" ca="1" si="69"/>
        <v>1.6820880936288258</v>
      </c>
    </row>
    <row r="205" spans="5:24" x14ac:dyDescent="0.25">
      <c r="E205">
        <v>203</v>
      </c>
      <c r="F205">
        <f t="shared" si="53"/>
        <v>40.299999999999997</v>
      </c>
      <c r="G205">
        <f t="shared" ca="1" si="54"/>
        <v>40.305999999999997</v>
      </c>
      <c r="H205" s="5">
        <f t="shared" ca="1" si="55"/>
        <v>6.0000000000002274E-3</v>
      </c>
      <c r="I205" s="5">
        <f t="shared" ca="1" si="56"/>
        <v>1.4888337468983197E-4</v>
      </c>
      <c r="J205" s="10">
        <f t="shared" si="57"/>
        <v>1.6916666666666662</v>
      </c>
      <c r="K205" s="12">
        <f t="shared" ca="1" si="58"/>
        <v>1.6921666666666664</v>
      </c>
      <c r="L205" s="5">
        <f t="shared" ca="1" si="59"/>
        <v>2.9556650246315299E-4</v>
      </c>
      <c r="N205">
        <f t="shared" ca="1" si="60"/>
        <v>15.305999999999997</v>
      </c>
      <c r="O205">
        <f t="shared" ca="1" si="61"/>
        <v>1.0229589999999999E-3</v>
      </c>
      <c r="P205">
        <f t="shared" ca="1" si="62"/>
        <v>1.0003826499999999</v>
      </c>
      <c r="Q205">
        <f t="shared" ca="1" si="63"/>
        <v>1.691790823806405</v>
      </c>
      <c r="R205">
        <f t="shared" ca="1" si="64"/>
        <v>9022.88439363416</v>
      </c>
      <c r="S205">
        <f t="shared" ca="1" si="65"/>
        <v>3.0445320708108166</v>
      </c>
      <c r="T205">
        <f t="shared" ca="1" si="66"/>
        <v>2</v>
      </c>
      <c r="U205">
        <f t="shared" ca="1" si="67"/>
        <v>9028</v>
      </c>
      <c r="V205">
        <f t="shared" ca="1" si="68"/>
        <v>1.69275</v>
      </c>
      <c r="X205">
        <f t="shared" ca="1" si="69"/>
        <v>1.6910799492574169</v>
      </c>
    </row>
    <row r="206" spans="5:24" x14ac:dyDescent="0.25">
      <c r="E206">
        <v>204</v>
      </c>
      <c r="F206">
        <f t="shared" si="53"/>
        <v>40.400000000000006</v>
      </c>
      <c r="G206">
        <f t="shared" ca="1" si="54"/>
        <v>40.397000000000006</v>
      </c>
      <c r="H206" s="5">
        <f t="shared" ca="1" si="55"/>
        <v>3.0000000000001137E-3</v>
      </c>
      <c r="I206" s="5">
        <f t="shared" ca="1" si="56"/>
        <v>7.4257425742577061E-5</v>
      </c>
      <c r="J206" s="10">
        <f t="shared" si="57"/>
        <v>1.7000000000000004</v>
      </c>
      <c r="K206" s="12">
        <f t="shared" ca="1" si="58"/>
        <v>1.6997500000000001</v>
      </c>
      <c r="L206" s="5">
        <f t="shared" ca="1" si="59"/>
        <v>1.4705882352959146E-4</v>
      </c>
      <c r="N206">
        <f t="shared" ca="1" si="60"/>
        <v>15.397000000000006</v>
      </c>
      <c r="O206">
        <f t="shared" ca="1" si="61"/>
        <v>1.0230955000000001E-3</v>
      </c>
      <c r="P206">
        <f t="shared" ca="1" si="62"/>
        <v>1.0003849250000001</v>
      </c>
      <c r="Q206">
        <f t="shared" ca="1" si="63"/>
        <v>1.699380786953715</v>
      </c>
      <c r="R206">
        <f t="shared" ca="1" si="64"/>
        <v>9063.3641970864792</v>
      </c>
      <c r="S206">
        <f t="shared" ca="1" si="65"/>
        <v>3.0545777958138425</v>
      </c>
      <c r="T206">
        <f t="shared" ca="1" si="66"/>
        <v>3</v>
      </c>
      <c r="U206">
        <f t="shared" ca="1" si="67"/>
        <v>9069</v>
      </c>
      <c r="V206">
        <f t="shared" ca="1" si="68"/>
        <v>1.7004375</v>
      </c>
      <c r="X206">
        <f t="shared" ca="1" si="69"/>
        <v>1.6987605091110305</v>
      </c>
    </row>
    <row r="207" spans="5:24" x14ac:dyDescent="0.25">
      <c r="E207">
        <v>205</v>
      </c>
      <c r="F207">
        <f t="shared" si="53"/>
        <v>40.5</v>
      </c>
      <c r="G207">
        <f t="shared" ca="1" si="54"/>
        <v>40.494</v>
      </c>
      <c r="H207" s="5">
        <f t="shared" ca="1" si="55"/>
        <v>6.0000000000002274E-3</v>
      </c>
      <c r="I207" s="5">
        <f t="shared" ca="1" si="56"/>
        <v>1.4814814814815376E-4</v>
      </c>
      <c r="J207" s="10">
        <f t="shared" si="57"/>
        <v>1.7083333333333333</v>
      </c>
      <c r="K207" s="12">
        <f t="shared" ca="1" si="58"/>
        <v>1.7078333333333331</v>
      </c>
      <c r="L207" s="5">
        <f t="shared" ca="1" si="59"/>
        <v>2.9268292682936602E-4</v>
      </c>
      <c r="N207">
        <f t="shared" ca="1" si="60"/>
        <v>15.494</v>
      </c>
      <c r="O207">
        <f t="shared" ca="1" si="61"/>
        <v>1.023241E-3</v>
      </c>
      <c r="P207">
        <f t="shared" ca="1" si="62"/>
        <v>1.00038735</v>
      </c>
      <c r="Q207">
        <f t="shared" ca="1" si="63"/>
        <v>1.7074712252225985</v>
      </c>
      <c r="R207">
        <f t="shared" ca="1" si="64"/>
        <v>9106.513201187192</v>
      </c>
      <c r="S207">
        <f t="shared" ca="1" si="65"/>
        <v>3.065235265042944</v>
      </c>
      <c r="T207">
        <f t="shared" ca="1" si="66"/>
        <v>3</v>
      </c>
      <c r="U207">
        <f t="shared" ca="1" si="67"/>
        <v>9113</v>
      </c>
      <c r="V207">
        <f t="shared" ca="1" si="68"/>
        <v>1.7086875000000001</v>
      </c>
      <c r="X207">
        <f t="shared" ca="1" si="69"/>
        <v>1.7070030513680527</v>
      </c>
    </row>
    <row r="208" spans="5:24" x14ac:dyDescent="0.25">
      <c r="E208">
        <v>206</v>
      </c>
      <c r="F208">
        <f t="shared" si="53"/>
        <v>40.6</v>
      </c>
      <c r="G208">
        <f t="shared" ca="1" si="54"/>
        <v>40.591999999999999</v>
      </c>
      <c r="H208" s="5">
        <f t="shared" ca="1" si="55"/>
        <v>8.0000000000026716E-3</v>
      </c>
      <c r="I208" s="5">
        <f t="shared" ca="1" si="56"/>
        <v>1.9704433497543525E-4</v>
      </c>
      <c r="J208" s="10">
        <f t="shared" si="57"/>
        <v>1.7166666666666666</v>
      </c>
      <c r="K208" s="12">
        <f t="shared" ca="1" si="58"/>
        <v>1.7159999999999995</v>
      </c>
      <c r="L208" s="5">
        <f t="shared" ca="1" si="59"/>
        <v>3.8834951456332274E-4</v>
      </c>
      <c r="N208">
        <f t="shared" ca="1" si="60"/>
        <v>15.591999999999999</v>
      </c>
      <c r="O208">
        <f t="shared" ca="1" si="61"/>
        <v>1.0233880000000001E-3</v>
      </c>
      <c r="P208">
        <f t="shared" ca="1" si="62"/>
        <v>1.0003898</v>
      </c>
      <c r="Q208">
        <f t="shared" ca="1" si="63"/>
        <v>1.7156451098833572</v>
      </c>
      <c r="R208">
        <f t="shared" ca="1" si="64"/>
        <v>9150.1072527112374</v>
      </c>
      <c r="S208">
        <f t="shared" ca="1" si="65"/>
        <v>3.0759493853861306</v>
      </c>
      <c r="T208">
        <f t="shared" ca="1" si="66"/>
        <v>3</v>
      </c>
      <c r="U208">
        <f t="shared" ca="1" si="67"/>
        <v>9156</v>
      </c>
      <c r="V208">
        <f t="shared" ca="1" si="68"/>
        <v>1.71675</v>
      </c>
      <c r="X208">
        <f t="shared" ca="1" si="69"/>
        <v>1.7150580823594963</v>
      </c>
    </row>
    <row r="209" spans="5:24" x14ac:dyDescent="0.25">
      <c r="E209">
        <v>207</v>
      </c>
      <c r="F209">
        <f t="shared" si="53"/>
        <v>40.700000000000003</v>
      </c>
      <c r="G209">
        <f t="shared" ca="1" si="54"/>
        <v>40.703000000000003</v>
      </c>
      <c r="H209" s="5">
        <f t="shared" ca="1" si="55"/>
        <v>3.0000000000001137E-3</v>
      </c>
      <c r="I209" s="5">
        <f t="shared" ca="1" si="56"/>
        <v>7.3710073710076492E-5</v>
      </c>
      <c r="J209" s="10">
        <f t="shared" si="57"/>
        <v>1.7249999999999999</v>
      </c>
      <c r="K209" s="12">
        <f t="shared" ca="1" si="58"/>
        <v>1.7252500000000002</v>
      </c>
      <c r="L209" s="5">
        <f t="shared" ca="1" si="59"/>
        <v>1.4492753623206119E-4</v>
      </c>
      <c r="N209">
        <f t="shared" ca="1" si="60"/>
        <v>15.703000000000003</v>
      </c>
      <c r="O209">
        <f t="shared" ca="1" si="61"/>
        <v>1.0235545E-3</v>
      </c>
      <c r="P209">
        <f t="shared" ca="1" si="62"/>
        <v>1.000392575</v>
      </c>
      <c r="Q209">
        <f t="shared" ca="1" si="63"/>
        <v>1.7249033336968425</v>
      </c>
      <c r="R209">
        <f t="shared" ca="1" si="64"/>
        <v>9199.4844463831596</v>
      </c>
      <c r="S209">
        <f t="shared" ca="1" si="65"/>
        <v>3.0880199231548575</v>
      </c>
      <c r="T209">
        <f t="shared" ca="1" si="66"/>
        <v>-1</v>
      </c>
      <c r="U209">
        <f t="shared" ca="1" si="67"/>
        <v>9202</v>
      </c>
      <c r="V209">
        <f t="shared" ca="1" si="68"/>
        <v>1.7253750000000001</v>
      </c>
      <c r="X209">
        <f t="shared" ca="1" si="69"/>
        <v>1.7236747738756459</v>
      </c>
    </row>
    <row r="210" spans="5:24" x14ac:dyDescent="0.25">
      <c r="E210">
        <v>208</v>
      </c>
      <c r="F210">
        <f t="shared" si="53"/>
        <v>40.799999999999997</v>
      </c>
      <c r="G210">
        <f t="shared" ca="1" si="54"/>
        <v>40.797999999999995</v>
      </c>
      <c r="H210" s="5">
        <f t="shared" ca="1" si="55"/>
        <v>2.0000000000024443E-3</v>
      </c>
      <c r="I210" s="5">
        <f t="shared" ca="1" si="56"/>
        <v>4.9019607843197169E-5</v>
      </c>
      <c r="J210" s="10">
        <f t="shared" si="57"/>
        <v>1.7333333333333327</v>
      </c>
      <c r="K210" s="12">
        <f t="shared" ca="1" si="58"/>
        <v>1.7331666666666659</v>
      </c>
      <c r="L210" s="5">
        <f t="shared" ca="1" si="59"/>
        <v>9.6153846153963695E-5</v>
      </c>
      <c r="N210">
        <f t="shared" ca="1" si="60"/>
        <v>15.797999999999995</v>
      </c>
      <c r="O210">
        <f t="shared" ca="1" si="61"/>
        <v>1.0236970000000001E-3</v>
      </c>
      <c r="P210">
        <f t="shared" ca="1" si="62"/>
        <v>1.00039495</v>
      </c>
      <c r="Q210">
        <f t="shared" ca="1" si="63"/>
        <v>1.7328270795325358</v>
      </c>
      <c r="R210">
        <f t="shared" ca="1" si="64"/>
        <v>9241.7444241735247</v>
      </c>
      <c r="S210">
        <f t="shared" ca="1" si="65"/>
        <v>3.0982956665942822</v>
      </c>
      <c r="T210">
        <f t="shared" ca="1" si="66"/>
        <v>1</v>
      </c>
      <c r="U210">
        <f t="shared" ca="1" si="67"/>
        <v>9246</v>
      </c>
      <c r="V210">
        <f t="shared" ca="1" si="68"/>
        <v>1.733625</v>
      </c>
      <c r="X210">
        <f t="shared" ca="1" si="69"/>
        <v>1.7319172822693678</v>
      </c>
    </row>
    <row r="211" spans="5:24" x14ac:dyDescent="0.25">
      <c r="E211">
        <v>209</v>
      </c>
      <c r="F211">
        <f t="shared" si="53"/>
        <v>40.900000000000006</v>
      </c>
      <c r="G211">
        <f t="shared" ca="1" si="54"/>
        <v>40.904000000000003</v>
      </c>
      <c r="H211" s="5">
        <f t="shared" ca="1" si="55"/>
        <v>3.9999999999977831E-3</v>
      </c>
      <c r="I211" s="5">
        <f t="shared" ca="1" si="56"/>
        <v>9.7799511002390769E-5</v>
      </c>
      <c r="J211" s="10">
        <f t="shared" si="57"/>
        <v>1.7416666666666669</v>
      </c>
      <c r="K211" s="12">
        <f t="shared" ca="1" si="58"/>
        <v>1.7420000000000002</v>
      </c>
      <c r="L211" s="5">
        <f t="shared" ca="1" si="59"/>
        <v>1.9138755980859133E-4</v>
      </c>
      <c r="N211">
        <f t="shared" ca="1" si="60"/>
        <v>15.904000000000003</v>
      </c>
      <c r="O211">
        <f t="shared" ca="1" si="61"/>
        <v>1.0238560000000001E-3</v>
      </c>
      <c r="P211">
        <f t="shared" ca="1" si="62"/>
        <v>1.0003976000000001</v>
      </c>
      <c r="Q211">
        <f t="shared" ca="1" si="63"/>
        <v>1.7416683561148547</v>
      </c>
      <c r="R211">
        <f t="shared" ca="1" si="64"/>
        <v>9288.8978992792254</v>
      </c>
      <c r="S211">
        <f t="shared" ca="1" si="65"/>
        <v>3.109701247283617</v>
      </c>
      <c r="T211">
        <f t="shared" ca="1" si="66"/>
        <v>3</v>
      </c>
      <c r="U211">
        <f t="shared" ca="1" si="67"/>
        <v>9295</v>
      </c>
      <c r="V211">
        <f t="shared" ca="1" si="68"/>
        <v>1.7428125000000001</v>
      </c>
      <c r="X211">
        <f t="shared" ca="1" si="69"/>
        <v>1.7410963840776905</v>
      </c>
    </row>
    <row r="212" spans="5:24" x14ac:dyDescent="0.25">
      <c r="E212">
        <v>210</v>
      </c>
      <c r="F212">
        <f t="shared" si="53"/>
        <v>41</v>
      </c>
      <c r="G212">
        <f t="shared" ca="1" si="54"/>
        <v>40.994</v>
      </c>
      <c r="H212" s="5">
        <f t="shared" ca="1" si="55"/>
        <v>6.0000000000002274E-3</v>
      </c>
      <c r="I212" s="5">
        <f t="shared" ca="1" si="56"/>
        <v>1.463414634146397E-4</v>
      </c>
      <c r="J212" s="10">
        <f t="shared" si="57"/>
        <v>1.7499999999999998</v>
      </c>
      <c r="K212" s="12">
        <f t="shared" ca="1" si="58"/>
        <v>1.7494999999999996</v>
      </c>
      <c r="L212" s="5">
        <f t="shared" ca="1" si="59"/>
        <v>2.8571428571438115E-4</v>
      </c>
      <c r="N212">
        <f t="shared" ca="1" si="60"/>
        <v>15.994</v>
      </c>
      <c r="O212">
        <f t="shared" ca="1" si="61"/>
        <v>1.0239909999999999E-3</v>
      </c>
      <c r="P212">
        <f t="shared" ca="1" si="62"/>
        <v>1.00039985</v>
      </c>
      <c r="Q212">
        <f t="shared" ca="1" si="63"/>
        <v>1.7491751371321982</v>
      </c>
      <c r="R212">
        <f t="shared" ca="1" si="64"/>
        <v>9328.9340647050576</v>
      </c>
      <c r="S212">
        <f t="shared" ca="1" si="65"/>
        <v>3.1193353984229266</v>
      </c>
      <c r="T212">
        <f t="shared" ca="1" si="66"/>
        <v>-3</v>
      </c>
      <c r="U212">
        <f t="shared" ca="1" si="67"/>
        <v>9329</v>
      </c>
      <c r="V212">
        <f t="shared" ca="1" si="68"/>
        <v>1.7491875000000001</v>
      </c>
      <c r="X212">
        <f t="shared" ca="1" si="69"/>
        <v>1.7474647852056355</v>
      </c>
    </row>
    <row r="213" spans="5:24" x14ac:dyDescent="0.25">
      <c r="E213">
        <v>211</v>
      </c>
      <c r="F213">
        <f t="shared" si="53"/>
        <v>41.1</v>
      </c>
      <c r="G213">
        <f t="shared" ca="1" si="54"/>
        <v>41.103999999999999</v>
      </c>
      <c r="H213" s="5">
        <f t="shared" ca="1" si="55"/>
        <v>3.9999999999977831E-3</v>
      </c>
      <c r="I213" s="5">
        <f t="shared" ca="1" si="56"/>
        <v>9.732360097318207E-5</v>
      </c>
      <c r="J213" s="10">
        <f t="shared" si="57"/>
        <v>1.7583333333333331</v>
      </c>
      <c r="K213" s="12">
        <f t="shared" ca="1" si="58"/>
        <v>1.7586666666666664</v>
      </c>
      <c r="L213" s="5">
        <f t="shared" ca="1" si="59"/>
        <v>1.8957345971561896E-4</v>
      </c>
      <c r="N213">
        <f t="shared" ca="1" si="60"/>
        <v>16.103999999999999</v>
      </c>
      <c r="O213">
        <f t="shared" ca="1" si="61"/>
        <v>1.024156E-3</v>
      </c>
      <c r="P213">
        <f t="shared" ca="1" si="62"/>
        <v>1.0004025999999999</v>
      </c>
      <c r="Q213">
        <f t="shared" ca="1" si="63"/>
        <v>1.7583501375414607</v>
      </c>
      <c r="R213">
        <f t="shared" ca="1" si="64"/>
        <v>9377.8674002211246</v>
      </c>
      <c r="S213">
        <f t="shared" ca="1" si="65"/>
        <v>3.1310481032985042</v>
      </c>
      <c r="T213">
        <f t="shared" ca="1" si="66"/>
        <v>-3</v>
      </c>
      <c r="U213">
        <f t="shared" ca="1" si="67"/>
        <v>9378</v>
      </c>
      <c r="V213">
        <f t="shared" ca="1" si="68"/>
        <v>1.758375</v>
      </c>
      <c r="X213">
        <f t="shared" ca="1" si="69"/>
        <v>1.7566436192788786</v>
      </c>
    </row>
    <row r="214" spans="5:24" x14ac:dyDescent="0.25">
      <c r="E214">
        <v>212</v>
      </c>
      <c r="F214">
        <f t="shared" si="53"/>
        <v>41.2</v>
      </c>
      <c r="G214">
        <f t="shared" ca="1" si="54"/>
        <v>41.206000000000003</v>
      </c>
      <c r="H214" s="5">
        <f t="shared" ca="1" si="55"/>
        <v>6.0000000000002274E-3</v>
      </c>
      <c r="I214" s="5">
        <f t="shared" ca="1" si="56"/>
        <v>1.4563106796117056E-4</v>
      </c>
      <c r="J214" s="10">
        <f t="shared" si="57"/>
        <v>1.7666666666666668</v>
      </c>
      <c r="K214" s="12">
        <f t="shared" ca="1" si="58"/>
        <v>1.7671666666666666</v>
      </c>
      <c r="L214" s="5">
        <f t="shared" ca="1" si="59"/>
        <v>2.8301886792437143E-4</v>
      </c>
      <c r="N214">
        <f t="shared" ca="1" si="60"/>
        <v>16.206000000000003</v>
      </c>
      <c r="O214">
        <f t="shared" ca="1" si="61"/>
        <v>1.0243089999999999E-3</v>
      </c>
      <c r="P214">
        <f t="shared" ca="1" si="62"/>
        <v>1.00040515</v>
      </c>
      <c r="Q214">
        <f t="shared" ca="1" si="63"/>
        <v>1.7668579102428752</v>
      </c>
      <c r="R214">
        <f t="shared" ca="1" si="64"/>
        <v>9423.2421879620015</v>
      </c>
      <c r="S214">
        <f t="shared" ca="1" si="65"/>
        <v>3.1418474605934543</v>
      </c>
      <c r="T214">
        <f t="shared" ca="1" si="66"/>
        <v>-2</v>
      </c>
      <c r="U214">
        <f t="shared" ca="1" si="67"/>
        <v>9424</v>
      </c>
      <c r="V214">
        <f t="shared" ca="1" si="68"/>
        <v>1.7670000000000001</v>
      </c>
      <c r="X214">
        <f t="shared" ca="1" si="69"/>
        <v>1.7652604957101632</v>
      </c>
    </row>
    <row r="215" spans="5:24" x14ac:dyDescent="0.25">
      <c r="E215">
        <v>213</v>
      </c>
      <c r="F215">
        <f t="shared" si="53"/>
        <v>41.3</v>
      </c>
      <c r="G215">
        <f t="shared" ca="1" si="54"/>
        <v>41.305999999999997</v>
      </c>
      <c r="H215" s="5">
        <f t="shared" ca="1" si="55"/>
        <v>6.0000000000002274E-3</v>
      </c>
      <c r="I215" s="5">
        <f t="shared" ca="1" si="56"/>
        <v>1.4527845036320163E-4</v>
      </c>
      <c r="J215" s="10">
        <f t="shared" si="57"/>
        <v>1.7749999999999997</v>
      </c>
      <c r="K215" s="12">
        <f t="shared" ca="1" si="58"/>
        <v>1.7754999999999994</v>
      </c>
      <c r="L215" s="5">
        <f t="shared" ca="1" si="59"/>
        <v>2.8169014084491437E-4</v>
      </c>
      <c r="N215">
        <f t="shared" ca="1" si="60"/>
        <v>16.305999999999997</v>
      </c>
      <c r="O215">
        <f t="shared" ca="1" si="61"/>
        <v>1.0244589999999999E-3</v>
      </c>
      <c r="P215">
        <f t="shared" ca="1" si="62"/>
        <v>1.0004076500000001</v>
      </c>
      <c r="Q215">
        <f t="shared" ca="1" si="63"/>
        <v>1.7751989059542883</v>
      </c>
      <c r="R215">
        <f t="shared" ca="1" si="64"/>
        <v>9467.7274984228716</v>
      </c>
      <c r="S215">
        <f t="shared" ca="1" si="65"/>
        <v>3.152377398967122</v>
      </c>
      <c r="T215">
        <f t="shared" ca="1" si="66"/>
        <v>1</v>
      </c>
      <c r="U215">
        <f t="shared" ca="1" si="67"/>
        <v>9472</v>
      </c>
      <c r="V215">
        <f t="shared" ca="1" si="68"/>
        <v>1.776</v>
      </c>
      <c r="X215">
        <f t="shared" ca="1" si="69"/>
        <v>1.7742522670633316</v>
      </c>
    </row>
    <row r="216" spans="5:24" x14ac:dyDescent="0.25">
      <c r="E216">
        <v>214</v>
      </c>
      <c r="F216">
        <f t="shared" si="53"/>
        <v>41.400000000000006</v>
      </c>
      <c r="G216">
        <f t="shared" ca="1" si="54"/>
        <v>41.405000000000008</v>
      </c>
      <c r="H216" s="5">
        <f t="shared" ca="1" si="55"/>
        <v>5.000000000002558E-3</v>
      </c>
      <c r="I216" s="5">
        <f t="shared" ca="1" si="56"/>
        <v>1.2077294685996515E-4</v>
      </c>
      <c r="J216" s="10">
        <f t="shared" si="57"/>
        <v>1.7833333333333334</v>
      </c>
      <c r="K216" s="12">
        <f t="shared" ca="1" si="58"/>
        <v>1.7837500000000006</v>
      </c>
      <c r="L216" s="5">
        <f t="shared" ca="1" si="59"/>
        <v>2.3364485981336965E-4</v>
      </c>
      <c r="N216">
        <f t="shared" ca="1" si="60"/>
        <v>16.405000000000008</v>
      </c>
      <c r="O216">
        <f t="shared" ca="1" si="61"/>
        <v>1.0246075E-3</v>
      </c>
      <c r="P216">
        <f t="shared" ca="1" si="62"/>
        <v>1.0004101249999999</v>
      </c>
      <c r="Q216">
        <f t="shared" ca="1" si="63"/>
        <v>1.7834565327515997</v>
      </c>
      <c r="R216">
        <f t="shared" ca="1" si="64"/>
        <v>9511.7681746751987</v>
      </c>
      <c r="S216">
        <f t="shared" ca="1" si="65"/>
        <v>3.1627456055208434</v>
      </c>
      <c r="T216">
        <f t="shared" ca="1" si="66"/>
        <v>-1</v>
      </c>
      <c r="U216">
        <f t="shared" ca="1" si="67"/>
        <v>9514</v>
      </c>
      <c r="V216">
        <f t="shared" ca="1" si="68"/>
        <v>1.7838750000000001</v>
      </c>
      <c r="X216">
        <f t="shared" ca="1" si="69"/>
        <v>1.7821195007397594</v>
      </c>
    </row>
    <row r="217" spans="5:24" x14ac:dyDescent="0.25">
      <c r="E217">
        <v>215</v>
      </c>
      <c r="F217">
        <f t="shared" si="53"/>
        <v>41.5</v>
      </c>
      <c r="G217">
        <f t="shared" ca="1" si="54"/>
        <v>41.502000000000002</v>
      </c>
      <c r="H217" s="5">
        <f t="shared" ca="1" si="55"/>
        <v>2.0000000000024443E-3</v>
      </c>
      <c r="I217" s="5">
        <f t="shared" ca="1" si="56"/>
        <v>4.8192771084396246E-5</v>
      </c>
      <c r="J217" s="10">
        <f t="shared" si="57"/>
        <v>1.7916666666666663</v>
      </c>
      <c r="K217" s="12">
        <f t="shared" ca="1" si="58"/>
        <v>1.7918333333333332</v>
      </c>
      <c r="L217" s="5">
        <f t="shared" ca="1" si="59"/>
        <v>9.3023255814067188E-5</v>
      </c>
      <c r="N217">
        <f t="shared" ca="1" si="60"/>
        <v>16.502000000000002</v>
      </c>
      <c r="O217">
        <f t="shared" ca="1" si="61"/>
        <v>1.024753E-3</v>
      </c>
      <c r="P217">
        <f t="shared" ca="1" si="62"/>
        <v>1.0004125500000001</v>
      </c>
      <c r="Q217">
        <f t="shared" ca="1" si="63"/>
        <v>1.7915473784131497</v>
      </c>
      <c r="R217">
        <f t="shared" ca="1" si="64"/>
        <v>9554.9193515367988</v>
      </c>
      <c r="S217">
        <f t="shared" ca="1" si="65"/>
        <v>3.1728497150292689</v>
      </c>
      <c r="T217">
        <f t="shared" ca="1" si="66"/>
        <v>3</v>
      </c>
      <c r="U217">
        <f t="shared" ca="1" si="67"/>
        <v>9561</v>
      </c>
      <c r="V217">
        <f t="shared" ca="1" si="68"/>
        <v>1.7926875</v>
      </c>
      <c r="X217">
        <f t="shared" ca="1" si="69"/>
        <v>1.7909239013445002</v>
      </c>
    </row>
    <row r="218" spans="5:24" x14ac:dyDescent="0.25">
      <c r="E218">
        <v>216</v>
      </c>
      <c r="F218">
        <f t="shared" si="53"/>
        <v>41.6</v>
      </c>
      <c r="G218">
        <f t="shared" ca="1" si="54"/>
        <v>41.591999999999999</v>
      </c>
      <c r="H218" s="5">
        <f t="shared" ca="1" si="55"/>
        <v>8.0000000000026716E-3</v>
      </c>
      <c r="I218" s="5">
        <f t="shared" ca="1" si="56"/>
        <v>1.9230769230775652E-4</v>
      </c>
      <c r="J218" s="10">
        <f t="shared" si="57"/>
        <v>1.8</v>
      </c>
      <c r="K218" s="12">
        <f t="shared" ca="1" si="58"/>
        <v>1.799333333333333</v>
      </c>
      <c r="L218" s="5">
        <f t="shared" ca="1" si="59"/>
        <v>3.703703703705763E-4</v>
      </c>
      <c r="N218">
        <f t="shared" ca="1" si="60"/>
        <v>16.591999999999999</v>
      </c>
      <c r="O218">
        <f t="shared" ca="1" si="61"/>
        <v>1.0248880000000001E-3</v>
      </c>
      <c r="P218">
        <f t="shared" ca="1" si="62"/>
        <v>1.0004147999999999</v>
      </c>
      <c r="Q218">
        <f t="shared" ca="1" si="63"/>
        <v>1.7990543836764572</v>
      </c>
      <c r="R218">
        <f t="shared" ca="1" si="64"/>
        <v>9594.9567129411043</v>
      </c>
      <c r="S218">
        <f t="shared" ca="1" si="65"/>
        <v>3.1821761417692795</v>
      </c>
      <c r="T218">
        <f t="shared" ca="1" si="66"/>
        <v>-3</v>
      </c>
      <c r="U218">
        <f t="shared" ca="1" si="67"/>
        <v>9595</v>
      </c>
      <c r="V218">
        <f t="shared" ca="1" si="68"/>
        <v>1.7990625</v>
      </c>
      <c r="X218">
        <f t="shared" ca="1" si="69"/>
        <v>1.7972920952388951</v>
      </c>
    </row>
    <row r="219" spans="5:24" x14ac:dyDescent="0.25">
      <c r="E219">
        <v>217</v>
      </c>
      <c r="F219">
        <f t="shared" si="53"/>
        <v>41.7</v>
      </c>
      <c r="G219">
        <f t="shared" ca="1" si="54"/>
        <v>41.693000000000005</v>
      </c>
      <c r="H219" s="5">
        <f t="shared" ca="1" si="55"/>
        <v>6.9999999999978968E-3</v>
      </c>
      <c r="I219" s="5">
        <f t="shared" ca="1" si="56"/>
        <v>1.6786570743400231E-4</v>
      </c>
      <c r="J219" s="10">
        <f t="shared" si="57"/>
        <v>1.8083333333333333</v>
      </c>
      <c r="K219" s="12">
        <f t="shared" ca="1" si="58"/>
        <v>1.8077500000000002</v>
      </c>
      <c r="L219" s="5">
        <f t="shared" ca="1" si="59"/>
        <v>3.2258064516119339E-4</v>
      </c>
      <c r="N219">
        <f t="shared" ca="1" si="60"/>
        <v>16.693000000000005</v>
      </c>
      <c r="O219">
        <f t="shared" ca="1" si="61"/>
        <v>1.0250395000000001E-3</v>
      </c>
      <c r="P219">
        <f t="shared" ca="1" si="62"/>
        <v>1.0004173249999999</v>
      </c>
      <c r="Q219">
        <f t="shared" ca="1" si="63"/>
        <v>1.8074789519941408</v>
      </c>
      <c r="R219">
        <f t="shared" ca="1" si="64"/>
        <v>9639.8877439687512</v>
      </c>
      <c r="S219">
        <f t="shared" ca="1" si="65"/>
        <v>3.1925866745783194</v>
      </c>
      <c r="T219">
        <f t="shared" ca="1" si="66"/>
        <v>-1</v>
      </c>
      <c r="U219">
        <f t="shared" ca="1" si="67"/>
        <v>9642</v>
      </c>
      <c r="V219">
        <f t="shared" ca="1" si="68"/>
        <v>1.8078750000000001</v>
      </c>
      <c r="X219">
        <f t="shared" ca="1" si="69"/>
        <v>1.8060962313902353</v>
      </c>
    </row>
    <row r="220" spans="5:24" x14ac:dyDescent="0.25">
      <c r="E220">
        <v>218</v>
      </c>
      <c r="F220">
        <f t="shared" si="53"/>
        <v>41.8</v>
      </c>
      <c r="G220">
        <f t="shared" ca="1" si="54"/>
        <v>41.809999999999995</v>
      </c>
      <c r="H220" s="5">
        <f t="shared" ca="1" si="55"/>
        <v>9.9999999999980105E-3</v>
      </c>
      <c r="I220" s="5">
        <f t="shared" ca="1" si="56"/>
        <v>2.3923444976071796E-4</v>
      </c>
      <c r="J220" s="10">
        <f t="shared" si="57"/>
        <v>1.8166666666666662</v>
      </c>
      <c r="K220" s="12">
        <f t="shared" ca="1" si="58"/>
        <v>1.8174999999999992</v>
      </c>
      <c r="L220" s="5">
        <f t="shared" ca="1" si="59"/>
        <v>4.587155963301026E-4</v>
      </c>
      <c r="N220">
        <f t="shared" ca="1" si="60"/>
        <v>16.809999999999995</v>
      </c>
      <c r="O220">
        <f t="shared" ca="1" si="61"/>
        <v>1.0252150000000001E-3</v>
      </c>
      <c r="P220">
        <f t="shared" ca="1" si="62"/>
        <v>1.0004202499999999</v>
      </c>
      <c r="Q220">
        <f t="shared" ca="1" si="63"/>
        <v>1.8172381585283952</v>
      </c>
      <c r="R220">
        <f t="shared" ca="1" si="64"/>
        <v>9691.9368454847736</v>
      </c>
      <c r="S220">
        <f t="shared" ca="1" si="65"/>
        <v>3.2045723895417884</v>
      </c>
      <c r="T220">
        <f t="shared" ca="1" si="66"/>
        <v>-2</v>
      </c>
      <c r="U220">
        <f t="shared" ca="1" si="67"/>
        <v>9693</v>
      </c>
      <c r="V220">
        <f t="shared" ca="1" si="68"/>
        <v>1.8174375</v>
      </c>
      <c r="X220">
        <f t="shared" ca="1" si="69"/>
        <v>1.8156492583991579</v>
      </c>
    </row>
    <row r="221" spans="5:24" x14ac:dyDescent="0.25">
      <c r="E221">
        <v>219</v>
      </c>
      <c r="F221">
        <f t="shared" si="53"/>
        <v>41.900000000000006</v>
      </c>
      <c r="G221">
        <f t="shared" ca="1" si="54"/>
        <v>41.906000000000006</v>
      </c>
      <c r="H221" s="5">
        <f t="shared" ca="1" si="55"/>
        <v>6.0000000000002274E-3</v>
      </c>
      <c r="I221" s="5">
        <f t="shared" ca="1" si="56"/>
        <v>1.4319809069212951E-4</v>
      </c>
      <c r="J221" s="10">
        <f t="shared" si="57"/>
        <v>1.8250000000000004</v>
      </c>
      <c r="K221" s="12">
        <f t="shared" ca="1" si="58"/>
        <v>1.8255000000000001</v>
      </c>
      <c r="L221" s="5">
        <f t="shared" ca="1" si="59"/>
        <v>2.7397260273957411E-4</v>
      </c>
      <c r="N221">
        <f t="shared" ca="1" si="60"/>
        <v>16.906000000000006</v>
      </c>
      <c r="O221">
        <f t="shared" ca="1" si="61"/>
        <v>1.025359E-3</v>
      </c>
      <c r="P221">
        <f t="shared" ca="1" si="62"/>
        <v>1.00042265</v>
      </c>
      <c r="Q221">
        <f t="shared" ca="1" si="63"/>
        <v>1.8252457552070187</v>
      </c>
      <c r="R221">
        <f t="shared" ca="1" si="64"/>
        <v>9734.6440277707661</v>
      </c>
      <c r="S221">
        <f t="shared" ca="1" si="65"/>
        <v>3.2143472876849888</v>
      </c>
      <c r="T221">
        <f t="shared" ca="1" si="66"/>
        <v>-2</v>
      </c>
      <c r="U221">
        <f t="shared" ca="1" si="67"/>
        <v>9736</v>
      </c>
      <c r="V221">
        <f t="shared" ca="1" si="68"/>
        <v>1.8255000000000001</v>
      </c>
      <c r="X221">
        <f t="shared" ca="1" si="69"/>
        <v>1.8237038525667129</v>
      </c>
    </row>
    <row r="222" spans="5:24" x14ac:dyDescent="0.25">
      <c r="E222">
        <v>220</v>
      </c>
      <c r="F222">
        <f t="shared" si="53"/>
        <v>42</v>
      </c>
      <c r="G222">
        <f t="shared" ca="1" si="54"/>
        <v>41.994999999999997</v>
      </c>
      <c r="H222" s="5">
        <f t="shared" ca="1" si="55"/>
        <v>5.000000000002558E-3</v>
      </c>
      <c r="I222" s="5">
        <f t="shared" ca="1" si="56"/>
        <v>1.1904761904767995E-4</v>
      </c>
      <c r="J222" s="10">
        <f t="shared" si="57"/>
        <v>1.8333333333333333</v>
      </c>
      <c r="K222" s="12">
        <f t="shared" ca="1" si="58"/>
        <v>1.8329166666666661</v>
      </c>
      <c r="L222" s="5">
        <f t="shared" ca="1" si="59"/>
        <v>2.2727272727300505E-4</v>
      </c>
      <c r="N222">
        <f t="shared" ca="1" si="60"/>
        <v>16.994999999999997</v>
      </c>
      <c r="O222">
        <f t="shared" ca="1" si="61"/>
        <v>1.0254925E-3</v>
      </c>
      <c r="P222">
        <f t="shared" ca="1" si="62"/>
        <v>1.000424875</v>
      </c>
      <c r="Q222">
        <f t="shared" ca="1" si="63"/>
        <v>1.8326694989292902</v>
      </c>
      <c r="R222">
        <f t="shared" ca="1" si="64"/>
        <v>9774.2373276228809</v>
      </c>
      <c r="S222">
        <f t="shared" ca="1" si="65"/>
        <v>3.2233613404638746</v>
      </c>
      <c r="T222">
        <f t="shared" ca="1" si="66"/>
        <v>3</v>
      </c>
      <c r="U222">
        <f t="shared" ca="1" si="67"/>
        <v>9780</v>
      </c>
      <c r="V222">
        <f t="shared" ca="1" si="68"/>
        <v>1.83375</v>
      </c>
      <c r="X222">
        <f t="shared" ca="1" si="69"/>
        <v>1.8319461593755353</v>
      </c>
    </row>
    <row r="223" spans="5:24" x14ac:dyDescent="0.25">
      <c r="E223">
        <v>221</v>
      </c>
      <c r="F223">
        <f t="shared" si="53"/>
        <v>42.1</v>
      </c>
      <c r="G223">
        <f t="shared" ca="1" si="54"/>
        <v>42.09</v>
      </c>
      <c r="H223" s="5">
        <f t="shared" ca="1" si="55"/>
        <v>9.9999999999980105E-3</v>
      </c>
      <c r="I223" s="5">
        <f t="shared" ca="1" si="56"/>
        <v>2.3752969121135415E-4</v>
      </c>
      <c r="J223" s="10">
        <f t="shared" si="57"/>
        <v>1.8416666666666666</v>
      </c>
      <c r="K223" s="12">
        <f t="shared" ca="1" si="58"/>
        <v>1.8408333333333335</v>
      </c>
      <c r="L223" s="5">
        <f t="shared" ca="1" si="59"/>
        <v>4.5248868778263507E-4</v>
      </c>
      <c r="N223">
        <f t="shared" ca="1" si="60"/>
        <v>17.090000000000003</v>
      </c>
      <c r="O223">
        <f t="shared" ca="1" si="61"/>
        <v>1.025635E-3</v>
      </c>
      <c r="P223">
        <f t="shared" ca="1" si="62"/>
        <v>1.00042725</v>
      </c>
      <c r="Q223">
        <f t="shared" ca="1" si="63"/>
        <v>1.8405937561724466</v>
      </c>
      <c r="R223">
        <f t="shared" ca="1" si="64"/>
        <v>9816.5000329197155</v>
      </c>
      <c r="S223">
        <f t="shared" ca="1" si="65"/>
        <v>3.232931874109263</v>
      </c>
      <c r="T223">
        <f t="shared" ca="1" si="66"/>
        <v>3</v>
      </c>
      <c r="U223">
        <f t="shared" ca="1" si="67"/>
        <v>9823</v>
      </c>
      <c r="V223">
        <f t="shared" ca="1" si="68"/>
        <v>1.8418125000000001</v>
      </c>
      <c r="X223">
        <f t="shared" ca="1" si="69"/>
        <v>1.8400007246903762</v>
      </c>
    </row>
    <row r="224" spans="5:24" x14ac:dyDescent="0.25">
      <c r="E224">
        <v>222</v>
      </c>
      <c r="F224">
        <f t="shared" si="53"/>
        <v>42.2</v>
      </c>
      <c r="G224">
        <f t="shared" ca="1" si="54"/>
        <v>42.195</v>
      </c>
      <c r="H224" s="5">
        <f t="shared" ca="1" si="55"/>
        <v>5.000000000002558E-3</v>
      </c>
      <c r="I224" s="5">
        <f t="shared" ca="1" si="56"/>
        <v>1.1848341232233549E-4</v>
      </c>
      <c r="J224" s="10">
        <f t="shared" si="57"/>
        <v>1.8499999999999999</v>
      </c>
      <c r="K224" s="12">
        <f t="shared" ca="1" si="58"/>
        <v>1.8495833333333331</v>
      </c>
      <c r="L224" s="5">
        <f t="shared" ca="1" si="59"/>
        <v>2.2522522522526044E-4</v>
      </c>
      <c r="N224">
        <f t="shared" ca="1" si="60"/>
        <v>17.195</v>
      </c>
      <c r="O224">
        <f t="shared" ca="1" si="61"/>
        <v>1.0257924999999999E-3</v>
      </c>
      <c r="P224">
        <f t="shared" ca="1" si="62"/>
        <v>1.000429875</v>
      </c>
      <c r="Q224">
        <f t="shared" ca="1" si="63"/>
        <v>1.8493521895061991</v>
      </c>
      <c r="R224">
        <f t="shared" ca="1" si="64"/>
        <v>9863.2116773663947</v>
      </c>
      <c r="S224">
        <f t="shared" ca="1" si="65"/>
        <v>3.2434481261189347</v>
      </c>
      <c r="T224">
        <f t="shared" ca="1" si="66"/>
        <v>0</v>
      </c>
      <c r="U224">
        <f t="shared" ca="1" si="67"/>
        <v>9866</v>
      </c>
      <c r="V224">
        <f t="shared" ca="1" si="68"/>
        <v>1.8498749999999999</v>
      </c>
      <c r="X224">
        <f t="shared" ca="1" si="69"/>
        <v>1.8480547749536167</v>
      </c>
    </row>
    <row r="225" spans="5:24" x14ac:dyDescent="0.25">
      <c r="E225">
        <v>223</v>
      </c>
      <c r="F225">
        <f t="shared" si="53"/>
        <v>42.3</v>
      </c>
      <c r="G225">
        <f t="shared" ca="1" si="54"/>
        <v>42.293999999999997</v>
      </c>
      <c r="H225" s="5">
        <f t="shared" ca="1" si="55"/>
        <v>6.0000000000002274E-3</v>
      </c>
      <c r="I225" s="5">
        <f t="shared" ca="1" si="56"/>
        <v>1.4184397163121107E-4</v>
      </c>
      <c r="J225" s="10">
        <f t="shared" si="57"/>
        <v>1.8583333333333327</v>
      </c>
      <c r="K225" s="12">
        <f t="shared" ca="1" si="58"/>
        <v>1.857833333333333</v>
      </c>
      <c r="L225" s="5">
        <f t="shared" ca="1" si="59"/>
        <v>2.6905829596397655E-4</v>
      </c>
      <c r="N225">
        <f t="shared" ca="1" si="60"/>
        <v>17.293999999999997</v>
      </c>
      <c r="O225">
        <f t="shared" ca="1" si="61"/>
        <v>1.025941E-3</v>
      </c>
      <c r="P225">
        <f t="shared" ca="1" si="62"/>
        <v>1.0004323500000001</v>
      </c>
      <c r="Q225">
        <f t="shared" ca="1" si="63"/>
        <v>1.8576101830094085</v>
      </c>
      <c r="R225">
        <f t="shared" ca="1" si="64"/>
        <v>9907.254309383512</v>
      </c>
      <c r="S225">
        <f t="shared" ca="1" si="65"/>
        <v>3.2533039214319079</v>
      </c>
      <c r="T225">
        <f t="shared" ca="1" si="66"/>
        <v>1</v>
      </c>
      <c r="U225">
        <f t="shared" ca="1" si="67"/>
        <v>9912</v>
      </c>
      <c r="V225">
        <f t="shared" ca="1" si="68"/>
        <v>1.8585</v>
      </c>
      <c r="X225">
        <f t="shared" ca="1" si="69"/>
        <v>1.8566713271517059</v>
      </c>
    </row>
    <row r="226" spans="5:24" x14ac:dyDescent="0.25">
      <c r="E226">
        <v>224</v>
      </c>
      <c r="F226">
        <f t="shared" si="53"/>
        <v>42.400000000000006</v>
      </c>
      <c r="G226">
        <f t="shared" ca="1" si="54"/>
        <v>42.396000000000008</v>
      </c>
      <c r="H226" s="5">
        <f t="shared" ca="1" si="55"/>
        <v>3.9999999999977831E-3</v>
      </c>
      <c r="I226" s="5">
        <f t="shared" ca="1" si="56"/>
        <v>9.433962264145713E-5</v>
      </c>
      <c r="J226" s="10">
        <f t="shared" si="57"/>
        <v>1.8666666666666669</v>
      </c>
      <c r="K226" s="12">
        <f t="shared" ca="1" si="58"/>
        <v>1.8663333333333336</v>
      </c>
      <c r="L226" s="5">
        <f t="shared" ca="1" si="59"/>
        <v>1.7857142857140889E-4</v>
      </c>
      <c r="N226">
        <f t="shared" ca="1" si="60"/>
        <v>17.396000000000008</v>
      </c>
      <c r="O226">
        <f t="shared" ca="1" si="61"/>
        <v>1.026094E-3</v>
      </c>
      <c r="P226">
        <f t="shared" ca="1" si="62"/>
        <v>1.0004348999999999</v>
      </c>
      <c r="Q226">
        <f t="shared" ca="1" si="63"/>
        <v>1.8661184614517194</v>
      </c>
      <c r="R226">
        <f t="shared" ca="1" si="64"/>
        <v>9952.6317944091697</v>
      </c>
      <c r="S226">
        <f t="shared" ca="1" si="65"/>
        <v>3.2633977569602859</v>
      </c>
      <c r="T226">
        <f t="shared" ca="1" si="66"/>
        <v>2</v>
      </c>
      <c r="U226">
        <f t="shared" ca="1" si="67"/>
        <v>9958</v>
      </c>
      <c r="V226">
        <f t="shared" ca="1" si="68"/>
        <v>1.8671250000000001</v>
      </c>
      <c r="X226">
        <f t="shared" ca="1" si="69"/>
        <v>1.8652876923825832</v>
      </c>
    </row>
    <row r="227" spans="5:24" x14ac:dyDescent="0.25">
      <c r="E227">
        <v>225</v>
      </c>
      <c r="F227">
        <f t="shared" si="53"/>
        <v>42.5</v>
      </c>
      <c r="G227">
        <f t="shared" ca="1" si="54"/>
        <v>42.500999999999998</v>
      </c>
      <c r="H227" s="5">
        <f t="shared" ca="1" si="55"/>
        <v>9.9999999999766942E-4</v>
      </c>
      <c r="I227" s="5">
        <f t="shared" ca="1" si="56"/>
        <v>2.3529411764651047E-5</v>
      </c>
      <c r="J227" s="10">
        <f t="shared" si="57"/>
        <v>1.8749999999999998</v>
      </c>
      <c r="K227" s="12">
        <f t="shared" ca="1" si="58"/>
        <v>1.8750833333333328</v>
      </c>
      <c r="L227" s="5">
        <f t="shared" ca="1" si="59"/>
        <v>4.4444444444261921E-5</v>
      </c>
      <c r="N227">
        <f t="shared" ca="1" si="60"/>
        <v>17.500999999999998</v>
      </c>
      <c r="O227">
        <f t="shared" ca="1" si="61"/>
        <v>1.0262515000000001E-3</v>
      </c>
      <c r="P227">
        <f t="shared" ca="1" si="62"/>
        <v>1.0004375249999999</v>
      </c>
      <c r="Q227">
        <f t="shared" ca="1" si="63"/>
        <v>1.8748770286580618</v>
      </c>
      <c r="R227">
        <f t="shared" ca="1" si="64"/>
        <v>9999.3441528429958</v>
      </c>
      <c r="S227">
        <f t="shared" ca="1" si="65"/>
        <v>3.2737240035019561</v>
      </c>
      <c r="T227">
        <f t="shared" ca="1" si="66"/>
        <v>-1</v>
      </c>
      <c r="U227">
        <f t="shared" ca="1" si="67"/>
        <v>10002</v>
      </c>
      <c r="V227">
        <f t="shared" ca="1" si="68"/>
        <v>1.875375</v>
      </c>
      <c r="X227">
        <f t="shared" ca="1" si="69"/>
        <v>1.8735290327099638</v>
      </c>
    </row>
    <row r="228" spans="5:24" x14ac:dyDescent="0.25">
      <c r="E228">
        <v>226</v>
      </c>
      <c r="F228">
        <f t="shared" si="53"/>
        <v>42.6</v>
      </c>
      <c r="G228">
        <f t="shared" ca="1" si="54"/>
        <v>42.603999999999999</v>
      </c>
      <c r="H228" s="5">
        <f t="shared" ca="1" si="55"/>
        <v>3.9999999999977831E-3</v>
      </c>
      <c r="I228" s="5">
        <f t="shared" ca="1" si="56"/>
        <v>9.3896713614971433E-5</v>
      </c>
      <c r="J228" s="10">
        <f t="shared" si="57"/>
        <v>1.8833333333333331</v>
      </c>
      <c r="K228" s="12">
        <f t="shared" ca="1" si="58"/>
        <v>1.8836666666666664</v>
      </c>
      <c r="L228" s="5">
        <f t="shared" ca="1" si="59"/>
        <v>1.7699115044245842E-4</v>
      </c>
      <c r="N228">
        <f t="shared" ca="1" si="60"/>
        <v>17.603999999999999</v>
      </c>
      <c r="O228">
        <f t="shared" ca="1" si="61"/>
        <v>1.0264060000000001E-3</v>
      </c>
      <c r="P228">
        <f t="shared" ca="1" si="62"/>
        <v>1.0004401000000001</v>
      </c>
      <c r="Q228">
        <f t="shared" ca="1" si="63"/>
        <v>1.8834688106453858</v>
      </c>
      <c r="R228">
        <f t="shared" ca="1" si="64"/>
        <v>10045.166990108724</v>
      </c>
      <c r="S228">
        <f t="shared" ca="1" si="65"/>
        <v>3.2837898165428605</v>
      </c>
      <c r="T228">
        <f t="shared" ca="1" si="66"/>
        <v>-1</v>
      </c>
      <c r="U228">
        <f t="shared" ca="1" si="67"/>
        <v>10047</v>
      </c>
      <c r="V228">
        <f t="shared" ca="1" si="68"/>
        <v>1.8838125000000001</v>
      </c>
      <c r="X228">
        <f t="shared" ca="1" si="69"/>
        <v>1.8819578443527003</v>
      </c>
    </row>
    <row r="229" spans="5:24" x14ac:dyDescent="0.25">
      <c r="E229">
        <v>227</v>
      </c>
      <c r="F229">
        <f t="shared" si="53"/>
        <v>42.7</v>
      </c>
      <c r="G229">
        <f t="shared" ca="1" si="54"/>
        <v>42.704000000000001</v>
      </c>
      <c r="H229" s="5">
        <f t="shared" ca="1" si="55"/>
        <v>3.9999999999977831E-3</v>
      </c>
      <c r="I229" s="5">
        <f t="shared" ca="1" si="56"/>
        <v>9.3676814988238478E-5</v>
      </c>
      <c r="J229" s="10">
        <f t="shared" si="57"/>
        <v>1.8916666666666668</v>
      </c>
      <c r="K229" s="12">
        <f t="shared" ca="1" si="58"/>
        <v>1.8919999999999997</v>
      </c>
      <c r="L229" s="5">
        <f t="shared" ca="1" si="59"/>
        <v>1.7621145374423921E-4</v>
      </c>
      <c r="N229">
        <f t="shared" ca="1" si="60"/>
        <v>17.704000000000001</v>
      </c>
      <c r="O229">
        <f t="shared" ca="1" si="61"/>
        <v>1.0265560000000001E-3</v>
      </c>
      <c r="P229">
        <f t="shared" ca="1" si="62"/>
        <v>1.0004426</v>
      </c>
      <c r="Q229">
        <f t="shared" ca="1" si="63"/>
        <v>1.891810388846314</v>
      </c>
      <c r="R229">
        <f t="shared" ca="1" si="64"/>
        <v>10089.655407180342</v>
      </c>
      <c r="S229">
        <f t="shared" ca="1" si="65"/>
        <v>3.2935018655121842</v>
      </c>
      <c r="T229">
        <f t="shared" ca="1" si="66"/>
        <v>3</v>
      </c>
      <c r="U229">
        <f t="shared" ca="1" si="67"/>
        <v>10096</v>
      </c>
      <c r="V229">
        <f t="shared" ca="1" si="68"/>
        <v>1.893</v>
      </c>
      <c r="X229">
        <f t="shared" ca="1" si="69"/>
        <v>1.8911364270174023</v>
      </c>
    </row>
    <row r="230" spans="5:24" x14ac:dyDescent="0.25">
      <c r="E230">
        <v>228</v>
      </c>
      <c r="F230">
        <f t="shared" si="53"/>
        <v>42.8</v>
      </c>
      <c r="G230">
        <f t="shared" ca="1" si="54"/>
        <v>42.791999999999994</v>
      </c>
      <c r="H230" s="5">
        <f t="shared" ca="1" si="55"/>
        <v>8.0000000000026716E-3</v>
      </c>
      <c r="I230" s="5">
        <f t="shared" ca="1" si="56"/>
        <v>1.8691588785052973E-4</v>
      </c>
      <c r="J230" s="10">
        <f t="shared" si="57"/>
        <v>1.8999999999999997</v>
      </c>
      <c r="K230" s="12">
        <f t="shared" ca="1" si="58"/>
        <v>1.8993333333333327</v>
      </c>
      <c r="L230" s="5">
        <f t="shared" ca="1" si="59"/>
        <v>3.5087719298265127E-4</v>
      </c>
      <c r="N230">
        <f t="shared" ca="1" si="60"/>
        <v>17.791999999999994</v>
      </c>
      <c r="O230">
        <f t="shared" ca="1" si="61"/>
        <v>1.026688E-3</v>
      </c>
      <c r="P230">
        <f t="shared" ca="1" si="62"/>
        <v>1.0004447999999999</v>
      </c>
      <c r="Q230">
        <f t="shared" ca="1" si="63"/>
        <v>1.8991510121291768</v>
      </c>
      <c r="R230">
        <f t="shared" ca="1" si="64"/>
        <v>10128.805398022276</v>
      </c>
      <c r="S230">
        <f t="shared" ca="1" si="65"/>
        <v>3.3019989507583016</v>
      </c>
      <c r="T230">
        <f t="shared" ca="1" si="66"/>
        <v>1</v>
      </c>
      <c r="U230">
        <f t="shared" ca="1" si="67"/>
        <v>10133</v>
      </c>
      <c r="V230">
        <f t="shared" ca="1" si="68"/>
        <v>1.8999375000000001</v>
      </c>
      <c r="X230">
        <f t="shared" ca="1" si="69"/>
        <v>1.8980665519976716</v>
      </c>
    </row>
    <row r="231" spans="5:24" x14ac:dyDescent="0.25">
      <c r="E231">
        <v>229</v>
      </c>
      <c r="F231">
        <f t="shared" si="53"/>
        <v>42.900000000000006</v>
      </c>
      <c r="G231">
        <f t="shared" ca="1" si="54"/>
        <v>42.902000000000008</v>
      </c>
      <c r="H231" s="5">
        <f t="shared" ca="1" si="55"/>
        <v>2.0000000000024443E-3</v>
      </c>
      <c r="I231" s="5">
        <f t="shared" ca="1" si="56"/>
        <v>4.6620046620103588E-5</v>
      </c>
      <c r="J231" s="10">
        <f t="shared" si="57"/>
        <v>1.9083333333333334</v>
      </c>
      <c r="K231" s="12">
        <f t="shared" ca="1" si="58"/>
        <v>1.9085000000000003</v>
      </c>
      <c r="L231" s="5">
        <f t="shared" ca="1" si="59"/>
        <v>8.733624454159145E-5</v>
      </c>
      <c r="N231">
        <f t="shared" ca="1" si="60"/>
        <v>17.902000000000008</v>
      </c>
      <c r="O231">
        <f t="shared" ca="1" si="61"/>
        <v>1.0268530000000001E-3</v>
      </c>
      <c r="P231">
        <f t="shared" ca="1" si="62"/>
        <v>1.0004475500000001</v>
      </c>
      <c r="Q231">
        <f t="shared" ca="1" si="63"/>
        <v>1.9083268366069404</v>
      </c>
      <c r="R231">
        <f t="shared" ca="1" si="64"/>
        <v>10177.743128570348</v>
      </c>
      <c r="S231">
        <f t="shared" ca="1" si="65"/>
        <v>3.3125549266306709</v>
      </c>
      <c r="T231">
        <f t="shared" ca="1" si="66"/>
        <v>3</v>
      </c>
      <c r="U231">
        <f t="shared" ca="1" si="67"/>
        <v>10184</v>
      </c>
      <c r="V231">
        <f t="shared" ca="1" si="68"/>
        <v>1.9095</v>
      </c>
      <c r="X231">
        <f t="shared" ca="1" si="69"/>
        <v>1.9076193919411366</v>
      </c>
    </row>
    <row r="232" spans="5:24" x14ac:dyDescent="0.25">
      <c r="E232">
        <v>230</v>
      </c>
      <c r="F232">
        <f t="shared" si="53"/>
        <v>43</v>
      </c>
      <c r="G232">
        <f t="shared" ca="1" si="54"/>
        <v>42.993000000000002</v>
      </c>
      <c r="H232" s="5">
        <f t="shared" ca="1" si="55"/>
        <v>6.9999999999978968E-3</v>
      </c>
      <c r="I232" s="5">
        <f t="shared" ca="1" si="56"/>
        <v>1.627906976743697E-4</v>
      </c>
      <c r="J232" s="10">
        <f t="shared" si="57"/>
        <v>1.9166666666666663</v>
      </c>
      <c r="K232" s="12">
        <f t="shared" ca="1" si="58"/>
        <v>1.9160833333333331</v>
      </c>
      <c r="L232" s="5">
        <f t="shared" ca="1" si="59"/>
        <v>3.0434782608686515E-4</v>
      </c>
      <c r="N232">
        <f t="shared" ca="1" si="60"/>
        <v>17.993000000000002</v>
      </c>
      <c r="O232">
        <f t="shared" ca="1" si="61"/>
        <v>1.0269895E-3</v>
      </c>
      <c r="P232">
        <f t="shared" ca="1" si="62"/>
        <v>1.000449825</v>
      </c>
      <c r="Q232">
        <f t="shared" ca="1" si="63"/>
        <v>1.915917784053198</v>
      </c>
      <c r="R232">
        <f t="shared" ca="1" si="64"/>
        <v>10218.228181617056</v>
      </c>
      <c r="S232">
        <f t="shared" ca="1" si="65"/>
        <v>3.3212325358122983</v>
      </c>
      <c r="T232">
        <f t="shared" ca="1" si="66"/>
        <v>2</v>
      </c>
      <c r="U232">
        <f t="shared" ca="1" si="67"/>
        <v>10224</v>
      </c>
      <c r="V232">
        <f t="shared" ca="1" si="68"/>
        <v>1.917</v>
      </c>
      <c r="X232">
        <f t="shared" ca="1" si="69"/>
        <v>1.9151115454490684</v>
      </c>
    </row>
    <row r="233" spans="5:24" x14ac:dyDescent="0.25">
      <c r="E233">
        <v>231</v>
      </c>
      <c r="F233">
        <f t="shared" si="53"/>
        <v>43.1</v>
      </c>
      <c r="G233">
        <f t="shared" ca="1" si="54"/>
        <v>43.100999999999999</v>
      </c>
      <c r="H233" s="5">
        <f t="shared" ca="1" si="55"/>
        <v>9.9999999999766942E-4</v>
      </c>
      <c r="I233" s="5">
        <f t="shared" ca="1" si="56"/>
        <v>2.3201856148437806E-5</v>
      </c>
      <c r="J233" s="10">
        <f t="shared" si="57"/>
        <v>1.925</v>
      </c>
      <c r="K233" s="12">
        <f t="shared" ca="1" si="58"/>
        <v>1.925083333333333</v>
      </c>
      <c r="L233" s="5">
        <f t="shared" ca="1" si="59"/>
        <v>4.3290043289865501E-5</v>
      </c>
      <c r="N233">
        <f t="shared" ca="1" si="60"/>
        <v>18.100999999999999</v>
      </c>
      <c r="O233">
        <f t="shared" ca="1" si="61"/>
        <v>1.0271515E-3</v>
      </c>
      <c r="P233">
        <f t="shared" ca="1" si="62"/>
        <v>1.000452525</v>
      </c>
      <c r="Q233">
        <f t="shared" ca="1" si="63"/>
        <v>1.9249268653570173</v>
      </c>
      <c r="R233">
        <f t="shared" ca="1" si="64"/>
        <v>10266.276615237426</v>
      </c>
      <c r="S233">
        <f t="shared" ca="1" si="65"/>
        <v>3.3314663459888769</v>
      </c>
      <c r="T233">
        <f t="shared" ca="1" si="66"/>
        <v>-2</v>
      </c>
      <c r="U233">
        <f t="shared" ca="1" si="67"/>
        <v>10268</v>
      </c>
      <c r="V233">
        <f t="shared" ca="1" si="68"/>
        <v>1.9252500000000001</v>
      </c>
      <c r="X233">
        <f t="shared" ca="1" si="69"/>
        <v>1.9233524834174416</v>
      </c>
    </row>
    <row r="234" spans="5:24" x14ac:dyDescent="0.25">
      <c r="E234">
        <v>232</v>
      </c>
      <c r="F234">
        <f t="shared" si="53"/>
        <v>43.2</v>
      </c>
      <c r="G234">
        <f t="shared" ca="1" si="54"/>
        <v>43.203000000000003</v>
      </c>
      <c r="H234" s="5">
        <f t="shared" ca="1" si="55"/>
        <v>3.0000000000001137E-3</v>
      </c>
      <c r="I234" s="5">
        <f t="shared" ca="1" si="56"/>
        <v>6.9444444444447074E-5</v>
      </c>
      <c r="J234" s="10">
        <f t="shared" si="57"/>
        <v>1.9333333333333333</v>
      </c>
      <c r="K234" s="12">
        <f t="shared" ca="1" si="58"/>
        <v>1.9335833333333332</v>
      </c>
      <c r="L234" s="5">
        <f t="shared" ca="1" si="59"/>
        <v>1.2931034482751454E-4</v>
      </c>
      <c r="N234">
        <f t="shared" ca="1" si="60"/>
        <v>18.203000000000003</v>
      </c>
      <c r="O234">
        <f t="shared" ca="1" si="61"/>
        <v>1.0273045000000001E-3</v>
      </c>
      <c r="P234">
        <f t="shared" ca="1" si="62"/>
        <v>1.0004550750000001</v>
      </c>
      <c r="Q234">
        <f t="shared" ca="1" si="63"/>
        <v>1.9334354867681547</v>
      </c>
      <c r="R234">
        <f t="shared" ca="1" si="64"/>
        <v>10311.655929430159</v>
      </c>
      <c r="S234">
        <f t="shared" ca="1" si="65"/>
        <v>3.341066751522983</v>
      </c>
      <c r="T234">
        <f t="shared" ca="1" si="66"/>
        <v>2</v>
      </c>
      <c r="U234">
        <f t="shared" ca="1" si="67"/>
        <v>10317</v>
      </c>
      <c r="V234">
        <f t="shared" ca="1" si="68"/>
        <v>1.9344375</v>
      </c>
      <c r="X234">
        <f t="shared" ca="1" si="69"/>
        <v>1.9325307490693671</v>
      </c>
    </row>
    <row r="235" spans="5:24" x14ac:dyDescent="0.25">
      <c r="E235">
        <v>233</v>
      </c>
      <c r="F235">
        <f t="shared" si="53"/>
        <v>43.3</v>
      </c>
      <c r="G235">
        <f t="shared" ca="1" si="54"/>
        <v>43.296999999999997</v>
      </c>
      <c r="H235" s="5">
        <f t="shared" ca="1" si="55"/>
        <v>3.0000000000001137E-3</v>
      </c>
      <c r="I235" s="5">
        <f t="shared" ca="1" si="56"/>
        <v>6.9284064665129652E-5</v>
      </c>
      <c r="J235" s="10">
        <f t="shared" si="57"/>
        <v>1.9416666666666662</v>
      </c>
      <c r="K235" s="12">
        <f t="shared" ca="1" si="58"/>
        <v>1.9414166666666663</v>
      </c>
      <c r="L235" s="5">
        <f t="shared" ca="1" si="59"/>
        <v>1.2875536480679562E-4</v>
      </c>
      <c r="N235">
        <f t="shared" ca="1" si="60"/>
        <v>18.296999999999997</v>
      </c>
      <c r="O235">
        <f t="shared" ca="1" si="61"/>
        <v>1.0274455E-3</v>
      </c>
      <c r="P235">
        <f t="shared" ca="1" si="62"/>
        <v>1.000457425</v>
      </c>
      <c r="Q235">
        <f t="shared" ca="1" si="63"/>
        <v>1.9412768037061587</v>
      </c>
      <c r="R235">
        <f t="shared" ca="1" si="64"/>
        <v>10353.476286432846</v>
      </c>
      <c r="S235">
        <f t="shared" ca="1" si="65"/>
        <v>3.3498582355774391</v>
      </c>
      <c r="T235">
        <f t="shared" ca="1" si="66"/>
        <v>2</v>
      </c>
      <c r="U235">
        <f t="shared" ca="1" si="67"/>
        <v>10359</v>
      </c>
      <c r="V235">
        <f t="shared" ca="1" si="68"/>
        <v>1.9423125000000001</v>
      </c>
      <c r="X235">
        <f t="shared" ca="1" si="69"/>
        <v>1.9403974681881142</v>
      </c>
    </row>
    <row r="236" spans="5:24" x14ac:dyDescent="0.25">
      <c r="E236">
        <v>234</v>
      </c>
      <c r="F236">
        <f t="shared" si="53"/>
        <v>43.400000000000006</v>
      </c>
      <c r="G236">
        <f t="shared" ca="1" si="54"/>
        <v>43.401000000000003</v>
      </c>
      <c r="H236" s="5">
        <f t="shared" ca="1" si="55"/>
        <v>9.9999999999766942E-4</v>
      </c>
      <c r="I236" s="5">
        <f t="shared" ca="1" si="56"/>
        <v>2.3041474654324178E-5</v>
      </c>
      <c r="J236" s="10">
        <f t="shared" si="57"/>
        <v>1.9500000000000004</v>
      </c>
      <c r="K236" s="12">
        <f t="shared" ca="1" si="58"/>
        <v>1.9500833333333334</v>
      </c>
      <c r="L236" s="5">
        <f t="shared" ca="1" si="59"/>
        <v>4.2735042734867216E-5</v>
      </c>
      <c r="N236">
        <f t="shared" ca="1" si="60"/>
        <v>18.401000000000003</v>
      </c>
      <c r="O236">
        <f t="shared" ca="1" si="61"/>
        <v>1.0276015000000001E-3</v>
      </c>
      <c r="P236">
        <f t="shared" ca="1" si="62"/>
        <v>1.000460025</v>
      </c>
      <c r="Q236">
        <f t="shared" ca="1" si="63"/>
        <v>1.9499523461963701</v>
      </c>
      <c r="R236">
        <f t="shared" ca="1" si="64"/>
        <v>10399.74584638064</v>
      </c>
      <c r="S236">
        <f t="shared" ca="1" si="65"/>
        <v>3.3595222756629015</v>
      </c>
      <c r="T236">
        <f t="shared" ca="1" si="66"/>
        <v>1</v>
      </c>
      <c r="U236">
        <f t="shared" ca="1" si="67"/>
        <v>10404</v>
      </c>
      <c r="V236">
        <f t="shared" ca="1" si="68"/>
        <v>1.95075</v>
      </c>
      <c r="X236">
        <f t="shared" ca="1" si="69"/>
        <v>1.9488258898700126</v>
      </c>
    </row>
    <row r="237" spans="5:24" x14ac:dyDescent="0.25">
      <c r="E237">
        <v>235</v>
      </c>
      <c r="F237">
        <f t="shared" si="53"/>
        <v>43.5</v>
      </c>
      <c r="G237">
        <f t="shared" ca="1" si="54"/>
        <v>43.500999999999998</v>
      </c>
      <c r="H237" s="5">
        <f t="shared" ca="1" si="55"/>
        <v>9.9999999999766942E-4</v>
      </c>
      <c r="I237" s="5">
        <f t="shared" ca="1" si="56"/>
        <v>2.298850574707286E-5</v>
      </c>
      <c r="J237" s="10">
        <f t="shared" si="57"/>
        <v>1.9583333333333333</v>
      </c>
      <c r="K237" s="12">
        <f t="shared" ca="1" si="58"/>
        <v>1.9584166666666663</v>
      </c>
      <c r="L237" s="5">
        <f t="shared" ca="1" si="59"/>
        <v>4.2553191489186938E-5</v>
      </c>
      <c r="N237">
        <f t="shared" ca="1" si="60"/>
        <v>18.500999999999998</v>
      </c>
      <c r="O237">
        <f t="shared" ca="1" si="61"/>
        <v>1.0277515000000001E-3</v>
      </c>
      <c r="P237">
        <f t="shared" ca="1" si="62"/>
        <v>1.0004625250000001</v>
      </c>
      <c r="Q237">
        <f t="shared" ca="1" si="63"/>
        <v>1.9582942564746539</v>
      </c>
      <c r="R237">
        <f t="shared" ca="1" si="64"/>
        <v>10444.236034531488</v>
      </c>
      <c r="S237">
        <f t="shared" ca="1" si="65"/>
        <v>3.3687523261564243</v>
      </c>
      <c r="T237">
        <f t="shared" ca="1" si="66"/>
        <v>1</v>
      </c>
      <c r="U237">
        <f t="shared" ca="1" si="67"/>
        <v>10449</v>
      </c>
      <c r="V237">
        <f t="shared" ca="1" si="68"/>
        <v>1.9591875000000001</v>
      </c>
      <c r="X237">
        <f t="shared" ca="1" si="69"/>
        <v>1.9572544693765517</v>
      </c>
    </row>
    <row r="238" spans="5:24" x14ac:dyDescent="0.25">
      <c r="E238">
        <v>236</v>
      </c>
      <c r="F238">
        <f t="shared" si="53"/>
        <v>43.6</v>
      </c>
      <c r="G238">
        <f t="shared" ca="1" si="54"/>
        <v>43.597000000000001</v>
      </c>
      <c r="H238" s="5">
        <f t="shared" ca="1" si="55"/>
        <v>3.0000000000001137E-3</v>
      </c>
      <c r="I238" s="5">
        <f t="shared" ca="1" si="56"/>
        <v>6.8807339449543893E-5</v>
      </c>
      <c r="J238" s="10">
        <f t="shared" si="57"/>
        <v>1.9666666666666666</v>
      </c>
      <c r="K238" s="12">
        <f t="shared" ca="1" si="58"/>
        <v>1.9664166666666667</v>
      </c>
      <c r="L238" s="5">
        <f t="shared" ca="1" si="59"/>
        <v>1.2711864406772617E-4</v>
      </c>
      <c r="N238">
        <f t="shared" ca="1" si="60"/>
        <v>18.597000000000001</v>
      </c>
      <c r="O238">
        <f t="shared" ca="1" si="61"/>
        <v>1.0278955E-3</v>
      </c>
      <c r="P238">
        <f t="shared" ca="1" si="62"/>
        <v>1.0004649249999999</v>
      </c>
      <c r="Q238">
        <f t="shared" ca="1" si="63"/>
        <v>1.9663025295411012</v>
      </c>
      <c r="R238">
        <f t="shared" ca="1" si="64"/>
        <v>10486.946824219207</v>
      </c>
      <c r="S238">
        <f t="shared" ca="1" si="65"/>
        <v>3.3775555570953708</v>
      </c>
      <c r="T238">
        <f t="shared" ca="1" si="66"/>
        <v>1</v>
      </c>
      <c r="U238">
        <f t="shared" ca="1" si="67"/>
        <v>10491</v>
      </c>
      <c r="V238">
        <f t="shared" ca="1" si="68"/>
        <v>1.9670624999999999</v>
      </c>
      <c r="X238">
        <f t="shared" ca="1" si="69"/>
        <v>1.9651209706327286</v>
      </c>
    </row>
    <row r="239" spans="5:24" x14ac:dyDescent="0.25">
      <c r="E239">
        <v>237</v>
      </c>
      <c r="F239">
        <f t="shared" si="53"/>
        <v>43.7</v>
      </c>
      <c r="G239">
        <f t="shared" ca="1" si="54"/>
        <v>43.705000000000005</v>
      </c>
      <c r="H239" s="5">
        <f t="shared" ca="1" si="55"/>
        <v>5.000000000002558E-3</v>
      </c>
      <c r="I239" s="5">
        <f t="shared" ca="1" si="56"/>
        <v>1.1441647597259857E-4</v>
      </c>
      <c r="J239" s="10">
        <f t="shared" si="57"/>
        <v>1.9749999999999999</v>
      </c>
      <c r="K239" s="12">
        <f t="shared" ca="1" si="58"/>
        <v>1.975416666666667</v>
      </c>
      <c r="L239" s="5">
        <f t="shared" ca="1" si="59"/>
        <v>2.1097046413527895E-4</v>
      </c>
      <c r="N239">
        <f t="shared" ca="1" si="60"/>
        <v>18.705000000000005</v>
      </c>
      <c r="O239">
        <f t="shared" ca="1" si="61"/>
        <v>1.0280574999999999E-3</v>
      </c>
      <c r="P239">
        <f t="shared" ca="1" si="62"/>
        <v>1.000467625</v>
      </c>
      <c r="Q239">
        <f t="shared" ca="1" si="63"/>
        <v>1.9753118826400287</v>
      </c>
      <c r="R239">
        <f t="shared" ca="1" si="64"/>
        <v>10534.996707413486</v>
      </c>
      <c r="S239">
        <f t="shared" ca="1" si="65"/>
        <v>3.3873915392275387</v>
      </c>
      <c r="T239">
        <f t="shared" ca="1" si="66"/>
        <v>-3</v>
      </c>
      <c r="U239">
        <f t="shared" ca="1" si="67"/>
        <v>10535</v>
      </c>
      <c r="V239">
        <f t="shared" ca="1" si="68"/>
        <v>1.9753125</v>
      </c>
      <c r="X239">
        <f t="shared" ca="1" si="69"/>
        <v>1.9733616492587656</v>
      </c>
    </row>
    <row r="240" spans="5:24" x14ac:dyDescent="0.25">
      <c r="E240">
        <v>238</v>
      </c>
      <c r="F240">
        <f t="shared" si="53"/>
        <v>43.8</v>
      </c>
      <c r="G240">
        <f t="shared" ca="1" si="54"/>
        <v>43.793999999999997</v>
      </c>
      <c r="H240" s="5">
        <f t="shared" ca="1" si="55"/>
        <v>6.0000000000002274E-3</v>
      </c>
      <c r="I240" s="5">
        <f t="shared" ca="1" si="56"/>
        <v>1.3698630136986821E-4</v>
      </c>
      <c r="J240" s="10">
        <f t="shared" si="57"/>
        <v>1.9833333333333327</v>
      </c>
      <c r="K240" s="12">
        <f t="shared" ca="1" si="58"/>
        <v>1.982833333333333</v>
      </c>
      <c r="L240" s="5">
        <f t="shared" ca="1" si="59"/>
        <v>2.521008403359948E-4</v>
      </c>
      <c r="N240">
        <f t="shared" ca="1" si="60"/>
        <v>18.793999999999997</v>
      </c>
      <c r="O240">
        <f t="shared" ca="1" si="61"/>
        <v>1.0281909999999999E-3</v>
      </c>
      <c r="P240">
        <f t="shared" ca="1" si="62"/>
        <v>1.00046985</v>
      </c>
      <c r="Q240">
        <f t="shared" ca="1" si="63"/>
        <v>1.9827362934794583</v>
      </c>
      <c r="R240">
        <f t="shared" ca="1" si="64"/>
        <v>10574.593565223777</v>
      </c>
      <c r="S240">
        <f t="shared" ca="1" si="65"/>
        <v>3.3954431366187459</v>
      </c>
      <c r="T240">
        <f t="shared" ca="1" si="66"/>
        <v>1</v>
      </c>
      <c r="U240">
        <f t="shared" ca="1" si="67"/>
        <v>10579</v>
      </c>
      <c r="V240">
        <f t="shared" ca="1" si="68"/>
        <v>1.9835625000000001</v>
      </c>
      <c r="X240">
        <f t="shared" ca="1" si="69"/>
        <v>1.9816032527117136</v>
      </c>
    </row>
    <row r="241" spans="5:24" x14ac:dyDescent="0.25">
      <c r="E241">
        <v>239</v>
      </c>
      <c r="F241">
        <f t="shared" si="53"/>
        <v>43.900000000000006</v>
      </c>
      <c r="G241">
        <f t="shared" ca="1" si="54"/>
        <v>43.900000000000006</v>
      </c>
      <c r="H241" s="5">
        <f t="shared" ca="1" si="55"/>
        <v>0</v>
      </c>
      <c r="I241" s="5">
        <f t="shared" ca="1" si="56"/>
        <v>0</v>
      </c>
      <c r="J241" s="10">
        <f t="shared" si="57"/>
        <v>1.9916666666666669</v>
      </c>
      <c r="K241" s="12">
        <f t="shared" ca="1" si="58"/>
        <v>1.9916666666666669</v>
      </c>
      <c r="L241" s="5">
        <f t="shared" ca="1" si="59"/>
        <v>0</v>
      </c>
      <c r="N241">
        <f t="shared" ca="1" si="60"/>
        <v>18.900000000000006</v>
      </c>
      <c r="O241">
        <f t="shared" ca="1" si="61"/>
        <v>1.0283499999999999E-3</v>
      </c>
      <c r="P241">
        <f t="shared" ca="1" si="62"/>
        <v>1.0004725000000001</v>
      </c>
      <c r="Q241">
        <f t="shared" ca="1" si="63"/>
        <v>1.9915788932712921</v>
      </c>
      <c r="R241">
        <f t="shared" ca="1" si="64"/>
        <v>10621.75409744689</v>
      </c>
      <c r="S241">
        <f t="shared" ca="1" si="65"/>
        <v>3.4049688681412738</v>
      </c>
      <c r="T241">
        <f t="shared" ca="1" si="66"/>
        <v>-3</v>
      </c>
      <c r="U241">
        <f t="shared" ca="1" si="67"/>
        <v>10622</v>
      </c>
      <c r="V241">
        <f t="shared" ca="1" si="68"/>
        <v>1.991625</v>
      </c>
      <c r="X241">
        <f t="shared" ca="1" si="69"/>
        <v>1.9896565372861321</v>
      </c>
    </row>
    <row r="242" spans="5:24" x14ac:dyDescent="0.25">
      <c r="E242">
        <v>240</v>
      </c>
      <c r="F242">
        <f t="shared" si="53"/>
        <v>44</v>
      </c>
      <c r="G242">
        <f t="shared" ca="1" si="54"/>
        <v>44.000999999999998</v>
      </c>
      <c r="H242" s="5">
        <f t="shared" ca="1" si="55"/>
        <v>9.9999999999766942E-4</v>
      </c>
      <c r="I242" s="5">
        <f t="shared" ca="1" si="56"/>
        <v>2.2727272727219759E-5</v>
      </c>
      <c r="J242" s="10">
        <f t="shared" si="57"/>
        <v>1.9999999999999998</v>
      </c>
      <c r="K242" s="12">
        <f t="shared" ca="1" si="58"/>
        <v>2.0000833333333325</v>
      </c>
      <c r="L242" s="5">
        <f t="shared" ca="1" si="59"/>
        <v>4.1666666666384529E-5</v>
      </c>
      <c r="N242">
        <f t="shared" ca="1" si="60"/>
        <v>19.000999999999998</v>
      </c>
      <c r="O242">
        <f t="shared" ca="1" si="61"/>
        <v>1.0285015E-3</v>
      </c>
      <c r="P242">
        <f t="shared" ca="1" si="62"/>
        <v>1.0004750250000001</v>
      </c>
      <c r="Q242">
        <f t="shared" ca="1" si="63"/>
        <v>2.0000044328548245</v>
      </c>
      <c r="R242">
        <f t="shared" ca="1" si="64"/>
        <v>10666.690308559064</v>
      </c>
      <c r="S242">
        <f t="shared" ca="1" si="65"/>
        <v>3.4139805600473863</v>
      </c>
      <c r="T242">
        <f t="shared" ca="1" si="66"/>
        <v>3</v>
      </c>
      <c r="U242">
        <f t="shared" ca="1" si="67"/>
        <v>10673</v>
      </c>
      <c r="V242">
        <f t="shared" ca="1" si="68"/>
        <v>2.0011874999999999</v>
      </c>
      <c r="X242">
        <f t="shared" ca="1" si="69"/>
        <v>1.9992093240908235</v>
      </c>
    </row>
    <row r="243" spans="5:24" x14ac:dyDescent="0.25">
      <c r="E243">
        <v>241</v>
      </c>
      <c r="F243">
        <f t="shared" si="53"/>
        <v>44.1</v>
      </c>
      <c r="G243">
        <f t="shared" ca="1" si="54"/>
        <v>44.097999999999999</v>
      </c>
      <c r="H243" s="5">
        <f t="shared" ca="1" si="55"/>
        <v>2.0000000000024443E-3</v>
      </c>
      <c r="I243" s="5">
        <f t="shared" ca="1" si="56"/>
        <v>4.5351473922957918E-5</v>
      </c>
      <c r="J243" s="10">
        <f t="shared" si="57"/>
        <v>2.0083333333333329</v>
      </c>
      <c r="K243" s="12">
        <f t="shared" ca="1" si="58"/>
        <v>2.008166666666666</v>
      </c>
      <c r="L243" s="5">
        <f t="shared" ca="1" si="59"/>
        <v>8.2987551867321356E-5</v>
      </c>
      <c r="N243">
        <f t="shared" ca="1" si="60"/>
        <v>19.097999999999999</v>
      </c>
      <c r="O243">
        <f t="shared" ca="1" si="61"/>
        <v>1.0286469999999999E-3</v>
      </c>
      <c r="P243">
        <f t="shared" ca="1" si="62"/>
        <v>1.00047745</v>
      </c>
      <c r="Q243">
        <f t="shared" ca="1" si="63"/>
        <v>2.0080963277141559</v>
      </c>
      <c r="R243">
        <f t="shared" ca="1" si="64"/>
        <v>10709.847081142165</v>
      </c>
      <c r="S243">
        <f t="shared" ca="1" si="65"/>
        <v>3.422575746742214</v>
      </c>
      <c r="T243">
        <f t="shared" ca="1" si="66"/>
        <v>-1</v>
      </c>
      <c r="U243">
        <f t="shared" ca="1" si="67"/>
        <v>10712</v>
      </c>
      <c r="V243">
        <f t="shared" ca="1" si="68"/>
        <v>2.0085000000000002</v>
      </c>
      <c r="X243">
        <f t="shared" ca="1" si="69"/>
        <v>2.0065133432042872</v>
      </c>
    </row>
    <row r="244" spans="5:24" x14ac:dyDescent="0.25">
      <c r="E244">
        <v>242</v>
      </c>
      <c r="F244">
        <f t="shared" si="53"/>
        <v>44.2</v>
      </c>
      <c r="G244">
        <f t="shared" ca="1" si="54"/>
        <v>44.192</v>
      </c>
      <c r="H244" s="5">
        <f t="shared" ca="1" si="55"/>
        <v>8.0000000000026716E-3</v>
      </c>
      <c r="I244" s="5">
        <f t="shared" ca="1" si="56"/>
        <v>1.8099547511318261E-4</v>
      </c>
      <c r="J244" s="10">
        <f t="shared" si="57"/>
        <v>2.0166666666666666</v>
      </c>
      <c r="K244" s="12">
        <f t="shared" ca="1" si="58"/>
        <v>2.016</v>
      </c>
      <c r="L244" s="5">
        <f t="shared" ca="1" si="59"/>
        <v>3.3057851239665781E-4</v>
      </c>
      <c r="N244">
        <f t="shared" ca="1" si="60"/>
        <v>19.192</v>
      </c>
      <c r="O244">
        <f t="shared" ca="1" si="61"/>
        <v>1.0287880000000001E-3</v>
      </c>
      <c r="P244">
        <f t="shared" ca="1" si="62"/>
        <v>1.0004797999999999</v>
      </c>
      <c r="Q244">
        <f t="shared" ca="1" si="63"/>
        <v>2.0159379951875174</v>
      </c>
      <c r="R244">
        <f t="shared" ca="1" si="64"/>
        <v>10751.66930766676</v>
      </c>
      <c r="S244">
        <f t="shared" ca="1" si="65"/>
        <v>3.4308492403211943</v>
      </c>
      <c r="T244">
        <f t="shared" ca="1" si="66"/>
        <v>-1</v>
      </c>
      <c r="U244">
        <f t="shared" ca="1" si="67"/>
        <v>10754</v>
      </c>
      <c r="V244">
        <f t="shared" ca="1" si="68"/>
        <v>2.016375</v>
      </c>
      <c r="X244">
        <f t="shared" ca="1" si="69"/>
        <v>2.0143797126138878</v>
      </c>
    </row>
    <row r="245" spans="5:24" x14ac:dyDescent="0.25">
      <c r="E245">
        <v>243</v>
      </c>
      <c r="F245">
        <f t="shared" si="53"/>
        <v>44.3</v>
      </c>
      <c r="G245">
        <f t="shared" ca="1" si="54"/>
        <v>44.291999999999994</v>
      </c>
      <c r="H245" s="5">
        <f t="shared" ca="1" si="55"/>
        <v>8.0000000000026716E-3</v>
      </c>
      <c r="I245" s="5">
        <f t="shared" ca="1" si="56"/>
        <v>1.8058690744927026E-4</v>
      </c>
      <c r="J245" s="10">
        <f t="shared" si="57"/>
        <v>2.0249999999999995</v>
      </c>
      <c r="K245" s="12">
        <f t="shared" ca="1" si="58"/>
        <v>2.0243333333333329</v>
      </c>
      <c r="L245" s="5">
        <f t="shared" ca="1" si="59"/>
        <v>3.2921810699584859E-4</v>
      </c>
      <c r="N245">
        <f t="shared" ca="1" si="60"/>
        <v>19.291999999999994</v>
      </c>
      <c r="O245">
        <f t="shared" ca="1" si="61"/>
        <v>1.0289380000000001E-3</v>
      </c>
      <c r="P245">
        <f t="shared" ca="1" si="62"/>
        <v>1.0004823</v>
      </c>
      <c r="Q245">
        <f t="shared" ca="1" si="63"/>
        <v>2.0242802350432019</v>
      </c>
      <c r="R245">
        <f t="shared" ca="1" si="64"/>
        <v>10796.161253563743</v>
      </c>
      <c r="S245">
        <f t="shared" ca="1" si="65"/>
        <v>3.4395903159554919</v>
      </c>
      <c r="T245">
        <f t="shared" ca="1" si="66"/>
        <v>-1</v>
      </c>
      <c r="U245">
        <f t="shared" ca="1" si="67"/>
        <v>10799</v>
      </c>
      <c r="V245">
        <f t="shared" ca="1" si="68"/>
        <v>2.0248124999999999</v>
      </c>
      <c r="X245">
        <f t="shared" ca="1" si="69"/>
        <v>2.0228079617200621</v>
      </c>
    </row>
    <row r="246" spans="5:24" x14ac:dyDescent="0.25">
      <c r="E246">
        <v>244</v>
      </c>
      <c r="F246">
        <f t="shared" si="53"/>
        <v>44.400000000000006</v>
      </c>
      <c r="G246">
        <f t="shared" ca="1" si="54"/>
        <v>44.407000000000004</v>
      </c>
      <c r="H246" s="5">
        <f t="shared" ca="1" si="55"/>
        <v>6.9999999999978968E-3</v>
      </c>
      <c r="I246" s="5">
        <f t="shared" ca="1" si="56"/>
        <v>1.5765765765761027E-4</v>
      </c>
      <c r="J246" s="10">
        <f t="shared" si="57"/>
        <v>2.0333333333333332</v>
      </c>
      <c r="K246" s="12">
        <f t="shared" ca="1" si="58"/>
        <v>2.0339166666666664</v>
      </c>
      <c r="L246" s="5">
        <f t="shared" ca="1" si="59"/>
        <v>2.8688524590155315E-4</v>
      </c>
      <c r="N246">
        <f t="shared" ca="1" si="60"/>
        <v>19.407000000000004</v>
      </c>
      <c r="O246">
        <f t="shared" ca="1" si="61"/>
        <v>1.0291104999999999E-3</v>
      </c>
      <c r="P246">
        <f t="shared" ca="1" si="62"/>
        <v>1.0004851749999999</v>
      </c>
      <c r="Q246">
        <f t="shared" ca="1" si="63"/>
        <v>2.033873862386729</v>
      </c>
      <c r="R246">
        <f t="shared" ca="1" si="64"/>
        <v>10847.327266062553</v>
      </c>
      <c r="S246">
        <f t="shared" ca="1" si="65"/>
        <v>3.449565226057993</v>
      </c>
      <c r="T246">
        <f t="shared" ca="1" si="66"/>
        <v>-3</v>
      </c>
      <c r="U246">
        <f t="shared" ca="1" si="67"/>
        <v>10848</v>
      </c>
      <c r="V246">
        <f t="shared" ca="1" si="68"/>
        <v>2.0340000000000003</v>
      </c>
      <c r="X246">
        <f t="shared" ca="1" si="69"/>
        <v>2.0319850211673556</v>
      </c>
    </row>
    <row r="247" spans="5:24" x14ac:dyDescent="0.25">
      <c r="E247">
        <v>245</v>
      </c>
      <c r="F247">
        <f t="shared" si="53"/>
        <v>44.5</v>
      </c>
      <c r="G247">
        <f t="shared" ca="1" si="54"/>
        <v>44.503</v>
      </c>
      <c r="H247" s="5">
        <f t="shared" ca="1" si="55"/>
        <v>3.0000000000001137E-3</v>
      </c>
      <c r="I247" s="5">
        <f t="shared" ca="1" si="56"/>
        <v>6.7415730337081208E-5</v>
      </c>
      <c r="J247" s="10">
        <f t="shared" si="57"/>
        <v>2.0416666666666661</v>
      </c>
      <c r="K247" s="12">
        <f t="shared" ca="1" si="58"/>
        <v>2.0419166666666664</v>
      </c>
      <c r="L247" s="5">
        <f t="shared" ca="1" si="59"/>
        <v>1.2244897959198643E-4</v>
      </c>
      <c r="N247">
        <f t="shared" ca="1" si="60"/>
        <v>19.503</v>
      </c>
      <c r="O247">
        <f t="shared" ca="1" si="61"/>
        <v>1.0292545E-3</v>
      </c>
      <c r="P247">
        <f t="shared" ca="1" si="62"/>
        <v>1.000487575</v>
      </c>
      <c r="Q247">
        <f t="shared" ca="1" si="63"/>
        <v>2.0418824978466534</v>
      </c>
      <c r="R247">
        <f t="shared" ca="1" si="64"/>
        <v>10890.039988515484</v>
      </c>
      <c r="S247">
        <f t="shared" ca="1" si="65"/>
        <v>3.4578285906492385</v>
      </c>
      <c r="T247">
        <f t="shared" ca="1" si="66"/>
        <v>-2</v>
      </c>
      <c r="U247">
        <f t="shared" ca="1" si="67"/>
        <v>10891</v>
      </c>
      <c r="V247">
        <f t="shared" ca="1" si="68"/>
        <v>2.0420625000000001</v>
      </c>
      <c r="X247">
        <f t="shared" ca="1" si="69"/>
        <v>2.0400385736924318</v>
      </c>
    </row>
    <row r="248" spans="5:24" x14ac:dyDescent="0.25">
      <c r="E248">
        <v>246</v>
      </c>
      <c r="F248">
        <f t="shared" si="53"/>
        <v>44.6</v>
      </c>
      <c r="G248">
        <f t="shared" ca="1" si="54"/>
        <v>44.591000000000001</v>
      </c>
      <c r="H248" s="5">
        <f t="shared" ca="1" si="55"/>
        <v>9.0000000000003411E-3</v>
      </c>
      <c r="I248" s="5">
        <f t="shared" ca="1" si="56"/>
        <v>2.0179372197310182E-4</v>
      </c>
      <c r="J248" s="10">
        <f t="shared" si="57"/>
        <v>2.0499999999999998</v>
      </c>
      <c r="K248" s="12">
        <f t="shared" ca="1" si="58"/>
        <v>2.0492499999999998</v>
      </c>
      <c r="L248" s="5">
        <f t="shared" ca="1" si="59"/>
        <v>3.6585365853659924E-4</v>
      </c>
      <c r="N248">
        <f t="shared" ca="1" si="60"/>
        <v>19.591000000000001</v>
      </c>
      <c r="O248">
        <f t="shared" ca="1" si="61"/>
        <v>1.0293864999999999E-3</v>
      </c>
      <c r="P248">
        <f t="shared" ca="1" si="62"/>
        <v>1.0004897749999999</v>
      </c>
      <c r="Q248">
        <f t="shared" ca="1" si="63"/>
        <v>2.0492237807509768</v>
      </c>
      <c r="R248">
        <f t="shared" ca="1" si="64"/>
        <v>10929.193497338543</v>
      </c>
      <c r="S248">
        <f t="shared" ca="1" si="65"/>
        <v>3.4653524409515875</v>
      </c>
      <c r="T248">
        <f t="shared" ca="1" si="66"/>
        <v>3</v>
      </c>
      <c r="U248">
        <f t="shared" ca="1" si="67"/>
        <v>10936</v>
      </c>
      <c r="V248">
        <f t="shared" ca="1" si="68"/>
        <v>2.0505</v>
      </c>
      <c r="X248">
        <f t="shared" ca="1" si="69"/>
        <v>2.0484673254156949</v>
      </c>
    </row>
    <row r="249" spans="5:24" x14ac:dyDescent="0.25">
      <c r="E249">
        <v>247</v>
      </c>
      <c r="F249">
        <f t="shared" si="53"/>
        <v>44.7</v>
      </c>
      <c r="G249">
        <f t="shared" ca="1" si="54"/>
        <v>44.705000000000005</v>
      </c>
      <c r="H249" s="5">
        <f t="shared" ca="1" si="55"/>
        <v>5.000000000002558E-3</v>
      </c>
      <c r="I249" s="5">
        <f t="shared" ca="1" si="56"/>
        <v>1.1185682326627646E-4</v>
      </c>
      <c r="J249" s="10">
        <f t="shared" si="57"/>
        <v>2.0583333333333336</v>
      </c>
      <c r="K249" s="12">
        <f t="shared" ca="1" si="58"/>
        <v>2.0587499999999999</v>
      </c>
      <c r="L249" s="5">
        <f t="shared" ca="1" si="59"/>
        <v>2.0242914979738672E-4</v>
      </c>
      <c r="N249">
        <f t="shared" ca="1" si="60"/>
        <v>19.705000000000005</v>
      </c>
      <c r="O249">
        <f t="shared" ca="1" si="61"/>
        <v>1.0295575000000001E-3</v>
      </c>
      <c r="P249">
        <f t="shared" ca="1" si="62"/>
        <v>1.0004926249999999</v>
      </c>
      <c r="Q249">
        <f t="shared" ca="1" si="63"/>
        <v>2.0587341270329862</v>
      </c>
      <c r="R249">
        <f t="shared" ca="1" si="64"/>
        <v>10979.915344175926</v>
      </c>
      <c r="S249">
        <f t="shared" ca="1" si="65"/>
        <v>3.4750266781024979</v>
      </c>
      <c r="T249">
        <f t="shared" ca="1" si="66"/>
        <v>1</v>
      </c>
      <c r="U249">
        <f t="shared" ca="1" si="67"/>
        <v>10984</v>
      </c>
      <c r="V249">
        <f t="shared" ca="1" si="68"/>
        <v>2.0594999999999999</v>
      </c>
      <c r="X249">
        <f t="shared" ca="1" si="69"/>
        <v>2.0574568878006474</v>
      </c>
    </row>
    <row r="250" spans="5:24" x14ac:dyDescent="0.25">
      <c r="E250">
        <v>248</v>
      </c>
      <c r="F250">
        <f t="shared" si="53"/>
        <v>44.8</v>
      </c>
      <c r="G250">
        <f t="shared" ca="1" si="54"/>
        <v>44.790999999999997</v>
      </c>
      <c r="H250" s="5">
        <f t="shared" ca="1" si="55"/>
        <v>9.0000000000003411E-3</v>
      </c>
      <c r="I250" s="5">
        <f t="shared" ca="1" si="56"/>
        <v>2.0089285714286476E-4</v>
      </c>
      <c r="J250" s="10">
        <f t="shared" si="57"/>
        <v>2.0666666666666664</v>
      </c>
      <c r="K250" s="12">
        <f t="shared" ca="1" si="58"/>
        <v>2.0659166666666664</v>
      </c>
      <c r="L250" s="5">
        <f t="shared" ca="1" si="59"/>
        <v>3.6290322580646541E-4</v>
      </c>
      <c r="N250">
        <f t="shared" ca="1" si="60"/>
        <v>19.790999999999997</v>
      </c>
      <c r="O250">
        <f t="shared" ca="1" si="61"/>
        <v>1.0296865000000001E-3</v>
      </c>
      <c r="P250">
        <f t="shared" ca="1" si="62"/>
        <v>1.0004947749999999</v>
      </c>
      <c r="Q250">
        <f t="shared" ca="1" si="63"/>
        <v>2.0659086346222781</v>
      </c>
      <c r="R250">
        <f t="shared" ca="1" si="64"/>
        <v>11018.17938465215</v>
      </c>
      <c r="S250">
        <f t="shared" ca="1" si="65"/>
        <v>3.4822704556116695</v>
      </c>
      <c r="T250">
        <f t="shared" ca="1" si="66"/>
        <v>-3</v>
      </c>
      <c r="U250">
        <f t="shared" ca="1" si="67"/>
        <v>11019</v>
      </c>
      <c r="V250">
        <f t="shared" ca="1" si="68"/>
        <v>2.0660625000000001</v>
      </c>
      <c r="X250">
        <f t="shared" ca="1" si="69"/>
        <v>2.064011592164487</v>
      </c>
    </row>
    <row r="251" spans="5:24" x14ac:dyDescent="0.25">
      <c r="E251">
        <v>249</v>
      </c>
      <c r="F251">
        <f t="shared" si="53"/>
        <v>44.900000000000006</v>
      </c>
      <c r="G251">
        <f t="shared" ca="1" si="54"/>
        <v>44.910000000000004</v>
      </c>
      <c r="H251" s="5">
        <f t="shared" ca="1" si="55"/>
        <v>9.9999999999980105E-3</v>
      </c>
      <c r="I251" s="5">
        <f t="shared" ca="1" si="56"/>
        <v>2.2271714922044564E-4</v>
      </c>
      <c r="J251" s="10">
        <f t="shared" si="57"/>
        <v>2.0750000000000002</v>
      </c>
      <c r="K251" s="12">
        <f t="shared" ca="1" si="58"/>
        <v>2.0758333333333336</v>
      </c>
      <c r="L251" s="5">
        <f t="shared" ca="1" si="59"/>
        <v>4.0160642570287398E-4</v>
      </c>
      <c r="N251">
        <f t="shared" ca="1" si="60"/>
        <v>19.910000000000004</v>
      </c>
      <c r="O251">
        <f t="shared" ca="1" si="61"/>
        <v>1.029865E-3</v>
      </c>
      <c r="P251">
        <f t="shared" ca="1" si="62"/>
        <v>1.0004977500000001</v>
      </c>
      <c r="Q251">
        <f t="shared" ca="1" si="63"/>
        <v>2.0758362017596967</v>
      </c>
      <c r="R251">
        <f t="shared" ca="1" si="64"/>
        <v>11071.12640938505</v>
      </c>
      <c r="S251">
        <f t="shared" ca="1" si="65"/>
        <v>3.4922165634397064</v>
      </c>
      <c r="T251">
        <f t="shared" ca="1" si="66"/>
        <v>-2</v>
      </c>
      <c r="U251">
        <f t="shared" ca="1" si="67"/>
        <v>11073</v>
      </c>
      <c r="V251">
        <f t="shared" ca="1" si="68"/>
        <v>2.0761875000000001</v>
      </c>
      <c r="X251">
        <f t="shared" ca="1" si="69"/>
        <v>2.0741252391622069</v>
      </c>
    </row>
    <row r="252" spans="5:24" x14ac:dyDescent="0.25">
      <c r="E252">
        <v>250</v>
      </c>
      <c r="F252">
        <f t="shared" si="53"/>
        <v>45</v>
      </c>
      <c r="G252">
        <f t="shared" ca="1" si="54"/>
        <v>45.005000000000003</v>
      </c>
      <c r="H252" s="5">
        <f t="shared" ca="1" si="55"/>
        <v>5.000000000002558E-3</v>
      </c>
      <c r="I252" s="5">
        <f t="shared" ca="1" si="56"/>
        <v>1.1111111111116796E-4</v>
      </c>
      <c r="J252" s="10">
        <f t="shared" si="57"/>
        <v>2.083333333333333</v>
      </c>
      <c r="K252" s="12">
        <f t="shared" ca="1" si="58"/>
        <v>2.0837500000000002</v>
      </c>
      <c r="L252" s="5">
        <f t="shared" ca="1" si="59"/>
        <v>2.0000000000024444E-4</v>
      </c>
      <c r="N252">
        <f t="shared" ca="1" si="60"/>
        <v>20.005000000000003</v>
      </c>
      <c r="O252">
        <f t="shared" ca="1" si="61"/>
        <v>1.0300075000000001E-3</v>
      </c>
      <c r="P252">
        <f t="shared" ca="1" si="62"/>
        <v>1.0005001250000001</v>
      </c>
      <c r="Q252">
        <f t="shared" ca="1" si="63"/>
        <v>2.0837616128362497</v>
      </c>
      <c r="R252">
        <f t="shared" ca="1" si="64"/>
        <v>11113.395268459999</v>
      </c>
      <c r="S252">
        <f t="shared" ca="1" si="65"/>
        <v>3.5000921931067186</v>
      </c>
      <c r="T252">
        <f t="shared" ca="1" si="66"/>
        <v>-1</v>
      </c>
      <c r="U252">
        <f t="shared" ca="1" si="67"/>
        <v>11116</v>
      </c>
      <c r="V252">
        <f t="shared" ca="1" si="68"/>
        <v>2.0842499999999999</v>
      </c>
      <c r="X252">
        <f t="shared" ca="1" si="69"/>
        <v>2.0821786429062166</v>
      </c>
    </row>
    <row r="253" spans="5:24" x14ac:dyDescent="0.25">
      <c r="E253">
        <v>251</v>
      </c>
      <c r="F253">
        <f t="shared" si="53"/>
        <v>45.1</v>
      </c>
      <c r="G253">
        <f t="shared" ca="1" si="54"/>
        <v>45.099000000000004</v>
      </c>
      <c r="H253" s="5">
        <f t="shared" ca="1" si="55"/>
        <v>9.9999999999766942E-4</v>
      </c>
      <c r="I253" s="5">
        <f t="shared" ca="1" si="56"/>
        <v>2.2172949002165619E-5</v>
      </c>
      <c r="J253" s="10">
        <f t="shared" si="57"/>
        <v>2.0916666666666668</v>
      </c>
      <c r="K253" s="12">
        <f t="shared" ca="1" si="58"/>
        <v>2.0915833333333333</v>
      </c>
      <c r="L253" s="5">
        <f t="shared" ca="1" si="59"/>
        <v>3.9840637450247892E-5</v>
      </c>
      <c r="N253">
        <f t="shared" ca="1" si="60"/>
        <v>20.099000000000004</v>
      </c>
      <c r="O253">
        <f t="shared" ca="1" si="61"/>
        <v>1.0301485E-3</v>
      </c>
      <c r="P253">
        <f t="shared" ca="1" si="62"/>
        <v>1.000502475</v>
      </c>
      <c r="Q253">
        <f t="shared" ca="1" si="63"/>
        <v>2.0916036355448826</v>
      </c>
      <c r="R253">
        <f t="shared" ca="1" si="64"/>
        <v>11155.219389572707</v>
      </c>
      <c r="S253">
        <f t="shared" ca="1" si="65"/>
        <v>3.5078283822286758</v>
      </c>
      <c r="T253">
        <f t="shared" ca="1" si="66"/>
        <v>0</v>
      </c>
      <c r="U253">
        <f t="shared" ca="1" si="67"/>
        <v>11159</v>
      </c>
      <c r="V253">
        <f t="shared" ca="1" si="68"/>
        <v>2.0923125000000002</v>
      </c>
      <c r="X253">
        <f t="shared" ca="1" si="69"/>
        <v>2.0902320621445742</v>
      </c>
    </row>
    <row r="254" spans="5:24" x14ac:dyDescent="0.25">
      <c r="E254">
        <v>252</v>
      </c>
      <c r="F254">
        <f t="shared" si="53"/>
        <v>45.2</v>
      </c>
      <c r="G254">
        <f t="shared" ca="1" si="54"/>
        <v>45.209000000000003</v>
      </c>
      <c r="H254" s="5">
        <f t="shared" ca="1" si="55"/>
        <v>9.0000000000003411E-3</v>
      </c>
      <c r="I254" s="5">
        <f t="shared" ca="1" si="56"/>
        <v>1.9911504424779513E-4</v>
      </c>
      <c r="J254" s="10">
        <f t="shared" si="57"/>
        <v>2.0999999999999996</v>
      </c>
      <c r="K254" s="12">
        <f t="shared" ca="1" si="58"/>
        <v>2.1007499999999997</v>
      </c>
      <c r="L254" s="5">
        <f t="shared" ca="1" si="59"/>
        <v>3.5714285714287075E-4</v>
      </c>
      <c r="N254">
        <f t="shared" ca="1" si="60"/>
        <v>20.209000000000003</v>
      </c>
      <c r="O254">
        <f t="shared" ca="1" si="61"/>
        <v>1.0303135000000001E-3</v>
      </c>
      <c r="P254">
        <f t="shared" ca="1" si="62"/>
        <v>1.0005052249999999</v>
      </c>
      <c r="Q254">
        <f t="shared" ca="1" si="63"/>
        <v>2.1007805173786118</v>
      </c>
      <c r="R254">
        <f t="shared" ca="1" si="64"/>
        <v>11204.162759352595</v>
      </c>
      <c r="S254">
        <f t="shared" ca="1" si="65"/>
        <v>3.5168097871165518</v>
      </c>
      <c r="T254">
        <f t="shared" ca="1" si="66"/>
        <v>-1</v>
      </c>
      <c r="U254">
        <f t="shared" ca="1" si="67"/>
        <v>11207</v>
      </c>
      <c r="V254">
        <f t="shared" ca="1" si="68"/>
        <v>2.1013125000000001</v>
      </c>
      <c r="X254">
        <f t="shared" ca="1" si="69"/>
        <v>2.0992216072634706</v>
      </c>
    </row>
    <row r="255" spans="5:24" x14ac:dyDescent="0.25">
      <c r="E255">
        <v>253</v>
      </c>
      <c r="F255">
        <f t="shared" si="53"/>
        <v>45.3</v>
      </c>
      <c r="G255">
        <f t="shared" ca="1" si="54"/>
        <v>45.295999999999999</v>
      </c>
      <c r="H255" s="5">
        <f t="shared" ca="1" si="55"/>
        <v>3.9999999999977831E-3</v>
      </c>
      <c r="I255" s="5">
        <f t="shared" ca="1" si="56"/>
        <v>8.8300220750502938E-5</v>
      </c>
      <c r="J255" s="10">
        <f t="shared" si="57"/>
        <v>2.1083333333333325</v>
      </c>
      <c r="K255" s="12">
        <f t="shared" ca="1" si="58"/>
        <v>2.1079999999999997</v>
      </c>
      <c r="L255" s="5">
        <f t="shared" ca="1" si="59"/>
        <v>1.58102766798191E-4</v>
      </c>
      <c r="N255">
        <f t="shared" ca="1" si="60"/>
        <v>20.295999999999999</v>
      </c>
      <c r="O255">
        <f t="shared" ca="1" si="61"/>
        <v>1.0304439999999999E-3</v>
      </c>
      <c r="P255">
        <f t="shared" ca="1" si="62"/>
        <v>1.0005074</v>
      </c>
      <c r="Q255">
        <f t="shared" ca="1" si="63"/>
        <v>2.1080386323527143</v>
      </c>
      <c r="R255">
        <f t="shared" ca="1" si="64"/>
        <v>11242.872705881142</v>
      </c>
      <c r="S255">
        <f t="shared" ca="1" si="65"/>
        <v>3.5238584650946811</v>
      </c>
      <c r="T255">
        <f t="shared" ca="1" si="66"/>
        <v>2</v>
      </c>
      <c r="U255">
        <f t="shared" ca="1" si="67"/>
        <v>11248</v>
      </c>
      <c r="V255">
        <f t="shared" ca="1" si="68"/>
        <v>2.109</v>
      </c>
      <c r="X255">
        <f t="shared" ca="1" si="69"/>
        <v>2.106900514678852</v>
      </c>
    </row>
    <row r="256" spans="5:24" x14ac:dyDescent="0.25">
      <c r="E256">
        <v>254</v>
      </c>
      <c r="F256">
        <f t="shared" si="53"/>
        <v>45.400000000000006</v>
      </c>
      <c r="G256">
        <f t="shared" ca="1" si="54"/>
        <v>45.398000000000003</v>
      </c>
      <c r="H256" s="5">
        <f t="shared" ca="1" si="55"/>
        <v>2.0000000000024443E-3</v>
      </c>
      <c r="I256" s="5">
        <f t="shared" ca="1" si="56"/>
        <v>4.4052863436177182E-5</v>
      </c>
      <c r="J256" s="10">
        <f t="shared" si="57"/>
        <v>2.1166666666666671</v>
      </c>
      <c r="K256" s="12">
        <f t="shared" ca="1" si="58"/>
        <v>2.1165000000000003</v>
      </c>
      <c r="L256" s="5">
        <f t="shared" ca="1" si="59"/>
        <v>7.874015748041118E-5</v>
      </c>
      <c r="N256">
        <f t="shared" ca="1" si="60"/>
        <v>20.398000000000003</v>
      </c>
      <c r="O256">
        <f t="shared" ca="1" si="61"/>
        <v>1.0305970000000001E-3</v>
      </c>
      <c r="P256">
        <f t="shared" ca="1" si="62"/>
        <v>1.0005099500000001</v>
      </c>
      <c r="Q256">
        <f t="shared" ca="1" si="63"/>
        <v>2.1165481866220603</v>
      </c>
      <c r="R256">
        <f t="shared" ca="1" si="64"/>
        <v>11288.256995317655</v>
      </c>
      <c r="S256">
        <f t="shared" ca="1" si="65"/>
        <v>3.5320606541923016</v>
      </c>
      <c r="T256">
        <f t="shared" ca="1" si="66"/>
        <v>2</v>
      </c>
      <c r="U256">
        <f t="shared" ca="1" si="67"/>
        <v>11294</v>
      </c>
      <c r="V256">
        <f t="shared" ca="1" si="68"/>
        <v>2.1176249999999999</v>
      </c>
      <c r="X256">
        <f t="shared" ca="1" si="69"/>
        <v>2.1155155958219103</v>
      </c>
    </row>
    <row r="257" spans="5:24" x14ac:dyDescent="0.25">
      <c r="E257">
        <v>255</v>
      </c>
      <c r="F257">
        <f t="shared" si="53"/>
        <v>45.5</v>
      </c>
      <c r="G257">
        <f t="shared" ca="1" si="54"/>
        <v>45.502000000000002</v>
      </c>
      <c r="H257" s="5">
        <f t="shared" ca="1" si="55"/>
        <v>2.0000000000024443E-3</v>
      </c>
      <c r="I257" s="5">
        <f t="shared" ca="1" si="56"/>
        <v>4.3956043956097677E-5</v>
      </c>
      <c r="J257" s="10">
        <f t="shared" si="57"/>
        <v>2.125</v>
      </c>
      <c r="K257" s="12">
        <f t="shared" ca="1" si="58"/>
        <v>2.1251666666666669</v>
      </c>
      <c r="L257" s="5">
        <f t="shared" ca="1" si="59"/>
        <v>7.8431372549115467E-5</v>
      </c>
      <c r="N257">
        <f t="shared" ca="1" si="60"/>
        <v>20.502000000000002</v>
      </c>
      <c r="O257">
        <f t="shared" ca="1" si="61"/>
        <v>1.0307529999999999E-3</v>
      </c>
      <c r="P257">
        <f t="shared" ca="1" si="62"/>
        <v>1.0005125500000001</v>
      </c>
      <c r="Q257">
        <f t="shared" ca="1" si="63"/>
        <v>2.1252246395292165</v>
      </c>
      <c r="R257">
        <f t="shared" ca="1" si="64"/>
        <v>11334.531410822488</v>
      </c>
      <c r="S257">
        <f t="shared" ca="1" si="65"/>
        <v>3.540354861230643</v>
      </c>
      <c r="T257">
        <f t="shared" ca="1" si="66"/>
        <v>0</v>
      </c>
      <c r="U257">
        <f t="shared" ca="1" si="67"/>
        <v>11338</v>
      </c>
      <c r="V257">
        <f t="shared" ca="1" si="68"/>
        <v>2.1258750000000002</v>
      </c>
      <c r="X257">
        <f t="shared" ca="1" si="69"/>
        <v>2.1237557160077603</v>
      </c>
    </row>
    <row r="258" spans="5:24" x14ac:dyDescent="0.25">
      <c r="E258">
        <v>256</v>
      </c>
      <c r="F258">
        <f t="shared" si="53"/>
        <v>45.6</v>
      </c>
      <c r="G258">
        <f t="shared" ca="1" si="54"/>
        <v>45.603000000000002</v>
      </c>
      <c r="H258" s="5">
        <f t="shared" ca="1" si="55"/>
        <v>3.0000000000001137E-3</v>
      </c>
      <c r="I258" s="5">
        <f t="shared" ca="1" si="56"/>
        <v>6.5789473684213018E-5</v>
      </c>
      <c r="J258" s="10">
        <f t="shared" si="57"/>
        <v>2.1333333333333329</v>
      </c>
      <c r="K258" s="12">
        <f t="shared" ca="1" si="58"/>
        <v>2.1335833333333332</v>
      </c>
      <c r="L258" s="5">
        <f t="shared" ca="1" si="59"/>
        <v>1.1718750000014325E-4</v>
      </c>
      <c r="N258">
        <f t="shared" ca="1" si="60"/>
        <v>20.603000000000002</v>
      </c>
      <c r="O258">
        <f t="shared" ca="1" si="61"/>
        <v>1.0309045E-3</v>
      </c>
      <c r="P258">
        <f t="shared" ca="1" si="62"/>
        <v>1.000515075</v>
      </c>
      <c r="Q258">
        <f t="shared" ca="1" si="63"/>
        <v>2.1336508532756149</v>
      </c>
      <c r="R258">
        <f t="shared" ca="1" si="64"/>
        <v>11379.471217469945</v>
      </c>
      <c r="S258">
        <f t="shared" ca="1" si="65"/>
        <v>3.5483431574985107</v>
      </c>
      <c r="T258">
        <f t="shared" ca="1" si="66"/>
        <v>2</v>
      </c>
      <c r="U258">
        <f t="shared" ca="1" si="67"/>
        <v>11385</v>
      </c>
      <c r="V258">
        <f t="shared" ca="1" si="68"/>
        <v>2.1346875000000001</v>
      </c>
      <c r="X258">
        <f t="shared" ca="1" si="69"/>
        <v>2.1325581681015651</v>
      </c>
    </row>
    <row r="259" spans="5:24" x14ac:dyDescent="0.25">
      <c r="E259">
        <v>257</v>
      </c>
      <c r="F259">
        <f t="shared" ref="F259:F322" si="70">0.1*E259+20</f>
        <v>45.7</v>
      </c>
      <c r="G259">
        <f t="shared" ref="G259:G322" ca="1" si="71">F259+(RANDBETWEEN(-10,10)/100)*0.1</f>
        <v>45.696000000000005</v>
      </c>
      <c r="H259" s="5">
        <f t="shared" ref="H259:H322" ca="1" si="72">ABS(F259-G259)</f>
        <v>3.9999999999977831E-3</v>
      </c>
      <c r="I259" s="5">
        <f t="shared" ref="I259:I322" ca="1" si="73">ABS(F259-G259)/F259</f>
        <v>8.752735229754448E-5</v>
      </c>
      <c r="J259" s="10">
        <f t="shared" ref="J259:J322" si="74">1/12*F259-5/3</f>
        <v>2.1416666666666666</v>
      </c>
      <c r="K259" s="12">
        <f t="shared" ref="K259:K322" ca="1" si="75">(1/12*G259-5/3) + J259*RANDBETWEEN($B$2,$C$2)</f>
        <v>2.1413333333333338</v>
      </c>
      <c r="L259" s="5">
        <f t="shared" ref="L259:L322" ca="1" si="76">IF(J259=0, ABS(J259-K259), ABS(J259-K259)/J259)</f>
        <v>1.55642023346079E-4</v>
      </c>
      <c r="N259">
        <f t="shared" ref="N259:N322" ca="1" si="77">G259-$B$29</f>
        <v>20.696000000000005</v>
      </c>
      <c r="O259">
        <f t="shared" ref="O259:O322" ca="1" si="78">0.001 + 0.0000015*N259</f>
        <v>1.0310440000000001E-3</v>
      </c>
      <c r="P259">
        <f t="shared" ref="P259:P322" ca="1" si="79">1 + 0.000025*N259</f>
        <v>1.0005173999999999</v>
      </c>
      <c r="Q259">
        <f t="shared" ref="Q259:Q322" ca="1" si="80">(K259-O259)*P259</f>
        <v>2.1414096817378345</v>
      </c>
      <c r="R259">
        <f t="shared" ref="R259:R322" ca="1" si="81">Q259*32768/6.144</f>
        <v>11420.851635935118</v>
      </c>
      <c r="S259">
        <f t="shared" ref="S259:S322" ca="1" si="82">4*SIN(PI()*R259/32768)</f>
        <v>3.555640505653523</v>
      </c>
      <c r="T259">
        <f t="shared" ref="T259:T322" ca="1" si="83">RANDBETWEEN(-1*$B$15,1*$B$15)</f>
        <v>1</v>
      </c>
      <c r="U259">
        <f t="shared" ref="U259:U322" ca="1" si="84">ROUND(R259+S259+T259,0)</f>
        <v>11425</v>
      </c>
      <c r="V259">
        <f t="shared" ref="V259:V322" ca="1" si="85">U259*6.144/32768</f>
        <v>2.1421874999999999</v>
      </c>
      <c r="X259">
        <f t="shared" ref="X259:X322" ca="1" si="86">(U259*6.144/32768 -O259)/P259</f>
        <v>2.1400491945467417</v>
      </c>
    </row>
    <row r="260" spans="5:24" x14ac:dyDescent="0.25">
      <c r="E260">
        <v>258</v>
      </c>
      <c r="F260">
        <f t="shared" si="70"/>
        <v>45.8</v>
      </c>
      <c r="G260">
        <f t="shared" ca="1" si="71"/>
        <v>45.809999999999995</v>
      </c>
      <c r="H260" s="5">
        <f t="shared" ca="1" si="72"/>
        <v>9.9999999999980105E-3</v>
      </c>
      <c r="I260" s="5">
        <f t="shared" ca="1" si="73"/>
        <v>2.1834061135366837E-4</v>
      </c>
      <c r="J260" s="10">
        <f t="shared" si="74"/>
        <v>2.1499999999999995</v>
      </c>
      <c r="K260" s="12">
        <f t="shared" ca="1" si="75"/>
        <v>2.1508333333333329</v>
      </c>
      <c r="L260" s="5">
        <f t="shared" ca="1" si="76"/>
        <v>3.8759689922486691E-4</v>
      </c>
      <c r="N260">
        <f t="shared" ca="1" si="77"/>
        <v>20.809999999999995</v>
      </c>
      <c r="O260">
        <f t="shared" ca="1" si="78"/>
        <v>1.031215E-3</v>
      </c>
      <c r="P260">
        <f t="shared" ca="1" si="79"/>
        <v>1.0005202500000001</v>
      </c>
      <c r="Q260">
        <f t="shared" ca="1" si="80"/>
        <v>2.1509205528853963</v>
      </c>
      <c r="R260">
        <f t="shared" ca="1" si="81"/>
        <v>11471.576282055446</v>
      </c>
      <c r="S260">
        <f t="shared" ca="1" si="82"/>
        <v>3.5645093300195239</v>
      </c>
      <c r="T260">
        <f t="shared" ca="1" si="83"/>
        <v>-3</v>
      </c>
      <c r="U260">
        <f t="shared" ca="1" si="84"/>
        <v>11472</v>
      </c>
      <c r="V260">
        <f t="shared" ca="1" si="85"/>
        <v>2.1510000000000002</v>
      </c>
      <c r="X260">
        <f t="shared" ca="1" si="86"/>
        <v>2.1488508453477082</v>
      </c>
    </row>
    <row r="261" spans="5:24" x14ac:dyDescent="0.25">
      <c r="E261">
        <v>259</v>
      </c>
      <c r="F261">
        <f t="shared" si="70"/>
        <v>45.900000000000006</v>
      </c>
      <c r="G261">
        <f t="shared" ca="1" si="71"/>
        <v>45.904000000000003</v>
      </c>
      <c r="H261" s="5">
        <f t="shared" ca="1" si="72"/>
        <v>3.9999999999977831E-3</v>
      </c>
      <c r="I261" s="5">
        <f t="shared" ca="1" si="73"/>
        <v>8.7145969498862369E-5</v>
      </c>
      <c r="J261" s="10">
        <f t="shared" si="74"/>
        <v>2.1583333333333332</v>
      </c>
      <c r="K261" s="12">
        <f t="shared" ca="1" si="75"/>
        <v>2.158666666666667</v>
      </c>
      <c r="L261" s="5">
        <f t="shared" ca="1" si="76"/>
        <v>1.5444015444034318E-4</v>
      </c>
      <c r="N261">
        <f t="shared" ca="1" si="77"/>
        <v>20.904000000000003</v>
      </c>
      <c r="O261">
        <f t="shared" ca="1" si="78"/>
        <v>1.031356E-3</v>
      </c>
      <c r="P261">
        <f t="shared" ca="1" si="79"/>
        <v>1.0005226</v>
      </c>
      <c r="Q261">
        <f t="shared" ca="1" si="80"/>
        <v>2.1587628908800216</v>
      </c>
      <c r="R261">
        <f t="shared" ca="1" si="81"/>
        <v>11513.402084693449</v>
      </c>
      <c r="S261">
        <f t="shared" ca="1" si="82"/>
        <v>3.5717588524930597</v>
      </c>
      <c r="T261">
        <f t="shared" ca="1" si="83"/>
        <v>2</v>
      </c>
      <c r="U261">
        <f t="shared" ca="1" si="84"/>
        <v>11519</v>
      </c>
      <c r="V261">
        <f t="shared" ca="1" si="85"/>
        <v>2.1598125000000001</v>
      </c>
      <c r="X261">
        <f t="shared" ca="1" si="86"/>
        <v>2.1576535542525477</v>
      </c>
    </row>
    <row r="262" spans="5:24" x14ac:dyDescent="0.25">
      <c r="E262">
        <v>260</v>
      </c>
      <c r="F262">
        <f t="shared" si="70"/>
        <v>46</v>
      </c>
      <c r="G262">
        <f t="shared" ca="1" si="71"/>
        <v>45.997999999999998</v>
      </c>
      <c r="H262" s="5">
        <f t="shared" ca="1" si="72"/>
        <v>2.0000000000024443E-3</v>
      </c>
      <c r="I262" s="5">
        <f t="shared" ca="1" si="73"/>
        <v>4.3478260869618353E-5</v>
      </c>
      <c r="J262" s="10">
        <f t="shared" si="74"/>
        <v>2.1666666666666661</v>
      </c>
      <c r="K262" s="12">
        <f t="shared" ca="1" si="75"/>
        <v>2.1664999999999992</v>
      </c>
      <c r="L262" s="5">
        <f t="shared" ca="1" si="76"/>
        <v>7.6923076923170953E-5</v>
      </c>
      <c r="N262">
        <f t="shared" ca="1" si="77"/>
        <v>20.997999999999998</v>
      </c>
      <c r="O262">
        <f t="shared" ca="1" si="78"/>
        <v>1.0314969999999999E-3</v>
      </c>
      <c r="P262">
        <f t="shared" ca="1" si="79"/>
        <v>1.00052495</v>
      </c>
      <c r="Q262">
        <f t="shared" ca="1" si="80"/>
        <v>2.1666052656906492</v>
      </c>
      <c r="R262">
        <f t="shared" ca="1" si="81"/>
        <v>11555.228083683462</v>
      </c>
      <c r="S262">
        <f t="shared" ca="1" si="82"/>
        <v>3.5789509744723835</v>
      </c>
      <c r="T262">
        <f t="shared" ca="1" si="83"/>
        <v>-1</v>
      </c>
      <c r="U262">
        <f t="shared" ca="1" si="84"/>
        <v>11558</v>
      </c>
      <c r="V262">
        <f t="shared" ca="1" si="85"/>
        <v>2.167125</v>
      </c>
      <c r="X262">
        <f t="shared" ca="1" si="86"/>
        <v>2.1649570088182211</v>
      </c>
    </row>
    <row r="263" spans="5:24" x14ac:dyDescent="0.25">
      <c r="E263">
        <v>261</v>
      </c>
      <c r="F263">
        <f t="shared" si="70"/>
        <v>46.1</v>
      </c>
      <c r="G263">
        <f t="shared" ca="1" si="71"/>
        <v>46.093000000000004</v>
      </c>
      <c r="H263" s="5">
        <f t="shared" ca="1" si="72"/>
        <v>6.9999999999978968E-3</v>
      </c>
      <c r="I263" s="5">
        <f t="shared" ca="1" si="73"/>
        <v>1.5184381778737303E-4</v>
      </c>
      <c r="J263" s="10">
        <f t="shared" si="74"/>
        <v>2.1749999999999998</v>
      </c>
      <c r="K263" s="12">
        <f t="shared" ca="1" si="75"/>
        <v>2.1744166666666667</v>
      </c>
      <c r="L263" s="5">
        <f t="shared" ca="1" si="76"/>
        <v>2.6819923371639454E-4</v>
      </c>
      <c r="N263">
        <f t="shared" ca="1" si="77"/>
        <v>21.093000000000004</v>
      </c>
      <c r="O263">
        <f t="shared" ca="1" si="78"/>
        <v>1.0316394999999999E-3</v>
      </c>
      <c r="P263">
        <f t="shared" ca="1" si="79"/>
        <v>1.000527325</v>
      </c>
      <c r="Q263">
        <f t="shared" ca="1" si="80"/>
        <v>2.1745311074261173</v>
      </c>
      <c r="R263">
        <f t="shared" ca="1" si="81"/>
        <v>11597.499239605959</v>
      </c>
      <c r="S263">
        <f t="shared" ca="1" si="82"/>
        <v>3.5861611699373315</v>
      </c>
      <c r="T263">
        <f t="shared" ca="1" si="83"/>
        <v>-1</v>
      </c>
      <c r="U263">
        <f t="shared" ca="1" si="84"/>
        <v>11600</v>
      </c>
      <c r="V263">
        <f t="shared" ca="1" si="85"/>
        <v>2.1750000000000003</v>
      </c>
      <c r="X263">
        <f t="shared" ca="1" si="86"/>
        <v>2.1728225768346712</v>
      </c>
    </row>
    <row r="264" spans="5:24" x14ac:dyDescent="0.25">
      <c r="E264">
        <v>262</v>
      </c>
      <c r="F264">
        <f t="shared" si="70"/>
        <v>46.2</v>
      </c>
      <c r="G264">
        <f t="shared" ca="1" si="71"/>
        <v>46.191000000000003</v>
      </c>
      <c r="H264" s="5">
        <f t="shared" ca="1" si="72"/>
        <v>9.0000000000003411E-3</v>
      </c>
      <c r="I264" s="5">
        <f t="shared" ca="1" si="73"/>
        <v>1.9480519480520218E-4</v>
      </c>
      <c r="J264" s="10">
        <f t="shared" si="74"/>
        <v>2.1833333333333336</v>
      </c>
      <c r="K264" s="12">
        <f t="shared" ca="1" si="75"/>
        <v>2.1825833333333335</v>
      </c>
      <c r="L264" s="5">
        <f t="shared" ca="1" si="76"/>
        <v>3.4351145038169235E-4</v>
      </c>
      <c r="N264">
        <f t="shared" ca="1" si="77"/>
        <v>21.191000000000003</v>
      </c>
      <c r="O264">
        <f t="shared" ca="1" si="78"/>
        <v>1.0317865E-3</v>
      </c>
      <c r="P264">
        <f t="shared" ca="1" si="79"/>
        <v>1.000529775</v>
      </c>
      <c r="Q264">
        <f t="shared" ca="1" si="80"/>
        <v>2.1827072783040569</v>
      </c>
      <c r="R264">
        <f t="shared" ca="1" si="81"/>
        <v>11641.105484288302</v>
      </c>
      <c r="S264">
        <f t="shared" ca="1" si="82"/>
        <v>3.593537370226108</v>
      </c>
      <c r="T264">
        <f t="shared" ca="1" si="83"/>
        <v>3</v>
      </c>
      <c r="U264">
        <f t="shared" ca="1" si="84"/>
        <v>11648</v>
      </c>
      <c r="V264">
        <f t="shared" ca="1" si="85"/>
        <v>2.1840000000000002</v>
      </c>
      <c r="X264">
        <f t="shared" ca="1" si="86"/>
        <v>2.1818123438655288</v>
      </c>
    </row>
    <row r="265" spans="5:24" x14ac:dyDescent="0.25">
      <c r="E265">
        <v>263</v>
      </c>
      <c r="F265">
        <f t="shared" si="70"/>
        <v>46.3</v>
      </c>
      <c r="G265">
        <f t="shared" ca="1" si="71"/>
        <v>46.3</v>
      </c>
      <c r="H265" s="5">
        <f t="shared" ca="1" si="72"/>
        <v>0</v>
      </c>
      <c r="I265" s="5">
        <f t="shared" ca="1" si="73"/>
        <v>0</v>
      </c>
      <c r="J265" s="10">
        <f t="shared" si="74"/>
        <v>2.1916666666666664</v>
      </c>
      <c r="K265" s="12">
        <f t="shared" ca="1" si="75"/>
        <v>2.1916666666666664</v>
      </c>
      <c r="L265" s="5">
        <f t="shared" ca="1" si="76"/>
        <v>0</v>
      </c>
      <c r="N265">
        <f t="shared" ca="1" si="77"/>
        <v>21.299999999999997</v>
      </c>
      <c r="O265">
        <f t="shared" ca="1" si="78"/>
        <v>1.03195E-3</v>
      </c>
      <c r="P265">
        <f t="shared" ca="1" si="79"/>
        <v>1.0005325</v>
      </c>
      <c r="Q265">
        <f t="shared" ca="1" si="80"/>
        <v>2.1918012296532918</v>
      </c>
      <c r="R265">
        <f t="shared" ca="1" si="81"/>
        <v>11689.60655815089</v>
      </c>
      <c r="S265">
        <f t="shared" ca="1" si="82"/>
        <v>3.6016677684373235</v>
      </c>
      <c r="T265">
        <f t="shared" ca="1" si="83"/>
        <v>3</v>
      </c>
      <c r="U265">
        <f t="shared" ca="1" si="84"/>
        <v>11696</v>
      </c>
      <c r="V265">
        <f t="shared" ca="1" si="85"/>
        <v>2.1930000000000001</v>
      </c>
      <c r="X265">
        <f t="shared" ca="1" si="86"/>
        <v>2.1908014482288185</v>
      </c>
    </row>
    <row r="266" spans="5:24" x14ac:dyDescent="0.25">
      <c r="E266">
        <v>264</v>
      </c>
      <c r="F266">
        <f t="shared" si="70"/>
        <v>46.400000000000006</v>
      </c>
      <c r="G266">
        <f t="shared" ca="1" si="71"/>
        <v>46.402000000000008</v>
      </c>
      <c r="H266" s="5">
        <f t="shared" ca="1" si="72"/>
        <v>2.0000000000024443E-3</v>
      </c>
      <c r="I266" s="5">
        <f t="shared" ca="1" si="73"/>
        <v>4.3103448275914744E-5</v>
      </c>
      <c r="J266" s="10">
        <f t="shared" si="74"/>
        <v>2.2000000000000002</v>
      </c>
      <c r="K266" s="12">
        <f t="shared" ca="1" si="75"/>
        <v>2.200166666666667</v>
      </c>
      <c r="L266" s="5">
        <f t="shared" ca="1" si="76"/>
        <v>7.5757575757668335E-5</v>
      </c>
      <c r="N266">
        <f t="shared" ca="1" si="77"/>
        <v>21.402000000000008</v>
      </c>
      <c r="O266">
        <f t="shared" ca="1" si="78"/>
        <v>1.0321029999999999E-3</v>
      </c>
      <c r="P266">
        <f t="shared" ca="1" si="79"/>
        <v>1.0005350500000001</v>
      </c>
      <c r="Q266">
        <f t="shared" ca="1" si="80"/>
        <v>2.2003112106149572</v>
      </c>
      <c r="R266">
        <f t="shared" ca="1" si="81"/>
        <v>11734.993123279772</v>
      </c>
      <c r="S266">
        <f t="shared" ca="1" si="82"/>
        <v>3.609205538835079</v>
      </c>
      <c r="T266">
        <f t="shared" ca="1" si="83"/>
        <v>-2</v>
      </c>
      <c r="U266">
        <f t="shared" ca="1" si="84"/>
        <v>11737</v>
      </c>
      <c r="V266">
        <f t="shared" ca="1" si="85"/>
        <v>2.2006874999999999</v>
      </c>
      <c r="X266">
        <f t="shared" ca="1" si="86"/>
        <v>2.1984791007571394</v>
      </c>
    </row>
    <row r="267" spans="5:24" x14ac:dyDescent="0.25">
      <c r="E267">
        <v>265</v>
      </c>
      <c r="F267">
        <f t="shared" si="70"/>
        <v>46.5</v>
      </c>
      <c r="G267">
        <f t="shared" ca="1" si="71"/>
        <v>46.493000000000002</v>
      </c>
      <c r="H267" s="5">
        <f t="shared" ca="1" si="72"/>
        <v>6.9999999999978968E-3</v>
      </c>
      <c r="I267" s="5">
        <f t="shared" ca="1" si="73"/>
        <v>1.5053763440855692E-4</v>
      </c>
      <c r="J267" s="10">
        <f t="shared" si="74"/>
        <v>2.208333333333333</v>
      </c>
      <c r="K267" s="12">
        <f t="shared" ca="1" si="75"/>
        <v>2.2077499999999999</v>
      </c>
      <c r="L267" s="5">
        <f t="shared" ca="1" si="76"/>
        <v>2.6415094339614706E-4</v>
      </c>
      <c r="N267">
        <f t="shared" ca="1" si="77"/>
        <v>21.493000000000002</v>
      </c>
      <c r="O267">
        <f t="shared" ca="1" si="78"/>
        <v>1.0322395000000001E-3</v>
      </c>
      <c r="P267">
        <f t="shared" ca="1" si="79"/>
        <v>1.000537325</v>
      </c>
      <c r="Q267">
        <f t="shared" ca="1" si="80"/>
        <v>2.2079034851206605</v>
      </c>
      <c r="R267">
        <f t="shared" ca="1" si="81"/>
        <v>11775.485253976856</v>
      </c>
      <c r="S267">
        <f t="shared" ca="1" si="82"/>
        <v>3.6158727675916391</v>
      </c>
      <c r="T267">
        <f t="shared" ca="1" si="83"/>
        <v>1</v>
      </c>
      <c r="U267">
        <f t="shared" ca="1" si="84"/>
        <v>11780</v>
      </c>
      <c r="V267">
        <f t="shared" ca="1" si="85"/>
        <v>2.2087500000000002</v>
      </c>
      <c r="X267">
        <f t="shared" ca="1" si="86"/>
        <v>2.2065321356202277</v>
      </c>
    </row>
    <row r="268" spans="5:24" x14ac:dyDescent="0.25">
      <c r="E268">
        <v>266</v>
      </c>
      <c r="F268">
        <f t="shared" si="70"/>
        <v>46.6</v>
      </c>
      <c r="G268">
        <f t="shared" ca="1" si="71"/>
        <v>46.602000000000004</v>
      </c>
      <c r="H268" s="5">
        <f t="shared" ca="1" si="72"/>
        <v>2.0000000000024443E-3</v>
      </c>
      <c r="I268" s="5">
        <f t="shared" ca="1" si="73"/>
        <v>4.2918454935674769E-5</v>
      </c>
      <c r="J268" s="10">
        <f t="shared" si="74"/>
        <v>2.2166666666666668</v>
      </c>
      <c r="K268" s="12">
        <f t="shared" ca="1" si="75"/>
        <v>2.2168333333333337</v>
      </c>
      <c r="L268" s="5">
        <f t="shared" ca="1" si="76"/>
        <v>7.5187969924903913E-5</v>
      </c>
      <c r="N268">
        <f t="shared" ca="1" si="77"/>
        <v>21.602000000000004</v>
      </c>
      <c r="O268">
        <f t="shared" ca="1" si="78"/>
        <v>1.0324030000000001E-3</v>
      </c>
      <c r="P268">
        <f t="shared" ca="1" si="79"/>
        <v>1.0005400499999999</v>
      </c>
      <c r="Q268">
        <f t="shared" ca="1" si="80"/>
        <v>2.2169975736257599</v>
      </c>
      <c r="R268">
        <f t="shared" ca="1" si="81"/>
        <v>11823.987059337385</v>
      </c>
      <c r="S268">
        <f t="shared" ca="1" si="82"/>
        <v>3.6237870900740172</v>
      </c>
      <c r="T268">
        <f t="shared" ca="1" si="83"/>
        <v>-2</v>
      </c>
      <c r="U268">
        <f t="shared" ca="1" si="84"/>
        <v>11826</v>
      </c>
      <c r="V268">
        <f t="shared" ca="1" si="85"/>
        <v>2.2173750000000001</v>
      </c>
      <c r="X268">
        <f t="shared" ca="1" si="86"/>
        <v>2.2151463072367772</v>
      </c>
    </row>
    <row r="269" spans="5:24" x14ac:dyDescent="0.25">
      <c r="E269">
        <v>267</v>
      </c>
      <c r="F269">
        <f t="shared" si="70"/>
        <v>46.7</v>
      </c>
      <c r="G269">
        <f t="shared" ca="1" si="71"/>
        <v>46.706000000000003</v>
      </c>
      <c r="H269" s="5">
        <f t="shared" ca="1" si="72"/>
        <v>6.0000000000002274E-3</v>
      </c>
      <c r="I269" s="5">
        <f t="shared" ca="1" si="73"/>
        <v>1.2847965738758515E-4</v>
      </c>
      <c r="J269" s="10">
        <f t="shared" si="74"/>
        <v>2.2249999999999996</v>
      </c>
      <c r="K269" s="12">
        <f t="shared" ca="1" si="75"/>
        <v>2.2255000000000003</v>
      </c>
      <c r="L269" s="5">
        <f t="shared" ca="1" si="76"/>
        <v>2.2471910112387017E-4</v>
      </c>
      <c r="N269">
        <f t="shared" ca="1" si="77"/>
        <v>21.706000000000003</v>
      </c>
      <c r="O269">
        <f t="shared" ca="1" si="78"/>
        <v>1.032559E-3</v>
      </c>
      <c r="P269">
        <f t="shared" ca="1" si="79"/>
        <v>1.0005426500000001</v>
      </c>
      <c r="Q269">
        <f t="shared" ca="1" si="80"/>
        <v>2.2256745482568592</v>
      </c>
      <c r="R269">
        <f t="shared" ca="1" si="81"/>
        <v>11870.264257369916</v>
      </c>
      <c r="S269">
        <f t="shared" ca="1" si="82"/>
        <v>3.6312653643811967</v>
      </c>
      <c r="T269">
        <f t="shared" ca="1" si="83"/>
        <v>3</v>
      </c>
      <c r="U269">
        <f t="shared" ca="1" si="84"/>
        <v>11877</v>
      </c>
      <c r="V269">
        <f t="shared" ca="1" si="85"/>
        <v>2.2269375</v>
      </c>
      <c r="X269">
        <f t="shared" ca="1" si="86"/>
        <v>2.2246977087883257</v>
      </c>
    </row>
    <row r="270" spans="5:24" x14ac:dyDescent="0.25">
      <c r="E270">
        <v>268</v>
      </c>
      <c r="F270">
        <f t="shared" si="70"/>
        <v>46.8</v>
      </c>
      <c r="G270">
        <f t="shared" ca="1" si="71"/>
        <v>46.792999999999999</v>
      </c>
      <c r="H270" s="5">
        <f t="shared" ca="1" si="72"/>
        <v>6.9999999999978968E-3</v>
      </c>
      <c r="I270" s="5">
        <f t="shared" ca="1" si="73"/>
        <v>1.4957264957260463E-4</v>
      </c>
      <c r="J270" s="10">
        <f t="shared" si="74"/>
        <v>2.2333333333333325</v>
      </c>
      <c r="K270" s="12">
        <f t="shared" ca="1" si="75"/>
        <v>2.2327499999999993</v>
      </c>
      <c r="L270" s="5">
        <f t="shared" ca="1" si="76"/>
        <v>2.6119402985066791E-4</v>
      </c>
      <c r="N270">
        <f t="shared" ca="1" si="77"/>
        <v>21.792999999999999</v>
      </c>
      <c r="O270">
        <f t="shared" ca="1" si="78"/>
        <v>1.0326895E-3</v>
      </c>
      <c r="P270">
        <f t="shared" ca="1" si="79"/>
        <v>1.000544825</v>
      </c>
      <c r="Q270">
        <f t="shared" ca="1" si="80"/>
        <v>2.2329332058836924</v>
      </c>
      <c r="R270">
        <f t="shared" ca="1" si="81"/>
        <v>11908.97709804636</v>
      </c>
      <c r="S270">
        <f t="shared" ca="1" si="82"/>
        <v>3.6374663545749146</v>
      </c>
      <c r="T270">
        <f t="shared" ca="1" si="83"/>
        <v>1</v>
      </c>
      <c r="U270">
        <f t="shared" ca="1" si="84"/>
        <v>11914</v>
      </c>
      <c r="V270">
        <f t="shared" ca="1" si="85"/>
        <v>2.2338749999999998</v>
      </c>
      <c r="X270">
        <f t="shared" ca="1" si="86"/>
        <v>2.2316264646114177</v>
      </c>
    </row>
    <row r="271" spans="5:24" x14ac:dyDescent="0.25">
      <c r="E271">
        <v>269</v>
      </c>
      <c r="F271">
        <f t="shared" si="70"/>
        <v>46.900000000000006</v>
      </c>
      <c r="G271">
        <f t="shared" ca="1" si="71"/>
        <v>46.902000000000008</v>
      </c>
      <c r="H271" s="5">
        <f t="shared" ca="1" si="72"/>
        <v>2.0000000000024443E-3</v>
      </c>
      <c r="I271" s="5">
        <f t="shared" ca="1" si="73"/>
        <v>4.2643923240990275E-5</v>
      </c>
      <c r="J271" s="10">
        <f t="shared" si="74"/>
        <v>2.2416666666666671</v>
      </c>
      <c r="K271" s="12">
        <f t="shared" ca="1" si="75"/>
        <v>2.241833333333334</v>
      </c>
      <c r="L271" s="5">
        <f t="shared" ca="1" si="76"/>
        <v>7.4349442379273E-5</v>
      </c>
      <c r="N271">
        <f t="shared" ca="1" si="77"/>
        <v>21.902000000000008</v>
      </c>
      <c r="O271">
        <f t="shared" ca="1" si="78"/>
        <v>1.032853E-3</v>
      </c>
      <c r="P271">
        <f t="shared" ca="1" si="79"/>
        <v>1.0005475500000001</v>
      </c>
      <c r="Q271">
        <f t="shared" ca="1" si="80"/>
        <v>2.2420274306363406</v>
      </c>
      <c r="R271">
        <f t="shared" ca="1" si="81"/>
        <v>11957.479630060483</v>
      </c>
      <c r="S271">
        <f t="shared" ca="1" si="82"/>
        <v>3.6451647218574408</v>
      </c>
      <c r="T271">
        <f t="shared" ca="1" si="83"/>
        <v>-2</v>
      </c>
      <c r="U271">
        <f t="shared" ca="1" si="84"/>
        <v>11959</v>
      </c>
      <c r="V271">
        <f t="shared" ca="1" si="85"/>
        <v>2.2423125000000002</v>
      </c>
      <c r="X271">
        <f t="shared" ca="1" si="86"/>
        <v>2.2400531059218527</v>
      </c>
    </row>
    <row r="272" spans="5:24" x14ac:dyDescent="0.25">
      <c r="E272">
        <v>270</v>
      </c>
      <c r="F272">
        <f t="shared" si="70"/>
        <v>47</v>
      </c>
      <c r="G272">
        <f t="shared" ca="1" si="71"/>
        <v>47</v>
      </c>
      <c r="H272" s="5">
        <f t="shared" ca="1" si="72"/>
        <v>0</v>
      </c>
      <c r="I272" s="5">
        <f t="shared" ca="1" si="73"/>
        <v>0</v>
      </c>
      <c r="J272" s="10">
        <f t="shared" si="74"/>
        <v>2.25</v>
      </c>
      <c r="K272" s="12">
        <f t="shared" ca="1" si="75"/>
        <v>2.25</v>
      </c>
      <c r="L272" s="5">
        <f t="shared" ca="1" si="76"/>
        <v>0</v>
      </c>
      <c r="N272">
        <f t="shared" ca="1" si="77"/>
        <v>22</v>
      </c>
      <c r="O272">
        <f t="shared" ca="1" si="78"/>
        <v>1.0330000000000001E-3</v>
      </c>
      <c r="P272">
        <f t="shared" ca="1" si="79"/>
        <v>1.0005500000000001</v>
      </c>
      <c r="Q272">
        <f t="shared" ca="1" si="80"/>
        <v>2.2502039318500002</v>
      </c>
      <c r="R272">
        <f t="shared" ca="1" si="81"/>
        <v>12001.087636533335</v>
      </c>
      <c r="S272">
        <f t="shared" ca="1" si="82"/>
        <v>3.6520189384613899</v>
      </c>
      <c r="T272">
        <f t="shared" ca="1" si="83"/>
        <v>-1</v>
      </c>
      <c r="U272">
        <f t="shared" ca="1" si="84"/>
        <v>12004</v>
      </c>
      <c r="V272">
        <f t="shared" ca="1" si="85"/>
        <v>2.25075</v>
      </c>
      <c r="X272">
        <f t="shared" ca="1" si="86"/>
        <v>2.2484803358153016</v>
      </c>
    </row>
    <row r="273" spans="5:24" x14ac:dyDescent="0.25">
      <c r="E273">
        <v>271</v>
      </c>
      <c r="F273">
        <f t="shared" si="70"/>
        <v>47.1</v>
      </c>
      <c r="G273">
        <f t="shared" ca="1" si="71"/>
        <v>47.108000000000004</v>
      </c>
      <c r="H273" s="5">
        <f t="shared" ca="1" si="72"/>
        <v>8.0000000000026716E-3</v>
      </c>
      <c r="I273" s="5">
        <f t="shared" ca="1" si="73"/>
        <v>1.6985138004251956E-4</v>
      </c>
      <c r="J273" s="10">
        <f t="shared" si="74"/>
        <v>2.2583333333333329</v>
      </c>
      <c r="K273" s="12">
        <f t="shared" ca="1" si="75"/>
        <v>2.2590000000000003</v>
      </c>
      <c r="L273" s="5">
        <f t="shared" ca="1" si="76"/>
        <v>2.9520295202988114E-4</v>
      </c>
      <c r="N273">
        <f t="shared" ca="1" si="77"/>
        <v>22.108000000000004</v>
      </c>
      <c r="O273">
        <f t="shared" ca="1" si="78"/>
        <v>1.033162E-3</v>
      </c>
      <c r="P273">
        <f t="shared" ca="1" si="79"/>
        <v>1.0005527000000001</v>
      </c>
      <c r="Q273">
        <f t="shared" ca="1" si="80"/>
        <v>2.259214816271363</v>
      </c>
      <c r="R273">
        <f t="shared" ca="1" si="81"/>
        <v>12049.145686780603</v>
      </c>
      <c r="S273">
        <f t="shared" ca="1" si="82"/>
        <v>3.6594986595127477</v>
      </c>
      <c r="T273">
        <f t="shared" ca="1" si="83"/>
        <v>0</v>
      </c>
      <c r="U273">
        <f t="shared" ca="1" si="84"/>
        <v>12053</v>
      </c>
      <c r="V273">
        <f t="shared" ca="1" si="85"/>
        <v>2.2599374999999999</v>
      </c>
      <c r="X273">
        <f t="shared" ca="1" si="86"/>
        <v>2.2576565312351859</v>
      </c>
    </row>
    <row r="274" spans="5:24" x14ac:dyDescent="0.25">
      <c r="E274">
        <v>272</v>
      </c>
      <c r="F274">
        <f t="shared" si="70"/>
        <v>47.2</v>
      </c>
      <c r="G274">
        <f t="shared" ca="1" si="71"/>
        <v>47.190000000000005</v>
      </c>
      <c r="H274" s="5">
        <f t="shared" ca="1" si="72"/>
        <v>9.9999999999980105E-3</v>
      </c>
      <c r="I274" s="5">
        <f t="shared" ca="1" si="73"/>
        <v>2.1186440677961886E-4</v>
      </c>
      <c r="J274" s="10">
        <f t="shared" si="74"/>
        <v>2.2666666666666666</v>
      </c>
      <c r="K274" s="12">
        <f t="shared" ca="1" si="75"/>
        <v>2.2658333333333331</v>
      </c>
      <c r="L274" s="5">
        <f t="shared" ca="1" si="76"/>
        <v>3.6764705882358687E-4</v>
      </c>
      <c r="N274">
        <f t="shared" ca="1" si="77"/>
        <v>22.190000000000005</v>
      </c>
      <c r="O274">
        <f t="shared" ca="1" si="78"/>
        <v>1.0332850000000001E-3</v>
      </c>
      <c r="P274">
        <f t="shared" ca="1" si="79"/>
        <v>1.00055475</v>
      </c>
      <c r="Q274">
        <f t="shared" ca="1" si="80"/>
        <v>2.266056446160146</v>
      </c>
      <c r="R274">
        <f t="shared" ca="1" si="81"/>
        <v>12085.634379520778</v>
      </c>
      <c r="S274">
        <f t="shared" ca="1" si="82"/>
        <v>3.6651258568830349</v>
      </c>
      <c r="T274">
        <f t="shared" ca="1" si="83"/>
        <v>0</v>
      </c>
      <c r="U274">
        <f t="shared" ca="1" si="84"/>
        <v>12089</v>
      </c>
      <c r="V274">
        <f t="shared" ca="1" si="85"/>
        <v>2.2666875000000002</v>
      </c>
      <c r="X274">
        <f t="shared" ca="1" si="86"/>
        <v>2.2643980401872059</v>
      </c>
    </row>
    <row r="275" spans="5:24" x14ac:dyDescent="0.25">
      <c r="E275">
        <v>273</v>
      </c>
      <c r="F275">
        <f t="shared" si="70"/>
        <v>47.3</v>
      </c>
      <c r="G275">
        <f t="shared" ca="1" si="71"/>
        <v>47.309999999999995</v>
      </c>
      <c r="H275" s="5">
        <f t="shared" ca="1" si="72"/>
        <v>9.9999999999980105E-3</v>
      </c>
      <c r="I275" s="5">
        <f t="shared" ca="1" si="73"/>
        <v>2.1141649048621588E-4</v>
      </c>
      <c r="J275" s="10">
        <f t="shared" si="74"/>
        <v>2.2749999999999995</v>
      </c>
      <c r="K275" s="12">
        <f t="shared" ca="1" si="75"/>
        <v>2.2758333333333329</v>
      </c>
      <c r="L275" s="5">
        <f t="shared" ca="1" si="76"/>
        <v>3.6630036630042365E-4</v>
      </c>
      <c r="N275">
        <f t="shared" ca="1" si="77"/>
        <v>22.309999999999995</v>
      </c>
      <c r="O275">
        <f t="shared" ca="1" si="78"/>
        <v>1.0334649999999999E-3</v>
      </c>
      <c r="P275">
        <f t="shared" ca="1" si="79"/>
        <v>1.00055775</v>
      </c>
      <c r="Q275">
        <f t="shared" ca="1" si="80"/>
        <v>2.276068637959896</v>
      </c>
      <c r="R275">
        <f t="shared" ca="1" si="81"/>
        <v>12139.032735786112</v>
      </c>
      <c r="S275">
        <f t="shared" ca="1" si="82"/>
        <v>3.6732799517387478</v>
      </c>
      <c r="T275">
        <f t="shared" ca="1" si="83"/>
        <v>3</v>
      </c>
      <c r="U275">
        <f t="shared" ca="1" si="84"/>
        <v>12146</v>
      </c>
      <c r="V275">
        <f t="shared" ca="1" si="85"/>
        <v>2.2773750000000001</v>
      </c>
      <c r="X275">
        <f t="shared" ca="1" si="86"/>
        <v>2.2750726132499599</v>
      </c>
    </row>
    <row r="276" spans="5:24" x14ac:dyDescent="0.25">
      <c r="E276">
        <v>274</v>
      </c>
      <c r="F276">
        <f t="shared" si="70"/>
        <v>47.400000000000006</v>
      </c>
      <c r="G276">
        <f t="shared" ca="1" si="71"/>
        <v>47.392000000000003</v>
      </c>
      <c r="H276" s="5">
        <f t="shared" ca="1" si="72"/>
        <v>8.0000000000026716E-3</v>
      </c>
      <c r="I276" s="5">
        <f t="shared" ca="1" si="73"/>
        <v>1.6877637130807322E-4</v>
      </c>
      <c r="J276" s="10">
        <f t="shared" si="74"/>
        <v>2.2833333333333332</v>
      </c>
      <c r="K276" s="12">
        <f t="shared" ca="1" si="75"/>
        <v>2.2826666666666666</v>
      </c>
      <c r="L276" s="5">
        <f t="shared" ca="1" si="76"/>
        <v>2.9197080291967591E-4</v>
      </c>
      <c r="N276">
        <f t="shared" ca="1" si="77"/>
        <v>22.392000000000003</v>
      </c>
      <c r="O276">
        <f t="shared" ca="1" si="78"/>
        <v>1.033588E-3</v>
      </c>
      <c r="P276">
        <f t="shared" ca="1" si="79"/>
        <v>1.0005598</v>
      </c>
      <c r="Q276">
        <f t="shared" ca="1" si="80"/>
        <v>2.2829103368641044</v>
      </c>
      <c r="R276">
        <f t="shared" ca="1" si="81"/>
        <v>12175.521796608557</v>
      </c>
      <c r="S276">
        <f t="shared" ca="1" si="82"/>
        <v>3.6787965862541689</v>
      </c>
      <c r="T276">
        <f t="shared" ca="1" si="83"/>
        <v>3</v>
      </c>
      <c r="U276">
        <f t="shared" ca="1" si="84"/>
        <v>12182</v>
      </c>
      <c r="V276">
        <f t="shared" ca="1" si="85"/>
        <v>2.284125</v>
      </c>
      <c r="X276">
        <f t="shared" ca="1" si="86"/>
        <v>2.2818140524934143</v>
      </c>
    </row>
    <row r="277" spans="5:24" x14ac:dyDescent="0.25">
      <c r="E277">
        <v>275</v>
      </c>
      <c r="F277">
        <f t="shared" si="70"/>
        <v>47.5</v>
      </c>
      <c r="G277">
        <f t="shared" ca="1" si="71"/>
        <v>47.508000000000003</v>
      </c>
      <c r="H277" s="5">
        <f t="shared" ca="1" si="72"/>
        <v>8.0000000000026716E-3</v>
      </c>
      <c r="I277" s="5">
        <f t="shared" ca="1" si="73"/>
        <v>1.6842105263163519E-4</v>
      </c>
      <c r="J277" s="10">
        <f t="shared" si="74"/>
        <v>2.2916666666666661</v>
      </c>
      <c r="K277" s="12">
        <f t="shared" ca="1" si="75"/>
        <v>2.2923333333333336</v>
      </c>
      <c r="L277" s="5">
        <f t="shared" ca="1" si="76"/>
        <v>2.9090909090944653E-4</v>
      </c>
      <c r="N277">
        <f t="shared" ca="1" si="77"/>
        <v>22.508000000000003</v>
      </c>
      <c r="O277">
        <f t="shared" ca="1" si="78"/>
        <v>1.0337620000000001E-3</v>
      </c>
      <c r="P277">
        <f t="shared" ca="1" si="79"/>
        <v>1.0005626999999999</v>
      </c>
      <c r="Q277">
        <f t="shared" ca="1" si="80"/>
        <v>2.2925888856021226</v>
      </c>
      <c r="R277">
        <f t="shared" ca="1" si="81"/>
        <v>12227.14072321132</v>
      </c>
      <c r="S277">
        <f t="shared" ca="1" si="82"/>
        <v>3.6865237333271454</v>
      </c>
      <c r="T277">
        <f t="shared" ca="1" si="83"/>
        <v>-1</v>
      </c>
      <c r="U277">
        <f t="shared" ca="1" si="84"/>
        <v>12230</v>
      </c>
      <c r="V277">
        <f t="shared" ca="1" si="85"/>
        <v>2.2931249999999999</v>
      </c>
      <c r="X277">
        <f t="shared" ca="1" si="86"/>
        <v>2.2908022036000344</v>
      </c>
    </row>
    <row r="278" spans="5:24" x14ac:dyDescent="0.25">
      <c r="E278">
        <v>276</v>
      </c>
      <c r="F278">
        <f t="shared" si="70"/>
        <v>47.6</v>
      </c>
      <c r="G278">
        <f t="shared" ca="1" si="71"/>
        <v>47.608000000000004</v>
      </c>
      <c r="H278" s="5">
        <f t="shared" ca="1" si="72"/>
        <v>8.0000000000026716E-3</v>
      </c>
      <c r="I278" s="5">
        <f t="shared" ca="1" si="73"/>
        <v>1.6806722689081241E-4</v>
      </c>
      <c r="J278" s="10">
        <f t="shared" si="74"/>
        <v>2.2999999999999998</v>
      </c>
      <c r="K278" s="12">
        <f t="shared" ca="1" si="75"/>
        <v>2.3006666666666664</v>
      </c>
      <c r="L278" s="5">
        <f t="shared" ca="1" si="76"/>
        <v>2.8985507246373623E-4</v>
      </c>
      <c r="N278">
        <f t="shared" ca="1" si="77"/>
        <v>22.608000000000004</v>
      </c>
      <c r="O278">
        <f t="shared" ca="1" si="78"/>
        <v>1.0339120000000001E-3</v>
      </c>
      <c r="P278">
        <f t="shared" ca="1" si="79"/>
        <v>1.0005652</v>
      </c>
      <c r="Q278">
        <f t="shared" ca="1" si="80"/>
        <v>2.3009325070996041</v>
      </c>
      <c r="R278">
        <f t="shared" ca="1" si="81"/>
        <v>12271.640037864554</v>
      </c>
      <c r="S278">
        <f t="shared" ca="1" si="82"/>
        <v>3.6931126420475229</v>
      </c>
      <c r="T278">
        <f t="shared" ca="1" si="83"/>
        <v>-3</v>
      </c>
      <c r="U278">
        <f t="shared" ca="1" si="84"/>
        <v>12272</v>
      </c>
      <c r="V278">
        <f t="shared" ca="1" si="85"/>
        <v>2.3010000000000002</v>
      </c>
      <c r="X278">
        <f t="shared" ca="1" si="86"/>
        <v>2.2986668814785882</v>
      </c>
    </row>
    <row r="279" spans="5:24" x14ac:dyDescent="0.25">
      <c r="E279">
        <v>277</v>
      </c>
      <c r="F279">
        <f t="shared" si="70"/>
        <v>47.7</v>
      </c>
      <c r="G279">
        <f t="shared" ca="1" si="71"/>
        <v>47.707000000000001</v>
      </c>
      <c r="H279" s="5">
        <f t="shared" ca="1" si="72"/>
        <v>6.9999999999978968E-3</v>
      </c>
      <c r="I279" s="5">
        <f t="shared" ca="1" si="73"/>
        <v>1.4675052410897057E-4</v>
      </c>
      <c r="J279" s="10">
        <f t="shared" si="74"/>
        <v>2.3083333333333336</v>
      </c>
      <c r="K279" s="12">
        <f t="shared" ca="1" si="75"/>
        <v>2.3089166666666667</v>
      </c>
      <c r="L279" s="5">
        <f t="shared" ca="1" si="76"/>
        <v>2.5270758122736086E-4</v>
      </c>
      <c r="N279">
        <f t="shared" ca="1" si="77"/>
        <v>22.707000000000001</v>
      </c>
      <c r="O279">
        <f t="shared" ca="1" si="78"/>
        <v>1.0340605E-3</v>
      </c>
      <c r="P279">
        <f t="shared" ca="1" si="79"/>
        <v>1.0005676750000001</v>
      </c>
      <c r="Q279">
        <f t="shared" ca="1" si="80"/>
        <v>2.3091927334251228</v>
      </c>
      <c r="R279">
        <f t="shared" ca="1" si="81"/>
        <v>12315.694578267321</v>
      </c>
      <c r="S279">
        <f t="shared" ca="1" si="82"/>
        <v>3.6995694789431508</v>
      </c>
      <c r="T279">
        <f t="shared" ca="1" si="83"/>
        <v>0</v>
      </c>
      <c r="U279">
        <f t="shared" ca="1" si="84"/>
        <v>12319</v>
      </c>
      <c r="V279">
        <f t="shared" ca="1" si="85"/>
        <v>2.3098125</v>
      </c>
      <c r="X279">
        <f t="shared" ca="1" si="86"/>
        <v>2.3074685472924159</v>
      </c>
    </row>
    <row r="280" spans="5:24" x14ac:dyDescent="0.25">
      <c r="E280">
        <v>278</v>
      </c>
      <c r="F280">
        <f t="shared" si="70"/>
        <v>47.8</v>
      </c>
      <c r="G280">
        <f t="shared" ca="1" si="71"/>
        <v>47.797999999999995</v>
      </c>
      <c r="H280" s="5">
        <f t="shared" ca="1" si="72"/>
        <v>2.0000000000024443E-3</v>
      </c>
      <c r="I280" s="5">
        <f t="shared" ca="1" si="73"/>
        <v>4.1841004184151555E-5</v>
      </c>
      <c r="J280" s="10">
        <f t="shared" si="74"/>
        <v>2.3166666666666664</v>
      </c>
      <c r="K280" s="12">
        <f t="shared" ca="1" si="75"/>
        <v>2.3164999999999996</v>
      </c>
      <c r="L280" s="5">
        <f t="shared" ca="1" si="76"/>
        <v>7.1942446043253395E-5</v>
      </c>
      <c r="N280">
        <f t="shared" ca="1" si="77"/>
        <v>22.797999999999995</v>
      </c>
      <c r="O280">
        <f t="shared" ca="1" si="78"/>
        <v>1.0341969999999999E-3</v>
      </c>
      <c r="P280">
        <f t="shared" ca="1" si="79"/>
        <v>1.00056995</v>
      </c>
      <c r="Q280">
        <f t="shared" ca="1" si="80"/>
        <v>2.3167855027344193</v>
      </c>
      <c r="R280">
        <f t="shared" ca="1" si="81"/>
        <v>12356.189347916903</v>
      </c>
      <c r="S280">
        <f t="shared" ca="1" si="82"/>
        <v>3.7054463678479208</v>
      </c>
      <c r="T280">
        <f t="shared" ca="1" si="83"/>
        <v>0</v>
      </c>
      <c r="U280">
        <f t="shared" ca="1" si="84"/>
        <v>12360</v>
      </c>
      <c r="V280">
        <f t="shared" ca="1" si="85"/>
        <v>2.3174999999999999</v>
      </c>
      <c r="X280">
        <f t="shared" ca="1" si="86"/>
        <v>2.3151462853746505</v>
      </c>
    </row>
    <row r="281" spans="5:24" x14ac:dyDescent="0.25">
      <c r="E281">
        <v>279</v>
      </c>
      <c r="F281">
        <f t="shared" si="70"/>
        <v>47.900000000000006</v>
      </c>
      <c r="G281">
        <f t="shared" ca="1" si="71"/>
        <v>47.910000000000004</v>
      </c>
      <c r="H281" s="5">
        <f t="shared" ca="1" si="72"/>
        <v>9.9999999999980105E-3</v>
      </c>
      <c r="I281" s="5">
        <f t="shared" ca="1" si="73"/>
        <v>2.0876826722334048E-4</v>
      </c>
      <c r="J281" s="10">
        <f t="shared" si="74"/>
        <v>2.3250000000000002</v>
      </c>
      <c r="K281" s="12">
        <f t="shared" ca="1" si="75"/>
        <v>2.3258333333333336</v>
      </c>
      <c r="L281" s="5">
        <f t="shared" ca="1" si="76"/>
        <v>3.5842293906815636E-4</v>
      </c>
      <c r="N281">
        <f t="shared" ca="1" si="77"/>
        <v>22.910000000000004</v>
      </c>
      <c r="O281">
        <f t="shared" ca="1" si="78"/>
        <v>1.034365E-3</v>
      </c>
      <c r="P281">
        <f t="shared" ca="1" si="79"/>
        <v>1.0005727499999999</v>
      </c>
      <c r="Q281">
        <f t="shared" ca="1" si="80"/>
        <v>2.3261304969424463</v>
      </c>
      <c r="R281">
        <f t="shared" ca="1" si="81"/>
        <v>12406.029317026379</v>
      </c>
      <c r="S281">
        <f t="shared" ca="1" si="82"/>
        <v>3.7126028162693854</v>
      </c>
      <c r="T281">
        <f t="shared" ca="1" si="83"/>
        <v>-1</v>
      </c>
      <c r="U281">
        <f t="shared" ca="1" si="84"/>
        <v>12409</v>
      </c>
      <c r="V281">
        <f t="shared" ca="1" si="85"/>
        <v>2.3266875000000002</v>
      </c>
      <c r="X281">
        <f t="shared" ca="1" si="86"/>
        <v>2.3243218796434344</v>
      </c>
    </row>
    <row r="282" spans="5:24" x14ac:dyDescent="0.25">
      <c r="E282">
        <v>280</v>
      </c>
      <c r="F282">
        <f t="shared" si="70"/>
        <v>48</v>
      </c>
      <c r="G282">
        <f t="shared" ca="1" si="71"/>
        <v>47.994999999999997</v>
      </c>
      <c r="H282" s="5">
        <f t="shared" ca="1" si="72"/>
        <v>5.000000000002558E-3</v>
      </c>
      <c r="I282" s="5">
        <f t="shared" ca="1" si="73"/>
        <v>1.0416666666671996E-4</v>
      </c>
      <c r="J282" s="10">
        <f t="shared" si="74"/>
        <v>2.333333333333333</v>
      </c>
      <c r="K282" s="12">
        <f t="shared" ca="1" si="75"/>
        <v>2.3329166666666659</v>
      </c>
      <c r="L282" s="5">
        <f t="shared" ca="1" si="76"/>
        <v>1.7857142857164682E-4</v>
      </c>
      <c r="N282">
        <f t="shared" ca="1" si="77"/>
        <v>22.994999999999997</v>
      </c>
      <c r="O282">
        <f t="shared" ca="1" si="78"/>
        <v>1.0344925000000001E-3</v>
      </c>
      <c r="P282">
        <f t="shared" ca="1" si="79"/>
        <v>1.0005748750000001</v>
      </c>
      <c r="Q282">
        <f t="shared" ca="1" si="80"/>
        <v>2.3332227149315399</v>
      </c>
      <c r="R282">
        <f t="shared" ca="1" si="81"/>
        <v>12443.85447963488</v>
      </c>
      <c r="S282">
        <f t="shared" ca="1" si="82"/>
        <v>3.7179775058575757</v>
      </c>
      <c r="T282">
        <f t="shared" ca="1" si="83"/>
        <v>-1</v>
      </c>
      <c r="U282">
        <f t="shared" ca="1" si="84"/>
        <v>12447</v>
      </c>
      <c r="V282">
        <f t="shared" ca="1" si="85"/>
        <v>2.3338125000000001</v>
      </c>
      <c r="X282">
        <f t="shared" ca="1" si="86"/>
        <v>2.3314377222394276</v>
      </c>
    </row>
    <row r="283" spans="5:24" x14ac:dyDescent="0.25">
      <c r="E283">
        <v>281</v>
      </c>
      <c r="F283">
        <f t="shared" si="70"/>
        <v>48.1</v>
      </c>
      <c r="G283">
        <f t="shared" ca="1" si="71"/>
        <v>48.094000000000001</v>
      </c>
      <c r="H283" s="5">
        <f t="shared" ca="1" si="72"/>
        <v>6.0000000000002274E-3</v>
      </c>
      <c r="I283" s="5">
        <f t="shared" ca="1" si="73"/>
        <v>1.2474012474012947E-4</v>
      </c>
      <c r="J283" s="10">
        <f t="shared" si="74"/>
        <v>2.3416666666666659</v>
      </c>
      <c r="K283" s="12">
        <f t="shared" ca="1" si="75"/>
        <v>2.3411666666666662</v>
      </c>
      <c r="L283" s="5">
        <f t="shared" ca="1" si="76"/>
        <v>2.1352313167247958E-4</v>
      </c>
      <c r="N283">
        <f t="shared" ca="1" si="77"/>
        <v>23.094000000000001</v>
      </c>
      <c r="O283">
        <f t="shared" ca="1" si="78"/>
        <v>1.034641E-3</v>
      </c>
      <c r="P283">
        <f t="shared" ca="1" si="79"/>
        <v>1.0005773499999999</v>
      </c>
      <c r="Q283">
        <f t="shared" ca="1" si="80"/>
        <v>2.3414831008916845</v>
      </c>
      <c r="R283">
        <f t="shared" ca="1" si="81"/>
        <v>12487.909871422316</v>
      </c>
      <c r="S283">
        <f t="shared" ca="1" si="82"/>
        <v>3.7241758232792841</v>
      </c>
      <c r="T283">
        <f t="shared" ca="1" si="83"/>
        <v>2</v>
      </c>
      <c r="U283">
        <f t="shared" ca="1" si="84"/>
        <v>12494</v>
      </c>
      <c r="V283">
        <f t="shared" ca="1" si="85"/>
        <v>2.342625</v>
      </c>
      <c r="X283">
        <f t="shared" ca="1" si="86"/>
        <v>2.3402392218852448</v>
      </c>
    </row>
    <row r="284" spans="5:24" x14ac:dyDescent="0.25">
      <c r="E284">
        <v>282</v>
      </c>
      <c r="F284">
        <f t="shared" si="70"/>
        <v>48.2</v>
      </c>
      <c r="G284">
        <f t="shared" ca="1" si="71"/>
        <v>48.203000000000003</v>
      </c>
      <c r="H284" s="5">
        <f t="shared" ca="1" si="72"/>
        <v>3.0000000000001137E-3</v>
      </c>
      <c r="I284" s="5">
        <f t="shared" ca="1" si="73"/>
        <v>6.2240663900417294E-5</v>
      </c>
      <c r="J284" s="10">
        <f t="shared" si="74"/>
        <v>2.3499999999999996</v>
      </c>
      <c r="K284" s="12">
        <f t="shared" ca="1" si="75"/>
        <v>2.35025</v>
      </c>
      <c r="L284" s="5">
        <f t="shared" ca="1" si="76"/>
        <v>1.0638297872353429E-4</v>
      </c>
      <c r="N284">
        <f t="shared" ca="1" si="77"/>
        <v>23.203000000000003</v>
      </c>
      <c r="O284">
        <f t="shared" ca="1" si="78"/>
        <v>1.0348045E-3</v>
      </c>
      <c r="P284">
        <f t="shared" ca="1" si="79"/>
        <v>1.000580075</v>
      </c>
      <c r="Q284">
        <f t="shared" ca="1" si="80"/>
        <v>2.3505779165045295</v>
      </c>
      <c r="R284">
        <f t="shared" ca="1" si="81"/>
        <v>12536.415554690824</v>
      </c>
      <c r="S284">
        <f t="shared" ca="1" si="82"/>
        <v>3.7309234186892191</v>
      </c>
      <c r="T284">
        <f t="shared" ca="1" si="83"/>
        <v>-1</v>
      </c>
      <c r="U284">
        <f t="shared" ca="1" si="84"/>
        <v>12539</v>
      </c>
      <c r="V284">
        <f t="shared" ca="1" si="85"/>
        <v>2.3510624999999998</v>
      </c>
      <c r="X284">
        <f t="shared" ca="1" si="86"/>
        <v>2.3486652934798844</v>
      </c>
    </row>
    <row r="285" spans="5:24" x14ac:dyDescent="0.25">
      <c r="E285">
        <v>283</v>
      </c>
      <c r="F285">
        <f t="shared" si="70"/>
        <v>48.3</v>
      </c>
      <c r="G285">
        <f t="shared" ca="1" si="71"/>
        <v>48.29</v>
      </c>
      <c r="H285" s="5">
        <f t="shared" ca="1" si="72"/>
        <v>9.9999999999980105E-3</v>
      </c>
      <c r="I285" s="5">
        <f t="shared" ca="1" si="73"/>
        <v>2.0703933747407891E-4</v>
      </c>
      <c r="J285" s="10">
        <f t="shared" si="74"/>
        <v>2.3583333333333325</v>
      </c>
      <c r="K285" s="12">
        <f t="shared" ca="1" si="75"/>
        <v>2.357499999999999</v>
      </c>
      <c r="L285" s="5">
        <f t="shared" ca="1" si="76"/>
        <v>3.5335689045941934E-4</v>
      </c>
      <c r="N285">
        <f t="shared" ca="1" si="77"/>
        <v>23.29</v>
      </c>
      <c r="O285">
        <f t="shared" ca="1" si="78"/>
        <v>1.0349350000000001E-3</v>
      </c>
      <c r="P285">
        <f t="shared" ca="1" si="79"/>
        <v>1.0005822499999999</v>
      </c>
      <c r="Q285">
        <f t="shared" ca="1" si="80"/>
        <v>2.3578371167840952</v>
      </c>
      <c r="R285">
        <f t="shared" ca="1" si="81"/>
        <v>12575.131289515175</v>
      </c>
      <c r="S285">
        <f t="shared" ca="1" si="82"/>
        <v>3.7362512451150396</v>
      </c>
      <c r="T285">
        <f t="shared" ca="1" si="83"/>
        <v>-3</v>
      </c>
      <c r="U285">
        <f t="shared" ca="1" si="84"/>
        <v>12576</v>
      </c>
      <c r="V285">
        <f t="shared" ca="1" si="85"/>
        <v>2.3580000000000001</v>
      </c>
      <c r="X285">
        <f t="shared" ca="1" si="86"/>
        <v>2.3555935206725889</v>
      </c>
    </row>
    <row r="286" spans="5:24" x14ac:dyDescent="0.25">
      <c r="E286">
        <v>284</v>
      </c>
      <c r="F286">
        <f t="shared" si="70"/>
        <v>48.400000000000006</v>
      </c>
      <c r="G286">
        <f t="shared" ca="1" si="71"/>
        <v>48.390000000000008</v>
      </c>
      <c r="H286" s="5">
        <f t="shared" ca="1" si="72"/>
        <v>9.9999999999980105E-3</v>
      </c>
      <c r="I286" s="5">
        <f t="shared" ca="1" si="73"/>
        <v>2.0661157024789276E-4</v>
      </c>
      <c r="J286" s="10">
        <f t="shared" si="74"/>
        <v>2.3666666666666663</v>
      </c>
      <c r="K286" s="12">
        <f t="shared" ca="1" si="75"/>
        <v>2.3658333333333337</v>
      </c>
      <c r="L286" s="5">
        <f t="shared" ca="1" si="76"/>
        <v>3.5211267605601783E-4</v>
      </c>
      <c r="N286">
        <f t="shared" ca="1" si="77"/>
        <v>23.390000000000008</v>
      </c>
      <c r="O286">
        <f t="shared" ca="1" si="78"/>
        <v>1.035085E-3</v>
      </c>
      <c r="P286">
        <f t="shared" ca="1" si="79"/>
        <v>1.00058475</v>
      </c>
      <c r="Q286">
        <f t="shared" ca="1" si="80"/>
        <v>2.3661810641090466</v>
      </c>
      <c r="R286">
        <f t="shared" ca="1" si="81"/>
        <v>12619.632341914916</v>
      </c>
      <c r="S286">
        <f t="shared" ca="1" si="82"/>
        <v>3.7423116179598126</v>
      </c>
      <c r="T286">
        <f t="shared" ca="1" si="83"/>
        <v>1</v>
      </c>
      <c r="U286">
        <f t="shared" ca="1" si="84"/>
        <v>12624</v>
      </c>
      <c r="V286">
        <f t="shared" ca="1" si="85"/>
        <v>2.367</v>
      </c>
      <c r="X286">
        <f t="shared" ca="1" si="86"/>
        <v>2.3645822255436135</v>
      </c>
    </row>
    <row r="287" spans="5:24" x14ac:dyDescent="0.25">
      <c r="E287">
        <v>285</v>
      </c>
      <c r="F287">
        <f t="shared" si="70"/>
        <v>48.5</v>
      </c>
      <c r="G287">
        <f t="shared" ca="1" si="71"/>
        <v>48.506999999999998</v>
      </c>
      <c r="H287" s="5">
        <f t="shared" ca="1" si="72"/>
        <v>6.9999999999978968E-3</v>
      </c>
      <c r="I287" s="5">
        <f t="shared" ca="1" si="73"/>
        <v>1.4432989690717313E-4</v>
      </c>
      <c r="J287" s="10">
        <f t="shared" si="74"/>
        <v>2.3749999999999991</v>
      </c>
      <c r="K287" s="12">
        <f t="shared" ca="1" si="75"/>
        <v>2.3755833333333323</v>
      </c>
      <c r="L287" s="5">
        <f t="shared" ca="1" si="76"/>
        <v>2.4561403508764558E-4</v>
      </c>
      <c r="N287">
        <f t="shared" ca="1" si="77"/>
        <v>23.506999999999998</v>
      </c>
      <c r="O287">
        <f t="shared" ca="1" si="78"/>
        <v>1.0352605E-3</v>
      </c>
      <c r="P287">
        <f t="shared" ca="1" si="79"/>
        <v>1.000587675</v>
      </c>
      <c r="Q287">
        <f t="shared" ca="1" si="80"/>
        <v>2.3759435353720346</v>
      </c>
      <c r="R287">
        <f t="shared" ca="1" si="81"/>
        <v>12671.698855317518</v>
      </c>
      <c r="S287">
        <f t="shared" ca="1" si="82"/>
        <v>3.7493158080715636</v>
      </c>
      <c r="T287">
        <f t="shared" ca="1" si="83"/>
        <v>1</v>
      </c>
      <c r="U287">
        <f t="shared" ca="1" si="84"/>
        <v>12676</v>
      </c>
      <c r="V287">
        <f t="shared" ca="1" si="85"/>
        <v>2.3767499999999999</v>
      </c>
      <c r="X287">
        <f t="shared" ca="1" si="86"/>
        <v>2.3743194113399406</v>
      </c>
    </row>
    <row r="288" spans="5:24" x14ac:dyDescent="0.25">
      <c r="E288">
        <v>286</v>
      </c>
      <c r="F288">
        <f t="shared" si="70"/>
        <v>48.6</v>
      </c>
      <c r="G288">
        <f t="shared" ca="1" si="71"/>
        <v>48.591000000000001</v>
      </c>
      <c r="H288" s="5">
        <f t="shared" ca="1" si="72"/>
        <v>9.0000000000003411E-3</v>
      </c>
      <c r="I288" s="5">
        <f t="shared" ca="1" si="73"/>
        <v>1.851851851851922E-4</v>
      </c>
      <c r="J288" s="10">
        <f t="shared" si="74"/>
        <v>2.3833333333333329</v>
      </c>
      <c r="K288" s="12">
        <f t="shared" ca="1" si="75"/>
        <v>2.3825833333333328</v>
      </c>
      <c r="L288" s="5">
        <f t="shared" ca="1" si="76"/>
        <v>3.1468531468532667E-4</v>
      </c>
      <c r="N288">
        <f t="shared" ca="1" si="77"/>
        <v>23.591000000000001</v>
      </c>
      <c r="O288">
        <f t="shared" ca="1" si="78"/>
        <v>1.0353865000000001E-3</v>
      </c>
      <c r="P288">
        <f t="shared" ca="1" si="79"/>
        <v>1.0005897749999999</v>
      </c>
      <c r="Q288">
        <f t="shared" ca="1" si="80"/>
        <v>2.3829525242736764</v>
      </c>
      <c r="R288">
        <f t="shared" ca="1" si="81"/>
        <v>12709.080129459608</v>
      </c>
      <c r="S288">
        <f t="shared" ca="1" si="82"/>
        <v>3.7542868764341768</v>
      </c>
      <c r="T288">
        <f t="shared" ca="1" si="83"/>
        <v>0</v>
      </c>
      <c r="U288">
        <f t="shared" ca="1" si="84"/>
        <v>12713</v>
      </c>
      <c r="V288">
        <f t="shared" ca="1" si="85"/>
        <v>2.3836875000000002</v>
      </c>
      <c r="X288">
        <f t="shared" ca="1" si="86"/>
        <v>2.3812477131299894</v>
      </c>
    </row>
    <row r="289" spans="5:24" x14ac:dyDescent="0.25">
      <c r="E289">
        <v>287</v>
      </c>
      <c r="F289">
        <f t="shared" si="70"/>
        <v>48.7</v>
      </c>
      <c r="G289">
        <f t="shared" ca="1" si="71"/>
        <v>48.703000000000003</v>
      </c>
      <c r="H289" s="5">
        <f t="shared" ca="1" si="72"/>
        <v>3.0000000000001137E-3</v>
      </c>
      <c r="I289" s="5">
        <f t="shared" ca="1" si="73"/>
        <v>6.1601642710474612E-5</v>
      </c>
      <c r="J289" s="10">
        <f t="shared" si="74"/>
        <v>2.3916666666666666</v>
      </c>
      <c r="K289" s="12">
        <f t="shared" ca="1" si="75"/>
        <v>2.391916666666666</v>
      </c>
      <c r="L289" s="5">
        <f t="shared" ca="1" si="76"/>
        <v>1.0452961672449507E-4</v>
      </c>
      <c r="N289">
        <f t="shared" ca="1" si="77"/>
        <v>23.703000000000003</v>
      </c>
      <c r="O289">
        <f t="shared" ca="1" si="78"/>
        <v>1.0355545000000001E-3</v>
      </c>
      <c r="P289">
        <f t="shared" ca="1" si="79"/>
        <v>1.000592575</v>
      </c>
      <c r="Q289">
        <f t="shared" ca="1" si="80"/>
        <v>2.3922978885417083</v>
      </c>
      <c r="R289">
        <f t="shared" ca="1" si="81"/>
        <v>12758.922072222444</v>
      </c>
      <c r="S289">
        <f t="shared" ca="1" si="82"/>
        <v>3.7608399782495923</v>
      </c>
      <c r="T289">
        <f t="shared" ca="1" si="83"/>
        <v>3</v>
      </c>
      <c r="U289">
        <f t="shared" ca="1" si="84"/>
        <v>12766</v>
      </c>
      <c r="V289">
        <f t="shared" ca="1" si="85"/>
        <v>2.3936250000000001</v>
      </c>
      <c r="X289">
        <f t="shared" ca="1" si="86"/>
        <v>2.3911724964579117</v>
      </c>
    </row>
    <row r="290" spans="5:24" x14ac:dyDescent="0.25">
      <c r="E290">
        <v>288</v>
      </c>
      <c r="F290">
        <f t="shared" si="70"/>
        <v>48.8</v>
      </c>
      <c r="G290">
        <f t="shared" ca="1" si="71"/>
        <v>48.790999999999997</v>
      </c>
      <c r="H290" s="5">
        <f t="shared" ca="1" si="72"/>
        <v>9.0000000000003411E-3</v>
      </c>
      <c r="I290" s="5">
        <f t="shared" ca="1" si="73"/>
        <v>1.8442622950820371E-4</v>
      </c>
      <c r="J290" s="10">
        <f t="shared" si="74"/>
        <v>2.3999999999999995</v>
      </c>
      <c r="K290" s="12">
        <f t="shared" ca="1" si="75"/>
        <v>2.3992499999999994</v>
      </c>
      <c r="L290" s="5">
        <f t="shared" ca="1" si="76"/>
        <v>3.1250000000001193E-4</v>
      </c>
      <c r="N290">
        <f t="shared" ca="1" si="77"/>
        <v>23.790999999999997</v>
      </c>
      <c r="O290">
        <f t="shared" ca="1" si="78"/>
        <v>1.0356865E-3</v>
      </c>
      <c r="P290">
        <f t="shared" ca="1" si="79"/>
        <v>1.0005947749999999</v>
      </c>
      <c r="Q290">
        <f t="shared" ca="1" si="80"/>
        <v>2.3996407114183116</v>
      </c>
      <c r="R290">
        <f t="shared" ca="1" si="81"/>
        <v>12798.083794230995</v>
      </c>
      <c r="S290">
        <f t="shared" ca="1" si="82"/>
        <v>3.7659286317457221</v>
      </c>
      <c r="T290">
        <f t="shared" ca="1" si="83"/>
        <v>2</v>
      </c>
      <c r="U290">
        <f t="shared" ca="1" si="84"/>
        <v>12804</v>
      </c>
      <c r="V290">
        <f t="shared" ca="1" si="85"/>
        <v>2.4007499999999999</v>
      </c>
      <c r="X290">
        <f t="shared" ca="1" si="86"/>
        <v>2.3982878718310321</v>
      </c>
    </row>
    <row r="291" spans="5:24" x14ac:dyDescent="0.25">
      <c r="E291">
        <v>289</v>
      </c>
      <c r="F291">
        <f t="shared" si="70"/>
        <v>48.900000000000006</v>
      </c>
      <c r="G291">
        <f t="shared" ca="1" si="71"/>
        <v>48.907000000000004</v>
      </c>
      <c r="H291" s="5">
        <f t="shared" ca="1" si="72"/>
        <v>6.9999999999978968E-3</v>
      </c>
      <c r="I291" s="5">
        <f t="shared" ca="1" si="73"/>
        <v>1.4314928425353572E-4</v>
      </c>
      <c r="J291" s="10">
        <f t="shared" si="74"/>
        <v>2.4083333333333332</v>
      </c>
      <c r="K291" s="12">
        <f t="shared" ca="1" si="75"/>
        <v>2.4089166666666664</v>
      </c>
      <c r="L291" s="5">
        <f t="shared" ca="1" si="76"/>
        <v>2.4221453287189956E-4</v>
      </c>
      <c r="N291">
        <f t="shared" ca="1" si="77"/>
        <v>23.907000000000004</v>
      </c>
      <c r="O291">
        <f t="shared" ca="1" si="78"/>
        <v>1.0358604999999999E-3</v>
      </c>
      <c r="P291">
        <f t="shared" ca="1" si="79"/>
        <v>1.0005976750000001</v>
      </c>
      <c r="Q291">
        <f t="shared" ca="1" si="80"/>
        <v>2.409319936327492</v>
      </c>
      <c r="R291">
        <f t="shared" ca="1" si="81"/>
        <v>12849.706327079957</v>
      </c>
      <c r="S291">
        <f t="shared" ca="1" si="82"/>
        <v>3.77255531174829</v>
      </c>
      <c r="T291">
        <f t="shared" ca="1" si="83"/>
        <v>3</v>
      </c>
      <c r="U291">
        <f t="shared" ca="1" si="84"/>
        <v>12856</v>
      </c>
      <c r="V291">
        <f t="shared" ca="1" si="85"/>
        <v>2.4104999999999999</v>
      </c>
      <c r="X291">
        <f t="shared" ca="1" si="86"/>
        <v>2.4080249232040236</v>
      </c>
    </row>
    <row r="292" spans="5:24" x14ac:dyDescent="0.25">
      <c r="E292">
        <v>290</v>
      </c>
      <c r="F292">
        <f t="shared" si="70"/>
        <v>49</v>
      </c>
      <c r="G292">
        <f t="shared" ca="1" si="71"/>
        <v>48.996000000000002</v>
      </c>
      <c r="H292" s="5">
        <f t="shared" ca="1" si="72"/>
        <v>3.9999999999977831E-3</v>
      </c>
      <c r="I292" s="5">
        <f t="shared" ca="1" si="73"/>
        <v>8.1632653061179252E-5</v>
      </c>
      <c r="J292" s="10">
        <f t="shared" si="74"/>
        <v>2.4166666666666661</v>
      </c>
      <c r="K292" s="12">
        <f t="shared" ca="1" si="75"/>
        <v>2.4163333333333332</v>
      </c>
      <c r="L292" s="5">
        <f t="shared" ca="1" si="76"/>
        <v>1.379310344825597E-4</v>
      </c>
      <c r="N292">
        <f t="shared" ca="1" si="77"/>
        <v>23.996000000000002</v>
      </c>
      <c r="O292">
        <f t="shared" ca="1" si="78"/>
        <v>1.0359939999999999E-3</v>
      </c>
      <c r="P292">
        <f t="shared" ca="1" si="79"/>
        <v>1.0005999000000001</v>
      </c>
      <c r="Q292">
        <f t="shared" ca="1" si="80"/>
        <v>2.4167462762071996</v>
      </c>
      <c r="R292">
        <f t="shared" ca="1" si="81"/>
        <v>12889.313473105065</v>
      </c>
      <c r="S292">
        <f t="shared" ca="1" si="82"/>
        <v>3.7775769603085307</v>
      </c>
      <c r="T292">
        <f t="shared" ca="1" si="83"/>
        <v>-3</v>
      </c>
      <c r="U292">
        <f t="shared" ca="1" si="84"/>
        <v>12890</v>
      </c>
      <c r="V292">
        <f t="shared" ca="1" si="85"/>
        <v>2.4168750000000001</v>
      </c>
      <c r="X292">
        <f t="shared" ca="1" si="86"/>
        <v>2.4143906130712183</v>
      </c>
    </row>
    <row r="293" spans="5:24" x14ac:dyDescent="0.25">
      <c r="E293">
        <v>291</v>
      </c>
      <c r="F293">
        <f t="shared" si="70"/>
        <v>49.1</v>
      </c>
      <c r="G293">
        <f t="shared" ca="1" si="71"/>
        <v>49.106000000000002</v>
      </c>
      <c r="H293" s="5">
        <f t="shared" ca="1" si="72"/>
        <v>6.0000000000002274E-3</v>
      </c>
      <c r="I293" s="5">
        <f t="shared" ca="1" si="73"/>
        <v>1.2219959266802907E-4</v>
      </c>
      <c r="J293" s="10">
        <f t="shared" si="74"/>
        <v>2.4249999999999998</v>
      </c>
      <c r="K293" s="12">
        <f t="shared" ca="1" si="75"/>
        <v>2.4254999999999995</v>
      </c>
      <c r="L293" s="5">
        <f t="shared" ca="1" si="76"/>
        <v>2.0618556701019501E-4</v>
      </c>
      <c r="N293">
        <f t="shared" ca="1" si="77"/>
        <v>24.106000000000002</v>
      </c>
      <c r="O293">
        <f t="shared" ca="1" si="78"/>
        <v>1.036159E-3</v>
      </c>
      <c r="P293">
        <f t="shared" ca="1" si="79"/>
        <v>1.00060265</v>
      </c>
      <c r="Q293">
        <f t="shared" ca="1" si="80"/>
        <v>2.4259249441337785</v>
      </c>
      <c r="R293">
        <f t="shared" ca="1" si="81"/>
        <v>12938.266368713485</v>
      </c>
      <c r="S293">
        <f t="shared" ca="1" si="82"/>
        <v>3.783708249266069</v>
      </c>
      <c r="T293">
        <f t="shared" ca="1" si="83"/>
        <v>-3</v>
      </c>
      <c r="U293">
        <f t="shared" ca="1" si="84"/>
        <v>12939</v>
      </c>
      <c r="V293">
        <f t="shared" ca="1" si="85"/>
        <v>2.4260625</v>
      </c>
      <c r="X293">
        <f t="shared" ca="1" si="86"/>
        <v>2.4235657790832357</v>
      </c>
    </row>
    <row r="294" spans="5:24" x14ac:dyDescent="0.25">
      <c r="E294">
        <v>292</v>
      </c>
      <c r="F294">
        <f t="shared" si="70"/>
        <v>49.2</v>
      </c>
      <c r="G294">
        <f t="shared" ca="1" si="71"/>
        <v>49.205000000000005</v>
      </c>
      <c r="H294" s="5">
        <f t="shared" ca="1" si="72"/>
        <v>5.000000000002558E-3</v>
      </c>
      <c r="I294" s="5">
        <f t="shared" ca="1" si="73"/>
        <v>1.0162601626021459E-4</v>
      </c>
      <c r="J294" s="10">
        <f t="shared" si="74"/>
        <v>2.4333333333333327</v>
      </c>
      <c r="K294" s="12">
        <f t="shared" ca="1" si="75"/>
        <v>2.4337499999999999</v>
      </c>
      <c r="L294" s="5">
        <f t="shared" ca="1" si="76"/>
        <v>1.7123287671253807E-4</v>
      </c>
      <c r="N294">
        <f t="shared" ca="1" si="77"/>
        <v>24.205000000000005</v>
      </c>
      <c r="O294">
        <f t="shared" ca="1" si="78"/>
        <v>1.0363074999999999E-3</v>
      </c>
      <c r="P294">
        <f t="shared" ca="1" si="79"/>
        <v>1.0006051250000001</v>
      </c>
      <c r="Q294">
        <f t="shared" ca="1" si="80"/>
        <v>2.4341857883731741</v>
      </c>
      <c r="R294">
        <f t="shared" ca="1" si="81"/>
        <v>12982.324204656928</v>
      </c>
      <c r="S294">
        <f t="shared" ca="1" si="82"/>
        <v>3.7891551824042229</v>
      </c>
      <c r="T294">
        <f t="shared" ca="1" si="83"/>
        <v>0</v>
      </c>
      <c r="U294">
        <f t="shared" ca="1" si="84"/>
        <v>12986</v>
      </c>
      <c r="V294">
        <f t="shared" ca="1" si="85"/>
        <v>2.4348749999999999</v>
      </c>
      <c r="X294">
        <f t="shared" ca="1" si="86"/>
        <v>2.4323668065361943</v>
      </c>
    </row>
    <row r="295" spans="5:24" x14ac:dyDescent="0.25">
      <c r="E295">
        <v>293</v>
      </c>
      <c r="F295">
        <f t="shared" si="70"/>
        <v>49.3</v>
      </c>
      <c r="G295">
        <f t="shared" ca="1" si="71"/>
        <v>49.308999999999997</v>
      </c>
      <c r="H295" s="5">
        <f t="shared" ca="1" si="72"/>
        <v>9.0000000000003411E-3</v>
      </c>
      <c r="I295" s="5">
        <f t="shared" ca="1" si="73"/>
        <v>1.825557809330698E-4</v>
      </c>
      <c r="J295" s="10">
        <f t="shared" si="74"/>
        <v>2.4416666666666655</v>
      </c>
      <c r="K295" s="12">
        <f t="shared" ca="1" si="75"/>
        <v>2.4424166666666656</v>
      </c>
      <c r="L295" s="5">
        <f t="shared" ca="1" si="76"/>
        <v>3.0716723549489231E-4</v>
      </c>
      <c r="N295">
        <f t="shared" ca="1" si="77"/>
        <v>24.308999999999997</v>
      </c>
      <c r="O295">
        <f t="shared" ca="1" si="78"/>
        <v>1.0364635E-3</v>
      </c>
      <c r="P295">
        <f t="shared" ca="1" si="79"/>
        <v>1.0006077250000001</v>
      </c>
      <c r="Q295">
        <f t="shared" ca="1" si="80"/>
        <v>2.4428638909506351</v>
      </c>
      <c r="R295">
        <f t="shared" ca="1" si="81"/>
        <v>13028.607418403386</v>
      </c>
      <c r="S295">
        <f t="shared" ca="1" si="82"/>
        <v>3.7948044255292448</v>
      </c>
      <c r="T295">
        <f t="shared" ca="1" si="83"/>
        <v>2</v>
      </c>
      <c r="U295">
        <f t="shared" ca="1" si="84"/>
        <v>13034</v>
      </c>
      <c r="V295">
        <f t="shared" ca="1" si="85"/>
        <v>2.4438750000000002</v>
      </c>
      <c r="X295">
        <f t="shared" ca="1" si="86"/>
        <v>2.4413548641152056</v>
      </c>
    </row>
    <row r="296" spans="5:24" x14ac:dyDescent="0.25">
      <c r="E296">
        <v>294</v>
      </c>
      <c r="F296">
        <f t="shared" si="70"/>
        <v>49.400000000000006</v>
      </c>
      <c r="G296">
        <f t="shared" ca="1" si="71"/>
        <v>49.410000000000004</v>
      </c>
      <c r="H296" s="5">
        <f t="shared" ca="1" si="72"/>
        <v>9.9999999999980105E-3</v>
      </c>
      <c r="I296" s="5">
        <f t="shared" ca="1" si="73"/>
        <v>2.0242914979753056E-4</v>
      </c>
      <c r="J296" s="10">
        <f t="shared" si="74"/>
        <v>2.4500000000000002</v>
      </c>
      <c r="K296" s="12">
        <f t="shared" ca="1" si="75"/>
        <v>2.4508333333333328</v>
      </c>
      <c r="L296" s="5">
        <f t="shared" ca="1" si="76"/>
        <v>3.4013605442145931E-4</v>
      </c>
      <c r="N296">
        <f t="shared" ca="1" si="77"/>
        <v>24.410000000000004</v>
      </c>
      <c r="O296">
        <f t="shared" ca="1" si="78"/>
        <v>1.0366150000000001E-3</v>
      </c>
      <c r="P296">
        <f t="shared" ca="1" si="79"/>
        <v>1.00061025</v>
      </c>
      <c r="Q296">
        <f t="shared" ca="1" si="80"/>
        <v>2.4512917067806961</v>
      </c>
      <c r="R296">
        <f t="shared" ca="1" si="81"/>
        <v>13073.555769497045</v>
      </c>
      <c r="S296">
        <f t="shared" ca="1" si="82"/>
        <v>3.8002192204664018</v>
      </c>
      <c r="T296">
        <f t="shared" ca="1" si="83"/>
        <v>-2</v>
      </c>
      <c r="U296">
        <f t="shared" ca="1" si="84"/>
        <v>13075</v>
      </c>
      <c r="V296">
        <f t="shared" ca="1" si="85"/>
        <v>2.4515625000000001</v>
      </c>
      <c r="X296">
        <f t="shared" ca="1" si="86"/>
        <v>2.4490313636103571</v>
      </c>
    </row>
    <row r="297" spans="5:24" x14ac:dyDescent="0.25">
      <c r="E297">
        <v>295</v>
      </c>
      <c r="F297">
        <f t="shared" si="70"/>
        <v>49.5</v>
      </c>
      <c r="G297">
        <f t="shared" ca="1" si="71"/>
        <v>49.493000000000002</v>
      </c>
      <c r="H297" s="5">
        <f t="shared" ca="1" si="72"/>
        <v>6.9999999999978968E-3</v>
      </c>
      <c r="I297" s="5">
        <f t="shared" ca="1" si="73"/>
        <v>1.4141414141409893E-4</v>
      </c>
      <c r="J297" s="10">
        <f t="shared" si="74"/>
        <v>2.458333333333333</v>
      </c>
      <c r="K297" s="12">
        <f t="shared" ca="1" si="75"/>
        <v>2.4577499999999999</v>
      </c>
      <c r="L297" s="5">
        <f t="shared" ca="1" si="76"/>
        <v>2.3728813559314906E-4</v>
      </c>
      <c r="N297">
        <f t="shared" ca="1" si="77"/>
        <v>24.493000000000002</v>
      </c>
      <c r="O297">
        <f t="shared" ca="1" si="78"/>
        <v>1.0367395E-3</v>
      </c>
      <c r="P297">
        <f t="shared" ca="1" si="79"/>
        <v>1.0006123250000001</v>
      </c>
      <c r="Q297">
        <f t="shared" ca="1" si="80"/>
        <v>2.4582175674472357</v>
      </c>
      <c r="R297">
        <f t="shared" ca="1" si="81"/>
        <v>13110.493693051923</v>
      </c>
      <c r="S297">
        <f t="shared" ca="1" si="82"/>
        <v>3.8046161996472319</v>
      </c>
      <c r="T297">
        <f t="shared" ca="1" si="83"/>
        <v>0</v>
      </c>
      <c r="U297">
        <f t="shared" ca="1" si="84"/>
        <v>13114</v>
      </c>
      <c r="V297">
        <f t="shared" ca="1" si="85"/>
        <v>2.4588749999999999</v>
      </c>
      <c r="X297">
        <f t="shared" ca="1" si="86"/>
        <v>2.4563341856697596</v>
      </c>
    </row>
    <row r="298" spans="5:24" x14ac:dyDescent="0.25">
      <c r="E298">
        <v>296</v>
      </c>
      <c r="F298">
        <f t="shared" si="70"/>
        <v>49.6</v>
      </c>
      <c r="G298">
        <f t="shared" ca="1" si="71"/>
        <v>49.603000000000002</v>
      </c>
      <c r="H298" s="5">
        <f t="shared" ca="1" si="72"/>
        <v>3.0000000000001137E-3</v>
      </c>
      <c r="I298" s="5">
        <f t="shared" ca="1" si="73"/>
        <v>6.0483870967744226E-5</v>
      </c>
      <c r="J298" s="10">
        <f t="shared" si="74"/>
        <v>2.4666666666666659</v>
      </c>
      <c r="K298" s="12">
        <f t="shared" ca="1" si="75"/>
        <v>2.4669166666666662</v>
      </c>
      <c r="L298" s="5">
        <f t="shared" ca="1" si="76"/>
        <v>1.0135135135147524E-4</v>
      </c>
      <c r="N298">
        <f t="shared" ca="1" si="77"/>
        <v>24.603000000000002</v>
      </c>
      <c r="O298">
        <f t="shared" ca="1" si="78"/>
        <v>1.0369045000000001E-3</v>
      </c>
      <c r="P298">
        <f t="shared" ca="1" si="79"/>
        <v>1.000615075</v>
      </c>
      <c r="Q298">
        <f t="shared" ca="1" si="80"/>
        <v>2.4673964631613812</v>
      </c>
      <c r="R298">
        <f t="shared" ca="1" si="81"/>
        <v>13159.447803527366</v>
      </c>
      <c r="S298">
        <f t="shared" ca="1" si="82"/>
        <v>3.8103700175520818</v>
      </c>
      <c r="T298">
        <f t="shared" ca="1" si="83"/>
        <v>1</v>
      </c>
      <c r="U298">
        <f t="shared" ca="1" si="84"/>
        <v>13164</v>
      </c>
      <c r="V298">
        <f t="shared" ca="1" si="85"/>
        <v>2.4682499999999998</v>
      </c>
      <c r="X298">
        <f t="shared" ca="1" si="86"/>
        <v>2.4656965072208212</v>
      </c>
    </row>
    <row r="299" spans="5:24" x14ac:dyDescent="0.25">
      <c r="E299">
        <v>297</v>
      </c>
      <c r="F299">
        <f t="shared" si="70"/>
        <v>49.7</v>
      </c>
      <c r="G299">
        <f t="shared" ca="1" si="71"/>
        <v>49.701000000000001</v>
      </c>
      <c r="H299" s="5">
        <f t="shared" ca="1" si="72"/>
        <v>9.9999999999766942E-4</v>
      </c>
      <c r="I299" s="5">
        <f t="shared" ca="1" si="73"/>
        <v>2.0120724346029565E-5</v>
      </c>
      <c r="J299" s="10">
        <f t="shared" si="74"/>
        <v>2.4749999999999996</v>
      </c>
      <c r="K299" s="12">
        <f t="shared" ca="1" si="75"/>
        <v>2.4750833333333331</v>
      </c>
      <c r="L299" s="5">
        <f t="shared" ca="1" si="76"/>
        <v>3.3670033670074827E-5</v>
      </c>
      <c r="N299">
        <f t="shared" ca="1" si="77"/>
        <v>24.701000000000001</v>
      </c>
      <c r="O299">
        <f t="shared" ca="1" si="78"/>
        <v>1.0370514999999999E-3</v>
      </c>
      <c r="P299">
        <f t="shared" ca="1" si="79"/>
        <v>1.000617525</v>
      </c>
      <c r="Q299">
        <f t="shared" ca="1" si="80"/>
        <v>2.4755740672635222</v>
      </c>
      <c r="R299">
        <f t="shared" ca="1" si="81"/>
        <v>13203.061692072119</v>
      </c>
      <c r="S299">
        <f t="shared" ca="1" si="82"/>
        <v>3.8154254762840898</v>
      </c>
      <c r="T299">
        <f t="shared" ca="1" si="83"/>
        <v>2</v>
      </c>
      <c r="U299">
        <f t="shared" ca="1" si="84"/>
        <v>13209</v>
      </c>
      <c r="V299">
        <f t="shared" ca="1" si="85"/>
        <v>2.4766875000000002</v>
      </c>
      <c r="X299">
        <f t="shared" ca="1" si="86"/>
        <v>2.4741226159315968</v>
      </c>
    </row>
    <row r="300" spans="5:24" x14ac:dyDescent="0.25">
      <c r="E300">
        <v>298</v>
      </c>
      <c r="F300">
        <f t="shared" si="70"/>
        <v>49.8</v>
      </c>
      <c r="G300">
        <f t="shared" ca="1" si="71"/>
        <v>49.794999999999995</v>
      </c>
      <c r="H300" s="5">
        <f t="shared" ca="1" si="72"/>
        <v>5.000000000002558E-3</v>
      </c>
      <c r="I300" s="5">
        <f t="shared" ca="1" si="73"/>
        <v>1.0040160642575418E-4</v>
      </c>
      <c r="J300" s="10">
        <f t="shared" si="74"/>
        <v>2.4833333333333325</v>
      </c>
      <c r="K300" s="12">
        <f t="shared" ca="1" si="75"/>
        <v>2.4829166666666653</v>
      </c>
      <c r="L300" s="5">
        <f t="shared" ca="1" si="76"/>
        <v>1.6778523489953398E-4</v>
      </c>
      <c r="N300">
        <f t="shared" ca="1" si="77"/>
        <v>24.794999999999995</v>
      </c>
      <c r="O300">
        <f t="shared" ca="1" si="78"/>
        <v>1.0371925000000001E-3</v>
      </c>
      <c r="P300">
        <f t="shared" ca="1" si="79"/>
        <v>1.0006198749999999</v>
      </c>
      <c r="Q300">
        <f t="shared" ca="1" si="80"/>
        <v>2.4834179292057139</v>
      </c>
      <c r="R300">
        <f t="shared" ca="1" si="81"/>
        <v>13244.895622430475</v>
      </c>
      <c r="S300">
        <f t="shared" ca="1" si="82"/>
        <v>3.8202119322650594</v>
      </c>
      <c r="T300">
        <f t="shared" ca="1" si="83"/>
        <v>-1</v>
      </c>
      <c r="U300">
        <f t="shared" ca="1" si="84"/>
        <v>13248</v>
      </c>
      <c r="V300">
        <f t="shared" ca="1" si="85"/>
        <v>2.484</v>
      </c>
      <c r="X300">
        <f t="shared" ca="1" si="86"/>
        <v>2.4814246344047484</v>
      </c>
    </row>
    <row r="301" spans="5:24" x14ac:dyDescent="0.25">
      <c r="E301">
        <v>299</v>
      </c>
      <c r="F301">
        <f t="shared" si="70"/>
        <v>49.900000000000006</v>
      </c>
      <c r="G301">
        <f t="shared" ca="1" si="71"/>
        <v>49.910000000000004</v>
      </c>
      <c r="H301" s="5">
        <f t="shared" ca="1" si="72"/>
        <v>9.9999999999980105E-3</v>
      </c>
      <c r="I301" s="5">
        <f t="shared" ca="1" si="73"/>
        <v>2.0040080160316651E-4</v>
      </c>
      <c r="J301" s="10">
        <f t="shared" si="74"/>
        <v>2.4916666666666663</v>
      </c>
      <c r="K301" s="12">
        <f t="shared" ca="1" si="75"/>
        <v>2.4924999999999997</v>
      </c>
      <c r="L301" s="5">
        <f t="shared" ca="1" si="76"/>
        <v>3.3444816053516941E-4</v>
      </c>
      <c r="N301">
        <f t="shared" ca="1" si="77"/>
        <v>24.910000000000004</v>
      </c>
      <c r="O301">
        <f t="shared" ca="1" si="78"/>
        <v>1.0373649999999999E-3</v>
      </c>
      <c r="P301">
        <f t="shared" ca="1" si="79"/>
        <v>1.00062275</v>
      </c>
      <c r="Q301">
        <f t="shared" ca="1" si="80"/>
        <v>2.493014193355946</v>
      </c>
      <c r="R301">
        <f t="shared" ca="1" si="81"/>
        <v>13296.075697898379</v>
      </c>
      <c r="S301">
        <f t="shared" ca="1" si="82"/>
        <v>3.8259841450129697</v>
      </c>
      <c r="T301">
        <f t="shared" ca="1" si="83"/>
        <v>1</v>
      </c>
      <c r="U301">
        <f t="shared" ca="1" si="84"/>
        <v>13301</v>
      </c>
      <c r="V301">
        <f t="shared" ca="1" si="85"/>
        <v>2.4939374999999999</v>
      </c>
      <c r="X301">
        <f t="shared" ca="1" si="86"/>
        <v>2.4913486476296884</v>
      </c>
    </row>
    <row r="302" spans="5:24" x14ac:dyDescent="0.25">
      <c r="E302">
        <v>300</v>
      </c>
      <c r="F302">
        <f t="shared" si="70"/>
        <v>50</v>
      </c>
      <c r="G302">
        <f t="shared" ca="1" si="71"/>
        <v>49.996000000000002</v>
      </c>
      <c r="H302" s="5">
        <f t="shared" ca="1" si="72"/>
        <v>3.9999999999977831E-3</v>
      </c>
      <c r="I302" s="5">
        <f t="shared" ca="1" si="73"/>
        <v>7.9999999999955663E-5</v>
      </c>
      <c r="J302" s="10">
        <f t="shared" si="74"/>
        <v>2.4999999999999991</v>
      </c>
      <c r="K302" s="12">
        <f t="shared" ca="1" si="75"/>
        <v>2.4996666666666663</v>
      </c>
      <c r="L302" s="5">
        <f t="shared" ca="1" si="76"/>
        <v>1.3333333333314106E-4</v>
      </c>
      <c r="N302">
        <f t="shared" ca="1" si="77"/>
        <v>24.996000000000002</v>
      </c>
      <c r="O302">
        <f t="shared" ca="1" si="78"/>
        <v>1.0374939999999999E-3</v>
      </c>
      <c r="P302">
        <f t="shared" ca="1" si="79"/>
        <v>1.0006249</v>
      </c>
      <c r="Q302">
        <f t="shared" ca="1" si="80"/>
        <v>2.5001905660366655</v>
      </c>
      <c r="R302">
        <f t="shared" ca="1" si="81"/>
        <v>13334.349685528881</v>
      </c>
      <c r="S302">
        <f t="shared" ca="1" si="82"/>
        <v>3.8302405827991661</v>
      </c>
      <c r="T302">
        <f t="shared" ca="1" si="83"/>
        <v>3</v>
      </c>
      <c r="U302">
        <f t="shared" ca="1" si="84"/>
        <v>13341</v>
      </c>
      <c r="V302">
        <f t="shared" ca="1" si="85"/>
        <v>2.5014375000000002</v>
      </c>
      <c r="X302">
        <f t="shared" ca="1" si="86"/>
        <v>2.4988384818327027</v>
      </c>
    </row>
    <row r="303" spans="5:24" x14ac:dyDescent="0.25">
      <c r="E303">
        <v>301</v>
      </c>
      <c r="F303">
        <f t="shared" si="70"/>
        <v>50.1</v>
      </c>
      <c r="G303">
        <f t="shared" ca="1" si="71"/>
        <v>50.091000000000001</v>
      </c>
      <c r="H303" s="5">
        <f t="shared" ca="1" si="72"/>
        <v>9.0000000000003411E-3</v>
      </c>
      <c r="I303" s="5">
        <f t="shared" ca="1" si="73"/>
        <v>1.7964071856288105E-4</v>
      </c>
      <c r="J303" s="10">
        <f t="shared" si="74"/>
        <v>2.5083333333333329</v>
      </c>
      <c r="K303" s="12">
        <f t="shared" ca="1" si="75"/>
        <v>2.5075833333333328</v>
      </c>
      <c r="L303" s="5">
        <f t="shared" ca="1" si="76"/>
        <v>2.9900332225914759E-4</v>
      </c>
      <c r="N303">
        <f t="shared" ca="1" si="77"/>
        <v>25.091000000000001</v>
      </c>
      <c r="O303">
        <f t="shared" ca="1" si="78"/>
        <v>1.0376364999999999E-3</v>
      </c>
      <c r="P303">
        <f t="shared" ca="1" si="79"/>
        <v>1.000627275</v>
      </c>
      <c r="Q303">
        <f t="shared" ca="1" si="80"/>
        <v>2.5081179902853141</v>
      </c>
      <c r="R303">
        <f t="shared" ca="1" si="81"/>
        <v>13376.629281521675</v>
      </c>
      <c r="S303">
        <f t="shared" ca="1" si="82"/>
        <v>3.8348825276630478</v>
      </c>
      <c r="T303">
        <f t="shared" ca="1" si="83"/>
        <v>0</v>
      </c>
      <c r="U303">
        <f t="shared" ca="1" si="84"/>
        <v>13380</v>
      </c>
      <c r="V303">
        <f t="shared" ca="1" si="85"/>
        <v>2.50875</v>
      </c>
      <c r="X303">
        <f t="shared" ca="1" si="86"/>
        <v>2.5061403243280571</v>
      </c>
    </row>
    <row r="304" spans="5:24" x14ac:dyDescent="0.25">
      <c r="E304">
        <v>302</v>
      </c>
      <c r="F304">
        <f t="shared" si="70"/>
        <v>50.2</v>
      </c>
      <c r="G304">
        <f t="shared" ca="1" si="71"/>
        <v>50.2</v>
      </c>
      <c r="H304" s="5">
        <f t="shared" ca="1" si="72"/>
        <v>0</v>
      </c>
      <c r="I304" s="5">
        <f t="shared" ca="1" si="73"/>
        <v>0</v>
      </c>
      <c r="J304" s="10">
        <f t="shared" si="74"/>
        <v>2.5166666666666666</v>
      </c>
      <c r="K304" s="12">
        <f t="shared" ca="1" si="75"/>
        <v>2.5166666666666666</v>
      </c>
      <c r="L304" s="5">
        <f t="shared" ca="1" si="76"/>
        <v>0</v>
      </c>
      <c r="N304">
        <f t="shared" ca="1" si="77"/>
        <v>25.200000000000003</v>
      </c>
      <c r="O304">
        <f t="shared" ca="1" si="78"/>
        <v>1.0378E-3</v>
      </c>
      <c r="P304">
        <f t="shared" ca="1" si="79"/>
        <v>1.0006299999999999</v>
      </c>
      <c r="Q304">
        <f t="shared" ca="1" si="80"/>
        <v>2.5172137128526662</v>
      </c>
      <c r="R304">
        <f t="shared" ca="1" si="81"/>
        <v>13425.139801880885</v>
      </c>
      <c r="S304">
        <f t="shared" ca="1" si="82"/>
        <v>3.8401309472000396</v>
      </c>
      <c r="T304">
        <f t="shared" ca="1" si="83"/>
        <v>-3</v>
      </c>
      <c r="U304">
        <f t="shared" ca="1" si="84"/>
        <v>13426</v>
      </c>
      <c r="V304">
        <f t="shared" ca="1" si="85"/>
        <v>2.5173749999999999</v>
      </c>
      <c r="X304">
        <f t="shared" ca="1" si="86"/>
        <v>2.514752905669428</v>
      </c>
    </row>
    <row r="305" spans="5:24" x14ac:dyDescent="0.25">
      <c r="E305">
        <v>303</v>
      </c>
      <c r="F305">
        <f t="shared" si="70"/>
        <v>50.3</v>
      </c>
      <c r="G305">
        <f t="shared" ca="1" si="71"/>
        <v>50.308</v>
      </c>
      <c r="H305" s="5">
        <f t="shared" ca="1" si="72"/>
        <v>8.0000000000026716E-3</v>
      </c>
      <c r="I305" s="5">
        <f t="shared" ca="1" si="73"/>
        <v>1.5904572564617639E-4</v>
      </c>
      <c r="J305" s="10">
        <f t="shared" si="74"/>
        <v>2.5249999999999995</v>
      </c>
      <c r="K305" s="12">
        <f t="shared" ca="1" si="75"/>
        <v>2.5256666666666661</v>
      </c>
      <c r="L305" s="5">
        <f t="shared" ca="1" si="76"/>
        <v>2.6402640264023501E-4</v>
      </c>
      <c r="N305">
        <f t="shared" ca="1" si="77"/>
        <v>25.308</v>
      </c>
      <c r="O305">
        <f t="shared" ca="1" si="78"/>
        <v>1.0379619999999999E-3</v>
      </c>
      <c r="P305">
        <f t="shared" ca="1" si="79"/>
        <v>1.0006326999999999</v>
      </c>
      <c r="Q305">
        <f t="shared" ca="1" si="80"/>
        <v>2.5262260372481085</v>
      </c>
      <c r="R305">
        <f t="shared" ca="1" si="81"/>
        <v>13473.205531989912</v>
      </c>
      <c r="S305">
        <f t="shared" ca="1" si="82"/>
        <v>3.8452493187487291</v>
      </c>
      <c r="T305">
        <f t="shared" ca="1" si="83"/>
        <v>-2</v>
      </c>
      <c r="U305">
        <f t="shared" ca="1" si="84"/>
        <v>13475</v>
      </c>
      <c r="V305">
        <f t="shared" ca="1" si="85"/>
        <v>2.5265625000000003</v>
      </c>
      <c r="X305">
        <f t="shared" ca="1" si="86"/>
        <v>2.523927648976493</v>
      </c>
    </row>
    <row r="306" spans="5:24" x14ac:dyDescent="0.25">
      <c r="E306">
        <v>304</v>
      </c>
      <c r="F306">
        <f t="shared" si="70"/>
        <v>50.400000000000006</v>
      </c>
      <c r="G306">
        <f t="shared" ca="1" si="71"/>
        <v>50.390000000000008</v>
      </c>
      <c r="H306" s="5">
        <f t="shared" ca="1" si="72"/>
        <v>9.9999999999980105E-3</v>
      </c>
      <c r="I306" s="5">
        <f t="shared" ca="1" si="73"/>
        <v>1.9841269841265892E-4</v>
      </c>
      <c r="J306" s="10">
        <f t="shared" si="74"/>
        <v>2.5333333333333332</v>
      </c>
      <c r="K306" s="12">
        <f t="shared" ca="1" si="75"/>
        <v>2.5324999999999998</v>
      </c>
      <c r="L306" s="5">
        <f t="shared" ca="1" si="76"/>
        <v>3.2894736842110407E-4</v>
      </c>
      <c r="N306">
        <f t="shared" ca="1" si="77"/>
        <v>25.390000000000008</v>
      </c>
      <c r="O306">
        <f t="shared" ca="1" si="78"/>
        <v>1.038085E-3</v>
      </c>
      <c r="P306">
        <f t="shared" ca="1" si="79"/>
        <v>1.0006347499999999</v>
      </c>
      <c r="Q306">
        <f t="shared" ca="1" si="80"/>
        <v>2.5330687604505457</v>
      </c>
      <c r="R306">
        <f t="shared" ca="1" si="81"/>
        <v>13509.700055736244</v>
      </c>
      <c r="S306">
        <f t="shared" ca="1" si="82"/>
        <v>3.8490809773927643</v>
      </c>
      <c r="T306">
        <f t="shared" ca="1" si="83"/>
        <v>3</v>
      </c>
      <c r="U306">
        <f t="shared" ca="1" si="84"/>
        <v>13517</v>
      </c>
      <c r="V306">
        <f t="shared" ca="1" si="85"/>
        <v>2.5344375000000001</v>
      </c>
      <c r="X306">
        <f t="shared" ca="1" si="86"/>
        <v>2.5317923597996179</v>
      </c>
    </row>
    <row r="307" spans="5:24" x14ac:dyDescent="0.25">
      <c r="E307">
        <v>305</v>
      </c>
      <c r="F307">
        <f t="shared" si="70"/>
        <v>50.5</v>
      </c>
      <c r="G307">
        <f t="shared" ca="1" si="71"/>
        <v>50.500999999999998</v>
      </c>
      <c r="H307" s="5">
        <f t="shared" ca="1" si="72"/>
        <v>9.9999999999766942E-4</v>
      </c>
      <c r="I307" s="5">
        <f t="shared" ca="1" si="73"/>
        <v>1.9801980197973653E-5</v>
      </c>
      <c r="J307" s="10">
        <f t="shared" si="74"/>
        <v>2.5416666666666661</v>
      </c>
      <c r="K307" s="12">
        <f t="shared" ca="1" si="75"/>
        <v>2.5417499999999995</v>
      </c>
      <c r="L307" s="5">
        <f t="shared" ca="1" si="76"/>
        <v>3.2786885245941717E-5</v>
      </c>
      <c r="N307">
        <f t="shared" ca="1" si="77"/>
        <v>25.500999999999998</v>
      </c>
      <c r="O307">
        <f t="shared" ca="1" si="78"/>
        <v>1.0382515E-3</v>
      </c>
      <c r="P307">
        <f t="shared" ca="1" si="79"/>
        <v>1.0006375249999999</v>
      </c>
      <c r="Q307">
        <f t="shared" ca="1" si="80"/>
        <v>2.542331515757462</v>
      </c>
      <c r="R307">
        <f t="shared" ca="1" si="81"/>
        <v>13559.101417373131</v>
      </c>
      <c r="S307">
        <f t="shared" ca="1" si="82"/>
        <v>3.8541926860507685</v>
      </c>
      <c r="T307">
        <f t="shared" ca="1" si="83"/>
        <v>0</v>
      </c>
      <c r="U307">
        <f t="shared" ca="1" si="84"/>
        <v>13563</v>
      </c>
      <c r="V307">
        <f t="shared" ca="1" si="85"/>
        <v>2.5430625</v>
      </c>
      <c r="X307">
        <f t="shared" ca="1" si="86"/>
        <v>2.5404046770082909</v>
      </c>
    </row>
    <row r="308" spans="5:24" x14ac:dyDescent="0.25">
      <c r="E308">
        <v>306</v>
      </c>
      <c r="F308">
        <f t="shared" si="70"/>
        <v>50.6</v>
      </c>
      <c r="G308">
        <f t="shared" ca="1" si="71"/>
        <v>50.605000000000004</v>
      </c>
      <c r="H308" s="5">
        <f t="shared" ca="1" si="72"/>
        <v>5.000000000002558E-3</v>
      </c>
      <c r="I308" s="5">
        <f t="shared" ca="1" si="73"/>
        <v>9.8814229249062407E-5</v>
      </c>
      <c r="J308" s="10">
        <f t="shared" si="74"/>
        <v>2.5499999999999998</v>
      </c>
      <c r="K308" s="12">
        <f t="shared" ca="1" si="75"/>
        <v>2.5504166666666661</v>
      </c>
      <c r="L308" s="5">
        <f t="shared" ca="1" si="76"/>
        <v>1.6339869281030892E-4</v>
      </c>
      <c r="N308">
        <f t="shared" ca="1" si="77"/>
        <v>25.605000000000004</v>
      </c>
      <c r="O308">
        <f t="shared" ca="1" si="78"/>
        <v>1.0384075E-3</v>
      </c>
      <c r="P308">
        <f t="shared" ca="1" si="79"/>
        <v>1.0006401250000001</v>
      </c>
      <c r="Q308">
        <f t="shared" ca="1" si="80"/>
        <v>2.5510101799248157</v>
      </c>
      <c r="R308">
        <f t="shared" ca="1" si="81"/>
        <v>13605.387626265683</v>
      </c>
      <c r="S308">
        <f t="shared" ca="1" si="82"/>
        <v>3.8589036095565818</v>
      </c>
      <c r="T308">
        <f t="shared" ca="1" si="83"/>
        <v>-1</v>
      </c>
      <c r="U308">
        <f t="shared" ca="1" si="84"/>
        <v>13608</v>
      </c>
      <c r="V308">
        <f t="shared" ca="1" si="85"/>
        <v>2.5514999999999999</v>
      </c>
      <c r="X308">
        <f t="shared" ca="1" si="86"/>
        <v>2.5488300226817304</v>
      </c>
    </row>
    <row r="309" spans="5:24" x14ac:dyDescent="0.25">
      <c r="E309">
        <v>307</v>
      </c>
      <c r="F309">
        <f t="shared" si="70"/>
        <v>50.7</v>
      </c>
      <c r="G309">
        <f t="shared" ca="1" si="71"/>
        <v>50.693000000000005</v>
      </c>
      <c r="H309" s="5">
        <f t="shared" ca="1" si="72"/>
        <v>6.9999999999978968E-3</v>
      </c>
      <c r="I309" s="5">
        <f t="shared" ca="1" si="73"/>
        <v>1.3806706114394274E-4</v>
      </c>
      <c r="J309" s="10">
        <f t="shared" si="74"/>
        <v>2.5583333333333327</v>
      </c>
      <c r="K309" s="12">
        <f t="shared" ca="1" si="75"/>
        <v>2.5577499999999995</v>
      </c>
      <c r="L309" s="5">
        <f t="shared" ca="1" si="76"/>
        <v>2.2801302931589246E-4</v>
      </c>
      <c r="N309">
        <f t="shared" ca="1" si="77"/>
        <v>25.693000000000005</v>
      </c>
      <c r="O309">
        <f t="shared" ca="1" si="78"/>
        <v>1.0385395E-3</v>
      </c>
      <c r="P309">
        <f t="shared" ca="1" si="79"/>
        <v>1.0006423250000001</v>
      </c>
      <c r="Q309">
        <f t="shared" ca="1" si="80"/>
        <v>2.5583537001888654</v>
      </c>
      <c r="R309">
        <f t="shared" ca="1" si="81"/>
        <v>13644.553067673949</v>
      </c>
      <c r="S309">
        <f t="shared" ca="1" si="82"/>
        <v>3.862830443479909</v>
      </c>
      <c r="T309">
        <f t="shared" ca="1" si="83"/>
        <v>1</v>
      </c>
      <c r="U309">
        <f t="shared" ca="1" si="84"/>
        <v>13649</v>
      </c>
      <c r="V309">
        <f t="shared" ca="1" si="85"/>
        <v>2.5591875000000002</v>
      </c>
      <c r="X309">
        <f t="shared" ca="1" si="86"/>
        <v>2.5565068522361374</v>
      </c>
    </row>
    <row r="310" spans="5:24" x14ac:dyDescent="0.25">
      <c r="E310">
        <v>308</v>
      </c>
      <c r="F310">
        <f t="shared" si="70"/>
        <v>50.8</v>
      </c>
      <c r="G310">
        <f t="shared" ca="1" si="71"/>
        <v>50.796999999999997</v>
      </c>
      <c r="H310" s="5">
        <f t="shared" ca="1" si="72"/>
        <v>3.0000000000001137E-3</v>
      </c>
      <c r="I310" s="5">
        <f t="shared" ca="1" si="73"/>
        <v>5.9055118110238464E-5</v>
      </c>
      <c r="J310" s="10">
        <f t="shared" si="74"/>
        <v>2.5666666666666655</v>
      </c>
      <c r="K310" s="12">
        <f t="shared" ca="1" si="75"/>
        <v>2.5664166666666661</v>
      </c>
      <c r="L310" s="5">
        <f t="shared" ca="1" si="76"/>
        <v>9.7402597402370438E-5</v>
      </c>
      <c r="N310">
        <f t="shared" ca="1" si="77"/>
        <v>25.796999999999997</v>
      </c>
      <c r="O310">
        <f t="shared" ca="1" si="78"/>
        <v>1.0386955E-3</v>
      </c>
      <c r="P310">
        <f t="shared" ca="1" si="79"/>
        <v>1.000644925</v>
      </c>
      <c r="Q310">
        <f t="shared" ca="1" si="80"/>
        <v>2.5670324475547206</v>
      </c>
      <c r="R310">
        <f t="shared" ca="1" si="81"/>
        <v>13690.839720291842</v>
      </c>
      <c r="S310">
        <f t="shared" ca="1" si="82"/>
        <v>3.8674010463579456</v>
      </c>
      <c r="T310">
        <f t="shared" ca="1" si="83"/>
        <v>1</v>
      </c>
      <c r="U310">
        <f t="shared" ca="1" si="84"/>
        <v>13696</v>
      </c>
      <c r="V310">
        <f t="shared" ca="1" si="85"/>
        <v>2.5680000000000001</v>
      </c>
      <c r="X310">
        <f t="shared" ca="1" si="86"/>
        <v>2.5653068739643086</v>
      </c>
    </row>
    <row r="311" spans="5:24" x14ac:dyDescent="0.25">
      <c r="E311">
        <v>309</v>
      </c>
      <c r="F311">
        <f t="shared" si="70"/>
        <v>50.900000000000006</v>
      </c>
      <c r="G311">
        <f t="shared" ca="1" si="71"/>
        <v>50.894000000000005</v>
      </c>
      <c r="H311" s="5">
        <f t="shared" ca="1" si="72"/>
        <v>6.0000000000002274E-3</v>
      </c>
      <c r="I311" s="5">
        <f t="shared" ca="1" si="73"/>
        <v>1.178781925343856E-4</v>
      </c>
      <c r="J311" s="10">
        <f t="shared" si="74"/>
        <v>2.5750000000000002</v>
      </c>
      <c r="K311" s="12">
        <f t="shared" ca="1" si="75"/>
        <v>2.5744999999999996</v>
      </c>
      <c r="L311" s="5">
        <f t="shared" ca="1" si="76"/>
        <v>1.9417475728179069E-4</v>
      </c>
      <c r="N311">
        <f t="shared" ca="1" si="77"/>
        <v>25.894000000000005</v>
      </c>
      <c r="O311">
        <f t="shared" ca="1" si="78"/>
        <v>1.038841E-3</v>
      </c>
      <c r="P311">
        <f t="shared" ca="1" si="79"/>
        <v>1.0006473499999999</v>
      </c>
      <c r="Q311">
        <f t="shared" ca="1" si="80"/>
        <v>2.5751270890812781</v>
      </c>
      <c r="R311">
        <f t="shared" ca="1" si="81"/>
        <v>13734.011141766816</v>
      </c>
      <c r="S311">
        <f t="shared" ca="1" si="82"/>
        <v>3.8715953914260357</v>
      </c>
      <c r="T311">
        <f t="shared" ca="1" si="83"/>
        <v>0</v>
      </c>
      <c r="U311">
        <f t="shared" ca="1" si="84"/>
        <v>13738</v>
      </c>
      <c r="V311">
        <f t="shared" ca="1" si="85"/>
        <v>2.5758749999999999</v>
      </c>
      <c r="X311">
        <f t="shared" ca="1" si="86"/>
        <v>2.5731704171304703</v>
      </c>
    </row>
    <row r="312" spans="5:24" x14ac:dyDescent="0.25">
      <c r="E312">
        <v>310</v>
      </c>
      <c r="F312">
        <f t="shared" si="70"/>
        <v>51</v>
      </c>
      <c r="G312">
        <f t="shared" ca="1" si="71"/>
        <v>50.996000000000002</v>
      </c>
      <c r="H312" s="5">
        <f t="shared" ca="1" si="72"/>
        <v>3.9999999999977831E-3</v>
      </c>
      <c r="I312" s="5">
        <f t="shared" ca="1" si="73"/>
        <v>7.8431372548976134E-5</v>
      </c>
      <c r="J312" s="10">
        <f t="shared" si="74"/>
        <v>2.583333333333333</v>
      </c>
      <c r="K312" s="12">
        <f t="shared" ca="1" si="75"/>
        <v>2.5829999999999993</v>
      </c>
      <c r="L312" s="5">
        <f t="shared" ca="1" si="76"/>
        <v>1.2903225806467383E-4</v>
      </c>
      <c r="N312">
        <f t="shared" ca="1" si="77"/>
        <v>25.996000000000002</v>
      </c>
      <c r="O312">
        <f t="shared" ca="1" si="78"/>
        <v>1.0389940000000001E-3</v>
      </c>
      <c r="P312">
        <f t="shared" ca="1" si="79"/>
        <v>1.0006499</v>
      </c>
      <c r="Q312">
        <f t="shared" ca="1" si="80"/>
        <v>2.5836390224577985</v>
      </c>
      <c r="R312">
        <f t="shared" ca="1" si="81"/>
        <v>13779.408119774926</v>
      </c>
      <c r="S312">
        <f t="shared" ca="1" si="82"/>
        <v>3.8759344178034083</v>
      </c>
      <c r="T312">
        <f t="shared" ca="1" si="83"/>
        <v>-3</v>
      </c>
      <c r="U312">
        <f t="shared" ca="1" si="84"/>
        <v>13780</v>
      </c>
      <c r="V312">
        <f t="shared" ca="1" si="85"/>
        <v>2.5837500000000002</v>
      </c>
      <c r="X312">
        <f t="shared" ca="1" si="86"/>
        <v>2.5810335922683851</v>
      </c>
    </row>
    <row r="313" spans="5:24" x14ac:dyDescent="0.25">
      <c r="E313">
        <v>311</v>
      </c>
      <c r="F313">
        <f t="shared" si="70"/>
        <v>51.1</v>
      </c>
      <c r="G313">
        <f t="shared" ca="1" si="71"/>
        <v>51.094999999999999</v>
      </c>
      <c r="H313" s="5">
        <f t="shared" ca="1" si="72"/>
        <v>5.000000000002558E-3</v>
      </c>
      <c r="I313" s="5">
        <f t="shared" ca="1" si="73"/>
        <v>9.7847358121380776E-5</v>
      </c>
      <c r="J313" s="10">
        <f t="shared" si="74"/>
        <v>2.5916666666666659</v>
      </c>
      <c r="K313" s="12">
        <f t="shared" ca="1" si="75"/>
        <v>2.5912499999999996</v>
      </c>
      <c r="L313" s="5">
        <f t="shared" ca="1" si="76"/>
        <v>1.6077170417991813E-4</v>
      </c>
      <c r="N313">
        <f t="shared" ca="1" si="77"/>
        <v>26.094999999999999</v>
      </c>
      <c r="O313">
        <f t="shared" ca="1" si="78"/>
        <v>1.0391425E-3</v>
      </c>
      <c r="P313">
        <f t="shared" ca="1" si="79"/>
        <v>1.000652375</v>
      </c>
      <c r="Q313">
        <f t="shared" ca="1" si="80"/>
        <v>2.5919006463081615</v>
      </c>
      <c r="R313">
        <f t="shared" ca="1" si="81"/>
        <v>13823.470113643529</v>
      </c>
      <c r="S313">
        <f t="shared" ca="1" si="82"/>
        <v>3.8800756320427232</v>
      </c>
      <c r="T313">
        <f t="shared" ca="1" si="83"/>
        <v>0</v>
      </c>
      <c r="U313">
        <f t="shared" ca="1" si="84"/>
        <v>13827</v>
      </c>
      <c r="V313">
        <f t="shared" ca="1" si="85"/>
        <v>2.5925625000000001</v>
      </c>
      <c r="X313">
        <f t="shared" ca="1" si="86"/>
        <v>2.5898338146651581</v>
      </c>
    </row>
    <row r="314" spans="5:24" x14ac:dyDescent="0.25">
      <c r="E314">
        <v>312</v>
      </c>
      <c r="F314">
        <f t="shared" si="70"/>
        <v>51.2</v>
      </c>
      <c r="G314">
        <f t="shared" ca="1" si="71"/>
        <v>51.197000000000003</v>
      </c>
      <c r="H314" s="5">
        <f t="shared" ca="1" si="72"/>
        <v>3.0000000000001137E-3</v>
      </c>
      <c r="I314" s="5">
        <f t="shared" ca="1" si="73"/>
        <v>5.859375000000222E-5</v>
      </c>
      <c r="J314" s="10">
        <f t="shared" si="74"/>
        <v>2.5999999999999996</v>
      </c>
      <c r="K314" s="12">
        <f t="shared" ca="1" si="75"/>
        <v>2.5997499999999993</v>
      </c>
      <c r="L314" s="5">
        <f t="shared" ca="1" si="76"/>
        <v>9.6153846153963681E-5</v>
      </c>
      <c r="N314">
        <f t="shared" ca="1" si="77"/>
        <v>26.197000000000003</v>
      </c>
      <c r="O314">
        <f t="shared" ca="1" si="78"/>
        <v>1.0392954999999999E-3</v>
      </c>
      <c r="P314">
        <f t="shared" ca="1" si="79"/>
        <v>1.0006549250000001</v>
      </c>
      <c r="Q314">
        <f t="shared" ca="1" si="80"/>
        <v>2.6004126651081441</v>
      </c>
      <c r="R314">
        <f t="shared" ca="1" si="81"/>
        <v>13868.867547243435</v>
      </c>
      <c r="S314">
        <f t="shared" ca="1" si="82"/>
        <v>3.8842699368736788</v>
      </c>
      <c r="T314">
        <f t="shared" ca="1" si="83"/>
        <v>1</v>
      </c>
      <c r="U314">
        <f t="shared" ca="1" si="84"/>
        <v>13874</v>
      </c>
      <c r="V314">
        <f t="shared" ca="1" si="85"/>
        <v>2.601375</v>
      </c>
      <c r="X314">
        <f t="shared" ca="1" si="86"/>
        <v>2.5986337942622924</v>
      </c>
    </row>
    <row r="315" spans="5:24" x14ac:dyDescent="0.25">
      <c r="E315">
        <v>313</v>
      </c>
      <c r="F315">
        <f t="shared" si="70"/>
        <v>51.3</v>
      </c>
      <c r="G315">
        <f t="shared" ca="1" si="71"/>
        <v>51.302999999999997</v>
      </c>
      <c r="H315" s="5">
        <f t="shared" ca="1" si="72"/>
        <v>3.0000000000001137E-3</v>
      </c>
      <c r="I315" s="5">
        <f t="shared" ca="1" si="73"/>
        <v>5.8479532163744908E-5</v>
      </c>
      <c r="J315" s="10">
        <f t="shared" si="74"/>
        <v>2.6083333333333325</v>
      </c>
      <c r="K315" s="12">
        <f t="shared" ca="1" si="75"/>
        <v>2.6085833333333328</v>
      </c>
      <c r="L315" s="5">
        <f t="shared" ca="1" si="76"/>
        <v>9.5846645367529305E-5</v>
      </c>
      <c r="N315">
        <f t="shared" ca="1" si="77"/>
        <v>26.302999999999997</v>
      </c>
      <c r="O315">
        <f t="shared" ca="1" si="78"/>
        <v>1.0394544999999999E-3</v>
      </c>
      <c r="P315">
        <f t="shared" ca="1" si="79"/>
        <v>1.000657575</v>
      </c>
      <c r="Q315">
        <f t="shared" ca="1" si="80"/>
        <v>2.6092585344994568</v>
      </c>
      <c r="R315">
        <f t="shared" ca="1" si="81"/>
        <v>13916.045517330436</v>
      </c>
      <c r="S315">
        <f t="shared" ca="1" si="82"/>
        <v>3.888550778320504</v>
      </c>
      <c r="T315">
        <f t="shared" ca="1" si="83"/>
        <v>3</v>
      </c>
      <c r="U315">
        <f t="shared" ca="1" si="84"/>
        <v>13923</v>
      </c>
      <c r="V315">
        <f t="shared" ca="1" si="85"/>
        <v>2.6105624999999999</v>
      </c>
      <c r="X315">
        <f t="shared" ca="1" si="86"/>
        <v>2.6078082160123559</v>
      </c>
    </row>
    <row r="316" spans="5:24" x14ac:dyDescent="0.25">
      <c r="E316">
        <v>314</v>
      </c>
      <c r="F316">
        <f t="shared" si="70"/>
        <v>51.400000000000006</v>
      </c>
      <c r="G316">
        <f t="shared" ca="1" si="71"/>
        <v>51.404000000000003</v>
      </c>
      <c r="H316" s="5">
        <f t="shared" ca="1" si="72"/>
        <v>3.9999999999977831E-3</v>
      </c>
      <c r="I316" s="5">
        <f t="shared" ca="1" si="73"/>
        <v>7.7821011673108619E-5</v>
      </c>
      <c r="J316" s="10">
        <f t="shared" si="74"/>
        <v>2.6166666666666663</v>
      </c>
      <c r="K316" s="12">
        <f t="shared" ca="1" si="75"/>
        <v>2.617</v>
      </c>
      <c r="L316" s="5">
        <f t="shared" ca="1" si="76"/>
        <v>1.2738853503200284E-4</v>
      </c>
      <c r="N316">
        <f t="shared" ca="1" si="77"/>
        <v>26.404000000000003</v>
      </c>
      <c r="O316">
        <f t="shared" ca="1" si="78"/>
        <v>1.039606E-3</v>
      </c>
      <c r="P316">
        <f t="shared" ca="1" si="79"/>
        <v>1.0006600999999999</v>
      </c>
      <c r="Q316">
        <f t="shared" ca="1" si="80"/>
        <v>2.6176871894560794</v>
      </c>
      <c r="R316">
        <f t="shared" ca="1" si="81"/>
        <v>13960.998343765756</v>
      </c>
      <c r="S316">
        <f t="shared" ca="1" si="82"/>
        <v>3.8925557007959983</v>
      </c>
      <c r="T316">
        <f t="shared" ca="1" si="83"/>
        <v>-1</v>
      </c>
      <c r="U316">
        <f t="shared" ca="1" si="84"/>
        <v>13964</v>
      </c>
      <c r="V316">
        <f t="shared" ca="1" si="85"/>
        <v>2.6182500000000002</v>
      </c>
      <c r="X316">
        <f t="shared" ca="1" si="86"/>
        <v>2.6154839130689838</v>
      </c>
    </row>
    <row r="317" spans="5:24" x14ac:dyDescent="0.25">
      <c r="E317">
        <v>315</v>
      </c>
      <c r="F317">
        <f t="shared" si="70"/>
        <v>51.5</v>
      </c>
      <c r="G317">
        <f t="shared" ca="1" si="71"/>
        <v>51.509</v>
      </c>
      <c r="H317" s="5">
        <f t="shared" ca="1" si="72"/>
        <v>9.0000000000003411E-3</v>
      </c>
      <c r="I317" s="5">
        <f t="shared" ca="1" si="73"/>
        <v>1.7475728155340469E-4</v>
      </c>
      <c r="J317" s="10">
        <f t="shared" si="74"/>
        <v>2.6249999999999991</v>
      </c>
      <c r="K317" s="12">
        <f t="shared" ca="1" si="75"/>
        <v>2.6257499999999991</v>
      </c>
      <c r="L317" s="5">
        <f t="shared" ca="1" si="76"/>
        <v>2.8571428571429663E-4</v>
      </c>
      <c r="N317">
        <f t="shared" ca="1" si="77"/>
        <v>26.509</v>
      </c>
      <c r="O317">
        <f t="shared" ca="1" si="78"/>
        <v>1.0397634999999999E-3</v>
      </c>
      <c r="P317">
        <f t="shared" ca="1" si="79"/>
        <v>1.000662725</v>
      </c>
      <c r="Q317">
        <f t="shared" ca="1" si="80"/>
        <v>2.6264496975914833</v>
      </c>
      <c r="R317">
        <f t="shared" ca="1" si="81"/>
        <v>14007.731720487911</v>
      </c>
      <c r="S317">
        <f t="shared" ca="1" si="82"/>
        <v>3.8966426003813219</v>
      </c>
      <c r="T317">
        <f t="shared" ca="1" si="83"/>
        <v>-1</v>
      </c>
      <c r="U317">
        <f t="shared" ca="1" si="84"/>
        <v>14011</v>
      </c>
      <c r="V317">
        <f t="shared" ca="1" si="85"/>
        <v>2.6270625000000001</v>
      </c>
      <c r="X317">
        <f t="shared" ca="1" si="86"/>
        <v>2.6242835581789059</v>
      </c>
    </row>
    <row r="318" spans="5:24" x14ac:dyDescent="0.25">
      <c r="E318">
        <v>316</v>
      </c>
      <c r="F318">
        <f t="shared" si="70"/>
        <v>51.6</v>
      </c>
      <c r="G318">
        <f t="shared" ca="1" si="71"/>
        <v>51.591999999999999</v>
      </c>
      <c r="H318" s="5">
        <f t="shared" ca="1" si="72"/>
        <v>8.0000000000026716E-3</v>
      </c>
      <c r="I318" s="5">
        <f t="shared" ca="1" si="73"/>
        <v>1.5503875968997426E-4</v>
      </c>
      <c r="J318" s="10">
        <f t="shared" si="74"/>
        <v>2.6333333333333329</v>
      </c>
      <c r="K318" s="12">
        <f t="shared" ca="1" si="75"/>
        <v>2.6326666666666663</v>
      </c>
      <c r="L318" s="5">
        <f t="shared" ca="1" si="76"/>
        <v>2.5316455696199747E-4</v>
      </c>
      <c r="N318">
        <f t="shared" ca="1" si="77"/>
        <v>26.591999999999999</v>
      </c>
      <c r="O318">
        <f t="shared" ca="1" si="78"/>
        <v>1.0398880000000001E-3</v>
      </c>
      <c r="P318">
        <f t="shared" ca="1" si="79"/>
        <v>1.0006648</v>
      </c>
      <c r="Q318">
        <f t="shared" ca="1" si="80"/>
        <v>2.6333762841491235</v>
      </c>
      <c r="R318">
        <f t="shared" ca="1" si="81"/>
        <v>14044.673515461991</v>
      </c>
      <c r="S318">
        <f t="shared" ca="1" si="82"/>
        <v>3.8998178591312267</v>
      </c>
      <c r="T318">
        <f t="shared" ca="1" si="83"/>
        <v>-3</v>
      </c>
      <c r="U318">
        <f t="shared" ca="1" si="84"/>
        <v>14046</v>
      </c>
      <c r="V318">
        <f t="shared" ca="1" si="85"/>
        <v>2.6336249999999999</v>
      </c>
      <c r="X318">
        <f t="shared" ca="1" si="86"/>
        <v>2.6308361321393532</v>
      </c>
    </row>
    <row r="319" spans="5:24" x14ac:dyDescent="0.25">
      <c r="E319">
        <v>317</v>
      </c>
      <c r="F319">
        <f t="shared" si="70"/>
        <v>51.7</v>
      </c>
      <c r="G319">
        <f t="shared" ca="1" si="71"/>
        <v>51.692</v>
      </c>
      <c r="H319" s="5">
        <f t="shared" ca="1" si="72"/>
        <v>8.0000000000026716E-3</v>
      </c>
      <c r="I319" s="5">
        <f t="shared" ca="1" si="73"/>
        <v>1.5473887814318514E-4</v>
      </c>
      <c r="J319" s="10">
        <f t="shared" si="74"/>
        <v>2.6416666666666666</v>
      </c>
      <c r="K319" s="12">
        <f t="shared" ca="1" si="75"/>
        <v>2.6409999999999991</v>
      </c>
      <c r="L319" s="5">
        <f t="shared" ca="1" si="76"/>
        <v>2.523659305996775E-4</v>
      </c>
      <c r="N319">
        <f t="shared" ca="1" si="77"/>
        <v>26.692</v>
      </c>
      <c r="O319">
        <f t="shared" ca="1" si="78"/>
        <v>1.0400380000000001E-3</v>
      </c>
      <c r="P319">
        <f t="shared" ca="1" si="79"/>
        <v>1.0006672999999999</v>
      </c>
      <c r="Q319">
        <f t="shared" ca="1" si="80"/>
        <v>2.6417216072826415</v>
      </c>
      <c r="R319">
        <f t="shared" ca="1" si="81"/>
        <v>14089.181905507421</v>
      </c>
      <c r="S319">
        <f t="shared" ca="1" si="82"/>
        <v>3.9035785107795982</v>
      </c>
      <c r="T319">
        <f t="shared" ca="1" si="83"/>
        <v>0</v>
      </c>
      <c r="U319">
        <f t="shared" ca="1" si="84"/>
        <v>14093</v>
      </c>
      <c r="V319">
        <f t="shared" ca="1" si="85"/>
        <v>2.6424375000000002</v>
      </c>
      <c r="X319">
        <f t="shared" ca="1" si="86"/>
        <v>2.6396360328752624</v>
      </c>
    </row>
    <row r="320" spans="5:24" x14ac:dyDescent="0.25">
      <c r="E320">
        <v>318</v>
      </c>
      <c r="F320">
        <f t="shared" si="70"/>
        <v>51.8</v>
      </c>
      <c r="G320">
        <f t="shared" ca="1" si="71"/>
        <v>51.795999999999999</v>
      </c>
      <c r="H320" s="5">
        <f t="shared" ca="1" si="72"/>
        <v>3.9999999999977831E-3</v>
      </c>
      <c r="I320" s="5">
        <f t="shared" ca="1" si="73"/>
        <v>7.7220077220034426E-5</v>
      </c>
      <c r="J320" s="10">
        <f t="shared" si="74"/>
        <v>2.6499999999999995</v>
      </c>
      <c r="K320" s="12">
        <f t="shared" ca="1" si="75"/>
        <v>2.6496666666666657</v>
      </c>
      <c r="L320" s="5">
        <f t="shared" ca="1" si="76"/>
        <v>1.2578616352216634E-4</v>
      </c>
      <c r="N320">
        <f t="shared" ca="1" si="77"/>
        <v>26.795999999999999</v>
      </c>
      <c r="O320">
        <f t="shared" ca="1" si="78"/>
        <v>1.0401939999999999E-3</v>
      </c>
      <c r="P320">
        <f t="shared" ca="1" si="79"/>
        <v>1.0006698999999999</v>
      </c>
      <c r="Q320">
        <f t="shared" ca="1" si="80"/>
        <v>2.6504007875407045</v>
      </c>
      <c r="R320">
        <f t="shared" ca="1" si="81"/>
        <v>14135.470866883757</v>
      </c>
      <c r="S320">
        <f t="shared" ca="1" si="82"/>
        <v>3.9074142054756495</v>
      </c>
      <c r="T320">
        <f t="shared" ca="1" si="83"/>
        <v>3</v>
      </c>
      <c r="U320">
        <f t="shared" ca="1" si="84"/>
        <v>14142</v>
      </c>
      <c r="V320">
        <f t="shared" ca="1" si="85"/>
        <v>2.6516250000000001</v>
      </c>
      <c r="X320">
        <f t="shared" ca="1" si="86"/>
        <v>2.6488103679345207</v>
      </c>
    </row>
    <row r="321" spans="5:24" x14ac:dyDescent="0.25">
      <c r="E321">
        <v>319</v>
      </c>
      <c r="F321">
        <f t="shared" si="70"/>
        <v>51.900000000000006</v>
      </c>
      <c r="G321">
        <f t="shared" ca="1" si="71"/>
        <v>51.904000000000003</v>
      </c>
      <c r="H321" s="5">
        <f t="shared" ca="1" si="72"/>
        <v>3.9999999999977831E-3</v>
      </c>
      <c r="I321" s="5">
        <f t="shared" ca="1" si="73"/>
        <v>7.707129094408059E-5</v>
      </c>
      <c r="J321" s="10">
        <f t="shared" si="74"/>
        <v>2.6583333333333332</v>
      </c>
      <c r="K321" s="12">
        <f t="shared" ca="1" si="75"/>
        <v>2.6586666666666661</v>
      </c>
      <c r="L321" s="5">
        <f t="shared" ca="1" si="76"/>
        <v>1.2539184952959969E-4</v>
      </c>
      <c r="N321">
        <f t="shared" ca="1" si="77"/>
        <v>26.904000000000003</v>
      </c>
      <c r="O321">
        <f t="shared" ca="1" si="78"/>
        <v>1.0403560000000001E-3</v>
      </c>
      <c r="P321">
        <f t="shared" ca="1" si="79"/>
        <v>1.0006725999999999</v>
      </c>
      <c r="Q321">
        <f t="shared" ca="1" si="80"/>
        <v>2.6594138301232202</v>
      </c>
      <c r="R321">
        <f t="shared" ca="1" si="81"/>
        <v>14183.54042732384</v>
      </c>
      <c r="S321">
        <f t="shared" ca="1" si="82"/>
        <v>3.9113159934337713</v>
      </c>
      <c r="T321">
        <f t="shared" ca="1" si="83"/>
        <v>-2</v>
      </c>
      <c r="U321">
        <f t="shared" ca="1" si="84"/>
        <v>14185</v>
      </c>
      <c r="V321">
        <f t="shared" ca="1" si="85"/>
        <v>2.6596875</v>
      </c>
      <c r="X321">
        <f t="shared" ca="1" si="86"/>
        <v>2.6568601398699236</v>
      </c>
    </row>
    <row r="322" spans="5:24" x14ac:dyDescent="0.25">
      <c r="E322">
        <v>320</v>
      </c>
      <c r="F322">
        <f t="shared" si="70"/>
        <v>52</v>
      </c>
      <c r="G322">
        <f t="shared" ca="1" si="71"/>
        <v>52.003</v>
      </c>
      <c r="H322" s="5">
        <f t="shared" ca="1" si="72"/>
        <v>3.0000000000001137E-3</v>
      </c>
      <c r="I322" s="5">
        <f t="shared" ca="1" si="73"/>
        <v>5.769230769230988E-5</v>
      </c>
      <c r="J322" s="10">
        <f t="shared" si="74"/>
        <v>2.6666666666666661</v>
      </c>
      <c r="K322" s="12">
        <f t="shared" ca="1" si="75"/>
        <v>2.6669166666666664</v>
      </c>
      <c r="L322" s="5">
        <f t="shared" ca="1" si="76"/>
        <v>9.3750000000114602E-5</v>
      </c>
      <c r="N322">
        <f t="shared" ca="1" si="77"/>
        <v>27.003</v>
      </c>
      <c r="O322">
        <f t="shared" ca="1" si="78"/>
        <v>1.0405045E-3</v>
      </c>
      <c r="P322">
        <f t="shared" ca="1" si="79"/>
        <v>1.000675075</v>
      </c>
      <c r="Q322">
        <f t="shared" ca="1" si="80"/>
        <v>2.6676758285168409</v>
      </c>
      <c r="R322">
        <f t="shared" ca="1" si="81"/>
        <v>14227.604418756484</v>
      </c>
      <c r="S322">
        <f t="shared" ca="1" si="82"/>
        <v>3.9148196745814201</v>
      </c>
      <c r="T322">
        <f t="shared" ca="1" si="83"/>
        <v>2</v>
      </c>
      <c r="U322">
        <f t="shared" ca="1" si="84"/>
        <v>14234</v>
      </c>
      <c r="V322">
        <f t="shared" ca="1" si="85"/>
        <v>2.6688749999999999</v>
      </c>
      <c r="X322">
        <f t="shared" ca="1" si="86"/>
        <v>2.6660347221099716</v>
      </c>
    </row>
    <row r="323" spans="5:24" x14ac:dyDescent="0.25">
      <c r="E323">
        <v>321</v>
      </c>
      <c r="F323">
        <f t="shared" ref="F323:F386" si="87">0.1*E323+20</f>
        <v>52.1</v>
      </c>
      <c r="G323">
        <f t="shared" ref="G323:G386" ca="1" si="88">F323+(RANDBETWEEN(-10,10)/100)*0.1</f>
        <v>52.099000000000004</v>
      </c>
      <c r="H323" s="5">
        <f t="shared" ref="H323:H386" ca="1" si="89">ABS(F323-G323)</f>
        <v>9.9999999999766942E-4</v>
      </c>
      <c r="I323" s="5">
        <f t="shared" ref="I323:I386" ca="1" si="90">ABS(F323-G323)/F323</f>
        <v>1.9193857965406322E-5</v>
      </c>
      <c r="J323" s="10">
        <f t="shared" ref="J323:J386" si="91">1/12*F323-5/3</f>
        <v>2.6749999999999998</v>
      </c>
      <c r="K323" s="12">
        <f t="shared" ref="K323:K386" ca="1" si="92">(1/12*G323-5/3) + J323*RANDBETWEEN($B$2,$C$2)</f>
        <v>2.6749166666666664</v>
      </c>
      <c r="L323" s="5">
        <f t="shared" ref="L323:L386" ca="1" si="93">IF(J323=0, ABS(J323-K323), ABS(J323-K323)/J323)</f>
        <v>3.1152647975115956E-5</v>
      </c>
      <c r="N323">
        <f t="shared" ref="N323:N386" ca="1" si="94">G323-$B$29</f>
        <v>27.099000000000004</v>
      </c>
      <c r="O323">
        <f t="shared" ref="O323:O386" ca="1" si="95">0.001 + 0.0000015*N323</f>
        <v>1.0406485000000001E-3</v>
      </c>
      <c r="P323">
        <f t="shared" ref="P323:P386" ca="1" si="96">1 + 0.000025*N323</f>
        <v>1.000677475</v>
      </c>
      <c r="Q323">
        <f t="shared" ref="Q323:Q386" ca="1" si="97">(K323-O323)*P323</f>
        <v>2.6756875023220741</v>
      </c>
      <c r="R323">
        <f t="shared" ref="R323:R386" ca="1" si="98">Q323*32768/6.144</f>
        <v>14270.333345717729</v>
      </c>
      <c r="S323">
        <f t="shared" ref="S323:S386" ca="1" si="99">4*SIN(PI()*R323/32768)</f>
        <v>3.9181504759067245</v>
      </c>
      <c r="T323">
        <f t="shared" ref="T323:T386" ca="1" si="100">RANDBETWEEN(-1*$B$15,1*$B$15)</f>
        <v>0</v>
      </c>
      <c r="U323">
        <f t="shared" ref="U323:U386" ca="1" si="101">ROUND(R323+S323+T323,0)</f>
        <v>14274</v>
      </c>
      <c r="V323">
        <f t="shared" ref="V323:V386" ca="1" si="102">U323*6.144/32768</f>
        <v>2.6763750000000002</v>
      </c>
      <c r="X323">
        <f t="shared" ref="X323:X386" ca="1" si="103">(U323*6.144/32768 -O323)/P323</f>
        <v>2.673523106433469</v>
      </c>
    </row>
    <row r="324" spans="5:24" x14ac:dyDescent="0.25">
      <c r="E324">
        <v>322</v>
      </c>
      <c r="F324">
        <f t="shared" si="87"/>
        <v>52.2</v>
      </c>
      <c r="G324">
        <f t="shared" ca="1" si="88"/>
        <v>52.197000000000003</v>
      </c>
      <c r="H324" s="5">
        <f t="shared" ca="1" si="89"/>
        <v>3.0000000000001137E-3</v>
      </c>
      <c r="I324" s="5">
        <f t="shared" ca="1" si="90"/>
        <v>5.7471264367818265E-5</v>
      </c>
      <c r="J324" s="10">
        <f t="shared" si="91"/>
        <v>2.6833333333333327</v>
      </c>
      <c r="K324" s="12">
        <f t="shared" ca="1" si="92"/>
        <v>2.6830833333333333</v>
      </c>
      <c r="L324" s="5">
        <f t="shared" ca="1" si="93"/>
        <v>9.3167701863136929E-5</v>
      </c>
      <c r="N324">
        <f t="shared" ca="1" si="94"/>
        <v>27.197000000000003</v>
      </c>
      <c r="O324">
        <f t="shared" ca="1" si="95"/>
        <v>1.0407955000000001E-3</v>
      </c>
      <c r="P324">
        <f t="shared" ca="1" si="96"/>
        <v>1.000679925</v>
      </c>
      <c r="Q324">
        <f t="shared" ca="1" si="97"/>
        <v>2.6838661256058698</v>
      </c>
      <c r="R324">
        <f t="shared" ca="1" si="98"/>
        <v>14313.952669897972</v>
      </c>
      <c r="S324">
        <f t="shared" ca="1" si="99"/>
        <v>3.9214828610823056</v>
      </c>
      <c r="T324">
        <f t="shared" ca="1" si="100"/>
        <v>-2</v>
      </c>
      <c r="U324">
        <f t="shared" ca="1" si="101"/>
        <v>14316</v>
      </c>
      <c r="V324">
        <f t="shared" ca="1" si="102"/>
        <v>2.68425</v>
      </c>
      <c r="X324">
        <f t="shared" ca="1" si="103"/>
        <v>2.6813860630810598</v>
      </c>
    </row>
    <row r="325" spans="5:24" x14ac:dyDescent="0.25">
      <c r="E325">
        <v>323</v>
      </c>
      <c r="F325">
        <f t="shared" si="87"/>
        <v>52.300000000000004</v>
      </c>
      <c r="G325">
        <f t="shared" ca="1" si="88"/>
        <v>52.306000000000004</v>
      </c>
      <c r="H325" s="5">
        <f t="shared" ca="1" si="89"/>
        <v>6.0000000000002274E-3</v>
      </c>
      <c r="I325" s="5">
        <f t="shared" ca="1" si="90"/>
        <v>1.1472275334608464E-4</v>
      </c>
      <c r="J325" s="10">
        <f t="shared" si="91"/>
        <v>2.6916666666666664</v>
      </c>
      <c r="K325" s="12">
        <f t="shared" ca="1" si="92"/>
        <v>2.6921666666666662</v>
      </c>
      <c r="L325" s="5">
        <f t="shared" ca="1" si="93"/>
        <v>1.8575851393178562E-4</v>
      </c>
      <c r="N325">
        <f t="shared" ca="1" si="94"/>
        <v>27.306000000000004</v>
      </c>
      <c r="O325">
        <f t="shared" ca="1" si="95"/>
        <v>1.0409589999999999E-3</v>
      </c>
      <c r="P325">
        <f t="shared" ca="1" si="96"/>
        <v>1.0006826499999999</v>
      </c>
      <c r="Q325">
        <f t="shared" ca="1" si="97"/>
        <v>2.6929628046310046</v>
      </c>
      <c r="R325">
        <f t="shared" ca="1" si="98"/>
        <v>14362.468291365358</v>
      </c>
      <c r="S325">
        <f t="shared" ca="1" si="99"/>
        <v>3.9251087449934285</v>
      </c>
      <c r="T325">
        <f t="shared" ca="1" si="100"/>
        <v>0</v>
      </c>
      <c r="U325">
        <f t="shared" ca="1" si="101"/>
        <v>14366</v>
      </c>
      <c r="V325">
        <f t="shared" ca="1" si="102"/>
        <v>2.6936249999999999</v>
      </c>
      <c r="X325">
        <f t="shared" ca="1" si="103"/>
        <v>2.6907472024222665</v>
      </c>
    </row>
    <row r="326" spans="5:24" x14ac:dyDescent="0.25">
      <c r="E326">
        <v>324</v>
      </c>
      <c r="F326">
        <f t="shared" si="87"/>
        <v>52.4</v>
      </c>
      <c r="G326">
        <f t="shared" ca="1" si="88"/>
        <v>52.397999999999996</v>
      </c>
      <c r="H326" s="5">
        <f t="shared" ca="1" si="89"/>
        <v>2.0000000000024443E-3</v>
      </c>
      <c r="I326" s="5">
        <f t="shared" ca="1" si="90"/>
        <v>3.8167938931344359E-5</v>
      </c>
      <c r="J326" s="10">
        <f t="shared" si="91"/>
        <v>2.6999999999999993</v>
      </c>
      <c r="K326" s="12">
        <f t="shared" ca="1" si="92"/>
        <v>2.6998333333333324</v>
      </c>
      <c r="L326" s="5">
        <f t="shared" ca="1" si="93"/>
        <v>6.1728395061803857E-5</v>
      </c>
      <c r="N326">
        <f t="shared" ca="1" si="94"/>
        <v>27.397999999999996</v>
      </c>
      <c r="O326">
        <f t="shared" ca="1" si="95"/>
        <v>1.0410969999999999E-3</v>
      </c>
      <c r="P326">
        <f t="shared" ca="1" si="96"/>
        <v>1.0006849499999999</v>
      </c>
      <c r="Q326">
        <f t="shared" ca="1" si="97"/>
        <v>2.7006407740756089</v>
      </c>
      <c r="R326">
        <f t="shared" ca="1" si="98"/>
        <v>14403.417461736581</v>
      </c>
      <c r="S326">
        <f t="shared" ca="1" si="99"/>
        <v>3.9281030552441027</v>
      </c>
      <c r="T326">
        <f t="shared" ca="1" si="100"/>
        <v>1</v>
      </c>
      <c r="U326">
        <f t="shared" ca="1" si="101"/>
        <v>14408</v>
      </c>
      <c r="V326">
        <f t="shared" ca="1" si="102"/>
        <v>2.7015000000000002</v>
      </c>
      <c r="X326">
        <f t="shared" ca="1" si="103"/>
        <v>2.6986104897450498</v>
      </c>
    </row>
    <row r="327" spans="5:24" x14ac:dyDescent="0.25">
      <c r="E327">
        <v>325</v>
      </c>
      <c r="F327">
        <f t="shared" si="87"/>
        <v>52.5</v>
      </c>
      <c r="G327">
        <f t="shared" ca="1" si="88"/>
        <v>52.508000000000003</v>
      </c>
      <c r="H327" s="5">
        <f t="shared" ca="1" si="89"/>
        <v>8.0000000000026716E-3</v>
      </c>
      <c r="I327" s="5">
        <f t="shared" ca="1" si="90"/>
        <v>1.5238095238100327E-4</v>
      </c>
      <c r="J327" s="10">
        <f t="shared" si="91"/>
        <v>2.708333333333333</v>
      </c>
      <c r="K327" s="12">
        <f t="shared" ca="1" si="92"/>
        <v>2.7089999999999996</v>
      </c>
      <c r="L327" s="5">
        <f t="shared" ca="1" si="93"/>
        <v>2.4615384615381909E-4</v>
      </c>
      <c r="N327">
        <f t="shared" ca="1" si="94"/>
        <v>27.508000000000003</v>
      </c>
      <c r="O327">
        <f t="shared" ca="1" si="95"/>
        <v>1.041262E-3</v>
      </c>
      <c r="P327">
        <f t="shared" ca="1" si="96"/>
        <v>1.0006877000000001</v>
      </c>
      <c r="Q327">
        <f t="shared" ca="1" si="97"/>
        <v>2.7098210012241224</v>
      </c>
      <c r="R327">
        <f t="shared" ca="1" si="98"/>
        <v>14452.378673195319</v>
      </c>
      <c r="S327">
        <f t="shared" ca="1" si="99"/>
        <v>3.9316037509612816</v>
      </c>
      <c r="T327">
        <f t="shared" ca="1" si="100"/>
        <v>1</v>
      </c>
      <c r="U327">
        <f t="shared" ca="1" si="101"/>
        <v>14457</v>
      </c>
      <c r="V327">
        <f t="shared" ca="1" si="102"/>
        <v>2.7106875000000001</v>
      </c>
      <c r="X327">
        <f t="shared" ca="1" si="103"/>
        <v>2.7077840948779524</v>
      </c>
    </row>
    <row r="328" spans="5:24" x14ac:dyDescent="0.25">
      <c r="E328">
        <v>326</v>
      </c>
      <c r="F328">
        <f t="shared" si="87"/>
        <v>52.6</v>
      </c>
      <c r="G328">
        <f t="shared" ca="1" si="88"/>
        <v>52.591000000000001</v>
      </c>
      <c r="H328" s="5">
        <f t="shared" ca="1" si="89"/>
        <v>9.0000000000003411E-3</v>
      </c>
      <c r="I328" s="5">
        <f t="shared" ca="1" si="90"/>
        <v>1.7110266159696465E-4</v>
      </c>
      <c r="J328" s="10">
        <f t="shared" si="91"/>
        <v>2.7166666666666659</v>
      </c>
      <c r="K328" s="12">
        <f t="shared" ca="1" si="92"/>
        <v>2.7159166666666659</v>
      </c>
      <c r="L328" s="5">
        <f t="shared" ca="1" si="93"/>
        <v>2.760736196319124E-4</v>
      </c>
      <c r="N328">
        <f t="shared" ca="1" si="94"/>
        <v>27.591000000000001</v>
      </c>
      <c r="O328">
        <f t="shared" ca="1" si="95"/>
        <v>1.0413865E-3</v>
      </c>
      <c r="P328">
        <f t="shared" ca="1" si="96"/>
        <v>1.0006897749999999</v>
      </c>
      <c r="Q328">
        <f t="shared" ca="1" si="97"/>
        <v>2.7167479332630426</v>
      </c>
      <c r="R328">
        <f t="shared" ca="1" si="98"/>
        <v>14489.322310736226</v>
      </c>
      <c r="S328">
        <f t="shared" ca="1" si="99"/>
        <v>3.9341878567555324</v>
      </c>
      <c r="T328">
        <f t="shared" ca="1" si="100"/>
        <v>2</v>
      </c>
      <c r="U328">
        <f t="shared" ca="1" si="101"/>
        <v>14495</v>
      </c>
      <c r="V328">
        <f t="shared" ca="1" si="102"/>
        <v>2.7178125</v>
      </c>
      <c r="X328">
        <f t="shared" ca="1" si="103"/>
        <v>2.7148984444254967</v>
      </c>
    </row>
    <row r="329" spans="5:24" x14ac:dyDescent="0.25">
      <c r="E329">
        <v>327</v>
      </c>
      <c r="F329">
        <f t="shared" si="87"/>
        <v>52.7</v>
      </c>
      <c r="G329">
        <f t="shared" ca="1" si="88"/>
        <v>52.699000000000005</v>
      </c>
      <c r="H329" s="5">
        <f t="shared" ca="1" si="89"/>
        <v>9.9999999999766942E-4</v>
      </c>
      <c r="I329" s="5">
        <f t="shared" ca="1" si="90"/>
        <v>1.8975332068266971E-5</v>
      </c>
      <c r="J329" s="10">
        <f t="shared" si="91"/>
        <v>2.7249999999999996</v>
      </c>
      <c r="K329" s="12">
        <f t="shared" ca="1" si="92"/>
        <v>2.7249166666666662</v>
      </c>
      <c r="L329" s="5">
        <f t="shared" ca="1" si="93"/>
        <v>3.0581039755389062E-5</v>
      </c>
      <c r="N329">
        <f t="shared" ca="1" si="94"/>
        <v>27.699000000000005</v>
      </c>
      <c r="O329">
        <f t="shared" ca="1" si="95"/>
        <v>1.0415485E-3</v>
      </c>
      <c r="P329">
        <f t="shared" ca="1" si="96"/>
        <v>1.0006924749999999</v>
      </c>
      <c r="Q329">
        <f t="shared" ca="1" si="97"/>
        <v>2.7257613335891184</v>
      </c>
      <c r="R329">
        <f t="shared" ca="1" si="98"/>
        <v>14537.393779141965</v>
      </c>
      <c r="S329">
        <f t="shared" ca="1" si="99"/>
        <v>3.9374764251025298</v>
      </c>
      <c r="T329">
        <f t="shared" ca="1" si="100"/>
        <v>-1</v>
      </c>
      <c r="U329">
        <f t="shared" ca="1" si="101"/>
        <v>14540</v>
      </c>
      <c r="V329">
        <f t="shared" ca="1" si="102"/>
        <v>2.7262499999999998</v>
      </c>
      <c r="X329">
        <f t="shared" ca="1" si="103"/>
        <v>2.7233226186696369</v>
      </c>
    </row>
    <row r="330" spans="5:24" x14ac:dyDescent="0.25">
      <c r="E330">
        <v>328</v>
      </c>
      <c r="F330">
        <f t="shared" si="87"/>
        <v>52.800000000000004</v>
      </c>
      <c r="G330">
        <f t="shared" ca="1" si="88"/>
        <v>52.792000000000002</v>
      </c>
      <c r="H330" s="5">
        <f t="shared" ca="1" si="89"/>
        <v>8.0000000000026716E-3</v>
      </c>
      <c r="I330" s="5">
        <f t="shared" ca="1" si="90"/>
        <v>1.5151515151520209E-4</v>
      </c>
      <c r="J330" s="10">
        <f t="shared" si="91"/>
        <v>2.7333333333333334</v>
      </c>
      <c r="K330" s="12">
        <f t="shared" ca="1" si="92"/>
        <v>2.7326666666666659</v>
      </c>
      <c r="L330" s="5">
        <f t="shared" ca="1" si="93"/>
        <v>2.4390243902468832E-4</v>
      </c>
      <c r="N330">
        <f t="shared" ca="1" si="94"/>
        <v>27.792000000000002</v>
      </c>
      <c r="O330">
        <f t="shared" ca="1" si="95"/>
        <v>1.041688E-3</v>
      </c>
      <c r="P330">
        <f t="shared" ca="1" si="96"/>
        <v>1.0006948</v>
      </c>
      <c r="Q330">
        <f t="shared" ca="1" si="97"/>
        <v>2.7335229117018436</v>
      </c>
      <c r="R330">
        <f t="shared" ca="1" si="98"/>
        <v>14578.788862409832</v>
      </c>
      <c r="S330">
        <f t="shared" ca="1" si="99"/>
        <v>3.9402412458155189</v>
      </c>
      <c r="T330">
        <f t="shared" ca="1" si="100"/>
        <v>-3</v>
      </c>
      <c r="U330">
        <f t="shared" ca="1" si="101"/>
        <v>14580</v>
      </c>
      <c r="V330">
        <f t="shared" ca="1" si="102"/>
        <v>2.7337500000000001</v>
      </c>
      <c r="X330">
        <f t="shared" ca="1" si="103"/>
        <v>2.7308109445557229</v>
      </c>
    </row>
    <row r="331" spans="5:24" x14ac:dyDescent="0.25">
      <c r="E331">
        <v>329</v>
      </c>
      <c r="F331">
        <f t="shared" si="87"/>
        <v>52.9</v>
      </c>
      <c r="G331">
        <f t="shared" ca="1" si="88"/>
        <v>52.902999999999999</v>
      </c>
      <c r="H331" s="5">
        <f t="shared" ca="1" si="89"/>
        <v>3.0000000000001137E-3</v>
      </c>
      <c r="I331" s="5">
        <f t="shared" ca="1" si="90"/>
        <v>5.6710775047261129E-5</v>
      </c>
      <c r="J331" s="10">
        <f t="shared" si="91"/>
        <v>2.7416666666666663</v>
      </c>
      <c r="K331" s="12">
        <f t="shared" ca="1" si="92"/>
        <v>2.7419166666666657</v>
      </c>
      <c r="L331" s="5">
        <f t="shared" ca="1" si="93"/>
        <v>9.118541033413401E-5</v>
      </c>
      <c r="N331">
        <f t="shared" ca="1" si="94"/>
        <v>27.902999999999999</v>
      </c>
      <c r="O331">
        <f t="shared" ca="1" si="95"/>
        <v>1.0418545E-3</v>
      </c>
      <c r="P331">
        <f t="shared" ca="1" si="96"/>
        <v>1.000697575</v>
      </c>
      <c r="Q331">
        <f t="shared" ca="1" si="97"/>
        <v>2.7427867779137629</v>
      </c>
      <c r="R331">
        <f t="shared" ca="1" si="98"/>
        <v>14628.196148873401</v>
      </c>
      <c r="S331">
        <f t="shared" ca="1" si="99"/>
        <v>3.9434599643662493</v>
      </c>
      <c r="T331">
        <f t="shared" ca="1" si="100"/>
        <v>1</v>
      </c>
      <c r="U331">
        <f t="shared" ca="1" si="101"/>
        <v>14633</v>
      </c>
      <c r="V331">
        <f t="shared" ca="1" si="102"/>
        <v>2.7436875000000001</v>
      </c>
      <c r="X331">
        <f t="shared" ca="1" si="103"/>
        <v>2.7407337781347176</v>
      </c>
    </row>
    <row r="332" spans="5:24" x14ac:dyDescent="0.25">
      <c r="E332">
        <v>330</v>
      </c>
      <c r="F332">
        <f t="shared" si="87"/>
        <v>53</v>
      </c>
      <c r="G332">
        <f t="shared" ca="1" si="88"/>
        <v>53.003999999999998</v>
      </c>
      <c r="H332" s="5">
        <f t="shared" ca="1" si="89"/>
        <v>3.9999999999977831E-3</v>
      </c>
      <c r="I332" s="5">
        <f t="shared" ca="1" si="90"/>
        <v>7.5471698113165715E-5</v>
      </c>
      <c r="J332" s="10">
        <f t="shared" si="91"/>
        <v>2.7499999999999991</v>
      </c>
      <c r="K332" s="12">
        <f t="shared" ca="1" si="92"/>
        <v>2.7503333333333329</v>
      </c>
      <c r="L332" s="5">
        <f t="shared" ca="1" si="93"/>
        <v>1.2121212121226939E-4</v>
      </c>
      <c r="N332">
        <f t="shared" ca="1" si="94"/>
        <v>28.003999999999998</v>
      </c>
      <c r="O332">
        <f t="shared" ca="1" si="95"/>
        <v>1.0420060000000001E-3</v>
      </c>
      <c r="P332">
        <f t="shared" ca="1" si="96"/>
        <v>1.0007001</v>
      </c>
      <c r="Q332">
        <f t="shared" ca="1" si="97"/>
        <v>2.751216106191599</v>
      </c>
      <c r="R332">
        <f t="shared" ca="1" si="98"/>
        <v>14673.152566355195</v>
      </c>
      <c r="S332">
        <f t="shared" ca="1" si="99"/>
        <v>3.9463118403421706</v>
      </c>
      <c r="T332">
        <f t="shared" ca="1" si="100"/>
        <v>-3</v>
      </c>
      <c r="U332">
        <f t="shared" ca="1" si="101"/>
        <v>14674</v>
      </c>
      <c r="V332">
        <f t="shared" ca="1" si="102"/>
        <v>2.7513749999999999</v>
      </c>
      <c r="X332">
        <f t="shared" ca="1" si="103"/>
        <v>2.7484088329760334</v>
      </c>
    </row>
    <row r="333" spans="5:24" x14ac:dyDescent="0.25">
      <c r="E333">
        <v>331</v>
      </c>
      <c r="F333">
        <f t="shared" si="87"/>
        <v>53.1</v>
      </c>
      <c r="G333">
        <f t="shared" ca="1" si="88"/>
        <v>53.09</v>
      </c>
      <c r="H333" s="5">
        <f t="shared" ca="1" si="89"/>
        <v>9.9999999999980105E-3</v>
      </c>
      <c r="I333" s="5">
        <f t="shared" ca="1" si="90"/>
        <v>1.88323917137439E-4</v>
      </c>
      <c r="J333" s="10">
        <f t="shared" si="91"/>
        <v>2.7583333333333329</v>
      </c>
      <c r="K333" s="12">
        <f t="shared" ca="1" si="92"/>
        <v>2.7574999999999994</v>
      </c>
      <c r="L333" s="5">
        <f t="shared" ca="1" si="93"/>
        <v>3.0211480362542491E-4</v>
      </c>
      <c r="N333">
        <f t="shared" ca="1" si="94"/>
        <v>28.090000000000003</v>
      </c>
      <c r="O333">
        <f t="shared" ca="1" si="95"/>
        <v>1.042135E-3</v>
      </c>
      <c r="P333">
        <f t="shared" ca="1" si="96"/>
        <v>1.00070225</v>
      </c>
      <c r="Q333">
        <f t="shared" ca="1" si="97"/>
        <v>2.7583935875356955</v>
      </c>
      <c r="R333">
        <f t="shared" ca="1" si="98"/>
        <v>14711.432466857043</v>
      </c>
      <c r="S333">
        <f t="shared" ca="1" si="99"/>
        <v>3.9486823948669074</v>
      </c>
      <c r="T333">
        <f t="shared" ca="1" si="100"/>
        <v>-3</v>
      </c>
      <c r="U333">
        <f t="shared" ca="1" si="101"/>
        <v>14712</v>
      </c>
      <c r="V333">
        <f t="shared" ca="1" si="102"/>
        <v>2.7585000000000002</v>
      </c>
      <c r="X333">
        <f t="shared" ca="1" si="103"/>
        <v>2.7555227991143219</v>
      </c>
    </row>
    <row r="334" spans="5:24" x14ac:dyDescent="0.25">
      <c r="E334">
        <v>332</v>
      </c>
      <c r="F334">
        <f t="shared" si="87"/>
        <v>53.2</v>
      </c>
      <c r="G334">
        <f t="shared" ca="1" si="88"/>
        <v>53.197000000000003</v>
      </c>
      <c r="H334" s="5">
        <f t="shared" ca="1" si="89"/>
        <v>3.0000000000001137E-3</v>
      </c>
      <c r="I334" s="5">
        <f t="shared" ca="1" si="90"/>
        <v>5.6390977443611158E-5</v>
      </c>
      <c r="J334" s="10">
        <f t="shared" si="91"/>
        <v>2.7666666666666666</v>
      </c>
      <c r="K334" s="12">
        <f t="shared" ca="1" si="92"/>
        <v>2.7664166666666663</v>
      </c>
      <c r="L334" s="5">
        <f t="shared" ca="1" si="93"/>
        <v>9.0361445783242972E-5</v>
      </c>
      <c r="N334">
        <f t="shared" ca="1" si="94"/>
        <v>28.197000000000003</v>
      </c>
      <c r="O334">
        <f t="shared" ca="1" si="95"/>
        <v>1.0422955000000001E-3</v>
      </c>
      <c r="P334">
        <f t="shared" ca="1" si="96"/>
        <v>1.000704925</v>
      </c>
      <c r="Q334">
        <f t="shared" ca="1" si="97"/>
        <v>2.767323752695261</v>
      </c>
      <c r="R334">
        <f t="shared" ca="1" si="98"/>
        <v>14759.060014374725</v>
      </c>
      <c r="S334">
        <f t="shared" ca="1" si="99"/>
        <v>3.9515575639524192</v>
      </c>
      <c r="T334">
        <f t="shared" ca="1" si="100"/>
        <v>1</v>
      </c>
      <c r="U334">
        <f t="shared" ca="1" si="101"/>
        <v>14764</v>
      </c>
      <c r="V334">
        <f t="shared" ca="1" si="102"/>
        <v>2.7682500000000001</v>
      </c>
      <c r="X334">
        <f t="shared" ca="1" si="103"/>
        <v>2.7652584047190536</v>
      </c>
    </row>
    <row r="335" spans="5:24" x14ac:dyDescent="0.25">
      <c r="E335">
        <v>333</v>
      </c>
      <c r="F335">
        <f t="shared" si="87"/>
        <v>53.300000000000004</v>
      </c>
      <c r="G335">
        <f t="shared" ca="1" si="88"/>
        <v>53.295000000000002</v>
      </c>
      <c r="H335" s="5">
        <f t="shared" ca="1" si="89"/>
        <v>5.000000000002558E-3</v>
      </c>
      <c r="I335" s="5">
        <f t="shared" ca="1" si="90"/>
        <v>9.3808630394044237E-5</v>
      </c>
      <c r="J335" s="10">
        <f t="shared" si="91"/>
        <v>2.7749999999999995</v>
      </c>
      <c r="K335" s="12">
        <f t="shared" ca="1" si="92"/>
        <v>2.7745833333333332</v>
      </c>
      <c r="L335" s="5">
        <f t="shared" ca="1" si="93"/>
        <v>1.5015015015001362E-4</v>
      </c>
      <c r="N335">
        <f t="shared" ca="1" si="94"/>
        <v>28.295000000000002</v>
      </c>
      <c r="O335">
        <f t="shared" ca="1" si="95"/>
        <v>1.0424424999999999E-3</v>
      </c>
      <c r="P335">
        <f t="shared" ca="1" si="96"/>
        <v>1.000707375</v>
      </c>
      <c r="Q335">
        <f t="shared" ca="1" si="97"/>
        <v>2.7755028243209861</v>
      </c>
      <c r="R335">
        <f t="shared" ca="1" si="98"/>
        <v>14802.681729711925</v>
      </c>
      <c r="S335">
        <f t="shared" ca="1" si="99"/>
        <v>3.9541186227501135</v>
      </c>
      <c r="T335">
        <f t="shared" ca="1" si="100"/>
        <v>3</v>
      </c>
      <c r="U335">
        <f t="shared" ca="1" si="101"/>
        <v>14810</v>
      </c>
      <c r="V335">
        <f t="shared" ca="1" si="102"/>
        <v>2.776875</v>
      </c>
      <c r="X335">
        <f t="shared" ca="1" si="103"/>
        <v>2.7738703909322142</v>
      </c>
    </row>
    <row r="336" spans="5:24" x14ac:dyDescent="0.25">
      <c r="E336">
        <v>334</v>
      </c>
      <c r="F336">
        <f t="shared" si="87"/>
        <v>53.4</v>
      </c>
      <c r="G336">
        <f t="shared" ca="1" si="88"/>
        <v>53.399000000000001</v>
      </c>
      <c r="H336" s="5">
        <f t="shared" ca="1" si="89"/>
        <v>9.9999999999766942E-4</v>
      </c>
      <c r="I336" s="5">
        <f t="shared" ca="1" si="90"/>
        <v>1.8726591760255984E-5</v>
      </c>
      <c r="J336" s="10">
        <f t="shared" si="91"/>
        <v>2.7833333333333323</v>
      </c>
      <c r="K336" s="12">
        <f t="shared" ca="1" si="92"/>
        <v>2.7832499999999998</v>
      </c>
      <c r="L336" s="5">
        <f t="shared" ca="1" si="93"/>
        <v>2.9940119760196539E-5</v>
      </c>
      <c r="N336">
        <f t="shared" ca="1" si="94"/>
        <v>28.399000000000001</v>
      </c>
      <c r="O336">
        <f t="shared" ca="1" si="95"/>
        <v>1.0425985E-3</v>
      </c>
      <c r="P336">
        <f t="shared" ca="1" si="96"/>
        <v>1.0007099749999999</v>
      </c>
      <c r="Q336">
        <f t="shared" ca="1" si="97"/>
        <v>2.7841826991998793</v>
      </c>
      <c r="R336">
        <f t="shared" ca="1" si="98"/>
        <v>14848.974395732688</v>
      </c>
      <c r="S336">
        <f t="shared" ca="1" si="99"/>
        <v>3.956760852262748</v>
      </c>
      <c r="T336">
        <f t="shared" ca="1" si="100"/>
        <v>3</v>
      </c>
      <c r="U336">
        <f t="shared" ca="1" si="101"/>
        <v>14856</v>
      </c>
      <c r="V336">
        <f t="shared" ca="1" si="102"/>
        <v>2.7854999999999999</v>
      </c>
      <c r="X336">
        <f t="shared" ca="1" si="103"/>
        <v>2.7824819089067239</v>
      </c>
    </row>
    <row r="337" spans="5:24" x14ac:dyDescent="0.25">
      <c r="E337">
        <v>335</v>
      </c>
      <c r="F337">
        <f t="shared" si="87"/>
        <v>53.5</v>
      </c>
      <c r="G337">
        <f t="shared" ca="1" si="88"/>
        <v>53.491</v>
      </c>
      <c r="H337" s="5">
        <f t="shared" ca="1" si="89"/>
        <v>9.0000000000003411E-3</v>
      </c>
      <c r="I337" s="5">
        <f t="shared" ca="1" si="90"/>
        <v>1.6822429906542693E-4</v>
      </c>
      <c r="J337" s="10">
        <f t="shared" si="91"/>
        <v>2.7916666666666661</v>
      </c>
      <c r="K337" s="12">
        <f t="shared" ca="1" si="92"/>
        <v>2.790916666666666</v>
      </c>
      <c r="L337" s="5">
        <f t="shared" ca="1" si="93"/>
        <v>2.6865671641792069E-4</v>
      </c>
      <c r="N337">
        <f t="shared" ca="1" si="94"/>
        <v>28.491</v>
      </c>
      <c r="O337">
        <f t="shared" ca="1" si="95"/>
        <v>1.0427365E-3</v>
      </c>
      <c r="P337">
        <f t="shared" ca="1" si="96"/>
        <v>1.0007122749999999</v>
      </c>
      <c r="Q337">
        <f t="shared" ca="1" si="97"/>
        <v>2.7918610876202754</v>
      </c>
      <c r="R337">
        <f t="shared" ca="1" si="98"/>
        <v>14889.925800641469</v>
      </c>
      <c r="S337">
        <f t="shared" ca="1" si="99"/>
        <v>3.9590332520836675</v>
      </c>
      <c r="T337">
        <f t="shared" ca="1" si="100"/>
        <v>2</v>
      </c>
      <c r="U337">
        <f t="shared" ca="1" si="101"/>
        <v>14896</v>
      </c>
      <c r="V337">
        <f t="shared" ca="1" si="102"/>
        <v>2.7930000000000001</v>
      </c>
      <c r="X337">
        <f t="shared" ca="1" si="103"/>
        <v>2.7899700375914747</v>
      </c>
    </row>
    <row r="338" spans="5:24" x14ac:dyDescent="0.25">
      <c r="E338">
        <v>336</v>
      </c>
      <c r="F338">
        <f t="shared" si="87"/>
        <v>53.6</v>
      </c>
      <c r="G338">
        <f t="shared" ca="1" si="88"/>
        <v>53.594999999999999</v>
      </c>
      <c r="H338" s="5">
        <f t="shared" ca="1" si="89"/>
        <v>5.000000000002558E-3</v>
      </c>
      <c r="I338" s="5">
        <f t="shared" ca="1" si="90"/>
        <v>9.3283582089599958E-5</v>
      </c>
      <c r="J338" s="10">
        <f t="shared" si="91"/>
        <v>2.8</v>
      </c>
      <c r="K338" s="12">
        <f t="shared" ca="1" si="92"/>
        <v>2.7995833333333326</v>
      </c>
      <c r="L338" s="5">
        <f t="shared" ca="1" si="93"/>
        <v>1.4880952380970567E-4</v>
      </c>
      <c r="N338">
        <f t="shared" ca="1" si="94"/>
        <v>28.594999999999999</v>
      </c>
      <c r="O338">
        <f t="shared" ca="1" si="95"/>
        <v>1.0428925000000001E-3</v>
      </c>
      <c r="P338">
        <f t="shared" ca="1" si="96"/>
        <v>1.0007148749999999</v>
      </c>
      <c r="Q338">
        <f t="shared" ca="1" si="97"/>
        <v>2.8005410474309729</v>
      </c>
      <c r="R338">
        <f t="shared" ca="1" si="98"/>
        <v>14936.218919631856</v>
      </c>
      <c r="S338">
        <f t="shared" ca="1" si="99"/>
        <v>3.9615285752181824</v>
      </c>
      <c r="T338">
        <f t="shared" ca="1" si="100"/>
        <v>-1</v>
      </c>
      <c r="U338">
        <f t="shared" ca="1" si="101"/>
        <v>14939</v>
      </c>
      <c r="V338">
        <f t="shared" ca="1" si="102"/>
        <v>2.8010625</v>
      </c>
      <c r="X338">
        <f t="shared" ca="1" si="103"/>
        <v>2.7980193734004404</v>
      </c>
    </row>
    <row r="339" spans="5:24" x14ac:dyDescent="0.25">
      <c r="E339">
        <v>337</v>
      </c>
      <c r="F339">
        <f t="shared" si="87"/>
        <v>53.7</v>
      </c>
      <c r="G339">
        <f t="shared" ca="1" si="88"/>
        <v>53.698</v>
      </c>
      <c r="H339" s="5">
        <f t="shared" ca="1" si="89"/>
        <v>2.0000000000024443E-3</v>
      </c>
      <c r="I339" s="5">
        <f t="shared" ca="1" si="90"/>
        <v>3.724394785851851E-5</v>
      </c>
      <c r="J339" s="10">
        <f t="shared" si="91"/>
        <v>2.8083333333333327</v>
      </c>
      <c r="K339" s="12">
        <f t="shared" ca="1" si="92"/>
        <v>2.8081666666666658</v>
      </c>
      <c r="L339" s="5">
        <f t="shared" ca="1" si="93"/>
        <v>5.934718100897462E-5</v>
      </c>
      <c r="N339">
        <f t="shared" ca="1" si="94"/>
        <v>28.698</v>
      </c>
      <c r="O339">
        <f t="shared" ca="1" si="95"/>
        <v>1.0430470000000001E-3</v>
      </c>
      <c r="P339">
        <f t="shared" ca="1" si="96"/>
        <v>1.00071745</v>
      </c>
      <c r="Q339">
        <f t="shared" ca="1" si="97"/>
        <v>2.8091375905075955</v>
      </c>
      <c r="R339">
        <f t="shared" ca="1" si="98"/>
        <v>14982.067149373843</v>
      </c>
      <c r="S339">
        <f t="shared" ca="1" si="99"/>
        <v>3.9639230031268808</v>
      </c>
      <c r="T339">
        <f t="shared" ca="1" si="100"/>
        <v>0</v>
      </c>
      <c r="U339">
        <f t="shared" ca="1" si="101"/>
        <v>14986</v>
      </c>
      <c r="V339">
        <f t="shared" ca="1" si="102"/>
        <v>2.8098749999999999</v>
      </c>
      <c r="X339">
        <f t="shared" ca="1" si="103"/>
        <v>2.8068182012814904</v>
      </c>
    </row>
    <row r="340" spans="5:24" x14ac:dyDescent="0.25">
      <c r="E340">
        <v>338</v>
      </c>
      <c r="F340">
        <f t="shared" si="87"/>
        <v>53.800000000000004</v>
      </c>
      <c r="G340">
        <f t="shared" ca="1" si="88"/>
        <v>53.792000000000002</v>
      </c>
      <c r="H340" s="5">
        <f t="shared" ca="1" si="89"/>
        <v>8.0000000000026716E-3</v>
      </c>
      <c r="I340" s="5">
        <f t="shared" ca="1" si="90"/>
        <v>1.4869888475841397E-4</v>
      </c>
      <c r="J340" s="10">
        <f t="shared" si="91"/>
        <v>2.8166666666666664</v>
      </c>
      <c r="K340" s="12">
        <f t="shared" ca="1" si="92"/>
        <v>2.8159999999999998</v>
      </c>
      <c r="L340" s="5">
        <f t="shared" ca="1" si="93"/>
        <v>2.3668639053251833E-4</v>
      </c>
      <c r="N340">
        <f t="shared" ca="1" si="94"/>
        <v>28.792000000000002</v>
      </c>
      <c r="O340">
        <f t="shared" ca="1" si="95"/>
        <v>1.043188E-3</v>
      </c>
      <c r="P340">
        <f t="shared" ca="1" si="96"/>
        <v>1.0007197999999999</v>
      </c>
      <c r="Q340">
        <f t="shared" ca="1" si="97"/>
        <v>2.8169830179132771</v>
      </c>
      <c r="R340">
        <f t="shared" ca="1" si="98"/>
        <v>15023.909428870811</v>
      </c>
      <c r="S340">
        <f t="shared" ca="1" si="99"/>
        <v>3.966041377090685</v>
      </c>
      <c r="T340">
        <f t="shared" ca="1" si="100"/>
        <v>-3</v>
      </c>
      <c r="U340">
        <f t="shared" ca="1" si="101"/>
        <v>15025</v>
      </c>
      <c r="V340">
        <f t="shared" ca="1" si="102"/>
        <v>2.8171875000000002</v>
      </c>
      <c r="X340">
        <f t="shared" ca="1" si="103"/>
        <v>2.814118709353008</v>
      </c>
    </row>
    <row r="341" spans="5:24" x14ac:dyDescent="0.25">
      <c r="E341">
        <v>339</v>
      </c>
      <c r="F341">
        <f t="shared" si="87"/>
        <v>53.9</v>
      </c>
      <c r="G341">
        <f t="shared" ca="1" si="88"/>
        <v>53.9</v>
      </c>
      <c r="H341" s="5">
        <f t="shared" ca="1" si="89"/>
        <v>0</v>
      </c>
      <c r="I341" s="5">
        <f t="shared" ca="1" si="90"/>
        <v>0</v>
      </c>
      <c r="J341" s="10">
        <f t="shared" si="91"/>
        <v>2.8249999999999993</v>
      </c>
      <c r="K341" s="12">
        <f t="shared" ca="1" si="92"/>
        <v>2.8249999999999993</v>
      </c>
      <c r="L341" s="5">
        <f t="shared" ca="1" si="93"/>
        <v>0</v>
      </c>
      <c r="N341">
        <f t="shared" ca="1" si="94"/>
        <v>28.9</v>
      </c>
      <c r="O341">
        <f t="shared" ca="1" si="95"/>
        <v>1.04335E-3</v>
      </c>
      <c r="P341">
        <f t="shared" ca="1" si="96"/>
        <v>1.0007225</v>
      </c>
      <c r="Q341">
        <f t="shared" ca="1" si="97"/>
        <v>2.8259969586796241</v>
      </c>
      <c r="R341">
        <f t="shared" ca="1" si="98"/>
        <v>15071.983779624661</v>
      </c>
      <c r="S341">
        <f t="shared" ca="1" si="99"/>
        <v>3.9683964721792688</v>
      </c>
      <c r="T341">
        <f t="shared" ca="1" si="100"/>
        <v>-1</v>
      </c>
      <c r="U341">
        <f t="shared" ca="1" si="101"/>
        <v>15075</v>
      </c>
      <c r="V341">
        <f t="shared" ca="1" si="102"/>
        <v>2.8265625000000001</v>
      </c>
      <c r="X341">
        <f t="shared" ca="1" si="103"/>
        <v>2.8234791862879072</v>
      </c>
    </row>
    <row r="342" spans="5:24" x14ac:dyDescent="0.25">
      <c r="E342">
        <v>340</v>
      </c>
      <c r="F342">
        <f t="shared" si="87"/>
        <v>54</v>
      </c>
      <c r="G342">
        <f t="shared" ca="1" si="88"/>
        <v>53.994999999999997</v>
      </c>
      <c r="H342" s="5">
        <f t="shared" ca="1" si="89"/>
        <v>5.000000000002558E-3</v>
      </c>
      <c r="I342" s="5">
        <f t="shared" ca="1" si="90"/>
        <v>9.2592592592639968E-5</v>
      </c>
      <c r="J342" s="10">
        <f t="shared" si="91"/>
        <v>2.833333333333333</v>
      </c>
      <c r="K342" s="12">
        <f t="shared" ca="1" si="92"/>
        <v>2.8329166666666659</v>
      </c>
      <c r="L342" s="5">
        <f t="shared" ca="1" si="93"/>
        <v>1.4705882352959151E-4</v>
      </c>
      <c r="N342">
        <f t="shared" ca="1" si="94"/>
        <v>28.994999999999997</v>
      </c>
      <c r="O342">
        <f t="shared" ca="1" si="95"/>
        <v>1.0434925E-3</v>
      </c>
      <c r="P342">
        <f t="shared" ca="1" si="96"/>
        <v>1.000724875</v>
      </c>
      <c r="Q342">
        <f t="shared" ca="1" si="97"/>
        <v>2.8339259282337896</v>
      </c>
      <c r="R342">
        <f t="shared" ca="1" si="98"/>
        <v>15114.271617246877</v>
      </c>
      <c r="S342">
        <f t="shared" ca="1" si="99"/>
        <v>3.970398403158832</v>
      </c>
      <c r="T342">
        <f t="shared" ca="1" si="100"/>
        <v>-1</v>
      </c>
      <c r="U342">
        <f t="shared" ca="1" si="101"/>
        <v>15117</v>
      </c>
      <c r="V342">
        <f t="shared" ca="1" si="102"/>
        <v>2.8344374999999999</v>
      </c>
      <c r="X342">
        <f t="shared" ca="1" si="103"/>
        <v>2.8313416387296257</v>
      </c>
    </row>
    <row r="343" spans="5:24" x14ac:dyDescent="0.25">
      <c r="E343">
        <v>341</v>
      </c>
      <c r="F343">
        <f t="shared" si="87"/>
        <v>54.1</v>
      </c>
      <c r="G343">
        <f t="shared" ca="1" si="88"/>
        <v>54.108000000000004</v>
      </c>
      <c r="H343" s="5">
        <f t="shared" ca="1" si="89"/>
        <v>8.0000000000026716E-3</v>
      </c>
      <c r="I343" s="5">
        <f t="shared" ca="1" si="90"/>
        <v>1.4787430683923608E-4</v>
      </c>
      <c r="J343" s="10">
        <f t="shared" si="91"/>
        <v>2.8416666666666659</v>
      </c>
      <c r="K343" s="12">
        <f t="shared" ca="1" si="92"/>
        <v>2.8423333333333334</v>
      </c>
      <c r="L343" s="5">
        <f t="shared" ca="1" si="93"/>
        <v>2.3460410557213428E-4</v>
      </c>
      <c r="N343">
        <f t="shared" ca="1" si="94"/>
        <v>29.108000000000004</v>
      </c>
      <c r="O343">
        <f t="shared" ca="1" si="95"/>
        <v>1.0436620000000001E-3</v>
      </c>
      <c r="P343">
        <f t="shared" ca="1" si="96"/>
        <v>1.0007277000000001</v>
      </c>
      <c r="Q343">
        <f t="shared" ca="1" si="97"/>
        <v>2.8433572778271632</v>
      </c>
      <c r="R343">
        <f t="shared" ca="1" si="98"/>
        <v>15164.572148411537</v>
      </c>
      <c r="S343">
        <f t="shared" ca="1" si="99"/>
        <v>3.972694674041346</v>
      </c>
      <c r="T343">
        <f t="shared" ca="1" si="100"/>
        <v>-2</v>
      </c>
      <c r="U343">
        <f t="shared" ca="1" si="101"/>
        <v>15167</v>
      </c>
      <c r="V343">
        <f t="shared" ca="1" si="102"/>
        <v>2.8438124999999999</v>
      </c>
      <c r="X343">
        <f t="shared" ca="1" si="103"/>
        <v>2.8407016594024523</v>
      </c>
    </row>
    <row r="344" spans="5:24" x14ac:dyDescent="0.25">
      <c r="E344">
        <v>342</v>
      </c>
      <c r="F344">
        <f t="shared" si="87"/>
        <v>54.2</v>
      </c>
      <c r="G344">
        <f t="shared" ca="1" si="88"/>
        <v>54.196000000000005</v>
      </c>
      <c r="H344" s="5">
        <f t="shared" ca="1" si="89"/>
        <v>3.9999999999977831E-3</v>
      </c>
      <c r="I344" s="5">
        <f t="shared" ca="1" si="90"/>
        <v>7.3800738007339165E-5</v>
      </c>
      <c r="J344" s="10">
        <f t="shared" si="91"/>
        <v>2.8499999999999996</v>
      </c>
      <c r="K344" s="12">
        <f t="shared" ca="1" si="92"/>
        <v>2.8496666666666668</v>
      </c>
      <c r="L344" s="5">
        <f t="shared" ca="1" si="93"/>
        <v>1.169590643273167E-4</v>
      </c>
      <c r="N344">
        <f t="shared" ca="1" si="94"/>
        <v>29.196000000000005</v>
      </c>
      <c r="O344">
        <f t="shared" ca="1" si="95"/>
        <v>1.043794E-3</v>
      </c>
      <c r="P344">
        <f t="shared" ca="1" si="96"/>
        <v>1.0007299000000001</v>
      </c>
      <c r="Q344">
        <f t="shared" ca="1" si="97"/>
        <v>2.8507020825014262</v>
      </c>
      <c r="R344">
        <f t="shared" ca="1" si="98"/>
        <v>15203.744440007606</v>
      </c>
      <c r="S344">
        <f t="shared" ca="1" si="99"/>
        <v>3.9744189402129866</v>
      </c>
      <c r="T344">
        <f t="shared" ca="1" si="100"/>
        <v>2</v>
      </c>
      <c r="U344">
        <f t="shared" ca="1" si="101"/>
        <v>15210</v>
      </c>
      <c r="V344">
        <f t="shared" ca="1" si="102"/>
        <v>2.8518750000000002</v>
      </c>
      <c r="X344">
        <f t="shared" ca="1" si="103"/>
        <v>2.8487519019867396</v>
      </c>
    </row>
    <row r="345" spans="5:24" x14ac:dyDescent="0.25">
      <c r="E345">
        <v>343</v>
      </c>
      <c r="F345">
        <f t="shared" si="87"/>
        <v>54.300000000000004</v>
      </c>
      <c r="G345">
        <f t="shared" ca="1" si="88"/>
        <v>54.290000000000006</v>
      </c>
      <c r="H345" s="5">
        <f t="shared" ca="1" si="89"/>
        <v>9.9999999999980105E-3</v>
      </c>
      <c r="I345" s="5">
        <f t="shared" ca="1" si="90"/>
        <v>1.8416206261506464E-4</v>
      </c>
      <c r="J345" s="10">
        <f t="shared" si="91"/>
        <v>2.8583333333333334</v>
      </c>
      <c r="K345" s="12">
        <f t="shared" ca="1" si="92"/>
        <v>2.8574999999999999</v>
      </c>
      <c r="L345" s="5">
        <f t="shared" ca="1" si="93"/>
        <v>2.9154518950441876E-4</v>
      </c>
      <c r="N345">
        <f t="shared" ca="1" si="94"/>
        <v>29.290000000000006</v>
      </c>
      <c r="O345">
        <f t="shared" ca="1" si="95"/>
        <v>1.043935E-3</v>
      </c>
      <c r="P345">
        <f t="shared" ca="1" si="96"/>
        <v>1.00073225</v>
      </c>
      <c r="Q345">
        <f t="shared" ca="1" si="97"/>
        <v>2.8585477049535961</v>
      </c>
      <c r="R345">
        <f t="shared" ca="1" si="98"/>
        <v>15245.587759752512</v>
      </c>
      <c r="S345">
        <f t="shared" ca="1" si="99"/>
        <v>3.9761988567734612</v>
      </c>
      <c r="T345">
        <f t="shared" ca="1" si="100"/>
        <v>0</v>
      </c>
      <c r="U345">
        <f t="shared" ca="1" si="101"/>
        <v>15250</v>
      </c>
      <c r="V345">
        <f t="shared" ca="1" si="102"/>
        <v>2.859375</v>
      </c>
      <c r="X345">
        <f t="shared" ca="1" si="103"/>
        <v>2.8562395835649346</v>
      </c>
    </row>
    <row r="346" spans="5:24" x14ac:dyDescent="0.25">
      <c r="E346">
        <v>344</v>
      </c>
      <c r="F346">
        <f t="shared" si="87"/>
        <v>54.4</v>
      </c>
      <c r="G346">
        <f t="shared" ca="1" si="88"/>
        <v>54.394999999999996</v>
      </c>
      <c r="H346" s="5">
        <f t="shared" ca="1" si="89"/>
        <v>5.000000000002558E-3</v>
      </c>
      <c r="I346" s="5">
        <f t="shared" ca="1" si="90"/>
        <v>9.1911764705929379E-5</v>
      </c>
      <c r="J346" s="10">
        <f t="shared" si="91"/>
        <v>2.8666666666666663</v>
      </c>
      <c r="K346" s="12">
        <f t="shared" ca="1" si="92"/>
        <v>2.8662499999999991</v>
      </c>
      <c r="L346" s="5">
        <f t="shared" ca="1" si="93"/>
        <v>1.4534883720947997E-4</v>
      </c>
      <c r="N346">
        <f t="shared" ca="1" si="94"/>
        <v>29.394999999999996</v>
      </c>
      <c r="O346">
        <f t="shared" ca="1" si="95"/>
        <v>1.0440925000000001E-3</v>
      </c>
      <c r="P346">
        <f t="shared" ca="1" si="96"/>
        <v>1.000734875</v>
      </c>
      <c r="Q346">
        <f t="shared" ca="1" si="97"/>
        <v>2.8673114756912734</v>
      </c>
      <c r="R346">
        <f t="shared" ca="1" si="98"/>
        <v>15292.327870353458</v>
      </c>
      <c r="S346">
        <f t="shared" ca="1" si="99"/>
        <v>3.9781114077188193</v>
      </c>
      <c r="T346">
        <f t="shared" ca="1" si="100"/>
        <v>-2</v>
      </c>
      <c r="U346">
        <f t="shared" ca="1" si="101"/>
        <v>15294</v>
      </c>
      <c r="V346">
        <f t="shared" ca="1" si="102"/>
        <v>2.8676249999999999</v>
      </c>
      <c r="X346">
        <f t="shared" ca="1" si="103"/>
        <v>2.8644758757907782</v>
      </c>
    </row>
    <row r="347" spans="5:24" x14ac:dyDescent="0.25">
      <c r="E347">
        <v>345</v>
      </c>
      <c r="F347">
        <f t="shared" si="87"/>
        <v>54.5</v>
      </c>
      <c r="G347">
        <f t="shared" ca="1" si="88"/>
        <v>54.496000000000002</v>
      </c>
      <c r="H347" s="5">
        <f t="shared" ca="1" si="89"/>
        <v>3.9999999999977831E-3</v>
      </c>
      <c r="I347" s="5">
        <f t="shared" ca="1" si="90"/>
        <v>7.339449541280336E-5</v>
      </c>
      <c r="J347" s="10">
        <f t="shared" si="91"/>
        <v>2.8749999999999991</v>
      </c>
      <c r="K347" s="12">
        <f t="shared" ca="1" si="92"/>
        <v>2.8746666666666663</v>
      </c>
      <c r="L347" s="5">
        <f t="shared" ca="1" si="93"/>
        <v>1.1594202898534004E-4</v>
      </c>
      <c r="N347">
        <f t="shared" ca="1" si="94"/>
        <v>29.496000000000002</v>
      </c>
      <c r="O347">
        <f t="shared" ca="1" si="95"/>
        <v>1.0442439999999999E-3</v>
      </c>
      <c r="P347">
        <f t="shared" ca="1" si="96"/>
        <v>1.0007374</v>
      </c>
      <c r="Q347">
        <f t="shared" ca="1" si="97"/>
        <v>2.8757414318411407</v>
      </c>
      <c r="R347">
        <f t="shared" ca="1" si="98"/>
        <v>15337.287636486084</v>
      </c>
      <c r="S347">
        <f t="shared" ca="1" si="99"/>
        <v>3.9798757324786167</v>
      </c>
      <c r="T347">
        <f t="shared" ca="1" si="100"/>
        <v>2</v>
      </c>
      <c r="U347">
        <f t="shared" ca="1" si="101"/>
        <v>15343</v>
      </c>
      <c r="V347">
        <f t="shared" ca="1" si="102"/>
        <v>2.8768125000000002</v>
      </c>
      <c r="X347">
        <f t="shared" ca="1" si="103"/>
        <v>2.8736492270599663</v>
      </c>
    </row>
    <row r="348" spans="5:24" x14ac:dyDescent="0.25">
      <c r="E348">
        <v>346</v>
      </c>
      <c r="F348">
        <f t="shared" si="87"/>
        <v>54.6</v>
      </c>
      <c r="G348">
        <f t="shared" ca="1" si="88"/>
        <v>54.591999999999999</v>
      </c>
      <c r="H348" s="5">
        <f t="shared" ca="1" si="89"/>
        <v>8.0000000000026716E-3</v>
      </c>
      <c r="I348" s="5">
        <f t="shared" ca="1" si="90"/>
        <v>1.4652014652019544E-4</v>
      </c>
      <c r="J348" s="10">
        <f t="shared" si="91"/>
        <v>2.8833333333333329</v>
      </c>
      <c r="K348" s="12">
        <f t="shared" ca="1" si="92"/>
        <v>2.8826666666666663</v>
      </c>
      <c r="L348" s="5">
        <f t="shared" ca="1" si="93"/>
        <v>2.3121387283234451E-4</v>
      </c>
      <c r="N348">
        <f t="shared" ca="1" si="94"/>
        <v>29.591999999999999</v>
      </c>
      <c r="O348">
        <f t="shared" ca="1" si="95"/>
        <v>1.044388E-3</v>
      </c>
      <c r="P348">
        <f t="shared" ca="1" si="96"/>
        <v>1.0007398000000001</v>
      </c>
      <c r="Q348">
        <f t="shared" ca="1" si="97"/>
        <v>2.8837541028284241</v>
      </c>
      <c r="R348">
        <f t="shared" ca="1" si="98"/>
        <v>15380.021881751594</v>
      </c>
      <c r="S348">
        <f t="shared" ca="1" si="99"/>
        <v>3.9814841767535878</v>
      </c>
      <c r="T348">
        <f t="shared" ca="1" si="100"/>
        <v>-1</v>
      </c>
      <c r="U348">
        <f t="shared" ca="1" si="101"/>
        <v>15383</v>
      </c>
      <c r="V348">
        <f t="shared" ca="1" si="102"/>
        <v>2.8843125000000001</v>
      </c>
      <c r="X348">
        <f t="shared" ca="1" si="103"/>
        <v>2.8811366471084692</v>
      </c>
    </row>
    <row r="349" spans="5:24" x14ac:dyDescent="0.25">
      <c r="E349">
        <v>347</v>
      </c>
      <c r="F349">
        <f t="shared" si="87"/>
        <v>54.7</v>
      </c>
      <c r="G349">
        <f t="shared" ca="1" si="88"/>
        <v>54.701000000000001</v>
      </c>
      <c r="H349" s="5">
        <f t="shared" ca="1" si="89"/>
        <v>9.9999999999766942E-4</v>
      </c>
      <c r="I349" s="5">
        <f t="shared" ca="1" si="90"/>
        <v>1.8281535648951907E-5</v>
      </c>
      <c r="J349" s="10">
        <f t="shared" si="91"/>
        <v>2.8916666666666666</v>
      </c>
      <c r="K349" s="12">
        <f t="shared" ca="1" si="92"/>
        <v>2.8917499999999992</v>
      </c>
      <c r="L349" s="5">
        <f t="shared" ca="1" si="93"/>
        <v>2.8818443803762651E-5</v>
      </c>
      <c r="N349">
        <f t="shared" ca="1" si="94"/>
        <v>29.701000000000001</v>
      </c>
      <c r="O349">
        <f t="shared" ca="1" si="95"/>
        <v>1.0445515000000001E-3</v>
      </c>
      <c r="P349">
        <f t="shared" ca="1" si="96"/>
        <v>1.0007425249999999</v>
      </c>
      <c r="Q349">
        <f t="shared" ca="1" si="97"/>
        <v>2.8928518695631462</v>
      </c>
      <c r="R349">
        <f t="shared" ca="1" si="98"/>
        <v>15428.543304336779</v>
      </c>
      <c r="S349">
        <f t="shared" ca="1" si="99"/>
        <v>3.9832294162328328</v>
      </c>
      <c r="T349">
        <f t="shared" ca="1" si="100"/>
        <v>0</v>
      </c>
      <c r="U349">
        <f t="shared" ca="1" si="101"/>
        <v>15433</v>
      </c>
      <c r="V349">
        <f t="shared" ca="1" si="102"/>
        <v>2.8936875</v>
      </c>
      <c r="X349">
        <f t="shared" ca="1" si="103"/>
        <v>2.8904966824508631</v>
      </c>
    </row>
    <row r="350" spans="5:24" x14ac:dyDescent="0.25">
      <c r="E350">
        <v>348</v>
      </c>
      <c r="F350">
        <f t="shared" si="87"/>
        <v>54.800000000000004</v>
      </c>
      <c r="G350">
        <f t="shared" ca="1" si="88"/>
        <v>54.802000000000007</v>
      </c>
      <c r="H350" s="5">
        <f t="shared" ca="1" si="89"/>
        <v>2.0000000000024443E-3</v>
      </c>
      <c r="I350" s="5">
        <f t="shared" ca="1" si="90"/>
        <v>3.6496350365008101E-5</v>
      </c>
      <c r="J350" s="10">
        <f t="shared" si="91"/>
        <v>2.8999999999999995</v>
      </c>
      <c r="K350" s="12">
        <f t="shared" ca="1" si="92"/>
        <v>2.9001666666666663</v>
      </c>
      <c r="L350" s="5">
        <f t="shared" ca="1" si="93"/>
        <v>5.7471264367886339E-5</v>
      </c>
      <c r="N350">
        <f t="shared" ca="1" si="94"/>
        <v>29.802000000000007</v>
      </c>
      <c r="O350">
        <f t="shared" ca="1" si="95"/>
        <v>1.0447030000000001E-3</v>
      </c>
      <c r="P350">
        <f t="shared" ca="1" si="96"/>
        <v>1.0007450499999999</v>
      </c>
      <c r="Q350">
        <f t="shared" ca="1" si="97"/>
        <v>2.9012819544856963</v>
      </c>
      <c r="R350">
        <f t="shared" ca="1" si="98"/>
        <v>15473.503757257047</v>
      </c>
      <c r="S350">
        <f t="shared" ca="1" si="99"/>
        <v>3.9847696321823904</v>
      </c>
      <c r="T350">
        <f t="shared" ca="1" si="100"/>
        <v>3</v>
      </c>
      <c r="U350">
        <f t="shared" ca="1" si="101"/>
        <v>15480</v>
      </c>
      <c r="V350">
        <f t="shared" ca="1" si="102"/>
        <v>2.9024999999999999</v>
      </c>
      <c r="X350">
        <f t="shared" ca="1" si="103"/>
        <v>2.8992951771282809</v>
      </c>
    </row>
    <row r="351" spans="5:24" x14ac:dyDescent="0.25">
      <c r="E351">
        <v>349</v>
      </c>
      <c r="F351">
        <f t="shared" si="87"/>
        <v>54.9</v>
      </c>
      <c r="G351">
        <f t="shared" ca="1" si="88"/>
        <v>54.902999999999999</v>
      </c>
      <c r="H351" s="5">
        <f t="shared" ca="1" si="89"/>
        <v>3.0000000000001137E-3</v>
      </c>
      <c r="I351" s="5">
        <f t="shared" ca="1" si="90"/>
        <v>5.4644808743171472E-5</v>
      </c>
      <c r="J351" s="10">
        <f t="shared" si="91"/>
        <v>2.9083333333333323</v>
      </c>
      <c r="K351" s="12">
        <f t="shared" ca="1" si="92"/>
        <v>2.9085833333333326</v>
      </c>
      <c r="L351" s="5">
        <f t="shared" ca="1" si="93"/>
        <v>8.5959885386924565E-5</v>
      </c>
      <c r="N351">
        <f t="shared" ca="1" si="94"/>
        <v>29.902999999999999</v>
      </c>
      <c r="O351">
        <f t="shared" ca="1" si="95"/>
        <v>1.0448545E-3</v>
      </c>
      <c r="P351">
        <f t="shared" ca="1" si="96"/>
        <v>1.0007475749999999</v>
      </c>
      <c r="Q351">
        <f t="shared" ca="1" si="97"/>
        <v>2.9097120819116462</v>
      </c>
      <c r="R351">
        <f t="shared" ca="1" si="98"/>
        <v>15518.464436862112</v>
      </c>
      <c r="S351">
        <f t="shared" ca="1" si="99"/>
        <v>3.9862358157863995</v>
      </c>
      <c r="T351">
        <f t="shared" ca="1" si="100"/>
        <v>-2</v>
      </c>
      <c r="U351">
        <f t="shared" ca="1" si="101"/>
        <v>15520</v>
      </c>
      <c r="V351">
        <f t="shared" ca="1" si="102"/>
        <v>2.91</v>
      </c>
      <c r="X351">
        <f t="shared" ca="1" si="103"/>
        <v>2.906782107865713</v>
      </c>
    </row>
    <row r="352" spans="5:24" x14ac:dyDescent="0.25">
      <c r="E352">
        <v>350</v>
      </c>
      <c r="F352">
        <f t="shared" si="87"/>
        <v>55</v>
      </c>
      <c r="G352">
        <f t="shared" ca="1" si="88"/>
        <v>55.008000000000003</v>
      </c>
      <c r="H352" s="5">
        <f t="shared" ca="1" si="89"/>
        <v>8.0000000000026716E-3</v>
      </c>
      <c r="I352" s="5">
        <f t="shared" ca="1" si="90"/>
        <v>1.4545454545459403E-4</v>
      </c>
      <c r="J352" s="10">
        <f t="shared" si="91"/>
        <v>2.9166666666666661</v>
      </c>
      <c r="K352" s="12">
        <f t="shared" ca="1" si="92"/>
        <v>2.9173333333333327</v>
      </c>
      <c r="L352" s="5">
        <f t="shared" ca="1" si="93"/>
        <v>2.2857142857140344E-4</v>
      </c>
      <c r="N352">
        <f t="shared" ca="1" si="94"/>
        <v>30.008000000000003</v>
      </c>
      <c r="O352">
        <f t="shared" ca="1" si="95"/>
        <v>1.0450120000000001E-3</v>
      </c>
      <c r="P352">
        <f t="shared" ca="1" si="96"/>
        <v>1.0007501999999999</v>
      </c>
      <c r="Q352">
        <f t="shared" ca="1" si="97"/>
        <v>2.9184761208319965</v>
      </c>
      <c r="R352">
        <f t="shared" ca="1" si="98"/>
        <v>15565.205977770647</v>
      </c>
      <c r="S352">
        <f t="shared" ca="1" si="99"/>
        <v>3.9876815472497209</v>
      </c>
      <c r="T352">
        <f t="shared" ca="1" si="100"/>
        <v>3</v>
      </c>
      <c r="U352">
        <f t="shared" ca="1" si="101"/>
        <v>15572</v>
      </c>
      <c r="V352">
        <f t="shared" ca="1" si="102"/>
        <v>2.9197500000000001</v>
      </c>
      <c r="X352">
        <f t="shared" ca="1" si="103"/>
        <v>2.9165170169338963</v>
      </c>
    </row>
    <row r="353" spans="5:24" x14ac:dyDescent="0.25">
      <c r="E353">
        <v>351</v>
      </c>
      <c r="F353">
        <f t="shared" si="87"/>
        <v>55.1</v>
      </c>
      <c r="G353">
        <f t="shared" ca="1" si="88"/>
        <v>55.097999999999999</v>
      </c>
      <c r="H353" s="5">
        <f t="shared" ca="1" si="89"/>
        <v>2.0000000000024443E-3</v>
      </c>
      <c r="I353" s="5">
        <f t="shared" ca="1" si="90"/>
        <v>3.6297640653401892E-5</v>
      </c>
      <c r="J353" s="10">
        <f t="shared" si="91"/>
        <v>2.9249999999999998</v>
      </c>
      <c r="K353" s="12">
        <f t="shared" ca="1" si="92"/>
        <v>2.924833333333333</v>
      </c>
      <c r="L353" s="5">
        <f t="shared" ca="1" si="93"/>
        <v>5.6980056980126617E-5</v>
      </c>
      <c r="N353">
        <f t="shared" ca="1" si="94"/>
        <v>30.097999999999999</v>
      </c>
      <c r="O353">
        <f t="shared" ca="1" si="95"/>
        <v>1.045147E-3</v>
      </c>
      <c r="P353">
        <f t="shared" ca="1" si="96"/>
        <v>1.00075245</v>
      </c>
      <c r="Q353">
        <f t="shared" ca="1" si="97"/>
        <v>2.9259881907541394</v>
      </c>
      <c r="R353">
        <f t="shared" ca="1" si="98"/>
        <v>15605.270350688743</v>
      </c>
      <c r="S353">
        <f t="shared" ca="1" si="99"/>
        <v>3.9888570149033504</v>
      </c>
      <c r="T353">
        <f t="shared" ca="1" si="100"/>
        <v>-2</v>
      </c>
      <c r="U353">
        <f t="shared" ca="1" si="101"/>
        <v>15607</v>
      </c>
      <c r="V353">
        <f t="shared" ca="1" si="102"/>
        <v>2.9263124999999999</v>
      </c>
      <c r="X353">
        <f t="shared" ca="1" si="103"/>
        <v>2.9230678905657435</v>
      </c>
    </row>
    <row r="354" spans="5:24" x14ac:dyDescent="0.25">
      <c r="E354">
        <v>352</v>
      </c>
      <c r="F354">
        <f t="shared" si="87"/>
        <v>55.2</v>
      </c>
      <c r="G354">
        <f t="shared" ca="1" si="88"/>
        <v>55.197000000000003</v>
      </c>
      <c r="H354" s="5">
        <f t="shared" ca="1" si="89"/>
        <v>3.0000000000001137E-3</v>
      </c>
      <c r="I354" s="5">
        <f t="shared" ca="1" si="90"/>
        <v>5.4347826086958577E-5</v>
      </c>
      <c r="J354" s="10">
        <f t="shared" si="91"/>
        <v>2.9333333333333327</v>
      </c>
      <c r="K354" s="12">
        <f t="shared" ca="1" si="92"/>
        <v>2.9330833333333333</v>
      </c>
      <c r="L354" s="5">
        <f t="shared" ca="1" si="93"/>
        <v>8.5227272727074122E-5</v>
      </c>
      <c r="N354">
        <f t="shared" ca="1" si="94"/>
        <v>30.197000000000003</v>
      </c>
      <c r="O354">
        <f t="shared" ca="1" si="95"/>
        <v>1.0452955000000001E-3</v>
      </c>
      <c r="P354">
        <f t="shared" ca="1" si="96"/>
        <v>1.0007549250000001</v>
      </c>
      <c r="Q354">
        <f t="shared" ca="1" si="97"/>
        <v>2.9342515066490447</v>
      </c>
      <c r="R354">
        <f t="shared" ca="1" si="98"/>
        <v>15649.341368794905</v>
      </c>
      <c r="S354">
        <f t="shared" ca="1" si="99"/>
        <v>3.9900820597175661</v>
      </c>
      <c r="T354">
        <f t="shared" ca="1" si="100"/>
        <v>3</v>
      </c>
      <c r="U354">
        <f t="shared" ca="1" si="101"/>
        <v>15656</v>
      </c>
      <c r="V354">
        <f t="shared" ca="1" si="102"/>
        <v>2.9355000000000002</v>
      </c>
      <c r="X354">
        <f t="shared" ca="1" si="103"/>
        <v>2.9322410824008687</v>
      </c>
    </row>
    <row r="355" spans="5:24" x14ac:dyDescent="0.25">
      <c r="E355">
        <v>353</v>
      </c>
      <c r="F355">
        <f t="shared" si="87"/>
        <v>55.300000000000004</v>
      </c>
      <c r="G355">
        <f t="shared" ca="1" si="88"/>
        <v>55.306000000000004</v>
      </c>
      <c r="H355" s="5">
        <f t="shared" ca="1" si="89"/>
        <v>6.0000000000002274E-3</v>
      </c>
      <c r="I355" s="5">
        <f t="shared" ca="1" si="90"/>
        <v>1.084990958408721E-4</v>
      </c>
      <c r="J355" s="10">
        <f t="shared" si="91"/>
        <v>2.9416666666666664</v>
      </c>
      <c r="K355" s="12">
        <f t="shared" ca="1" si="92"/>
        <v>2.9421666666666662</v>
      </c>
      <c r="L355" s="5">
        <f t="shared" ca="1" si="93"/>
        <v>1.6997167138800779E-4</v>
      </c>
      <c r="N355">
        <f t="shared" ca="1" si="94"/>
        <v>30.306000000000004</v>
      </c>
      <c r="O355">
        <f t="shared" ca="1" si="95"/>
        <v>1.0454590000000001E-3</v>
      </c>
      <c r="P355">
        <f t="shared" ca="1" si="96"/>
        <v>1.0007576499999999</v>
      </c>
      <c r="Q355">
        <f t="shared" ca="1" si="97"/>
        <v>2.9433495481496545</v>
      </c>
      <c r="R355">
        <f t="shared" ca="1" si="98"/>
        <v>15697.864256798157</v>
      </c>
      <c r="S355">
        <f t="shared" ca="1" si="99"/>
        <v>3.9913484615577515</v>
      </c>
      <c r="T355">
        <f t="shared" ca="1" si="100"/>
        <v>-2</v>
      </c>
      <c r="U355">
        <f t="shared" ca="1" si="101"/>
        <v>15700</v>
      </c>
      <c r="V355">
        <f t="shared" ca="1" si="102"/>
        <v>2.9437500000000001</v>
      </c>
      <c r="X355">
        <f t="shared" ca="1" si="103"/>
        <v>2.9404766888367031</v>
      </c>
    </row>
    <row r="356" spans="5:24" x14ac:dyDescent="0.25">
      <c r="E356">
        <v>354</v>
      </c>
      <c r="F356">
        <f t="shared" si="87"/>
        <v>55.4</v>
      </c>
      <c r="G356">
        <f t="shared" ca="1" si="88"/>
        <v>55.408999999999999</v>
      </c>
      <c r="H356" s="5">
        <f t="shared" ca="1" si="89"/>
        <v>9.0000000000003411E-3</v>
      </c>
      <c r="I356" s="5">
        <f t="shared" ca="1" si="90"/>
        <v>1.6245487364621554E-4</v>
      </c>
      <c r="J356" s="10">
        <f t="shared" si="91"/>
        <v>2.9499999999999993</v>
      </c>
      <c r="K356" s="12">
        <f t="shared" ca="1" si="92"/>
        <v>2.9507499999999993</v>
      </c>
      <c r="L356" s="5">
        <f t="shared" ca="1" si="93"/>
        <v>2.5423728813560293E-4</v>
      </c>
      <c r="N356">
        <f t="shared" ca="1" si="94"/>
        <v>30.408999999999999</v>
      </c>
      <c r="O356">
        <f t="shared" ca="1" si="95"/>
        <v>1.0456135000000001E-3</v>
      </c>
      <c r="P356">
        <f t="shared" ca="1" si="96"/>
        <v>1.0007602250000001</v>
      </c>
      <c r="Q356">
        <f t="shared" ca="1" si="97"/>
        <v>2.9519468255172265</v>
      </c>
      <c r="R356">
        <f t="shared" ca="1" si="98"/>
        <v>15743.71640275854</v>
      </c>
      <c r="S356">
        <f t="shared" ca="1" si="99"/>
        <v>3.9924657809931623</v>
      </c>
      <c r="T356">
        <f t="shared" ca="1" si="100"/>
        <v>-3</v>
      </c>
      <c r="U356">
        <f t="shared" ca="1" si="101"/>
        <v>15745</v>
      </c>
      <c r="V356">
        <f t="shared" ca="1" si="102"/>
        <v>2.9521875</v>
      </c>
      <c r="X356">
        <f t="shared" ca="1" si="103"/>
        <v>2.9489000589526824</v>
      </c>
    </row>
    <row r="357" spans="5:24" x14ac:dyDescent="0.25">
      <c r="E357">
        <v>355</v>
      </c>
      <c r="F357">
        <f t="shared" si="87"/>
        <v>55.5</v>
      </c>
      <c r="G357">
        <f t="shared" ca="1" si="88"/>
        <v>55.494</v>
      </c>
      <c r="H357" s="5">
        <f t="shared" ca="1" si="89"/>
        <v>6.0000000000002274E-3</v>
      </c>
      <c r="I357" s="5">
        <f t="shared" ca="1" si="90"/>
        <v>1.081081081081122E-4</v>
      </c>
      <c r="J357" s="10">
        <f t="shared" si="91"/>
        <v>2.958333333333333</v>
      </c>
      <c r="K357" s="12">
        <f t="shared" ca="1" si="92"/>
        <v>2.9578333333333324</v>
      </c>
      <c r="L357" s="5">
        <f t="shared" ca="1" si="93"/>
        <v>1.6901408450724882E-4</v>
      </c>
      <c r="N357">
        <f t="shared" ca="1" si="94"/>
        <v>30.494</v>
      </c>
      <c r="O357">
        <f t="shared" ca="1" si="95"/>
        <v>1.045741E-3</v>
      </c>
      <c r="P357">
        <f t="shared" ca="1" si="96"/>
        <v>1.00076235</v>
      </c>
      <c r="Q357">
        <f t="shared" ca="1" si="97"/>
        <v>2.9590416993543478</v>
      </c>
      <c r="R357">
        <f t="shared" ca="1" si="98"/>
        <v>15781.555729889855</v>
      </c>
      <c r="S357">
        <f t="shared" ca="1" si="99"/>
        <v>3.9933297380731898</v>
      </c>
      <c r="T357">
        <f t="shared" ca="1" si="100"/>
        <v>-1</v>
      </c>
      <c r="U357">
        <f t="shared" ca="1" si="101"/>
        <v>15785</v>
      </c>
      <c r="V357">
        <f t="shared" ca="1" si="102"/>
        <v>2.9596875000000002</v>
      </c>
      <c r="X357">
        <f t="shared" ca="1" si="103"/>
        <v>2.9563879566412545</v>
      </c>
    </row>
    <row r="358" spans="5:24" x14ac:dyDescent="0.25">
      <c r="E358">
        <v>356</v>
      </c>
      <c r="F358">
        <f t="shared" si="87"/>
        <v>55.6</v>
      </c>
      <c r="G358">
        <f t="shared" ca="1" si="88"/>
        <v>55.600999999999999</v>
      </c>
      <c r="H358" s="5">
        <f t="shared" ca="1" si="89"/>
        <v>9.9999999999766942E-4</v>
      </c>
      <c r="I358" s="5">
        <f t="shared" ca="1" si="90"/>
        <v>1.7985611510749449E-5</v>
      </c>
      <c r="J358" s="10">
        <f t="shared" si="91"/>
        <v>2.9666666666666659</v>
      </c>
      <c r="K358" s="12">
        <f t="shared" ca="1" si="92"/>
        <v>2.9667499999999993</v>
      </c>
      <c r="L358" s="5">
        <f t="shared" ca="1" si="93"/>
        <v>2.8089887640483775E-5</v>
      </c>
      <c r="N358">
        <f t="shared" ca="1" si="94"/>
        <v>30.600999999999999</v>
      </c>
      <c r="O358">
        <f t="shared" ca="1" si="95"/>
        <v>1.0459015000000001E-3</v>
      </c>
      <c r="P358">
        <f t="shared" ca="1" si="96"/>
        <v>1.000765025</v>
      </c>
      <c r="Q358">
        <f t="shared" ca="1" si="97"/>
        <v>2.9679729362779543</v>
      </c>
      <c r="R358">
        <f t="shared" ca="1" si="98"/>
        <v>15829.188993482423</v>
      </c>
      <c r="S358">
        <f t="shared" ca="1" si="99"/>
        <v>3.9943425906138037</v>
      </c>
      <c r="T358">
        <f t="shared" ca="1" si="100"/>
        <v>3</v>
      </c>
      <c r="U358">
        <f t="shared" ca="1" si="101"/>
        <v>15836</v>
      </c>
      <c r="V358">
        <f t="shared" ca="1" si="102"/>
        <v>2.9692500000000002</v>
      </c>
      <c r="X358">
        <f t="shared" ca="1" si="103"/>
        <v>2.965935084012354</v>
      </c>
    </row>
    <row r="359" spans="5:24" x14ac:dyDescent="0.25">
      <c r="E359">
        <v>357</v>
      </c>
      <c r="F359">
        <f t="shared" si="87"/>
        <v>55.7</v>
      </c>
      <c r="G359">
        <f t="shared" ca="1" si="88"/>
        <v>55.708000000000006</v>
      </c>
      <c r="H359" s="5">
        <f t="shared" ca="1" si="89"/>
        <v>8.0000000000026716E-3</v>
      </c>
      <c r="I359" s="5">
        <f t="shared" ca="1" si="90"/>
        <v>1.4362657091566736E-4</v>
      </c>
      <c r="J359" s="10">
        <f t="shared" si="91"/>
        <v>2.9749999999999996</v>
      </c>
      <c r="K359" s="12">
        <f t="shared" ca="1" si="92"/>
        <v>2.9756666666666662</v>
      </c>
      <c r="L359" s="5">
        <f t="shared" ca="1" si="93"/>
        <v>2.2408963585431708E-4</v>
      </c>
      <c r="N359">
        <f t="shared" ca="1" si="94"/>
        <v>30.708000000000006</v>
      </c>
      <c r="O359">
        <f t="shared" ca="1" si="95"/>
        <v>1.0460619999999999E-3</v>
      </c>
      <c r="P359">
        <f t="shared" ca="1" si="96"/>
        <v>1.0007676999999999</v>
      </c>
      <c r="Q359">
        <f t="shared" ca="1" si="97"/>
        <v>2.9769042209048688</v>
      </c>
      <c r="R359">
        <f t="shared" ca="1" si="98"/>
        <v>15876.822511492634</v>
      </c>
      <c r="S359">
        <f t="shared" ca="1" si="99"/>
        <v>3.9952721440401091</v>
      </c>
      <c r="T359">
        <f t="shared" ca="1" si="100"/>
        <v>-3</v>
      </c>
      <c r="U359">
        <f t="shared" ca="1" si="101"/>
        <v>15878</v>
      </c>
      <c r="V359">
        <f t="shared" ca="1" si="102"/>
        <v>2.977125</v>
      </c>
      <c r="X359">
        <f t="shared" ca="1" si="103"/>
        <v>2.9737959548454653</v>
      </c>
    </row>
    <row r="360" spans="5:24" x14ac:dyDescent="0.25">
      <c r="E360">
        <v>358</v>
      </c>
      <c r="F360">
        <f t="shared" si="87"/>
        <v>55.800000000000004</v>
      </c>
      <c r="G360">
        <f t="shared" ca="1" si="88"/>
        <v>55.808000000000007</v>
      </c>
      <c r="H360" s="5">
        <f t="shared" ca="1" si="89"/>
        <v>8.0000000000026716E-3</v>
      </c>
      <c r="I360" s="5">
        <f t="shared" ca="1" si="90"/>
        <v>1.4336917562728801E-4</v>
      </c>
      <c r="J360" s="10">
        <f t="shared" si="91"/>
        <v>2.9833333333333334</v>
      </c>
      <c r="K360" s="12">
        <f t="shared" ca="1" si="92"/>
        <v>2.984</v>
      </c>
      <c r="L360" s="5">
        <f t="shared" ca="1" si="93"/>
        <v>2.2346368715081338E-4</v>
      </c>
      <c r="N360">
        <f t="shared" ca="1" si="94"/>
        <v>30.808000000000007</v>
      </c>
      <c r="O360">
        <f t="shared" ca="1" si="95"/>
        <v>1.0462119999999999E-3</v>
      </c>
      <c r="P360">
        <f t="shared" ca="1" si="96"/>
        <v>1.0007702000000001</v>
      </c>
      <c r="Q360">
        <f t="shared" ca="1" si="97"/>
        <v>2.985251259007518</v>
      </c>
      <c r="R360">
        <f t="shared" ca="1" si="98"/>
        <v>15921.340048040096</v>
      </c>
      <c r="S360">
        <f t="shared" ca="1" si="99"/>
        <v>3.9960655640550065</v>
      </c>
      <c r="T360">
        <f t="shared" ca="1" si="100"/>
        <v>3</v>
      </c>
      <c r="U360">
        <f t="shared" ca="1" si="101"/>
        <v>15928</v>
      </c>
      <c r="V360">
        <f t="shared" ca="1" si="102"/>
        <v>2.9864999999999999</v>
      </c>
      <c r="X360">
        <f t="shared" ca="1" si="103"/>
        <v>2.9831561611247017</v>
      </c>
    </row>
    <row r="361" spans="5:24" x14ac:dyDescent="0.25">
      <c r="E361">
        <v>359</v>
      </c>
      <c r="F361">
        <f t="shared" si="87"/>
        <v>55.9</v>
      </c>
      <c r="G361">
        <f t="shared" ca="1" si="88"/>
        <v>55.894999999999996</v>
      </c>
      <c r="H361" s="5">
        <f t="shared" ca="1" si="89"/>
        <v>5.000000000002558E-3</v>
      </c>
      <c r="I361" s="5">
        <f t="shared" ca="1" si="90"/>
        <v>8.944543828269335E-5</v>
      </c>
      <c r="J361" s="10">
        <f t="shared" si="91"/>
        <v>2.9916666666666663</v>
      </c>
      <c r="K361" s="12">
        <f t="shared" ca="1" si="92"/>
        <v>2.9912499999999991</v>
      </c>
      <c r="L361" s="5">
        <f t="shared" ca="1" si="93"/>
        <v>1.3927576601688332E-4</v>
      </c>
      <c r="N361">
        <f t="shared" ca="1" si="94"/>
        <v>30.894999999999996</v>
      </c>
      <c r="O361">
        <f t="shared" ca="1" si="95"/>
        <v>1.0463425E-3</v>
      </c>
      <c r="P361">
        <f t="shared" ca="1" si="96"/>
        <v>1.0007723749999999</v>
      </c>
      <c r="Q361">
        <f t="shared" ca="1" si="97"/>
        <v>2.9925132160499603</v>
      </c>
      <c r="R361">
        <f t="shared" ca="1" si="98"/>
        <v>15960.070485599788</v>
      </c>
      <c r="S361">
        <f t="shared" ca="1" si="99"/>
        <v>3.996696628687912</v>
      </c>
      <c r="T361">
        <f t="shared" ca="1" si="100"/>
        <v>2</v>
      </c>
      <c r="U361">
        <f t="shared" ca="1" si="101"/>
        <v>15966</v>
      </c>
      <c r="V361">
        <f t="shared" ca="1" si="102"/>
        <v>2.9936250000000002</v>
      </c>
      <c r="X361">
        <f t="shared" ca="1" si="103"/>
        <v>2.9902690484437087</v>
      </c>
    </row>
    <row r="362" spans="5:24" x14ac:dyDescent="0.25">
      <c r="E362">
        <v>360</v>
      </c>
      <c r="F362">
        <f t="shared" si="87"/>
        <v>56</v>
      </c>
      <c r="G362">
        <f t="shared" ca="1" si="88"/>
        <v>56.006</v>
      </c>
      <c r="H362" s="5">
        <f t="shared" ca="1" si="89"/>
        <v>6.0000000000002274E-3</v>
      </c>
      <c r="I362" s="5">
        <f t="shared" ca="1" si="90"/>
        <v>1.071428571428612E-4</v>
      </c>
      <c r="J362" s="10">
        <f t="shared" si="91"/>
        <v>2.9999999999999991</v>
      </c>
      <c r="K362" s="12">
        <f t="shared" ca="1" si="92"/>
        <v>3.0004999999999997</v>
      </c>
      <c r="L362" s="5">
        <f t="shared" ca="1" si="93"/>
        <v>1.6666666666687041E-4</v>
      </c>
      <c r="N362">
        <f t="shared" ca="1" si="94"/>
        <v>31.006</v>
      </c>
      <c r="O362">
        <f t="shared" ca="1" si="95"/>
        <v>1.0465089999999999E-3</v>
      </c>
      <c r="P362">
        <f t="shared" ca="1" si="96"/>
        <v>1.0007751499999999</v>
      </c>
      <c r="Q362">
        <f t="shared" ca="1" si="97"/>
        <v>3.0017785173735483</v>
      </c>
      <c r="R362">
        <f t="shared" ca="1" si="98"/>
        <v>16009.485425992258</v>
      </c>
      <c r="S362">
        <f t="shared" ca="1" si="99"/>
        <v>3.9974217759428741</v>
      </c>
      <c r="T362">
        <f t="shared" ca="1" si="100"/>
        <v>0</v>
      </c>
      <c r="U362">
        <f t="shared" ca="1" si="101"/>
        <v>16013</v>
      </c>
      <c r="V362">
        <f t="shared" ca="1" si="102"/>
        <v>3.0024375000000001</v>
      </c>
      <c r="X362">
        <f t="shared" ca="1" si="103"/>
        <v>2.9990662647848523</v>
      </c>
    </row>
    <row r="363" spans="5:24" x14ac:dyDescent="0.25">
      <c r="E363">
        <v>361</v>
      </c>
      <c r="F363">
        <f t="shared" si="87"/>
        <v>56.1</v>
      </c>
      <c r="G363">
        <f t="shared" ca="1" si="88"/>
        <v>56.100999999999999</v>
      </c>
      <c r="H363" s="5">
        <f t="shared" ca="1" si="89"/>
        <v>9.9999999999766942E-4</v>
      </c>
      <c r="I363" s="5">
        <f t="shared" ca="1" si="90"/>
        <v>1.7825311942917457E-5</v>
      </c>
      <c r="J363" s="10">
        <f t="shared" si="91"/>
        <v>3.0083333333333329</v>
      </c>
      <c r="K363" s="12">
        <f t="shared" ca="1" si="92"/>
        <v>3.0084166666666663</v>
      </c>
      <c r="L363" s="5">
        <f t="shared" ca="1" si="93"/>
        <v>2.7700831024964608E-5</v>
      </c>
      <c r="N363">
        <f t="shared" ca="1" si="94"/>
        <v>31.100999999999999</v>
      </c>
      <c r="O363">
        <f t="shared" ca="1" si="95"/>
        <v>1.0466515E-3</v>
      </c>
      <c r="P363">
        <f t="shared" ca="1" si="96"/>
        <v>1.0007775249999999</v>
      </c>
      <c r="Q363">
        <f t="shared" ca="1" si="97"/>
        <v>3.0097083205377086</v>
      </c>
      <c r="R363">
        <f t="shared" ca="1" si="98"/>
        <v>16051.777709534446</v>
      </c>
      <c r="S363">
        <f t="shared" ca="1" si="99"/>
        <v>3.9979711464903369</v>
      </c>
      <c r="T363">
        <f t="shared" ca="1" si="100"/>
        <v>1</v>
      </c>
      <c r="U363">
        <f t="shared" ca="1" si="101"/>
        <v>16057</v>
      </c>
      <c r="V363">
        <f t="shared" ca="1" si="102"/>
        <v>3.0106875</v>
      </c>
      <c r="X363">
        <f t="shared" ca="1" si="103"/>
        <v>3.0073025955493957</v>
      </c>
    </row>
    <row r="364" spans="5:24" x14ac:dyDescent="0.25">
      <c r="E364">
        <v>362</v>
      </c>
      <c r="F364">
        <f t="shared" si="87"/>
        <v>56.2</v>
      </c>
      <c r="G364">
        <f t="shared" ca="1" si="88"/>
        <v>56.190000000000005</v>
      </c>
      <c r="H364" s="5">
        <f t="shared" ca="1" si="89"/>
        <v>9.9999999999980105E-3</v>
      </c>
      <c r="I364" s="5">
        <f t="shared" ca="1" si="90"/>
        <v>1.7793594306046281E-4</v>
      </c>
      <c r="J364" s="10">
        <f t="shared" si="91"/>
        <v>3.0166666666666666</v>
      </c>
      <c r="K364" s="12">
        <f t="shared" ca="1" si="92"/>
        <v>3.0158333333333331</v>
      </c>
      <c r="L364" s="5">
        <f t="shared" ca="1" si="93"/>
        <v>2.7624309392269511E-4</v>
      </c>
      <c r="N364">
        <f t="shared" ca="1" si="94"/>
        <v>31.190000000000005</v>
      </c>
      <c r="O364">
        <f t="shared" ca="1" si="95"/>
        <v>1.0467849999999999E-3</v>
      </c>
      <c r="P364">
        <f t="shared" ca="1" si="96"/>
        <v>1.00077975</v>
      </c>
      <c r="Q364">
        <f t="shared" ca="1" si="97"/>
        <v>3.0171373281443956</v>
      </c>
      <c r="R364">
        <f t="shared" ca="1" si="98"/>
        <v>16091.399083436776</v>
      </c>
      <c r="S364">
        <f t="shared" ca="1" si="99"/>
        <v>3.9984261883550531</v>
      </c>
      <c r="T364">
        <f t="shared" ca="1" si="100"/>
        <v>3</v>
      </c>
      <c r="U364">
        <f t="shared" ca="1" si="101"/>
        <v>16098</v>
      </c>
      <c r="V364">
        <f t="shared" ca="1" si="102"/>
        <v>3.0183750000000003</v>
      </c>
      <c r="X364">
        <f t="shared" ca="1" si="103"/>
        <v>3.0149772864608821</v>
      </c>
    </row>
    <row r="365" spans="5:24" x14ac:dyDescent="0.25">
      <c r="E365">
        <v>363</v>
      </c>
      <c r="F365">
        <f t="shared" si="87"/>
        <v>56.300000000000004</v>
      </c>
      <c r="G365">
        <f t="shared" ca="1" si="88"/>
        <v>56.291000000000004</v>
      </c>
      <c r="H365" s="5">
        <f t="shared" ca="1" si="89"/>
        <v>9.0000000000003411E-3</v>
      </c>
      <c r="I365" s="5">
        <f t="shared" ca="1" si="90"/>
        <v>1.5985790408526359E-4</v>
      </c>
      <c r="J365" s="10">
        <f t="shared" si="91"/>
        <v>3.0249999999999995</v>
      </c>
      <c r="K365" s="12">
        <f t="shared" ca="1" si="92"/>
        <v>3.0242499999999994</v>
      </c>
      <c r="L365" s="5">
        <f t="shared" ca="1" si="93"/>
        <v>2.479338842975301E-4</v>
      </c>
      <c r="N365">
        <f t="shared" ca="1" si="94"/>
        <v>31.291000000000004</v>
      </c>
      <c r="O365">
        <f t="shared" ca="1" si="95"/>
        <v>1.0469365E-3</v>
      </c>
      <c r="P365">
        <f t="shared" ca="1" si="96"/>
        <v>1.0007822749999999</v>
      </c>
      <c r="Q365">
        <f t="shared" ca="1" si="97"/>
        <v>3.0255680396764988</v>
      </c>
      <c r="R365">
        <f t="shared" ca="1" si="98"/>
        <v>16136.36287827466</v>
      </c>
      <c r="S365">
        <f t="shared" ca="1" si="99"/>
        <v>3.9988726962128442</v>
      </c>
      <c r="T365">
        <f t="shared" ca="1" si="100"/>
        <v>1</v>
      </c>
      <c r="U365">
        <f t="shared" ca="1" si="101"/>
        <v>16141</v>
      </c>
      <c r="V365">
        <f t="shared" ca="1" si="102"/>
        <v>3.0264375000000001</v>
      </c>
      <c r="X365">
        <f t="shared" ca="1" si="103"/>
        <v>3.0230257260501547</v>
      </c>
    </row>
    <row r="366" spans="5:24" x14ac:dyDescent="0.25">
      <c r="E366">
        <v>364</v>
      </c>
      <c r="F366">
        <f t="shared" si="87"/>
        <v>56.4</v>
      </c>
      <c r="G366">
        <f t="shared" ca="1" si="88"/>
        <v>56.41</v>
      </c>
      <c r="H366" s="5">
        <f t="shared" ca="1" si="89"/>
        <v>9.9999999999980105E-3</v>
      </c>
      <c r="I366" s="5">
        <f t="shared" ca="1" si="90"/>
        <v>1.7730496453897181E-4</v>
      </c>
      <c r="J366" s="10">
        <f t="shared" si="91"/>
        <v>3.0333333333333323</v>
      </c>
      <c r="K366" s="12">
        <f t="shared" ca="1" si="92"/>
        <v>3.0341666666666658</v>
      </c>
      <c r="L366" s="5">
        <f t="shared" ca="1" si="93"/>
        <v>2.7472527472531777E-4</v>
      </c>
      <c r="N366">
        <f t="shared" ca="1" si="94"/>
        <v>31.409999999999997</v>
      </c>
      <c r="O366">
        <f t="shared" ca="1" si="95"/>
        <v>1.0471149999999999E-3</v>
      </c>
      <c r="P366">
        <f t="shared" ca="1" si="96"/>
        <v>1.0007852500000001</v>
      </c>
      <c r="Q366">
        <f t="shared" ca="1" si="97"/>
        <v>3.0355013087946121</v>
      </c>
      <c r="R366">
        <f t="shared" ca="1" si="98"/>
        <v>16189.340313571265</v>
      </c>
      <c r="S366">
        <f t="shared" ca="1" si="99"/>
        <v>3.9993034227207893</v>
      </c>
      <c r="T366">
        <f t="shared" ca="1" si="100"/>
        <v>-1</v>
      </c>
      <c r="U366">
        <f t="shared" ca="1" si="101"/>
        <v>16192</v>
      </c>
      <c r="V366">
        <f t="shared" ca="1" si="102"/>
        <v>3.036</v>
      </c>
      <c r="X366">
        <f t="shared" ca="1" si="103"/>
        <v>3.0325715581839359</v>
      </c>
    </row>
    <row r="367" spans="5:24" x14ac:dyDescent="0.25">
      <c r="E367">
        <v>365</v>
      </c>
      <c r="F367">
        <f t="shared" si="87"/>
        <v>56.5</v>
      </c>
      <c r="G367">
        <f t="shared" ca="1" si="88"/>
        <v>56.500999999999998</v>
      </c>
      <c r="H367" s="5">
        <f t="shared" ca="1" si="89"/>
        <v>9.9999999999766942E-4</v>
      </c>
      <c r="I367" s="5">
        <f t="shared" ca="1" si="90"/>
        <v>1.7699115044206537E-5</v>
      </c>
      <c r="J367" s="10">
        <f t="shared" si="91"/>
        <v>3.0416666666666661</v>
      </c>
      <c r="K367" s="12">
        <f t="shared" ca="1" si="92"/>
        <v>3.0417499999999995</v>
      </c>
      <c r="L367" s="5">
        <f t="shared" ca="1" si="93"/>
        <v>2.7397260274006092E-5</v>
      </c>
      <c r="N367">
        <f t="shared" ca="1" si="94"/>
        <v>31.500999999999998</v>
      </c>
      <c r="O367">
        <f t="shared" ca="1" si="95"/>
        <v>1.0472515000000001E-3</v>
      </c>
      <c r="P367">
        <f t="shared" ca="1" si="96"/>
        <v>1.000787525</v>
      </c>
      <c r="Q367">
        <f t="shared" ca="1" si="97"/>
        <v>3.0430973779320118</v>
      </c>
      <c r="R367">
        <f t="shared" ca="1" si="98"/>
        <v>16229.852682304063</v>
      </c>
      <c r="S367">
        <f t="shared" ca="1" si="99"/>
        <v>3.9995631886538425</v>
      </c>
      <c r="T367">
        <f t="shared" ca="1" si="100"/>
        <v>-2</v>
      </c>
      <c r="U367">
        <f t="shared" ca="1" si="101"/>
        <v>16232</v>
      </c>
      <c r="V367">
        <f t="shared" ca="1" si="102"/>
        <v>3.0434999999999999</v>
      </c>
      <c r="X367">
        <f t="shared" ca="1" si="103"/>
        <v>3.0400586263302989</v>
      </c>
    </row>
    <row r="368" spans="5:24" x14ac:dyDescent="0.25">
      <c r="E368">
        <v>366</v>
      </c>
      <c r="F368">
        <f t="shared" si="87"/>
        <v>56.6</v>
      </c>
      <c r="G368">
        <f t="shared" ca="1" si="88"/>
        <v>56.594000000000001</v>
      </c>
      <c r="H368" s="5">
        <f t="shared" ca="1" si="89"/>
        <v>6.0000000000002274E-3</v>
      </c>
      <c r="I368" s="5">
        <f t="shared" ca="1" si="90"/>
        <v>1.060070671378132E-4</v>
      </c>
      <c r="J368" s="10">
        <f t="shared" si="91"/>
        <v>3.05</v>
      </c>
      <c r="K368" s="12">
        <f t="shared" ca="1" si="92"/>
        <v>3.0494999999999992</v>
      </c>
      <c r="L368" s="5">
        <f t="shared" ca="1" si="93"/>
        <v>1.6393442622970856E-4</v>
      </c>
      <c r="N368">
        <f t="shared" ca="1" si="94"/>
        <v>31.594000000000001</v>
      </c>
      <c r="O368">
        <f t="shared" ca="1" si="95"/>
        <v>1.0473909999999999E-3</v>
      </c>
      <c r="P368">
        <f t="shared" ca="1" si="96"/>
        <v>1.0007898500000001</v>
      </c>
      <c r="Q368">
        <f t="shared" ca="1" si="97"/>
        <v>3.050860429293218</v>
      </c>
      <c r="R368">
        <f t="shared" ca="1" si="98"/>
        <v>16271.255622897163</v>
      </c>
      <c r="S368">
        <f t="shared" ca="1" si="99"/>
        <v>3.9997663232920559</v>
      </c>
      <c r="T368">
        <f t="shared" ca="1" si="100"/>
        <v>0</v>
      </c>
      <c r="U368">
        <f t="shared" ca="1" si="101"/>
        <v>16275</v>
      </c>
      <c r="V368">
        <f t="shared" ca="1" si="102"/>
        <v>3.0515625000000002</v>
      </c>
      <c r="X368">
        <f t="shared" ca="1" si="103"/>
        <v>3.0481075612427522</v>
      </c>
    </row>
    <row r="369" spans="5:24" x14ac:dyDescent="0.25">
      <c r="E369">
        <v>367</v>
      </c>
      <c r="F369">
        <f t="shared" si="87"/>
        <v>56.7</v>
      </c>
      <c r="G369">
        <f t="shared" ca="1" si="88"/>
        <v>56.694000000000003</v>
      </c>
      <c r="H369" s="5">
        <f t="shared" ca="1" si="89"/>
        <v>6.0000000000002274E-3</v>
      </c>
      <c r="I369" s="5">
        <f t="shared" ca="1" si="90"/>
        <v>1.0582010582010982E-4</v>
      </c>
      <c r="J369" s="10">
        <f t="shared" si="91"/>
        <v>3.0583333333333327</v>
      </c>
      <c r="K369" s="12">
        <f t="shared" ca="1" si="92"/>
        <v>3.057833333333333</v>
      </c>
      <c r="L369" s="5">
        <f t="shared" ca="1" si="93"/>
        <v>1.6348773841952795E-4</v>
      </c>
      <c r="N369">
        <f t="shared" ca="1" si="94"/>
        <v>31.694000000000003</v>
      </c>
      <c r="O369">
        <f t="shared" ca="1" si="95"/>
        <v>1.0475409999999999E-3</v>
      </c>
      <c r="P369">
        <f t="shared" ca="1" si="96"/>
        <v>1.00079235</v>
      </c>
      <c r="Q369">
        <f t="shared" ca="1" si="97"/>
        <v>3.0592078365558879</v>
      </c>
      <c r="R369">
        <f t="shared" ca="1" si="98"/>
        <v>16315.775128298068</v>
      </c>
      <c r="S369">
        <f t="shared" ca="1" si="99"/>
        <v>3.9999144315277717</v>
      </c>
      <c r="T369">
        <f t="shared" ca="1" si="100"/>
        <v>0</v>
      </c>
      <c r="U369">
        <f t="shared" ca="1" si="101"/>
        <v>16320</v>
      </c>
      <c r="V369">
        <f t="shared" ca="1" si="102"/>
        <v>3.06</v>
      </c>
      <c r="X369">
        <f t="shared" ca="1" si="103"/>
        <v>3.056530616965647</v>
      </c>
    </row>
    <row r="370" spans="5:24" x14ac:dyDescent="0.25">
      <c r="E370">
        <v>368</v>
      </c>
      <c r="F370">
        <f t="shared" si="87"/>
        <v>56.800000000000004</v>
      </c>
      <c r="G370">
        <f t="shared" ca="1" si="88"/>
        <v>56.790000000000006</v>
      </c>
      <c r="H370" s="5">
        <f t="shared" ca="1" si="89"/>
        <v>9.9999999999980105E-3</v>
      </c>
      <c r="I370" s="5">
        <f t="shared" ca="1" si="90"/>
        <v>1.7605633802813398E-4</v>
      </c>
      <c r="J370" s="10">
        <f t="shared" si="91"/>
        <v>3.0666666666666664</v>
      </c>
      <c r="K370" s="12">
        <f t="shared" ca="1" si="92"/>
        <v>3.065833333333333</v>
      </c>
      <c r="L370" s="5">
        <f t="shared" ca="1" si="93"/>
        <v>2.7173913043482511E-4</v>
      </c>
      <c r="N370">
        <f t="shared" ca="1" si="94"/>
        <v>31.790000000000006</v>
      </c>
      <c r="O370">
        <f t="shared" ca="1" si="95"/>
        <v>1.047685E-3</v>
      </c>
      <c r="P370">
        <f t="shared" ca="1" si="96"/>
        <v>1.0007947500000001</v>
      </c>
      <c r="Q370">
        <f t="shared" ca="1" si="97"/>
        <v>3.0672213867273461</v>
      </c>
      <c r="R370">
        <f t="shared" ca="1" si="98"/>
        <v>16358.514062545846</v>
      </c>
      <c r="S370">
        <f t="shared" ca="1" si="99"/>
        <v>3.9999880592699273</v>
      </c>
      <c r="T370">
        <f t="shared" ca="1" si="100"/>
        <v>2</v>
      </c>
      <c r="U370">
        <f t="shared" ca="1" si="101"/>
        <v>16365</v>
      </c>
      <c r="V370">
        <f t="shared" ca="1" si="102"/>
        <v>3.0684374999999999</v>
      </c>
      <c r="X370">
        <f t="shared" ca="1" si="103"/>
        <v>3.0649539428539163</v>
      </c>
    </row>
    <row r="371" spans="5:24" x14ac:dyDescent="0.25">
      <c r="E371">
        <v>369</v>
      </c>
      <c r="F371">
        <f t="shared" si="87"/>
        <v>56.9</v>
      </c>
      <c r="G371">
        <f t="shared" ca="1" si="88"/>
        <v>56.897999999999996</v>
      </c>
      <c r="H371" s="5">
        <f t="shared" ca="1" si="89"/>
        <v>2.0000000000024443E-3</v>
      </c>
      <c r="I371" s="5">
        <f t="shared" ca="1" si="90"/>
        <v>3.5149384885807455E-5</v>
      </c>
      <c r="J371" s="10">
        <f t="shared" si="91"/>
        <v>3.0749999999999993</v>
      </c>
      <c r="K371" s="12">
        <f t="shared" ca="1" si="92"/>
        <v>3.0748333333333324</v>
      </c>
      <c r="L371" s="5">
        <f t="shared" ca="1" si="93"/>
        <v>5.4200542005486306E-5</v>
      </c>
      <c r="N371">
        <f t="shared" ca="1" si="94"/>
        <v>31.897999999999996</v>
      </c>
      <c r="O371">
        <f t="shared" ca="1" si="95"/>
        <v>1.047847E-3</v>
      </c>
      <c r="P371">
        <f t="shared" ca="1" si="96"/>
        <v>1.0007974500000001</v>
      </c>
      <c r="Q371">
        <f t="shared" ca="1" si="97"/>
        <v>3.0762366765694091</v>
      </c>
      <c r="R371">
        <f t="shared" ca="1" si="98"/>
        <v>16406.595608370182</v>
      </c>
      <c r="S371">
        <f t="shared" ca="1" si="99"/>
        <v>3.9999906140598829</v>
      </c>
      <c r="T371">
        <f t="shared" ca="1" si="100"/>
        <v>-2</v>
      </c>
      <c r="U371">
        <f t="shared" ca="1" si="101"/>
        <v>16409</v>
      </c>
      <c r="V371">
        <f t="shared" ca="1" si="102"/>
        <v>3.0766875000000002</v>
      </c>
      <c r="X371">
        <f t="shared" ca="1" si="103"/>
        <v>3.073188938481008</v>
      </c>
    </row>
    <row r="372" spans="5:24" x14ac:dyDescent="0.25">
      <c r="E372">
        <v>370</v>
      </c>
      <c r="F372">
        <f t="shared" si="87"/>
        <v>57</v>
      </c>
      <c r="G372">
        <f t="shared" ca="1" si="88"/>
        <v>57.003999999999998</v>
      </c>
      <c r="H372" s="5">
        <f t="shared" ca="1" si="89"/>
        <v>3.9999999999977831E-3</v>
      </c>
      <c r="I372" s="5">
        <f t="shared" ca="1" si="90"/>
        <v>7.0175438596452341E-5</v>
      </c>
      <c r="J372" s="10">
        <f t="shared" si="91"/>
        <v>3.083333333333333</v>
      </c>
      <c r="K372" s="12">
        <f t="shared" ca="1" si="92"/>
        <v>3.0836666666666659</v>
      </c>
      <c r="L372" s="5">
        <f t="shared" ca="1" si="93"/>
        <v>1.0810810810795219E-4</v>
      </c>
      <c r="N372">
        <f t="shared" ca="1" si="94"/>
        <v>32.003999999999998</v>
      </c>
      <c r="O372">
        <f t="shared" ca="1" si="95"/>
        <v>1.048006E-3</v>
      </c>
      <c r="P372">
        <f t="shared" ca="1" si="96"/>
        <v>1.0008001</v>
      </c>
      <c r="Q372">
        <f t="shared" ca="1" si="97"/>
        <v>3.0850850638570653</v>
      </c>
      <c r="R372">
        <f t="shared" ca="1" si="98"/>
        <v>16453.787007237683</v>
      </c>
      <c r="S372">
        <f t="shared" ca="1" si="99"/>
        <v>3.9999104681827284</v>
      </c>
      <c r="T372">
        <f t="shared" ca="1" si="100"/>
        <v>-1</v>
      </c>
      <c r="U372">
        <f t="shared" ca="1" si="101"/>
        <v>16457</v>
      </c>
      <c r="V372">
        <f t="shared" ca="1" si="102"/>
        <v>3.0856875000000001</v>
      </c>
      <c r="X372">
        <f t="shared" ca="1" si="103"/>
        <v>3.0821734470250357</v>
      </c>
    </row>
    <row r="373" spans="5:24" x14ac:dyDescent="0.25">
      <c r="E373">
        <v>371</v>
      </c>
      <c r="F373">
        <f t="shared" si="87"/>
        <v>57.1</v>
      </c>
      <c r="G373">
        <f t="shared" ca="1" si="88"/>
        <v>57.11</v>
      </c>
      <c r="H373" s="5">
        <f t="shared" ca="1" si="89"/>
        <v>9.9999999999980105E-3</v>
      </c>
      <c r="I373" s="5">
        <f t="shared" ca="1" si="90"/>
        <v>1.7513134851134869E-4</v>
      </c>
      <c r="J373" s="10">
        <f t="shared" si="91"/>
        <v>3.0916666666666659</v>
      </c>
      <c r="K373" s="12">
        <f t="shared" ca="1" si="92"/>
        <v>3.0924999999999994</v>
      </c>
      <c r="L373" s="5">
        <f t="shared" ca="1" si="93"/>
        <v>2.6954177897578344E-4</v>
      </c>
      <c r="N373">
        <f t="shared" ca="1" si="94"/>
        <v>32.11</v>
      </c>
      <c r="O373">
        <f t="shared" ca="1" si="95"/>
        <v>1.048165E-3</v>
      </c>
      <c r="P373">
        <f t="shared" ca="1" si="96"/>
        <v>1.0008027500000001</v>
      </c>
      <c r="Q373">
        <f t="shared" ca="1" si="97"/>
        <v>3.093933497960546</v>
      </c>
      <c r="R373">
        <f t="shared" ca="1" si="98"/>
        <v>16500.978655789579</v>
      </c>
      <c r="S373">
        <f t="shared" ca="1" si="99"/>
        <v>3.9997484417458082</v>
      </c>
      <c r="T373">
        <f t="shared" ca="1" si="100"/>
        <v>2</v>
      </c>
      <c r="U373">
        <f t="shared" ca="1" si="101"/>
        <v>16507</v>
      </c>
      <c r="V373">
        <f t="shared" ca="1" si="102"/>
        <v>3.0950625</v>
      </c>
      <c r="X373">
        <f t="shared" ca="1" si="103"/>
        <v>3.0915326071995706</v>
      </c>
    </row>
    <row r="374" spans="5:24" x14ac:dyDescent="0.25">
      <c r="E374">
        <v>372</v>
      </c>
      <c r="F374">
        <f t="shared" si="87"/>
        <v>57.2</v>
      </c>
      <c r="G374">
        <f t="shared" ca="1" si="88"/>
        <v>57.204000000000001</v>
      </c>
      <c r="H374" s="5">
        <f t="shared" ca="1" si="89"/>
        <v>3.9999999999977831E-3</v>
      </c>
      <c r="I374" s="5">
        <f t="shared" ca="1" si="90"/>
        <v>6.993006993003117E-5</v>
      </c>
      <c r="J374" s="10">
        <f t="shared" si="91"/>
        <v>3.0999999999999996</v>
      </c>
      <c r="K374" s="12">
        <f t="shared" ca="1" si="92"/>
        <v>3.1003333333333325</v>
      </c>
      <c r="L374" s="5">
        <f t="shared" ca="1" si="93"/>
        <v>1.0752688172027503E-4</v>
      </c>
      <c r="N374">
        <f t="shared" ca="1" si="94"/>
        <v>32.204000000000001</v>
      </c>
      <c r="O374">
        <f t="shared" ca="1" si="95"/>
        <v>1.0483059999999999E-3</v>
      </c>
      <c r="P374">
        <f t="shared" ca="1" si="96"/>
        <v>1.0008051</v>
      </c>
      <c r="Q374">
        <f t="shared" ca="1" si="97"/>
        <v>3.1017802617088388</v>
      </c>
      <c r="R374">
        <f t="shared" ca="1" si="98"/>
        <v>16542.828062447141</v>
      </c>
      <c r="S374">
        <f t="shared" ca="1" si="99"/>
        <v>3.999536258507761</v>
      </c>
      <c r="T374">
        <f t="shared" ca="1" si="100"/>
        <v>1</v>
      </c>
      <c r="U374">
        <f t="shared" ca="1" si="101"/>
        <v>16548</v>
      </c>
      <c r="V374">
        <f t="shared" ca="1" si="102"/>
        <v>3.1027499999999999</v>
      </c>
      <c r="X374">
        <f t="shared" ca="1" si="103"/>
        <v>3.0992065228284709</v>
      </c>
    </row>
    <row r="375" spans="5:24" x14ac:dyDescent="0.25">
      <c r="E375">
        <v>373</v>
      </c>
      <c r="F375">
        <f t="shared" si="87"/>
        <v>57.300000000000004</v>
      </c>
      <c r="G375">
        <f t="shared" ca="1" si="88"/>
        <v>57.298000000000002</v>
      </c>
      <c r="H375" s="5">
        <f t="shared" ca="1" si="89"/>
        <v>2.0000000000024443E-3</v>
      </c>
      <c r="I375" s="5">
        <f t="shared" ca="1" si="90"/>
        <v>3.490401396164824E-5</v>
      </c>
      <c r="J375" s="10">
        <f t="shared" si="91"/>
        <v>3.1083333333333334</v>
      </c>
      <c r="K375" s="12">
        <f t="shared" ca="1" si="92"/>
        <v>3.1081666666666665</v>
      </c>
      <c r="L375" s="5">
        <f t="shared" ca="1" si="93"/>
        <v>5.3619302949127193E-5</v>
      </c>
      <c r="N375">
        <f t="shared" ca="1" si="94"/>
        <v>32.298000000000002</v>
      </c>
      <c r="O375">
        <f t="shared" ca="1" si="95"/>
        <v>1.0484470000000001E-3</v>
      </c>
      <c r="P375">
        <f t="shared" ca="1" si="96"/>
        <v>1.0008074499999999</v>
      </c>
      <c r="Q375">
        <f t="shared" ca="1" si="97"/>
        <v>3.1096270622731361</v>
      </c>
      <c r="R375">
        <f t="shared" ca="1" si="98"/>
        <v>16584.677665456726</v>
      </c>
      <c r="S375">
        <f t="shared" ca="1" si="99"/>
        <v>3.9992596883998659</v>
      </c>
      <c r="T375">
        <f t="shared" ca="1" si="100"/>
        <v>-1</v>
      </c>
      <c r="U375">
        <f t="shared" ca="1" si="101"/>
        <v>16588</v>
      </c>
      <c r="V375">
        <f t="shared" ca="1" si="102"/>
        <v>3.1102500000000002</v>
      </c>
      <c r="X375">
        <f t="shared" ca="1" si="103"/>
        <v>3.1066930536937951</v>
      </c>
    </row>
    <row r="376" spans="5:24" x14ac:dyDescent="0.25">
      <c r="E376">
        <v>374</v>
      </c>
      <c r="F376">
        <f t="shared" si="87"/>
        <v>57.4</v>
      </c>
      <c r="G376">
        <f t="shared" ca="1" si="88"/>
        <v>57.408999999999999</v>
      </c>
      <c r="H376" s="5">
        <f t="shared" ca="1" si="89"/>
        <v>9.0000000000003411E-3</v>
      </c>
      <c r="I376" s="5">
        <f t="shared" ca="1" si="90"/>
        <v>1.5679442508711395E-4</v>
      </c>
      <c r="J376" s="10">
        <f t="shared" si="91"/>
        <v>3.1166666666666663</v>
      </c>
      <c r="K376" s="12">
        <f t="shared" ca="1" si="92"/>
        <v>3.1174166666666663</v>
      </c>
      <c r="L376" s="5">
        <f t="shared" ca="1" si="93"/>
        <v>2.4064171122995567E-4</v>
      </c>
      <c r="N376">
        <f t="shared" ca="1" si="94"/>
        <v>32.408999999999999</v>
      </c>
      <c r="O376">
        <f t="shared" ca="1" si="95"/>
        <v>1.0486135000000001E-3</v>
      </c>
      <c r="P376">
        <f t="shared" ca="1" si="96"/>
        <v>1.0008102249999999</v>
      </c>
      <c r="Q376">
        <f t="shared" ca="1" si="97"/>
        <v>3.1188930124725429</v>
      </c>
      <c r="R376">
        <f t="shared" ca="1" si="98"/>
        <v>16634.096066520229</v>
      </c>
      <c r="S376">
        <f t="shared" ca="1" si="99"/>
        <v>3.9988501987241953</v>
      </c>
      <c r="T376">
        <f t="shared" ca="1" si="100"/>
        <v>1</v>
      </c>
      <c r="U376">
        <f t="shared" ca="1" si="101"/>
        <v>16639</v>
      </c>
      <c r="V376">
        <f t="shared" ca="1" si="102"/>
        <v>3.1198125000000001</v>
      </c>
      <c r="X376">
        <f t="shared" ca="1" si="103"/>
        <v>3.1162390317305162</v>
      </c>
    </row>
    <row r="377" spans="5:24" x14ac:dyDescent="0.25">
      <c r="E377">
        <v>375</v>
      </c>
      <c r="F377">
        <f t="shared" si="87"/>
        <v>57.5</v>
      </c>
      <c r="G377">
        <f t="shared" ca="1" si="88"/>
        <v>57.494</v>
      </c>
      <c r="H377" s="5">
        <f t="shared" ca="1" si="89"/>
        <v>6.0000000000002274E-3</v>
      </c>
      <c r="I377" s="5">
        <f t="shared" ca="1" si="90"/>
        <v>1.0434782608696047E-4</v>
      </c>
      <c r="J377" s="10">
        <f t="shared" si="91"/>
        <v>3.1249999999999991</v>
      </c>
      <c r="K377" s="12">
        <f t="shared" ca="1" si="92"/>
        <v>3.1244999999999994</v>
      </c>
      <c r="L377" s="5">
        <f t="shared" ca="1" si="93"/>
        <v>1.5999999999991138E-4</v>
      </c>
      <c r="N377">
        <f t="shared" ca="1" si="94"/>
        <v>32.494</v>
      </c>
      <c r="O377">
        <f t="shared" ca="1" si="95"/>
        <v>1.048741E-3</v>
      </c>
      <c r="P377">
        <f t="shared" ca="1" si="96"/>
        <v>1.0008123499999999</v>
      </c>
      <c r="Q377">
        <f t="shared" ca="1" si="97"/>
        <v>3.1259885946302477</v>
      </c>
      <c r="R377">
        <f t="shared" ca="1" si="98"/>
        <v>16671.939171361322</v>
      </c>
      <c r="S377">
        <f t="shared" ca="1" si="99"/>
        <v>3.9984759339414846</v>
      </c>
      <c r="T377">
        <f t="shared" ca="1" si="100"/>
        <v>-1</v>
      </c>
      <c r="U377">
        <f t="shared" ca="1" si="101"/>
        <v>16675</v>
      </c>
      <c r="V377">
        <f t="shared" ca="1" si="102"/>
        <v>3.1265624999999999</v>
      </c>
      <c r="X377">
        <f t="shared" ca="1" si="103"/>
        <v>3.1229768087893803</v>
      </c>
    </row>
    <row r="378" spans="5:24" x14ac:dyDescent="0.25">
      <c r="E378">
        <v>376</v>
      </c>
      <c r="F378">
        <f t="shared" si="87"/>
        <v>57.6</v>
      </c>
      <c r="G378">
        <f t="shared" ca="1" si="88"/>
        <v>57.61</v>
      </c>
      <c r="H378" s="5">
        <f t="shared" ca="1" si="89"/>
        <v>9.9999999999980105E-3</v>
      </c>
      <c r="I378" s="5">
        <f t="shared" ca="1" si="90"/>
        <v>1.7361111111107656E-4</v>
      </c>
      <c r="J378" s="10">
        <f t="shared" si="91"/>
        <v>3.1333333333333329</v>
      </c>
      <c r="K378" s="12">
        <f t="shared" ca="1" si="92"/>
        <v>3.1341666666666663</v>
      </c>
      <c r="L378" s="5">
        <f t="shared" ca="1" si="93"/>
        <v>2.6595744680855228E-4</v>
      </c>
      <c r="N378">
        <f t="shared" ca="1" si="94"/>
        <v>32.61</v>
      </c>
      <c r="O378">
        <f t="shared" ca="1" si="95"/>
        <v>1.0489150000000001E-3</v>
      </c>
      <c r="P378">
        <f t="shared" ca="1" si="96"/>
        <v>1.00081525</v>
      </c>
      <c r="Q378">
        <f t="shared" ca="1" si="97"/>
        <v>3.1356720259137125</v>
      </c>
      <c r="R378">
        <f t="shared" ca="1" si="98"/>
        <v>16723.584138206468</v>
      </c>
      <c r="S378">
        <f t="shared" ca="1" si="99"/>
        <v>3.9978802419077759</v>
      </c>
      <c r="T378">
        <f t="shared" ca="1" si="100"/>
        <v>2</v>
      </c>
      <c r="U378">
        <f t="shared" ca="1" si="101"/>
        <v>16730</v>
      </c>
      <c r="V378">
        <f t="shared" ca="1" si="102"/>
        <v>3.1368749999999999</v>
      </c>
      <c r="X378">
        <f t="shared" ca="1" si="103"/>
        <v>3.1332716852585927</v>
      </c>
    </row>
    <row r="379" spans="5:24" x14ac:dyDescent="0.25">
      <c r="E379">
        <v>377</v>
      </c>
      <c r="F379">
        <f t="shared" si="87"/>
        <v>57.7</v>
      </c>
      <c r="G379">
        <f t="shared" ca="1" si="88"/>
        <v>57.704000000000001</v>
      </c>
      <c r="H379" s="5">
        <f t="shared" ca="1" si="89"/>
        <v>3.9999999999977831E-3</v>
      </c>
      <c r="I379" s="5">
        <f t="shared" ca="1" si="90"/>
        <v>6.9324090121278728E-5</v>
      </c>
      <c r="J379" s="10">
        <f t="shared" si="91"/>
        <v>3.1416666666666666</v>
      </c>
      <c r="K379" s="12">
        <f t="shared" ca="1" si="92"/>
        <v>3.1419999999999995</v>
      </c>
      <c r="L379" s="5">
        <f t="shared" ca="1" si="93"/>
        <v>1.0610079575581513E-4</v>
      </c>
      <c r="N379">
        <f t="shared" ca="1" si="94"/>
        <v>32.704000000000001</v>
      </c>
      <c r="O379">
        <f t="shared" ca="1" si="95"/>
        <v>1.049056E-3</v>
      </c>
      <c r="P379">
        <f t="shared" ca="1" si="96"/>
        <v>1.0008176</v>
      </c>
      <c r="Q379">
        <f t="shared" ca="1" si="97"/>
        <v>3.1435189854918137</v>
      </c>
      <c r="R379">
        <f t="shared" ca="1" si="98"/>
        <v>16765.434589289674</v>
      </c>
      <c r="S379">
        <f t="shared" ca="1" si="99"/>
        <v>3.9973256292275585</v>
      </c>
      <c r="T379">
        <f t="shared" ca="1" si="100"/>
        <v>-3</v>
      </c>
      <c r="U379">
        <f t="shared" ca="1" si="101"/>
        <v>16766</v>
      </c>
      <c r="V379">
        <f t="shared" ca="1" si="102"/>
        <v>3.1436250000000001</v>
      </c>
      <c r="X379">
        <f t="shared" ca="1" si="103"/>
        <v>3.1400086729090297</v>
      </c>
    </row>
    <row r="380" spans="5:24" x14ac:dyDescent="0.25">
      <c r="E380">
        <v>378</v>
      </c>
      <c r="F380">
        <f t="shared" si="87"/>
        <v>57.800000000000004</v>
      </c>
      <c r="G380">
        <f t="shared" ca="1" si="88"/>
        <v>57.795000000000002</v>
      </c>
      <c r="H380" s="5">
        <f t="shared" ca="1" si="89"/>
        <v>5.000000000002558E-3</v>
      </c>
      <c r="I380" s="5">
        <f t="shared" ca="1" si="90"/>
        <v>8.6505190311462931E-5</v>
      </c>
      <c r="J380" s="10">
        <f t="shared" si="91"/>
        <v>3.1499999999999995</v>
      </c>
      <c r="K380" s="12">
        <f t="shared" ca="1" si="92"/>
        <v>3.1495833333333332</v>
      </c>
      <c r="L380" s="5">
        <f t="shared" ca="1" si="93"/>
        <v>1.3227513227501199E-4</v>
      </c>
      <c r="N380">
        <f t="shared" ca="1" si="94"/>
        <v>32.795000000000002</v>
      </c>
      <c r="O380">
        <f t="shared" ca="1" si="95"/>
        <v>1.0491925E-3</v>
      </c>
      <c r="P380">
        <f t="shared" ca="1" si="96"/>
        <v>1.0008198749999999</v>
      </c>
      <c r="Q380">
        <f t="shared" ca="1" si="97"/>
        <v>3.1511155452620487</v>
      </c>
      <c r="R380">
        <f t="shared" ca="1" si="98"/>
        <v>16805.949574730927</v>
      </c>
      <c r="S380">
        <f t="shared" ca="1" si="99"/>
        <v>3.99672740886388</v>
      </c>
      <c r="T380">
        <f t="shared" ca="1" si="100"/>
        <v>3</v>
      </c>
      <c r="U380">
        <f t="shared" ca="1" si="101"/>
        <v>16813</v>
      </c>
      <c r="V380">
        <f t="shared" ca="1" si="102"/>
        <v>3.1524375</v>
      </c>
      <c r="X380">
        <f t="shared" ca="1" si="103"/>
        <v>3.1488066796235441</v>
      </c>
    </row>
    <row r="381" spans="5:24" x14ac:dyDescent="0.25">
      <c r="E381">
        <v>379</v>
      </c>
      <c r="F381">
        <f t="shared" si="87"/>
        <v>57.9</v>
      </c>
      <c r="G381">
        <f t="shared" ca="1" si="88"/>
        <v>57.891999999999996</v>
      </c>
      <c r="H381" s="5">
        <f t="shared" ca="1" si="89"/>
        <v>8.0000000000026716E-3</v>
      </c>
      <c r="I381" s="5">
        <f t="shared" ca="1" si="90"/>
        <v>1.3816925734028794E-4</v>
      </c>
      <c r="J381" s="10">
        <f t="shared" si="91"/>
        <v>3.1583333333333323</v>
      </c>
      <c r="K381" s="12">
        <f t="shared" ca="1" si="92"/>
        <v>3.1576666666666657</v>
      </c>
      <c r="L381" s="5">
        <f t="shared" ca="1" si="93"/>
        <v>2.1108179419522747E-4</v>
      </c>
      <c r="N381">
        <f t="shared" ca="1" si="94"/>
        <v>32.891999999999996</v>
      </c>
      <c r="O381">
        <f t="shared" ca="1" si="95"/>
        <v>1.0493379999999999E-3</v>
      </c>
      <c r="P381">
        <f t="shared" ca="1" si="96"/>
        <v>1.0008223000000001</v>
      </c>
      <c r="Q381">
        <f t="shared" ca="1" si="97"/>
        <v>3.1592130150960283</v>
      </c>
      <c r="R381">
        <f t="shared" ca="1" si="98"/>
        <v>16849.136080512151</v>
      </c>
      <c r="S381">
        <f t="shared" ca="1" si="99"/>
        <v>3.9960233446234974</v>
      </c>
      <c r="T381">
        <f t="shared" ca="1" si="100"/>
        <v>2</v>
      </c>
      <c r="U381">
        <f t="shared" ca="1" si="101"/>
        <v>16855</v>
      </c>
      <c r="V381">
        <f t="shared" ca="1" si="102"/>
        <v>3.1603124999999999</v>
      </c>
      <c r="X381">
        <f t="shared" ca="1" si="103"/>
        <v>3.1566674343687184</v>
      </c>
    </row>
    <row r="382" spans="5:24" x14ac:dyDescent="0.25">
      <c r="E382">
        <v>380</v>
      </c>
      <c r="F382">
        <f t="shared" si="87"/>
        <v>58</v>
      </c>
      <c r="G382">
        <f t="shared" ca="1" si="88"/>
        <v>57.991</v>
      </c>
      <c r="H382" s="5">
        <f t="shared" ca="1" si="89"/>
        <v>9.0000000000003411E-3</v>
      </c>
      <c r="I382" s="5">
        <f t="shared" ca="1" si="90"/>
        <v>1.5517241379310934E-4</v>
      </c>
      <c r="J382" s="10">
        <f t="shared" si="91"/>
        <v>3.1666666666666661</v>
      </c>
      <c r="K382" s="12">
        <f t="shared" ca="1" si="92"/>
        <v>3.165916666666666</v>
      </c>
      <c r="L382" s="5">
        <f t="shared" ca="1" si="93"/>
        <v>2.3684210526316691E-4</v>
      </c>
      <c r="N382">
        <f t="shared" ca="1" si="94"/>
        <v>32.991</v>
      </c>
      <c r="O382">
        <f t="shared" ca="1" si="95"/>
        <v>1.0494865E-3</v>
      </c>
      <c r="P382">
        <f t="shared" ca="1" si="96"/>
        <v>1.0008247750000001</v>
      </c>
      <c r="Q382">
        <f t="shared" ca="1" si="97"/>
        <v>3.1674774834951887</v>
      </c>
      <c r="R382">
        <f t="shared" ca="1" si="98"/>
        <v>16893.213245307674</v>
      </c>
      <c r="S382">
        <f t="shared" ca="1" si="99"/>
        <v>3.9952341211941662</v>
      </c>
      <c r="T382">
        <f t="shared" ca="1" si="100"/>
        <v>3</v>
      </c>
      <c r="U382">
        <f t="shared" ca="1" si="101"/>
        <v>16900</v>
      </c>
      <c r="V382">
        <f t="shared" ca="1" si="102"/>
        <v>3.1687500000000002</v>
      </c>
      <c r="X382">
        <f t="shared" ca="1" si="103"/>
        <v>3.1650900263734978</v>
      </c>
    </row>
    <row r="383" spans="5:24" x14ac:dyDescent="0.25">
      <c r="E383">
        <v>381</v>
      </c>
      <c r="F383">
        <f t="shared" si="87"/>
        <v>58.1</v>
      </c>
      <c r="G383">
        <f t="shared" ca="1" si="88"/>
        <v>58.09</v>
      </c>
      <c r="H383" s="5">
        <f t="shared" ca="1" si="89"/>
        <v>9.9999999999980105E-3</v>
      </c>
      <c r="I383" s="5">
        <f t="shared" ca="1" si="90"/>
        <v>1.7211703958688486E-4</v>
      </c>
      <c r="J383" s="10">
        <f t="shared" si="91"/>
        <v>3.1749999999999998</v>
      </c>
      <c r="K383" s="12">
        <f t="shared" ca="1" si="92"/>
        <v>3.1741666666666664</v>
      </c>
      <c r="L383" s="5">
        <f t="shared" ca="1" si="93"/>
        <v>2.624671916010909E-4</v>
      </c>
      <c r="N383">
        <f t="shared" ca="1" si="94"/>
        <v>33.090000000000003</v>
      </c>
      <c r="O383">
        <f t="shared" ca="1" si="95"/>
        <v>1.0496349999999999E-3</v>
      </c>
      <c r="P383">
        <f t="shared" ca="1" si="96"/>
        <v>1.0008272499999999</v>
      </c>
      <c r="Q383">
        <f t="shared" ca="1" si="97"/>
        <v>3.1757419927311124</v>
      </c>
      <c r="R383">
        <f t="shared" ca="1" si="98"/>
        <v>16937.290627899267</v>
      </c>
      <c r="S383">
        <f t="shared" ca="1" si="99"/>
        <v>3.9943735474781707</v>
      </c>
      <c r="T383">
        <f t="shared" ca="1" si="100"/>
        <v>-3</v>
      </c>
      <c r="U383">
        <f t="shared" ca="1" si="101"/>
        <v>16938</v>
      </c>
      <c r="V383">
        <f t="shared" ca="1" si="102"/>
        <v>3.175875</v>
      </c>
      <c r="X383">
        <f t="shared" ca="1" si="103"/>
        <v>3.1722011615890753</v>
      </c>
    </row>
    <row r="384" spans="5:24" x14ac:dyDescent="0.25">
      <c r="E384">
        <v>382</v>
      </c>
      <c r="F384">
        <f t="shared" si="87"/>
        <v>58.2</v>
      </c>
      <c r="G384">
        <f t="shared" ca="1" si="88"/>
        <v>58.2</v>
      </c>
      <c r="H384" s="5">
        <f t="shared" ca="1" si="89"/>
        <v>0</v>
      </c>
      <c r="I384" s="5">
        <f t="shared" ca="1" si="90"/>
        <v>0</v>
      </c>
      <c r="J384" s="10">
        <f t="shared" si="91"/>
        <v>3.1833333333333327</v>
      </c>
      <c r="K384" s="12">
        <f t="shared" ca="1" si="92"/>
        <v>3.1833333333333327</v>
      </c>
      <c r="L384" s="5">
        <f t="shared" ca="1" si="93"/>
        <v>0</v>
      </c>
      <c r="N384">
        <f t="shared" ca="1" si="94"/>
        <v>33.200000000000003</v>
      </c>
      <c r="O384">
        <f t="shared" ca="1" si="95"/>
        <v>1.0498E-3</v>
      </c>
      <c r="P384">
        <f t="shared" ca="1" si="96"/>
        <v>1.0008300000000001</v>
      </c>
      <c r="Q384">
        <f t="shared" ca="1" si="97"/>
        <v>3.1849248286659995</v>
      </c>
      <c r="R384">
        <f t="shared" ca="1" si="98"/>
        <v>16986.265752885331</v>
      </c>
      <c r="S384">
        <f t="shared" ca="1" si="99"/>
        <v>3.9933336894740887</v>
      </c>
      <c r="T384">
        <f t="shared" ca="1" si="100"/>
        <v>1</v>
      </c>
      <c r="U384">
        <f t="shared" ca="1" si="101"/>
        <v>16991</v>
      </c>
      <c r="V384">
        <f t="shared" ca="1" si="102"/>
        <v>3.1858124999999999</v>
      </c>
      <c r="X384">
        <f t="shared" ca="1" si="103"/>
        <v>3.1821215391225279</v>
      </c>
    </row>
    <row r="385" spans="5:24" x14ac:dyDescent="0.25">
      <c r="E385">
        <v>383</v>
      </c>
      <c r="F385">
        <f t="shared" si="87"/>
        <v>58.300000000000004</v>
      </c>
      <c r="G385">
        <f t="shared" ca="1" si="88"/>
        <v>58.309000000000005</v>
      </c>
      <c r="H385" s="5">
        <f t="shared" ca="1" si="89"/>
        <v>9.0000000000003411E-3</v>
      </c>
      <c r="I385" s="5">
        <f t="shared" ca="1" si="90"/>
        <v>1.5437392795883946E-4</v>
      </c>
      <c r="J385" s="10">
        <f t="shared" si="91"/>
        <v>3.1916666666666664</v>
      </c>
      <c r="K385" s="12">
        <f t="shared" ca="1" si="92"/>
        <v>3.1924166666666665</v>
      </c>
      <c r="L385" s="5">
        <f t="shared" ca="1" si="93"/>
        <v>2.3498694516972172E-4</v>
      </c>
      <c r="N385">
        <f t="shared" ca="1" si="94"/>
        <v>33.309000000000005</v>
      </c>
      <c r="O385">
        <f t="shared" ca="1" si="95"/>
        <v>1.0499635000000001E-3</v>
      </c>
      <c r="P385">
        <f t="shared" ca="1" si="96"/>
        <v>1.000832725</v>
      </c>
      <c r="Q385">
        <f t="shared" ca="1" si="97"/>
        <v>3.1940242340045608</v>
      </c>
      <c r="R385">
        <f t="shared" ca="1" si="98"/>
        <v>17034.795914690989</v>
      </c>
      <c r="S385">
        <f t="shared" ca="1" si="99"/>
        <v>3.9922164340667678</v>
      </c>
      <c r="T385">
        <f t="shared" ca="1" si="100"/>
        <v>0</v>
      </c>
      <c r="U385">
        <f t="shared" ca="1" si="101"/>
        <v>17039</v>
      </c>
      <c r="V385">
        <f t="shared" ca="1" si="102"/>
        <v>3.1948125000000003</v>
      </c>
      <c r="X385">
        <f t="shared" ca="1" si="103"/>
        <v>3.1911052234028423</v>
      </c>
    </row>
    <row r="386" spans="5:24" x14ac:dyDescent="0.25">
      <c r="E386">
        <v>384</v>
      </c>
      <c r="F386">
        <f t="shared" si="87"/>
        <v>58.400000000000006</v>
      </c>
      <c r="G386">
        <f t="shared" ca="1" si="88"/>
        <v>58.401000000000003</v>
      </c>
      <c r="H386" s="5">
        <f t="shared" ca="1" si="89"/>
        <v>9.9999999999766942E-4</v>
      </c>
      <c r="I386" s="5">
        <f t="shared" ca="1" si="90"/>
        <v>1.7123287671192967E-5</v>
      </c>
      <c r="J386" s="10">
        <f t="shared" si="91"/>
        <v>3.2</v>
      </c>
      <c r="K386" s="12">
        <f t="shared" ca="1" si="92"/>
        <v>3.2000833333333327</v>
      </c>
      <c r="L386" s="5">
        <f t="shared" ca="1" si="93"/>
        <v>2.6041666666420937E-5</v>
      </c>
      <c r="N386">
        <f t="shared" ca="1" si="94"/>
        <v>33.401000000000003</v>
      </c>
      <c r="O386">
        <f t="shared" ca="1" si="95"/>
        <v>1.0501015000000001E-3</v>
      </c>
      <c r="P386">
        <f t="shared" ca="1" si="96"/>
        <v>1.000835025</v>
      </c>
      <c r="Q386">
        <f t="shared" ca="1" si="97"/>
        <v>3.2017045045577444</v>
      </c>
      <c r="R386">
        <f t="shared" ca="1" si="98"/>
        <v>17075.757357641301</v>
      </c>
      <c r="S386">
        <f t="shared" ca="1" si="99"/>
        <v>3.9912061662407496</v>
      </c>
      <c r="T386">
        <f t="shared" ca="1" si="100"/>
        <v>2</v>
      </c>
      <c r="U386">
        <f t="shared" ca="1" si="101"/>
        <v>17082</v>
      </c>
      <c r="V386">
        <f t="shared" ca="1" si="102"/>
        <v>3.2028750000000001</v>
      </c>
      <c r="X386">
        <f t="shared" ca="1" si="103"/>
        <v>3.1991535253275134</v>
      </c>
    </row>
    <row r="387" spans="5:24" x14ac:dyDescent="0.25">
      <c r="E387">
        <v>385</v>
      </c>
      <c r="F387">
        <f t="shared" ref="F387:F450" si="104">0.1*E387+20</f>
        <v>58.5</v>
      </c>
      <c r="G387">
        <f t="shared" ref="G387:G450" ca="1" si="105">F387+(RANDBETWEEN(-10,10)/100)*0.1</f>
        <v>58.506</v>
      </c>
      <c r="H387" s="5">
        <f t="shared" ref="H387:H450" ca="1" si="106">ABS(F387-G387)</f>
        <v>6.0000000000002274E-3</v>
      </c>
      <c r="I387" s="5">
        <f t="shared" ref="I387:I450" ca="1" si="107">ABS(F387-G387)/F387</f>
        <v>1.0256410256410645E-4</v>
      </c>
      <c r="J387" s="10">
        <f t="shared" ref="J387:J450" si="108">1/12*F387-5/3</f>
        <v>3.208333333333333</v>
      </c>
      <c r="K387" s="12">
        <f t="shared" ref="K387:K450" ca="1" si="109">(1/12*G387-5/3) + J387*RANDBETWEEN($B$2,$C$2)</f>
        <v>3.2088333333333328</v>
      </c>
      <c r="L387" s="5">
        <f t="shared" ref="L387:L450" ca="1" si="110">IF(J387=0, ABS(J387-K387), ABS(J387-K387)/J387)</f>
        <v>1.5584415584406948E-4</v>
      </c>
      <c r="N387">
        <f t="shared" ref="N387:N450" ca="1" si="111">G387-$B$29</f>
        <v>33.506</v>
      </c>
      <c r="O387">
        <f t="shared" ref="O387:O450" ca="1" si="112">0.001 + 0.0000015*N387</f>
        <v>1.050259E-3</v>
      </c>
      <c r="P387">
        <f t="shared" ref="P387:P450" ca="1" si="113">1 + 0.000025*N387</f>
        <v>1.00083765</v>
      </c>
      <c r="Q387">
        <f t="shared" ref="Q387:Q450" ca="1" si="114">(K387-O387)*P387</f>
        <v>3.2104700738255483</v>
      </c>
      <c r="R387">
        <f t="shared" ref="R387:R450" ca="1" si="115">Q387*32768/6.144</f>
        <v>17122.507060402924</v>
      </c>
      <c r="S387">
        <f t="shared" ref="S387:S450" ca="1" si="116">4*SIN(PI()*R387/32768)</f>
        <v>3.9899779229887109</v>
      </c>
      <c r="T387">
        <f t="shared" ref="T387:T450" ca="1" si="117">RANDBETWEEN(-1*$B$15,1*$B$15)</f>
        <v>0</v>
      </c>
      <c r="U387">
        <f t="shared" ref="U387:U450" ca="1" si="118">ROUND(R387+S387+T387,0)</f>
        <v>17126</v>
      </c>
      <c r="V387">
        <f t="shared" ref="V387:V450" ca="1" si="119">U387*6.144/32768</f>
        <v>3.211125</v>
      </c>
      <c r="X387">
        <f t="shared" ref="X387:X450" ca="1" si="120">(U387*6.144/32768 -O387)/P387</f>
        <v>3.2073880723811699</v>
      </c>
    </row>
    <row r="388" spans="5:24" x14ac:dyDescent="0.25">
      <c r="E388">
        <v>386</v>
      </c>
      <c r="F388">
        <f t="shared" si="104"/>
        <v>58.6</v>
      </c>
      <c r="G388">
        <f t="shared" ca="1" si="105"/>
        <v>58.603999999999999</v>
      </c>
      <c r="H388" s="5">
        <f t="shared" ca="1" si="106"/>
        <v>3.9999999999977831E-3</v>
      </c>
      <c r="I388" s="5">
        <f t="shared" ca="1" si="107"/>
        <v>6.8259385665491172E-5</v>
      </c>
      <c r="J388" s="10">
        <f t="shared" si="108"/>
        <v>3.2166666666666659</v>
      </c>
      <c r="K388" s="12">
        <f t="shared" ca="1" si="109"/>
        <v>3.2169999999999996</v>
      </c>
      <c r="L388" s="5">
        <f t="shared" ca="1" si="110"/>
        <v>1.0362694300530802E-4</v>
      </c>
      <c r="N388">
        <f t="shared" ca="1" si="111"/>
        <v>33.603999999999999</v>
      </c>
      <c r="O388">
        <f t="shared" ca="1" si="112"/>
        <v>1.050406E-3</v>
      </c>
      <c r="P388">
        <f t="shared" ca="1" si="113"/>
        <v>1.0008401</v>
      </c>
      <c r="Q388">
        <f t="shared" ca="1" si="114"/>
        <v>3.2186513132539192</v>
      </c>
      <c r="R388">
        <f t="shared" ca="1" si="115"/>
        <v>17166.140337354234</v>
      </c>
      <c r="S388">
        <f t="shared" ca="1" si="116"/>
        <v>3.9887592386734441</v>
      </c>
      <c r="T388">
        <f t="shared" ca="1" si="117"/>
        <v>-3</v>
      </c>
      <c r="U388">
        <f t="shared" ca="1" si="118"/>
        <v>17167</v>
      </c>
      <c r="V388">
        <f t="shared" ca="1" si="119"/>
        <v>3.2188124999999999</v>
      </c>
      <c r="X388">
        <f t="shared" ca="1" si="120"/>
        <v>3.2150611211521198</v>
      </c>
    </row>
    <row r="389" spans="5:24" x14ac:dyDescent="0.25">
      <c r="E389">
        <v>387</v>
      </c>
      <c r="F389">
        <f t="shared" si="104"/>
        <v>58.7</v>
      </c>
      <c r="G389">
        <f t="shared" ca="1" si="105"/>
        <v>58.706000000000003</v>
      </c>
      <c r="H389" s="5">
        <f t="shared" ca="1" si="106"/>
        <v>6.0000000000002274E-3</v>
      </c>
      <c r="I389" s="5">
        <f t="shared" ca="1" si="107"/>
        <v>1.0221465076661375E-4</v>
      </c>
      <c r="J389" s="10">
        <f t="shared" si="108"/>
        <v>3.2249999999999996</v>
      </c>
      <c r="K389" s="12">
        <f t="shared" ca="1" si="109"/>
        <v>3.2254999999999994</v>
      </c>
      <c r="L389" s="5">
        <f t="shared" ca="1" si="110"/>
        <v>1.5503875968983657E-4</v>
      </c>
      <c r="N389">
        <f t="shared" ca="1" si="111"/>
        <v>33.706000000000003</v>
      </c>
      <c r="O389">
        <f t="shared" ca="1" si="112"/>
        <v>1.050559E-3</v>
      </c>
      <c r="P389">
        <f t="shared" ca="1" si="113"/>
        <v>1.0008426500000001</v>
      </c>
      <c r="Q389">
        <f t="shared" ca="1" si="114"/>
        <v>3.2271665233214581</v>
      </c>
      <c r="R389">
        <f t="shared" ca="1" si="115"/>
        <v>17211.554791047776</v>
      </c>
      <c r="S389">
        <f t="shared" ca="1" si="116"/>
        <v>3.9874166710078609</v>
      </c>
      <c r="T389">
        <f t="shared" ca="1" si="117"/>
        <v>-2</v>
      </c>
      <c r="U389">
        <f t="shared" ca="1" si="118"/>
        <v>17214</v>
      </c>
      <c r="V389">
        <f t="shared" ca="1" si="119"/>
        <v>3.2276250000000002</v>
      </c>
      <c r="X389">
        <f t="shared" ca="1" si="120"/>
        <v>3.2238578571766503</v>
      </c>
    </row>
    <row r="390" spans="5:24" x14ac:dyDescent="0.25">
      <c r="E390">
        <v>388</v>
      </c>
      <c r="F390">
        <f t="shared" si="104"/>
        <v>58.800000000000004</v>
      </c>
      <c r="G390">
        <f t="shared" ca="1" si="105"/>
        <v>58.793000000000006</v>
      </c>
      <c r="H390" s="5">
        <f t="shared" ca="1" si="106"/>
        <v>6.9999999999978968E-3</v>
      </c>
      <c r="I390" s="5">
        <f t="shared" ca="1" si="107"/>
        <v>1.1904761904758327E-4</v>
      </c>
      <c r="J390" s="10">
        <f t="shared" si="108"/>
        <v>3.2333333333333334</v>
      </c>
      <c r="K390" s="12">
        <f t="shared" ca="1" si="109"/>
        <v>3.2327500000000002</v>
      </c>
      <c r="L390" s="5">
        <f t="shared" ca="1" si="110"/>
        <v>1.8041237113396641E-4</v>
      </c>
      <c r="N390">
        <f t="shared" ca="1" si="111"/>
        <v>33.793000000000006</v>
      </c>
      <c r="O390">
        <f t="shared" ca="1" si="112"/>
        <v>1.0506895E-3</v>
      </c>
      <c r="P390">
        <f t="shared" ca="1" si="113"/>
        <v>1.0008448249999999</v>
      </c>
      <c r="Q390">
        <f t="shared" ca="1" si="114"/>
        <v>3.2344295308699933</v>
      </c>
      <c r="R390">
        <f t="shared" ca="1" si="115"/>
        <v>17250.290831306629</v>
      </c>
      <c r="S390">
        <f t="shared" ca="1" si="116"/>
        <v>3.986211797809168</v>
      </c>
      <c r="T390">
        <f t="shared" ca="1" si="117"/>
        <v>-1</v>
      </c>
      <c r="U390">
        <f t="shared" ca="1" si="118"/>
        <v>17253</v>
      </c>
      <c r="V390">
        <f t="shared" ca="1" si="119"/>
        <v>3.2349375</v>
      </c>
      <c r="X390">
        <f t="shared" ca="1" si="120"/>
        <v>3.2311570482467151</v>
      </c>
    </row>
    <row r="391" spans="5:24" x14ac:dyDescent="0.25">
      <c r="E391">
        <v>389</v>
      </c>
      <c r="F391">
        <f t="shared" si="104"/>
        <v>58.900000000000006</v>
      </c>
      <c r="G391">
        <f t="shared" ca="1" si="105"/>
        <v>58.890000000000008</v>
      </c>
      <c r="H391" s="5">
        <f t="shared" ca="1" si="106"/>
        <v>9.9999999999980105E-3</v>
      </c>
      <c r="I391" s="5">
        <f t="shared" ca="1" si="107"/>
        <v>1.6977928692696112E-4</v>
      </c>
      <c r="J391" s="10">
        <f t="shared" si="108"/>
        <v>3.2416666666666663</v>
      </c>
      <c r="K391" s="12">
        <f t="shared" ca="1" si="109"/>
        <v>3.2408333333333337</v>
      </c>
      <c r="L391" s="5">
        <f t="shared" ca="1" si="110"/>
        <v>2.5706940874012612E-4</v>
      </c>
      <c r="N391">
        <f t="shared" ca="1" si="111"/>
        <v>33.890000000000008</v>
      </c>
      <c r="O391">
        <f t="shared" ca="1" si="112"/>
        <v>1.050835E-3</v>
      </c>
      <c r="P391">
        <f t="shared" ca="1" si="113"/>
        <v>1.0008472500000001</v>
      </c>
      <c r="Q391">
        <f t="shared" ca="1" si="114"/>
        <v>3.2425274040550467</v>
      </c>
      <c r="R391">
        <f t="shared" ca="1" si="115"/>
        <v>17293.479488293582</v>
      </c>
      <c r="S391">
        <f t="shared" ca="1" si="116"/>
        <v>3.9848036072609574</v>
      </c>
      <c r="T391">
        <f t="shared" ca="1" si="117"/>
        <v>3</v>
      </c>
      <c r="U391">
        <f t="shared" ca="1" si="118"/>
        <v>17300</v>
      </c>
      <c r="V391">
        <f t="shared" ca="1" si="119"/>
        <v>3.2437499999999999</v>
      </c>
      <c r="X391">
        <f t="shared" ca="1" si="120"/>
        <v>3.2399541138770172</v>
      </c>
    </row>
    <row r="392" spans="5:24" x14ac:dyDescent="0.25">
      <c r="E392">
        <v>390</v>
      </c>
      <c r="F392">
        <f t="shared" si="104"/>
        <v>59</v>
      </c>
      <c r="G392">
        <f t="shared" ca="1" si="105"/>
        <v>59.009</v>
      </c>
      <c r="H392" s="5">
        <f t="shared" ca="1" si="106"/>
        <v>9.0000000000003411E-3</v>
      </c>
      <c r="I392" s="5">
        <f t="shared" ca="1" si="107"/>
        <v>1.5254237288136172E-4</v>
      </c>
      <c r="J392" s="10">
        <f t="shared" si="108"/>
        <v>3.2499999999999991</v>
      </c>
      <c r="K392" s="12">
        <f t="shared" ca="1" si="109"/>
        <v>3.2507499999999991</v>
      </c>
      <c r="L392" s="5">
        <f t="shared" ca="1" si="110"/>
        <v>2.3076923076923957E-4</v>
      </c>
      <c r="N392">
        <f t="shared" ca="1" si="111"/>
        <v>34.009</v>
      </c>
      <c r="O392">
        <f t="shared" ca="1" si="112"/>
        <v>1.0510135000000001E-3</v>
      </c>
      <c r="P392">
        <f t="shared" ca="1" si="113"/>
        <v>1.000850225</v>
      </c>
      <c r="Q392">
        <f t="shared" ca="1" si="114"/>
        <v>3.2524619618207957</v>
      </c>
      <c r="R392">
        <f t="shared" ca="1" si="115"/>
        <v>17346.463796377579</v>
      </c>
      <c r="S392">
        <f t="shared" ca="1" si="116"/>
        <v>3.9829827061978538</v>
      </c>
      <c r="T392">
        <f t="shared" ca="1" si="117"/>
        <v>-3</v>
      </c>
      <c r="U392">
        <f t="shared" ca="1" si="118"/>
        <v>17347</v>
      </c>
      <c r="V392">
        <f t="shared" ca="1" si="119"/>
        <v>3.2525625000000002</v>
      </c>
      <c r="X392">
        <f t="shared" ca="1" si="120"/>
        <v>3.2487493186105847</v>
      </c>
    </row>
    <row r="393" spans="5:24" x14ac:dyDescent="0.25">
      <c r="E393">
        <v>391</v>
      </c>
      <c r="F393">
        <f t="shared" si="104"/>
        <v>59.1</v>
      </c>
      <c r="G393">
        <f t="shared" ca="1" si="105"/>
        <v>59.108000000000004</v>
      </c>
      <c r="H393" s="5">
        <f t="shared" ca="1" si="106"/>
        <v>8.0000000000026716E-3</v>
      </c>
      <c r="I393" s="5">
        <f t="shared" ca="1" si="107"/>
        <v>1.353637901861704E-4</v>
      </c>
      <c r="J393" s="10">
        <f t="shared" si="108"/>
        <v>3.2583333333333329</v>
      </c>
      <c r="K393" s="12">
        <f t="shared" ca="1" si="109"/>
        <v>3.2589999999999995</v>
      </c>
      <c r="L393" s="5">
        <f t="shared" ca="1" si="110"/>
        <v>2.0460358056263733E-4</v>
      </c>
      <c r="N393">
        <f t="shared" ca="1" si="111"/>
        <v>34.108000000000004</v>
      </c>
      <c r="O393">
        <f t="shared" ca="1" si="112"/>
        <v>1.051162E-3</v>
      </c>
      <c r="P393">
        <f t="shared" ca="1" si="113"/>
        <v>1.0008527</v>
      </c>
      <c r="Q393">
        <f t="shared" ca="1" si="114"/>
        <v>3.260726890974162</v>
      </c>
      <c r="R393">
        <f t="shared" ca="1" si="115"/>
        <v>17390.543418528865</v>
      </c>
      <c r="S393">
        <f t="shared" ca="1" si="116"/>
        <v>3.9813895085234741</v>
      </c>
      <c r="T393">
        <f t="shared" ca="1" si="117"/>
        <v>-1</v>
      </c>
      <c r="U393">
        <f t="shared" ca="1" si="118"/>
        <v>17394</v>
      </c>
      <c r="V393">
        <f t="shared" ca="1" si="119"/>
        <v>3.2613750000000001</v>
      </c>
      <c r="X393">
        <f t="shared" ca="1" si="120"/>
        <v>3.2575461284162994</v>
      </c>
    </row>
    <row r="394" spans="5:24" x14ac:dyDescent="0.25">
      <c r="E394">
        <v>392</v>
      </c>
      <c r="F394">
        <f t="shared" si="104"/>
        <v>59.2</v>
      </c>
      <c r="G394">
        <f t="shared" ca="1" si="105"/>
        <v>59.201000000000001</v>
      </c>
      <c r="H394" s="5">
        <f t="shared" ca="1" si="106"/>
        <v>9.9999999999766942E-4</v>
      </c>
      <c r="I394" s="5">
        <f t="shared" ca="1" si="107"/>
        <v>1.6891891891852522E-5</v>
      </c>
      <c r="J394" s="10">
        <f t="shared" si="108"/>
        <v>3.2666666666666666</v>
      </c>
      <c r="K394" s="12">
        <f t="shared" ca="1" si="109"/>
        <v>3.2667499999999992</v>
      </c>
      <c r="L394" s="5">
        <f t="shared" ca="1" si="110"/>
        <v>2.5510204081391937E-5</v>
      </c>
      <c r="N394">
        <f t="shared" ca="1" si="111"/>
        <v>34.201000000000001</v>
      </c>
      <c r="O394">
        <f t="shared" ca="1" si="112"/>
        <v>1.0513015000000001E-3</v>
      </c>
      <c r="P394">
        <f t="shared" ca="1" si="113"/>
        <v>1.0008550249999999</v>
      </c>
      <c r="Q394">
        <f t="shared" ca="1" si="114"/>
        <v>3.2684909525296839</v>
      </c>
      <c r="R394">
        <f t="shared" ca="1" si="115"/>
        <v>17431.95174682498</v>
      </c>
      <c r="S394">
        <f t="shared" ca="1" si="116"/>
        <v>3.9798280872007035</v>
      </c>
      <c r="T394">
        <f t="shared" ca="1" si="117"/>
        <v>0</v>
      </c>
      <c r="U394">
        <f t="shared" ca="1" si="118"/>
        <v>17436</v>
      </c>
      <c r="V394">
        <f t="shared" ca="1" si="119"/>
        <v>3.26925</v>
      </c>
      <c r="X394">
        <f t="shared" ca="1" si="120"/>
        <v>3.2654066941413422</v>
      </c>
    </row>
    <row r="395" spans="5:24" x14ac:dyDescent="0.25">
      <c r="E395">
        <v>393</v>
      </c>
      <c r="F395">
        <f t="shared" si="104"/>
        <v>59.300000000000004</v>
      </c>
      <c r="G395">
        <f t="shared" ca="1" si="105"/>
        <v>59.300000000000004</v>
      </c>
      <c r="H395" s="5">
        <f t="shared" ca="1" si="106"/>
        <v>0</v>
      </c>
      <c r="I395" s="5">
        <f t="shared" ca="1" si="107"/>
        <v>0</v>
      </c>
      <c r="J395" s="10">
        <f t="shared" si="108"/>
        <v>3.2749999999999995</v>
      </c>
      <c r="K395" s="12">
        <f t="shared" ca="1" si="109"/>
        <v>3.2749999999999995</v>
      </c>
      <c r="L395" s="5">
        <f t="shared" ca="1" si="110"/>
        <v>0</v>
      </c>
      <c r="N395">
        <f t="shared" ca="1" si="111"/>
        <v>34.300000000000004</v>
      </c>
      <c r="O395">
        <f t="shared" ca="1" si="112"/>
        <v>1.05145E-3</v>
      </c>
      <c r="P395">
        <f t="shared" ca="1" si="113"/>
        <v>1.0008575</v>
      </c>
      <c r="Q395">
        <f t="shared" ca="1" si="114"/>
        <v>3.2767559608816246</v>
      </c>
      <c r="R395">
        <f t="shared" ca="1" si="115"/>
        <v>17476.031791368663</v>
      </c>
      <c r="S395">
        <f t="shared" ca="1" si="116"/>
        <v>3.9780969957141163</v>
      </c>
      <c r="T395">
        <f t="shared" ca="1" si="117"/>
        <v>3</v>
      </c>
      <c r="U395">
        <f t="shared" ca="1" si="118"/>
        <v>17483</v>
      </c>
      <c r="V395">
        <f t="shared" ca="1" si="119"/>
        <v>3.2780624999999999</v>
      </c>
      <c r="X395">
        <f t="shared" ca="1" si="120"/>
        <v>3.274203420566864</v>
      </c>
    </row>
    <row r="396" spans="5:24" x14ac:dyDescent="0.25">
      <c r="E396">
        <v>394</v>
      </c>
      <c r="F396">
        <f t="shared" si="104"/>
        <v>59.400000000000006</v>
      </c>
      <c r="G396">
        <f t="shared" ca="1" si="105"/>
        <v>59.391000000000005</v>
      </c>
      <c r="H396" s="5">
        <f t="shared" ca="1" si="106"/>
        <v>9.0000000000003411E-3</v>
      </c>
      <c r="I396" s="5">
        <f t="shared" ca="1" si="107"/>
        <v>1.5151515151515723E-4</v>
      </c>
      <c r="J396" s="10">
        <f t="shared" si="108"/>
        <v>3.2833333333333332</v>
      </c>
      <c r="K396" s="12">
        <f t="shared" ca="1" si="109"/>
        <v>3.2825833333333332</v>
      </c>
      <c r="L396" s="5">
        <f t="shared" ca="1" si="110"/>
        <v>2.2842639593909496E-4</v>
      </c>
      <c r="N396">
        <f t="shared" ca="1" si="111"/>
        <v>34.391000000000005</v>
      </c>
      <c r="O396">
        <f t="shared" ca="1" si="112"/>
        <v>1.0515864999999999E-3</v>
      </c>
      <c r="P396">
        <f t="shared" ca="1" si="113"/>
        <v>1.0008597749999999</v>
      </c>
      <c r="Q396">
        <f t="shared" ca="1" si="114"/>
        <v>3.2843531257909664</v>
      </c>
      <c r="R396">
        <f t="shared" ca="1" si="115"/>
        <v>17516.550004218487</v>
      </c>
      <c r="S396">
        <f t="shared" ca="1" si="116"/>
        <v>3.9764431125971815</v>
      </c>
      <c r="T396">
        <f t="shared" ca="1" si="117"/>
        <v>3</v>
      </c>
      <c r="U396">
        <f t="shared" ca="1" si="118"/>
        <v>17524</v>
      </c>
      <c r="V396">
        <f t="shared" ca="1" si="119"/>
        <v>3.2857500000000002</v>
      </c>
      <c r="X396">
        <f t="shared" ca="1" si="120"/>
        <v>3.2818767379276488</v>
      </c>
    </row>
    <row r="397" spans="5:24" x14ac:dyDescent="0.25">
      <c r="E397">
        <v>395</v>
      </c>
      <c r="F397">
        <f t="shared" si="104"/>
        <v>59.5</v>
      </c>
      <c r="G397">
        <f t="shared" ca="1" si="105"/>
        <v>59.493000000000002</v>
      </c>
      <c r="H397" s="5">
        <f t="shared" ca="1" si="106"/>
        <v>6.9999999999978968E-3</v>
      </c>
      <c r="I397" s="5">
        <f t="shared" ca="1" si="107"/>
        <v>1.1764705882349407E-4</v>
      </c>
      <c r="J397" s="10">
        <f t="shared" si="108"/>
        <v>3.2916666666666661</v>
      </c>
      <c r="K397" s="12">
        <f t="shared" ca="1" si="109"/>
        <v>3.2910833333333329</v>
      </c>
      <c r="L397" s="5">
        <f t="shared" ca="1" si="110"/>
        <v>1.772151898733645E-4</v>
      </c>
      <c r="N397">
        <f t="shared" ca="1" si="111"/>
        <v>34.493000000000002</v>
      </c>
      <c r="O397">
        <f t="shared" ca="1" si="112"/>
        <v>1.0517395000000001E-3</v>
      </c>
      <c r="P397">
        <f t="shared" ca="1" si="113"/>
        <v>1.0008623249999999</v>
      </c>
      <c r="Q397">
        <f t="shared" ca="1" si="114"/>
        <v>3.2928686703274854</v>
      </c>
      <c r="R397">
        <f t="shared" ca="1" si="115"/>
        <v>17561.966241746588</v>
      </c>
      <c r="S397">
        <f t="shared" ca="1" si="116"/>
        <v>3.9745179767154402</v>
      </c>
      <c r="T397">
        <f t="shared" ca="1" si="117"/>
        <v>-3</v>
      </c>
      <c r="U397">
        <f t="shared" ca="1" si="118"/>
        <v>17563</v>
      </c>
      <c r="V397">
        <f t="shared" ca="1" si="119"/>
        <v>3.2930625</v>
      </c>
      <c r="X397">
        <f t="shared" ca="1" si="120"/>
        <v>3.289174423165544</v>
      </c>
    </row>
    <row r="398" spans="5:24" x14ac:dyDescent="0.25">
      <c r="E398">
        <v>396</v>
      </c>
      <c r="F398">
        <f t="shared" si="104"/>
        <v>59.6</v>
      </c>
      <c r="G398">
        <f t="shared" ca="1" si="105"/>
        <v>59.594000000000001</v>
      </c>
      <c r="H398" s="5">
        <f t="shared" ca="1" si="106"/>
        <v>6.0000000000002274E-3</v>
      </c>
      <c r="I398" s="5">
        <f t="shared" ca="1" si="107"/>
        <v>1.0067114093960113E-4</v>
      </c>
      <c r="J398" s="10">
        <f t="shared" si="108"/>
        <v>3.3</v>
      </c>
      <c r="K398" s="12">
        <f t="shared" ca="1" si="109"/>
        <v>3.2994999999999992</v>
      </c>
      <c r="L398" s="5">
        <f t="shared" ca="1" si="110"/>
        <v>1.515151515153367E-4</v>
      </c>
      <c r="N398">
        <f t="shared" ca="1" si="111"/>
        <v>34.594000000000001</v>
      </c>
      <c r="O398">
        <f t="shared" ca="1" si="112"/>
        <v>1.0518910000000001E-3</v>
      </c>
      <c r="P398">
        <f t="shared" ca="1" si="113"/>
        <v>1.0008648499999999</v>
      </c>
      <c r="Q398">
        <f t="shared" ca="1" si="114"/>
        <v>3.3013007718470675</v>
      </c>
      <c r="R398">
        <f t="shared" ca="1" si="115"/>
        <v>17606.937449851026</v>
      </c>
      <c r="S398">
        <f t="shared" ca="1" si="116"/>
        <v>3.9725374549599008</v>
      </c>
      <c r="T398">
        <f t="shared" ca="1" si="117"/>
        <v>-1</v>
      </c>
      <c r="U398">
        <f t="shared" ca="1" si="118"/>
        <v>17610</v>
      </c>
      <c r="V398">
        <f t="shared" ca="1" si="119"/>
        <v>3.3018749999999999</v>
      </c>
      <c r="X398">
        <f t="shared" ca="1" si="120"/>
        <v>3.2979708589026782</v>
      </c>
    </row>
    <row r="399" spans="5:24" x14ac:dyDescent="0.25">
      <c r="E399">
        <v>397</v>
      </c>
      <c r="F399">
        <f t="shared" si="104"/>
        <v>59.7</v>
      </c>
      <c r="G399">
        <f t="shared" ca="1" si="105"/>
        <v>59.694000000000003</v>
      </c>
      <c r="H399" s="5">
        <f t="shared" ca="1" si="106"/>
        <v>6.0000000000002274E-3</v>
      </c>
      <c r="I399" s="5">
        <f t="shared" ca="1" si="107"/>
        <v>1.0050251256281788E-4</v>
      </c>
      <c r="J399" s="10">
        <f t="shared" si="108"/>
        <v>3.3083333333333327</v>
      </c>
      <c r="K399" s="12">
        <f t="shared" ca="1" si="109"/>
        <v>3.307833333333333</v>
      </c>
      <c r="L399" s="5">
        <f t="shared" ca="1" si="110"/>
        <v>1.5113350125936211E-4</v>
      </c>
      <c r="N399">
        <f t="shared" ca="1" si="111"/>
        <v>34.694000000000003</v>
      </c>
      <c r="O399">
        <f t="shared" ca="1" si="112"/>
        <v>1.0520410000000001E-3</v>
      </c>
      <c r="P399">
        <f t="shared" ca="1" si="113"/>
        <v>1.00086735</v>
      </c>
      <c r="Q399">
        <f t="shared" ca="1" si="114"/>
        <v>3.3096494290872385</v>
      </c>
      <c r="R399">
        <f t="shared" ca="1" si="115"/>
        <v>17651.463621798604</v>
      </c>
      <c r="S399">
        <f t="shared" ca="1" si="116"/>
        <v>3.9705037773649812</v>
      </c>
      <c r="T399">
        <f t="shared" ca="1" si="117"/>
        <v>2</v>
      </c>
      <c r="U399">
        <f t="shared" ca="1" si="118"/>
        <v>17657</v>
      </c>
      <c r="V399">
        <f t="shared" ca="1" si="119"/>
        <v>3.3106875000000002</v>
      </c>
      <c r="X399">
        <f t="shared" ca="1" si="120"/>
        <v>3.3067673343525494</v>
      </c>
    </row>
    <row r="400" spans="5:24" x14ac:dyDescent="0.25">
      <c r="E400">
        <v>398</v>
      </c>
      <c r="F400">
        <f t="shared" si="104"/>
        <v>59.800000000000004</v>
      </c>
      <c r="G400">
        <f t="shared" ca="1" si="105"/>
        <v>59.794000000000004</v>
      </c>
      <c r="H400" s="5">
        <f t="shared" ca="1" si="106"/>
        <v>6.0000000000002274E-3</v>
      </c>
      <c r="I400" s="5">
        <f t="shared" ca="1" si="107"/>
        <v>1.0033444816053892E-4</v>
      </c>
      <c r="J400" s="10">
        <f t="shared" si="108"/>
        <v>3.3166666666666664</v>
      </c>
      <c r="K400" s="12">
        <f t="shared" ca="1" si="109"/>
        <v>3.3161666666666667</v>
      </c>
      <c r="L400" s="5">
        <f t="shared" ca="1" si="110"/>
        <v>1.5075376884413758E-4</v>
      </c>
      <c r="N400">
        <f t="shared" ca="1" si="111"/>
        <v>34.794000000000004</v>
      </c>
      <c r="O400">
        <f t="shared" ca="1" si="112"/>
        <v>1.0521910000000001E-3</v>
      </c>
      <c r="P400">
        <f t="shared" ca="1" si="113"/>
        <v>1.0008698499999999</v>
      </c>
      <c r="Q400">
        <f t="shared" ca="1" si="114"/>
        <v>3.3179981279933255</v>
      </c>
      <c r="R400">
        <f t="shared" ca="1" si="115"/>
        <v>17695.990015964402</v>
      </c>
      <c r="S400">
        <f t="shared" ca="1" si="116"/>
        <v>3.9683977329127154</v>
      </c>
      <c r="T400">
        <f t="shared" ca="1" si="117"/>
        <v>-2</v>
      </c>
      <c r="U400">
        <f t="shared" ca="1" si="118"/>
        <v>17698</v>
      </c>
      <c r="V400">
        <f t="shared" ca="1" si="119"/>
        <v>3.3183750000000001</v>
      </c>
      <c r="X400">
        <f t="shared" ca="1" si="120"/>
        <v>3.3144397435890394</v>
      </c>
    </row>
    <row r="401" spans="5:24" x14ac:dyDescent="0.25">
      <c r="E401">
        <v>399</v>
      </c>
      <c r="F401">
        <f t="shared" si="104"/>
        <v>59.900000000000006</v>
      </c>
      <c r="G401">
        <f t="shared" ca="1" si="105"/>
        <v>59.901000000000003</v>
      </c>
      <c r="H401" s="5">
        <f t="shared" ca="1" si="106"/>
        <v>9.9999999999766942E-4</v>
      </c>
      <c r="I401" s="5">
        <f t="shared" ca="1" si="107"/>
        <v>1.6694490817991142E-5</v>
      </c>
      <c r="J401" s="10">
        <f t="shared" si="108"/>
        <v>3.3250000000000002</v>
      </c>
      <c r="K401" s="12">
        <f t="shared" ca="1" si="109"/>
        <v>3.3250833333333327</v>
      </c>
      <c r="L401" s="5">
        <f t="shared" ca="1" si="110"/>
        <v>2.5062656641367516E-5</v>
      </c>
      <c r="N401">
        <f t="shared" ca="1" si="111"/>
        <v>34.901000000000003</v>
      </c>
      <c r="O401">
        <f t="shared" ca="1" si="112"/>
        <v>1.0523514999999999E-3</v>
      </c>
      <c r="P401">
        <f t="shared" ca="1" si="113"/>
        <v>1.0008725249999999</v>
      </c>
      <c r="Q401">
        <f t="shared" ca="1" si="114"/>
        <v>3.3269312819657566</v>
      </c>
      <c r="R401">
        <f t="shared" ca="1" si="115"/>
        <v>17743.633503817367</v>
      </c>
      <c r="S401">
        <f t="shared" ca="1" si="116"/>
        <v>3.966064164966753</v>
      </c>
      <c r="T401">
        <f t="shared" ca="1" si="117"/>
        <v>-3</v>
      </c>
      <c r="U401">
        <f t="shared" ca="1" si="118"/>
        <v>17745</v>
      </c>
      <c r="V401">
        <f t="shared" ca="1" si="119"/>
        <v>3.3271875</v>
      </c>
      <c r="X401">
        <f t="shared" ca="1" si="120"/>
        <v>3.3232355424083604</v>
      </c>
    </row>
    <row r="402" spans="5:24" x14ac:dyDescent="0.25">
      <c r="E402">
        <v>400</v>
      </c>
      <c r="F402">
        <f t="shared" si="104"/>
        <v>60</v>
      </c>
      <c r="G402">
        <f t="shared" ca="1" si="105"/>
        <v>60.000999999999998</v>
      </c>
      <c r="H402" s="5">
        <f t="shared" ca="1" si="106"/>
        <v>9.9999999999766942E-4</v>
      </c>
      <c r="I402" s="5">
        <f t="shared" ca="1" si="107"/>
        <v>1.6666666666627823E-5</v>
      </c>
      <c r="J402" s="10">
        <f t="shared" si="108"/>
        <v>3.333333333333333</v>
      </c>
      <c r="K402" s="12">
        <f t="shared" ca="1" si="109"/>
        <v>3.3334166666666656</v>
      </c>
      <c r="L402" s="5">
        <f t="shared" ca="1" si="110"/>
        <v>2.4999999999764103E-5</v>
      </c>
      <c r="N402">
        <f t="shared" ca="1" si="111"/>
        <v>35.000999999999998</v>
      </c>
      <c r="O402">
        <f t="shared" ca="1" si="112"/>
        <v>1.0525015000000001E-3</v>
      </c>
      <c r="P402">
        <f t="shared" ca="1" si="113"/>
        <v>1.000875025</v>
      </c>
      <c r="Q402">
        <f t="shared" ca="1" si="114"/>
        <v>3.3352800671202907</v>
      </c>
      <c r="R402">
        <f t="shared" ca="1" si="115"/>
        <v>17788.160357974884</v>
      </c>
      <c r="S402">
        <f t="shared" ca="1" si="116"/>
        <v>3.9638084411229872</v>
      </c>
      <c r="T402">
        <f t="shared" ca="1" si="117"/>
        <v>0</v>
      </c>
      <c r="U402">
        <f t="shared" ca="1" si="118"/>
        <v>17792</v>
      </c>
      <c r="V402">
        <f t="shared" ca="1" si="119"/>
        <v>3.3359999999999999</v>
      </c>
      <c r="X402">
        <f t="shared" ca="1" si="120"/>
        <v>3.3320318872978172</v>
      </c>
    </row>
    <row r="403" spans="5:24" x14ac:dyDescent="0.25">
      <c r="E403">
        <v>401</v>
      </c>
      <c r="F403">
        <f t="shared" si="104"/>
        <v>60.1</v>
      </c>
      <c r="G403">
        <f t="shared" ca="1" si="105"/>
        <v>60.09</v>
      </c>
      <c r="H403" s="5">
        <f t="shared" ca="1" si="106"/>
        <v>9.9999999999980105E-3</v>
      </c>
      <c r="I403" s="5">
        <f t="shared" ca="1" si="107"/>
        <v>1.6638935108149766E-4</v>
      </c>
      <c r="J403" s="10">
        <f t="shared" si="108"/>
        <v>3.3416666666666659</v>
      </c>
      <c r="K403" s="12">
        <f t="shared" ca="1" si="109"/>
        <v>3.3408333333333333</v>
      </c>
      <c r="L403" s="5">
        <f t="shared" ca="1" si="110"/>
        <v>2.4937655860326455E-4</v>
      </c>
      <c r="N403">
        <f t="shared" ca="1" si="111"/>
        <v>35.090000000000003</v>
      </c>
      <c r="O403">
        <f t="shared" ca="1" si="112"/>
        <v>1.0526350000000001E-3</v>
      </c>
      <c r="P403">
        <f t="shared" ca="1" si="113"/>
        <v>1.0008772500000001</v>
      </c>
      <c r="Q403">
        <f t="shared" ca="1" si="114"/>
        <v>3.3427105209509462</v>
      </c>
      <c r="R403">
        <f t="shared" ca="1" si="115"/>
        <v>17827.789445071714</v>
      </c>
      <c r="S403">
        <f t="shared" ca="1" si="116"/>
        <v>3.9617400813183119</v>
      </c>
      <c r="T403">
        <f t="shared" ca="1" si="117"/>
        <v>-3</v>
      </c>
      <c r="U403">
        <f t="shared" ca="1" si="118"/>
        <v>17829</v>
      </c>
      <c r="V403">
        <f t="shared" ca="1" si="119"/>
        <v>3.3429375000000001</v>
      </c>
      <c r="X403">
        <f t="shared" ca="1" si="120"/>
        <v>3.3389557660542288</v>
      </c>
    </row>
    <row r="404" spans="5:24" x14ac:dyDescent="0.25">
      <c r="E404">
        <v>402</v>
      </c>
      <c r="F404">
        <f t="shared" si="104"/>
        <v>60.2</v>
      </c>
      <c r="G404">
        <f t="shared" ca="1" si="105"/>
        <v>60.206000000000003</v>
      </c>
      <c r="H404" s="5">
        <f t="shared" ca="1" si="106"/>
        <v>6.0000000000002274E-3</v>
      </c>
      <c r="I404" s="5">
        <f t="shared" ca="1" si="107"/>
        <v>9.9667774086382511E-5</v>
      </c>
      <c r="J404" s="10">
        <f t="shared" si="108"/>
        <v>3.3499999999999996</v>
      </c>
      <c r="K404" s="12">
        <f t="shared" ca="1" si="109"/>
        <v>3.3504999999999994</v>
      </c>
      <c r="L404" s="5">
        <f t="shared" ca="1" si="110"/>
        <v>1.4925373134320089E-4</v>
      </c>
      <c r="N404">
        <f t="shared" ca="1" si="111"/>
        <v>35.206000000000003</v>
      </c>
      <c r="O404">
        <f t="shared" ca="1" si="112"/>
        <v>1.052809E-3</v>
      </c>
      <c r="P404">
        <f t="shared" ca="1" si="113"/>
        <v>1.00088015</v>
      </c>
      <c r="Q404">
        <f t="shared" ca="1" si="114"/>
        <v>3.3523952069451579</v>
      </c>
      <c r="R404">
        <f t="shared" ca="1" si="115"/>
        <v>17879.441103707508</v>
      </c>
      <c r="S404">
        <f t="shared" ca="1" si="116"/>
        <v>3.9589583866705942</v>
      </c>
      <c r="T404">
        <f t="shared" ca="1" si="117"/>
        <v>1</v>
      </c>
      <c r="U404">
        <f t="shared" ca="1" si="118"/>
        <v>17884</v>
      </c>
      <c r="V404">
        <f t="shared" ca="1" si="119"/>
        <v>3.3532500000000001</v>
      </c>
      <c r="X404">
        <f t="shared" ca="1" si="120"/>
        <v>3.3492493491853148</v>
      </c>
    </row>
    <row r="405" spans="5:24" x14ac:dyDescent="0.25">
      <c r="E405">
        <v>403</v>
      </c>
      <c r="F405">
        <f t="shared" si="104"/>
        <v>60.300000000000004</v>
      </c>
      <c r="G405">
        <f t="shared" ca="1" si="105"/>
        <v>60.304000000000002</v>
      </c>
      <c r="H405" s="5">
        <f t="shared" ca="1" si="106"/>
        <v>3.9999999999977831E-3</v>
      </c>
      <c r="I405" s="5">
        <f t="shared" ca="1" si="107"/>
        <v>6.6334991708089271E-5</v>
      </c>
      <c r="J405" s="10">
        <f t="shared" si="108"/>
        <v>3.3583333333333334</v>
      </c>
      <c r="K405" s="12">
        <f t="shared" ca="1" si="109"/>
        <v>3.3586666666666662</v>
      </c>
      <c r="L405" s="5">
        <f t="shared" ca="1" si="110"/>
        <v>9.92555831264077E-5</v>
      </c>
      <c r="N405">
        <f t="shared" ca="1" si="111"/>
        <v>35.304000000000002</v>
      </c>
      <c r="O405">
        <f t="shared" ca="1" si="112"/>
        <v>1.0529560000000001E-3</v>
      </c>
      <c r="P405">
        <f t="shared" ca="1" si="113"/>
        <v>1.0008826</v>
      </c>
      <c r="Q405">
        <f t="shared" ca="1" si="114"/>
        <v>3.3605771405277003</v>
      </c>
      <c r="R405">
        <f t="shared" ca="1" si="115"/>
        <v>17923.078082814402</v>
      </c>
      <c r="S405">
        <f t="shared" ca="1" si="116"/>
        <v>3.9565326625196522</v>
      </c>
      <c r="T405">
        <f t="shared" ca="1" si="117"/>
        <v>-2</v>
      </c>
      <c r="U405">
        <f t="shared" ca="1" si="118"/>
        <v>17925</v>
      </c>
      <c r="V405">
        <f t="shared" ca="1" si="119"/>
        <v>3.3609374999999999</v>
      </c>
      <c r="X405">
        <f t="shared" ca="1" si="120"/>
        <v>3.3569217248856158</v>
      </c>
    </row>
    <row r="406" spans="5:24" x14ac:dyDescent="0.25">
      <c r="E406">
        <v>404</v>
      </c>
      <c r="F406">
        <f t="shared" si="104"/>
        <v>60.400000000000006</v>
      </c>
      <c r="G406">
        <f t="shared" ca="1" si="105"/>
        <v>60.396000000000008</v>
      </c>
      <c r="H406" s="5">
        <f t="shared" ca="1" si="106"/>
        <v>3.9999999999977831E-3</v>
      </c>
      <c r="I406" s="5">
        <f t="shared" ca="1" si="107"/>
        <v>6.6225165562877193E-5</v>
      </c>
      <c r="J406" s="10">
        <f t="shared" si="108"/>
        <v>3.3666666666666663</v>
      </c>
      <c r="K406" s="12">
        <f t="shared" ca="1" si="109"/>
        <v>3.3663333333333334</v>
      </c>
      <c r="L406" s="5">
        <f t="shared" ca="1" si="110"/>
        <v>9.9009900989956214E-5</v>
      </c>
      <c r="N406">
        <f t="shared" ca="1" si="111"/>
        <v>35.396000000000008</v>
      </c>
      <c r="O406">
        <f t="shared" ca="1" si="112"/>
        <v>1.0530940000000001E-3</v>
      </c>
      <c r="P406">
        <f t="shared" ca="1" si="113"/>
        <v>1.0008849</v>
      </c>
      <c r="Q406">
        <f t="shared" ca="1" si="114"/>
        <v>3.3682581758171195</v>
      </c>
      <c r="R406">
        <f t="shared" ca="1" si="115"/>
        <v>17964.043604357972</v>
      </c>
      <c r="S406">
        <f t="shared" ca="1" si="116"/>
        <v>3.9541924194328359</v>
      </c>
      <c r="T406">
        <f t="shared" ca="1" si="117"/>
        <v>3</v>
      </c>
      <c r="U406">
        <f t="shared" ca="1" si="118"/>
        <v>17971</v>
      </c>
      <c r="V406">
        <f t="shared" ca="1" si="119"/>
        <v>3.3695625000000002</v>
      </c>
      <c r="X406">
        <f t="shared" ca="1" si="120"/>
        <v>3.365531247399177</v>
      </c>
    </row>
    <row r="407" spans="5:24" x14ac:dyDescent="0.25">
      <c r="E407">
        <v>405</v>
      </c>
      <c r="F407">
        <f t="shared" si="104"/>
        <v>60.5</v>
      </c>
      <c r="G407">
        <f t="shared" ca="1" si="105"/>
        <v>60.505000000000003</v>
      </c>
      <c r="H407" s="5">
        <f t="shared" ca="1" si="106"/>
        <v>5.000000000002558E-3</v>
      </c>
      <c r="I407" s="5">
        <f t="shared" ca="1" si="107"/>
        <v>8.264462809921583E-5</v>
      </c>
      <c r="J407" s="10">
        <f t="shared" si="108"/>
        <v>3.3749999999999991</v>
      </c>
      <c r="K407" s="12">
        <f t="shared" ca="1" si="109"/>
        <v>3.3754166666666663</v>
      </c>
      <c r="L407" s="5">
        <f t="shared" ca="1" si="110"/>
        <v>1.2345679012360771E-4</v>
      </c>
      <c r="N407">
        <f t="shared" ca="1" si="111"/>
        <v>35.505000000000003</v>
      </c>
      <c r="O407">
        <f t="shared" ca="1" si="112"/>
        <v>1.0532575000000001E-3</v>
      </c>
      <c r="P407">
        <f t="shared" ca="1" si="113"/>
        <v>1.0008876250000001</v>
      </c>
      <c r="Q407">
        <f t="shared" ca="1" si="114"/>
        <v>3.377358578487728</v>
      </c>
      <c r="R407">
        <f t="shared" ca="1" si="115"/>
        <v>18012.579085267884</v>
      </c>
      <c r="S407">
        <f t="shared" ca="1" si="116"/>
        <v>3.9513407860217691</v>
      </c>
      <c r="T407">
        <f t="shared" ca="1" si="117"/>
        <v>-3</v>
      </c>
      <c r="U407">
        <f t="shared" ca="1" si="118"/>
        <v>18014</v>
      </c>
      <c r="V407">
        <f t="shared" ca="1" si="119"/>
        <v>3.3776250000000001</v>
      </c>
      <c r="X407">
        <f t="shared" ca="1" si="120"/>
        <v>3.3735772709748506</v>
      </c>
    </row>
    <row r="408" spans="5:24" x14ac:dyDescent="0.25">
      <c r="E408">
        <v>406</v>
      </c>
      <c r="F408">
        <f t="shared" si="104"/>
        <v>60.6</v>
      </c>
      <c r="G408">
        <f t="shared" ca="1" si="105"/>
        <v>60.61</v>
      </c>
      <c r="H408" s="5">
        <f t="shared" ca="1" si="106"/>
        <v>9.9999999999980105E-3</v>
      </c>
      <c r="I408" s="5">
        <f t="shared" ca="1" si="107"/>
        <v>1.6501650165013219E-4</v>
      </c>
      <c r="J408" s="10">
        <f t="shared" si="108"/>
        <v>3.3833333333333329</v>
      </c>
      <c r="K408" s="12">
        <f t="shared" ca="1" si="109"/>
        <v>3.3841666666666663</v>
      </c>
      <c r="L408" s="5">
        <f t="shared" ca="1" si="110"/>
        <v>2.4630541871925035E-4</v>
      </c>
      <c r="N408">
        <f t="shared" ca="1" si="111"/>
        <v>35.61</v>
      </c>
      <c r="O408">
        <f t="shared" ca="1" si="112"/>
        <v>1.053415E-3</v>
      </c>
      <c r="P408">
        <f t="shared" ca="1" si="113"/>
        <v>1.0008902500000001</v>
      </c>
      <c r="Q408">
        <f t="shared" ca="1" si="114"/>
        <v>3.3861250682389632</v>
      </c>
      <c r="R408">
        <f t="shared" ca="1" si="115"/>
        <v>18059.333697274469</v>
      </c>
      <c r="S408">
        <f t="shared" ca="1" si="116"/>
        <v>3.9485128773669351</v>
      </c>
      <c r="T408">
        <f t="shared" ca="1" si="117"/>
        <v>-3</v>
      </c>
      <c r="U408">
        <f t="shared" ca="1" si="118"/>
        <v>18060</v>
      </c>
      <c r="V408">
        <f t="shared" ca="1" si="119"/>
        <v>3.38625</v>
      </c>
      <c r="X408">
        <f t="shared" ca="1" si="120"/>
        <v>3.3821855942746968</v>
      </c>
    </row>
    <row r="409" spans="5:24" x14ac:dyDescent="0.25">
      <c r="E409">
        <v>407</v>
      </c>
      <c r="F409">
        <f t="shared" si="104"/>
        <v>60.7</v>
      </c>
      <c r="G409">
        <f t="shared" ca="1" si="105"/>
        <v>60.695</v>
      </c>
      <c r="H409" s="5">
        <f t="shared" ca="1" si="106"/>
        <v>5.000000000002558E-3</v>
      </c>
      <c r="I409" s="5">
        <f t="shared" ca="1" si="107"/>
        <v>8.2372322899547897E-5</v>
      </c>
      <c r="J409" s="10">
        <f t="shared" si="108"/>
        <v>3.3916666666666666</v>
      </c>
      <c r="K409" s="12">
        <f t="shared" ca="1" si="109"/>
        <v>3.3912499999999994</v>
      </c>
      <c r="L409" s="5">
        <f t="shared" ca="1" si="110"/>
        <v>1.2285012285027298E-4</v>
      </c>
      <c r="N409">
        <f t="shared" ca="1" si="111"/>
        <v>35.695</v>
      </c>
      <c r="O409">
        <f t="shared" ca="1" si="112"/>
        <v>1.0535424999999999E-3</v>
      </c>
      <c r="P409">
        <f t="shared" ca="1" si="113"/>
        <v>1.0008923750000001</v>
      </c>
      <c r="Q409">
        <f t="shared" ca="1" si="114"/>
        <v>3.3932217840637615</v>
      </c>
      <c r="R409">
        <f t="shared" ca="1" si="115"/>
        <v>18097.18284834006</v>
      </c>
      <c r="S409">
        <f t="shared" ca="1" si="116"/>
        <v>3.9461654947451255</v>
      </c>
      <c r="T409">
        <f t="shared" ca="1" si="117"/>
        <v>-3</v>
      </c>
      <c r="U409">
        <f t="shared" ca="1" si="118"/>
        <v>18098</v>
      </c>
      <c r="V409">
        <f t="shared" ca="1" si="119"/>
        <v>3.3933750000000003</v>
      </c>
      <c r="X409">
        <f t="shared" ca="1" si="120"/>
        <v>3.3892969336488354</v>
      </c>
    </row>
    <row r="410" spans="5:24" x14ac:dyDescent="0.25">
      <c r="E410">
        <v>408</v>
      </c>
      <c r="F410">
        <f t="shared" si="104"/>
        <v>60.800000000000004</v>
      </c>
      <c r="G410">
        <f t="shared" ca="1" si="105"/>
        <v>60.806000000000004</v>
      </c>
      <c r="H410" s="5">
        <f t="shared" ca="1" si="106"/>
        <v>6.0000000000002274E-3</v>
      </c>
      <c r="I410" s="5">
        <f t="shared" ca="1" si="107"/>
        <v>9.8684210526319528E-5</v>
      </c>
      <c r="J410" s="10">
        <f t="shared" si="108"/>
        <v>3.3999999999999995</v>
      </c>
      <c r="K410" s="12">
        <f t="shared" ca="1" si="109"/>
        <v>3.4005000000000001</v>
      </c>
      <c r="L410" s="5">
        <f t="shared" ca="1" si="110"/>
        <v>1.4705882352959151E-4</v>
      </c>
      <c r="N410">
        <f t="shared" ca="1" si="111"/>
        <v>35.806000000000004</v>
      </c>
      <c r="O410">
        <f t="shared" ca="1" si="112"/>
        <v>1.0537090000000001E-3</v>
      </c>
      <c r="P410">
        <f t="shared" ca="1" si="113"/>
        <v>1.0008951500000001</v>
      </c>
      <c r="Q410">
        <f t="shared" ca="1" si="114"/>
        <v>3.4024893053473892</v>
      </c>
      <c r="R410">
        <f t="shared" ca="1" si="115"/>
        <v>18146.609628519411</v>
      </c>
      <c r="S410">
        <f t="shared" ca="1" si="116"/>
        <v>3.9430218439676681</v>
      </c>
      <c r="T410">
        <f t="shared" ca="1" si="117"/>
        <v>2</v>
      </c>
      <c r="U410">
        <f t="shared" ca="1" si="118"/>
        <v>18153</v>
      </c>
      <c r="V410">
        <f t="shared" ca="1" si="119"/>
        <v>3.4036875000000002</v>
      </c>
      <c r="X410">
        <f t="shared" ca="1" si="120"/>
        <v>3.3995906474319515</v>
      </c>
    </row>
    <row r="411" spans="5:24" x14ac:dyDescent="0.25">
      <c r="E411">
        <v>409</v>
      </c>
      <c r="F411">
        <f t="shared" si="104"/>
        <v>60.900000000000006</v>
      </c>
      <c r="G411">
        <f t="shared" ca="1" si="105"/>
        <v>60.906000000000006</v>
      </c>
      <c r="H411" s="5">
        <f t="shared" ca="1" si="106"/>
        <v>6.0000000000002274E-3</v>
      </c>
      <c r="I411" s="5">
        <f t="shared" ca="1" si="107"/>
        <v>9.8522167487688448E-5</v>
      </c>
      <c r="J411" s="10">
        <f t="shared" si="108"/>
        <v>3.4083333333333332</v>
      </c>
      <c r="K411" s="12">
        <f t="shared" ca="1" si="109"/>
        <v>3.4088333333333329</v>
      </c>
      <c r="L411" s="5">
        <f t="shared" ca="1" si="110"/>
        <v>1.4669926650358618E-4</v>
      </c>
      <c r="N411">
        <f t="shared" ca="1" si="111"/>
        <v>35.906000000000006</v>
      </c>
      <c r="O411">
        <f t="shared" ca="1" si="112"/>
        <v>1.0538590000000001E-3</v>
      </c>
      <c r="P411">
        <f t="shared" ca="1" si="113"/>
        <v>1.00089765</v>
      </c>
      <c r="Q411">
        <f t="shared" ca="1" si="114"/>
        <v>3.410838467578468</v>
      </c>
      <c r="R411">
        <f t="shared" ca="1" si="115"/>
        <v>18191.138493751831</v>
      </c>
      <c r="S411">
        <f t="shared" ca="1" si="116"/>
        <v>3.9401138928717891</v>
      </c>
      <c r="T411">
        <f t="shared" ca="1" si="117"/>
        <v>-3</v>
      </c>
      <c r="U411">
        <f t="shared" ca="1" si="118"/>
        <v>18192</v>
      </c>
      <c r="V411">
        <f t="shared" ca="1" si="119"/>
        <v>3.411</v>
      </c>
      <c r="X411">
        <f t="shared" ca="1" si="120"/>
        <v>3.4068879480334475</v>
      </c>
    </row>
    <row r="412" spans="5:24" x14ac:dyDescent="0.25">
      <c r="E412">
        <v>410</v>
      </c>
      <c r="F412">
        <f t="shared" si="104"/>
        <v>61</v>
      </c>
      <c r="G412">
        <f t="shared" ca="1" si="105"/>
        <v>60.991999999999997</v>
      </c>
      <c r="H412" s="5">
        <f t="shared" ca="1" si="106"/>
        <v>8.0000000000026716E-3</v>
      </c>
      <c r="I412" s="5">
        <f t="shared" ca="1" si="107"/>
        <v>1.3114754098365034E-4</v>
      </c>
      <c r="J412" s="10">
        <f t="shared" si="108"/>
        <v>3.4166666666666661</v>
      </c>
      <c r="K412" s="12">
        <f t="shared" ca="1" si="109"/>
        <v>3.4159999999999995</v>
      </c>
      <c r="L412" s="5">
        <f t="shared" ca="1" si="110"/>
        <v>1.9512195121949074E-4</v>
      </c>
      <c r="N412">
        <f t="shared" ca="1" si="111"/>
        <v>35.991999999999997</v>
      </c>
      <c r="O412">
        <f t="shared" ca="1" si="112"/>
        <v>1.0539880000000001E-3</v>
      </c>
      <c r="P412">
        <f t="shared" ca="1" si="113"/>
        <v>1.0008998</v>
      </c>
      <c r="Q412">
        <f t="shared" ca="1" si="114"/>
        <v>3.4180187804215971</v>
      </c>
      <c r="R412">
        <f t="shared" ca="1" si="115"/>
        <v>18229.433495581852</v>
      </c>
      <c r="S412">
        <f t="shared" ca="1" si="116"/>
        <v>3.9375556064459998</v>
      </c>
      <c r="T412">
        <f t="shared" ca="1" si="117"/>
        <v>1</v>
      </c>
      <c r="U412">
        <f t="shared" ca="1" si="118"/>
        <v>18234</v>
      </c>
      <c r="V412">
        <f t="shared" ca="1" si="119"/>
        <v>3.4188749999999999</v>
      </c>
      <c r="X412">
        <f t="shared" ca="1" si="120"/>
        <v>3.4147484213704509</v>
      </c>
    </row>
    <row r="413" spans="5:24" x14ac:dyDescent="0.25">
      <c r="E413">
        <v>411</v>
      </c>
      <c r="F413">
        <f t="shared" si="104"/>
        <v>61.1</v>
      </c>
      <c r="G413">
        <f t="shared" ca="1" si="105"/>
        <v>61.099000000000004</v>
      </c>
      <c r="H413" s="5">
        <f t="shared" ca="1" si="106"/>
        <v>9.9999999999766942E-4</v>
      </c>
      <c r="I413" s="5">
        <f t="shared" ca="1" si="107"/>
        <v>1.6366612111254819E-5</v>
      </c>
      <c r="J413" s="10">
        <f t="shared" si="108"/>
        <v>3.4249999999999998</v>
      </c>
      <c r="K413" s="12">
        <f t="shared" ca="1" si="109"/>
        <v>3.4249166666666664</v>
      </c>
      <c r="L413" s="5">
        <f t="shared" ca="1" si="110"/>
        <v>2.433090024333874E-5</v>
      </c>
      <c r="N413">
        <f t="shared" ca="1" si="111"/>
        <v>36.099000000000004</v>
      </c>
      <c r="O413">
        <f t="shared" ca="1" si="112"/>
        <v>1.0541484999999999E-3</v>
      </c>
      <c r="P413">
        <f t="shared" ca="1" si="113"/>
        <v>1.000902475</v>
      </c>
      <c r="Q413">
        <f t="shared" ca="1" si="114"/>
        <v>3.4269524684927486</v>
      </c>
      <c r="R413">
        <f t="shared" ca="1" si="115"/>
        <v>18277.079831961324</v>
      </c>
      <c r="S413">
        <f t="shared" ca="1" si="116"/>
        <v>3.9342985092060876</v>
      </c>
      <c r="T413">
        <f t="shared" ca="1" si="117"/>
        <v>-3</v>
      </c>
      <c r="U413">
        <f t="shared" ca="1" si="118"/>
        <v>18278</v>
      </c>
      <c r="V413">
        <f t="shared" ca="1" si="119"/>
        <v>3.4271250000000002</v>
      </c>
      <c r="X413">
        <f t="shared" ca="1" si="120"/>
        <v>3.4229816960938177</v>
      </c>
    </row>
    <row r="414" spans="5:24" x14ac:dyDescent="0.25">
      <c r="E414">
        <v>412</v>
      </c>
      <c r="F414">
        <f t="shared" si="104"/>
        <v>61.2</v>
      </c>
      <c r="G414">
        <f t="shared" ca="1" si="105"/>
        <v>61.208000000000006</v>
      </c>
      <c r="H414" s="5">
        <f t="shared" ca="1" si="106"/>
        <v>8.0000000000026716E-3</v>
      </c>
      <c r="I414" s="5">
        <f t="shared" ca="1" si="107"/>
        <v>1.3071895424840966E-4</v>
      </c>
      <c r="J414" s="10">
        <f t="shared" si="108"/>
        <v>3.4333333333333327</v>
      </c>
      <c r="K414" s="12">
        <f t="shared" ca="1" si="109"/>
        <v>3.4340000000000002</v>
      </c>
      <c r="L414" s="5">
        <f t="shared" ca="1" si="110"/>
        <v>1.9417475728179074E-4</v>
      </c>
      <c r="N414">
        <f t="shared" ca="1" si="111"/>
        <v>36.208000000000006</v>
      </c>
      <c r="O414">
        <f t="shared" ca="1" si="112"/>
        <v>1.054312E-3</v>
      </c>
      <c r="P414">
        <f t="shared" ca="1" si="113"/>
        <v>1.0009052000000001</v>
      </c>
      <c r="Q414">
        <f t="shared" ca="1" si="114"/>
        <v>3.4360531904367781</v>
      </c>
      <c r="R414">
        <f t="shared" ca="1" si="115"/>
        <v>18325.617015662818</v>
      </c>
      <c r="S414">
        <f t="shared" ca="1" si="116"/>
        <v>3.9308961007506471</v>
      </c>
      <c r="T414">
        <f t="shared" ca="1" si="117"/>
        <v>-1</v>
      </c>
      <c r="U414">
        <f t="shared" ca="1" si="118"/>
        <v>18329</v>
      </c>
      <c r="V414">
        <f t="shared" ca="1" si="119"/>
        <v>3.4366875000000001</v>
      </c>
      <c r="X414">
        <f t="shared" ca="1" si="120"/>
        <v>3.4325260654055949</v>
      </c>
    </row>
    <row r="415" spans="5:24" x14ac:dyDescent="0.25">
      <c r="E415">
        <v>413</v>
      </c>
      <c r="F415">
        <f t="shared" si="104"/>
        <v>61.300000000000004</v>
      </c>
      <c r="G415">
        <f t="shared" ca="1" si="105"/>
        <v>61.309000000000005</v>
      </c>
      <c r="H415" s="5">
        <f t="shared" ca="1" si="106"/>
        <v>9.0000000000003411E-3</v>
      </c>
      <c r="I415" s="5">
        <f t="shared" ca="1" si="107"/>
        <v>1.4681892332790115E-4</v>
      </c>
      <c r="J415" s="10">
        <f t="shared" si="108"/>
        <v>3.4416666666666664</v>
      </c>
      <c r="K415" s="12">
        <f t="shared" ca="1" si="109"/>
        <v>3.4424166666666665</v>
      </c>
      <c r="L415" s="5">
        <f t="shared" ca="1" si="110"/>
        <v>2.1791767554480245E-4</v>
      </c>
      <c r="N415">
        <f t="shared" ca="1" si="111"/>
        <v>36.309000000000005</v>
      </c>
      <c r="O415">
        <f t="shared" ca="1" si="112"/>
        <v>1.0544635E-3</v>
      </c>
      <c r="P415">
        <f t="shared" ca="1" si="113"/>
        <v>1.000907725</v>
      </c>
      <c r="Q415">
        <f t="shared" ca="1" si="114"/>
        <v>3.4444860136725359</v>
      </c>
      <c r="R415">
        <f t="shared" ca="1" si="115"/>
        <v>18370.59207292019</v>
      </c>
      <c r="S415">
        <f t="shared" ca="1" si="116"/>
        <v>3.9276674119158246</v>
      </c>
      <c r="T415">
        <f t="shared" ca="1" si="117"/>
        <v>0</v>
      </c>
      <c r="U415">
        <f t="shared" ca="1" si="118"/>
        <v>18375</v>
      </c>
      <c r="V415">
        <f t="shared" ca="1" si="119"/>
        <v>3.4453125</v>
      </c>
      <c r="X415">
        <f t="shared" ca="1" si="120"/>
        <v>3.4411344327470346</v>
      </c>
    </row>
    <row r="416" spans="5:24" x14ac:dyDescent="0.25">
      <c r="E416">
        <v>414</v>
      </c>
      <c r="F416">
        <f t="shared" si="104"/>
        <v>61.400000000000006</v>
      </c>
      <c r="G416">
        <f t="shared" ca="1" si="105"/>
        <v>61.405000000000008</v>
      </c>
      <c r="H416" s="5">
        <f t="shared" ca="1" si="106"/>
        <v>5.000000000002558E-3</v>
      </c>
      <c r="I416" s="5">
        <f t="shared" ca="1" si="107"/>
        <v>8.1433224755741976E-5</v>
      </c>
      <c r="J416" s="10">
        <f t="shared" si="108"/>
        <v>3.45</v>
      </c>
      <c r="K416" s="12">
        <f t="shared" ca="1" si="109"/>
        <v>3.4504166666666665</v>
      </c>
      <c r="L416" s="5">
        <f t="shared" ca="1" si="110"/>
        <v>1.2077294685979354E-4</v>
      </c>
      <c r="N416">
        <f t="shared" ca="1" si="111"/>
        <v>36.405000000000008</v>
      </c>
      <c r="O416">
        <f t="shared" ca="1" si="112"/>
        <v>1.0546075000000001E-3</v>
      </c>
      <c r="P416">
        <f t="shared" ca="1" si="113"/>
        <v>1.0009101250000001</v>
      </c>
      <c r="Q416">
        <f t="shared" ca="1" si="114"/>
        <v>3.452501409810766</v>
      </c>
      <c r="R416">
        <f t="shared" ca="1" si="115"/>
        <v>18413.340852324087</v>
      </c>
      <c r="S416">
        <f t="shared" ca="1" si="116"/>
        <v>3.9245308499117439</v>
      </c>
      <c r="T416">
        <f t="shared" ca="1" si="117"/>
        <v>1</v>
      </c>
      <c r="U416">
        <f t="shared" ca="1" si="118"/>
        <v>18418</v>
      </c>
      <c r="V416">
        <f t="shared" ca="1" si="119"/>
        <v>3.4533749999999999</v>
      </c>
      <c r="X416">
        <f t="shared" ca="1" si="120"/>
        <v>3.4491812064544751</v>
      </c>
    </row>
    <row r="417" spans="5:24" x14ac:dyDescent="0.25">
      <c r="E417">
        <v>415</v>
      </c>
      <c r="F417">
        <f t="shared" si="104"/>
        <v>61.5</v>
      </c>
      <c r="G417">
        <f t="shared" ca="1" si="105"/>
        <v>61.51</v>
      </c>
      <c r="H417" s="5">
        <f t="shared" ca="1" si="106"/>
        <v>9.9999999999980105E-3</v>
      </c>
      <c r="I417" s="5">
        <f t="shared" ca="1" si="107"/>
        <v>1.6260162601622783E-4</v>
      </c>
      <c r="J417" s="10">
        <f t="shared" si="108"/>
        <v>3.458333333333333</v>
      </c>
      <c r="K417" s="12">
        <f t="shared" ca="1" si="109"/>
        <v>3.4591666666666656</v>
      </c>
      <c r="L417" s="5">
        <f t="shared" ca="1" si="110"/>
        <v>2.4096385542146762E-4</v>
      </c>
      <c r="N417">
        <f t="shared" ca="1" si="111"/>
        <v>36.51</v>
      </c>
      <c r="O417">
        <f t="shared" ca="1" si="112"/>
        <v>1.054765E-3</v>
      </c>
      <c r="P417">
        <f t="shared" ca="1" si="113"/>
        <v>1.0009127499999999</v>
      </c>
      <c r="Q417">
        <f t="shared" ca="1" si="114"/>
        <v>3.4612682933049115</v>
      </c>
      <c r="R417">
        <f t="shared" ca="1" si="115"/>
        <v>18460.097564292861</v>
      </c>
      <c r="S417">
        <f t="shared" ca="1" si="116"/>
        <v>3.9210247366677593</v>
      </c>
      <c r="T417">
        <f t="shared" ca="1" si="117"/>
        <v>0</v>
      </c>
      <c r="U417">
        <f t="shared" ca="1" si="118"/>
        <v>18464</v>
      </c>
      <c r="V417">
        <f t="shared" ca="1" si="119"/>
        <v>3.4620000000000002</v>
      </c>
      <c r="X417">
        <f t="shared" ca="1" si="120"/>
        <v>3.4577891379643235</v>
      </c>
    </row>
    <row r="418" spans="5:24" x14ac:dyDescent="0.25">
      <c r="E418">
        <v>416</v>
      </c>
      <c r="F418">
        <f t="shared" si="104"/>
        <v>61.6</v>
      </c>
      <c r="G418">
        <f t="shared" ca="1" si="105"/>
        <v>61.605000000000004</v>
      </c>
      <c r="H418" s="5">
        <f t="shared" ca="1" si="106"/>
        <v>5.000000000002558E-3</v>
      </c>
      <c r="I418" s="5">
        <f t="shared" ca="1" si="107"/>
        <v>8.1168831168872694E-5</v>
      </c>
      <c r="J418" s="10">
        <f t="shared" si="108"/>
        <v>3.4666666666666659</v>
      </c>
      <c r="K418" s="12">
        <f t="shared" ca="1" si="109"/>
        <v>3.4670833333333331</v>
      </c>
      <c r="L418" s="5">
        <f t="shared" ca="1" si="110"/>
        <v>1.2019230769245461E-4</v>
      </c>
      <c r="N418">
        <f t="shared" ca="1" si="111"/>
        <v>36.605000000000004</v>
      </c>
      <c r="O418">
        <f t="shared" ca="1" si="112"/>
        <v>1.0549075000000001E-3</v>
      </c>
      <c r="P418">
        <f t="shared" ca="1" si="113"/>
        <v>1.0009151249999999</v>
      </c>
      <c r="Q418">
        <f t="shared" ca="1" si="114"/>
        <v>3.4692002750965236</v>
      </c>
      <c r="R418">
        <f t="shared" ca="1" si="115"/>
        <v>18502.401467181458</v>
      </c>
      <c r="S418">
        <f t="shared" ca="1" si="116"/>
        <v>3.9177846266404135</v>
      </c>
      <c r="T418">
        <f t="shared" ca="1" si="117"/>
        <v>0</v>
      </c>
      <c r="U418">
        <f t="shared" ca="1" si="118"/>
        <v>18506</v>
      </c>
      <c r="V418">
        <f t="shared" ca="1" si="119"/>
        <v>3.469875</v>
      </c>
      <c r="X418">
        <f t="shared" ca="1" si="120"/>
        <v>3.4656485908333141</v>
      </c>
    </row>
    <row r="419" spans="5:24" x14ac:dyDescent="0.25">
      <c r="E419">
        <v>417</v>
      </c>
      <c r="F419">
        <f t="shared" si="104"/>
        <v>61.7</v>
      </c>
      <c r="G419">
        <f t="shared" ca="1" si="105"/>
        <v>61.690000000000005</v>
      </c>
      <c r="H419" s="5">
        <f t="shared" ca="1" si="106"/>
        <v>9.9999999999980105E-3</v>
      </c>
      <c r="I419" s="5">
        <f t="shared" ca="1" si="107"/>
        <v>1.6207455429494345E-4</v>
      </c>
      <c r="J419" s="10">
        <f t="shared" si="108"/>
        <v>3.4749999999999996</v>
      </c>
      <c r="K419" s="12">
        <f t="shared" ca="1" si="109"/>
        <v>3.4741666666666662</v>
      </c>
      <c r="L419" s="5">
        <f t="shared" ca="1" si="110"/>
        <v>2.3980815347725574E-4</v>
      </c>
      <c r="N419">
        <f t="shared" ca="1" si="111"/>
        <v>36.690000000000005</v>
      </c>
      <c r="O419">
        <f t="shared" ca="1" si="112"/>
        <v>1.055035E-3</v>
      </c>
      <c r="P419">
        <f t="shared" ca="1" si="113"/>
        <v>1.0009172500000001</v>
      </c>
      <c r="Q419">
        <f t="shared" ca="1" si="114"/>
        <v>3.4762973433108129</v>
      </c>
      <c r="R419">
        <f t="shared" ca="1" si="115"/>
        <v>18540.252497657668</v>
      </c>
      <c r="S419">
        <f t="shared" ca="1" si="116"/>
        <v>3.9148309378829378</v>
      </c>
      <c r="T419">
        <f t="shared" ca="1" si="117"/>
        <v>-1</v>
      </c>
      <c r="U419">
        <f t="shared" ca="1" si="118"/>
        <v>18543</v>
      </c>
      <c r="V419">
        <f t="shared" ca="1" si="119"/>
        <v>3.4768124999999999</v>
      </c>
      <c r="X419">
        <f t="shared" ca="1" si="120"/>
        <v>3.4725722481054251</v>
      </c>
    </row>
    <row r="420" spans="5:24" x14ac:dyDescent="0.25">
      <c r="E420">
        <v>418</v>
      </c>
      <c r="F420">
        <f t="shared" si="104"/>
        <v>61.800000000000004</v>
      </c>
      <c r="G420">
        <f t="shared" ca="1" si="105"/>
        <v>61.807000000000002</v>
      </c>
      <c r="H420" s="5">
        <f t="shared" ca="1" si="106"/>
        <v>6.9999999999978968E-3</v>
      </c>
      <c r="I420" s="5">
        <f t="shared" ca="1" si="107"/>
        <v>1.1326860841420544E-4</v>
      </c>
      <c r="J420" s="10">
        <f t="shared" si="108"/>
        <v>3.4833333333333334</v>
      </c>
      <c r="K420" s="12">
        <f t="shared" ca="1" si="109"/>
        <v>3.4839166666666666</v>
      </c>
      <c r="L420" s="5">
        <f t="shared" ca="1" si="110"/>
        <v>1.6746411483248557E-4</v>
      </c>
      <c r="N420">
        <f t="shared" ca="1" si="111"/>
        <v>36.807000000000002</v>
      </c>
      <c r="O420">
        <f t="shared" ca="1" si="112"/>
        <v>1.0552105E-3</v>
      </c>
      <c r="P420">
        <f t="shared" ca="1" si="113"/>
        <v>1.0009201750000001</v>
      </c>
      <c r="Q420">
        <f t="shared" ca="1" si="114"/>
        <v>3.4860662982070947</v>
      </c>
      <c r="R420">
        <f t="shared" ca="1" si="115"/>
        <v>18592.353590437837</v>
      </c>
      <c r="S420">
        <f t="shared" ca="1" si="116"/>
        <v>3.9106809378365499</v>
      </c>
      <c r="T420">
        <f t="shared" ca="1" si="117"/>
        <v>2</v>
      </c>
      <c r="U420">
        <f t="shared" ca="1" si="118"/>
        <v>18598</v>
      </c>
      <c r="V420">
        <f t="shared" ca="1" si="119"/>
        <v>3.4871250000000003</v>
      </c>
      <c r="X420">
        <f t="shared" ca="1" si="120"/>
        <v>3.4828649442499247</v>
      </c>
    </row>
    <row r="421" spans="5:24" x14ac:dyDescent="0.25">
      <c r="E421">
        <v>419</v>
      </c>
      <c r="F421">
        <f t="shared" si="104"/>
        <v>61.900000000000006</v>
      </c>
      <c r="G421">
        <f t="shared" ca="1" si="105"/>
        <v>61.893000000000008</v>
      </c>
      <c r="H421" s="5">
        <f t="shared" ca="1" si="106"/>
        <v>6.9999999999978968E-3</v>
      </c>
      <c r="I421" s="5">
        <f t="shared" ca="1" si="107"/>
        <v>1.1308562197088685E-4</v>
      </c>
      <c r="J421" s="10">
        <f t="shared" si="108"/>
        <v>3.4916666666666663</v>
      </c>
      <c r="K421" s="12">
        <f t="shared" ca="1" si="109"/>
        <v>3.4910833333333331</v>
      </c>
      <c r="L421" s="5">
        <f t="shared" ca="1" si="110"/>
        <v>1.6706443914076127E-4</v>
      </c>
      <c r="N421">
        <f t="shared" ca="1" si="111"/>
        <v>36.893000000000008</v>
      </c>
      <c r="O421">
        <f t="shared" ca="1" si="112"/>
        <v>1.0553394999999999E-3</v>
      </c>
      <c r="P421">
        <f t="shared" ca="1" si="113"/>
        <v>1.0009223249999999</v>
      </c>
      <c r="Q421">
        <f t="shared" ca="1" si="114"/>
        <v>3.493246933902745</v>
      </c>
      <c r="R421">
        <f t="shared" ca="1" si="115"/>
        <v>18630.650314147973</v>
      </c>
      <c r="S421">
        <f t="shared" ca="1" si="116"/>
        <v>3.9075682675120826</v>
      </c>
      <c r="T421">
        <f t="shared" ca="1" si="117"/>
        <v>3</v>
      </c>
      <c r="U421">
        <f t="shared" ca="1" si="118"/>
        <v>18638</v>
      </c>
      <c r="V421">
        <f t="shared" ca="1" si="119"/>
        <v>3.4946250000000001</v>
      </c>
      <c r="X421">
        <f t="shared" ca="1" si="120"/>
        <v>3.4903504230460642</v>
      </c>
    </row>
    <row r="422" spans="5:24" x14ac:dyDescent="0.25">
      <c r="E422">
        <v>420</v>
      </c>
      <c r="F422">
        <f t="shared" si="104"/>
        <v>62</v>
      </c>
      <c r="G422">
        <f t="shared" ca="1" si="105"/>
        <v>62.01</v>
      </c>
      <c r="H422" s="5">
        <f t="shared" ca="1" si="106"/>
        <v>9.9999999999980105E-3</v>
      </c>
      <c r="I422" s="5">
        <f t="shared" ca="1" si="107"/>
        <v>1.6129032258061307E-4</v>
      </c>
      <c r="J422" s="10">
        <f t="shared" si="108"/>
        <v>3.4999999999999991</v>
      </c>
      <c r="K422" s="12">
        <f t="shared" ca="1" si="109"/>
        <v>3.5008333333333326</v>
      </c>
      <c r="L422" s="5">
        <f t="shared" ca="1" si="110"/>
        <v>2.3809523809527536E-4</v>
      </c>
      <c r="N422">
        <f t="shared" ca="1" si="111"/>
        <v>37.01</v>
      </c>
      <c r="O422">
        <f t="shared" ca="1" si="112"/>
        <v>1.0555149999999999E-3</v>
      </c>
      <c r="P422">
        <f t="shared" ca="1" si="113"/>
        <v>1.0009252500000001</v>
      </c>
      <c r="Q422">
        <f t="shared" ca="1" si="114"/>
        <v>3.503015987759746</v>
      </c>
      <c r="R422">
        <f t="shared" ca="1" si="115"/>
        <v>18682.751934718646</v>
      </c>
      <c r="S422">
        <f t="shared" ca="1" si="116"/>
        <v>3.9032489909855617</v>
      </c>
      <c r="T422">
        <f t="shared" ca="1" si="117"/>
        <v>-1</v>
      </c>
      <c r="U422">
        <f t="shared" ca="1" si="118"/>
        <v>18686</v>
      </c>
      <c r="V422">
        <f t="shared" ca="1" si="119"/>
        <v>3.503625</v>
      </c>
      <c r="X422">
        <f t="shared" ca="1" si="120"/>
        <v>3.4993317283183729</v>
      </c>
    </row>
    <row r="423" spans="5:24" x14ac:dyDescent="0.25">
      <c r="E423">
        <v>421</v>
      </c>
      <c r="F423">
        <f t="shared" si="104"/>
        <v>62.1</v>
      </c>
      <c r="G423">
        <f t="shared" ca="1" si="105"/>
        <v>62.093000000000004</v>
      </c>
      <c r="H423" s="5">
        <f t="shared" ca="1" si="106"/>
        <v>6.9999999999978968E-3</v>
      </c>
      <c r="I423" s="5">
        <f t="shared" ca="1" si="107"/>
        <v>1.1272141706920928E-4</v>
      </c>
      <c r="J423" s="10">
        <f t="shared" si="108"/>
        <v>3.5083333333333329</v>
      </c>
      <c r="K423" s="12">
        <f t="shared" ca="1" si="109"/>
        <v>3.5077499999999997</v>
      </c>
      <c r="L423" s="5">
        <f t="shared" ca="1" si="110"/>
        <v>1.6627078384793105E-4</v>
      </c>
      <c r="N423">
        <f t="shared" ca="1" si="111"/>
        <v>37.093000000000004</v>
      </c>
      <c r="O423">
        <f t="shared" ca="1" si="112"/>
        <v>1.0556395000000001E-3</v>
      </c>
      <c r="P423">
        <f t="shared" ca="1" si="113"/>
        <v>1.0009273249999999</v>
      </c>
      <c r="Q423">
        <f t="shared" ca="1" si="114"/>
        <v>3.5099462058478501</v>
      </c>
      <c r="R423">
        <f t="shared" ca="1" si="115"/>
        <v>18719.713097855201</v>
      </c>
      <c r="S423">
        <f t="shared" ca="1" si="116"/>
        <v>3.9001258147752504</v>
      </c>
      <c r="T423">
        <f t="shared" ca="1" si="117"/>
        <v>2</v>
      </c>
      <c r="U423">
        <f t="shared" ca="1" si="118"/>
        <v>18726</v>
      </c>
      <c r="V423">
        <f t="shared" ca="1" si="119"/>
        <v>3.5111250000000003</v>
      </c>
      <c r="X423">
        <f t="shared" ca="1" si="120"/>
        <v>3.5068174010535684</v>
      </c>
    </row>
    <row r="424" spans="5:24" x14ac:dyDescent="0.25">
      <c r="E424">
        <v>422</v>
      </c>
      <c r="F424">
        <f t="shared" si="104"/>
        <v>62.2</v>
      </c>
      <c r="G424">
        <f t="shared" ca="1" si="105"/>
        <v>62.192</v>
      </c>
      <c r="H424" s="5">
        <f t="shared" ca="1" si="106"/>
        <v>8.0000000000026716E-3</v>
      </c>
      <c r="I424" s="5">
        <f t="shared" ca="1" si="107"/>
        <v>1.286173633440944E-4</v>
      </c>
      <c r="J424" s="10">
        <f t="shared" si="108"/>
        <v>3.5166666666666666</v>
      </c>
      <c r="K424" s="12">
        <f t="shared" ca="1" si="109"/>
        <v>3.5159999999999991</v>
      </c>
      <c r="L424" s="5">
        <f t="shared" ca="1" si="110"/>
        <v>1.895734597158715E-4</v>
      </c>
      <c r="N424">
        <f t="shared" ca="1" si="111"/>
        <v>37.192</v>
      </c>
      <c r="O424">
        <f t="shared" ca="1" si="112"/>
        <v>1.055788E-3</v>
      </c>
      <c r="P424">
        <f t="shared" ca="1" si="113"/>
        <v>1.0009298</v>
      </c>
      <c r="Q424">
        <f t="shared" ca="1" si="114"/>
        <v>3.5182124071283165</v>
      </c>
      <c r="R424">
        <f t="shared" ca="1" si="115"/>
        <v>18763.799504684353</v>
      </c>
      <c r="S424">
        <f t="shared" ca="1" si="116"/>
        <v>3.8963365208126772</v>
      </c>
      <c r="T424">
        <f t="shared" ca="1" si="117"/>
        <v>0</v>
      </c>
      <c r="U424">
        <f t="shared" ca="1" si="118"/>
        <v>18768</v>
      </c>
      <c r="V424">
        <f t="shared" ca="1" si="119"/>
        <v>3.5190000000000001</v>
      </c>
      <c r="X424">
        <f t="shared" ca="1" si="120"/>
        <v>3.5146762660078661</v>
      </c>
    </row>
    <row r="425" spans="5:24" x14ac:dyDescent="0.25">
      <c r="E425">
        <v>423</v>
      </c>
      <c r="F425">
        <f t="shared" si="104"/>
        <v>62.300000000000004</v>
      </c>
      <c r="G425">
        <f t="shared" ca="1" si="105"/>
        <v>62.298000000000002</v>
      </c>
      <c r="H425" s="5">
        <f t="shared" ca="1" si="106"/>
        <v>2.0000000000024443E-3</v>
      </c>
      <c r="I425" s="5">
        <f t="shared" ca="1" si="107"/>
        <v>3.2102728731981448E-5</v>
      </c>
      <c r="J425" s="10">
        <f t="shared" si="108"/>
        <v>3.5249999999999995</v>
      </c>
      <c r="K425" s="12">
        <f t="shared" ca="1" si="109"/>
        <v>3.5248333333333326</v>
      </c>
      <c r="L425" s="5">
        <f t="shared" ca="1" si="110"/>
        <v>4.7281323877126348E-5</v>
      </c>
      <c r="N425">
        <f t="shared" ca="1" si="111"/>
        <v>37.298000000000002</v>
      </c>
      <c r="O425">
        <f t="shared" ca="1" si="112"/>
        <v>1.055947E-3</v>
      </c>
      <c r="P425">
        <f t="shared" ca="1" si="113"/>
        <v>1.0009324500000001</v>
      </c>
      <c r="Q425">
        <f t="shared" ca="1" si="114"/>
        <v>3.5270631325572195</v>
      </c>
      <c r="R425">
        <f t="shared" ca="1" si="115"/>
        <v>18811.003373638505</v>
      </c>
      <c r="S425">
        <f t="shared" ca="1" si="116"/>
        <v>3.892202111692487</v>
      </c>
      <c r="T425">
        <f t="shared" ca="1" si="117"/>
        <v>-2</v>
      </c>
      <c r="U425">
        <f t="shared" ca="1" si="118"/>
        <v>18813</v>
      </c>
      <c r="V425">
        <f t="shared" ca="1" si="119"/>
        <v>3.5274375</v>
      </c>
      <c r="X425">
        <f t="shared" ca="1" si="120"/>
        <v>3.5230964417229154</v>
      </c>
    </row>
    <row r="426" spans="5:24" x14ac:dyDescent="0.25">
      <c r="E426">
        <v>424</v>
      </c>
      <c r="F426">
        <f t="shared" si="104"/>
        <v>62.400000000000006</v>
      </c>
      <c r="G426">
        <f t="shared" ca="1" si="105"/>
        <v>62.410000000000004</v>
      </c>
      <c r="H426" s="5">
        <f t="shared" ca="1" si="106"/>
        <v>9.9999999999980105E-3</v>
      </c>
      <c r="I426" s="5">
        <f t="shared" ca="1" si="107"/>
        <v>1.6025641025637835E-4</v>
      </c>
      <c r="J426" s="10">
        <f t="shared" si="108"/>
        <v>3.5333333333333332</v>
      </c>
      <c r="K426" s="12">
        <f t="shared" ca="1" si="109"/>
        <v>3.5341666666666667</v>
      </c>
      <c r="L426" s="5">
        <f t="shared" ca="1" si="110"/>
        <v>2.3584905660381045E-4</v>
      </c>
      <c r="N426">
        <f t="shared" ca="1" si="111"/>
        <v>37.410000000000004</v>
      </c>
      <c r="O426">
        <f t="shared" ca="1" si="112"/>
        <v>1.056115E-3</v>
      </c>
      <c r="P426">
        <f t="shared" ca="1" si="113"/>
        <v>1.0009352499999999</v>
      </c>
      <c r="Q426">
        <f t="shared" ca="1" si="114"/>
        <v>3.5364148933101127</v>
      </c>
      <c r="R426">
        <f t="shared" ca="1" si="115"/>
        <v>18860.879430987268</v>
      </c>
      <c r="S426">
        <f t="shared" ca="1" si="116"/>
        <v>3.8877470438182429</v>
      </c>
      <c r="T426">
        <f t="shared" ca="1" si="117"/>
        <v>0</v>
      </c>
      <c r="U426">
        <f t="shared" ca="1" si="118"/>
        <v>18865</v>
      </c>
      <c r="V426">
        <f t="shared" ca="1" si="119"/>
        <v>3.5371874999999999</v>
      </c>
      <c r="X426">
        <f t="shared" ca="1" si="120"/>
        <v>3.5328273082599502</v>
      </c>
    </row>
    <row r="427" spans="5:24" x14ac:dyDescent="0.25">
      <c r="E427">
        <v>425</v>
      </c>
      <c r="F427">
        <f t="shared" si="104"/>
        <v>62.5</v>
      </c>
      <c r="G427">
        <f t="shared" ca="1" si="105"/>
        <v>62.506999999999998</v>
      </c>
      <c r="H427" s="5">
        <f t="shared" ca="1" si="106"/>
        <v>6.9999999999978968E-3</v>
      </c>
      <c r="I427" s="5">
        <f t="shared" ca="1" si="107"/>
        <v>1.1199999999996635E-4</v>
      </c>
      <c r="J427" s="10">
        <f t="shared" si="108"/>
        <v>3.5416666666666661</v>
      </c>
      <c r="K427" s="12">
        <f t="shared" ca="1" si="109"/>
        <v>3.5422499999999992</v>
      </c>
      <c r="L427" s="5">
        <f t="shared" ca="1" si="110"/>
        <v>1.6470588235289172E-4</v>
      </c>
      <c r="N427">
        <f t="shared" ca="1" si="111"/>
        <v>37.506999999999998</v>
      </c>
      <c r="O427">
        <f t="shared" ca="1" si="112"/>
        <v>1.0562605E-3</v>
      </c>
      <c r="P427">
        <f t="shared" ca="1" si="113"/>
        <v>1.0009376750000001</v>
      </c>
      <c r="Q427">
        <f t="shared" ca="1" si="114"/>
        <v>3.5445142283396853</v>
      </c>
      <c r="R427">
        <f t="shared" ca="1" si="115"/>
        <v>18904.075884478323</v>
      </c>
      <c r="S427">
        <f t="shared" ca="1" si="116"/>
        <v>3.883816777893534</v>
      </c>
      <c r="T427">
        <f t="shared" ca="1" si="117"/>
        <v>0</v>
      </c>
      <c r="U427">
        <f t="shared" ca="1" si="118"/>
        <v>18908</v>
      </c>
      <c r="V427">
        <f t="shared" ca="1" si="119"/>
        <v>3.5452500000000002</v>
      </c>
      <c r="X427">
        <f t="shared" ca="1" si="120"/>
        <v>3.5408735508931661</v>
      </c>
    </row>
    <row r="428" spans="5:24" x14ac:dyDescent="0.25">
      <c r="E428">
        <v>426</v>
      </c>
      <c r="F428">
        <f t="shared" si="104"/>
        <v>62.6</v>
      </c>
      <c r="G428">
        <f t="shared" ca="1" si="105"/>
        <v>62.59</v>
      </c>
      <c r="H428" s="5">
        <f t="shared" ca="1" si="106"/>
        <v>9.9999999999980105E-3</v>
      </c>
      <c r="I428" s="5">
        <f t="shared" ca="1" si="107"/>
        <v>1.5974440894565511E-4</v>
      </c>
      <c r="J428" s="10">
        <f t="shared" si="108"/>
        <v>3.55</v>
      </c>
      <c r="K428" s="12">
        <f t="shared" ca="1" si="109"/>
        <v>3.5491666666666664</v>
      </c>
      <c r="L428" s="5">
        <f t="shared" ca="1" si="110"/>
        <v>2.3474178403759538E-4</v>
      </c>
      <c r="N428">
        <f t="shared" ca="1" si="111"/>
        <v>37.590000000000003</v>
      </c>
      <c r="O428">
        <f t="shared" ca="1" si="112"/>
        <v>1.056385E-3</v>
      </c>
      <c r="P428">
        <f t="shared" ca="1" si="113"/>
        <v>1.0009397499999999</v>
      </c>
      <c r="Q428">
        <f t="shared" ca="1" si="114"/>
        <v>3.5514446183038624</v>
      </c>
      <c r="R428">
        <f t="shared" ca="1" si="115"/>
        <v>18941.037964287265</v>
      </c>
      <c r="S428">
        <f t="shared" ca="1" si="116"/>
        <v>3.8804008639348591</v>
      </c>
      <c r="T428">
        <f t="shared" ca="1" si="117"/>
        <v>3</v>
      </c>
      <c r="U428">
        <f t="shared" ca="1" si="118"/>
        <v>18948</v>
      </c>
      <c r="V428">
        <f t="shared" ca="1" si="119"/>
        <v>3.5527500000000001</v>
      </c>
      <c r="X428">
        <f t="shared" ca="1" si="120"/>
        <v>3.548359044587849</v>
      </c>
    </row>
    <row r="429" spans="5:24" x14ac:dyDescent="0.25">
      <c r="E429">
        <v>427</v>
      </c>
      <c r="F429">
        <f t="shared" si="104"/>
        <v>62.7</v>
      </c>
      <c r="G429">
        <f t="shared" ca="1" si="105"/>
        <v>62.709000000000003</v>
      </c>
      <c r="H429" s="5">
        <f t="shared" ca="1" si="106"/>
        <v>9.0000000000003411E-3</v>
      </c>
      <c r="I429" s="5">
        <f t="shared" ca="1" si="107"/>
        <v>1.4354066985646476E-4</v>
      </c>
      <c r="J429" s="10">
        <f t="shared" si="108"/>
        <v>3.5583333333333327</v>
      </c>
      <c r="K429" s="12">
        <f t="shared" ca="1" si="109"/>
        <v>3.5590833333333327</v>
      </c>
      <c r="L429" s="5">
        <f t="shared" ca="1" si="110"/>
        <v>2.1077283372366142E-4</v>
      </c>
      <c r="N429">
        <f t="shared" ca="1" si="111"/>
        <v>37.709000000000003</v>
      </c>
      <c r="O429">
        <f t="shared" ca="1" si="112"/>
        <v>1.0565635000000001E-3</v>
      </c>
      <c r="P429">
        <f t="shared" ca="1" si="113"/>
        <v>1.000942725</v>
      </c>
      <c r="Q429">
        <f t="shared" ca="1" si="114"/>
        <v>3.561381010619924</v>
      </c>
      <c r="R429">
        <f t="shared" ca="1" si="115"/>
        <v>18994.032056639593</v>
      </c>
      <c r="S429">
        <f t="shared" ca="1" si="116"/>
        <v>3.8754183182719357</v>
      </c>
      <c r="T429">
        <f t="shared" ca="1" si="117"/>
        <v>-3</v>
      </c>
      <c r="U429">
        <f t="shared" ca="1" si="118"/>
        <v>18995</v>
      </c>
      <c r="V429">
        <f t="shared" ca="1" si="119"/>
        <v>3.5615625</v>
      </c>
      <c r="X429">
        <f t="shared" ca="1" si="120"/>
        <v>3.5571525198906859</v>
      </c>
    </row>
    <row r="430" spans="5:24" x14ac:dyDescent="0.25">
      <c r="E430">
        <v>428</v>
      </c>
      <c r="F430">
        <f t="shared" si="104"/>
        <v>62.800000000000004</v>
      </c>
      <c r="G430">
        <f t="shared" ca="1" si="105"/>
        <v>62.807000000000002</v>
      </c>
      <c r="H430" s="5">
        <f t="shared" ca="1" si="106"/>
        <v>6.9999999999978968E-3</v>
      </c>
      <c r="I430" s="5">
        <f t="shared" ca="1" si="107"/>
        <v>1.1146496815283274E-4</v>
      </c>
      <c r="J430" s="10">
        <f t="shared" si="108"/>
        <v>3.5666666666666664</v>
      </c>
      <c r="K430" s="12">
        <f t="shared" ca="1" si="109"/>
        <v>3.5672499999999996</v>
      </c>
      <c r="L430" s="5">
        <f t="shared" ca="1" si="110"/>
        <v>1.6355140186910975E-4</v>
      </c>
      <c r="N430">
        <f t="shared" ca="1" si="111"/>
        <v>37.807000000000002</v>
      </c>
      <c r="O430">
        <f t="shared" ca="1" si="112"/>
        <v>1.0567104999999999E-3</v>
      </c>
      <c r="P430">
        <f t="shared" ca="1" si="113"/>
        <v>1.000945175</v>
      </c>
      <c r="Q430">
        <f t="shared" ca="1" si="114"/>
        <v>3.569563966242403</v>
      </c>
      <c r="R430">
        <f t="shared" ca="1" si="115"/>
        <v>19037.674486626151</v>
      </c>
      <c r="S430">
        <f t="shared" ca="1" si="116"/>
        <v>3.8712399004799476</v>
      </c>
      <c r="T430">
        <f t="shared" ca="1" si="117"/>
        <v>3</v>
      </c>
      <c r="U430">
        <f t="shared" ca="1" si="118"/>
        <v>19045</v>
      </c>
      <c r="V430">
        <f t="shared" ca="1" si="119"/>
        <v>3.5709374999999999</v>
      </c>
      <c r="X430">
        <f t="shared" ca="1" si="120"/>
        <v>3.5665098135869431</v>
      </c>
    </row>
    <row r="431" spans="5:24" x14ac:dyDescent="0.25">
      <c r="E431">
        <v>429</v>
      </c>
      <c r="F431">
        <f t="shared" si="104"/>
        <v>62.900000000000006</v>
      </c>
      <c r="G431">
        <f t="shared" ca="1" si="105"/>
        <v>62.890000000000008</v>
      </c>
      <c r="H431" s="5">
        <f t="shared" ca="1" si="106"/>
        <v>9.9999999999980105E-3</v>
      </c>
      <c r="I431" s="5">
        <f t="shared" ca="1" si="107"/>
        <v>1.5898251192365676E-4</v>
      </c>
      <c r="J431" s="10">
        <f t="shared" si="108"/>
        <v>3.5750000000000002</v>
      </c>
      <c r="K431" s="12">
        <f t="shared" ca="1" si="109"/>
        <v>3.5741666666666667</v>
      </c>
      <c r="L431" s="5">
        <f t="shared" ca="1" si="110"/>
        <v>2.3310023310026953E-4</v>
      </c>
      <c r="N431">
        <f t="shared" ca="1" si="111"/>
        <v>37.890000000000008</v>
      </c>
      <c r="O431">
        <f t="shared" ca="1" si="112"/>
        <v>1.0568350000000001E-3</v>
      </c>
      <c r="P431">
        <f t="shared" ca="1" si="113"/>
        <v>1.0009472500000001</v>
      </c>
      <c r="Q431">
        <f t="shared" ca="1" si="114"/>
        <v>3.5764944599547133</v>
      </c>
      <c r="R431">
        <f t="shared" ca="1" si="115"/>
        <v>19074.63711975847</v>
      </c>
      <c r="S431">
        <f t="shared" ca="1" si="116"/>
        <v>3.8676480091147796</v>
      </c>
      <c r="T431">
        <f t="shared" ca="1" si="117"/>
        <v>-2</v>
      </c>
      <c r="U431">
        <f t="shared" ca="1" si="118"/>
        <v>19077</v>
      </c>
      <c r="V431">
        <f t="shared" ca="1" si="119"/>
        <v>3.5769375000000001</v>
      </c>
      <c r="X431">
        <f t="shared" ca="1" si="120"/>
        <v>3.5724966175789983</v>
      </c>
    </row>
    <row r="432" spans="5:24" x14ac:dyDescent="0.25">
      <c r="E432">
        <v>430</v>
      </c>
      <c r="F432">
        <f t="shared" si="104"/>
        <v>63</v>
      </c>
      <c r="G432">
        <f t="shared" ca="1" si="105"/>
        <v>62.99</v>
      </c>
      <c r="H432" s="5">
        <f t="shared" ca="1" si="106"/>
        <v>9.9999999999980105E-3</v>
      </c>
      <c r="I432" s="5">
        <f t="shared" ca="1" si="107"/>
        <v>1.5873015873012715E-4</v>
      </c>
      <c r="J432" s="10">
        <f t="shared" si="108"/>
        <v>3.583333333333333</v>
      </c>
      <c r="K432" s="12">
        <f t="shared" ca="1" si="109"/>
        <v>3.5824999999999996</v>
      </c>
      <c r="L432" s="5">
        <f t="shared" ca="1" si="110"/>
        <v>2.3255813953492008E-4</v>
      </c>
      <c r="N432">
        <f t="shared" ca="1" si="111"/>
        <v>37.99</v>
      </c>
      <c r="O432">
        <f t="shared" ca="1" si="112"/>
        <v>1.0569850000000001E-3</v>
      </c>
      <c r="P432">
        <f t="shared" ca="1" si="113"/>
        <v>1.00094975</v>
      </c>
      <c r="Q432">
        <f t="shared" ca="1" si="114"/>
        <v>3.584844490503496</v>
      </c>
      <c r="R432">
        <f t="shared" ca="1" si="115"/>
        <v>19119.170616018644</v>
      </c>
      <c r="S432">
        <f t="shared" ca="1" si="116"/>
        <v>3.8632559015867272</v>
      </c>
      <c r="T432">
        <f t="shared" ca="1" si="117"/>
        <v>-1</v>
      </c>
      <c r="U432">
        <f t="shared" ca="1" si="118"/>
        <v>19122</v>
      </c>
      <c r="V432">
        <f t="shared" ca="1" si="119"/>
        <v>3.585375</v>
      </c>
      <c r="X432">
        <f t="shared" ca="1" si="120"/>
        <v>3.5809170390421698</v>
      </c>
    </row>
    <row r="433" spans="5:24" x14ac:dyDescent="0.25">
      <c r="E433">
        <v>431</v>
      </c>
      <c r="F433">
        <f t="shared" si="104"/>
        <v>63.1</v>
      </c>
      <c r="G433">
        <f t="shared" ca="1" si="105"/>
        <v>63.103000000000002</v>
      </c>
      <c r="H433" s="5">
        <f t="shared" ca="1" si="106"/>
        <v>3.0000000000001137E-3</v>
      </c>
      <c r="I433" s="5">
        <f t="shared" ca="1" si="107"/>
        <v>4.7543581616483574E-5</v>
      </c>
      <c r="J433" s="10">
        <f t="shared" si="108"/>
        <v>3.5916666666666659</v>
      </c>
      <c r="K433" s="12">
        <f t="shared" ca="1" si="109"/>
        <v>3.5919166666666662</v>
      </c>
      <c r="L433" s="5">
        <f t="shared" ca="1" si="110"/>
        <v>6.9605568445560718E-5</v>
      </c>
      <c r="N433">
        <f t="shared" ca="1" si="111"/>
        <v>38.103000000000002</v>
      </c>
      <c r="O433">
        <f t="shared" ca="1" si="112"/>
        <v>1.0571545E-3</v>
      </c>
      <c r="P433">
        <f t="shared" ca="1" si="113"/>
        <v>1.0009525749999999</v>
      </c>
      <c r="Q433">
        <f t="shared" ca="1" si="114"/>
        <v>3.5942800751664676</v>
      </c>
      <c r="R433">
        <f t="shared" ca="1" si="115"/>
        <v>19169.49373422116</v>
      </c>
      <c r="S433">
        <f t="shared" ca="1" si="116"/>
        <v>3.8582080443902749</v>
      </c>
      <c r="T433">
        <f t="shared" ca="1" si="117"/>
        <v>3</v>
      </c>
      <c r="U433">
        <f t="shared" ca="1" si="118"/>
        <v>19176</v>
      </c>
      <c r="V433">
        <f t="shared" ca="1" si="119"/>
        <v>3.5954999999999999</v>
      </c>
      <c r="X433">
        <f t="shared" ca="1" si="120"/>
        <v>3.5910221275968044</v>
      </c>
    </row>
    <row r="434" spans="5:24" x14ac:dyDescent="0.25">
      <c r="E434">
        <v>432</v>
      </c>
      <c r="F434">
        <f t="shared" si="104"/>
        <v>63.2</v>
      </c>
      <c r="G434">
        <f t="shared" ca="1" si="105"/>
        <v>63.195</v>
      </c>
      <c r="H434" s="5">
        <f t="shared" ca="1" si="106"/>
        <v>5.000000000002558E-3</v>
      </c>
      <c r="I434" s="5">
        <f t="shared" ca="1" si="107"/>
        <v>7.9113924050673381E-5</v>
      </c>
      <c r="J434" s="10">
        <f t="shared" si="108"/>
        <v>3.5999999999999996</v>
      </c>
      <c r="K434" s="12">
        <f t="shared" ca="1" si="109"/>
        <v>3.5995833333333325</v>
      </c>
      <c r="L434" s="5">
        <f t="shared" ca="1" si="110"/>
        <v>1.1574074074088221E-4</v>
      </c>
      <c r="N434">
        <f t="shared" ca="1" si="111"/>
        <v>38.195</v>
      </c>
      <c r="O434">
        <f t="shared" ca="1" si="112"/>
        <v>1.0572925E-3</v>
      </c>
      <c r="P434">
        <f t="shared" ca="1" si="113"/>
        <v>1.0009548749999999</v>
      </c>
      <c r="Q434">
        <f t="shared" ca="1" si="114"/>
        <v>3.6019621833865729</v>
      </c>
      <c r="R434">
        <f t="shared" ca="1" si="115"/>
        <v>19210.464978061722</v>
      </c>
      <c r="S434">
        <f t="shared" ca="1" si="116"/>
        <v>3.854031933005698</v>
      </c>
      <c r="T434">
        <f t="shared" ca="1" si="117"/>
        <v>3</v>
      </c>
      <c r="U434">
        <f t="shared" ca="1" si="118"/>
        <v>19217</v>
      </c>
      <c r="V434">
        <f t="shared" ca="1" si="119"/>
        <v>3.6031875000000002</v>
      </c>
      <c r="X434">
        <f t="shared" ca="1" si="120"/>
        <v>3.5986939046577904</v>
      </c>
    </row>
    <row r="435" spans="5:24" x14ac:dyDescent="0.25">
      <c r="E435">
        <v>433</v>
      </c>
      <c r="F435">
        <f t="shared" si="104"/>
        <v>63.300000000000004</v>
      </c>
      <c r="G435">
        <f t="shared" ca="1" si="105"/>
        <v>63.298000000000002</v>
      </c>
      <c r="H435" s="5">
        <f t="shared" ca="1" si="106"/>
        <v>2.0000000000024443E-3</v>
      </c>
      <c r="I435" s="5">
        <f t="shared" ca="1" si="107"/>
        <v>3.1595576619311914E-5</v>
      </c>
      <c r="J435" s="10">
        <f t="shared" si="108"/>
        <v>3.6083333333333334</v>
      </c>
      <c r="K435" s="12">
        <f t="shared" ca="1" si="109"/>
        <v>3.6081666666666665</v>
      </c>
      <c r="L435" s="5">
        <f t="shared" ca="1" si="110"/>
        <v>4.6189376443474463E-5</v>
      </c>
      <c r="N435">
        <f t="shared" ca="1" si="111"/>
        <v>38.298000000000002</v>
      </c>
      <c r="O435">
        <f t="shared" ca="1" si="112"/>
        <v>1.057447E-3</v>
      </c>
      <c r="P435">
        <f t="shared" ca="1" si="113"/>
        <v>1.00095745</v>
      </c>
      <c r="Q435">
        <f t="shared" ca="1" si="114"/>
        <v>3.6105628463890365</v>
      </c>
      <c r="R435">
        <f t="shared" ca="1" si="115"/>
        <v>19256.335180741527</v>
      </c>
      <c r="S435">
        <f t="shared" ca="1" si="116"/>
        <v>3.8492859269276378</v>
      </c>
      <c r="T435">
        <f t="shared" ca="1" si="117"/>
        <v>3</v>
      </c>
      <c r="U435">
        <f t="shared" ca="1" si="118"/>
        <v>19263</v>
      </c>
      <c r="V435">
        <f t="shared" ca="1" si="119"/>
        <v>3.6118125000000001</v>
      </c>
      <c r="X435">
        <f t="shared" ca="1" si="120"/>
        <v>3.6073012424254398</v>
      </c>
    </row>
    <row r="436" spans="5:24" x14ac:dyDescent="0.25">
      <c r="E436">
        <v>434</v>
      </c>
      <c r="F436">
        <f t="shared" si="104"/>
        <v>63.400000000000006</v>
      </c>
      <c r="G436">
        <f t="shared" ca="1" si="105"/>
        <v>63.404000000000003</v>
      </c>
      <c r="H436" s="5">
        <f t="shared" ca="1" si="106"/>
        <v>3.9999999999977831E-3</v>
      </c>
      <c r="I436" s="5">
        <f t="shared" ca="1" si="107"/>
        <v>6.3091482649807297E-5</v>
      </c>
      <c r="J436" s="10">
        <f t="shared" si="108"/>
        <v>3.6166666666666663</v>
      </c>
      <c r="K436" s="12">
        <f t="shared" ca="1" si="109"/>
        <v>3.617</v>
      </c>
      <c r="L436" s="5">
        <f t="shared" ca="1" si="110"/>
        <v>9.2165898617624169E-5</v>
      </c>
      <c r="N436">
        <f t="shared" ca="1" si="111"/>
        <v>38.404000000000003</v>
      </c>
      <c r="O436">
        <f t="shared" ca="1" si="112"/>
        <v>1.057606E-3</v>
      </c>
      <c r="P436">
        <f t="shared" ca="1" si="113"/>
        <v>1.0009600999999999</v>
      </c>
      <c r="Q436">
        <f t="shared" ca="1" si="114"/>
        <v>3.6194140602924794</v>
      </c>
      <c r="R436">
        <f t="shared" ca="1" si="115"/>
        <v>19303.541654893223</v>
      </c>
      <c r="S436">
        <f t="shared" ca="1" si="116"/>
        <v>3.8443239325783289</v>
      </c>
      <c r="T436">
        <f t="shared" ca="1" si="117"/>
        <v>-1</v>
      </c>
      <c r="U436">
        <f t="shared" ca="1" si="118"/>
        <v>19306</v>
      </c>
      <c r="V436">
        <f t="shared" ca="1" si="119"/>
        <v>3.619875</v>
      </c>
      <c r="X436">
        <f t="shared" ca="1" si="120"/>
        <v>3.6153463000173538</v>
      </c>
    </row>
    <row r="437" spans="5:24" x14ac:dyDescent="0.25">
      <c r="E437">
        <v>435</v>
      </c>
      <c r="F437">
        <f t="shared" si="104"/>
        <v>63.5</v>
      </c>
      <c r="G437">
        <f t="shared" ca="1" si="105"/>
        <v>63.491999999999997</v>
      </c>
      <c r="H437" s="5">
        <f t="shared" ca="1" si="106"/>
        <v>8.0000000000026716E-3</v>
      </c>
      <c r="I437" s="5">
        <f t="shared" ca="1" si="107"/>
        <v>1.2598425196854601E-4</v>
      </c>
      <c r="J437" s="10">
        <f t="shared" si="108"/>
        <v>3.6249999999999991</v>
      </c>
      <c r="K437" s="12">
        <f t="shared" ca="1" si="109"/>
        <v>3.6243333333333325</v>
      </c>
      <c r="L437" s="5">
        <f t="shared" ca="1" si="110"/>
        <v>1.8390804597699127E-4</v>
      </c>
      <c r="N437">
        <f t="shared" ca="1" si="111"/>
        <v>38.491999999999997</v>
      </c>
      <c r="O437">
        <f t="shared" ca="1" si="112"/>
        <v>1.0577379999999999E-3</v>
      </c>
      <c r="P437">
        <f t="shared" ca="1" si="113"/>
        <v>1.0009623000000001</v>
      </c>
      <c r="Q437">
        <f t="shared" ca="1" si="114"/>
        <v>3.6267622734387222</v>
      </c>
      <c r="R437">
        <f t="shared" ca="1" si="115"/>
        <v>19342.732125006518</v>
      </c>
      <c r="S437">
        <f t="shared" ca="1" si="116"/>
        <v>3.8401446937152053</v>
      </c>
      <c r="T437">
        <f t="shared" ca="1" si="117"/>
        <v>3</v>
      </c>
      <c r="U437">
        <f t="shared" ca="1" si="118"/>
        <v>19350</v>
      </c>
      <c r="V437">
        <f t="shared" ca="1" si="119"/>
        <v>3.6281250000000003</v>
      </c>
      <c r="X437">
        <f t="shared" ca="1" si="120"/>
        <v>3.6235802906862724</v>
      </c>
    </row>
    <row r="438" spans="5:24" x14ac:dyDescent="0.25">
      <c r="E438">
        <v>436</v>
      </c>
      <c r="F438">
        <f t="shared" si="104"/>
        <v>63.6</v>
      </c>
      <c r="G438">
        <f t="shared" ca="1" si="105"/>
        <v>63.597999999999999</v>
      </c>
      <c r="H438" s="5">
        <f t="shared" ca="1" si="106"/>
        <v>2.0000000000024443E-3</v>
      </c>
      <c r="I438" s="5">
        <f t="shared" ca="1" si="107"/>
        <v>3.1446540880541578E-5</v>
      </c>
      <c r="J438" s="10">
        <f t="shared" si="108"/>
        <v>3.6333333333333329</v>
      </c>
      <c r="K438" s="12">
        <f t="shared" ca="1" si="109"/>
        <v>3.633166666666666</v>
      </c>
      <c r="L438" s="5">
        <f t="shared" ca="1" si="110"/>
        <v>4.587155963308359E-5</v>
      </c>
      <c r="N438">
        <f t="shared" ca="1" si="111"/>
        <v>38.597999999999999</v>
      </c>
      <c r="O438">
        <f t="shared" ca="1" si="112"/>
        <v>1.0578969999999999E-3</v>
      </c>
      <c r="P438">
        <f t="shared" ca="1" si="113"/>
        <v>1.00096495</v>
      </c>
      <c r="Q438">
        <f t="shared" ca="1" si="114"/>
        <v>3.6356135730239556</v>
      </c>
      <c r="R438">
        <f t="shared" ca="1" si="115"/>
        <v>19389.939056127761</v>
      </c>
      <c r="S438">
        <f t="shared" ca="1" si="116"/>
        <v>3.8350386096542026</v>
      </c>
      <c r="T438">
        <f t="shared" ca="1" si="117"/>
        <v>2</v>
      </c>
      <c r="U438">
        <f t="shared" ca="1" si="118"/>
        <v>19396</v>
      </c>
      <c r="V438">
        <f t="shared" ca="1" si="119"/>
        <v>3.6367500000000001</v>
      </c>
      <c r="X438">
        <f t="shared" ca="1" si="120"/>
        <v>3.6321872239382613</v>
      </c>
    </row>
    <row r="439" spans="5:24" x14ac:dyDescent="0.25">
      <c r="E439">
        <v>437</v>
      </c>
      <c r="F439">
        <f t="shared" si="104"/>
        <v>63.7</v>
      </c>
      <c r="G439">
        <f t="shared" ca="1" si="105"/>
        <v>63.701000000000001</v>
      </c>
      <c r="H439" s="5">
        <f t="shared" ca="1" si="106"/>
        <v>9.9999999999766942E-4</v>
      </c>
      <c r="I439" s="5">
        <f t="shared" ca="1" si="107"/>
        <v>1.569858712712197E-5</v>
      </c>
      <c r="J439" s="10">
        <f t="shared" si="108"/>
        <v>3.6416666666666666</v>
      </c>
      <c r="K439" s="12">
        <f t="shared" ca="1" si="109"/>
        <v>3.6417499999999992</v>
      </c>
      <c r="L439" s="5">
        <f t="shared" ca="1" si="110"/>
        <v>2.2883295194292083E-5</v>
      </c>
      <c r="N439">
        <f t="shared" ca="1" si="111"/>
        <v>38.701000000000001</v>
      </c>
      <c r="O439">
        <f t="shared" ca="1" si="112"/>
        <v>1.0580515000000001E-3</v>
      </c>
      <c r="P439">
        <f t="shared" ca="1" si="113"/>
        <v>1.0009675250000001</v>
      </c>
      <c r="Q439">
        <f t="shared" ca="1" si="114"/>
        <v>3.6442144089774722</v>
      </c>
      <c r="R439">
        <f t="shared" ca="1" si="115"/>
        <v>19435.810181213186</v>
      </c>
      <c r="S439">
        <f t="shared" ca="1" si="116"/>
        <v>3.8300017572745482</v>
      </c>
      <c r="T439">
        <f t="shared" ca="1" si="117"/>
        <v>-3</v>
      </c>
      <c r="U439">
        <f t="shared" ca="1" si="118"/>
        <v>19437</v>
      </c>
      <c r="V439">
        <f t="shared" ca="1" si="119"/>
        <v>3.6444375</v>
      </c>
      <c r="X439">
        <f t="shared" ca="1" si="120"/>
        <v>3.6398577950868085</v>
      </c>
    </row>
    <row r="440" spans="5:24" x14ac:dyDescent="0.25">
      <c r="E440">
        <v>438</v>
      </c>
      <c r="F440">
        <f t="shared" si="104"/>
        <v>63.800000000000004</v>
      </c>
      <c r="G440">
        <f t="shared" ca="1" si="105"/>
        <v>63.793000000000006</v>
      </c>
      <c r="H440" s="5">
        <f t="shared" ca="1" si="106"/>
        <v>6.9999999999978968E-3</v>
      </c>
      <c r="I440" s="5">
        <f t="shared" ca="1" si="107"/>
        <v>1.0971786833852502E-4</v>
      </c>
      <c r="J440" s="10">
        <f t="shared" si="108"/>
        <v>3.6499999999999995</v>
      </c>
      <c r="K440" s="12">
        <f t="shared" ca="1" si="109"/>
        <v>3.6494166666666663</v>
      </c>
      <c r="L440" s="5">
        <f t="shared" ca="1" si="110"/>
        <v>1.5981735159812551E-4</v>
      </c>
      <c r="N440">
        <f t="shared" ca="1" si="111"/>
        <v>38.793000000000006</v>
      </c>
      <c r="O440">
        <f t="shared" ca="1" si="112"/>
        <v>1.0581895000000001E-3</v>
      </c>
      <c r="P440">
        <f t="shared" ca="1" si="113"/>
        <v>1.0009698250000001</v>
      </c>
      <c r="Q440">
        <f t="shared" ca="1" si="114"/>
        <v>3.6518967464267846</v>
      </c>
      <c r="R440">
        <f t="shared" ca="1" si="115"/>
        <v>19476.782647609518</v>
      </c>
      <c r="S440">
        <f t="shared" ca="1" si="116"/>
        <v>3.8254401640645823</v>
      </c>
      <c r="T440">
        <f t="shared" ca="1" si="117"/>
        <v>2</v>
      </c>
      <c r="U440">
        <f t="shared" ca="1" si="118"/>
        <v>19483</v>
      </c>
      <c r="V440">
        <f t="shared" ca="1" si="119"/>
        <v>3.6530624999999999</v>
      </c>
      <c r="X440">
        <f t="shared" ca="1" si="120"/>
        <v>3.6484659370226264</v>
      </c>
    </row>
    <row r="441" spans="5:24" x14ac:dyDescent="0.25">
      <c r="E441">
        <v>439</v>
      </c>
      <c r="F441">
        <f t="shared" si="104"/>
        <v>63.900000000000006</v>
      </c>
      <c r="G441">
        <f t="shared" ca="1" si="105"/>
        <v>63.909000000000006</v>
      </c>
      <c r="H441" s="5">
        <f t="shared" ca="1" si="106"/>
        <v>9.0000000000003411E-3</v>
      </c>
      <c r="I441" s="5">
        <f t="shared" ca="1" si="107"/>
        <v>1.4084507042254053E-4</v>
      </c>
      <c r="J441" s="10">
        <f t="shared" si="108"/>
        <v>3.6583333333333332</v>
      </c>
      <c r="K441" s="12">
        <f t="shared" ca="1" si="109"/>
        <v>3.6590833333333332</v>
      </c>
      <c r="L441" s="5">
        <f t="shared" ca="1" si="110"/>
        <v>2.0501138952164788E-4</v>
      </c>
      <c r="N441">
        <f t="shared" ca="1" si="111"/>
        <v>38.909000000000006</v>
      </c>
      <c r="O441">
        <f t="shared" ca="1" si="112"/>
        <v>1.0583635000000001E-3</v>
      </c>
      <c r="P441">
        <f t="shared" ca="1" si="113"/>
        <v>1.000972725</v>
      </c>
      <c r="Q441">
        <f t="shared" ca="1" si="114"/>
        <v>3.6615832221721147</v>
      </c>
      <c r="R441">
        <f t="shared" ca="1" si="115"/>
        <v>19528.443851584612</v>
      </c>
      <c r="S441">
        <f t="shared" ca="1" si="116"/>
        <v>3.8196044325473633</v>
      </c>
      <c r="T441">
        <f t="shared" ca="1" si="117"/>
        <v>2</v>
      </c>
      <c r="U441">
        <f t="shared" ca="1" si="118"/>
        <v>19534</v>
      </c>
      <c r="V441">
        <f t="shared" ca="1" si="119"/>
        <v>3.6626250000000002</v>
      </c>
      <c r="X441">
        <f t="shared" ca="1" si="120"/>
        <v>3.6580084002788391</v>
      </c>
    </row>
    <row r="442" spans="5:24" x14ac:dyDescent="0.25">
      <c r="E442">
        <v>440</v>
      </c>
      <c r="F442">
        <f t="shared" si="104"/>
        <v>64</v>
      </c>
      <c r="G442">
        <f t="shared" ca="1" si="105"/>
        <v>63.993000000000002</v>
      </c>
      <c r="H442" s="5">
        <f t="shared" ca="1" si="106"/>
        <v>6.9999999999978968E-3</v>
      </c>
      <c r="I442" s="5">
        <f t="shared" ca="1" si="107"/>
        <v>1.0937499999996714E-4</v>
      </c>
      <c r="J442" s="10">
        <f t="shared" si="108"/>
        <v>3.6666666666666661</v>
      </c>
      <c r="K442" s="12">
        <f t="shared" ca="1" si="109"/>
        <v>3.6660833333333329</v>
      </c>
      <c r="L442" s="5">
        <f t="shared" ca="1" si="110"/>
        <v>1.5909090909086132E-4</v>
      </c>
      <c r="N442">
        <f t="shared" ca="1" si="111"/>
        <v>38.993000000000002</v>
      </c>
      <c r="O442">
        <f t="shared" ca="1" si="112"/>
        <v>1.0584895000000001E-3</v>
      </c>
      <c r="P442">
        <f t="shared" ca="1" si="113"/>
        <v>1.0009748249999999</v>
      </c>
      <c r="Q442">
        <f t="shared" ca="1" si="114"/>
        <v>3.6685976016767223</v>
      </c>
      <c r="R442">
        <f t="shared" ca="1" si="115"/>
        <v>19565.853875609184</v>
      </c>
      <c r="S442">
        <f t="shared" ca="1" si="116"/>
        <v>3.8153200344066938</v>
      </c>
      <c r="T442">
        <f t="shared" ca="1" si="117"/>
        <v>-1</v>
      </c>
      <c r="U442">
        <f t="shared" ca="1" si="118"/>
        <v>19569</v>
      </c>
      <c r="V442">
        <f t="shared" ca="1" si="119"/>
        <v>3.6691875</v>
      </c>
      <c r="X442">
        <f t="shared" ca="1" si="120"/>
        <v>3.6645567090061433</v>
      </c>
    </row>
    <row r="443" spans="5:24" x14ac:dyDescent="0.25">
      <c r="E443">
        <v>441</v>
      </c>
      <c r="F443">
        <f t="shared" si="104"/>
        <v>64.099999999999994</v>
      </c>
      <c r="G443">
        <f t="shared" ca="1" si="105"/>
        <v>64.089999999999989</v>
      </c>
      <c r="H443" s="5">
        <f t="shared" ca="1" si="106"/>
        <v>1.0000000000005116E-2</v>
      </c>
      <c r="I443" s="5">
        <f t="shared" ca="1" si="107"/>
        <v>1.5600624024968981E-4</v>
      </c>
      <c r="J443" s="10">
        <f t="shared" si="108"/>
        <v>3.6749999999999989</v>
      </c>
      <c r="K443" s="12">
        <f t="shared" ca="1" si="109"/>
        <v>3.6741666666666655</v>
      </c>
      <c r="L443" s="5">
        <f t="shared" ca="1" si="110"/>
        <v>2.2675736961454799E-4</v>
      </c>
      <c r="N443">
        <f t="shared" ca="1" si="111"/>
        <v>39.089999999999989</v>
      </c>
      <c r="O443">
        <f t="shared" ca="1" si="112"/>
        <v>1.058635E-3</v>
      </c>
      <c r="P443">
        <f t="shared" ca="1" si="113"/>
        <v>1.00097725</v>
      </c>
      <c r="Q443">
        <f t="shared" ca="1" si="114"/>
        <v>3.6766975764906116</v>
      </c>
      <c r="R443">
        <f t="shared" ca="1" si="115"/>
        <v>19609.05374128326</v>
      </c>
      <c r="S443">
        <f t="shared" ca="1" si="116"/>
        <v>3.8103114938653984</v>
      </c>
      <c r="T443">
        <f t="shared" ca="1" si="117"/>
        <v>1</v>
      </c>
      <c r="U443">
        <f t="shared" ca="1" si="118"/>
        <v>19614</v>
      </c>
      <c r="V443">
        <f t="shared" ca="1" si="119"/>
        <v>3.6776249999999999</v>
      </c>
      <c r="X443">
        <f t="shared" ca="1" si="120"/>
        <v>3.6729769482772956</v>
      </c>
    </row>
    <row r="444" spans="5:24" x14ac:dyDescent="0.25">
      <c r="E444">
        <v>442</v>
      </c>
      <c r="F444">
        <f t="shared" si="104"/>
        <v>64.2</v>
      </c>
      <c r="G444">
        <f t="shared" ca="1" si="105"/>
        <v>64.195999999999998</v>
      </c>
      <c r="H444" s="5">
        <f t="shared" ca="1" si="106"/>
        <v>4.0000000000048885E-3</v>
      </c>
      <c r="I444" s="5">
        <f t="shared" ca="1" si="107"/>
        <v>6.2305295950231912E-5</v>
      </c>
      <c r="J444" s="10">
        <f t="shared" si="108"/>
        <v>3.6833333333333327</v>
      </c>
      <c r="K444" s="12">
        <f t="shared" ca="1" si="109"/>
        <v>3.6829999999999989</v>
      </c>
      <c r="L444" s="5">
        <f t="shared" ca="1" si="110"/>
        <v>9.04977375566717E-5</v>
      </c>
      <c r="N444">
        <f t="shared" ca="1" si="111"/>
        <v>39.195999999999998</v>
      </c>
      <c r="O444">
        <f t="shared" ca="1" si="112"/>
        <v>1.0587940000000001E-3</v>
      </c>
      <c r="P444">
        <f t="shared" ca="1" si="113"/>
        <v>1.0009798999999999</v>
      </c>
      <c r="Q444">
        <f t="shared" ca="1" si="114"/>
        <v>3.6855491401877583</v>
      </c>
      <c r="R444">
        <f t="shared" ca="1" si="115"/>
        <v>19656.262081001376</v>
      </c>
      <c r="S444">
        <f t="shared" ca="1" si="116"/>
        <v>3.8047634781726782</v>
      </c>
      <c r="T444">
        <f t="shared" ca="1" si="117"/>
        <v>2</v>
      </c>
      <c r="U444">
        <f t="shared" ca="1" si="118"/>
        <v>19662</v>
      </c>
      <c r="V444">
        <f t="shared" ca="1" si="119"/>
        <v>3.6866250000000003</v>
      </c>
      <c r="X444">
        <f t="shared" ca="1" si="120"/>
        <v>3.6819582551058225</v>
      </c>
    </row>
    <row r="445" spans="5:24" x14ac:dyDescent="0.25">
      <c r="E445">
        <v>443</v>
      </c>
      <c r="F445">
        <f t="shared" si="104"/>
        <v>64.300000000000011</v>
      </c>
      <c r="G445">
        <f t="shared" ca="1" si="105"/>
        <v>64.299000000000007</v>
      </c>
      <c r="H445" s="5">
        <f t="shared" ca="1" si="106"/>
        <v>1.0000000000047748E-3</v>
      </c>
      <c r="I445" s="5">
        <f t="shared" ca="1" si="107"/>
        <v>1.5552099533511271E-5</v>
      </c>
      <c r="J445" s="10">
        <f t="shared" si="108"/>
        <v>3.6916666666666673</v>
      </c>
      <c r="K445" s="12">
        <f t="shared" ca="1" si="109"/>
        <v>3.691583333333333</v>
      </c>
      <c r="L445" s="5">
        <f t="shared" ca="1" si="110"/>
        <v>2.2573363431419415E-5</v>
      </c>
      <c r="N445">
        <f t="shared" ca="1" si="111"/>
        <v>39.299000000000007</v>
      </c>
      <c r="O445">
        <f t="shared" ca="1" si="112"/>
        <v>1.0589485E-3</v>
      </c>
      <c r="P445">
        <f t="shared" ca="1" si="113"/>
        <v>1.000982475</v>
      </c>
      <c r="Q445">
        <f t="shared" ca="1" si="114"/>
        <v>3.6941502327783224</v>
      </c>
      <c r="R445">
        <f t="shared" ca="1" si="115"/>
        <v>19702.134574817719</v>
      </c>
      <c r="S445">
        <f t="shared" ca="1" si="116"/>
        <v>3.7992977889605339</v>
      </c>
      <c r="T445">
        <f t="shared" ca="1" si="117"/>
        <v>0</v>
      </c>
      <c r="U445">
        <f t="shared" ca="1" si="118"/>
        <v>19706</v>
      </c>
      <c r="V445">
        <f t="shared" ca="1" si="119"/>
        <v>3.6948750000000001</v>
      </c>
      <c r="X445">
        <f t="shared" ca="1" si="120"/>
        <v>3.6901905315575081</v>
      </c>
    </row>
    <row r="446" spans="5:24" x14ac:dyDescent="0.25">
      <c r="E446">
        <v>444</v>
      </c>
      <c r="F446">
        <f t="shared" si="104"/>
        <v>64.400000000000006</v>
      </c>
      <c r="G446">
        <f t="shared" ca="1" si="105"/>
        <v>64.39500000000001</v>
      </c>
      <c r="H446" s="5">
        <f t="shared" ca="1" si="106"/>
        <v>4.9999999999954525E-3</v>
      </c>
      <c r="I446" s="5">
        <f t="shared" ca="1" si="107"/>
        <v>7.7639751552724412E-5</v>
      </c>
      <c r="J446" s="10">
        <f t="shared" si="108"/>
        <v>3.7</v>
      </c>
      <c r="K446" s="12">
        <f t="shared" ca="1" si="109"/>
        <v>3.6995833333333339</v>
      </c>
      <c r="L446" s="5">
        <f t="shared" ca="1" si="110"/>
        <v>1.1261261261251018E-4</v>
      </c>
      <c r="N446">
        <f t="shared" ca="1" si="111"/>
        <v>39.39500000000001</v>
      </c>
      <c r="O446">
        <f t="shared" ca="1" si="112"/>
        <v>1.0590924999999999E-3</v>
      </c>
      <c r="P446">
        <f t="shared" ca="1" si="113"/>
        <v>1.0009848750000001</v>
      </c>
      <c r="Q446">
        <f t="shared" ca="1" si="114"/>
        <v>3.7021668248950252</v>
      </c>
      <c r="R446">
        <f t="shared" ca="1" si="115"/>
        <v>19744.889732773467</v>
      </c>
      <c r="S446">
        <f t="shared" ca="1" si="116"/>
        <v>3.7941373615886302</v>
      </c>
      <c r="T446">
        <f t="shared" ca="1" si="117"/>
        <v>3</v>
      </c>
      <c r="U446">
        <f t="shared" ca="1" si="118"/>
        <v>19752</v>
      </c>
      <c r="V446">
        <f t="shared" ca="1" si="119"/>
        <v>3.7035</v>
      </c>
      <c r="X446">
        <f t="shared" ca="1" si="120"/>
        <v>3.6987980537667964</v>
      </c>
    </row>
    <row r="447" spans="5:24" x14ac:dyDescent="0.25">
      <c r="E447">
        <v>445</v>
      </c>
      <c r="F447">
        <f t="shared" si="104"/>
        <v>64.5</v>
      </c>
      <c r="G447">
        <f t="shared" ca="1" si="105"/>
        <v>64.501000000000005</v>
      </c>
      <c r="H447" s="5">
        <f t="shared" ca="1" si="106"/>
        <v>1.0000000000047748E-3</v>
      </c>
      <c r="I447" s="5">
        <f t="shared" ca="1" si="107"/>
        <v>1.5503875969066276E-5</v>
      </c>
      <c r="J447" s="10">
        <f t="shared" si="108"/>
        <v>3.708333333333333</v>
      </c>
      <c r="K447" s="12">
        <f t="shared" ca="1" si="109"/>
        <v>3.7084166666666665</v>
      </c>
      <c r="L447" s="5">
        <f t="shared" ca="1" si="110"/>
        <v>2.2471910112387016E-5</v>
      </c>
      <c r="N447">
        <f t="shared" ca="1" si="111"/>
        <v>39.501000000000005</v>
      </c>
      <c r="O447">
        <f t="shared" ca="1" si="112"/>
        <v>1.0592514999999999E-3</v>
      </c>
      <c r="P447">
        <f t="shared" ca="1" si="113"/>
        <v>1.000987525</v>
      </c>
      <c r="Q447">
        <f t="shared" ca="1" si="114"/>
        <v>3.7110185232980788</v>
      </c>
      <c r="R447">
        <f t="shared" ca="1" si="115"/>
        <v>19792.098790923086</v>
      </c>
      <c r="S447">
        <f t="shared" ca="1" si="116"/>
        <v>3.7883653055811544</v>
      </c>
      <c r="T447">
        <f t="shared" ca="1" si="117"/>
        <v>-3</v>
      </c>
      <c r="U447">
        <f t="shared" ca="1" si="118"/>
        <v>19793</v>
      </c>
      <c r="V447">
        <f t="shared" ca="1" si="119"/>
        <v>3.7111874999999999</v>
      </c>
      <c r="X447">
        <f t="shared" ca="1" si="120"/>
        <v>3.7064680186698631</v>
      </c>
    </row>
    <row r="448" spans="5:24" x14ac:dyDescent="0.25">
      <c r="E448">
        <v>446</v>
      </c>
      <c r="F448">
        <f t="shared" si="104"/>
        <v>64.599999999999994</v>
      </c>
      <c r="G448">
        <f t="shared" ca="1" si="105"/>
        <v>64.600999999999999</v>
      </c>
      <c r="H448" s="5">
        <f t="shared" ca="1" si="106"/>
        <v>1.0000000000047748E-3</v>
      </c>
      <c r="I448" s="5">
        <f t="shared" ca="1" si="107"/>
        <v>1.5479876161064628E-5</v>
      </c>
      <c r="J448" s="10">
        <f t="shared" si="108"/>
        <v>3.7166666666666659</v>
      </c>
      <c r="K448" s="12">
        <f t="shared" ca="1" si="109"/>
        <v>3.7167499999999993</v>
      </c>
      <c r="L448" s="5">
        <f t="shared" ca="1" si="110"/>
        <v>2.2421524663704535E-5</v>
      </c>
      <c r="N448">
        <f t="shared" ca="1" si="111"/>
        <v>39.600999999999999</v>
      </c>
      <c r="O448">
        <f t="shared" ca="1" si="112"/>
        <v>1.0594014999999999E-3</v>
      </c>
      <c r="P448">
        <f t="shared" ca="1" si="113"/>
        <v>1.0009900249999999</v>
      </c>
      <c r="Q448">
        <f t="shared" ca="1" si="114"/>
        <v>3.7193692250847787</v>
      </c>
      <c r="R448">
        <f t="shared" ca="1" si="115"/>
        <v>19836.635867118821</v>
      </c>
      <c r="S448">
        <f t="shared" ca="1" si="116"/>
        <v>3.7828487969548608</v>
      </c>
      <c r="T448">
        <f t="shared" ca="1" si="117"/>
        <v>-3</v>
      </c>
      <c r="U448">
        <f t="shared" ca="1" si="118"/>
        <v>19837</v>
      </c>
      <c r="V448">
        <f t="shared" ca="1" si="119"/>
        <v>3.7194375000000002</v>
      </c>
      <c r="X448">
        <f t="shared" ca="1" si="120"/>
        <v>3.7147004521848261</v>
      </c>
    </row>
    <row r="449" spans="5:24" x14ac:dyDescent="0.25">
      <c r="E449">
        <v>447</v>
      </c>
      <c r="F449">
        <f t="shared" si="104"/>
        <v>64.7</v>
      </c>
      <c r="G449">
        <f t="shared" ca="1" si="105"/>
        <v>64.69</v>
      </c>
      <c r="H449" s="5">
        <f t="shared" ca="1" si="106"/>
        <v>1.0000000000005116E-2</v>
      </c>
      <c r="I449" s="5">
        <f t="shared" ca="1" si="107"/>
        <v>1.5455950540966176E-4</v>
      </c>
      <c r="J449" s="10">
        <f t="shared" si="108"/>
        <v>3.7249999999999996</v>
      </c>
      <c r="K449" s="12">
        <f t="shared" ca="1" si="109"/>
        <v>3.7241666666666662</v>
      </c>
      <c r="L449" s="5">
        <f t="shared" ca="1" si="110"/>
        <v>2.2371364653247348E-4</v>
      </c>
      <c r="N449">
        <f t="shared" ca="1" si="111"/>
        <v>39.69</v>
      </c>
      <c r="O449">
        <f t="shared" ca="1" si="112"/>
        <v>1.0595350000000001E-3</v>
      </c>
      <c r="P449">
        <f t="shared" ca="1" si="113"/>
        <v>1.0009922499999999</v>
      </c>
      <c r="Q449">
        <f t="shared" ca="1" si="114"/>
        <v>3.7268013847180623</v>
      </c>
      <c r="R449">
        <f t="shared" ca="1" si="115"/>
        <v>19876.274051829667</v>
      </c>
      <c r="S449">
        <f t="shared" ca="1" si="116"/>
        <v>3.7778810701933745</v>
      </c>
      <c r="T449">
        <f t="shared" ca="1" si="117"/>
        <v>1</v>
      </c>
      <c r="U449">
        <f t="shared" ca="1" si="118"/>
        <v>19881</v>
      </c>
      <c r="V449">
        <f t="shared" ca="1" si="119"/>
        <v>3.7276875</v>
      </c>
      <c r="X449">
        <f t="shared" ca="1" si="120"/>
        <v>3.7229338838537465</v>
      </c>
    </row>
    <row r="450" spans="5:24" x14ac:dyDescent="0.25">
      <c r="E450">
        <v>448</v>
      </c>
      <c r="F450">
        <f t="shared" si="104"/>
        <v>64.800000000000011</v>
      </c>
      <c r="G450">
        <f t="shared" ca="1" si="105"/>
        <v>64.797000000000011</v>
      </c>
      <c r="H450" s="5">
        <f t="shared" ca="1" si="106"/>
        <v>3.0000000000001137E-3</v>
      </c>
      <c r="I450" s="5">
        <f t="shared" ca="1" si="107"/>
        <v>4.6296296296298042E-5</v>
      </c>
      <c r="J450" s="10">
        <f t="shared" si="108"/>
        <v>3.7333333333333334</v>
      </c>
      <c r="K450" s="12">
        <f t="shared" ca="1" si="109"/>
        <v>3.733083333333334</v>
      </c>
      <c r="L450" s="5">
        <f t="shared" ca="1" si="110"/>
        <v>6.6964285714129647E-5</v>
      </c>
      <c r="N450">
        <f t="shared" ca="1" si="111"/>
        <v>39.797000000000011</v>
      </c>
      <c r="O450">
        <f t="shared" ca="1" si="112"/>
        <v>1.0596955E-3</v>
      </c>
      <c r="P450">
        <f t="shared" ca="1" si="113"/>
        <v>1.0009949250000001</v>
      </c>
      <c r="Q450">
        <f t="shared" ca="1" si="114"/>
        <v>3.7357367214512056</v>
      </c>
      <c r="R450">
        <f t="shared" ca="1" si="115"/>
        <v>19923.929181073097</v>
      </c>
      <c r="S450">
        <f t="shared" ca="1" si="116"/>
        <v>3.771836383458552</v>
      </c>
      <c r="T450">
        <f t="shared" ca="1" si="117"/>
        <v>-1</v>
      </c>
      <c r="U450">
        <f t="shared" ca="1" si="118"/>
        <v>19927</v>
      </c>
      <c r="V450">
        <f t="shared" ca="1" si="119"/>
        <v>3.7363124999999999</v>
      </c>
      <c r="X450">
        <f t="shared" ca="1" si="120"/>
        <v>3.7315402018646595</v>
      </c>
    </row>
    <row r="451" spans="5:24" x14ac:dyDescent="0.25">
      <c r="E451">
        <v>449</v>
      </c>
      <c r="F451">
        <f t="shared" ref="F451:F514" si="121">0.1*E451+20</f>
        <v>64.900000000000006</v>
      </c>
      <c r="G451">
        <f t="shared" ref="G451:G514" ca="1" si="122">F451+(RANDBETWEEN(-10,10)/100)*0.1</f>
        <v>64.897000000000006</v>
      </c>
      <c r="H451" s="5">
        <f t="shared" ref="H451:H514" ca="1" si="123">ABS(F451-G451)</f>
        <v>3.0000000000001137E-3</v>
      </c>
      <c r="I451" s="5">
        <f t="shared" ref="I451:I514" ca="1" si="124">ABS(F451-G451)/F451</f>
        <v>4.6224961479200513E-5</v>
      </c>
      <c r="J451" s="10">
        <f t="shared" ref="J451:J514" si="125">1/12*F451-5/3</f>
        <v>3.7416666666666663</v>
      </c>
      <c r="K451" s="12">
        <f t="shared" ref="K451:K514" ca="1" si="126">(1/12*G451-5/3) + J451*RANDBETWEEN($B$2,$C$2)</f>
        <v>3.7414166666666668</v>
      </c>
      <c r="L451" s="5">
        <f t="shared" ref="L451:L514" ca="1" si="127">IF(J451=0, ABS(J451-K451), ABS(J451-K451)/J451)</f>
        <v>6.6815144765991285E-5</v>
      </c>
      <c r="N451">
        <f t="shared" ref="N451:N514" ca="1" si="128">G451-$B$29</f>
        <v>39.897000000000006</v>
      </c>
      <c r="O451">
        <f t="shared" ref="O451:O514" ca="1" si="129">0.001 + 0.0000015*N451</f>
        <v>1.0598455E-3</v>
      </c>
      <c r="P451">
        <f t="shared" ref="P451:P514" ca="1" si="130">1 + 0.000025*N451</f>
        <v>1.000997425</v>
      </c>
      <c r="Q451">
        <f t="shared" ref="Q451:Q514" ca="1" si="131">(K451-O451)*P451</f>
        <v>3.7440875465690189</v>
      </c>
      <c r="R451">
        <f t="shared" ref="R451:R514" ca="1" si="132">Q451*32768/6.144</f>
        <v>19968.466915034765</v>
      </c>
      <c r="S451">
        <f t="shared" ref="S451:S514" ca="1" si="133">4*SIN(PI()*R451/32768)</f>
        <v>3.7661159335715255</v>
      </c>
      <c r="T451">
        <f t="shared" ref="T451:T514" ca="1" si="134">RANDBETWEEN(-1*$B$15,1*$B$15)</f>
        <v>3</v>
      </c>
      <c r="U451">
        <f t="shared" ref="U451:U514" ca="1" si="135">ROUND(R451+S451+T451,0)</f>
        <v>19975</v>
      </c>
      <c r="V451">
        <f t="shared" ref="V451:V514" ca="1" si="136">U451*6.144/32768</f>
        <v>3.7453125000000003</v>
      </c>
      <c r="X451">
        <f t="shared" ref="X451:X514" ca="1" si="137">(U451*6.144/32768 -O451)/P451</f>
        <v>3.7405217645789652</v>
      </c>
    </row>
    <row r="452" spans="5:24" x14ac:dyDescent="0.25">
      <c r="E452">
        <v>450</v>
      </c>
      <c r="F452">
        <f t="shared" si="121"/>
        <v>65</v>
      </c>
      <c r="G452">
        <f t="shared" ca="1" si="122"/>
        <v>64.994</v>
      </c>
      <c r="H452" s="5">
        <f t="shared" ca="1" si="123"/>
        <v>6.0000000000002274E-3</v>
      </c>
      <c r="I452" s="5">
        <f t="shared" ca="1" si="124"/>
        <v>9.2307692307695799E-5</v>
      </c>
      <c r="J452" s="10">
        <f t="shared" si="125"/>
        <v>3.7499999999999991</v>
      </c>
      <c r="K452" s="12">
        <f t="shared" ca="1" si="126"/>
        <v>3.7494999999999994</v>
      </c>
      <c r="L452" s="5">
        <f t="shared" ca="1" si="127"/>
        <v>1.3333333333325948E-4</v>
      </c>
      <c r="N452">
        <f t="shared" ca="1" si="128"/>
        <v>39.994</v>
      </c>
      <c r="O452">
        <f t="shared" ca="1" si="129"/>
        <v>1.0599909999999999E-3</v>
      </c>
      <c r="P452">
        <f t="shared" ca="1" si="130"/>
        <v>1.0009998499999999</v>
      </c>
      <c r="Q452">
        <f t="shared" ca="1" si="131"/>
        <v>3.7521878867429979</v>
      </c>
      <c r="R452">
        <f t="shared" ca="1" si="132"/>
        <v>20011.668729295987</v>
      </c>
      <c r="S452">
        <f t="shared" ca="1" si="133"/>
        <v>3.7605014603790443</v>
      </c>
      <c r="T452">
        <f t="shared" ca="1" si="134"/>
        <v>3</v>
      </c>
      <c r="U452">
        <f t="shared" ca="1" si="135"/>
        <v>20018</v>
      </c>
      <c r="V452">
        <f t="shared" ca="1" si="136"/>
        <v>3.7533750000000001</v>
      </c>
      <c r="X452">
        <f t="shared" ca="1" si="137"/>
        <v>3.7485670042807704</v>
      </c>
    </row>
    <row r="453" spans="5:24" x14ac:dyDescent="0.25">
      <c r="E453">
        <v>451</v>
      </c>
      <c r="F453">
        <f t="shared" si="121"/>
        <v>65.099999999999994</v>
      </c>
      <c r="G453">
        <f t="shared" ca="1" si="122"/>
        <v>65.10799999999999</v>
      </c>
      <c r="H453" s="5">
        <f t="shared" ca="1" si="123"/>
        <v>7.9999999999955662E-3</v>
      </c>
      <c r="I453" s="5">
        <f t="shared" ca="1" si="124"/>
        <v>1.2288786482328061E-4</v>
      </c>
      <c r="J453" s="10">
        <f t="shared" si="125"/>
        <v>3.758333333333332</v>
      </c>
      <c r="K453" s="12">
        <f t="shared" ca="1" si="126"/>
        <v>3.7589999999999986</v>
      </c>
      <c r="L453" s="5">
        <f t="shared" ca="1" si="127"/>
        <v>1.773835920177189E-4</v>
      </c>
      <c r="N453">
        <f t="shared" ca="1" si="128"/>
        <v>40.10799999999999</v>
      </c>
      <c r="O453">
        <f t="shared" ca="1" si="129"/>
        <v>1.0601619999999999E-3</v>
      </c>
      <c r="P453">
        <f t="shared" ca="1" si="130"/>
        <v>1.0010026999999999</v>
      </c>
      <c r="Q453">
        <f t="shared" ca="1" si="131"/>
        <v>3.7617079242755609</v>
      </c>
      <c r="R453">
        <f t="shared" ca="1" si="132"/>
        <v>20062.44226280299</v>
      </c>
      <c r="S453">
        <f t="shared" ca="1" si="133"/>
        <v>3.7538205155030524</v>
      </c>
      <c r="T453">
        <f t="shared" ca="1" si="134"/>
        <v>1</v>
      </c>
      <c r="U453">
        <f t="shared" ca="1" si="135"/>
        <v>20067</v>
      </c>
      <c r="V453">
        <f t="shared" ca="1" si="136"/>
        <v>3.7625625</v>
      </c>
      <c r="X453">
        <f t="shared" ca="1" si="137"/>
        <v>3.7577344576593052</v>
      </c>
    </row>
    <row r="454" spans="5:24" x14ac:dyDescent="0.25">
      <c r="E454">
        <v>452</v>
      </c>
      <c r="F454">
        <f t="shared" si="121"/>
        <v>65.2</v>
      </c>
      <c r="G454">
        <f t="shared" ca="1" si="122"/>
        <v>65.201999999999998</v>
      </c>
      <c r="H454" s="5">
        <f t="shared" ca="1" si="123"/>
        <v>1.9999999999953388E-3</v>
      </c>
      <c r="I454" s="5">
        <f t="shared" ca="1" si="124"/>
        <v>3.0674846625695377E-5</v>
      </c>
      <c r="J454" s="10">
        <f t="shared" si="125"/>
        <v>3.7666666666666666</v>
      </c>
      <c r="K454" s="12">
        <f t="shared" ca="1" si="126"/>
        <v>3.7668333333333326</v>
      </c>
      <c r="L454" s="5">
        <f t="shared" ca="1" si="127"/>
        <v>4.4247787610437744E-5</v>
      </c>
      <c r="N454">
        <f t="shared" ca="1" si="128"/>
        <v>40.201999999999998</v>
      </c>
      <c r="O454">
        <f t="shared" ca="1" si="129"/>
        <v>1.0603030000000001E-3</v>
      </c>
      <c r="P454">
        <f t="shared" ca="1" si="130"/>
        <v>1.0010050500000001</v>
      </c>
      <c r="Q454">
        <f t="shared" ca="1" si="131"/>
        <v>3.7695578205174693</v>
      </c>
      <c r="R454">
        <f t="shared" ca="1" si="132"/>
        <v>20104.308376093169</v>
      </c>
      <c r="S454">
        <f t="shared" ca="1" si="133"/>
        <v>3.748244718905132</v>
      </c>
      <c r="T454">
        <f t="shared" ca="1" si="134"/>
        <v>3</v>
      </c>
      <c r="U454">
        <f t="shared" ca="1" si="135"/>
        <v>20111</v>
      </c>
      <c r="V454">
        <f t="shared" ca="1" si="136"/>
        <v>3.7708124999999999</v>
      </c>
      <c r="X454">
        <f t="shared" ca="1" si="137"/>
        <v>3.7659672116539267</v>
      </c>
    </row>
    <row r="455" spans="5:24" x14ac:dyDescent="0.25">
      <c r="E455">
        <v>453</v>
      </c>
      <c r="F455">
        <f t="shared" si="121"/>
        <v>65.300000000000011</v>
      </c>
      <c r="G455">
        <f t="shared" ca="1" si="122"/>
        <v>65.299000000000007</v>
      </c>
      <c r="H455" s="5">
        <f t="shared" ca="1" si="123"/>
        <v>1.0000000000047748E-3</v>
      </c>
      <c r="I455" s="5">
        <f t="shared" ca="1" si="124"/>
        <v>1.5313935681543257E-5</v>
      </c>
      <c r="J455" s="10">
        <f t="shared" si="125"/>
        <v>3.7750000000000004</v>
      </c>
      <c r="K455" s="12">
        <f t="shared" ca="1" si="126"/>
        <v>3.7749166666666669</v>
      </c>
      <c r="L455" s="5">
        <f t="shared" ca="1" si="127"/>
        <v>2.2075055187664945E-5</v>
      </c>
      <c r="N455">
        <f t="shared" ca="1" si="128"/>
        <v>40.299000000000007</v>
      </c>
      <c r="O455">
        <f t="shared" ca="1" si="129"/>
        <v>1.0604485E-3</v>
      </c>
      <c r="P455">
        <f t="shared" ca="1" si="130"/>
        <v>1.001007475</v>
      </c>
      <c r="Q455">
        <f t="shared" ca="1" si="131"/>
        <v>3.7776582839600641</v>
      </c>
      <c r="R455">
        <f t="shared" ca="1" si="132"/>
        <v>20147.510847787009</v>
      </c>
      <c r="S455">
        <f t="shared" ca="1" si="133"/>
        <v>3.7424276345494416</v>
      </c>
      <c r="T455">
        <f t="shared" ca="1" si="134"/>
        <v>2</v>
      </c>
      <c r="U455">
        <f t="shared" ca="1" si="135"/>
        <v>20153</v>
      </c>
      <c r="V455">
        <f t="shared" ca="1" si="136"/>
        <v>3.7786875000000002</v>
      </c>
      <c r="X455">
        <f t="shared" ca="1" si="137"/>
        <v>3.7738250171408563</v>
      </c>
    </row>
    <row r="456" spans="5:24" x14ac:dyDescent="0.25">
      <c r="E456">
        <v>454</v>
      </c>
      <c r="F456">
        <f t="shared" si="121"/>
        <v>65.400000000000006</v>
      </c>
      <c r="G456">
        <f t="shared" ca="1" si="122"/>
        <v>65.409000000000006</v>
      </c>
      <c r="H456" s="5">
        <f t="shared" ca="1" si="123"/>
        <v>9.0000000000003411E-3</v>
      </c>
      <c r="I456" s="5">
        <f t="shared" ca="1" si="124"/>
        <v>1.3761467889908776E-4</v>
      </c>
      <c r="J456" s="10">
        <f t="shared" si="125"/>
        <v>3.7833333333333332</v>
      </c>
      <c r="K456" s="12">
        <f t="shared" ca="1" si="126"/>
        <v>3.7840833333333332</v>
      </c>
      <c r="L456" s="5">
        <f t="shared" ca="1" si="127"/>
        <v>1.9823788546256257E-4</v>
      </c>
      <c r="N456">
        <f t="shared" ca="1" si="128"/>
        <v>40.409000000000006</v>
      </c>
      <c r="O456">
        <f t="shared" ca="1" si="129"/>
        <v>1.0606135000000001E-3</v>
      </c>
      <c r="P456">
        <f t="shared" ca="1" si="130"/>
        <v>1.0010102249999999</v>
      </c>
      <c r="Q456">
        <f t="shared" ca="1" si="131"/>
        <v>3.7868444239604764</v>
      </c>
      <c r="R456">
        <f t="shared" ca="1" si="132"/>
        <v>20196.503594455873</v>
      </c>
      <c r="S456">
        <f t="shared" ca="1" si="133"/>
        <v>3.7357532227320598</v>
      </c>
      <c r="T456">
        <f t="shared" ca="1" si="134"/>
        <v>-3</v>
      </c>
      <c r="U456">
        <f t="shared" ca="1" si="135"/>
        <v>20197</v>
      </c>
      <c r="V456">
        <f t="shared" ca="1" si="136"/>
        <v>3.7869375000000001</v>
      </c>
      <c r="X456">
        <f t="shared" ca="1" si="137"/>
        <v>3.7820561588169594</v>
      </c>
    </row>
    <row r="457" spans="5:24" x14ac:dyDescent="0.25">
      <c r="E457">
        <v>455</v>
      </c>
      <c r="F457">
        <f t="shared" si="121"/>
        <v>65.5</v>
      </c>
      <c r="G457">
        <f t="shared" ca="1" si="122"/>
        <v>65.495999999999995</v>
      </c>
      <c r="H457" s="5">
        <f t="shared" ca="1" si="123"/>
        <v>4.0000000000048885E-3</v>
      </c>
      <c r="I457" s="5">
        <f t="shared" ca="1" si="124"/>
        <v>6.1068702290150966E-5</v>
      </c>
      <c r="J457" s="10">
        <f t="shared" si="125"/>
        <v>3.7916666666666661</v>
      </c>
      <c r="K457" s="12">
        <f t="shared" ca="1" si="126"/>
        <v>3.7913333333333323</v>
      </c>
      <c r="L457" s="5">
        <f t="shared" ca="1" si="127"/>
        <v>8.7912087912195367E-5</v>
      </c>
      <c r="N457">
        <f t="shared" ca="1" si="128"/>
        <v>40.495999999999995</v>
      </c>
      <c r="O457">
        <f t="shared" ca="1" si="129"/>
        <v>1.060744E-3</v>
      </c>
      <c r="P457">
        <f t="shared" ca="1" si="130"/>
        <v>1.0010124</v>
      </c>
      <c r="Q457">
        <f t="shared" ca="1" si="131"/>
        <v>3.7941098613027733</v>
      </c>
      <c r="R457">
        <f t="shared" ca="1" si="132"/>
        <v>20235.25259361479</v>
      </c>
      <c r="S457">
        <f t="shared" ca="1" si="133"/>
        <v>3.7304159632051852</v>
      </c>
      <c r="T457">
        <f t="shared" ca="1" si="134"/>
        <v>2</v>
      </c>
      <c r="U457">
        <f t="shared" ca="1" si="135"/>
        <v>20241</v>
      </c>
      <c r="V457">
        <f t="shared" ca="1" si="136"/>
        <v>3.7951874999999999</v>
      </c>
      <c r="X457">
        <f t="shared" ca="1" si="137"/>
        <v>3.790289466943666</v>
      </c>
    </row>
    <row r="458" spans="5:24" x14ac:dyDescent="0.25">
      <c r="E458">
        <v>456</v>
      </c>
      <c r="F458">
        <f t="shared" si="121"/>
        <v>65.599999999999994</v>
      </c>
      <c r="G458">
        <f t="shared" ca="1" si="122"/>
        <v>65.589999999999989</v>
      </c>
      <c r="H458" s="5">
        <f t="shared" ca="1" si="123"/>
        <v>1.0000000000005116E-2</v>
      </c>
      <c r="I458" s="5">
        <f t="shared" ca="1" si="124"/>
        <v>1.5243902439032191E-4</v>
      </c>
      <c r="J458" s="10">
        <f t="shared" si="125"/>
        <v>3.7999999999999989</v>
      </c>
      <c r="K458" s="12">
        <f t="shared" ca="1" si="126"/>
        <v>3.7991666666666655</v>
      </c>
      <c r="L458" s="5">
        <f t="shared" ca="1" si="127"/>
        <v>2.1929824561406943E-4</v>
      </c>
      <c r="N458">
        <f t="shared" ca="1" si="128"/>
        <v>40.589999999999989</v>
      </c>
      <c r="O458">
        <f t="shared" ca="1" si="129"/>
        <v>1.0608849999999999E-3</v>
      </c>
      <c r="P458">
        <f t="shared" ca="1" si="130"/>
        <v>1.00101475</v>
      </c>
      <c r="Q458">
        <f t="shared" ca="1" si="131"/>
        <v>3.8019599095086116</v>
      </c>
      <c r="R458">
        <f t="shared" ca="1" si="132"/>
        <v>20277.119517379262</v>
      </c>
      <c r="S458">
        <f t="shared" ca="1" si="133"/>
        <v>3.7245913798605699</v>
      </c>
      <c r="T458">
        <f t="shared" ca="1" si="134"/>
        <v>2</v>
      </c>
      <c r="U458">
        <f t="shared" ca="1" si="135"/>
        <v>20283</v>
      </c>
      <c r="V458">
        <f t="shared" ca="1" si="136"/>
        <v>3.8030625000000002</v>
      </c>
      <c r="X458">
        <f t="shared" ca="1" si="137"/>
        <v>3.7981474448803083</v>
      </c>
    </row>
    <row r="459" spans="5:24" x14ac:dyDescent="0.25">
      <c r="E459">
        <v>457</v>
      </c>
      <c r="F459">
        <f t="shared" si="121"/>
        <v>65.7</v>
      </c>
      <c r="G459">
        <f t="shared" ca="1" si="122"/>
        <v>65.701000000000008</v>
      </c>
      <c r="H459" s="5">
        <f t="shared" ca="1" si="123"/>
        <v>1.0000000000047748E-3</v>
      </c>
      <c r="I459" s="5">
        <f t="shared" ca="1" si="124"/>
        <v>1.5220700152279678E-5</v>
      </c>
      <c r="J459" s="10">
        <f t="shared" si="125"/>
        <v>3.8083333333333327</v>
      </c>
      <c r="K459" s="12">
        <f t="shared" ca="1" si="126"/>
        <v>3.808416666666667</v>
      </c>
      <c r="L459" s="5">
        <f t="shared" ca="1" si="127"/>
        <v>2.1881838074658214E-5</v>
      </c>
      <c r="N459">
        <f t="shared" ca="1" si="128"/>
        <v>40.701000000000008</v>
      </c>
      <c r="O459">
        <f t="shared" ca="1" si="129"/>
        <v>1.0610515000000001E-3</v>
      </c>
      <c r="P459">
        <f t="shared" ca="1" si="130"/>
        <v>1.001017525</v>
      </c>
      <c r="Q459">
        <f t="shared" ca="1" si="131"/>
        <v>3.8112296946889894</v>
      </c>
      <c r="R459">
        <f t="shared" ca="1" si="132"/>
        <v>20326.558371674611</v>
      </c>
      <c r="S459">
        <f t="shared" ca="1" si="133"/>
        <v>3.7176361159379452</v>
      </c>
      <c r="T459">
        <f t="shared" ca="1" si="134"/>
        <v>1</v>
      </c>
      <c r="U459">
        <f t="shared" ca="1" si="135"/>
        <v>20331</v>
      </c>
      <c r="V459">
        <f t="shared" ca="1" si="136"/>
        <v>3.8120625000000001</v>
      </c>
      <c r="X459">
        <f t="shared" ca="1" si="137"/>
        <v>3.8071276009878052</v>
      </c>
    </row>
    <row r="460" spans="5:24" x14ac:dyDescent="0.25">
      <c r="E460">
        <v>458</v>
      </c>
      <c r="F460">
        <f t="shared" si="121"/>
        <v>65.800000000000011</v>
      </c>
      <c r="G460">
        <f t="shared" ca="1" si="122"/>
        <v>65.793000000000006</v>
      </c>
      <c r="H460" s="5">
        <f t="shared" ca="1" si="123"/>
        <v>7.0000000000050022E-3</v>
      </c>
      <c r="I460" s="5">
        <f t="shared" ca="1" si="124"/>
        <v>1.0638297872348026E-4</v>
      </c>
      <c r="J460" s="10">
        <f t="shared" si="125"/>
        <v>3.8166666666666673</v>
      </c>
      <c r="K460" s="12">
        <f t="shared" ca="1" si="126"/>
        <v>3.8160833333333333</v>
      </c>
      <c r="L460" s="5">
        <f t="shared" ca="1" si="127"/>
        <v>1.5283842794778501E-4</v>
      </c>
      <c r="N460">
        <f t="shared" ca="1" si="128"/>
        <v>40.793000000000006</v>
      </c>
      <c r="O460">
        <f t="shared" ca="1" si="129"/>
        <v>1.0611895000000001E-3</v>
      </c>
      <c r="P460">
        <f t="shared" ca="1" si="130"/>
        <v>1.001019825</v>
      </c>
      <c r="Q460">
        <f t="shared" ca="1" si="131"/>
        <v>3.818912798791168</v>
      </c>
      <c r="R460">
        <f t="shared" ca="1" si="132"/>
        <v>20367.53492688623</v>
      </c>
      <c r="S460">
        <f t="shared" ca="1" si="133"/>
        <v>3.7118080552021069</v>
      </c>
      <c r="T460">
        <f t="shared" ca="1" si="134"/>
        <v>2</v>
      </c>
      <c r="U460">
        <f t="shared" ca="1" si="135"/>
        <v>20373</v>
      </c>
      <c r="V460">
        <f t="shared" ca="1" si="136"/>
        <v>3.8199375</v>
      </c>
      <c r="X460">
        <f t="shared" ca="1" si="137"/>
        <v>3.814985692715926</v>
      </c>
    </row>
    <row r="461" spans="5:24" x14ac:dyDescent="0.25">
      <c r="E461">
        <v>459</v>
      </c>
      <c r="F461">
        <f t="shared" si="121"/>
        <v>65.900000000000006</v>
      </c>
      <c r="G461">
        <f t="shared" ca="1" si="122"/>
        <v>65.909000000000006</v>
      </c>
      <c r="H461" s="5">
        <f t="shared" ca="1" si="123"/>
        <v>9.0000000000003411E-3</v>
      </c>
      <c r="I461" s="5">
        <f t="shared" ca="1" si="124"/>
        <v>1.3657056145675782E-4</v>
      </c>
      <c r="J461" s="10">
        <f t="shared" si="125"/>
        <v>3.8250000000000002</v>
      </c>
      <c r="K461" s="12">
        <f t="shared" ca="1" si="126"/>
        <v>3.8257500000000002</v>
      </c>
      <c r="L461" s="5">
        <f t="shared" ca="1" si="127"/>
        <v>1.9607843137255644E-4</v>
      </c>
      <c r="N461">
        <f t="shared" ca="1" si="128"/>
        <v>40.909000000000006</v>
      </c>
      <c r="O461">
        <f t="shared" ca="1" si="129"/>
        <v>1.0613635E-3</v>
      </c>
      <c r="P461">
        <f t="shared" ca="1" si="130"/>
        <v>1.0010227249999999</v>
      </c>
      <c r="Q461">
        <f t="shared" ca="1" si="131"/>
        <v>3.8286002411857645</v>
      </c>
      <c r="R461">
        <f t="shared" ca="1" si="132"/>
        <v>20419.201286324078</v>
      </c>
      <c r="S461">
        <f t="shared" ca="1" si="133"/>
        <v>3.7043779503865548</v>
      </c>
      <c r="T461">
        <f t="shared" ca="1" si="134"/>
        <v>2</v>
      </c>
      <c r="U461">
        <f t="shared" ca="1" si="135"/>
        <v>20425</v>
      </c>
      <c r="V461">
        <f t="shared" ca="1" si="136"/>
        <v>3.8296874999999999</v>
      </c>
      <c r="X461">
        <f t="shared" ca="1" si="137"/>
        <v>3.8247145053575089</v>
      </c>
    </row>
    <row r="462" spans="5:24" x14ac:dyDescent="0.25">
      <c r="E462">
        <v>460</v>
      </c>
      <c r="F462">
        <f t="shared" si="121"/>
        <v>66</v>
      </c>
      <c r="G462">
        <f t="shared" ca="1" si="122"/>
        <v>66.004999999999995</v>
      </c>
      <c r="H462" s="5">
        <f t="shared" ca="1" si="123"/>
        <v>4.9999999999954525E-3</v>
      </c>
      <c r="I462" s="5">
        <f t="shared" ca="1" si="124"/>
        <v>7.5757575757506856E-5</v>
      </c>
      <c r="J462" s="10">
        <f t="shared" si="125"/>
        <v>3.833333333333333</v>
      </c>
      <c r="K462" s="12">
        <f t="shared" ca="1" si="126"/>
        <v>3.8337499999999993</v>
      </c>
      <c r="L462" s="5">
        <f t="shared" ca="1" si="127"/>
        <v>1.086956521738142E-4</v>
      </c>
      <c r="N462">
        <f t="shared" ca="1" si="128"/>
        <v>41.004999999999995</v>
      </c>
      <c r="O462">
        <f t="shared" ca="1" si="129"/>
        <v>1.0615075000000001E-3</v>
      </c>
      <c r="P462">
        <f t="shared" ca="1" si="130"/>
        <v>1.001025125</v>
      </c>
      <c r="Q462">
        <f t="shared" ca="1" si="131"/>
        <v>3.8366174772908734</v>
      </c>
      <c r="R462">
        <f t="shared" ca="1" si="132"/>
        <v>20461.95987888466</v>
      </c>
      <c r="S462">
        <f t="shared" ca="1" si="133"/>
        <v>3.6981601199993488</v>
      </c>
      <c r="T462">
        <f t="shared" ca="1" si="134"/>
        <v>3</v>
      </c>
      <c r="U462">
        <f t="shared" ca="1" si="135"/>
        <v>20469</v>
      </c>
      <c r="V462">
        <f t="shared" ca="1" si="136"/>
        <v>3.8379375000000002</v>
      </c>
      <c r="X462">
        <f t="shared" ca="1" si="137"/>
        <v>3.8329467429701132</v>
      </c>
    </row>
    <row r="463" spans="5:24" x14ac:dyDescent="0.25">
      <c r="E463">
        <v>461</v>
      </c>
      <c r="F463">
        <f t="shared" si="121"/>
        <v>66.099999999999994</v>
      </c>
      <c r="G463">
        <f t="shared" ca="1" si="122"/>
        <v>66.092999999999989</v>
      </c>
      <c r="H463" s="5">
        <f t="shared" ca="1" si="123"/>
        <v>7.0000000000050022E-3</v>
      </c>
      <c r="I463" s="5">
        <f t="shared" ca="1" si="124"/>
        <v>1.0590015128600609E-4</v>
      </c>
      <c r="J463" s="10">
        <f t="shared" si="125"/>
        <v>3.8416666666666659</v>
      </c>
      <c r="K463" s="12">
        <f t="shared" ca="1" si="126"/>
        <v>3.8410833333333319</v>
      </c>
      <c r="L463" s="5">
        <f t="shared" ca="1" si="127"/>
        <v>1.5184381778760427E-4</v>
      </c>
      <c r="N463">
        <f t="shared" ca="1" si="128"/>
        <v>41.092999999999989</v>
      </c>
      <c r="O463">
        <f t="shared" ca="1" si="129"/>
        <v>1.0616395E-3</v>
      </c>
      <c r="P463">
        <f t="shared" ca="1" si="130"/>
        <v>1.0010273249999999</v>
      </c>
      <c r="Q463">
        <f t="shared" ca="1" si="131"/>
        <v>3.8439666441199489</v>
      </c>
      <c r="R463">
        <f t="shared" ca="1" si="132"/>
        <v>20501.155435306395</v>
      </c>
      <c r="S463">
        <f t="shared" ca="1" si="133"/>
        <v>3.6924058171709886</v>
      </c>
      <c r="T463">
        <f t="shared" ca="1" si="134"/>
        <v>0</v>
      </c>
      <c r="U463">
        <f t="shared" ca="1" si="135"/>
        <v>20505</v>
      </c>
      <c r="V463">
        <f t="shared" ca="1" si="136"/>
        <v>3.8446875</v>
      </c>
      <c r="X463">
        <f t="shared" ca="1" si="137"/>
        <v>3.8396812599496224</v>
      </c>
    </row>
    <row r="464" spans="5:24" x14ac:dyDescent="0.25">
      <c r="E464">
        <v>462</v>
      </c>
      <c r="F464">
        <f t="shared" si="121"/>
        <v>66.2</v>
      </c>
      <c r="G464">
        <f t="shared" ca="1" si="122"/>
        <v>66.192000000000007</v>
      </c>
      <c r="H464" s="5">
        <f t="shared" ca="1" si="123"/>
        <v>7.9999999999955662E-3</v>
      </c>
      <c r="I464" s="5">
        <f t="shared" ca="1" si="124"/>
        <v>1.2084592145008408E-4</v>
      </c>
      <c r="J464" s="10">
        <f t="shared" si="125"/>
        <v>3.8499999999999996</v>
      </c>
      <c r="K464" s="12">
        <f t="shared" ca="1" si="126"/>
        <v>3.8493333333333331</v>
      </c>
      <c r="L464" s="5">
        <f t="shared" ca="1" si="127"/>
        <v>1.7316017316015411E-4</v>
      </c>
      <c r="N464">
        <f t="shared" ca="1" si="128"/>
        <v>41.192000000000007</v>
      </c>
      <c r="O464">
        <f t="shared" ca="1" si="129"/>
        <v>1.0617880000000001E-3</v>
      </c>
      <c r="P464">
        <f t="shared" ca="1" si="130"/>
        <v>1.0010298</v>
      </c>
      <c r="Q464">
        <f t="shared" ca="1" si="131"/>
        <v>3.8522344953707175</v>
      </c>
      <c r="R464">
        <f t="shared" ca="1" si="132"/>
        <v>20545.25064197716</v>
      </c>
      <c r="S464">
        <f t="shared" ca="1" si="133"/>
        <v>3.685869874687655</v>
      </c>
      <c r="T464">
        <f t="shared" ca="1" si="134"/>
        <v>3</v>
      </c>
      <c r="U464">
        <f t="shared" ca="1" si="135"/>
        <v>20552</v>
      </c>
      <c r="V464">
        <f t="shared" ca="1" si="136"/>
        <v>3.8534999999999999</v>
      </c>
      <c r="X464">
        <f t="shared" ca="1" si="137"/>
        <v>3.848475052391048</v>
      </c>
    </row>
    <row r="465" spans="5:24" x14ac:dyDescent="0.25">
      <c r="E465">
        <v>463</v>
      </c>
      <c r="F465">
        <f t="shared" si="121"/>
        <v>66.300000000000011</v>
      </c>
      <c r="G465">
        <f t="shared" ca="1" si="122"/>
        <v>66.293000000000006</v>
      </c>
      <c r="H465" s="5">
        <f t="shared" ca="1" si="123"/>
        <v>7.0000000000050022E-3</v>
      </c>
      <c r="I465" s="5">
        <f t="shared" ca="1" si="124"/>
        <v>1.0558069381606336E-4</v>
      </c>
      <c r="J465" s="10">
        <f t="shared" si="125"/>
        <v>3.8583333333333334</v>
      </c>
      <c r="K465" s="12">
        <f t="shared" ca="1" si="126"/>
        <v>3.8577500000000002</v>
      </c>
      <c r="L465" s="5">
        <f t="shared" ca="1" si="127"/>
        <v>1.5118790496755716E-4</v>
      </c>
      <c r="N465">
        <f t="shared" ca="1" si="128"/>
        <v>41.293000000000006</v>
      </c>
      <c r="O465">
        <f t="shared" ca="1" si="129"/>
        <v>1.0619395E-3</v>
      </c>
      <c r="P465">
        <f t="shared" ca="1" si="130"/>
        <v>1.0010323249999999</v>
      </c>
      <c r="Q465">
        <f t="shared" ca="1" si="131"/>
        <v>3.8606694160020556</v>
      </c>
      <c r="R465">
        <f t="shared" ca="1" si="132"/>
        <v>20590.236885344297</v>
      </c>
      <c r="S465">
        <f t="shared" ca="1" si="133"/>
        <v>3.6791339751343175</v>
      </c>
      <c r="T465">
        <f t="shared" ca="1" si="134"/>
        <v>3</v>
      </c>
      <c r="U465">
        <f t="shared" ca="1" si="135"/>
        <v>20597</v>
      </c>
      <c r="V465">
        <f t="shared" ca="1" si="136"/>
        <v>3.8619375000000002</v>
      </c>
      <c r="X465">
        <f t="shared" ca="1" si="137"/>
        <v>3.8568939924092867</v>
      </c>
    </row>
    <row r="466" spans="5:24" x14ac:dyDescent="0.25">
      <c r="E466">
        <v>464</v>
      </c>
      <c r="F466">
        <f t="shared" si="121"/>
        <v>66.400000000000006</v>
      </c>
      <c r="G466">
        <f t="shared" ca="1" si="122"/>
        <v>66.410000000000011</v>
      </c>
      <c r="H466" s="5">
        <f t="shared" ca="1" si="123"/>
        <v>1.0000000000005116E-2</v>
      </c>
      <c r="I466" s="5">
        <f t="shared" ca="1" si="124"/>
        <v>1.5060240963863126E-4</v>
      </c>
      <c r="J466" s="10">
        <f t="shared" si="125"/>
        <v>3.8666666666666663</v>
      </c>
      <c r="K466" s="12">
        <f t="shared" ca="1" si="126"/>
        <v>3.8675000000000006</v>
      </c>
      <c r="L466" s="5">
        <f t="shared" ca="1" si="127"/>
        <v>2.1551724137957375E-4</v>
      </c>
      <c r="N466">
        <f t="shared" ca="1" si="128"/>
        <v>41.410000000000011</v>
      </c>
      <c r="O466">
        <f t="shared" ca="1" si="129"/>
        <v>1.062115E-3</v>
      </c>
      <c r="P466">
        <f t="shared" ca="1" si="130"/>
        <v>1.0010352499999999</v>
      </c>
      <c r="Q466">
        <f t="shared" ca="1" si="131"/>
        <v>3.8704406148204469</v>
      </c>
      <c r="R466">
        <f t="shared" ca="1" si="132"/>
        <v>20642.349945709051</v>
      </c>
      <c r="S466">
        <f t="shared" ca="1" si="133"/>
        <v>3.6712454069642466</v>
      </c>
      <c r="T466">
        <f t="shared" ca="1" si="134"/>
        <v>2</v>
      </c>
      <c r="U466">
        <f t="shared" ca="1" si="135"/>
        <v>20648</v>
      </c>
      <c r="V466">
        <f t="shared" ca="1" si="136"/>
        <v>3.8715000000000002</v>
      </c>
      <c r="X466">
        <f t="shared" ca="1" si="137"/>
        <v>3.8664351580026781</v>
      </c>
    </row>
    <row r="467" spans="5:24" x14ac:dyDescent="0.25">
      <c r="E467">
        <v>465</v>
      </c>
      <c r="F467">
        <f t="shared" si="121"/>
        <v>66.5</v>
      </c>
      <c r="G467">
        <f t="shared" ca="1" si="122"/>
        <v>66.503</v>
      </c>
      <c r="H467" s="5">
        <f t="shared" ca="1" si="123"/>
        <v>3.0000000000001137E-3</v>
      </c>
      <c r="I467" s="5">
        <f t="shared" ca="1" si="124"/>
        <v>4.5112781954888926E-5</v>
      </c>
      <c r="J467" s="10">
        <f t="shared" si="125"/>
        <v>3.8749999999999991</v>
      </c>
      <c r="K467" s="12">
        <f t="shared" ca="1" si="126"/>
        <v>3.8752499999999994</v>
      </c>
      <c r="L467" s="5">
        <f t="shared" ca="1" si="127"/>
        <v>6.4516129032336929E-5</v>
      </c>
      <c r="N467">
        <f t="shared" ca="1" si="128"/>
        <v>41.503</v>
      </c>
      <c r="O467">
        <f t="shared" ca="1" si="129"/>
        <v>1.0622545000000001E-3</v>
      </c>
      <c r="P467">
        <f t="shared" ca="1" si="130"/>
        <v>1.001037575</v>
      </c>
      <c r="Q467">
        <f t="shared" ca="1" si="131"/>
        <v>3.8782075058500367</v>
      </c>
      <c r="R467">
        <f t="shared" ca="1" si="132"/>
        <v>20683.773364533528</v>
      </c>
      <c r="S467">
        <f t="shared" ca="1" si="133"/>
        <v>3.6649095894473835</v>
      </c>
      <c r="T467">
        <f t="shared" ca="1" si="134"/>
        <v>2</v>
      </c>
      <c r="U467">
        <f t="shared" ca="1" si="135"/>
        <v>20689</v>
      </c>
      <c r="V467">
        <f t="shared" ca="1" si="136"/>
        <v>3.8791875</v>
      </c>
      <c r="X467">
        <f t="shared" ca="1" si="137"/>
        <v>3.8741055704127789</v>
      </c>
    </row>
    <row r="468" spans="5:24" x14ac:dyDescent="0.25">
      <c r="E468">
        <v>466</v>
      </c>
      <c r="F468">
        <f t="shared" si="121"/>
        <v>66.599999999999994</v>
      </c>
      <c r="G468">
        <f t="shared" ca="1" si="122"/>
        <v>66.591999999999999</v>
      </c>
      <c r="H468" s="5">
        <f t="shared" ca="1" si="123"/>
        <v>7.9999999999955662E-3</v>
      </c>
      <c r="I468" s="5">
        <f t="shared" ca="1" si="124"/>
        <v>1.2012012012005356E-4</v>
      </c>
      <c r="J468" s="10">
        <f t="shared" si="125"/>
        <v>3.883333333333332</v>
      </c>
      <c r="K468" s="12">
        <f t="shared" ca="1" si="126"/>
        <v>3.8826666666666663</v>
      </c>
      <c r="L468" s="5">
        <f t="shared" ca="1" si="127"/>
        <v>1.7167381974224171E-4</v>
      </c>
      <c r="N468">
        <f t="shared" ca="1" si="128"/>
        <v>41.591999999999999</v>
      </c>
      <c r="O468">
        <f t="shared" ca="1" si="129"/>
        <v>1.062388E-3</v>
      </c>
      <c r="P468">
        <f t="shared" ca="1" si="130"/>
        <v>1.0010398</v>
      </c>
      <c r="Q468">
        <f t="shared" ca="1" si="131"/>
        <v>3.8856403707956244</v>
      </c>
      <c r="R468">
        <f t="shared" ca="1" si="132"/>
        <v>20723.415310909997</v>
      </c>
      <c r="S468">
        <f t="shared" ca="1" si="133"/>
        <v>3.6587921232196807</v>
      </c>
      <c r="T468">
        <f t="shared" ca="1" si="134"/>
        <v>2</v>
      </c>
      <c r="U468">
        <f t="shared" ca="1" si="135"/>
        <v>20729</v>
      </c>
      <c r="V468">
        <f t="shared" ca="1" si="136"/>
        <v>3.8866875000000003</v>
      </c>
      <c r="X468">
        <f t="shared" ca="1" si="137"/>
        <v>3.8815890357206579</v>
      </c>
    </row>
    <row r="469" spans="5:24" x14ac:dyDescent="0.25">
      <c r="E469">
        <v>467</v>
      </c>
      <c r="F469">
        <f t="shared" si="121"/>
        <v>66.7</v>
      </c>
      <c r="G469">
        <f t="shared" ca="1" si="122"/>
        <v>66.704999999999998</v>
      </c>
      <c r="H469" s="5">
        <f t="shared" ca="1" si="123"/>
        <v>4.9999999999954525E-3</v>
      </c>
      <c r="I469" s="5">
        <f t="shared" ca="1" si="124"/>
        <v>7.4962518740561497E-5</v>
      </c>
      <c r="J469" s="10">
        <f t="shared" si="125"/>
        <v>3.8916666666666666</v>
      </c>
      <c r="K469" s="12">
        <f t="shared" ca="1" si="126"/>
        <v>3.8920833333333329</v>
      </c>
      <c r="L469" s="5">
        <f t="shared" ca="1" si="127"/>
        <v>1.0706638115621954E-4</v>
      </c>
      <c r="N469">
        <f t="shared" ca="1" si="128"/>
        <v>41.704999999999998</v>
      </c>
      <c r="O469">
        <f t="shared" ca="1" si="129"/>
        <v>1.0625575E-3</v>
      </c>
      <c r="P469">
        <f t="shared" ca="1" si="130"/>
        <v>1.001042625</v>
      </c>
      <c r="Q469">
        <f t="shared" ca="1" si="131"/>
        <v>3.895077651369736</v>
      </c>
      <c r="R469">
        <f t="shared" ca="1" si="132"/>
        <v>20773.747473971926</v>
      </c>
      <c r="S469">
        <f t="shared" ca="1" si="133"/>
        <v>3.6509488255068074</v>
      </c>
      <c r="T469">
        <f t="shared" ca="1" si="134"/>
        <v>-2</v>
      </c>
      <c r="U469">
        <f t="shared" ca="1" si="135"/>
        <v>20775</v>
      </c>
      <c r="V469">
        <f t="shared" ca="1" si="136"/>
        <v>3.8953125000000002</v>
      </c>
      <c r="X469">
        <f t="shared" ca="1" si="137"/>
        <v>3.8901939290547194</v>
      </c>
    </row>
    <row r="470" spans="5:24" x14ac:dyDescent="0.25">
      <c r="E470">
        <v>468</v>
      </c>
      <c r="F470">
        <f t="shared" si="121"/>
        <v>66.800000000000011</v>
      </c>
      <c r="G470">
        <f t="shared" ca="1" si="122"/>
        <v>66.803000000000011</v>
      </c>
      <c r="H470" s="5">
        <f t="shared" ca="1" si="123"/>
        <v>3.0000000000001137E-3</v>
      </c>
      <c r="I470" s="5">
        <f t="shared" ca="1" si="124"/>
        <v>4.4910179640720256E-5</v>
      </c>
      <c r="J470" s="10">
        <f t="shared" si="125"/>
        <v>3.9000000000000004</v>
      </c>
      <c r="K470" s="12">
        <f t="shared" ca="1" si="126"/>
        <v>3.9002500000000007</v>
      </c>
      <c r="L470" s="5">
        <f t="shared" ca="1" si="127"/>
        <v>6.4102564102642436E-5</v>
      </c>
      <c r="N470">
        <f t="shared" ca="1" si="128"/>
        <v>41.803000000000011</v>
      </c>
      <c r="O470">
        <f t="shared" ca="1" si="129"/>
        <v>1.0627045E-3</v>
      </c>
      <c r="P470">
        <f t="shared" ca="1" si="130"/>
        <v>1.001045075</v>
      </c>
      <c r="Q470">
        <f t="shared" ca="1" si="131"/>
        <v>3.9032622386628453</v>
      </c>
      <c r="R470">
        <f t="shared" ca="1" si="132"/>
        <v>20817.398606201841</v>
      </c>
      <c r="S470">
        <f t="shared" ca="1" si="133"/>
        <v>3.644077794265526</v>
      </c>
      <c r="T470">
        <f t="shared" ca="1" si="134"/>
        <v>2</v>
      </c>
      <c r="U470">
        <f t="shared" ca="1" si="135"/>
        <v>20823</v>
      </c>
      <c r="V470">
        <f t="shared" ca="1" si="136"/>
        <v>3.9043125000000001</v>
      </c>
      <c r="X470">
        <f t="shared" ca="1" si="137"/>
        <v>3.8991748653276184</v>
      </c>
    </row>
    <row r="471" spans="5:24" x14ac:dyDescent="0.25">
      <c r="E471">
        <v>469</v>
      </c>
      <c r="F471">
        <f t="shared" si="121"/>
        <v>66.900000000000006</v>
      </c>
      <c r="G471">
        <f t="shared" ca="1" si="122"/>
        <v>66.896000000000001</v>
      </c>
      <c r="H471" s="5">
        <f t="shared" ca="1" si="123"/>
        <v>4.0000000000048885E-3</v>
      </c>
      <c r="I471" s="5">
        <f t="shared" ca="1" si="124"/>
        <v>5.9790732436545417E-5</v>
      </c>
      <c r="J471" s="10">
        <f t="shared" si="125"/>
        <v>3.9083333333333332</v>
      </c>
      <c r="K471" s="12">
        <f t="shared" ca="1" si="126"/>
        <v>3.9079999999999995</v>
      </c>
      <c r="L471" s="5">
        <f t="shared" ca="1" si="127"/>
        <v>8.5287846481980564E-5</v>
      </c>
      <c r="N471">
        <f t="shared" ca="1" si="128"/>
        <v>41.896000000000001</v>
      </c>
      <c r="O471">
        <f t="shared" ca="1" si="129"/>
        <v>1.0628440000000001E-3</v>
      </c>
      <c r="P471">
        <f t="shared" ca="1" si="130"/>
        <v>1.0010474</v>
      </c>
      <c r="Q471">
        <f t="shared" ca="1" si="131"/>
        <v>3.9110292819771941</v>
      </c>
      <c r="R471">
        <f t="shared" ca="1" si="132"/>
        <v>20858.822837211701</v>
      </c>
      <c r="S471">
        <f t="shared" ca="1" si="133"/>
        <v>3.63749827070342</v>
      </c>
      <c r="T471">
        <f t="shared" ca="1" si="134"/>
        <v>-2</v>
      </c>
      <c r="U471">
        <f t="shared" ca="1" si="135"/>
        <v>20860</v>
      </c>
      <c r="V471">
        <f t="shared" ca="1" si="136"/>
        <v>3.9112499999999999</v>
      </c>
      <c r="X471">
        <f t="shared" ca="1" si="137"/>
        <v>3.906095911142669</v>
      </c>
    </row>
    <row r="472" spans="5:24" x14ac:dyDescent="0.25">
      <c r="E472">
        <v>470</v>
      </c>
      <c r="F472">
        <f t="shared" si="121"/>
        <v>67</v>
      </c>
      <c r="G472">
        <f t="shared" ca="1" si="122"/>
        <v>67.003</v>
      </c>
      <c r="H472" s="5">
        <f t="shared" ca="1" si="123"/>
        <v>3.0000000000001137E-3</v>
      </c>
      <c r="I472" s="5">
        <f t="shared" ca="1" si="124"/>
        <v>4.4776119402986772E-5</v>
      </c>
      <c r="J472" s="10">
        <f t="shared" si="125"/>
        <v>3.9166666666666661</v>
      </c>
      <c r="K472" s="12">
        <f t="shared" ca="1" si="126"/>
        <v>3.9169166666666664</v>
      </c>
      <c r="L472" s="5">
        <f t="shared" ca="1" si="127"/>
        <v>6.3829787234120572E-5</v>
      </c>
      <c r="N472">
        <f t="shared" ca="1" si="128"/>
        <v>42.003</v>
      </c>
      <c r="O472">
        <f t="shared" ca="1" si="129"/>
        <v>1.0630044999999999E-3</v>
      </c>
      <c r="P472">
        <f t="shared" ca="1" si="130"/>
        <v>1.001050075</v>
      </c>
      <c r="Q472">
        <f t="shared" ca="1" si="131"/>
        <v>3.9199656022009659</v>
      </c>
      <c r="R472">
        <f t="shared" ca="1" si="132"/>
        <v>20906.483211738483</v>
      </c>
      <c r="S472">
        <f t="shared" ca="1" si="133"/>
        <v>3.6298572705669643</v>
      </c>
      <c r="T472">
        <f t="shared" ca="1" si="134"/>
        <v>3</v>
      </c>
      <c r="U472">
        <f t="shared" ca="1" si="135"/>
        <v>20913</v>
      </c>
      <c r="V472">
        <f t="shared" ca="1" si="136"/>
        <v>3.9211875000000003</v>
      </c>
      <c r="X472">
        <f t="shared" ca="1" si="137"/>
        <v>3.9160123887908407</v>
      </c>
    </row>
    <row r="473" spans="5:24" x14ac:dyDescent="0.25">
      <c r="E473">
        <v>471</v>
      </c>
      <c r="F473">
        <f t="shared" si="121"/>
        <v>67.099999999999994</v>
      </c>
      <c r="G473">
        <f t="shared" ca="1" si="122"/>
        <v>67.089999999999989</v>
      </c>
      <c r="H473" s="5">
        <f t="shared" ca="1" si="123"/>
        <v>1.0000000000005116E-2</v>
      </c>
      <c r="I473" s="5">
        <f t="shared" ca="1" si="124"/>
        <v>1.4903129657235643E-4</v>
      </c>
      <c r="J473" s="10">
        <f t="shared" si="125"/>
        <v>3.9249999999999989</v>
      </c>
      <c r="K473" s="12">
        <f t="shared" ca="1" si="126"/>
        <v>3.9241666666666655</v>
      </c>
      <c r="L473" s="5">
        <f t="shared" ca="1" si="127"/>
        <v>2.1231422505311179E-4</v>
      </c>
      <c r="N473">
        <f t="shared" ca="1" si="128"/>
        <v>42.089999999999989</v>
      </c>
      <c r="O473">
        <f t="shared" ca="1" si="129"/>
        <v>1.063135E-3</v>
      </c>
      <c r="P473">
        <f t="shared" ca="1" si="130"/>
        <v>1.0010522500000001</v>
      </c>
      <c r="Q473">
        <f t="shared" ca="1" si="131"/>
        <v>3.9272316173578621</v>
      </c>
      <c r="R473">
        <f t="shared" ca="1" si="132"/>
        <v>20945.235292575264</v>
      </c>
      <c r="S473">
        <f t="shared" ca="1" si="133"/>
        <v>3.6235885935672547</v>
      </c>
      <c r="T473">
        <f t="shared" ca="1" si="134"/>
        <v>-2</v>
      </c>
      <c r="U473">
        <f t="shared" ca="1" si="135"/>
        <v>20947</v>
      </c>
      <c r="V473">
        <f t="shared" ca="1" si="136"/>
        <v>3.9275625000000001</v>
      </c>
      <c r="X473">
        <f t="shared" ca="1" si="137"/>
        <v>3.9223720490114276</v>
      </c>
    </row>
    <row r="474" spans="5:24" x14ac:dyDescent="0.25">
      <c r="E474">
        <v>472</v>
      </c>
      <c r="F474">
        <f t="shared" si="121"/>
        <v>67.2</v>
      </c>
      <c r="G474">
        <f t="shared" ca="1" si="122"/>
        <v>67.197000000000003</v>
      </c>
      <c r="H474" s="5">
        <f t="shared" ca="1" si="123"/>
        <v>3.0000000000001137E-3</v>
      </c>
      <c r="I474" s="5">
        <f t="shared" ca="1" si="124"/>
        <v>4.464285714285883E-5</v>
      </c>
      <c r="J474" s="10">
        <f t="shared" si="125"/>
        <v>3.9333333333333327</v>
      </c>
      <c r="K474" s="12">
        <f t="shared" ca="1" si="126"/>
        <v>3.9330833333333333</v>
      </c>
      <c r="L474" s="5">
        <f t="shared" ca="1" si="127"/>
        <v>6.355932203375019E-5</v>
      </c>
      <c r="N474">
        <f t="shared" ca="1" si="128"/>
        <v>42.197000000000003</v>
      </c>
      <c r="O474">
        <f t="shared" ca="1" si="129"/>
        <v>1.0632955000000001E-3</v>
      </c>
      <c r="P474">
        <f t="shared" ca="1" si="130"/>
        <v>1.001054925</v>
      </c>
      <c r="Q474">
        <f t="shared" ca="1" si="131"/>
        <v>3.9361680240717449</v>
      </c>
      <c r="R474">
        <f t="shared" ca="1" si="132"/>
        <v>20992.896128382639</v>
      </c>
      <c r="S474">
        <f t="shared" ca="1" si="133"/>
        <v>3.6158102251671957</v>
      </c>
      <c r="T474">
        <f t="shared" ca="1" si="134"/>
        <v>-2</v>
      </c>
      <c r="U474">
        <f t="shared" ca="1" si="135"/>
        <v>20995</v>
      </c>
      <c r="V474">
        <f t="shared" ca="1" si="136"/>
        <v>3.9365625</v>
      </c>
      <c r="X474">
        <f t="shared" ca="1" si="137"/>
        <v>3.9313519230725524</v>
      </c>
    </row>
    <row r="475" spans="5:24" x14ac:dyDescent="0.25">
      <c r="E475">
        <v>473</v>
      </c>
      <c r="F475">
        <f t="shared" si="121"/>
        <v>67.300000000000011</v>
      </c>
      <c r="G475">
        <f t="shared" ca="1" si="122"/>
        <v>67.291000000000011</v>
      </c>
      <c r="H475" s="5">
        <f t="shared" ca="1" si="123"/>
        <v>9.0000000000003411E-3</v>
      </c>
      <c r="I475" s="5">
        <f t="shared" ca="1" si="124"/>
        <v>1.3372956909361573E-4</v>
      </c>
      <c r="J475" s="10">
        <f t="shared" si="125"/>
        <v>3.9416666666666673</v>
      </c>
      <c r="K475" s="12">
        <f t="shared" ca="1" si="126"/>
        <v>3.9409166666666673</v>
      </c>
      <c r="L475" s="5">
        <f t="shared" ca="1" si="127"/>
        <v>1.9027484143763931E-4</v>
      </c>
      <c r="N475">
        <f t="shared" ca="1" si="128"/>
        <v>42.291000000000011</v>
      </c>
      <c r="O475">
        <f t="shared" ca="1" si="129"/>
        <v>1.0634365E-3</v>
      </c>
      <c r="P475">
        <f t="shared" ca="1" si="130"/>
        <v>1.001057275</v>
      </c>
      <c r="Q475">
        <f t="shared" ca="1" si="131"/>
        <v>3.9440187384905916</v>
      </c>
      <c r="R475">
        <f t="shared" ca="1" si="132"/>
        <v>21034.766605283156</v>
      </c>
      <c r="S475">
        <f t="shared" ca="1" si="133"/>
        <v>3.6089145568199092</v>
      </c>
      <c r="T475">
        <f t="shared" ca="1" si="134"/>
        <v>0</v>
      </c>
      <c r="U475">
        <f t="shared" ca="1" si="135"/>
        <v>21038</v>
      </c>
      <c r="V475">
        <f t="shared" ca="1" si="136"/>
        <v>3.9446250000000003</v>
      </c>
      <c r="X475">
        <f t="shared" ca="1" si="137"/>
        <v>3.9393965380252598</v>
      </c>
    </row>
    <row r="476" spans="5:24" x14ac:dyDescent="0.25">
      <c r="E476">
        <v>474</v>
      </c>
      <c r="F476">
        <f t="shared" si="121"/>
        <v>67.400000000000006</v>
      </c>
      <c r="G476">
        <f t="shared" ca="1" si="122"/>
        <v>67.409000000000006</v>
      </c>
      <c r="H476" s="5">
        <f t="shared" ca="1" si="123"/>
        <v>9.0000000000003411E-3</v>
      </c>
      <c r="I476" s="5">
        <f t="shared" ca="1" si="124"/>
        <v>1.3353115727003472E-4</v>
      </c>
      <c r="J476" s="10">
        <f t="shared" si="125"/>
        <v>3.95</v>
      </c>
      <c r="K476" s="12">
        <f t="shared" ca="1" si="126"/>
        <v>3.9507500000000002</v>
      </c>
      <c r="L476" s="5">
        <f t="shared" ca="1" si="127"/>
        <v>1.8987341772152617E-4</v>
      </c>
      <c r="N476">
        <f t="shared" ca="1" si="128"/>
        <v>42.409000000000006</v>
      </c>
      <c r="O476">
        <f t="shared" ca="1" si="129"/>
        <v>1.0636135000000001E-3</v>
      </c>
      <c r="P476">
        <f t="shared" ca="1" si="130"/>
        <v>1.001060225</v>
      </c>
      <c r="Q476">
        <f t="shared" ca="1" si="131"/>
        <v>3.9538739427491274</v>
      </c>
      <c r="R476">
        <f t="shared" ca="1" si="132"/>
        <v>21087.327694662014</v>
      </c>
      <c r="S476">
        <f t="shared" ca="1" si="133"/>
        <v>3.6001759358160479</v>
      </c>
      <c r="T476">
        <f t="shared" ca="1" si="134"/>
        <v>3</v>
      </c>
      <c r="U476">
        <f t="shared" ca="1" si="135"/>
        <v>21094</v>
      </c>
      <c r="V476">
        <f t="shared" ca="1" si="136"/>
        <v>3.9551250000000002</v>
      </c>
      <c r="X476">
        <f t="shared" ca="1" si="137"/>
        <v>3.9498736317288006</v>
      </c>
    </row>
    <row r="477" spans="5:24" x14ac:dyDescent="0.25">
      <c r="E477">
        <v>475</v>
      </c>
      <c r="F477">
        <f t="shared" si="121"/>
        <v>67.5</v>
      </c>
      <c r="G477">
        <f t="shared" ca="1" si="122"/>
        <v>67.504999999999995</v>
      </c>
      <c r="H477" s="5">
        <f t="shared" ca="1" si="123"/>
        <v>4.9999999999954525E-3</v>
      </c>
      <c r="I477" s="5">
        <f t="shared" ca="1" si="124"/>
        <v>7.4074074074006703E-5</v>
      </c>
      <c r="J477" s="10">
        <f t="shared" si="125"/>
        <v>3.958333333333333</v>
      </c>
      <c r="K477" s="12">
        <f t="shared" ca="1" si="126"/>
        <v>3.9587499999999993</v>
      </c>
      <c r="L477" s="5">
        <f t="shared" ca="1" si="127"/>
        <v>1.0526315789464111E-4</v>
      </c>
      <c r="N477">
        <f t="shared" ca="1" si="128"/>
        <v>42.504999999999995</v>
      </c>
      <c r="O477">
        <f t="shared" ca="1" si="129"/>
        <v>1.0637575E-3</v>
      </c>
      <c r="P477">
        <f t="shared" ca="1" si="130"/>
        <v>1.0010626250000001</v>
      </c>
      <c r="Q477">
        <f t="shared" ca="1" si="131"/>
        <v>3.9618917788434365</v>
      </c>
      <c r="R477">
        <f t="shared" ca="1" si="132"/>
        <v>21130.089487164994</v>
      </c>
      <c r="S477">
        <f t="shared" ca="1" si="133"/>
        <v>3.5929990566604277</v>
      </c>
      <c r="T477">
        <f t="shared" ca="1" si="134"/>
        <v>0</v>
      </c>
      <c r="U477">
        <f t="shared" ca="1" si="135"/>
        <v>21134</v>
      </c>
      <c r="V477">
        <f t="shared" ca="1" si="136"/>
        <v>3.9626250000000001</v>
      </c>
      <c r="X477">
        <f t="shared" ca="1" si="137"/>
        <v>3.9573560570199091</v>
      </c>
    </row>
    <row r="478" spans="5:24" x14ac:dyDescent="0.25">
      <c r="E478">
        <v>476</v>
      </c>
      <c r="F478">
        <f t="shared" si="121"/>
        <v>67.599999999999994</v>
      </c>
      <c r="G478">
        <f t="shared" ca="1" si="122"/>
        <v>67.593999999999994</v>
      </c>
      <c r="H478" s="5">
        <f t="shared" ca="1" si="123"/>
        <v>6.0000000000002274E-3</v>
      </c>
      <c r="I478" s="5">
        <f t="shared" ca="1" si="124"/>
        <v>8.8757396449707512E-5</v>
      </c>
      <c r="J478" s="10">
        <f t="shared" si="125"/>
        <v>3.9666666666666659</v>
      </c>
      <c r="K478" s="12">
        <f t="shared" ca="1" si="126"/>
        <v>3.9661666666666653</v>
      </c>
      <c r="L478" s="5">
        <f t="shared" ca="1" si="127"/>
        <v>1.2605042016822129E-4</v>
      </c>
      <c r="N478">
        <f t="shared" ca="1" si="128"/>
        <v>42.593999999999994</v>
      </c>
      <c r="O478">
        <f t="shared" ca="1" si="129"/>
        <v>1.063891E-3</v>
      </c>
      <c r="P478">
        <f t="shared" ca="1" si="130"/>
        <v>1.0010648499999999</v>
      </c>
      <c r="Q478">
        <f t="shared" ca="1" si="131"/>
        <v>3.9693250153573336</v>
      </c>
      <c r="R478">
        <f t="shared" ca="1" si="132"/>
        <v>21169.733415239112</v>
      </c>
      <c r="S478">
        <f t="shared" ca="1" si="133"/>
        <v>3.5862915121261221</v>
      </c>
      <c r="T478">
        <f t="shared" ca="1" si="134"/>
        <v>3</v>
      </c>
      <c r="U478">
        <f t="shared" ca="1" si="135"/>
        <v>21176</v>
      </c>
      <c r="V478">
        <f t="shared" ca="1" si="136"/>
        <v>3.9704999999999999</v>
      </c>
      <c r="X478">
        <f t="shared" ca="1" si="137"/>
        <v>3.9652137511371022</v>
      </c>
    </row>
    <row r="479" spans="5:24" x14ac:dyDescent="0.25">
      <c r="E479">
        <v>477</v>
      </c>
      <c r="F479">
        <f t="shared" si="121"/>
        <v>67.7</v>
      </c>
      <c r="G479">
        <f t="shared" ca="1" si="122"/>
        <v>67.694000000000003</v>
      </c>
      <c r="H479" s="5">
        <f t="shared" ca="1" si="123"/>
        <v>6.0000000000002274E-3</v>
      </c>
      <c r="I479" s="5">
        <f t="shared" ca="1" si="124"/>
        <v>8.8626292466768497E-5</v>
      </c>
      <c r="J479" s="10">
        <f t="shared" si="125"/>
        <v>3.9749999999999996</v>
      </c>
      <c r="K479" s="12">
        <f t="shared" ca="1" si="126"/>
        <v>3.9744999999999999</v>
      </c>
      <c r="L479" s="5">
        <f t="shared" ca="1" si="127"/>
        <v>1.2578616352194289E-4</v>
      </c>
      <c r="N479">
        <f t="shared" ca="1" si="128"/>
        <v>42.694000000000003</v>
      </c>
      <c r="O479">
        <f t="shared" ca="1" si="129"/>
        <v>1.0640409999999999E-3</v>
      </c>
      <c r="P479">
        <f t="shared" ca="1" si="130"/>
        <v>1.00106735</v>
      </c>
      <c r="Q479">
        <f t="shared" ca="1" si="131"/>
        <v>3.9776770058708388</v>
      </c>
      <c r="R479">
        <f t="shared" ca="1" si="132"/>
        <v>21214.277364644473</v>
      </c>
      <c r="S479">
        <f t="shared" ca="1" si="133"/>
        <v>3.5786931052802942</v>
      </c>
      <c r="T479">
        <f t="shared" ca="1" si="134"/>
        <v>-3</v>
      </c>
      <c r="U479">
        <f t="shared" ca="1" si="135"/>
        <v>21215</v>
      </c>
      <c r="V479">
        <f t="shared" ca="1" si="136"/>
        <v>3.9778125000000002</v>
      </c>
      <c r="X479">
        <f t="shared" ca="1" si="137"/>
        <v>3.9725084021569579</v>
      </c>
    </row>
    <row r="480" spans="5:24" x14ac:dyDescent="0.25">
      <c r="E480">
        <v>478</v>
      </c>
      <c r="F480">
        <f t="shared" si="121"/>
        <v>67.800000000000011</v>
      </c>
      <c r="G480">
        <f t="shared" ca="1" si="122"/>
        <v>67.803000000000011</v>
      </c>
      <c r="H480" s="5">
        <f t="shared" ca="1" si="123"/>
        <v>3.0000000000001137E-3</v>
      </c>
      <c r="I480" s="5">
        <f t="shared" ca="1" si="124"/>
        <v>4.4247787610621137E-5</v>
      </c>
      <c r="J480" s="10">
        <f t="shared" si="125"/>
        <v>3.9833333333333334</v>
      </c>
      <c r="K480" s="12">
        <f t="shared" ca="1" si="126"/>
        <v>3.9835833333333337</v>
      </c>
      <c r="L480" s="5">
        <f t="shared" ca="1" si="127"/>
        <v>6.2761506276227326E-5</v>
      </c>
      <c r="N480">
        <f t="shared" ca="1" si="128"/>
        <v>42.803000000000011</v>
      </c>
      <c r="O480">
        <f t="shared" ca="1" si="129"/>
        <v>1.0642045E-3</v>
      </c>
      <c r="P480">
        <f t="shared" ca="1" si="130"/>
        <v>1.0010700749999999</v>
      </c>
      <c r="Q480">
        <f t="shared" ca="1" si="131"/>
        <v>3.9867807229901198</v>
      </c>
      <c r="R480">
        <f t="shared" ca="1" si="132"/>
        <v>21262.830522613971</v>
      </c>
      <c r="S480">
        <f t="shared" ca="1" si="133"/>
        <v>3.5703364591648339</v>
      </c>
      <c r="T480">
        <f t="shared" ca="1" si="134"/>
        <v>3</v>
      </c>
      <c r="U480">
        <f t="shared" ca="1" si="135"/>
        <v>21269</v>
      </c>
      <c r="V480">
        <f t="shared" ca="1" si="136"/>
        <v>3.9879375000000001</v>
      </c>
      <c r="X480">
        <f t="shared" ca="1" si="137"/>
        <v>3.9826116023895737</v>
      </c>
    </row>
    <row r="481" spans="5:24" x14ac:dyDescent="0.25">
      <c r="E481">
        <v>479</v>
      </c>
      <c r="F481">
        <f t="shared" si="121"/>
        <v>67.900000000000006</v>
      </c>
      <c r="G481">
        <f t="shared" ca="1" si="122"/>
        <v>67.904000000000011</v>
      </c>
      <c r="H481" s="5">
        <f t="shared" ca="1" si="123"/>
        <v>4.0000000000048885E-3</v>
      </c>
      <c r="I481" s="5">
        <f t="shared" ca="1" si="124"/>
        <v>5.8910162003017497E-5</v>
      </c>
      <c r="J481" s="10">
        <f t="shared" si="125"/>
        <v>3.9916666666666663</v>
      </c>
      <c r="K481" s="12">
        <f t="shared" ca="1" si="126"/>
        <v>3.992</v>
      </c>
      <c r="L481" s="5">
        <f t="shared" ca="1" si="127"/>
        <v>8.3507306889454887E-5</v>
      </c>
      <c r="N481">
        <f t="shared" ca="1" si="128"/>
        <v>42.904000000000011</v>
      </c>
      <c r="O481">
        <f t="shared" ca="1" si="129"/>
        <v>1.064356E-3</v>
      </c>
      <c r="P481">
        <f t="shared" ca="1" si="130"/>
        <v>1.0010726000000001</v>
      </c>
      <c r="Q481">
        <f t="shared" ca="1" si="131"/>
        <v>3.9952163215717547</v>
      </c>
      <c r="R481">
        <f t="shared" ca="1" si="132"/>
        <v>21307.820381716025</v>
      </c>
      <c r="S481">
        <f t="shared" ca="1" si="133"/>
        <v>3.5625240438832044</v>
      </c>
      <c r="T481">
        <f t="shared" ca="1" si="134"/>
        <v>2</v>
      </c>
      <c r="U481">
        <f t="shared" ca="1" si="135"/>
        <v>21313</v>
      </c>
      <c r="V481">
        <f t="shared" ca="1" si="136"/>
        <v>3.9961875</v>
      </c>
      <c r="X481">
        <f t="shared" ca="1" si="137"/>
        <v>3.9908425662634253</v>
      </c>
    </row>
    <row r="482" spans="5:24" x14ac:dyDescent="0.25">
      <c r="E482">
        <v>480</v>
      </c>
      <c r="F482">
        <f t="shared" si="121"/>
        <v>68</v>
      </c>
      <c r="G482">
        <f t="shared" ca="1" si="122"/>
        <v>68.001999999999995</v>
      </c>
      <c r="H482" s="5">
        <f t="shared" ca="1" si="123"/>
        <v>1.9999999999953388E-3</v>
      </c>
      <c r="I482" s="5">
        <f t="shared" ca="1" si="124"/>
        <v>2.9411764705813805E-5</v>
      </c>
      <c r="J482" s="10">
        <f t="shared" si="125"/>
        <v>3.9999999999999991</v>
      </c>
      <c r="K482" s="12">
        <f t="shared" ca="1" si="126"/>
        <v>4.000166666666666</v>
      </c>
      <c r="L482" s="5">
        <f t="shared" ca="1" si="127"/>
        <v>4.1666666666717596E-5</v>
      </c>
      <c r="N482">
        <f t="shared" ca="1" si="128"/>
        <v>43.001999999999995</v>
      </c>
      <c r="O482">
        <f t="shared" ca="1" si="129"/>
        <v>1.0645030000000001E-3</v>
      </c>
      <c r="P482">
        <f t="shared" ca="1" si="130"/>
        <v>1.0010750500000001</v>
      </c>
      <c r="Q482">
        <f t="shared" ca="1" si="131"/>
        <v>4.0034013984477159</v>
      </c>
      <c r="R482">
        <f t="shared" ca="1" si="132"/>
        <v>21351.474125054483</v>
      </c>
      <c r="S482">
        <f t="shared" ca="1" si="133"/>
        <v>3.5548802843408365</v>
      </c>
      <c r="T482">
        <f t="shared" ca="1" si="134"/>
        <v>1</v>
      </c>
      <c r="U482">
        <f t="shared" ca="1" si="135"/>
        <v>21356</v>
      </c>
      <c r="V482">
        <f t="shared" ca="1" si="136"/>
        <v>4.0042499999999999</v>
      </c>
      <c r="X482">
        <f t="shared" ca="1" si="137"/>
        <v>3.9988864940745446</v>
      </c>
    </row>
    <row r="483" spans="5:24" x14ac:dyDescent="0.25">
      <c r="E483">
        <v>481</v>
      </c>
      <c r="F483">
        <f t="shared" si="121"/>
        <v>68.099999999999994</v>
      </c>
      <c r="G483">
        <f t="shared" ca="1" si="122"/>
        <v>68.102999999999994</v>
      </c>
      <c r="H483" s="5">
        <f t="shared" ca="1" si="123"/>
        <v>3.0000000000001137E-3</v>
      </c>
      <c r="I483" s="5">
        <f t="shared" ca="1" si="124"/>
        <v>4.4052863436125018E-5</v>
      </c>
      <c r="J483" s="10">
        <f t="shared" si="125"/>
        <v>4.008333333333332</v>
      </c>
      <c r="K483" s="12">
        <f t="shared" ca="1" si="126"/>
        <v>4.0085833333333323</v>
      </c>
      <c r="L483" s="5">
        <f t="shared" ca="1" si="127"/>
        <v>6.2370062370138609E-5</v>
      </c>
      <c r="N483">
        <f t="shared" ca="1" si="128"/>
        <v>43.102999999999994</v>
      </c>
      <c r="O483">
        <f t="shared" ca="1" si="129"/>
        <v>1.0646545000000001E-3</v>
      </c>
      <c r="P483">
        <f t="shared" ca="1" si="130"/>
        <v>1.0010775750000001</v>
      </c>
      <c r="Q483">
        <f t="shared" ca="1" si="131"/>
        <v>4.0118370807736756</v>
      </c>
      <c r="R483">
        <f t="shared" ca="1" si="132"/>
        <v>21396.464430792937</v>
      </c>
      <c r="S483">
        <f t="shared" ca="1" si="133"/>
        <v>3.5469373372437367</v>
      </c>
      <c r="T483">
        <f t="shared" ca="1" si="134"/>
        <v>-2</v>
      </c>
      <c r="U483">
        <f t="shared" ca="1" si="135"/>
        <v>21398</v>
      </c>
      <c r="V483">
        <f t="shared" ca="1" si="136"/>
        <v>4.0121250000000002</v>
      </c>
      <c r="X483">
        <f t="shared" ca="1" si="137"/>
        <v>4.006742779649219</v>
      </c>
    </row>
    <row r="484" spans="5:24" x14ac:dyDescent="0.25">
      <c r="E484">
        <v>482</v>
      </c>
      <c r="F484">
        <f t="shared" si="121"/>
        <v>68.2</v>
      </c>
      <c r="G484">
        <f t="shared" ca="1" si="122"/>
        <v>68.201000000000008</v>
      </c>
      <c r="H484" s="5">
        <f t="shared" ca="1" si="123"/>
        <v>1.0000000000047748E-3</v>
      </c>
      <c r="I484" s="5">
        <f t="shared" ca="1" si="124"/>
        <v>1.4662756598310482E-5</v>
      </c>
      <c r="J484" s="10">
        <f t="shared" si="125"/>
        <v>4.0166666666666666</v>
      </c>
      <c r="K484" s="12">
        <f t="shared" ca="1" si="126"/>
        <v>4.01675</v>
      </c>
      <c r="L484" s="5">
        <f t="shared" ca="1" si="127"/>
        <v>2.0746887966830336E-5</v>
      </c>
      <c r="N484">
        <f t="shared" ca="1" si="128"/>
        <v>43.201000000000008</v>
      </c>
      <c r="O484">
        <f t="shared" ca="1" si="129"/>
        <v>1.0648014999999999E-3</v>
      </c>
      <c r="P484">
        <f t="shared" ca="1" si="130"/>
        <v>1.001080025</v>
      </c>
      <c r="Q484">
        <f t="shared" ca="1" si="131"/>
        <v>4.0200222389065097</v>
      </c>
      <c r="R484">
        <f t="shared" ca="1" si="132"/>
        <v>21440.118607501383</v>
      </c>
      <c r="S484">
        <f t="shared" ca="1" si="133"/>
        <v>3.5391671983643187</v>
      </c>
      <c r="T484">
        <f t="shared" ca="1" si="134"/>
        <v>-1</v>
      </c>
      <c r="U484">
        <f t="shared" ca="1" si="135"/>
        <v>21443</v>
      </c>
      <c r="V484">
        <f t="shared" ca="1" si="136"/>
        <v>4.0205625000000005</v>
      </c>
      <c r="X484">
        <f t="shared" ca="1" si="137"/>
        <v>4.0151612239990504</v>
      </c>
    </row>
    <row r="485" spans="5:24" x14ac:dyDescent="0.25">
      <c r="E485">
        <v>483</v>
      </c>
      <c r="F485">
        <f t="shared" si="121"/>
        <v>68.300000000000011</v>
      </c>
      <c r="G485">
        <f t="shared" ca="1" si="122"/>
        <v>68.290000000000006</v>
      </c>
      <c r="H485" s="5">
        <f t="shared" ca="1" si="123"/>
        <v>1.0000000000005116E-2</v>
      </c>
      <c r="I485" s="5">
        <f t="shared" ca="1" si="124"/>
        <v>1.4641288433389627E-4</v>
      </c>
      <c r="J485" s="10">
        <f t="shared" si="125"/>
        <v>4.0250000000000004</v>
      </c>
      <c r="K485" s="12">
        <f t="shared" ca="1" si="126"/>
        <v>4.0241666666666669</v>
      </c>
      <c r="L485" s="5">
        <f t="shared" ca="1" si="127"/>
        <v>2.0703933747415242E-4</v>
      </c>
      <c r="N485">
        <f t="shared" ca="1" si="128"/>
        <v>43.290000000000006</v>
      </c>
      <c r="O485">
        <f t="shared" ca="1" si="129"/>
        <v>1.0649349999999999E-3</v>
      </c>
      <c r="P485">
        <f t="shared" ca="1" si="130"/>
        <v>1.0010822500000001</v>
      </c>
      <c r="Q485">
        <f t="shared" ca="1" si="131"/>
        <v>4.0274557335157635</v>
      </c>
      <c r="R485">
        <f t="shared" ca="1" si="132"/>
        <v>21479.763912084072</v>
      </c>
      <c r="S485">
        <f t="shared" ca="1" si="133"/>
        <v>3.532056891033835</v>
      </c>
      <c r="T485">
        <f t="shared" ca="1" si="134"/>
        <v>-2</v>
      </c>
      <c r="U485">
        <f t="shared" ca="1" si="135"/>
        <v>21481</v>
      </c>
      <c r="V485">
        <f t="shared" ca="1" si="136"/>
        <v>4.0276874999999999</v>
      </c>
      <c r="X485">
        <f t="shared" ca="1" si="137"/>
        <v>4.0222694638727239</v>
      </c>
    </row>
    <row r="486" spans="5:24" x14ac:dyDescent="0.25">
      <c r="E486">
        <v>484</v>
      </c>
      <c r="F486">
        <f t="shared" si="121"/>
        <v>68.400000000000006</v>
      </c>
      <c r="G486">
        <f t="shared" ca="1" si="122"/>
        <v>68.402000000000001</v>
      </c>
      <c r="H486" s="5">
        <f t="shared" ca="1" si="123"/>
        <v>1.9999999999953388E-3</v>
      </c>
      <c r="I486" s="5">
        <f t="shared" ca="1" si="124"/>
        <v>2.9239766081803197E-5</v>
      </c>
      <c r="J486" s="10">
        <f t="shared" si="125"/>
        <v>4.0333333333333332</v>
      </c>
      <c r="K486" s="12">
        <f t="shared" ca="1" si="126"/>
        <v>4.0334999999999992</v>
      </c>
      <c r="L486" s="5">
        <f t="shared" ca="1" si="127"/>
        <v>4.1322314049417068E-5</v>
      </c>
      <c r="N486">
        <f t="shared" ca="1" si="128"/>
        <v>43.402000000000001</v>
      </c>
      <c r="O486">
        <f t="shared" ca="1" si="129"/>
        <v>1.065103E-3</v>
      </c>
      <c r="P486">
        <f t="shared" ca="1" si="130"/>
        <v>1.0010850499999999</v>
      </c>
      <c r="Q486">
        <f t="shared" ca="1" si="131"/>
        <v>4.036810290484989</v>
      </c>
      <c r="R486">
        <f t="shared" ca="1" si="132"/>
        <v>21529.654882586608</v>
      </c>
      <c r="S486">
        <f t="shared" ca="1" si="133"/>
        <v>3.5230365429800945</v>
      </c>
      <c r="T486">
        <f t="shared" ca="1" si="134"/>
        <v>-2</v>
      </c>
      <c r="U486">
        <f t="shared" ca="1" si="135"/>
        <v>21531</v>
      </c>
      <c r="V486">
        <f t="shared" ca="1" si="136"/>
        <v>4.0370625000000002</v>
      </c>
      <c r="X486">
        <f t="shared" ca="1" si="137"/>
        <v>4.0316228845890771</v>
      </c>
    </row>
    <row r="487" spans="5:24" x14ac:dyDescent="0.25">
      <c r="E487">
        <v>485</v>
      </c>
      <c r="F487">
        <f t="shared" si="121"/>
        <v>68.5</v>
      </c>
      <c r="G487">
        <f t="shared" ca="1" si="122"/>
        <v>68.510000000000005</v>
      </c>
      <c r="H487" s="5">
        <f t="shared" ca="1" si="123"/>
        <v>1.0000000000005116E-2</v>
      </c>
      <c r="I487" s="5">
        <f t="shared" ca="1" si="124"/>
        <v>1.459854014599287E-4</v>
      </c>
      <c r="J487" s="10">
        <f t="shared" si="125"/>
        <v>4.0416666666666661</v>
      </c>
      <c r="K487" s="12">
        <f t="shared" ca="1" si="126"/>
        <v>4.0424999999999995</v>
      </c>
      <c r="L487" s="5">
        <f t="shared" ca="1" si="127"/>
        <v>2.0618556701034154E-4</v>
      </c>
      <c r="N487">
        <f t="shared" ca="1" si="128"/>
        <v>43.510000000000005</v>
      </c>
      <c r="O487">
        <f t="shared" ca="1" si="129"/>
        <v>1.0652650000000001E-3</v>
      </c>
      <c r="P487">
        <f t="shared" ca="1" si="130"/>
        <v>1.0010877499999999</v>
      </c>
      <c r="Q487">
        <f t="shared" ca="1" si="131"/>
        <v>4.0458308056329955</v>
      </c>
      <c r="R487">
        <f t="shared" ca="1" si="132"/>
        <v>21577.764296709309</v>
      </c>
      <c r="S487">
        <f t="shared" ca="1" si="133"/>
        <v>3.514261961566528</v>
      </c>
      <c r="T487">
        <f t="shared" ca="1" si="134"/>
        <v>1</v>
      </c>
      <c r="U487">
        <f t="shared" ca="1" si="135"/>
        <v>21582</v>
      </c>
      <c r="V487">
        <f t="shared" ca="1" si="136"/>
        <v>4.0466249999999997</v>
      </c>
      <c r="X487">
        <f t="shared" ca="1" si="137"/>
        <v>4.0411639589037023</v>
      </c>
    </row>
    <row r="488" spans="5:24" x14ac:dyDescent="0.25">
      <c r="E488">
        <v>486</v>
      </c>
      <c r="F488">
        <f t="shared" si="121"/>
        <v>68.599999999999994</v>
      </c>
      <c r="G488">
        <f t="shared" ca="1" si="122"/>
        <v>68.600999999999999</v>
      </c>
      <c r="H488" s="5">
        <f t="shared" ca="1" si="123"/>
        <v>1.0000000000047748E-3</v>
      </c>
      <c r="I488" s="5">
        <f t="shared" ca="1" si="124"/>
        <v>1.4577259475288264E-5</v>
      </c>
      <c r="J488" s="10">
        <f t="shared" si="125"/>
        <v>4.0499999999999989</v>
      </c>
      <c r="K488" s="12">
        <f t="shared" ca="1" si="126"/>
        <v>4.0500833333333324</v>
      </c>
      <c r="L488" s="5">
        <f t="shared" ca="1" si="127"/>
        <v>2.057613168726795E-5</v>
      </c>
      <c r="N488">
        <f t="shared" ca="1" si="128"/>
        <v>43.600999999999999</v>
      </c>
      <c r="O488">
        <f t="shared" ca="1" si="129"/>
        <v>1.0654015000000001E-3</v>
      </c>
      <c r="P488">
        <f t="shared" ca="1" si="130"/>
        <v>1.0010900250000001</v>
      </c>
      <c r="Q488">
        <f t="shared" ca="1" si="131"/>
        <v>4.0534314626044798</v>
      </c>
      <c r="R488">
        <f t="shared" ca="1" si="132"/>
        <v>21618.30113389056</v>
      </c>
      <c r="S488">
        <f t="shared" ca="1" si="133"/>
        <v>3.506810481778404</v>
      </c>
      <c r="T488">
        <f t="shared" ca="1" si="134"/>
        <v>3</v>
      </c>
      <c r="U488">
        <f t="shared" ca="1" si="135"/>
        <v>21625</v>
      </c>
      <c r="V488">
        <f t="shared" ca="1" si="136"/>
        <v>4.0546875</v>
      </c>
      <c r="X488">
        <f t="shared" ca="1" si="137"/>
        <v>4.0492083601572189</v>
      </c>
    </row>
    <row r="489" spans="5:24" x14ac:dyDescent="0.25">
      <c r="E489">
        <v>487</v>
      </c>
      <c r="F489">
        <f t="shared" si="121"/>
        <v>68.7</v>
      </c>
      <c r="G489">
        <f t="shared" ca="1" si="122"/>
        <v>68.709000000000003</v>
      </c>
      <c r="H489" s="5">
        <f t="shared" ca="1" si="123"/>
        <v>9.0000000000003411E-3</v>
      </c>
      <c r="I489" s="5">
        <f t="shared" ca="1" si="124"/>
        <v>1.3100436681223203E-4</v>
      </c>
      <c r="J489" s="10">
        <f t="shared" si="125"/>
        <v>4.0583333333333327</v>
      </c>
      <c r="K489" s="12">
        <f t="shared" ca="1" si="126"/>
        <v>4.0590833333333327</v>
      </c>
      <c r="L489" s="5">
        <f t="shared" ca="1" si="127"/>
        <v>1.8480492813142388E-4</v>
      </c>
      <c r="N489">
        <f t="shared" ca="1" si="128"/>
        <v>43.709000000000003</v>
      </c>
      <c r="O489">
        <f t="shared" ca="1" si="129"/>
        <v>1.0655635E-3</v>
      </c>
      <c r="P489">
        <f t="shared" ca="1" si="130"/>
        <v>1.0010927249999999</v>
      </c>
      <c r="Q489">
        <f t="shared" ca="1" si="131"/>
        <v>4.0624520673008737</v>
      </c>
      <c r="R489">
        <f t="shared" ca="1" si="132"/>
        <v>21666.411025604659</v>
      </c>
      <c r="S489">
        <f t="shared" ca="1" si="133"/>
        <v>3.4978981974314132</v>
      </c>
      <c r="T489">
        <f t="shared" ca="1" si="134"/>
        <v>0</v>
      </c>
      <c r="U489">
        <f t="shared" ca="1" si="135"/>
        <v>21670</v>
      </c>
      <c r="V489">
        <f t="shared" ca="1" si="136"/>
        <v>4.0631250000000003</v>
      </c>
      <c r="X489">
        <f t="shared" ca="1" si="137"/>
        <v>4.0576255676016428</v>
      </c>
    </row>
    <row r="490" spans="5:24" x14ac:dyDescent="0.25">
      <c r="E490">
        <v>488</v>
      </c>
      <c r="F490">
        <f t="shared" si="121"/>
        <v>68.800000000000011</v>
      </c>
      <c r="G490">
        <f t="shared" ca="1" si="122"/>
        <v>68.802000000000007</v>
      </c>
      <c r="H490" s="5">
        <f t="shared" ca="1" si="123"/>
        <v>1.9999999999953388E-3</v>
      </c>
      <c r="I490" s="5">
        <f t="shared" ca="1" si="124"/>
        <v>2.9069767441792711E-5</v>
      </c>
      <c r="J490" s="10">
        <f t="shared" si="125"/>
        <v>4.0666666666666673</v>
      </c>
      <c r="K490" s="12">
        <f t="shared" ca="1" si="126"/>
        <v>4.0668333333333333</v>
      </c>
      <c r="L490" s="5">
        <f t="shared" ca="1" si="127"/>
        <v>4.0983606557208727E-5</v>
      </c>
      <c r="N490">
        <f t="shared" ca="1" si="128"/>
        <v>43.802000000000007</v>
      </c>
      <c r="O490">
        <f t="shared" ca="1" si="129"/>
        <v>1.0657030000000001E-3</v>
      </c>
      <c r="P490">
        <f t="shared" ca="1" si="130"/>
        <v>1.00109505</v>
      </c>
      <c r="Q490">
        <f t="shared" ca="1" si="131"/>
        <v>4.0702198491769295</v>
      </c>
      <c r="R490">
        <f t="shared" ca="1" si="132"/>
        <v>21707.83919561029</v>
      </c>
      <c r="S490">
        <f t="shared" ca="1" si="133"/>
        <v>3.4901640527570263</v>
      </c>
      <c r="T490">
        <f t="shared" ca="1" si="134"/>
        <v>2</v>
      </c>
      <c r="U490">
        <f t="shared" ca="1" si="135"/>
        <v>21713</v>
      </c>
      <c r="V490">
        <f t="shared" ca="1" si="136"/>
        <v>4.0711874999999997</v>
      </c>
      <c r="X490">
        <f t="shared" ca="1" si="137"/>
        <v>4.0656696854109908</v>
      </c>
    </row>
    <row r="491" spans="5:24" x14ac:dyDescent="0.25">
      <c r="E491">
        <v>489</v>
      </c>
      <c r="F491">
        <f t="shared" si="121"/>
        <v>68.900000000000006</v>
      </c>
      <c r="G491">
        <f t="shared" ca="1" si="122"/>
        <v>68.904000000000011</v>
      </c>
      <c r="H491" s="5">
        <f t="shared" ca="1" si="123"/>
        <v>4.0000000000048885E-3</v>
      </c>
      <c r="I491" s="5">
        <f t="shared" ca="1" si="124"/>
        <v>5.8055152394845982E-5</v>
      </c>
      <c r="J491" s="10">
        <f t="shared" si="125"/>
        <v>4.0750000000000002</v>
      </c>
      <c r="K491" s="12">
        <f t="shared" ca="1" si="126"/>
        <v>4.0753333333333339</v>
      </c>
      <c r="L491" s="5">
        <f t="shared" ca="1" si="127"/>
        <v>8.1799591002144963E-5</v>
      </c>
      <c r="N491">
        <f t="shared" ca="1" si="128"/>
        <v>43.904000000000011</v>
      </c>
      <c r="O491">
        <f t="shared" ca="1" si="129"/>
        <v>1.065856E-3</v>
      </c>
      <c r="P491">
        <f t="shared" ca="1" si="130"/>
        <v>1.0010976</v>
      </c>
      <c r="Q491">
        <f t="shared" ca="1" si="131"/>
        <v>4.0787393933164546</v>
      </c>
      <c r="R491">
        <f t="shared" ca="1" si="132"/>
        <v>21753.276764354425</v>
      </c>
      <c r="S491">
        <f t="shared" ca="1" si="133"/>
        <v>3.481618094823856</v>
      </c>
      <c r="T491">
        <f t="shared" ca="1" si="134"/>
        <v>-3</v>
      </c>
      <c r="U491">
        <f t="shared" ca="1" si="135"/>
        <v>21754</v>
      </c>
      <c r="V491">
        <f t="shared" ca="1" si="136"/>
        <v>4.078875</v>
      </c>
      <c r="X491">
        <f t="shared" ca="1" si="137"/>
        <v>4.0733382479390619</v>
      </c>
    </row>
    <row r="492" spans="5:24" x14ac:dyDescent="0.25">
      <c r="E492">
        <v>490</v>
      </c>
      <c r="F492">
        <f t="shared" si="121"/>
        <v>69</v>
      </c>
      <c r="G492">
        <f t="shared" ca="1" si="122"/>
        <v>69.001000000000005</v>
      </c>
      <c r="H492" s="5">
        <f t="shared" ca="1" si="123"/>
        <v>1.0000000000047748E-3</v>
      </c>
      <c r="I492" s="5">
        <f t="shared" ca="1" si="124"/>
        <v>1.4492753623257606E-5</v>
      </c>
      <c r="J492" s="10">
        <f t="shared" si="125"/>
        <v>4.083333333333333</v>
      </c>
      <c r="K492" s="12">
        <f t="shared" ca="1" si="126"/>
        <v>4.0834166666666665</v>
      </c>
      <c r="L492" s="5">
        <f t="shared" ca="1" si="127"/>
        <v>2.0408163265331066E-5</v>
      </c>
      <c r="N492">
        <f t="shared" ca="1" si="128"/>
        <v>44.001000000000005</v>
      </c>
      <c r="O492">
        <f t="shared" ca="1" si="129"/>
        <v>1.0660015E-3</v>
      </c>
      <c r="P492">
        <f t="shared" ca="1" si="130"/>
        <v>1.0011000249999999</v>
      </c>
      <c r="Q492">
        <f t="shared" ca="1" si="131"/>
        <v>4.0868413529571166</v>
      </c>
      <c r="R492">
        <f t="shared" ca="1" si="132"/>
        <v>21796.487215771289</v>
      </c>
      <c r="S492">
        <f t="shared" ca="1" si="133"/>
        <v>3.4734297209691416</v>
      </c>
      <c r="T492">
        <f t="shared" ca="1" si="134"/>
        <v>-2</v>
      </c>
      <c r="U492">
        <f t="shared" ca="1" si="135"/>
        <v>21798</v>
      </c>
      <c r="V492">
        <f t="shared" ca="1" si="136"/>
        <v>4.0871250000000003</v>
      </c>
      <c r="X492">
        <f t="shared" ca="1" si="137"/>
        <v>4.0815691703733608</v>
      </c>
    </row>
    <row r="493" spans="5:24" x14ac:dyDescent="0.25">
      <c r="E493">
        <v>491</v>
      </c>
      <c r="F493">
        <f t="shared" si="121"/>
        <v>69.099999999999994</v>
      </c>
      <c r="G493">
        <f t="shared" ca="1" si="122"/>
        <v>69.10199999999999</v>
      </c>
      <c r="H493" s="5">
        <f t="shared" ca="1" si="123"/>
        <v>1.9999999999953388E-3</v>
      </c>
      <c r="I493" s="5">
        <f t="shared" ca="1" si="124"/>
        <v>2.8943560057819667E-5</v>
      </c>
      <c r="J493" s="10">
        <f t="shared" si="125"/>
        <v>4.0916666666666659</v>
      </c>
      <c r="K493" s="12">
        <f t="shared" ca="1" si="126"/>
        <v>4.0918333333333319</v>
      </c>
      <c r="L493" s="5">
        <f t="shared" ca="1" si="127"/>
        <v>4.0733197555840865E-5</v>
      </c>
      <c r="N493">
        <f t="shared" ca="1" si="128"/>
        <v>44.10199999999999</v>
      </c>
      <c r="O493">
        <f t="shared" ca="1" si="129"/>
        <v>1.066153E-3</v>
      </c>
      <c r="P493">
        <f t="shared" ca="1" si="130"/>
        <v>1.0011025499999999</v>
      </c>
      <c r="Q493">
        <f t="shared" ca="1" si="131"/>
        <v>4.0952774556880085</v>
      </c>
      <c r="R493">
        <f t="shared" ca="1" si="132"/>
        <v>21841.479763669377</v>
      </c>
      <c r="S493">
        <f t="shared" ca="1" si="133"/>
        <v>3.4648402914281284</v>
      </c>
      <c r="T493">
        <f t="shared" ca="1" si="134"/>
        <v>3</v>
      </c>
      <c r="U493">
        <f t="shared" ca="1" si="135"/>
        <v>21848</v>
      </c>
      <c r="V493">
        <f t="shared" ca="1" si="136"/>
        <v>4.0964999999999998</v>
      </c>
      <c r="X493">
        <f t="shared" ca="1" si="137"/>
        <v>4.0909233994059848</v>
      </c>
    </row>
    <row r="494" spans="5:24" x14ac:dyDescent="0.25">
      <c r="E494">
        <v>492</v>
      </c>
      <c r="F494">
        <f t="shared" si="121"/>
        <v>69.2</v>
      </c>
      <c r="G494">
        <f t="shared" ca="1" si="122"/>
        <v>69.198000000000008</v>
      </c>
      <c r="H494" s="5">
        <f t="shared" ca="1" si="123"/>
        <v>1.9999999999953388E-3</v>
      </c>
      <c r="I494" s="5">
        <f t="shared" ca="1" si="124"/>
        <v>2.8901734103978882E-5</v>
      </c>
      <c r="J494" s="10">
        <f t="shared" si="125"/>
        <v>4.0999999999999996</v>
      </c>
      <c r="K494" s="12">
        <f t="shared" ca="1" si="126"/>
        <v>4.0998333333333337</v>
      </c>
      <c r="L494" s="5">
        <f t="shared" ca="1" si="127"/>
        <v>4.0650406503898094E-5</v>
      </c>
      <c r="N494">
        <f t="shared" ca="1" si="128"/>
        <v>44.198000000000008</v>
      </c>
      <c r="O494">
        <f t="shared" ca="1" si="129"/>
        <v>1.0662970000000001E-3</v>
      </c>
      <c r="P494">
        <f t="shared" ca="1" si="130"/>
        <v>1.00110495</v>
      </c>
      <c r="Q494">
        <f t="shared" ca="1" si="131"/>
        <v>4.10329596897013</v>
      </c>
      <c r="R494">
        <f t="shared" ca="1" si="132"/>
        <v>21884.245167840694</v>
      </c>
      <c r="S494">
        <f t="shared" ca="1" si="133"/>
        <v>3.4566162757219772</v>
      </c>
      <c r="T494">
        <f t="shared" ca="1" si="134"/>
        <v>1</v>
      </c>
      <c r="U494">
        <f t="shared" ca="1" si="135"/>
        <v>21889</v>
      </c>
      <c r="V494">
        <f t="shared" ca="1" si="136"/>
        <v>4.1041875000000001</v>
      </c>
      <c r="X494">
        <f t="shared" ca="1" si="137"/>
        <v>4.0985924632577229</v>
      </c>
    </row>
    <row r="495" spans="5:24" x14ac:dyDescent="0.25">
      <c r="E495">
        <v>493</v>
      </c>
      <c r="F495">
        <f t="shared" si="121"/>
        <v>69.300000000000011</v>
      </c>
      <c r="G495">
        <f t="shared" ca="1" si="122"/>
        <v>69.303000000000011</v>
      </c>
      <c r="H495" s="5">
        <f t="shared" ca="1" si="123"/>
        <v>3.0000000000001137E-3</v>
      </c>
      <c r="I495" s="5">
        <f t="shared" ca="1" si="124"/>
        <v>4.3290043290044923E-5</v>
      </c>
      <c r="J495" s="10">
        <f t="shared" si="125"/>
        <v>4.1083333333333334</v>
      </c>
      <c r="K495" s="12">
        <f t="shared" ca="1" si="126"/>
        <v>4.1085833333333337</v>
      </c>
      <c r="L495" s="5">
        <f t="shared" ca="1" si="127"/>
        <v>6.0851926977761997E-5</v>
      </c>
      <c r="N495">
        <f t="shared" ca="1" si="128"/>
        <v>44.303000000000011</v>
      </c>
      <c r="O495">
        <f t="shared" ca="1" si="129"/>
        <v>1.0664545000000001E-3</v>
      </c>
      <c r="P495">
        <f t="shared" ca="1" si="130"/>
        <v>1.001107575</v>
      </c>
      <c r="Q495">
        <f t="shared" ca="1" si="131"/>
        <v>4.1120662618404076</v>
      </c>
      <c r="R495">
        <f t="shared" ca="1" si="132"/>
        <v>21931.020063148841</v>
      </c>
      <c r="S495">
        <f t="shared" ca="1" si="133"/>
        <v>3.447554683170444</v>
      </c>
      <c r="T495">
        <f t="shared" ca="1" si="134"/>
        <v>3</v>
      </c>
      <c r="U495">
        <f t="shared" ca="1" si="135"/>
        <v>21937</v>
      </c>
      <c r="V495">
        <f t="shared" ca="1" si="136"/>
        <v>4.1131875000000004</v>
      </c>
      <c r="X495">
        <f t="shared" ca="1" si="137"/>
        <v>4.1075716018830448</v>
      </c>
    </row>
    <row r="496" spans="5:24" x14ac:dyDescent="0.25">
      <c r="E496">
        <v>494</v>
      </c>
      <c r="F496">
        <f t="shared" si="121"/>
        <v>69.400000000000006</v>
      </c>
      <c r="G496">
        <f t="shared" ca="1" si="122"/>
        <v>69.39</v>
      </c>
      <c r="H496" s="5">
        <f t="shared" ca="1" si="123"/>
        <v>1.0000000000005116E-2</v>
      </c>
      <c r="I496" s="5">
        <f t="shared" ca="1" si="124"/>
        <v>1.4409221902024662E-4</v>
      </c>
      <c r="J496" s="10">
        <f t="shared" si="125"/>
        <v>4.1166666666666663</v>
      </c>
      <c r="K496" s="12">
        <f t="shared" ca="1" si="126"/>
        <v>4.1158333333333328</v>
      </c>
      <c r="L496" s="5">
        <f t="shared" ca="1" si="127"/>
        <v>2.0242914979760253E-4</v>
      </c>
      <c r="N496">
        <f t="shared" ca="1" si="128"/>
        <v>44.39</v>
      </c>
      <c r="O496">
        <f t="shared" ca="1" si="129"/>
        <v>1.0665850000000001E-3</v>
      </c>
      <c r="P496">
        <f t="shared" ca="1" si="130"/>
        <v>1.0011097499999999</v>
      </c>
      <c r="Q496">
        <f t="shared" ca="1" si="131"/>
        <v>4.1193331107322955</v>
      </c>
      <c r="R496">
        <f t="shared" ca="1" si="132"/>
        <v>21969.776590572241</v>
      </c>
      <c r="S496">
        <f t="shared" ca="1" si="133"/>
        <v>3.4399939394357872</v>
      </c>
      <c r="T496">
        <f t="shared" ca="1" si="134"/>
        <v>1</v>
      </c>
      <c r="U496">
        <f t="shared" ca="1" si="135"/>
        <v>21974</v>
      </c>
      <c r="V496">
        <f t="shared" ca="1" si="136"/>
        <v>4.1201249999999998</v>
      </c>
      <c r="X496">
        <f t="shared" ca="1" si="137"/>
        <v>4.1144923571067009</v>
      </c>
    </row>
    <row r="497" spans="5:24" x14ac:dyDescent="0.25">
      <c r="E497">
        <v>495</v>
      </c>
      <c r="F497">
        <f t="shared" si="121"/>
        <v>69.5</v>
      </c>
      <c r="G497">
        <f t="shared" ca="1" si="122"/>
        <v>69.501999999999995</v>
      </c>
      <c r="H497" s="5">
        <f t="shared" ca="1" si="123"/>
        <v>1.9999999999953388E-3</v>
      </c>
      <c r="I497" s="5">
        <f t="shared" ca="1" si="124"/>
        <v>2.8776978417199121E-5</v>
      </c>
      <c r="J497" s="10">
        <f t="shared" si="125"/>
        <v>4.1249999999999991</v>
      </c>
      <c r="K497" s="12">
        <f t="shared" ca="1" si="126"/>
        <v>4.125166666666666</v>
      </c>
      <c r="L497" s="5">
        <f t="shared" ca="1" si="127"/>
        <v>4.0404040404089791E-5</v>
      </c>
      <c r="N497">
        <f t="shared" ca="1" si="128"/>
        <v>44.501999999999995</v>
      </c>
      <c r="O497">
        <f t="shared" ca="1" si="129"/>
        <v>1.0667529999999999E-3</v>
      </c>
      <c r="P497">
        <f t="shared" ca="1" si="130"/>
        <v>1.00111255</v>
      </c>
      <c r="Q497">
        <f t="shared" ca="1" si="131"/>
        <v>4.1286881810256162</v>
      </c>
      <c r="R497">
        <f t="shared" ca="1" si="132"/>
        <v>22019.670298803285</v>
      </c>
      <c r="S497">
        <f t="shared" ca="1" si="133"/>
        <v>3.4301906064167884</v>
      </c>
      <c r="T497">
        <f t="shared" ca="1" si="134"/>
        <v>-1</v>
      </c>
      <c r="U497">
        <f t="shared" ca="1" si="135"/>
        <v>22022</v>
      </c>
      <c r="V497">
        <f t="shared" ca="1" si="136"/>
        <v>4.1291250000000002</v>
      </c>
      <c r="X497">
        <f t="shared" ca="1" si="137"/>
        <v>4.1234706796953056</v>
      </c>
    </row>
    <row r="498" spans="5:24" x14ac:dyDescent="0.25">
      <c r="E498">
        <v>496</v>
      </c>
      <c r="F498">
        <f t="shared" si="121"/>
        <v>69.599999999999994</v>
      </c>
      <c r="G498">
        <f t="shared" ca="1" si="122"/>
        <v>69.60199999999999</v>
      </c>
      <c r="H498" s="5">
        <f t="shared" ca="1" si="123"/>
        <v>1.9999999999953388E-3</v>
      </c>
      <c r="I498" s="5">
        <f t="shared" ca="1" si="124"/>
        <v>2.8735632183841078E-5</v>
      </c>
      <c r="J498" s="10">
        <f t="shared" si="125"/>
        <v>4.133333333333332</v>
      </c>
      <c r="K498" s="12">
        <f t="shared" ca="1" si="126"/>
        <v>4.1334999999999988</v>
      </c>
      <c r="L498" s="5">
        <f t="shared" ca="1" si="127"/>
        <v>4.0322580645210581E-5</v>
      </c>
      <c r="N498">
        <f t="shared" ca="1" si="128"/>
        <v>44.60199999999999</v>
      </c>
      <c r="O498">
        <f t="shared" ca="1" si="129"/>
        <v>1.0669030000000001E-3</v>
      </c>
      <c r="P498">
        <f t="shared" ca="1" si="130"/>
        <v>1.0011150499999999</v>
      </c>
      <c r="Q498">
        <f t="shared" ca="1" si="131"/>
        <v>4.1370409665248085</v>
      </c>
      <c r="R498">
        <f t="shared" ca="1" si="132"/>
        <v>22064.218488132312</v>
      </c>
      <c r="S498">
        <f t="shared" ca="1" si="133"/>
        <v>3.4213712516818315</v>
      </c>
      <c r="T498">
        <f t="shared" ca="1" si="134"/>
        <v>3</v>
      </c>
      <c r="U498">
        <f t="shared" ca="1" si="135"/>
        <v>22071</v>
      </c>
      <c r="V498">
        <f t="shared" ca="1" si="136"/>
        <v>4.1383125000000005</v>
      </c>
      <c r="X498">
        <f t="shared" ca="1" si="137"/>
        <v>4.1326374995561208</v>
      </c>
    </row>
    <row r="499" spans="5:24" x14ac:dyDescent="0.25">
      <c r="E499">
        <v>497</v>
      </c>
      <c r="F499">
        <f t="shared" si="121"/>
        <v>69.7</v>
      </c>
      <c r="G499">
        <f t="shared" ca="1" si="122"/>
        <v>69.704000000000008</v>
      </c>
      <c r="H499" s="5">
        <f t="shared" ca="1" si="123"/>
        <v>4.0000000000048885E-3</v>
      </c>
      <c r="I499" s="5">
        <f t="shared" ca="1" si="124"/>
        <v>5.7388809182279606E-5</v>
      </c>
      <c r="J499" s="10">
        <f t="shared" si="125"/>
        <v>4.1416666666666666</v>
      </c>
      <c r="K499" s="12">
        <f t="shared" ca="1" si="126"/>
        <v>4.1420000000000003</v>
      </c>
      <c r="L499" s="5">
        <f t="shared" ca="1" si="127"/>
        <v>8.0482897384404192E-5</v>
      </c>
      <c r="N499">
        <f t="shared" ca="1" si="128"/>
        <v>44.704000000000008</v>
      </c>
      <c r="O499">
        <f t="shared" ca="1" si="129"/>
        <v>1.067056E-3</v>
      </c>
      <c r="P499">
        <f t="shared" ca="1" si="130"/>
        <v>1.0011175999999999</v>
      </c>
      <c r="Q499">
        <f t="shared" ca="1" si="131"/>
        <v>4.1455608506582147</v>
      </c>
      <c r="R499">
        <f t="shared" ca="1" si="132"/>
        <v>22109.657870177143</v>
      </c>
      <c r="S499">
        <f t="shared" ca="1" si="133"/>
        <v>3.4123111695801436</v>
      </c>
      <c r="T499">
        <f t="shared" ca="1" si="134"/>
        <v>-3</v>
      </c>
      <c r="U499">
        <f t="shared" ca="1" si="135"/>
        <v>22110</v>
      </c>
      <c r="V499">
        <f t="shared" ca="1" si="136"/>
        <v>4.1456249999999999</v>
      </c>
      <c r="X499">
        <f t="shared" ca="1" si="137"/>
        <v>4.1399311569390047</v>
      </c>
    </row>
    <row r="500" spans="5:24" x14ac:dyDescent="0.25">
      <c r="E500">
        <v>498</v>
      </c>
      <c r="F500">
        <f t="shared" si="121"/>
        <v>69.800000000000011</v>
      </c>
      <c r="G500">
        <f t="shared" ca="1" si="122"/>
        <v>69.809000000000012</v>
      </c>
      <c r="H500" s="5">
        <f t="shared" ca="1" si="123"/>
        <v>9.0000000000003411E-3</v>
      </c>
      <c r="I500" s="5">
        <f t="shared" ca="1" si="124"/>
        <v>1.2893982808023408E-4</v>
      </c>
      <c r="J500" s="10">
        <f t="shared" si="125"/>
        <v>4.1500000000000004</v>
      </c>
      <c r="K500" s="12">
        <f t="shared" ca="1" si="126"/>
        <v>4.1507500000000004</v>
      </c>
      <c r="L500" s="5">
        <f t="shared" ca="1" si="127"/>
        <v>1.807228915662719E-4</v>
      </c>
      <c r="N500">
        <f t="shared" ca="1" si="128"/>
        <v>44.809000000000012</v>
      </c>
      <c r="O500">
        <f t="shared" ca="1" si="129"/>
        <v>1.0672135E-3</v>
      </c>
      <c r="P500">
        <f t="shared" ca="1" si="130"/>
        <v>1.001120225</v>
      </c>
      <c r="Q500">
        <f t="shared" ca="1" si="131"/>
        <v>4.1543313648995071</v>
      </c>
      <c r="R500">
        <f t="shared" ca="1" si="132"/>
        <v>22156.433946130703</v>
      </c>
      <c r="S500">
        <f t="shared" ca="1" si="133"/>
        <v>3.402916921594326</v>
      </c>
      <c r="T500">
        <f t="shared" ca="1" si="134"/>
        <v>0</v>
      </c>
      <c r="U500">
        <f t="shared" ca="1" si="135"/>
        <v>22160</v>
      </c>
      <c r="V500">
        <f t="shared" ca="1" si="136"/>
        <v>4.1550000000000002</v>
      </c>
      <c r="X500">
        <f t="shared" ca="1" si="137"/>
        <v>4.1492846540983628</v>
      </c>
    </row>
    <row r="501" spans="5:24" x14ac:dyDescent="0.25">
      <c r="E501">
        <v>499</v>
      </c>
      <c r="F501">
        <f t="shared" si="121"/>
        <v>69.900000000000006</v>
      </c>
      <c r="G501">
        <f t="shared" ca="1" si="122"/>
        <v>69.897000000000006</v>
      </c>
      <c r="H501" s="5">
        <f t="shared" ca="1" si="123"/>
        <v>3.0000000000001137E-3</v>
      </c>
      <c r="I501" s="5">
        <f t="shared" ca="1" si="124"/>
        <v>4.291845493562394E-5</v>
      </c>
      <c r="J501" s="10">
        <f t="shared" si="125"/>
        <v>4.1583333333333332</v>
      </c>
      <c r="K501" s="12">
        <f t="shared" ca="1" si="126"/>
        <v>4.1580833333333329</v>
      </c>
      <c r="L501" s="5">
        <f t="shared" ca="1" si="127"/>
        <v>6.0120240481035401E-5</v>
      </c>
      <c r="N501">
        <f t="shared" ca="1" si="128"/>
        <v>44.897000000000006</v>
      </c>
      <c r="O501">
        <f t="shared" ca="1" si="129"/>
        <v>1.0673455000000001E-3</v>
      </c>
      <c r="P501">
        <f t="shared" ca="1" si="130"/>
        <v>1.0011224249999999</v>
      </c>
      <c r="Q501">
        <f t="shared" ca="1" si="131"/>
        <v>4.1616819265034763</v>
      </c>
      <c r="R501">
        <f t="shared" ca="1" si="132"/>
        <v>22195.636941351873</v>
      </c>
      <c r="S501">
        <f t="shared" ca="1" si="133"/>
        <v>3.3949908865066694</v>
      </c>
      <c r="T501">
        <f t="shared" ca="1" si="134"/>
        <v>-2</v>
      </c>
      <c r="U501">
        <f t="shared" ca="1" si="135"/>
        <v>22197</v>
      </c>
      <c r="V501">
        <f t="shared" ca="1" si="136"/>
        <v>4.1619375000000005</v>
      </c>
      <c r="X501">
        <f t="shared" ca="1" si="137"/>
        <v>4.1562051259614936</v>
      </c>
    </row>
    <row r="502" spans="5:24" x14ac:dyDescent="0.25">
      <c r="E502">
        <v>500</v>
      </c>
      <c r="F502">
        <f t="shared" si="121"/>
        <v>70</v>
      </c>
      <c r="G502">
        <f t="shared" ca="1" si="122"/>
        <v>70.004000000000005</v>
      </c>
      <c r="H502" s="5">
        <f t="shared" ca="1" si="123"/>
        <v>4.0000000000048885E-3</v>
      </c>
      <c r="I502" s="5">
        <f t="shared" ca="1" si="124"/>
        <v>5.7142857142926978E-5</v>
      </c>
      <c r="J502" s="10">
        <f t="shared" si="125"/>
        <v>4.1666666666666661</v>
      </c>
      <c r="K502" s="12">
        <f t="shared" ca="1" si="126"/>
        <v>4.1669999999999998</v>
      </c>
      <c r="L502" s="5">
        <f t="shared" ca="1" si="127"/>
        <v>8.0000000000097788E-5</v>
      </c>
      <c r="N502">
        <f t="shared" ca="1" si="128"/>
        <v>45.004000000000005</v>
      </c>
      <c r="O502">
        <f t="shared" ca="1" si="129"/>
        <v>1.067506E-3</v>
      </c>
      <c r="P502">
        <f t="shared" ca="1" si="130"/>
        <v>1.0011251000000001</v>
      </c>
      <c r="Q502">
        <f t="shared" ca="1" si="131"/>
        <v>4.1706195846489997</v>
      </c>
      <c r="R502">
        <f t="shared" ca="1" si="132"/>
        <v>22243.304451461332</v>
      </c>
      <c r="S502">
        <f t="shared" ca="1" si="133"/>
        <v>3.3852889019722237</v>
      </c>
      <c r="T502">
        <f t="shared" ca="1" si="134"/>
        <v>0</v>
      </c>
      <c r="U502">
        <f t="shared" ca="1" si="135"/>
        <v>22247</v>
      </c>
      <c r="V502">
        <f t="shared" ca="1" si="136"/>
        <v>4.1713125</v>
      </c>
      <c r="X502">
        <f t="shared" ca="1" si="137"/>
        <v>4.1655583243292966</v>
      </c>
    </row>
    <row r="503" spans="5:24" x14ac:dyDescent="0.25">
      <c r="E503">
        <v>501</v>
      </c>
      <c r="F503">
        <f t="shared" si="121"/>
        <v>70.099999999999994</v>
      </c>
      <c r="G503">
        <f t="shared" ca="1" si="122"/>
        <v>70.097999999999999</v>
      </c>
      <c r="H503" s="5">
        <f t="shared" ca="1" si="123"/>
        <v>1.9999999999953388E-3</v>
      </c>
      <c r="I503" s="5">
        <f t="shared" ca="1" si="124"/>
        <v>2.853067047068957E-5</v>
      </c>
      <c r="J503" s="10">
        <f t="shared" si="125"/>
        <v>4.1749999999999989</v>
      </c>
      <c r="K503" s="12">
        <f t="shared" ca="1" si="126"/>
        <v>4.174833333333333</v>
      </c>
      <c r="L503" s="5">
        <f t="shared" ca="1" si="127"/>
        <v>3.9920159680474786E-5</v>
      </c>
      <c r="N503">
        <f t="shared" ca="1" si="128"/>
        <v>45.097999999999999</v>
      </c>
      <c r="O503">
        <f t="shared" ca="1" si="129"/>
        <v>1.0676470000000001E-3</v>
      </c>
      <c r="P503">
        <f t="shared" ca="1" si="130"/>
        <v>1.00112745</v>
      </c>
      <c r="Q503">
        <f t="shared" ca="1" si="131"/>
        <v>4.1784713984563897</v>
      </c>
      <c r="R503">
        <f t="shared" ca="1" si="132"/>
        <v>22285.180791767412</v>
      </c>
      <c r="S503">
        <f t="shared" ca="1" si="133"/>
        <v>3.376707273295267</v>
      </c>
      <c r="T503">
        <f t="shared" ca="1" si="134"/>
        <v>1</v>
      </c>
      <c r="U503">
        <f t="shared" ca="1" si="135"/>
        <v>22290</v>
      </c>
      <c r="V503">
        <f t="shared" ca="1" si="136"/>
        <v>4.1793750000000003</v>
      </c>
      <c r="X503">
        <f t="shared" ca="1" si="137"/>
        <v>4.1736018256217031</v>
      </c>
    </row>
    <row r="504" spans="5:24" x14ac:dyDescent="0.25">
      <c r="E504">
        <v>502</v>
      </c>
      <c r="F504">
        <f t="shared" si="121"/>
        <v>70.2</v>
      </c>
      <c r="G504">
        <f t="shared" ca="1" si="122"/>
        <v>70.210000000000008</v>
      </c>
      <c r="H504" s="5">
        <f t="shared" ca="1" si="123"/>
        <v>1.0000000000005116E-2</v>
      </c>
      <c r="I504" s="5">
        <f t="shared" ca="1" si="124"/>
        <v>1.4245014245021533E-4</v>
      </c>
      <c r="J504" s="10">
        <f t="shared" si="125"/>
        <v>4.1833333333333327</v>
      </c>
      <c r="K504" s="12">
        <f t="shared" ca="1" si="126"/>
        <v>4.184166666666667</v>
      </c>
      <c r="L504" s="5">
        <f t="shared" ca="1" si="127"/>
        <v>1.9920318725123951E-4</v>
      </c>
      <c r="N504">
        <f t="shared" ca="1" si="128"/>
        <v>45.210000000000008</v>
      </c>
      <c r="O504">
        <f t="shared" ca="1" si="129"/>
        <v>1.067815E-3</v>
      </c>
      <c r="P504">
        <f t="shared" ca="1" si="130"/>
        <v>1.0011302500000001</v>
      </c>
      <c r="Q504">
        <f t="shared" ca="1" si="131"/>
        <v>4.1878267991437639</v>
      </c>
      <c r="R504">
        <f t="shared" ca="1" si="132"/>
        <v>22335.076262100072</v>
      </c>
      <c r="S504">
        <f t="shared" ca="1" si="133"/>
        <v>3.3664112517761584</v>
      </c>
      <c r="T504">
        <f t="shared" ca="1" si="134"/>
        <v>0</v>
      </c>
      <c r="U504">
        <f t="shared" ca="1" si="135"/>
        <v>22338</v>
      </c>
      <c r="V504">
        <f t="shared" ca="1" si="136"/>
        <v>4.1883749999999997</v>
      </c>
      <c r="X504">
        <f t="shared" ca="1" si="137"/>
        <v>4.1825798241537493</v>
      </c>
    </row>
    <row r="505" spans="5:24" x14ac:dyDescent="0.25">
      <c r="E505">
        <v>503</v>
      </c>
      <c r="F505">
        <f t="shared" si="121"/>
        <v>70.300000000000011</v>
      </c>
      <c r="G505">
        <f t="shared" ca="1" si="122"/>
        <v>70.300000000000011</v>
      </c>
      <c r="H505" s="5">
        <f t="shared" ca="1" si="123"/>
        <v>0</v>
      </c>
      <c r="I505" s="5">
        <f t="shared" ca="1" si="124"/>
        <v>0</v>
      </c>
      <c r="J505" s="10">
        <f t="shared" si="125"/>
        <v>4.1916666666666673</v>
      </c>
      <c r="K505" s="12">
        <f t="shared" ca="1" si="126"/>
        <v>4.1916666666666673</v>
      </c>
      <c r="L505" s="5">
        <f t="shared" ca="1" si="127"/>
        <v>0</v>
      </c>
      <c r="N505">
        <f t="shared" ca="1" si="128"/>
        <v>45.300000000000011</v>
      </c>
      <c r="O505">
        <f t="shared" ca="1" si="129"/>
        <v>1.06795E-3</v>
      </c>
      <c r="P505">
        <f t="shared" ca="1" si="130"/>
        <v>1.0011325</v>
      </c>
      <c r="Q505">
        <f t="shared" ca="1" si="131"/>
        <v>4.1953445697132921</v>
      </c>
      <c r="R505">
        <f t="shared" ca="1" si="132"/>
        <v>22375.171038470889</v>
      </c>
      <c r="S505">
        <f t="shared" ca="1" si="133"/>
        <v>3.358081786327523</v>
      </c>
      <c r="T505">
        <f t="shared" ca="1" si="134"/>
        <v>0</v>
      </c>
      <c r="U505">
        <f t="shared" ca="1" si="135"/>
        <v>22379</v>
      </c>
      <c r="V505">
        <f t="shared" ca="1" si="136"/>
        <v>4.1960625</v>
      </c>
      <c r="X505">
        <f t="shared" ca="1" si="137"/>
        <v>4.1902490929022882</v>
      </c>
    </row>
    <row r="506" spans="5:24" x14ac:dyDescent="0.25">
      <c r="E506">
        <v>504</v>
      </c>
      <c r="F506">
        <f t="shared" si="121"/>
        <v>70.400000000000006</v>
      </c>
      <c r="G506">
        <f t="shared" ca="1" si="122"/>
        <v>70.40100000000001</v>
      </c>
      <c r="H506" s="5">
        <f t="shared" ca="1" si="123"/>
        <v>1.0000000000047748E-3</v>
      </c>
      <c r="I506" s="5">
        <f t="shared" ca="1" si="124"/>
        <v>1.4204545454613278E-5</v>
      </c>
      <c r="J506" s="10">
        <f t="shared" si="125"/>
        <v>4.2</v>
      </c>
      <c r="K506" s="12">
        <f t="shared" ca="1" si="126"/>
        <v>4.2000833333333336</v>
      </c>
      <c r="L506" s="5">
        <f t="shared" ca="1" si="127"/>
        <v>1.984126984129409E-5</v>
      </c>
      <c r="N506">
        <f t="shared" ca="1" si="128"/>
        <v>45.40100000000001</v>
      </c>
      <c r="O506">
        <f t="shared" ca="1" si="129"/>
        <v>1.0681015000000001E-3</v>
      </c>
      <c r="P506">
        <f t="shared" ca="1" si="130"/>
        <v>1.001135025</v>
      </c>
      <c r="Q506">
        <f t="shared" ca="1" si="131"/>
        <v>4.2037812190968458</v>
      </c>
      <c r="R506">
        <f t="shared" ca="1" si="132"/>
        <v>22420.166501849842</v>
      </c>
      <c r="S506">
        <f t="shared" ca="1" si="133"/>
        <v>3.3486751472396992</v>
      </c>
      <c r="T506">
        <f t="shared" ca="1" si="134"/>
        <v>-1</v>
      </c>
      <c r="U506">
        <f t="shared" ca="1" si="135"/>
        <v>22423</v>
      </c>
      <c r="V506">
        <f t="shared" ca="1" si="136"/>
        <v>4.2043125000000003</v>
      </c>
      <c r="X506">
        <f t="shared" ca="1" si="137"/>
        <v>4.1984790198504953</v>
      </c>
    </row>
    <row r="507" spans="5:24" x14ac:dyDescent="0.25">
      <c r="E507">
        <v>505</v>
      </c>
      <c r="F507">
        <f t="shared" si="121"/>
        <v>70.5</v>
      </c>
      <c r="G507">
        <f t="shared" ca="1" si="122"/>
        <v>70.491</v>
      </c>
      <c r="H507" s="5">
        <f t="shared" ca="1" si="123"/>
        <v>9.0000000000003411E-3</v>
      </c>
      <c r="I507" s="5">
        <f t="shared" ca="1" si="124"/>
        <v>1.2765957446808995E-4</v>
      </c>
      <c r="J507" s="10">
        <f t="shared" si="125"/>
        <v>4.208333333333333</v>
      </c>
      <c r="K507" s="12">
        <f t="shared" ca="1" si="126"/>
        <v>4.207583333333333</v>
      </c>
      <c r="L507" s="5">
        <f t="shared" ca="1" si="127"/>
        <v>1.7821782178218499E-4</v>
      </c>
      <c r="N507">
        <f t="shared" ca="1" si="128"/>
        <v>45.491</v>
      </c>
      <c r="O507">
        <f t="shared" ca="1" si="129"/>
        <v>1.0682364999999999E-3</v>
      </c>
      <c r="P507">
        <f t="shared" ca="1" si="130"/>
        <v>1.001137275</v>
      </c>
      <c r="Q507">
        <f t="shared" ca="1" si="131"/>
        <v>4.2112990612900845</v>
      </c>
      <c r="R507">
        <f t="shared" ca="1" si="132"/>
        <v>22460.261660213782</v>
      </c>
      <c r="S507">
        <f t="shared" ca="1" si="133"/>
        <v>3.3402404414509976</v>
      </c>
      <c r="T507">
        <f t="shared" ca="1" si="134"/>
        <v>1</v>
      </c>
      <c r="U507">
        <f t="shared" ca="1" si="135"/>
        <v>22465</v>
      </c>
      <c r="V507">
        <f t="shared" ca="1" si="136"/>
        <v>4.2121874999999998</v>
      </c>
      <c r="X507">
        <f t="shared" ca="1" si="137"/>
        <v>4.2063355032904948</v>
      </c>
    </row>
    <row r="508" spans="5:24" x14ac:dyDescent="0.25">
      <c r="E508">
        <v>506</v>
      </c>
      <c r="F508">
        <f t="shared" si="121"/>
        <v>70.599999999999994</v>
      </c>
      <c r="G508">
        <f t="shared" ca="1" si="122"/>
        <v>70.60799999999999</v>
      </c>
      <c r="H508" s="5">
        <f t="shared" ca="1" si="123"/>
        <v>7.9999999999955662E-3</v>
      </c>
      <c r="I508" s="5">
        <f t="shared" ca="1" si="124"/>
        <v>1.133144475920052E-4</v>
      </c>
      <c r="J508" s="10">
        <f t="shared" si="125"/>
        <v>4.2166666666666659</v>
      </c>
      <c r="K508" s="12">
        <f t="shared" ca="1" si="126"/>
        <v>4.2173333333333316</v>
      </c>
      <c r="L508" s="5">
        <f t="shared" ca="1" si="127"/>
        <v>1.5810276679819094E-4</v>
      </c>
      <c r="N508">
        <f t="shared" ca="1" si="128"/>
        <v>45.60799999999999</v>
      </c>
      <c r="O508">
        <f t="shared" ca="1" si="129"/>
        <v>1.0684119999999999E-3</v>
      </c>
      <c r="P508">
        <f t="shared" ca="1" si="130"/>
        <v>1.0011402</v>
      </c>
      <c r="Q508">
        <f t="shared" ca="1" si="131"/>
        <v>4.2210723065966356</v>
      </c>
      <c r="R508">
        <f t="shared" ca="1" si="132"/>
        <v>22512.385635182054</v>
      </c>
      <c r="S508">
        <f t="shared" ca="1" si="133"/>
        <v>3.3292014946598387</v>
      </c>
      <c r="T508">
        <f t="shared" ca="1" si="134"/>
        <v>-2</v>
      </c>
      <c r="U508">
        <f t="shared" ca="1" si="135"/>
        <v>22514</v>
      </c>
      <c r="V508">
        <f t="shared" ca="1" si="136"/>
        <v>4.2213750000000001</v>
      </c>
      <c r="X508">
        <f t="shared" ca="1" si="137"/>
        <v>4.2155000748146962</v>
      </c>
    </row>
    <row r="509" spans="5:24" x14ac:dyDescent="0.25">
      <c r="E509">
        <v>507</v>
      </c>
      <c r="F509">
        <f t="shared" si="121"/>
        <v>70.7</v>
      </c>
      <c r="G509">
        <f t="shared" ca="1" si="122"/>
        <v>70.698999999999998</v>
      </c>
      <c r="H509" s="5">
        <f t="shared" ca="1" si="123"/>
        <v>1.0000000000047748E-3</v>
      </c>
      <c r="I509" s="5">
        <f t="shared" ca="1" si="124"/>
        <v>1.414427157008168E-5</v>
      </c>
      <c r="J509" s="10">
        <f t="shared" si="125"/>
        <v>4.2249999999999996</v>
      </c>
      <c r="K509" s="12">
        <f t="shared" ca="1" si="126"/>
        <v>4.2249166666666662</v>
      </c>
      <c r="L509" s="5">
        <f t="shared" ca="1" si="127"/>
        <v>1.9723865877736137E-5</v>
      </c>
      <c r="N509">
        <f t="shared" ca="1" si="128"/>
        <v>45.698999999999998</v>
      </c>
      <c r="O509">
        <f t="shared" ca="1" si="129"/>
        <v>1.0685485000000001E-3</v>
      </c>
      <c r="P509">
        <f t="shared" ca="1" si="130"/>
        <v>1.001142475</v>
      </c>
      <c r="Q509">
        <f t="shared" ca="1" si="131"/>
        <v>4.2286737590454688</v>
      </c>
      <c r="R509">
        <f t="shared" ca="1" si="132"/>
        <v>22552.926714909168</v>
      </c>
      <c r="S509">
        <f t="shared" ca="1" si="133"/>
        <v>3.3205581079487083</v>
      </c>
      <c r="T509">
        <f t="shared" ca="1" si="134"/>
        <v>-1</v>
      </c>
      <c r="U509">
        <f t="shared" ca="1" si="135"/>
        <v>22555</v>
      </c>
      <c r="V509">
        <f t="shared" ca="1" si="136"/>
        <v>4.2290625000000004</v>
      </c>
      <c r="X509">
        <f t="shared" ca="1" si="137"/>
        <v>4.223169086398018</v>
      </c>
    </row>
    <row r="510" spans="5:24" x14ac:dyDescent="0.25">
      <c r="E510">
        <v>508</v>
      </c>
      <c r="F510">
        <f t="shared" si="121"/>
        <v>70.800000000000011</v>
      </c>
      <c r="G510">
        <f t="shared" ca="1" si="122"/>
        <v>70.794000000000011</v>
      </c>
      <c r="H510" s="5">
        <f t="shared" ca="1" si="123"/>
        <v>6.0000000000002274E-3</v>
      </c>
      <c r="I510" s="5">
        <f t="shared" ca="1" si="124"/>
        <v>8.4745762711867611E-5</v>
      </c>
      <c r="J510" s="10">
        <f t="shared" si="125"/>
        <v>4.2333333333333334</v>
      </c>
      <c r="K510" s="12">
        <f t="shared" ca="1" si="126"/>
        <v>4.2328333333333337</v>
      </c>
      <c r="L510" s="5">
        <f t="shared" ca="1" si="127"/>
        <v>1.1811023622040698E-4</v>
      </c>
      <c r="N510">
        <f t="shared" ca="1" si="128"/>
        <v>45.794000000000011</v>
      </c>
      <c r="O510">
        <f t="shared" ca="1" si="129"/>
        <v>1.0686910000000001E-3</v>
      </c>
      <c r="P510">
        <f t="shared" ca="1" si="130"/>
        <v>1.00114485</v>
      </c>
      <c r="Q510">
        <f t="shared" ca="1" si="131"/>
        <v>4.2366093780841085</v>
      </c>
      <c r="R510">
        <f t="shared" ca="1" si="132"/>
        <v>22595.250016448579</v>
      </c>
      <c r="S510">
        <f t="shared" ca="1" si="133"/>
        <v>3.3114812308970243</v>
      </c>
      <c r="T510">
        <f t="shared" ca="1" si="134"/>
        <v>2</v>
      </c>
      <c r="U510">
        <f t="shared" ca="1" si="135"/>
        <v>22601</v>
      </c>
      <c r="V510">
        <f t="shared" ca="1" si="136"/>
        <v>4.2376874999999998</v>
      </c>
      <c r="X510">
        <f t="shared" ca="1" si="137"/>
        <v>4.231774062464587</v>
      </c>
    </row>
    <row r="511" spans="5:24" x14ac:dyDescent="0.25">
      <c r="E511">
        <v>509</v>
      </c>
      <c r="F511">
        <f t="shared" si="121"/>
        <v>70.900000000000006</v>
      </c>
      <c r="G511">
        <f t="shared" ca="1" si="122"/>
        <v>70.908000000000001</v>
      </c>
      <c r="H511" s="5">
        <f t="shared" ca="1" si="123"/>
        <v>7.9999999999955662E-3</v>
      </c>
      <c r="I511" s="5">
        <f t="shared" ca="1" si="124"/>
        <v>1.1283497884337892E-4</v>
      </c>
      <c r="J511" s="10">
        <f t="shared" si="125"/>
        <v>4.2416666666666663</v>
      </c>
      <c r="K511" s="12">
        <f t="shared" ca="1" si="126"/>
        <v>4.2423333333333328</v>
      </c>
      <c r="L511" s="5">
        <f t="shared" ca="1" si="127"/>
        <v>1.5717092337915755E-4</v>
      </c>
      <c r="N511">
        <f t="shared" ca="1" si="128"/>
        <v>45.908000000000001</v>
      </c>
      <c r="O511">
        <f t="shared" ca="1" si="129"/>
        <v>1.0688620000000001E-3</v>
      </c>
      <c r="P511">
        <f t="shared" ca="1" si="130"/>
        <v>1.0011477</v>
      </c>
      <c r="Q511">
        <f t="shared" ca="1" si="131"/>
        <v>4.2461321705670816</v>
      </c>
      <c r="R511">
        <f t="shared" ca="1" si="132"/>
        <v>22646.038243024435</v>
      </c>
      <c r="S511">
        <f t="shared" ca="1" si="133"/>
        <v>3.3005169637845362</v>
      </c>
      <c r="T511">
        <f t="shared" ca="1" si="134"/>
        <v>-2</v>
      </c>
      <c r="U511">
        <f t="shared" ca="1" si="135"/>
        <v>22647</v>
      </c>
      <c r="V511">
        <f t="shared" ca="1" si="136"/>
        <v>4.2463125000000002</v>
      </c>
      <c r="X511">
        <f t="shared" ca="1" si="137"/>
        <v>4.2403769573660313</v>
      </c>
    </row>
    <row r="512" spans="5:24" x14ac:dyDescent="0.25">
      <c r="E512">
        <v>510</v>
      </c>
      <c r="F512">
        <f t="shared" si="121"/>
        <v>71</v>
      </c>
      <c r="G512">
        <f t="shared" ca="1" si="122"/>
        <v>71.006</v>
      </c>
      <c r="H512" s="5">
        <f t="shared" ca="1" si="123"/>
        <v>6.0000000000002274E-3</v>
      </c>
      <c r="I512" s="5">
        <f t="shared" ca="1" si="124"/>
        <v>8.4507042253524324E-5</v>
      </c>
      <c r="J512" s="10">
        <f t="shared" si="125"/>
        <v>4.2499999999999991</v>
      </c>
      <c r="K512" s="12">
        <f t="shared" ca="1" si="126"/>
        <v>4.2504999999999997</v>
      </c>
      <c r="L512" s="5">
        <f t="shared" ca="1" si="127"/>
        <v>1.1764705882367322E-4</v>
      </c>
      <c r="N512">
        <f t="shared" ca="1" si="128"/>
        <v>46.006</v>
      </c>
      <c r="O512">
        <f t="shared" ca="1" si="129"/>
        <v>1.0690090000000001E-3</v>
      </c>
      <c r="P512">
        <f t="shared" ca="1" si="130"/>
        <v>1.00115015</v>
      </c>
      <c r="Q512">
        <f t="shared" ca="1" si="131"/>
        <v>4.2543184740542985</v>
      </c>
      <c r="R512">
        <f t="shared" ca="1" si="132"/>
        <v>22689.698528289591</v>
      </c>
      <c r="S512">
        <f t="shared" ca="1" si="133"/>
        <v>3.2910289308014073</v>
      </c>
      <c r="T512">
        <f t="shared" ca="1" si="134"/>
        <v>-2</v>
      </c>
      <c r="U512">
        <f t="shared" ca="1" si="135"/>
        <v>22691</v>
      </c>
      <c r="V512">
        <f t="shared" ca="1" si="136"/>
        <v>4.2545625000000005</v>
      </c>
      <c r="X512">
        <f t="shared" ca="1" si="137"/>
        <v>4.2486069557098904</v>
      </c>
    </row>
    <row r="513" spans="5:24" x14ac:dyDescent="0.25">
      <c r="E513">
        <v>511</v>
      </c>
      <c r="F513">
        <f t="shared" si="121"/>
        <v>71.099999999999994</v>
      </c>
      <c r="G513">
        <f t="shared" ca="1" si="122"/>
        <v>71.10199999999999</v>
      </c>
      <c r="H513" s="5">
        <f t="shared" ca="1" si="123"/>
        <v>1.9999999999953388E-3</v>
      </c>
      <c r="I513" s="5">
        <f t="shared" ca="1" si="124"/>
        <v>2.8129395217937256E-5</v>
      </c>
      <c r="J513" s="10">
        <f t="shared" si="125"/>
        <v>4.258333333333332</v>
      </c>
      <c r="K513" s="12">
        <f t="shared" ca="1" si="126"/>
        <v>4.2584999999999988</v>
      </c>
      <c r="L513" s="5">
        <f t="shared" ca="1" si="127"/>
        <v>3.9138943248580138E-5</v>
      </c>
      <c r="N513">
        <f t="shared" ca="1" si="128"/>
        <v>46.10199999999999</v>
      </c>
      <c r="O513">
        <f t="shared" ca="1" si="129"/>
        <v>1.069153E-3</v>
      </c>
      <c r="P513">
        <f t="shared" ca="1" si="130"/>
        <v>1.00115255</v>
      </c>
      <c r="Q513">
        <f t="shared" ca="1" si="131"/>
        <v>4.2623377489227083</v>
      </c>
      <c r="R513">
        <f t="shared" ca="1" si="132"/>
        <v>22732.467994254443</v>
      </c>
      <c r="S513">
        <f t="shared" ca="1" si="133"/>
        <v>3.281678573974367</v>
      </c>
      <c r="T513">
        <f t="shared" ca="1" si="134"/>
        <v>3</v>
      </c>
      <c r="U513">
        <f t="shared" ca="1" si="135"/>
        <v>22739</v>
      </c>
      <c r="V513">
        <f t="shared" ca="1" si="136"/>
        <v>4.2635624999999999</v>
      </c>
      <c r="X513">
        <f t="shared" ca="1" si="137"/>
        <v>4.2575862659491799</v>
      </c>
    </row>
    <row r="514" spans="5:24" x14ac:dyDescent="0.25">
      <c r="E514">
        <v>512</v>
      </c>
      <c r="F514">
        <f t="shared" si="121"/>
        <v>71.2</v>
      </c>
      <c r="G514">
        <f t="shared" ca="1" si="122"/>
        <v>71.204000000000008</v>
      </c>
      <c r="H514" s="5">
        <f t="shared" ca="1" si="123"/>
        <v>4.0000000000048885E-3</v>
      </c>
      <c r="I514" s="5">
        <f t="shared" ca="1" si="124"/>
        <v>5.6179775280967536E-5</v>
      </c>
      <c r="J514" s="10">
        <f t="shared" si="125"/>
        <v>4.2666666666666666</v>
      </c>
      <c r="K514" s="12">
        <f t="shared" ca="1" si="126"/>
        <v>4.2670000000000003</v>
      </c>
      <c r="L514" s="5">
        <f t="shared" ca="1" si="127"/>
        <v>7.8125000000095479E-5</v>
      </c>
      <c r="N514">
        <f t="shared" ca="1" si="128"/>
        <v>46.204000000000008</v>
      </c>
      <c r="O514">
        <f t="shared" ca="1" si="129"/>
        <v>1.0693060000000001E-3</v>
      </c>
      <c r="P514">
        <f t="shared" ca="1" si="130"/>
        <v>1.0011551000000001</v>
      </c>
      <c r="Q514">
        <f t="shared" ca="1" si="131"/>
        <v>4.2708582705446405</v>
      </c>
      <c r="R514">
        <f t="shared" ca="1" si="132"/>
        <v>22777.910776238081</v>
      </c>
      <c r="S514">
        <f t="shared" ca="1" si="133"/>
        <v>3.2716833156500593</v>
      </c>
      <c r="T514">
        <f t="shared" ca="1" si="134"/>
        <v>-3</v>
      </c>
      <c r="U514">
        <f t="shared" ca="1" si="135"/>
        <v>22778</v>
      </c>
      <c r="V514">
        <f t="shared" ca="1" si="136"/>
        <v>4.2708750000000002</v>
      </c>
      <c r="X514">
        <f t="shared" ca="1" si="137"/>
        <v>4.2648793318837415</v>
      </c>
    </row>
    <row r="515" spans="5:24" x14ac:dyDescent="0.25">
      <c r="E515">
        <v>513</v>
      </c>
      <c r="F515">
        <f t="shared" ref="F515:F578" si="138">0.1*E515+20</f>
        <v>71.300000000000011</v>
      </c>
      <c r="G515">
        <f t="shared" ref="G515:G578" ca="1" si="139">F515+(RANDBETWEEN(-10,10)/100)*0.1</f>
        <v>71.305000000000007</v>
      </c>
      <c r="H515" s="5">
        <f t="shared" ref="H515:H578" ca="1" si="140">ABS(F515-G515)</f>
        <v>4.9999999999954525E-3</v>
      </c>
      <c r="I515" s="5">
        <f t="shared" ref="I515:I578" ca="1" si="141">ABS(F515-G515)/F515</f>
        <v>7.0126227208912369E-5</v>
      </c>
      <c r="J515" s="10">
        <f t="shared" ref="J515:J578" si="142">1/12*F515-5/3</f>
        <v>4.2750000000000004</v>
      </c>
      <c r="K515" s="12">
        <f t="shared" ref="K515:K578" ca="1" si="143">(1/12*G515-5/3) + J515*RANDBETWEEN($B$2,$C$2)</f>
        <v>4.2754166666666666</v>
      </c>
      <c r="L515" s="5">
        <f t="shared" ref="L515:L578" ca="1" si="144">IF(J515=0, ABS(J515-K515), ABS(J515-K515)/J515)</f>
        <v>9.74658869394825E-5</v>
      </c>
      <c r="N515">
        <f t="shared" ref="N515:N578" ca="1" si="145">G515-$B$29</f>
        <v>46.305000000000007</v>
      </c>
      <c r="O515">
        <f t="shared" ref="O515:O578" ca="1" si="146">0.001 + 0.0000015*N515</f>
        <v>1.0694575E-3</v>
      </c>
      <c r="P515">
        <f t="shared" ref="P515:P578" ca="1" si="147">1 + 0.000025*N515</f>
        <v>1.0011576250000001</v>
      </c>
      <c r="Q515">
        <f t="shared" ref="Q515:Q578" ca="1" si="148">(K515-O515)*P515</f>
        <v>4.2792953003546783</v>
      </c>
      <c r="R515">
        <f t="shared" ref="R515:R578" ca="1" si="149">Q515*32768/6.144</f>
        <v>22822.908268558283</v>
      </c>
      <c r="S515">
        <f t="shared" ref="S515:S578" ca="1" si="150">4*SIN(PI()*R515/32768)</f>
        <v>3.2617248078997099</v>
      </c>
      <c r="T515">
        <f t="shared" ref="T515:T578" ca="1" si="151">RANDBETWEEN(-1*$B$15,1*$B$15)</f>
        <v>3</v>
      </c>
      <c r="U515">
        <f t="shared" ref="U515:U578" ca="1" si="152">ROUND(R515+S515+T515,0)</f>
        <v>22829</v>
      </c>
      <c r="V515">
        <f t="shared" ref="V515:V578" ca="1" si="153">U515*6.144/32768</f>
        <v>4.2804374999999997</v>
      </c>
      <c r="X515">
        <f t="shared" ref="X515:X578" ca="1" si="154">(U515*6.144/32768 -O515)/P515</f>
        <v>4.2744198672012308</v>
      </c>
    </row>
    <row r="516" spans="5:24" x14ac:dyDescent="0.25">
      <c r="E516">
        <v>514</v>
      </c>
      <c r="F516">
        <f t="shared" si="138"/>
        <v>71.400000000000006</v>
      </c>
      <c r="G516">
        <f t="shared" ca="1" si="139"/>
        <v>71.407000000000011</v>
      </c>
      <c r="H516" s="5">
        <f t="shared" ca="1" si="140"/>
        <v>7.0000000000050022E-3</v>
      </c>
      <c r="I516" s="5">
        <f t="shared" ca="1" si="141"/>
        <v>9.8039215686344559E-5</v>
      </c>
      <c r="J516" s="10">
        <f t="shared" si="142"/>
        <v>4.2833333333333332</v>
      </c>
      <c r="K516" s="12">
        <f t="shared" ca="1" si="143"/>
        <v>4.2839166666666673</v>
      </c>
      <c r="L516" s="5">
        <f t="shared" ca="1" si="144"/>
        <v>1.36186770428182E-4</v>
      </c>
      <c r="N516">
        <f t="shared" ca="1" si="145"/>
        <v>46.407000000000011</v>
      </c>
      <c r="O516">
        <f t="shared" ca="1" si="146"/>
        <v>1.0696105000000001E-3</v>
      </c>
      <c r="P516">
        <f t="shared" ca="1" si="147"/>
        <v>1.0011601750000001</v>
      </c>
      <c r="Q516">
        <f t="shared" ca="1" si="148"/>
        <v>4.2878159082500558</v>
      </c>
      <c r="R516">
        <f t="shared" ca="1" si="149"/>
        <v>22868.351510666962</v>
      </c>
      <c r="S516">
        <f t="shared" ca="1" si="150"/>
        <v>3.2516060409550072</v>
      </c>
      <c r="T516">
        <f t="shared" ca="1" si="151"/>
        <v>0</v>
      </c>
      <c r="U516">
        <f t="shared" ca="1" si="152"/>
        <v>22872</v>
      </c>
      <c r="V516">
        <f t="shared" ca="1" si="153"/>
        <v>4.2885</v>
      </c>
      <c r="X516">
        <f t="shared" ca="1" si="154"/>
        <v>4.2824619841675178</v>
      </c>
    </row>
    <row r="517" spans="5:24" x14ac:dyDescent="0.25">
      <c r="E517">
        <v>515</v>
      </c>
      <c r="F517">
        <f t="shared" si="138"/>
        <v>71.5</v>
      </c>
      <c r="G517">
        <f t="shared" ca="1" si="139"/>
        <v>71.489999999999995</v>
      </c>
      <c r="H517" s="5">
        <f t="shared" ca="1" si="140"/>
        <v>1.0000000000005116E-2</v>
      </c>
      <c r="I517" s="5">
        <f t="shared" ca="1" si="141"/>
        <v>1.3986013986021142E-4</v>
      </c>
      <c r="J517" s="10">
        <f t="shared" si="142"/>
        <v>4.2916666666666661</v>
      </c>
      <c r="K517" s="12">
        <f t="shared" ca="1" si="143"/>
        <v>4.2908333333333326</v>
      </c>
      <c r="L517" s="5">
        <f t="shared" ca="1" si="144"/>
        <v>1.9417475728158377E-4</v>
      </c>
      <c r="N517">
        <f t="shared" ca="1" si="145"/>
        <v>46.489999999999995</v>
      </c>
      <c r="O517">
        <f t="shared" ca="1" si="146"/>
        <v>1.069735E-3</v>
      </c>
      <c r="P517">
        <f t="shared" ca="1" si="147"/>
        <v>1.0011622499999999</v>
      </c>
      <c r="Q517">
        <f t="shared" ca="1" si="148"/>
        <v>4.2947493760754956</v>
      </c>
      <c r="R517">
        <f t="shared" ca="1" si="149"/>
        <v>22905.330005735977</v>
      </c>
      <c r="S517">
        <f t="shared" ca="1" si="150"/>
        <v>3.2433265487101322</v>
      </c>
      <c r="T517">
        <f t="shared" ca="1" si="151"/>
        <v>-3</v>
      </c>
      <c r="U517">
        <f t="shared" ca="1" si="152"/>
        <v>22906</v>
      </c>
      <c r="V517">
        <f t="shared" ca="1" si="153"/>
        <v>4.2948750000000002</v>
      </c>
      <c r="X517">
        <f t="shared" ca="1" si="154"/>
        <v>4.2888205832770874</v>
      </c>
    </row>
    <row r="518" spans="5:24" x14ac:dyDescent="0.25">
      <c r="E518">
        <v>516</v>
      </c>
      <c r="F518">
        <f t="shared" si="138"/>
        <v>71.599999999999994</v>
      </c>
      <c r="G518">
        <f t="shared" ca="1" si="139"/>
        <v>71.606999999999999</v>
      </c>
      <c r="H518" s="5">
        <f t="shared" ca="1" si="140"/>
        <v>7.0000000000050022E-3</v>
      </c>
      <c r="I518" s="5">
        <f t="shared" ca="1" si="141"/>
        <v>9.7765363128561491E-5</v>
      </c>
      <c r="J518" s="10">
        <f t="shared" si="142"/>
        <v>4.2999999999999989</v>
      </c>
      <c r="K518" s="12">
        <f t="shared" ca="1" si="143"/>
        <v>4.300583333333333</v>
      </c>
      <c r="L518" s="5">
        <f t="shared" ca="1" si="144"/>
        <v>1.3565891472884799E-4</v>
      </c>
      <c r="N518">
        <f t="shared" ca="1" si="145"/>
        <v>46.606999999999999</v>
      </c>
      <c r="O518">
        <f t="shared" ca="1" si="146"/>
        <v>1.0699105E-3</v>
      </c>
      <c r="P518">
        <f t="shared" ca="1" si="147"/>
        <v>1.0011651749999999</v>
      </c>
      <c r="Q518">
        <f t="shared" ca="1" si="148"/>
        <v>4.3045231083857827</v>
      </c>
      <c r="R518">
        <f t="shared" ca="1" si="149"/>
        <v>22957.456578057507</v>
      </c>
      <c r="S518">
        <f t="shared" ca="1" si="150"/>
        <v>3.2315861888957329</v>
      </c>
      <c r="T518">
        <f t="shared" ca="1" si="151"/>
        <v>-2</v>
      </c>
      <c r="U518">
        <f t="shared" ca="1" si="152"/>
        <v>22959</v>
      </c>
      <c r="V518">
        <f t="shared" ca="1" si="153"/>
        <v>4.3048124999999997</v>
      </c>
      <c r="X518">
        <f t="shared" ca="1" si="154"/>
        <v>4.2987338123302186</v>
      </c>
    </row>
    <row r="519" spans="5:24" x14ac:dyDescent="0.25">
      <c r="E519">
        <v>517</v>
      </c>
      <c r="F519">
        <f t="shared" si="138"/>
        <v>71.7</v>
      </c>
      <c r="G519">
        <f t="shared" ca="1" si="139"/>
        <v>71.707999999999998</v>
      </c>
      <c r="H519" s="5">
        <f t="shared" ca="1" si="140"/>
        <v>7.9999999999955662E-3</v>
      </c>
      <c r="I519" s="5">
        <f t="shared" ca="1" si="141"/>
        <v>1.1157601115753928E-4</v>
      </c>
      <c r="J519" s="10">
        <f t="shared" si="142"/>
        <v>4.3083333333333327</v>
      </c>
      <c r="K519" s="12">
        <f t="shared" ca="1" si="143"/>
        <v>4.3089999999999993</v>
      </c>
      <c r="L519" s="5">
        <f t="shared" ca="1" si="144"/>
        <v>1.5473887814311643E-4</v>
      </c>
      <c r="N519">
        <f t="shared" ca="1" si="145"/>
        <v>46.707999999999998</v>
      </c>
      <c r="O519">
        <f t="shared" ca="1" si="146"/>
        <v>1.0700620000000001E-3</v>
      </c>
      <c r="P519">
        <f t="shared" ca="1" si="147"/>
        <v>1.0011677000000001</v>
      </c>
      <c r="Q519">
        <f t="shared" ca="1" si="148"/>
        <v>4.3129603077886021</v>
      </c>
      <c r="R519">
        <f t="shared" ca="1" si="149"/>
        <v>23002.454974872544</v>
      </c>
      <c r="S519">
        <f t="shared" ca="1" si="150"/>
        <v>3.2213863723140728</v>
      </c>
      <c r="T519">
        <f t="shared" ca="1" si="151"/>
        <v>-2</v>
      </c>
      <c r="U519">
        <f t="shared" ca="1" si="152"/>
        <v>23004</v>
      </c>
      <c r="V519">
        <f t="shared" ca="1" si="153"/>
        <v>4.31325</v>
      </c>
      <c r="X519">
        <f t="shared" ca="1" si="154"/>
        <v>4.3071504783863874</v>
      </c>
    </row>
    <row r="520" spans="5:24" x14ac:dyDescent="0.25">
      <c r="E520">
        <v>518</v>
      </c>
      <c r="F520">
        <f t="shared" si="138"/>
        <v>71.800000000000011</v>
      </c>
      <c r="G520">
        <f t="shared" ca="1" si="139"/>
        <v>71.802000000000007</v>
      </c>
      <c r="H520" s="5">
        <f t="shared" ca="1" si="140"/>
        <v>1.9999999999953388E-3</v>
      </c>
      <c r="I520" s="5">
        <f t="shared" ca="1" si="141"/>
        <v>2.7855153203277694E-5</v>
      </c>
      <c r="J520" s="10">
        <f t="shared" si="142"/>
        <v>4.3166666666666673</v>
      </c>
      <c r="K520" s="12">
        <f t="shared" ca="1" si="143"/>
        <v>4.3168333333333333</v>
      </c>
      <c r="L520" s="5">
        <f t="shared" ca="1" si="144"/>
        <v>3.8610038609880034E-5</v>
      </c>
      <c r="N520">
        <f t="shared" ca="1" si="145"/>
        <v>46.802000000000007</v>
      </c>
      <c r="O520">
        <f t="shared" ca="1" si="146"/>
        <v>1.070203E-3</v>
      </c>
      <c r="P520">
        <f t="shared" ca="1" si="147"/>
        <v>1.00117005</v>
      </c>
      <c r="Q520">
        <f t="shared" ca="1" si="148"/>
        <v>4.3208127889839796</v>
      </c>
      <c r="R520">
        <f t="shared" ca="1" si="149"/>
        <v>23044.334874581225</v>
      </c>
      <c r="S520">
        <f t="shared" ca="1" si="150"/>
        <v>3.2118395558272796</v>
      </c>
      <c r="T520">
        <f t="shared" ca="1" si="151"/>
        <v>-3</v>
      </c>
      <c r="U520">
        <f t="shared" ca="1" si="152"/>
        <v>23045</v>
      </c>
      <c r="V520">
        <f t="shared" ca="1" si="153"/>
        <v>4.3209375000000003</v>
      </c>
      <c r="X520">
        <f t="shared" ca="1" si="154"/>
        <v>4.3148187433293677</v>
      </c>
    </row>
    <row r="521" spans="5:24" x14ac:dyDescent="0.25">
      <c r="E521">
        <v>519</v>
      </c>
      <c r="F521">
        <f t="shared" si="138"/>
        <v>71.900000000000006</v>
      </c>
      <c r="G521">
        <f t="shared" ca="1" si="139"/>
        <v>71.907000000000011</v>
      </c>
      <c r="H521" s="5">
        <f t="shared" ca="1" si="140"/>
        <v>7.0000000000050022E-3</v>
      </c>
      <c r="I521" s="5">
        <f t="shared" ca="1" si="141"/>
        <v>9.7357440890194738E-5</v>
      </c>
      <c r="J521" s="10">
        <f t="shared" si="142"/>
        <v>4.3250000000000002</v>
      </c>
      <c r="K521" s="12">
        <f t="shared" ca="1" si="143"/>
        <v>4.3255833333333333</v>
      </c>
      <c r="L521" s="5">
        <f t="shared" ca="1" si="144"/>
        <v>1.3487475915217528E-4</v>
      </c>
      <c r="N521">
        <f t="shared" ca="1" si="145"/>
        <v>46.907000000000011</v>
      </c>
      <c r="O521">
        <f t="shared" ca="1" si="146"/>
        <v>1.0703605E-3</v>
      </c>
      <c r="P521">
        <f t="shared" ca="1" si="147"/>
        <v>1.0011726750000001</v>
      </c>
      <c r="Q521">
        <f t="shared" ca="1" si="148"/>
        <v>4.329584221083751</v>
      </c>
      <c r="R521">
        <f t="shared" ca="1" si="149"/>
        <v>23091.115845780005</v>
      </c>
      <c r="S521">
        <f t="shared" ca="1" si="150"/>
        <v>3.2011142885179416</v>
      </c>
      <c r="T521">
        <f t="shared" ca="1" si="151"/>
        <v>-2</v>
      </c>
      <c r="U521">
        <f t="shared" ca="1" si="152"/>
        <v>23092</v>
      </c>
      <c r="V521">
        <f t="shared" ca="1" si="153"/>
        <v>4.3297499999999998</v>
      </c>
      <c r="X521">
        <f t="shared" ca="1" si="154"/>
        <v>4.3236094507872975</v>
      </c>
    </row>
    <row r="522" spans="5:24" x14ac:dyDescent="0.25">
      <c r="E522">
        <v>520</v>
      </c>
      <c r="F522">
        <f t="shared" si="138"/>
        <v>72</v>
      </c>
      <c r="G522">
        <f t="shared" ca="1" si="139"/>
        <v>72.001999999999995</v>
      </c>
      <c r="H522" s="5">
        <f t="shared" ca="1" si="140"/>
        <v>1.9999999999953388E-3</v>
      </c>
      <c r="I522" s="5">
        <f t="shared" ca="1" si="141"/>
        <v>2.7777777777713039E-5</v>
      </c>
      <c r="J522" s="10">
        <f t="shared" si="142"/>
        <v>4.333333333333333</v>
      </c>
      <c r="K522" s="12">
        <f t="shared" ca="1" si="143"/>
        <v>4.333499999999999</v>
      </c>
      <c r="L522" s="5">
        <f t="shared" ca="1" si="144"/>
        <v>3.8461538461380508E-5</v>
      </c>
      <c r="N522">
        <f t="shared" ca="1" si="145"/>
        <v>47.001999999999995</v>
      </c>
      <c r="O522">
        <f t="shared" ca="1" si="146"/>
        <v>1.070503E-3</v>
      </c>
      <c r="P522">
        <f t="shared" ca="1" si="147"/>
        <v>1.0011750500000001</v>
      </c>
      <c r="Q522">
        <f t="shared" ca="1" si="148"/>
        <v>4.3375203182804487</v>
      </c>
      <c r="R522">
        <f t="shared" ca="1" si="149"/>
        <v>23133.441697495728</v>
      </c>
      <c r="S522">
        <f t="shared" ca="1" si="150"/>
        <v>3.1913549344538414</v>
      </c>
      <c r="T522">
        <f t="shared" ca="1" si="151"/>
        <v>0</v>
      </c>
      <c r="U522">
        <f t="shared" ca="1" si="152"/>
        <v>23137</v>
      </c>
      <c r="V522">
        <f t="shared" ca="1" si="153"/>
        <v>4.3381875000000001</v>
      </c>
      <c r="X522">
        <f t="shared" ca="1" si="154"/>
        <v>4.3320266490859911</v>
      </c>
    </row>
    <row r="523" spans="5:24" x14ac:dyDescent="0.25">
      <c r="E523">
        <v>521</v>
      </c>
      <c r="F523">
        <f t="shared" si="138"/>
        <v>72.099999999999994</v>
      </c>
      <c r="G523">
        <f t="shared" ca="1" si="139"/>
        <v>72.10499999999999</v>
      </c>
      <c r="H523" s="5">
        <f t="shared" ca="1" si="140"/>
        <v>4.9999999999954525E-3</v>
      </c>
      <c r="I523" s="5">
        <f t="shared" ca="1" si="141"/>
        <v>6.9348127600491724E-5</v>
      </c>
      <c r="J523" s="10">
        <f t="shared" si="142"/>
        <v>4.3416666666666659</v>
      </c>
      <c r="K523" s="12">
        <f t="shared" ca="1" si="143"/>
        <v>4.3420833333333322</v>
      </c>
      <c r="L523" s="5">
        <f t="shared" ca="1" si="144"/>
        <v>9.5969289827168018E-5</v>
      </c>
      <c r="N523">
        <f t="shared" ca="1" si="145"/>
        <v>47.10499999999999</v>
      </c>
      <c r="O523">
        <f t="shared" ca="1" si="146"/>
        <v>1.0706575E-3</v>
      </c>
      <c r="P523">
        <f t="shared" ca="1" si="147"/>
        <v>1.001177625</v>
      </c>
      <c r="Q523">
        <f t="shared" ca="1" si="148"/>
        <v>4.3461247608857105</v>
      </c>
      <c r="R523">
        <f t="shared" ca="1" si="149"/>
        <v>23179.332058057124</v>
      </c>
      <c r="S523">
        <f t="shared" ca="1" si="150"/>
        <v>3.1807143164626832</v>
      </c>
      <c r="T523">
        <f t="shared" ca="1" si="151"/>
        <v>2</v>
      </c>
      <c r="U523">
        <f t="shared" ca="1" si="152"/>
        <v>23185</v>
      </c>
      <c r="V523">
        <f t="shared" ca="1" si="153"/>
        <v>4.3471875000000004</v>
      </c>
      <c r="X523">
        <f t="shared" ca="1" si="154"/>
        <v>4.341004766761543</v>
      </c>
    </row>
    <row r="524" spans="5:24" x14ac:dyDescent="0.25">
      <c r="E524">
        <v>522</v>
      </c>
      <c r="F524">
        <f t="shared" si="138"/>
        <v>72.2</v>
      </c>
      <c r="G524">
        <f t="shared" ca="1" si="139"/>
        <v>72.19</v>
      </c>
      <c r="H524" s="5">
        <f t="shared" ca="1" si="140"/>
        <v>1.0000000000005116E-2</v>
      </c>
      <c r="I524" s="5">
        <f t="shared" ca="1" si="141"/>
        <v>1.385041551247246E-4</v>
      </c>
      <c r="J524" s="10">
        <f t="shared" si="142"/>
        <v>4.3499999999999996</v>
      </c>
      <c r="K524" s="12">
        <f t="shared" ca="1" si="143"/>
        <v>4.3491666666666662</v>
      </c>
      <c r="L524" s="5">
        <f t="shared" ca="1" si="144"/>
        <v>1.915708812260836E-4</v>
      </c>
      <c r="N524">
        <f t="shared" ca="1" si="145"/>
        <v>47.19</v>
      </c>
      <c r="O524">
        <f t="shared" ca="1" si="146"/>
        <v>1.0707850000000001E-3</v>
      </c>
      <c r="P524">
        <f t="shared" ca="1" si="147"/>
        <v>1.0011797499999999</v>
      </c>
      <c r="Q524">
        <f t="shared" ca="1" si="148"/>
        <v>4.3532255477830626</v>
      </c>
      <c r="R524">
        <f t="shared" ca="1" si="149"/>
        <v>23217.202921509666</v>
      </c>
      <c r="S524">
        <f t="shared" ca="1" si="150"/>
        <v>3.1718868031727747</v>
      </c>
      <c r="T524">
        <f t="shared" ca="1" si="151"/>
        <v>-2</v>
      </c>
      <c r="U524">
        <f t="shared" ca="1" si="152"/>
        <v>23218</v>
      </c>
      <c r="V524">
        <f t="shared" ca="1" si="153"/>
        <v>4.3533749999999998</v>
      </c>
      <c r="X524">
        <f t="shared" ca="1" si="154"/>
        <v>4.3471756345451462</v>
      </c>
    </row>
    <row r="525" spans="5:24" x14ac:dyDescent="0.25">
      <c r="E525">
        <v>523</v>
      </c>
      <c r="F525">
        <f t="shared" si="138"/>
        <v>72.300000000000011</v>
      </c>
      <c r="G525">
        <f t="shared" ca="1" si="139"/>
        <v>72.306000000000012</v>
      </c>
      <c r="H525" s="5">
        <f t="shared" ca="1" si="140"/>
        <v>6.0000000000002274E-3</v>
      </c>
      <c r="I525" s="5">
        <f t="shared" ca="1" si="141"/>
        <v>8.2987551867223046E-5</v>
      </c>
      <c r="J525" s="10">
        <f t="shared" si="142"/>
        <v>4.3583333333333334</v>
      </c>
      <c r="K525" s="12">
        <f t="shared" ca="1" si="143"/>
        <v>4.358833333333334</v>
      </c>
      <c r="L525" s="5">
        <f t="shared" ca="1" si="144"/>
        <v>1.1472275334622051E-4</v>
      </c>
      <c r="N525">
        <f t="shared" ca="1" si="145"/>
        <v>47.306000000000012</v>
      </c>
      <c r="O525">
        <f t="shared" ca="1" si="146"/>
        <v>1.070959E-3</v>
      </c>
      <c r="P525">
        <f t="shared" ca="1" si="147"/>
        <v>1.0011826500000001</v>
      </c>
      <c r="Q525">
        <f t="shared" ca="1" si="148"/>
        <v>4.3629160820053396</v>
      </c>
      <c r="R525">
        <f t="shared" ca="1" si="149"/>
        <v>23268.885770695146</v>
      </c>
      <c r="S525">
        <f t="shared" ca="1" si="150"/>
        <v>3.1597723353957154</v>
      </c>
      <c r="T525">
        <f t="shared" ca="1" si="151"/>
        <v>-2</v>
      </c>
      <c r="U525">
        <f t="shared" ca="1" si="152"/>
        <v>23270</v>
      </c>
      <c r="V525">
        <f t="shared" ca="1" si="153"/>
        <v>4.3631250000000001</v>
      </c>
      <c r="X525">
        <f t="shared" ca="1" si="154"/>
        <v>4.3569013516165107</v>
      </c>
    </row>
    <row r="526" spans="5:24" x14ac:dyDescent="0.25">
      <c r="E526">
        <v>524</v>
      </c>
      <c r="F526">
        <f t="shared" si="138"/>
        <v>72.400000000000006</v>
      </c>
      <c r="G526">
        <f t="shared" ca="1" si="139"/>
        <v>72.40100000000001</v>
      </c>
      <c r="H526" s="5">
        <f t="shared" ca="1" si="140"/>
        <v>1.0000000000047748E-3</v>
      </c>
      <c r="I526" s="5">
        <f t="shared" ca="1" si="141"/>
        <v>1.3812154696198547E-5</v>
      </c>
      <c r="J526" s="10">
        <f t="shared" si="142"/>
        <v>4.3666666666666663</v>
      </c>
      <c r="K526" s="12">
        <f t="shared" ca="1" si="143"/>
        <v>4.3667500000000006</v>
      </c>
      <c r="L526" s="5">
        <f t="shared" ca="1" si="144"/>
        <v>1.9083969465875579E-5</v>
      </c>
      <c r="N526">
        <f t="shared" ca="1" si="145"/>
        <v>47.40100000000001</v>
      </c>
      <c r="O526">
        <f t="shared" ca="1" si="146"/>
        <v>1.0711015E-3</v>
      </c>
      <c r="P526">
        <f t="shared" ca="1" si="147"/>
        <v>1.0011850250000001</v>
      </c>
      <c r="Q526">
        <f t="shared" ca="1" si="148"/>
        <v>4.3708523371366956</v>
      </c>
      <c r="R526">
        <f t="shared" ca="1" si="149"/>
        <v>23311.212464729044</v>
      </c>
      <c r="S526">
        <f t="shared" ca="1" si="150"/>
        <v>3.1497931539301893</v>
      </c>
      <c r="T526">
        <f t="shared" ca="1" si="151"/>
        <v>-1</v>
      </c>
      <c r="U526">
        <f t="shared" ca="1" si="152"/>
        <v>23313</v>
      </c>
      <c r="V526">
        <f t="shared" ca="1" si="153"/>
        <v>4.3711875000000004</v>
      </c>
      <c r="X526">
        <f t="shared" ca="1" si="154"/>
        <v>4.3649438309367445</v>
      </c>
    </row>
    <row r="527" spans="5:24" x14ac:dyDescent="0.25">
      <c r="E527">
        <v>525</v>
      </c>
      <c r="F527">
        <f t="shared" si="138"/>
        <v>72.5</v>
      </c>
      <c r="G527">
        <f t="shared" ca="1" si="139"/>
        <v>72.509</v>
      </c>
      <c r="H527" s="5">
        <f t="shared" ca="1" si="140"/>
        <v>9.0000000000003411E-3</v>
      </c>
      <c r="I527" s="5">
        <f t="shared" ca="1" si="141"/>
        <v>1.2413793103448746E-4</v>
      </c>
      <c r="J527" s="10">
        <f t="shared" si="142"/>
        <v>4.3749999999999991</v>
      </c>
      <c r="K527" s="12">
        <f t="shared" ca="1" si="143"/>
        <v>4.3757499999999991</v>
      </c>
      <c r="L527" s="5">
        <f t="shared" ca="1" si="144"/>
        <v>1.7142857142857796E-4</v>
      </c>
      <c r="N527">
        <f t="shared" ca="1" si="145"/>
        <v>47.509</v>
      </c>
      <c r="O527">
        <f t="shared" ca="1" si="146"/>
        <v>1.0712635E-3</v>
      </c>
      <c r="P527">
        <f t="shared" ca="1" si="147"/>
        <v>1.0011877250000001</v>
      </c>
      <c r="Q527">
        <f t="shared" ca="1" si="148"/>
        <v>4.3798746518023091</v>
      </c>
      <c r="R527">
        <f t="shared" ca="1" si="149"/>
        <v>23359.331476278981</v>
      </c>
      <c r="S527">
        <f t="shared" ca="1" si="150"/>
        <v>3.138385349738297</v>
      </c>
      <c r="T527">
        <f t="shared" ca="1" si="151"/>
        <v>0</v>
      </c>
      <c r="U527">
        <f t="shared" ca="1" si="152"/>
        <v>23362</v>
      </c>
      <c r="V527">
        <f t="shared" ca="1" si="153"/>
        <v>4.3803749999999999</v>
      </c>
      <c r="X527">
        <f t="shared" ca="1" si="154"/>
        <v>4.374108498483638</v>
      </c>
    </row>
    <row r="528" spans="5:24" x14ac:dyDescent="0.25">
      <c r="E528">
        <v>526</v>
      </c>
      <c r="F528">
        <f t="shared" si="138"/>
        <v>72.599999999999994</v>
      </c>
      <c r="G528">
        <f t="shared" ca="1" si="139"/>
        <v>72.595999999999989</v>
      </c>
      <c r="H528" s="5">
        <f t="shared" ca="1" si="140"/>
        <v>4.0000000000048885E-3</v>
      </c>
      <c r="I528" s="5">
        <f t="shared" ca="1" si="141"/>
        <v>5.5096418732849707E-5</v>
      </c>
      <c r="J528" s="10">
        <f t="shared" si="142"/>
        <v>4.383333333333332</v>
      </c>
      <c r="K528" s="12">
        <f t="shared" ca="1" si="143"/>
        <v>4.3829999999999982</v>
      </c>
      <c r="L528" s="5">
        <f t="shared" ca="1" si="144"/>
        <v>7.6045627376518813E-5</v>
      </c>
      <c r="N528">
        <f t="shared" ca="1" si="145"/>
        <v>47.595999999999989</v>
      </c>
      <c r="O528">
        <f t="shared" ca="1" si="146"/>
        <v>1.071394E-3</v>
      </c>
      <c r="P528">
        <f t="shared" ca="1" si="147"/>
        <v>1.0011899</v>
      </c>
      <c r="Q528">
        <f t="shared" ca="1" si="148"/>
        <v>4.3871426628482775</v>
      </c>
      <c r="R528">
        <f t="shared" ca="1" si="149"/>
        <v>23398.094201857479</v>
      </c>
      <c r="S528">
        <f t="shared" ca="1" si="150"/>
        <v>3.1291470979152831</v>
      </c>
      <c r="T528">
        <f t="shared" ca="1" si="151"/>
        <v>3</v>
      </c>
      <c r="U528">
        <f t="shared" ca="1" si="152"/>
        <v>23404</v>
      </c>
      <c r="V528">
        <f t="shared" ca="1" si="153"/>
        <v>4.3882500000000002</v>
      </c>
      <c r="X528">
        <f t="shared" ca="1" si="154"/>
        <v>4.3819645064337944</v>
      </c>
    </row>
    <row r="529" spans="5:24" x14ac:dyDescent="0.25">
      <c r="E529">
        <v>527</v>
      </c>
      <c r="F529">
        <f t="shared" si="138"/>
        <v>72.7</v>
      </c>
      <c r="G529">
        <f t="shared" ca="1" si="139"/>
        <v>72.69</v>
      </c>
      <c r="H529" s="5">
        <f t="shared" ca="1" si="140"/>
        <v>1.0000000000005116E-2</v>
      </c>
      <c r="I529" s="5">
        <f t="shared" ca="1" si="141"/>
        <v>1.3755158184326156E-4</v>
      </c>
      <c r="J529" s="10">
        <f t="shared" si="142"/>
        <v>4.3916666666666666</v>
      </c>
      <c r="K529" s="12">
        <f t="shared" ca="1" si="143"/>
        <v>4.3908333333333323</v>
      </c>
      <c r="L529" s="5">
        <f t="shared" ca="1" si="144"/>
        <v>1.8975332068334386E-4</v>
      </c>
      <c r="N529">
        <f t="shared" ca="1" si="145"/>
        <v>47.69</v>
      </c>
      <c r="O529">
        <f t="shared" ca="1" si="146"/>
        <v>1.071535E-3</v>
      </c>
      <c r="P529">
        <f t="shared" ca="1" si="147"/>
        <v>1.0011922499999999</v>
      </c>
      <c r="Q529">
        <f t="shared" ca="1" si="148"/>
        <v>4.3949954918373946</v>
      </c>
      <c r="R529">
        <f t="shared" ca="1" si="149"/>
        <v>23439.975956466104</v>
      </c>
      <c r="S529">
        <f t="shared" ca="1" si="150"/>
        <v>3.1191169242866397</v>
      </c>
      <c r="T529">
        <f t="shared" ca="1" si="151"/>
        <v>0</v>
      </c>
      <c r="U529">
        <f t="shared" ca="1" si="152"/>
        <v>23443</v>
      </c>
      <c r="V529">
        <f t="shared" ca="1" si="153"/>
        <v>4.3955625000000005</v>
      </c>
      <c r="X529">
        <f t="shared" ca="1" si="154"/>
        <v>4.3892578723017488</v>
      </c>
    </row>
    <row r="530" spans="5:24" x14ac:dyDescent="0.25">
      <c r="E530">
        <v>528</v>
      </c>
      <c r="F530">
        <f t="shared" si="138"/>
        <v>72.800000000000011</v>
      </c>
      <c r="G530">
        <f t="shared" ca="1" si="139"/>
        <v>72.800000000000011</v>
      </c>
      <c r="H530" s="5">
        <f t="shared" ca="1" si="140"/>
        <v>0</v>
      </c>
      <c r="I530" s="5">
        <f t="shared" ca="1" si="141"/>
        <v>0</v>
      </c>
      <c r="J530" s="10">
        <f t="shared" si="142"/>
        <v>4.4000000000000004</v>
      </c>
      <c r="K530" s="12">
        <f t="shared" ca="1" si="143"/>
        <v>4.4000000000000004</v>
      </c>
      <c r="L530" s="5">
        <f t="shared" ca="1" si="144"/>
        <v>0</v>
      </c>
      <c r="N530">
        <f t="shared" ca="1" si="145"/>
        <v>47.800000000000011</v>
      </c>
      <c r="O530">
        <f t="shared" ca="1" si="146"/>
        <v>1.0717000000000001E-3</v>
      </c>
      <c r="P530">
        <f t="shared" ca="1" si="147"/>
        <v>1.0011950000000001</v>
      </c>
      <c r="Q530">
        <f t="shared" ca="1" si="148"/>
        <v>4.4041850193185006</v>
      </c>
      <c r="R530">
        <f t="shared" ca="1" si="149"/>
        <v>23488.986769698669</v>
      </c>
      <c r="S530">
        <f t="shared" ca="1" si="150"/>
        <v>3.1073155801776893</v>
      </c>
      <c r="T530">
        <f t="shared" ca="1" si="151"/>
        <v>-2</v>
      </c>
      <c r="U530">
        <f t="shared" ca="1" si="152"/>
        <v>23490</v>
      </c>
      <c r="V530">
        <f t="shared" ca="1" si="153"/>
        <v>4.4043749999999999</v>
      </c>
      <c r="X530">
        <f t="shared" ca="1" si="154"/>
        <v>4.3980476330784715</v>
      </c>
    </row>
    <row r="531" spans="5:24" x14ac:dyDescent="0.25">
      <c r="E531">
        <v>529</v>
      </c>
      <c r="F531">
        <f t="shared" si="138"/>
        <v>72.900000000000006</v>
      </c>
      <c r="G531">
        <f t="shared" ca="1" si="139"/>
        <v>72.907000000000011</v>
      </c>
      <c r="H531" s="5">
        <f t="shared" ca="1" si="140"/>
        <v>7.0000000000050022E-3</v>
      </c>
      <c r="I531" s="5">
        <f t="shared" ca="1" si="141"/>
        <v>9.6021947873868338E-5</v>
      </c>
      <c r="J531" s="10">
        <f t="shared" si="142"/>
        <v>4.4083333333333332</v>
      </c>
      <c r="K531" s="12">
        <f t="shared" ca="1" si="143"/>
        <v>4.4089166666666673</v>
      </c>
      <c r="L531" s="5">
        <f t="shared" ca="1" si="144"/>
        <v>1.3232514177709934E-4</v>
      </c>
      <c r="N531">
        <f t="shared" ca="1" si="145"/>
        <v>47.907000000000011</v>
      </c>
      <c r="O531">
        <f t="shared" ca="1" si="146"/>
        <v>1.0718605E-3</v>
      </c>
      <c r="P531">
        <f t="shared" ca="1" si="147"/>
        <v>1.001197675</v>
      </c>
      <c r="Q531">
        <f t="shared" ca="1" si="148"/>
        <v>4.4131239716948931</v>
      </c>
      <c r="R531">
        <f t="shared" ca="1" si="149"/>
        <v>23536.661182372762</v>
      </c>
      <c r="S531">
        <f t="shared" ca="1" si="150"/>
        <v>3.0957702001350573</v>
      </c>
      <c r="T531">
        <f t="shared" ca="1" si="151"/>
        <v>1</v>
      </c>
      <c r="U531">
        <f t="shared" ca="1" si="152"/>
        <v>23541</v>
      </c>
      <c r="V531">
        <f t="shared" ca="1" si="153"/>
        <v>4.4139375000000003</v>
      </c>
      <c r="X531">
        <f t="shared" ca="1" si="154"/>
        <v>4.4075867829996715</v>
      </c>
    </row>
    <row r="532" spans="5:24" x14ac:dyDescent="0.25">
      <c r="E532">
        <v>530</v>
      </c>
      <c r="F532">
        <f t="shared" si="138"/>
        <v>73</v>
      </c>
      <c r="G532">
        <f t="shared" ca="1" si="139"/>
        <v>73.007999999999996</v>
      </c>
      <c r="H532" s="5">
        <f t="shared" ca="1" si="140"/>
        <v>7.9999999999955662E-3</v>
      </c>
      <c r="I532" s="5">
        <f t="shared" ca="1" si="141"/>
        <v>1.0958904109582967E-4</v>
      </c>
      <c r="J532" s="10">
        <f t="shared" si="142"/>
        <v>4.4166666666666661</v>
      </c>
      <c r="K532" s="12">
        <f t="shared" ca="1" si="143"/>
        <v>4.4173333333333327</v>
      </c>
      <c r="L532" s="5">
        <f t="shared" ca="1" si="144"/>
        <v>1.5094339622639849E-4</v>
      </c>
      <c r="N532">
        <f t="shared" ca="1" si="145"/>
        <v>48.007999999999996</v>
      </c>
      <c r="O532">
        <f t="shared" ca="1" si="146"/>
        <v>1.072012E-3</v>
      </c>
      <c r="P532">
        <f t="shared" ca="1" si="147"/>
        <v>1.0012002</v>
      </c>
      <c r="Q532">
        <f t="shared" ca="1" si="148"/>
        <v>4.4215617181711968</v>
      </c>
      <c r="R532">
        <f t="shared" ca="1" si="149"/>
        <v>23581.66249691305</v>
      </c>
      <c r="S532">
        <f t="shared" ca="1" si="150"/>
        <v>3.0848128264283079</v>
      </c>
      <c r="T532">
        <f t="shared" ca="1" si="151"/>
        <v>2</v>
      </c>
      <c r="U532">
        <f t="shared" ca="1" si="152"/>
        <v>23587</v>
      </c>
      <c r="V532">
        <f t="shared" ca="1" si="153"/>
        <v>4.4225624999999997</v>
      </c>
      <c r="X532">
        <f t="shared" ca="1" si="154"/>
        <v>4.4161901765501046</v>
      </c>
    </row>
    <row r="533" spans="5:24" x14ac:dyDescent="0.25">
      <c r="E533">
        <v>531</v>
      </c>
      <c r="F533">
        <f t="shared" si="138"/>
        <v>73.099999999999994</v>
      </c>
      <c r="G533">
        <f t="shared" ca="1" si="139"/>
        <v>73.089999999999989</v>
      </c>
      <c r="H533" s="5">
        <f t="shared" ca="1" si="140"/>
        <v>1.0000000000005116E-2</v>
      </c>
      <c r="I533" s="5">
        <f t="shared" ca="1" si="141"/>
        <v>1.3679890560882511E-4</v>
      </c>
      <c r="J533" s="10">
        <f t="shared" si="142"/>
        <v>4.4249999999999989</v>
      </c>
      <c r="K533" s="12">
        <f t="shared" ca="1" si="143"/>
        <v>4.4241666666666655</v>
      </c>
      <c r="L533" s="5">
        <f t="shared" ca="1" si="144"/>
        <v>1.8832391713750595E-4</v>
      </c>
      <c r="N533">
        <f t="shared" ca="1" si="145"/>
        <v>48.089999999999989</v>
      </c>
      <c r="O533">
        <f t="shared" ca="1" si="146"/>
        <v>1.0721350000000001E-3</v>
      </c>
      <c r="P533">
        <f t="shared" ca="1" si="147"/>
        <v>1.00120225</v>
      </c>
      <c r="Q533">
        <f t="shared" ca="1" si="148"/>
        <v>4.4284121970673613</v>
      </c>
      <c r="R533">
        <f t="shared" ca="1" si="149"/>
        <v>23618.198384359261</v>
      </c>
      <c r="S533">
        <f t="shared" ca="1" si="150"/>
        <v>3.0758744557093651</v>
      </c>
      <c r="T533">
        <f t="shared" ca="1" si="151"/>
        <v>-1</v>
      </c>
      <c r="U533">
        <f t="shared" ca="1" si="152"/>
        <v>23620</v>
      </c>
      <c r="V533">
        <f t="shared" ca="1" si="153"/>
        <v>4.42875</v>
      </c>
      <c r="X533">
        <f t="shared" ca="1" si="154"/>
        <v>4.4223610813898988</v>
      </c>
    </row>
    <row r="534" spans="5:24" x14ac:dyDescent="0.25">
      <c r="E534">
        <v>532</v>
      </c>
      <c r="F534">
        <f t="shared" si="138"/>
        <v>73.2</v>
      </c>
      <c r="G534">
        <f t="shared" ca="1" si="139"/>
        <v>73.194000000000003</v>
      </c>
      <c r="H534" s="5">
        <f t="shared" ca="1" si="140"/>
        <v>6.0000000000002274E-3</v>
      </c>
      <c r="I534" s="5">
        <f t="shared" ca="1" si="141"/>
        <v>8.1967213114757202E-5</v>
      </c>
      <c r="J534" s="10">
        <f t="shared" si="142"/>
        <v>4.4333333333333327</v>
      </c>
      <c r="K534" s="12">
        <f t="shared" ca="1" si="143"/>
        <v>4.432833333333333</v>
      </c>
      <c r="L534" s="5">
        <f t="shared" ca="1" si="144"/>
        <v>1.1278195488715556E-4</v>
      </c>
      <c r="N534">
        <f t="shared" ca="1" si="145"/>
        <v>48.194000000000003</v>
      </c>
      <c r="O534">
        <f t="shared" ca="1" si="146"/>
        <v>1.072291E-3</v>
      </c>
      <c r="P534">
        <f t="shared" ca="1" si="147"/>
        <v>1.0012048499999999</v>
      </c>
      <c r="Q534">
        <f t="shared" ca="1" si="148"/>
        <v>4.4371006496251884</v>
      </c>
      <c r="R534">
        <f t="shared" ca="1" si="149"/>
        <v>23664.536798001005</v>
      </c>
      <c r="S534">
        <f t="shared" ca="1" si="150"/>
        <v>3.0644836596999427</v>
      </c>
      <c r="T534">
        <f t="shared" ca="1" si="151"/>
        <v>2</v>
      </c>
      <c r="U534">
        <f t="shared" ca="1" si="152"/>
        <v>23670</v>
      </c>
      <c r="V534">
        <f t="shared" ca="1" si="153"/>
        <v>4.4381250000000003</v>
      </c>
      <c r="X534">
        <f t="shared" ca="1" si="154"/>
        <v>4.431713159399898</v>
      </c>
    </row>
    <row r="535" spans="5:24" x14ac:dyDescent="0.25">
      <c r="E535">
        <v>533</v>
      </c>
      <c r="F535">
        <f t="shared" si="138"/>
        <v>73.300000000000011</v>
      </c>
      <c r="G535">
        <f t="shared" ca="1" si="139"/>
        <v>73.296000000000006</v>
      </c>
      <c r="H535" s="5">
        <f t="shared" ca="1" si="140"/>
        <v>4.0000000000048885E-3</v>
      </c>
      <c r="I535" s="5">
        <f t="shared" ca="1" si="141"/>
        <v>5.4570259208797927E-5</v>
      </c>
      <c r="J535" s="10">
        <f t="shared" si="142"/>
        <v>4.4416666666666673</v>
      </c>
      <c r="K535" s="12">
        <f t="shared" ca="1" si="143"/>
        <v>4.4413333333333336</v>
      </c>
      <c r="L535" s="5">
        <f t="shared" ca="1" si="144"/>
        <v>7.5046904315288708E-5</v>
      </c>
      <c r="N535">
        <f t="shared" ca="1" si="145"/>
        <v>48.296000000000006</v>
      </c>
      <c r="O535">
        <f t="shared" ca="1" si="146"/>
        <v>1.0724440000000001E-3</v>
      </c>
      <c r="P535">
        <f t="shared" ca="1" si="147"/>
        <v>1.0012074</v>
      </c>
      <c r="Q535">
        <f t="shared" ca="1" si="148"/>
        <v>4.4456220603311145</v>
      </c>
      <c r="R535">
        <f t="shared" ca="1" si="149"/>
        <v>23709.984321765944</v>
      </c>
      <c r="S535">
        <f t="shared" ca="1" si="150"/>
        <v>3.0532531079923588</v>
      </c>
      <c r="T535">
        <f t="shared" ca="1" si="151"/>
        <v>3</v>
      </c>
      <c r="U535">
        <f t="shared" ca="1" si="152"/>
        <v>23716</v>
      </c>
      <c r="V535">
        <f t="shared" ca="1" si="153"/>
        <v>4.4467499999999998</v>
      </c>
      <c r="X535">
        <f t="shared" ca="1" si="154"/>
        <v>4.4403163180775529</v>
      </c>
    </row>
    <row r="536" spans="5:24" x14ac:dyDescent="0.25">
      <c r="E536">
        <v>534</v>
      </c>
      <c r="F536">
        <f t="shared" si="138"/>
        <v>73.400000000000006</v>
      </c>
      <c r="G536">
        <f t="shared" ca="1" si="139"/>
        <v>73.39</v>
      </c>
      <c r="H536" s="5">
        <f t="shared" ca="1" si="140"/>
        <v>1.0000000000005116E-2</v>
      </c>
      <c r="I536" s="5">
        <f t="shared" ca="1" si="141"/>
        <v>1.3623978201641847E-4</v>
      </c>
      <c r="J536" s="10">
        <f t="shared" si="142"/>
        <v>4.45</v>
      </c>
      <c r="K536" s="12">
        <f t="shared" ca="1" si="143"/>
        <v>4.4491666666666658</v>
      </c>
      <c r="L536" s="5">
        <f t="shared" ca="1" si="144"/>
        <v>1.8726591760322511E-4</v>
      </c>
      <c r="N536">
        <f t="shared" ca="1" si="145"/>
        <v>48.39</v>
      </c>
      <c r="O536">
        <f t="shared" ca="1" si="146"/>
        <v>1.072585E-3</v>
      </c>
      <c r="P536">
        <f t="shared" ca="1" si="147"/>
        <v>1.0012097499999999</v>
      </c>
      <c r="Q536">
        <f t="shared" ca="1" si="148"/>
        <v>4.4534751634819614</v>
      </c>
      <c r="R536">
        <f t="shared" ca="1" si="149"/>
        <v>23751.867538570459</v>
      </c>
      <c r="S536">
        <f t="shared" ca="1" si="150"/>
        <v>3.0428520021230892</v>
      </c>
      <c r="T536">
        <f t="shared" ca="1" si="151"/>
        <v>-3</v>
      </c>
      <c r="U536">
        <f t="shared" ca="1" si="152"/>
        <v>23752</v>
      </c>
      <c r="V536">
        <f t="shared" ca="1" si="153"/>
        <v>4.4535</v>
      </c>
      <c r="X536">
        <f t="shared" ca="1" si="154"/>
        <v>4.4470475991669085</v>
      </c>
    </row>
    <row r="537" spans="5:24" x14ac:dyDescent="0.25">
      <c r="E537">
        <v>535</v>
      </c>
      <c r="F537">
        <f t="shared" si="138"/>
        <v>73.5</v>
      </c>
      <c r="G537">
        <f t="shared" ca="1" si="139"/>
        <v>73.494</v>
      </c>
      <c r="H537" s="5">
        <f t="shared" ca="1" si="140"/>
        <v>6.0000000000002274E-3</v>
      </c>
      <c r="I537" s="5">
        <f t="shared" ca="1" si="141"/>
        <v>8.163265306122758E-5</v>
      </c>
      <c r="J537" s="10">
        <f t="shared" si="142"/>
        <v>4.458333333333333</v>
      </c>
      <c r="K537" s="12">
        <f t="shared" ca="1" si="143"/>
        <v>4.4578333333333324</v>
      </c>
      <c r="L537" s="5">
        <f t="shared" ca="1" si="144"/>
        <v>1.1214953271041744E-4</v>
      </c>
      <c r="N537">
        <f t="shared" ca="1" si="145"/>
        <v>48.494</v>
      </c>
      <c r="O537">
        <f t="shared" ca="1" si="146"/>
        <v>1.0727410000000001E-3</v>
      </c>
      <c r="P537">
        <f t="shared" ca="1" si="147"/>
        <v>1.0012123500000001</v>
      </c>
      <c r="Q537">
        <f t="shared" ca="1" si="148"/>
        <v>4.4621637460374481</v>
      </c>
      <c r="R537">
        <f t="shared" ca="1" si="149"/>
        <v>23798.206645533057</v>
      </c>
      <c r="S537">
        <f t="shared" ca="1" si="150"/>
        <v>3.0312871747023293</v>
      </c>
      <c r="T537">
        <f t="shared" ca="1" si="151"/>
        <v>-2</v>
      </c>
      <c r="U537">
        <f t="shared" ca="1" si="152"/>
        <v>23799</v>
      </c>
      <c r="V537">
        <f t="shared" ca="1" si="153"/>
        <v>4.4623125000000003</v>
      </c>
      <c r="X537">
        <f t="shared" ca="1" si="154"/>
        <v>4.4558377241351446</v>
      </c>
    </row>
    <row r="538" spans="5:24" x14ac:dyDescent="0.25">
      <c r="E538">
        <v>536</v>
      </c>
      <c r="F538">
        <f t="shared" si="138"/>
        <v>73.599999999999994</v>
      </c>
      <c r="G538">
        <f t="shared" ca="1" si="139"/>
        <v>73.599999999999994</v>
      </c>
      <c r="H538" s="5">
        <f t="shared" ca="1" si="140"/>
        <v>0</v>
      </c>
      <c r="I538" s="5">
        <f t="shared" ca="1" si="141"/>
        <v>0</v>
      </c>
      <c r="J538" s="10">
        <f t="shared" si="142"/>
        <v>4.4666666666666659</v>
      </c>
      <c r="K538" s="12">
        <f t="shared" ca="1" si="143"/>
        <v>4.4666666666666659</v>
      </c>
      <c r="L538" s="5">
        <f t="shared" ca="1" si="144"/>
        <v>0</v>
      </c>
      <c r="N538">
        <f t="shared" ca="1" si="145"/>
        <v>48.599999999999994</v>
      </c>
      <c r="O538">
        <f t="shared" ca="1" si="146"/>
        <v>1.0729000000000001E-3</v>
      </c>
      <c r="P538">
        <f t="shared" ca="1" si="147"/>
        <v>1.001215</v>
      </c>
      <c r="Q538">
        <f t="shared" ca="1" si="148"/>
        <v>4.4710194630931666</v>
      </c>
      <c r="R538">
        <f t="shared" ca="1" si="149"/>
        <v>23845.437136496887</v>
      </c>
      <c r="S538">
        <f t="shared" ca="1" si="150"/>
        <v>3.0194383187638132</v>
      </c>
      <c r="T538">
        <f t="shared" ca="1" si="151"/>
        <v>0</v>
      </c>
      <c r="U538">
        <f t="shared" ca="1" si="152"/>
        <v>23848</v>
      </c>
      <c r="V538">
        <f t="shared" ca="1" si="153"/>
        <v>4.4714999999999998</v>
      </c>
      <c r="X538">
        <f t="shared" ca="1" si="154"/>
        <v>4.4650021224212582</v>
      </c>
    </row>
    <row r="539" spans="5:24" x14ac:dyDescent="0.25">
      <c r="E539">
        <v>537</v>
      </c>
      <c r="F539">
        <f t="shared" si="138"/>
        <v>73.7</v>
      </c>
      <c r="G539">
        <f t="shared" ca="1" si="139"/>
        <v>73.691000000000003</v>
      </c>
      <c r="H539" s="5">
        <f t="shared" ca="1" si="140"/>
        <v>9.0000000000003411E-3</v>
      </c>
      <c r="I539" s="5">
        <f t="shared" ca="1" si="141"/>
        <v>1.2211668928087301E-4</v>
      </c>
      <c r="J539" s="10">
        <f t="shared" si="142"/>
        <v>4.4749999999999996</v>
      </c>
      <c r="K539" s="12">
        <f t="shared" ca="1" si="143"/>
        <v>4.4742499999999996</v>
      </c>
      <c r="L539" s="5">
        <f t="shared" ca="1" si="144"/>
        <v>1.6759776536313486E-4</v>
      </c>
      <c r="N539">
        <f t="shared" ca="1" si="145"/>
        <v>48.691000000000003</v>
      </c>
      <c r="O539">
        <f t="shared" ca="1" si="146"/>
        <v>1.0730365E-3</v>
      </c>
      <c r="P539">
        <f t="shared" ca="1" si="147"/>
        <v>1.0012172749999999</v>
      </c>
      <c r="Q539">
        <f t="shared" ca="1" si="148"/>
        <v>4.4786220499882434</v>
      </c>
      <c r="R539">
        <f t="shared" ca="1" si="149"/>
        <v>23885.984266603966</v>
      </c>
      <c r="S539">
        <f t="shared" ca="1" si="150"/>
        <v>3.0092167385530311</v>
      </c>
      <c r="T539">
        <f t="shared" ca="1" si="151"/>
        <v>1</v>
      </c>
      <c r="U539">
        <f t="shared" ca="1" si="152"/>
        <v>23890</v>
      </c>
      <c r="V539">
        <f t="shared" ca="1" si="153"/>
        <v>4.4793750000000001</v>
      </c>
      <c r="X539">
        <f t="shared" ca="1" si="154"/>
        <v>4.4728572661713217</v>
      </c>
    </row>
    <row r="540" spans="5:24" x14ac:dyDescent="0.25">
      <c r="E540">
        <v>538</v>
      </c>
      <c r="F540">
        <f t="shared" si="138"/>
        <v>73.800000000000011</v>
      </c>
      <c r="G540">
        <f t="shared" ca="1" si="139"/>
        <v>73.797000000000011</v>
      </c>
      <c r="H540" s="5">
        <f t="shared" ca="1" si="140"/>
        <v>3.0000000000001137E-3</v>
      </c>
      <c r="I540" s="5">
        <f t="shared" ca="1" si="141"/>
        <v>4.0650406504066572E-5</v>
      </c>
      <c r="J540" s="10">
        <f t="shared" si="142"/>
        <v>4.4833333333333334</v>
      </c>
      <c r="K540" s="12">
        <f t="shared" ca="1" si="143"/>
        <v>4.483083333333334</v>
      </c>
      <c r="L540" s="5">
        <f t="shared" ca="1" si="144"/>
        <v>5.576208178425666E-5</v>
      </c>
      <c r="N540">
        <f t="shared" ca="1" si="145"/>
        <v>48.797000000000011</v>
      </c>
      <c r="O540">
        <f t="shared" ca="1" si="146"/>
        <v>1.0731955E-3</v>
      </c>
      <c r="P540">
        <f t="shared" ca="1" si="147"/>
        <v>1.001219925</v>
      </c>
      <c r="Q540">
        <f t="shared" ca="1" si="148"/>
        <v>4.4874778540507299</v>
      </c>
      <c r="R540">
        <f t="shared" ca="1" si="149"/>
        <v>23933.215221603892</v>
      </c>
      <c r="S540">
        <f t="shared" ca="1" si="150"/>
        <v>2.9972528976449309</v>
      </c>
      <c r="T540">
        <f t="shared" ca="1" si="151"/>
        <v>-3</v>
      </c>
      <c r="U540">
        <f t="shared" ca="1" si="152"/>
        <v>23933</v>
      </c>
      <c r="V540">
        <f t="shared" ca="1" si="153"/>
        <v>4.4874375000000004</v>
      </c>
      <c r="X540">
        <f t="shared" ca="1" si="154"/>
        <v>4.4808979450743553</v>
      </c>
    </row>
    <row r="541" spans="5:24" x14ac:dyDescent="0.25">
      <c r="E541">
        <v>539</v>
      </c>
      <c r="F541">
        <f t="shared" si="138"/>
        <v>73.900000000000006</v>
      </c>
      <c r="G541">
        <f t="shared" ca="1" si="139"/>
        <v>73.902000000000001</v>
      </c>
      <c r="H541" s="5">
        <f t="shared" ca="1" si="140"/>
        <v>1.9999999999953388E-3</v>
      </c>
      <c r="I541" s="5">
        <f t="shared" ca="1" si="141"/>
        <v>2.7063599458664936E-5</v>
      </c>
      <c r="J541" s="10">
        <f t="shared" si="142"/>
        <v>4.4916666666666663</v>
      </c>
      <c r="K541" s="12">
        <f t="shared" ca="1" si="143"/>
        <v>4.4918333333333331</v>
      </c>
      <c r="L541" s="5">
        <f t="shared" ca="1" si="144"/>
        <v>3.7105751391511028E-5</v>
      </c>
      <c r="N541">
        <f t="shared" ca="1" si="145"/>
        <v>48.902000000000001</v>
      </c>
      <c r="O541">
        <f t="shared" ca="1" si="146"/>
        <v>1.073353E-3</v>
      </c>
      <c r="P541">
        <f t="shared" ca="1" si="147"/>
        <v>1.00122255</v>
      </c>
      <c r="Q541">
        <f t="shared" ca="1" si="148"/>
        <v>4.4962501589472899</v>
      </c>
      <c r="R541">
        <f t="shared" ca="1" si="149"/>
        <v>23980.000847718879</v>
      </c>
      <c r="S541">
        <f t="shared" ca="1" si="150"/>
        <v>2.9853412688610499</v>
      </c>
      <c r="T541">
        <f t="shared" ca="1" si="151"/>
        <v>-1</v>
      </c>
      <c r="U541">
        <f t="shared" ca="1" si="152"/>
        <v>23982</v>
      </c>
      <c r="V541">
        <f t="shared" ca="1" si="153"/>
        <v>4.4966249999999999</v>
      </c>
      <c r="X541">
        <f t="shared" ca="1" si="154"/>
        <v>4.4900623213090833</v>
      </c>
    </row>
    <row r="542" spans="5:24" x14ac:dyDescent="0.25">
      <c r="E542">
        <v>540</v>
      </c>
      <c r="F542">
        <f t="shared" si="138"/>
        <v>74</v>
      </c>
      <c r="G542">
        <f t="shared" ca="1" si="139"/>
        <v>73.998000000000005</v>
      </c>
      <c r="H542" s="5">
        <f t="shared" ca="1" si="140"/>
        <v>1.9999999999953388E-3</v>
      </c>
      <c r="I542" s="5">
        <f t="shared" ca="1" si="141"/>
        <v>2.7027027026964038E-5</v>
      </c>
      <c r="J542" s="10">
        <f t="shared" si="142"/>
        <v>4.4999999999999991</v>
      </c>
      <c r="K542" s="12">
        <f t="shared" ca="1" si="143"/>
        <v>4.4998333333333331</v>
      </c>
      <c r="L542" s="5">
        <f t="shared" ca="1" si="144"/>
        <v>3.7037037036884937E-5</v>
      </c>
      <c r="N542">
        <f t="shared" ca="1" si="145"/>
        <v>48.998000000000005</v>
      </c>
      <c r="O542">
        <f t="shared" ca="1" si="146"/>
        <v>1.0734970000000001E-3</v>
      </c>
      <c r="P542">
        <f t="shared" ca="1" si="147"/>
        <v>1.0012249499999999</v>
      </c>
      <c r="Q542">
        <f t="shared" ca="1" si="148"/>
        <v>4.5042705921948487</v>
      </c>
      <c r="R542">
        <f t="shared" ca="1" si="149"/>
        <v>24022.776491705859</v>
      </c>
      <c r="S542">
        <f t="shared" ca="1" si="150"/>
        <v>2.9743980132559651</v>
      </c>
      <c r="T542">
        <f t="shared" ca="1" si="151"/>
        <v>0</v>
      </c>
      <c r="U542">
        <f t="shared" ca="1" si="152"/>
        <v>24026</v>
      </c>
      <c r="V542">
        <f t="shared" ca="1" si="153"/>
        <v>4.5048750000000002</v>
      </c>
      <c r="X542">
        <f t="shared" ca="1" si="154"/>
        <v>4.4982913210462847</v>
      </c>
    </row>
    <row r="543" spans="5:24" x14ac:dyDescent="0.25">
      <c r="E543">
        <v>541</v>
      </c>
      <c r="F543">
        <f t="shared" si="138"/>
        <v>74.099999999999994</v>
      </c>
      <c r="G543">
        <f t="shared" ca="1" si="139"/>
        <v>74.10199999999999</v>
      </c>
      <c r="H543" s="5">
        <f t="shared" ca="1" si="140"/>
        <v>1.9999999999953388E-3</v>
      </c>
      <c r="I543" s="5">
        <f t="shared" ca="1" si="141"/>
        <v>2.6990553306279877E-5</v>
      </c>
      <c r="J543" s="10">
        <f t="shared" si="142"/>
        <v>4.508333333333332</v>
      </c>
      <c r="K543" s="12">
        <f t="shared" ca="1" si="143"/>
        <v>4.5084999999999988</v>
      </c>
      <c r="L543" s="5">
        <f t="shared" ca="1" si="144"/>
        <v>3.6968576709841865E-5</v>
      </c>
      <c r="N543">
        <f t="shared" ca="1" si="145"/>
        <v>49.10199999999999</v>
      </c>
      <c r="O543">
        <f t="shared" ca="1" si="146"/>
        <v>1.0736529999999999E-3</v>
      </c>
      <c r="P543">
        <f t="shared" ca="1" si="147"/>
        <v>1.0012275500000001</v>
      </c>
      <c r="Q543">
        <f t="shared" ca="1" si="148"/>
        <v>4.5129594382122589</v>
      </c>
      <c r="R543">
        <f t="shared" ca="1" si="149"/>
        <v>24069.117003798714</v>
      </c>
      <c r="S543">
        <f t="shared" ca="1" si="150"/>
        <v>2.9624863135317812</v>
      </c>
      <c r="T543">
        <f t="shared" ca="1" si="151"/>
        <v>-2</v>
      </c>
      <c r="U543">
        <f t="shared" ca="1" si="152"/>
        <v>24070</v>
      </c>
      <c r="V543">
        <f t="shared" ca="1" si="153"/>
        <v>4.5131250000000005</v>
      </c>
      <c r="X543">
        <f t="shared" ca="1" si="154"/>
        <v>4.5065193691484025</v>
      </c>
    </row>
    <row r="544" spans="5:24" x14ac:dyDescent="0.25">
      <c r="E544">
        <v>542</v>
      </c>
      <c r="F544">
        <f t="shared" si="138"/>
        <v>74.2</v>
      </c>
      <c r="G544">
        <f t="shared" ca="1" si="139"/>
        <v>74.210000000000008</v>
      </c>
      <c r="H544" s="5">
        <f t="shared" ca="1" si="140"/>
        <v>1.0000000000005116E-2</v>
      </c>
      <c r="I544" s="5">
        <f t="shared" ca="1" si="141"/>
        <v>1.3477088948793956E-4</v>
      </c>
      <c r="J544" s="10">
        <f t="shared" si="142"/>
        <v>4.5166666666666666</v>
      </c>
      <c r="K544" s="12">
        <f t="shared" ca="1" si="143"/>
        <v>4.5175000000000001</v>
      </c>
      <c r="L544" s="5">
        <f t="shared" ca="1" si="144"/>
        <v>1.8450184501847902E-4</v>
      </c>
      <c r="N544">
        <f t="shared" ca="1" si="145"/>
        <v>49.210000000000008</v>
      </c>
      <c r="O544">
        <f t="shared" ca="1" si="146"/>
        <v>1.0738150000000001E-3</v>
      </c>
      <c r="P544">
        <f t="shared" ca="1" si="147"/>
        <v>1.0012302500000001</v>
      </c>
      <c r="Q544">
        <f t="shared" ca="1" si="148"/>
        <v>4.5219825183140969</v>
      </c>
      <c r="R544">
        <f t="shared" ca="1" si="149"/>
        <v>24117.240097675181</v>
      </c>
      <c r="S544">
        <f t="shared" ca="1" si="150"/>
        <v>2.9500545160303644</v>
      </c>
      <c r="T544">
        <f t="shared" ca="1" si="151"/>
        <v>-2</v>
      </c>
      <c r="U544">
        <f t="shared" ca="1" si="152"/>
        <v>24118</v>
      </c>
      <c r="V544">
        <f t="shared" ca="1" si="153"/>
        <v>4.522125</v>
      </c>
      <c r="X544">
        <f t="shared" ca="1" si="154"/>
        <v>4.5154959960508583</v>
      </c>
    </row>
    <row r="545" spans="5:24" x14ac:dyDescent="0.25">
      <c r="E545">
        <v>543</v>
      </c>
      <c r="F545">
        <f t="shared" si="138"/>
        <v>74.300000000000011</v>
      </c>
      <c r="G545">
        <f t="shared" ca="1" si="139"/>
        <v>74.310000000000016</v>
      </c>
      <c r="H545" s="5">
        <f t="shared" ca="1" si="140"/>
        <v>1.0000000000005116E-2</v>
      </c>
      <c r="I545" s="5">
        <f t="shared" ca="1" si="141"/>
        <v>1.3458950201891137E-4</v>
      </c>
      <c r="J545" s="10">
        <f t="shared" si="142"/>
        <v>4.5250000000000004</v>
      </c>
      <c r="K545" s="12">
        <f t="shared" ca="1" si="143"/>
        <v>4.5258333333333338</v>
      </c>
      <c r="L545" s="5">
        <f t="shared" ca="1" si="144"/>
        <v>1.8416206261513007E-4</v>
      </c>
      <c r="N545">
        <f t="shared" ca="1" si="145"/>
        <v>49.310000000000016</v>
      </c>
      <c r="O545">
        <f t="shared" ca="1" si="146"/>
        <v>1.0739650000000001E-3</v>
      </c>
      <c r="P545">
        <f t="shared" ca="1" si="147"/>
        <v>1.00123275</v>
      </c>
      <c r="Q545">
        <f t="shared" ca="1" si="148"/>
        <v>4.530337265444647</v>
      </c>
      <c r="R545">
        <f t="shared" ca="1" si="149"/>
        <v>24161.798749038117</v>
      </c>
      <c r="S545">
        <f t="shared" ca="1" si="150"/>
        <v>2.9384875349439761</v>
      </c>
      <c r="T545">
        <f t="shared" ca="1" si="151"/>
        <v>-1</v>
      </c>
      <c r="U545">
        <f t="shared" ca="1" si="152"/>
        <v>24164</v>
      </c>
      <c r="V545">
        <f t="shared" ca="1" si="153"/>
        <v>4.5307500000000003</v>
      </c>
      <c r="X545">
        <f t="shared" ca="1" si="154"/>
        <v>4.5240989520169013</v>
      </c>
    </row>
    <row r="546" spans="5:24" x14ac:dyDescent="0.25">
      <c r="E546">
        <v>544</v>
      </c>
      <c r="F546">
        <f t="shared" si="138"/>
        <v>74.400000000000006</v>
      </c>
      <c r="G546">
        <f t="shared" ca="1" si="139"/>
        <v>74.397000000000006</v>
      </c>
      <c r="H546" s="5">
        <f t="shared" ca="1" si="140"/>
        <v>3.0000000000001137E-3</v>
      </c>
      <c r="I546" s="5">
        <f t="shared" ca="1" si="141"/>
        <v>4.0322580645162815E-5</v>
      </c>
      <c r="J546" s="10">
        <f t="shared" si="142"/>
        <v>4.5333333333333332</v>
      </c>
      <c r="K546" s="12">
        <f t="shared" ca="1" si="143"/>
        <v>4.5330833333333329</v>
      </c>
      <c r="L546" s="5">
        <f t="shared" ca="1" si="144"/>
        <v>5.514705882359681E-5</v>
      </c>
      <c r="N546">
        <f t="shared" ca="1" si="145"/>
        <v>49.397000000000006</v>
      </c>
      <c r="O546">
        <f t="shared" ca="1" si="146"/>
        <v>1.0740955000000001E-3</v>
      </c>
      <c r="P546">
        <f t="shared" ca="1" si="147"/>
        <v>1.0012349250000001</v>
      </c>
      <c r="Q546">
        <f t="shared" ca="1" si="148"/>
        <v>4.5376059293413649</v>
      </c>
      <c r="R546">
        <f t="shared" ca="1" si="149"/>
        <v>24200.56495648728</v>
      </c>
      <c r="S546">
        <f t="shared" ca="1" si="150"/>
        <v>2.9283805834618493</v>
      </c>
      <c r="T546">
        <f t="shared" ca="1" si="151"/>
        <v>0</v>
      </c>
      <c r="U546">
        <f t="shared" ca="1" si="152"/>
        <v>24203</v>
      </c>
      <c r="V546">
        <f t="shared" ca="1" si="153"/>
        <v>4.5380624999999997</v>
      </c>
      <c r="X546">
        <f t="shared" ca="1" si="154"/>
        <v>4.5313924746482446</v>
      </c>
    </row>
    <row r="547" spans="5:24" x14ac:dyDescent="0.25">
      <c r="E547">
        <v>545</v>
      </c>
      <c r="F547">
        <f t="shared" si="138"/>
        <v>74.5</v>
      </c>
      <c r="G547">
        <f t="shared" ca="1" si="139"/>
        <v>74.491</v>
      </c>
      <c r="H547" s="5">
        <f t="shared" ca="1" si="140"/>
        <v>9.0000000000003411E-3</v>
      </c>
      <c r="I547" s="5">
        <f t="shared" ca="1" si="141"/>
        <v>1.2080536912752136E-4</v>
      </c>
      <c r="J547" s="10">
        <f t="shared" si="142"/>
        <v>4.5416666666666661</v>
      </c>
      <c r="K547" s="12">
        <f t="shared" ca="1" si="143"/>
        <v>4.540916666666666</v>
      </c>
      <c r="L547" s="5">
        <f t="shared" ca="1" si="144"/>
        <v>1.6513761467890536E-4</v>
      </c>
      <c r="N547">
        <f t="shared" ca="1" si="145"/>
        <v>49.491</v>
      </c>
      <c r="O547">
        <f t="shared" ca="1" si="146"/>
        <v>1.0742365000000001E-3</v>
      </c>
      <c r="P547">
        <f t="shared" ca="1" si="147"/>
        <v>1.001237275</v>
      </c>
      <c r="Q547">
        <f t="shared" ca="1" si="148"/>
        <v>4.5454594637094505</v>
      </c>
      <c r="R547">
        <f t="shared" ca="1" si="149"/>
        <v>24242.450473117067</v>
      </c>
      <c r="S547">
        <f t="shared" ca="1" si="150"/>
        <v>2.9174149192121166</v>
      </c>
      <c r="T547">
        <f t="shared" ca="1" si="151"/>
        <v>-1</v>
      </c>
      <c r="U547">
        <f t="shared" ca="1" si="152"/>
        <v>24244</v>
      </c>
      <c r="V547">
        <f t="shared" ca="1" si="153"/>
        <v>4.54575</v>
      </c>
      <c r="X547">
        <f t="shared" ca="1" si="154"/>
        <v>4.5390596984116476</v>
      </c>
    </row>
    <row r="548" spans="5:24" x14ac:dyDescent="0.25">
      <c r="E548">
        <v>546</v>
      </c>
      <c r="F548">
        <f t="shared" si="138"/>
        <v>74.599999999999994</v>
      </c>
      <c r="G548">
        <f t="shared" ca="1" si="139"/>
        <v>74.599999999999994</v>
      </c>
      <c r="H548" s="5">
        <f t="shared" ca="1" si="140"/>
        <v>0</v>
      </c>
      <c r="I548" s="5">
        <f t="shared" ca="1" si="141"/>
        <v>0</v>
      </c>
      <c r="J548" s="10">
        <f t="shared" si="142"/>
        <v>4.5499999999999989</v>
      </c>
      <c r="K548" s="12">
        <f t="shared" ca="1" si="143"/>
        <v>4.5499999999999989</v>
      </c>
      <c r="L548" s="5">
        <f t="shared" ca="1" si="144"/>
        <v>0</v>
      </c>
      <c r="N548">
        <f t="shared" ca="1" si="145"/>
        <v>49.599999999999994</v>
      </c>
      <c r="O548">
        <f t="shared" ca="1" si="146"/>
        <v>1.0744000000000001E-3</v>
      </c>
      <c r="P548">
        <f t="shared" ca="1" si="147"/>
        <v>1.0012399999999999</v>
      </c>
      <c r="Q548">
        <f t="shared" ca="1" si="148"/>
        <v>4.554566267743998</v>
      </c>
      <c r="R548">
        <f t="shared" ca="1" si="149"/>
        <v>24291.020094634656</v>
      </c>
      <c r="S548">
        <f t="shared" ca="1" si="150"/>
        <v>2.9046404555727352</v>
      </c>
      <c r="T548">
        <f t="shared" ca="1" si="151"/>
        <v>2</v>
      </c>
      <c r="U548">
        <f t="shared" ca="1" si="152"/>
        <v>24296</v>
      </c>
      <c r="V548">
        <f t="shared" ca="1" si="153"/>
        <v>4.5555000000000003</v>
      </c>
      <c r="X548">
        <f t="shared" ca="1" si="154"/>
        <v>4.5487851064679798</v>
      </c>
    </row>
    <row r="549" spans="5:24" x14ac:dyDescent="0.25">
      <c r="E549">
        <v>547</v>
      </c>
      <c r="F549">
        <f t="shared" si="138"/>
        <v>74.7</v>
      </c>
      <c r="G549">
        <f t="shared" ca="1" si="139"/>
        <v>74.704999999999998</v>
      </c>
      <c r="H549" s="5">
        <f t="shared" ca="1" si="140"/>
        <v>4.9999999999954525E-3</v>
      </c>
      <c r="I549" s="5">
        <f t="shared" ca="1" si="141"/>
        <v>6.6934404283740999E-5</v>
      </c>
      <c r="J549" s="10">
        <f t="shared" si="142"/>
        <v>4.5583333333333327</v>
      </c>
      <c r="K549" s="12">
        <f t="shared" ca="1" si="143"/>
        <v>4.558749999999999</v>
      </c>
      <c r="L549" s="5">
        <f t="shared" ca="1" si="144"/>
        <v>9.1407678244889452E-5</v>
      </c>
      <c r="N549">
        <f t="shared" ca="1" si="145"/>
        <v>49.704999999999998</v>
      </c>
      <c r="O549">
        <f t="shared" ca="1" si="146"/>
        <v>1.0745575E-3</v>
      </c>
      <c r="P549">
        <f t="shared" ca="1" si="147"/>
        <v>1.0012426249999999</v>
      </c>
      <c r="Q549">
        <f t="shared" ca="1" si="148"/>
        <v>4.563338923946735</v>
      </c>
      <c r="R549">
        <f t="shared" ca="1" si="149"/>
        <v>24337.807594382586</v>
      </c>
      <c r="S549">
        <f t="shared" ca="1" si="150"/>
        <v>2.8922751521146486</v>
      </c>
      <c r="T549">
        <f t="shared" ca="1" si="151"/>
        <v>2</v>
      </c>
      <c r="U549">
        <f t="shared" ca="1" si="152"/>
        <v>24343</v>
      </c>
      <c r="V549">
        <f t="shared" ca="1" si="153"/>
        <v>4.5643124999999998</v>
      </c>
      <c r="X549">
        <f t="shared" ca="1" si="154"/>
        <v>4.5575745863795998</v>
      </c>
    </row>
    <row r="550" spans="5:24" x14ac:dyDescent="0.25">
      <c r="E550">
        <v>548</v>
      </c>
      <c r="F550">
        <f t="shared" si="138"/>
        <v>74.800000000000011</v>
      </c>
      <c r="G550">
        <f t="shared" ca="1" si="139"/>
        <v>74.790000000000006</v>
      </c>
      <c r="H550" s="5">
        <f t="shared" ca="1" si="140"/>
        <v>1.0000000000005116E-2</v>
      </c>
      <c r="I550" s="5">
        <f t="shared" ca="1" si="141"/>
        <v>1.3368983957226088E-4</v>
      </c>
      <c r="J550" s="10">
        <f t="shared" si="142"/>
        <v>4.5666666666666673</v>
      </c>
      <c r="K550" s="12">
        <f t="shared" ca="1" si="143"/>
        <v>4.565833333333333</v>
      </c>
      <c r="L550" s="5">
        <f t="shared" ca="1" si="144"/>
        <v>1.824817518250405E-4</v>
      </c>
      <c r="N550">
        <f t="shared" ca="1" si="145"/>
        <v>49.790000000000006</v>
      </c>
      <c r="O550">
        <f t="shared" ca="1" si="146"/>
        <v>1.0746850000000001E-3</v>
      </c>
      <c r="P550">
        <f t="shared" ca="1" si="147"/>
        <v>1.0012447499999999</v>
      </c>
      <c r="Q550">
        <f t="shared" ca="1" si="148"/>
        <v>4.5704406316608459</v>
      </c>
      <c r="R550">
        <f t="shared" ca="1" si="149"/>
        <v>24375.683368857844</v>
      </c>
      <c r="S550">
        <f t="shared" ca="1" si="150"/>
        <v>2.8822224604278928</v>
      </c>
      <c r="T550">
        <f t="shared" ca="1" si="151"/>
        <v>-1</v>
      </c>
      <c r="U550">
        <f t="shared" ca="1" si="152"/>
        <v>24378</v>
      </c>
      <c r="V550">
        <f t="shared" ca="1" si="153"/>
        <v>4.570875</v>
      </c>
      <c r="X550">
        <f t="shared" ca="1" si="154"/>
        <v>4.5641191277157764</v>
      </c>
    </row>
    <row r="551" spans="5:24" x14ac:dyDescent="0.25">
      <c r="E551">
        <v>549</v>
      </c>
      <c r="F551">
        <f t="shared" si="138"/>
        <v>74.900000000000006</v>
      </c>
      <c r="G551">
        <f t="shared" ca="1" si="139"/>
        <v>74.910000000000011</v>
      </c>
      <c r="H551" s="5">
        <f t="shared" ca="1" si="140"/>
        <v>1.0000000000005116E-2</v>
      </c>
      <c r="I551" s="5">
        <f t="shared" ca="1" si="141"/>
        <v>1.335113484646878E-4</v>
      </c>
      <c r="J551" s="10">
        <f t="shared" si="142"/>
        <v>4.5750000000000002</v>
      </c>
      <c r="K551" s="12">
        <f t="shared" ca="1" si="143"/>
        <v>4.5758333333333336</v>
      </c>
      <c r="L551" s="5">
        <f t="shared" ca="1" si="144"/>
        <v>1.8214936247725979E-4</v>
      </c>
      <c r="N551">
        <f t="shared" ca="1" si="145"/>
        <v>49.910000000000011</v>
      </c>
      <c r="O551">
        <f t="shared" ca="1" si="146"/>
        <v>1.0748649999999999E-3</v>
      </c>
      <c r="P551">
        <f t="shared" ca="1" si="147"/>
        <v>1.0012477500000001</v>
      </c>
      <c r="Q551">
        <f t="shared" ca="1" si="148"/>
        <v>4.5804666232121978</v>
      </c>
      <c r="R551">
        <f t="shared" ca="1" si="149"/>
        <v>24429.155323798386</v>
      </c>
      <c r="S551">
        <f t="shared" ca="1" si="150"/>
        <v>2.8679656811865284</v>
      </c>
      <c r="T551">
        <f t="shared" ca="1" si="151"/>
        <v>2</v>
      </c>
      <c r="U551">
        <f t="shared" ca="1" si="152"/>
        <v>24434</v>
      </c>
      <c r="V551">
        <f t="shared" ca="1" si="153"/>
        <v>4.5813750000000004</v>
      </c>
      <c r="X551">
        <f t="shared" ca="1" si="154"/>
        <v>4.5745921875979247</v>
      </c>
    </row>
    <row r="552" spans="5:24" x14ac:dyDescent="0.25">
      <c r="E552">
        <v>550</v>
      </c>
      <c r="F552">
        <f t="shared" si="138"/>
        <v>75</v>
      </c>
      <c r="G552">
        <f t="shared" ca="1" si="139"/>
        <v>74.995999999999995</v>
      </c>
      <c r="H552" s="5">
        <f t="shared" ca="1" si="140"/>
        <v>4.0000000000048885E-3</v>
      </c>
      <c r="I552" s="5">
        <f t="shared" ca="1" si="141"/>
        <v>5.3333333333398514E-5</v>
      </c>
      <c r="J552" s="10">
        <f t="shared" si="142"/>
        <v>4.583333333333333</v>
      </c>
      <c r="K552" s="12">
        <f t="shared" ca="1" si="143"/>
        <v>4.5829999999999993</v>
      </c>
      <c r="L552" s="5">
        <f t="shared" ca="1" si="144"/>
        <v>7.2727272727361619E-5</v>
      </c>
      <c r="N552">
        <f t="shared" ca="1" si="145"/>
        <v>49.995999999999995</v>
      </c>
      <c r="O552">
        <f t="shared" ca="1" si="146"/>
        <v>1.0749940000000001E-3</v>
      </c>
      <c r="P552">
        <f t="shared" ca="1" si="147"/>
        <v>1.0012498999999999</v>
      </c>
      <c r="Q552">
        <f t="shared" ca="1" si="148"/>
        <v>4.5876519540649987</v>
      </c>
      <c r="R552">
        <f t="shared" ca="1" si="149"/>
        <v>24467.477088346659</v>
      </c>
      <c r="S552">
        <f t="shared" ca="1" si="150"/>
        <v>2.857701882218878</v>
      </c>
      <c r="T552">
        <f t="shared" ca="1" si="151"/>
        <v>-2</v>
      </c>
      <c r="U552">
        <f t="shared" ca="1" si="152"/>
        <v>24468</v>
      </c>
      <c r="V552">
        <f t="shared" ca="1" si="153"/>
        <v>4.5877499999999998</v>
      </c>
      <c r="X552">
        <f t="shared" ca="1" si="154"/>
        <v>4.580949277498056</v>
      </c>
    </row>
    <row r="553" spans="5:24" x14ac:dyDescent="0.25">
      <c r="E553">
        <v>551</v>
      </c>
      <c r="F553">
        <f t="shared" si="138"/>
        <v>75.099999999999994</v>
      </c>
      <c r="G553">
        <f t="shared" ca="1" si="139"/>
        <v>75.10499999999999</v>
      </c>
      <c r="H553" s="5">
        <f t="shared" ca="1" si="140"/>
        <v>4.9999999999954525E-3</v>
      </c>
      <c r="I553" s="5">
        <f t="shared" ca="1" si="141"/>
        <v>6.6577896138421481E-5</v>
      </c>
      <c r="J553" s="10">
        <f t="shared" si="142"/>
        <v>4.5916666666666659</v>
      </c>
      <c r="K553" s="12">
        <f t="shared" ca="1" si="143"/>
        <v>4.5920833333333322</v>
      </c>
      <c r="L553" s="5">
        <f t="shared" ca="1" si="144"/>
        <v>9.0744101633311315E-5</v>
      </c>
      <c r="N553">
        <f t="shared" ca="1" si="145"/>
        <v>50.10499999999999</v>
      </c>
      <c r="O553">
        <f t="shared" ca="1" si="146"/>
        <v>1.0751574999999999E-3</v>
      </c>
      <c r="P553">
        <f t="shared" ca="1" si="147"/>
        <v>1.001252625</v>
      </c>
      <c r="Q553">
        <f t="shared" ca="1" si="148"/>
        <v>4.5967589874495856</v>
      </c>
      <c r="R553">
        <f t="shared" ca="1" si="149"/>
        <v>24516.047933064456</v>
      </c>
      <c r="S553">
        <f t="shared" ca="1" si="150"/>
        <v>2.8446376383197975</v>
      </c>
      <c r="T553">
        <f t="shared" ca="1" si="151"/>
        <v>1</v>
      </c>
      <c r="U553">
        <f t="shared" ca="1" si="152"/>
        <v>24520</v>
      </c>
      <c r="V553">
        <f t="shared" ca="1" si="153"/>
        <v>4.5975000000000001</v>
      </c>
      <c r="X553">
        <f t="shared" ca="1" si="154"/>
        <v>4.5906744489184241</v>
      </c>
    </row>
    <row r="554" spans="5:24" x14ac:dyDescent="0.25">
      <c r="E554">
        <v>552</v>
      </c>
      <c r="F554">
        <f t="shared" si="138"/>
        <v>75.2</v>
      </c>
      <c r="G554">
        <f t="shared" ca="1" si="139"/>
        <v>75.194000000000003</v>
      </c>
      <c r="H554" s="5">
        <f t="shared" ca="1" si="140"/>
        <v>6.0000000000002274E-3</v>
      </c>
      <c r="I554" s="5">
        <f t="shared" ca="1" si="141"/>
        <v>7.978723404255621E-5</v>
      </c>
      <c r="J554" s="10">
        <f t="shared" si="142"/>
        <v>4.5999999999999996</v>
      </c>
      <c r="K554" s="12">
        <f t="shared" ca="1" si="143"/>
        <v>4.5994999999999999</v>
      </c>
      <c r="L554" s="5">
        <f t="shared" ca="1" si="144"/>
        <v>1.0869565217385281E-4</v>
      </c>
      <c r="N554">
        <f t="shared" ca="1" si="145"/>
        <v>50.194000000000003</v>
      </c>
      <c r="O554">
        <f t="shared" ca="1" si="146"/>
        <v>1.0752909999999999E-3</v>
      </c>
      <c r="P554">
        <f t="shared" ca="1" si="147"/>
        <v>1.00125485</v>
      </c>
      <c r="Q554">
        <f t="shared" ca="1" si="148"/>
        <v>4.6041950422460882</v>
      </c>
      <c r="R554">
        <f t="shared" ca="1" si="149"/>
        <v>24555.706891979138</v>
      </c>
      <c r="S554">
        <f t="shared" ca="1" si="150"/>
        <v>2.8339246918849978</v>
      </c>
      <c r="T554">
        <f t="shared" ca="1" si="151"/>
        <v>-1</v>
      </c>
      <c r="U554">
        <f t="shared" ca="1" si="152"/>
        <v>24558</v>
      </c>
      <c r="V554">
        <f t="shared" ca="1" si="153"/>
        <v>4.6046250000000004</v>
      </c>
      <c r="X554">
        <f t="shared" ca="1" si="154"/>
        <v>4.597780184535436</v>
      </c>
    </row>
    <row r="555" spans="5:24" x14ac:dyDescent="0.25">
      <c r="E555">
        <v>553</v>
      </c>
      <c r="F555">
        <f t="shared" si="138"/>
        <v>75.300000000000011</v>
      </c>
      <c r="G555">
        <f t="shared" ca="1" si="139"/>
        <v>75.301000000000016</v>
      </c>
      <c r="H555" s="5">
        <f t="shared" ca="1" si="140"/>
        <v>1.0000000000047748E-3</v>
      </c>
      <c r="I555" s="5">
        <f t="shared" ca="1" si="141"/>
        <v>1.3280212483463143E-5</v>
      </c>
      <c r="J555" s="10">
        <f t="shared" si="142"/>
        <v>4.6083333333333334</v>
      </c>
      <c r="K555" s="12">
        <f t="shared" ca="1" si="143"/>
        <v>4.6084166666666677</v>
      </c>
      <c r="L555" s="5">
        <f t="shared" ca="1" si="144"/>
        <v>1.8083182640359497E-5</v>
      </c>
      <c r="N555">
        <f t="shared" ca="1" si="145"/>
        <v>50.301000000000016</v>
      </c>
      <c r="O555">
        <f t="shared" ca="1" si="146"/>
        <v>1.0754515E-3</v>
      </c>
      <c r="P555">
        <f t="shared" ca="1" si="147"/>
        <v>1.001257525</v>
      </c>
      <c r="Q555">
        <f t="shared" ca="1" si="148"/>
        <v>4.6131350619282703</v>
      </c>
      <c r="R555">
        <f t="shared" ca="1" si="149"/>
        <v>24603.386996950776</v>
      </c>
      <c r="S555">
        <f t="shared" ca="1" si="150"/>
        <v>2.8209907950807374</v>
      </c>
      <c r="T555">
        <f t="shared" ca="1" si="151"/>
        <v>-1</v>
      </c>
      <c r="U555">
        <f t="shared" ca="1" si="152"/>
        <v>24605</v>
      </c>
      <c r="V555">
        <f t="shared" ca="1" si="153"/>
        <v>4.6134374999999999</v>
      </c>
      <c r="X555">
        <f t="shared" ca="1" si="154"/>
        <v>4.6065691726012243</v>
      </c>
    </row>
    <row r="556" spans="5:24" x14ac:dyDescent="0.25">
      <c r="E556">
        <v>554</v>
      </c>
      <c r="F556">
        <f t="shared" si="138"/>
        <v>75.400000000000006</v>
      </c>
      <c r="G556">
        <f t="shared" ca="1" si="139"/>
        <v>75.402000000000001</v>
      </c>
      <c r="H556" s="5">
        <f t="shared" ca="1" si="140"/>
        <v>1.9999999999953388E-3</v>
      </c>
      <c r="I556" s="5">
        <f t="shared" ca="1" si="141"/>
        <v>2.6525198938930221E-5</v>
      </c>
      <c r="J556" s="10">
        <f t="shared" si="142"/>
        <v>4.6166666666666663</v>
      </c>
      <c r="K556" s="12">
        <f t="shared" ca="1" si="143"/>
        <v>4.6168333333333331</v>
      </c>
      <c r="L556" s="5">
        <f t="shared" ca="1" si="144"/>
        <v>3.6101083032535097E-5</v>
      </c>
      <c r="N556">
        <f t="shared" ca="1" si="145"/>
        <v>50.402000000000001</v>
      </c>
      <c r="O556">
        <f t="shared" ca="1" si="146"/>
        <v>1.0756030000000001E-3</v>
      </c>
      <c r="P556">
        <f t="shared" ca="1" si="147"/>
        <v>1.00126005</v>
      </c>
      <c r="Q556">
        <f t="shared" ca="1" si="148"/>
        <v>4.6215738158614394</v>
      </c>
      <c r="R556">
        <f t="shared" ca="1" si="149"/>
        <v>24648.393684594343</v>
      </c>
      <c r="S556">
        <f t="shared" ca="1" si="150"/>
        <v>2.8087280119367226</v>
      </c>
      <c r="T556">
        <f t="shared" ca="1" si="151"/>
        <v>2</v>
      </c>
      <c r="U556">
        <f t="shared" ca="1" si="152"/>
        <v>24653</v>
      </c>
      <c r="V556">
        <f t="shared" ca="1" si="153"/>
        <v>4.6224375000000002</v>
      </c>
      <c r="X556">
        <f t="shared" ca="1" si="154"/>
        <v>4.6155460781642095</v>
      </c>
    </row>
    <row r="557" spans="5:24" x14ac:dyDescent="0.25">
      <c r="E557">
        <v>555</v>
      </c>
      <c r="F557">
        <f t="shared" si="138"/>
        <v>75.5</v>
      </c>
      <c r="G557">
        <f t="shared" ca="1" si="139"/>
        <v>75.503</v>
      </c>
      <c r="H557" s="5">
        <f t="shared" ca="1" si="140"/>
        <v>3.0000000000001137E-3</v>
      </c>
      <c r="I557" s="5">
        <f t="shared" ca="1" si="141"/>
        <v>3.973509933774985E-5</v>
      </c>
      <c r="J557" s="10">
        <f t="shared" si="142"/>
        <v>4.6249999999999991</v>
      </c>
      <c r="K557" s="12">
        <f t="shared" ca="1" si="143"/>
        <v>4.6252499999999994</v>
      </c>
      <c r="L557" s="5">
        <f t="shared" ca="1" si="144"/>
        <v>5.4054054054120129E-5</v>
      </c>
      <c r="N557">
        <f t="shared" ca="1" si="145"/>
        <v>50.503</v>
      </c>
      <c r="O557">
        <f t="shared" ca="1" si="146"/>
        <v>1.0757545000000001E-3</v>
      </c>
      <c r="P557">
        <f t="shared" ca="1" si="147"/>
        <v>1.0012625749999999</v>
      </c>
      <c r="Q557">
        <f t="shared" ca="1" si="148"/>
        <v>4.6300126122980112</v>
      </c>
      <c r="R557">
        <f t="shared" ca="1" si="149"/>
        <v>24693.400598922726</v>
      </c>
      <c r="S557">
        <f t="shared" ca="1" si="150"/>
        <v>2.7964128712942617</v>
      </c>
      <c r="T557">
        <f t="shared" ca="1" si="151"/>
        <v>-3</v>
      </c>
      <c r="U557">
        <f t="shared" ca="1" si="152"/>
        <v>24693</v>
      </c>
      <c r="V557">
        <f t="shared" ca="1" si="153"/>
        <v>4.6299375000000005</v>
      </c>
      <c r="X557">
        <f t="shared" ca="1" si="154"/>
        <v>4.6230248299253578</v>
      </c>
    </row>
    <row r="558" spans="5:24" x14ac:dyDescent="0.25">
      <c r="E558">
        <v>556</v>
      </c>
      <c r="F558">
        <f t="shared" si="138"/>
        <v>75.599999999999994</v>
      </c>
      <c r="G558">
        <f t="shared" ca="1" si="139"/>
        <v>75.606999999999999</v>
      </c>
      <c r="H558" s="5">
        <f t="shared" ca="1" si="140"/>
        <v>7.0000000000050022E-3</v>
      </c>
      <c r="I558" s="5">
        <f t="shared" ca="1" si="141"/>
        <v>9.2592592592658765E-5</v>
      </c>
      <c r="J558" s="10">
        <f t="shared" si="142"/>
        <v>4.633333333333332</v>
      </c>
      <c r="K558" s="12">
        <f t="shared" ca="1" si="143"/>
        <v>4.633916666666666</v>
      </c>
      <c r="L558" s="5">
        <f t="shared" ca="1" si="144"/>
        <v>1.2589928057569347E-4</v>
      </c>
      <c r="N558">
        <f t="shared" ca="1" si="145"/>
        <v>50.606999999999999</v>
      </c>
      <c r="O558">
        <f t="shared" ca="1" si="146"/>
        <v>1.0759105E-3</v>
      </c>
      <c r="P558">
        <f t="shared" ca="1" si="147"/>
        <v>1.0012651749999999</v>
      </c>
      <c r="Q558">
        <f t="shared" ca="1" si="148"/>
        <v>4.6387021104703487</v>
      </c>
      <c r="R558">
        <f t="shared" ca="1" si="149"/>
        <v>24739.744589175192</v>
      </c>
      <c r="S558">
        <f t="shared" ca="1" si="150"/>
        <v>2.7836774622017924</v>
      </c>
      <c r="T558">
        <f t="shared" ca="1" si="151"/>
        <v>-3</v>
      </c>
      <c r="U558">
        <f t="shared" ca="1" si="152"/>
        <v>24740</v>
      </c>
      <c r="V558">
        <f t="shared" ca="1" si="153"/>
        <v>4.6387499999999999</v>
      </c>
      <c r="X558">
        <f t="shared" ca="1" si="154"/>
        <v>4.6318140341793077</v>
      </c>
    </row>
    <row r="559" spans="5:24" x14ac:dyDescent="0.25">
      <c r="E559">
        <v>557</v>
      </c>
      <c r="F559">
        <f t="shared" si="138"/>
        <v>75.7</v>
      </c>
      <c r="G559">
        <f t="shared" ca="1" si="139"/>
        <v>75.7</v>
      </c>
      <c r="H559" s="5">
        <f t="shared" ca="1" si="140"/>
        <v>0</v>
      </c>
      <c r="I559" s="5">
        <f t="shared" ca="1" si="141"/>
        <v>0</v>
      </c>
      <c r="J559" s="10">
        <f t="shared" si="142"/>
        <v>4.6416666666666666</v>
      </c>
      <c r="K559" s="12">
        <f t="shared" ca="1" si="143"/>
        <v>4.6416666666666666</v>
      </c>
      <c r="L559" s="5">
        <f t="shared" ca="1" si="144"/>
        <v>0</v>
      </c>
      <c r="N559">
        <f t="shared" ca="1" si="145"/>
        <v>50.7</v>
      </c>
      <c r="O559">
        <f t="shared" ca="1" si="146"/>
        <v>1.0760500000000001E-3</v>
      </c>
      <c r="P559">
        <f t="shared" ca="1" si="147"/>
        <v>1.0012675</v>
      </c>
      <c r="Q559">
        <f t="shared" ca="1" si="148"/>
        <v>4.6464725652732914</v>
      </c>
      <c r="R559">
        <f t="shared" ca="1" si="149"/>
        <v>24781.187014790888</v>
      </c>
      <c r="S559">
        <f t="shared" ca="1" si="150"/>
        <v>2.772242460399077</v>
      </c>
      <c r="T559">
        <f t="shared" ca="1" si="151"/>
        <v>2</v>
      </c>
      <c r="U559">
        <f t="shared" ca="1" si="152"/>
        <v>24786</v>
      </c>
      <c r="V559">
        <f t="shared" ca="1" si="153"/>
        <v>4.6473750000000003</v>
      </c>
      <c r="X559">
        <f t="shared" ca="1" si="154"/>
        <v>4.6404172211721644</v>
      </c>
    </row>
    <row r="560" spans="5:24" x14ac:dyDescent="0.25">
      <c r="E560">
        <v>558</v>
      </c>
      <c r="F560">
        <f t="shared" si="138"/>
        <v>75.800000000000011</v>
      </c>
      <c r="G560">
        <f t="shared" ca="1" si="139"/>
        <v>75.799000000000007</v>
      </c>
      <c r="H560" s="5">
        <f t="shared" ca="1" si="140"/>
        <v>1.0000000000047748E-3</v>
      </c>
      <c r="I560" s="5">
        <f t="shared" ca="1" si="141"/>
        <v>1.3192612137266157E-5</v>
      </c>
      <c r="J560" s="10">
        <f t="shared" si="142"/>
        <v>4.6500000000000004</v>
      </c>
      <c r="K560" s="12">
        <f t="shared" ca="1" si="143"/>
        <v>4.6499166666666669</v>
      </c>
      <c r="L560" s="5">
        <f t="shared" ca="1" si="144"/>
        <v>1.7921146953426919E-5</v>
      </c>
      <c r="N560">
        <f t="shared" ca="1" si="145"/>
        <v>50.799000000000007</v>
      </c>
      <c r="O560">
        <f t="shared" ca="1" si="146"/>
        <v>1.0761985E-3</v>
      </c>
      <c r="P560">
        <f t="shared" ca="1" si="147"/>
        <v>1.001269975</v>
      </c>
      <c r="Q560">
        <f t="shared" ca="1" si="148"/>
        <v>4.6547443793402268</v>
      </c>
      <c r="R560">
        <f t="shared" ca="1" si="149"/>
        <v>24825.30335648121</v>
      </c>
      <c r="S560">
        <f t="shared" ca="1" si="150"/>
        <v>2.7600215714691019</v>
      </c>
      <c r="T560">
        <f t="shared" ca="1" si="151"/>
        <v>2</v>
      </c>
      <c r="U560">
        <f t="shared" ca="1" si="152"/>
        <v>24830</v>
      </c>
      <c r="V560">
        <f t="shared" ca="1" si="153"/>
        <v>4.6556249999999997</v>
      </c>
      <c r="X560">
        <f t="shared" ca="1" si="154"/>
        <v>4.6486451383903722</v>
      </c>
    </row>
    <row r="561" spans="5:24" x14ac:dyDescent="0.25">
      <c r="E561">
        <v>559</v>
      </c>
      <c r="F561">
        <f t="shared" si="138"/>
        <v>75.900000000000006</v>
      </c>
      <c r="G561">
        <f t="shared" ca="1" si="139"/>
        <v>75.89800000000001</v>
      </c>
      <c r="H561" s="5">
        <f t="shared" ca="1" si="140"/>
        <v>1.9999999999953388E-3</v>
      </c>
      <c r="I561" s="5">
        <f t="shared" ca="1" si="141"/>
        <v>2.6350461133008416E-5</v>
      </c>
      <c r="J561" s="10">
        <f t="shared" si="142"/>
        <v>4.6583333333333332</v>
      </c>
      <c r="K561" s="12">
        <f t="shared" ca="1" si="143"/>
        <v>4.6581666666666672</v>
      </c>
      <c r="L561" s="5">
        <f t="shared" ca="1" si="144"/>
        <v>3.5778175312912098E-5</v>
      </c>
      <c r="N561">
        <f t="shared" ca="1" si="145"/>
        <v>50.89800000000001</v>
      </c>
      <c r="O561">
        <f t="shared" ca="1" si="146"/>
        <v>1.0763470000000001E-3</v>
      </c>
      <c r="P561">
        <f t="shared" ca="1" si="147"/>
        <v>1.0012724500000001</v>
      </c>
      <c r="Q561">
        <f t="shared" ca="1" si="148"/>
        <v>4.6630162342439281</v>
      </c>
      <c r="R561">
        <f t="shared" ca="1" si="149"/>
        <v>24869.419915967617</v>
      </c>
      <c r="S561">
        <f t="shared" ca="1" si="150"/>
        <v>2.74775124643413</v>
      </c>
      <c r="T561">
        <f t="shared" ca="1" si="151"/>
        <v>0</v>
      </c>
      <c r="U561">
        <f t="shared" ca="1" si="152"/>
        <v>24872</v>
      </c>
      <c r="V561">
        <f t="shared" ca="1" si="153"/>
        <v>4.6635</v>
      </c>
      <c r="X561">
        <f t="shared" ca="1" si="154"/>
        <v>4.6564984914944976</v>
      </c>
    </row>
    <row r="562" spans="5:24" x14ac:dyDescent="0.25">
      <c r="E562">
        <v>560</v>
      </c>
      <c r="F562">
        <f t="shared" si="138"/>
        <v>76</v>
      </c>
      <c r="G562">
        <f t="shared" ca="1" si="139"/>
        <v>76.007999999999996</v>
      </c>
      <c r="H562" s="5">
        <f t="shared" ca="1" si="140"/>
        <v>7.9999999999955662E-3</v>
      </c>
      <c r="I562" s="5">
        <f t="shared" ca="1" si="141"/>
        <v>1.052631578946785E-4</v>
      </c>
      <c r="J562" s="10">
        <f t="shared" si="142"/>
        <v>4.6666666666666661</v>
      </c>
      <c r="K562" s="12">
        <f t="shared" ca="1" si="143"/>
        <v>4.6673333333333327</v>
      </c>
      <c r="L562" s="5">
        <f t="shared" ca="1" si="144"/>
        <v>1.4285714285712715E-4</v>
      </c>
      <c r="N562">
        <f t="shared" ca="1" si="145"/>
        <v>51.007999999999996</v>
      </c>
      <c r="O562">
        <f t="shared" ca="1" si="146"/>
        <v>1.076512E-3</v>
      </c>
      <c r="P562">
        <f t="shared" ca="1" si="147"/>
        <v>1.0012752</v>
      </c>
      <c r="Q562">
        <f t="shared" ca="1" si="148"/>
        <v>4.672207232031897</v>
      </c>
      <c r="R562">
        <f t="shared" ca="1" si="149"/>
        <v>24918.438570836784</v>
      </c>
      <c r="S562">
        <f t="shared" ca="1" si="150"/>
        <v>2.7340598374641569</v>
      </c>
      <c r="T562">
        <f t="shared" ca="1" si="151"/>
        <v>0</v>
      </c>
      <c r="U562">
        <f t="shared" ca="1" si="152"/>
        <v>24921</v>
      </c>
      <c r="V562">
        <f t="shared" ca="1" si="153"/>
        <v>4.6726875000000003</v>
      </c>
      <c r="X562">
        <f t="shared" ca="1" si="154"/>
        <v>4.6656613366634865</v>
      </c>
    </row>
    <row r="563" spans="5:24" x14ac:dyDescent="0.25">
      <c r="E563">
        <v>561</v>
      </c>
      <c r="F563">
        <f t="shared" si="138"/>
        <v>76.099999999999994</v>
      </c>
      <c r="G563">
        <f t="shared" ca="1" si="139"/>
        <v>76.100999999999999</v>
      </c>
      <c r="H563" s="5">
        <f t="shared" ca="1" si="140"/>
        <v>1.0000000000047748E-3</v>
      </c>
      <c r="I563" s="5">
        <f t="shared" ca="1" si="141"/>
        <v>1.3140604467868264E-5</v>
      </c>
      <c r="J563" s="10">
        <f t="shared" si="142"/>
        <v>4.6749999999999989</v>
      </c>
      <c r="K563" s="12">
        <f t="shared" ca="1" si="143"/>
        <v>4.6750833333333324</v>
      </c>
      <c r="L563" s="5">
        <f t="shared" ca="1" si="144"/>
        <v>1.7825311942980791E-5</v>
      </c>
      <c r="N563">
        <f t="shared" ca="1" si="145"/>
        <v>51.100999999999999</v>
      </c>
      <c r="O563">
        <f t="shared" ca="1" si="146"/>
        <v>1.0766515E-3</v>
      </c>
      <c r="P563">
        <f t="shared" ca="1" si="147"/>
        <v>1.0012775249999999</v>
      </c>
      <c r="Q563">
        <f t="shared" ca="1" si="148"/>
        <v>4.6799778422195413</v>
      </c>
      <c r="R563">
        <f t="shared" ca="1" si="149"/>
        <v>24959.881825170887</v>
      </c>
      <c r="S563">
        <f t="shared" ca="1" si="150"/>
        <v>2.7224371945172288</v>
      </c>
      <c r="T563">
        <f t="shared" ca="1" si="151"/>
        <v>-3</v>
      </c>
      <c r="U563">
        <f t="shared" ca="1" si="152"/>
        <v>24960</v>
      </c>
      <c r="V563">
        <f t="shared" ca="1" si="153"/>
        <v>4.68</v>
      </c>
      <c r="X563">
        <f t="shared" ca="1" si="154"/>
        <v>4.6729535335370684</v>
      </c>
    </row>
    <row r="564" spans="5:24" x14ac:dyDescent="0.25">
      <c r="E564">
        <v>562</v>
      </c>
      <c r="F564">
        <f t="shared" si="138"/>
        <v>76.2</v>
      </c>
      <c r="G564">
        <f t="shared" ca="1" si="139"/>
        <v>76.201000000000008</v>
      </c>
      <c r="H564" s="5">
        <f t="shared" ca="1" si="140"/>
        <v>1.0000000000047748E-3</v>
      </c>
      <c r="I564" s="5">
        <f t="shared" ca="1" si="141"/>
        <v>1.3123359580115156E-5</v>
      </c>
      <c r="J564" s="10">
        <f t="shared" si="142"/>
        <v>4.6833333333333327</v>
      </c>
      <c r="K564" s="12">
        <f t="shared" ca="1" si="143"/>
        <v>4.683416666666667</v>
      </c>
      <c r="L564" s="5">
        <f t="shared" ca="1" si="144"/>
        <v>1.7793594306261217E-5</v>
      </c>
      <c r="N564">
        <f t="shared" ca="1" si="145"/>
        <v>51.201000000000008</v>
      </c>
      <c r="O564">
        <f t="shared" ca="1" si="146"/>
        <v>1.0768015E-3</v>
      </c>
      <c r="P564">
        <f t="shared" ca="1" si="147"/>
        <v>1.001280025</v>
      </c>
      <c r="Q564">
        <f t="shared" ca="1" si="148"/>
        <v>4.6883333772525768</v>
      </c>
      <c r="R564">
        <f t="shared" ca="1" si="149"/>
        <v>25004.444678680407</v>
      </c>
      <c r="S564">
        <f t="shared" ca="1" si="150"/>
        <v>2.7098917194843697</v>
      </c>
      <c r="T564">
        <f t="shared" ca="1" si="151"/>
        <v>-2</v>
      </c>
      <c r="U564">
        <f t="shared" ca="1" si="152"/>
        <v>25005</v>
      </c>
      <c r="V564">
        <f t="shared" ca="1" si="153"/>
        <v>4.6884375</v>
      </c>
      <c r="X564">
        <f t="shared" ca="1" si="154"/>
        <v>4.6813684298755485</v>
      </c>
    </row>
    <row r="565" spans="5:24" x14ac:dyDescent="0.25">
      <c r="E565">
        <v>563</v>
      </c>
      <c r="F565">
        <f t="shared" si="138"/>
        <v>76.300000000000011</v>
      </c>
      <c r="G565">
        <f t="shared" ca="1" si="139"/>
        <v>76.310000000000016</v>
      </c>
      <c r="H565" s="5">
        <f t="shared" ca="1" si="140"/>
        <v>1.0000000000005116E-2</v>
      </c>
      <c r="I565" s="5">
        <f t="shared" ca="1" si="141"/>
        <v>1.3106159895157423E-4</v>
      </c>
      <c r="J565" s="10">
        <f t="shared" si="142"/>
        <v>4.6916666666666673</v>
      </c>
      <c r="K565" s="12">
        <f t="shared" ca="1" si="143"/>
        <v>4.6925000000000008</v>
      </c>
      <c r="L565" s="5">
        <f t="shared" ca="1" si="144"/>
        <v>1.7761989342809169E-4</v>
      </c>
      <c r="N565">
        <f t="shared" ca="1" si="145"/>
        <v>51.310000000000016</v>
      </c>
      <c r="O565">
        <f t="shared" ca="1" si="146"/>
        <v>1.076965E-3</v>
      </c>
      <c r="P565">
        <f t="shared" ca="1" si="147"/>
        <v>1.0012827500000001</v>
      </c>
      <c r="Q565">
        <f t="shared" ca="1" si="148"/>
        <v>4.6974409578981478</v>
      </c>
      <c r="R565">
        <f t="shared" ca="1" si="149"/>
        <v>25053.018442123455</v>
      </c>
      <c r="S565">
        <f t="shared" ca="1" si="150"/>
        <v>2.6961607448483496</v>
      </c>
      <c r="T565">
        <f t="shared" ca="1" si="151"/>
        <v>2</v>
      </c>
      <c r="U565">
        <f t="shared" ca="1" si="152"/>
        <v>25058</v>
      </c>
      <c r="V565">
        <f t="shared" ca="1" si="153"/>
        <v>4.6983750000000004</v>
      </c>
      <c r="X565">
        <f t="shared" ca="1" si="154"/>
        <v>4.6912802952013299</v>
      </c>
    </row>
    <row r="566" spans="5:24" x14ac:dyDescent="0.25">
      <c r="E566">
        <v>564</v>
      </c>
      <c r="F566">
        <f t="shared" si="138"/>
        <v>76.400000000000006</v>
      </c>
      <c r="G566">
        <f t="shared" ca="1" si="139"/>
        <v>76.39500000000001</v>
      </c>
      <c r="H566" s="5">
        <f t="shared" ca="1" si="140"/>
        <v>4.9999999999954525E-3</v>
      </c>
      <c r="I566" s="5">
        <f t="shared" ca="1" si="141"/>
        <v>6.5445026177950942E-5</v>
      </c>
      <c r="J566" s="10">
        <f t="shared" si="142"/>
        <v>4.7</v>
      </c>
      <c r="K566" s="12">
        <f t="shared" ca="1" si="143"/>
        <v>4.6995833333333339</v>
      </c>
      <c r="L566" s="5">
        <f t="shared" ca="1" si="144"/>
        <v>8.8652482269422915E-5</v>
      </c>
      <c r="N566">
        <f t="shared" ca="1" si="145"/>
        <v>51.39500000000001</v>
      </c>
      <c r="O566">
        <f t="shared" ca="1" si="146"/>
        <v>1.0770925000000002E-3</v>
      </c>
      <c r="P566">
        <f t="shared" ca="1" si="147"/>
        <v>1.0012848750000001</v>
      </c>
      <c r="Q566">
        <f t="shared" ca="1" si="148"/>
        <v>4.7045432340395248</v>
      </c>
      <c r="R566">
        <f t="shared" ca="1" si="149"/>
        <v>25090.8972482108</v>
      </c>
      <c r="S566">
        <f t="shared" ca="1" si="150"/>
        <v>2.6854124592193607</v>
      </c>
      <c r="T566">
        <f t="shared" ca="1" si="151"/>
        <v>0</v>
      </c>
      <c r="U566">
        <f t="shared" ca="1" si="152"/>
        <v>25094</v>
      </c>
      <c r="V566">
        <f t="shared" ca="1" si="153"/>
        <v>4.7051249999999998</v>
      </c>
      <c r="X566">
        <f t="shared" ca="1" si="154"/>
        <v>4.6980115499098094</v>
      </c>
    </row>
    <row r="567" spans="5:24" x14ac:dyDescent="0.25">
      <c r="E567">
        <v>565</v>
      </c>
      <c r="F567">
        <f t="shared" si="138"/>
        <v>76.5</v>
      </c>
      <c r="G567">
        <f t="shared" ca="1" si="139"/>
        <v>76.507000000000005</v>
      </c>
      <c r="H567" s="5">
        <f t="shared" ca="1" si="140"/>
        <v>7.0000000000050022E-3</v>
      </c>
      <c r="I567" s="5">
        <f t="shared" ca="1" si="141"/>
        <v>9.1503267973921598E-5</v>
      </c>
      <c r="J567" s="10">
        <f t="shared" si="142"/>
        <v>4.708333333333333</v>
      </c>
      <c r="K567" s="12">
        <f t="shared" ca="1" si="143"/>
        <v>4.7089166666666662</v>
      </c>
      <c r="L567" s="5">
        <f t="shared" ca="1" si="144"/>
        <v>1.2389380530969729E-4</v>
      </c>
      <c r="N567">
        <f t="shared" ca="1" si="145"/>
        <v>51.507000000000005</v>
      </c>
      <c r="O567">
        <f t="shared" ca="1" si="146"/>
        <v>1.0772605E-3</v>
      </c>
      <c r="P567">
        <f t="shared" ca="1" si="147"/>
        <v>1.0012876749999999</v>
      </c>
      <c r="Q567">
        <f t="shared" ca="1" si="148"/>
        <v>4.7139015732740015</v>
      </c>
      <c r="R567">
        <f t="shared" ca="1" si="149"/>
        <v>25140.808390794675</v>
      </c>
      <c r="S567">
        <f t="shared" ca="1" si="150"/>
        <v>2.671195887431224</v>
      </c>
      <c r="T567">
        <f t="shared" ca="1" si="151"/>
        <v>3</v>
      </c>
      <c r="U567">
        <f t="shared" ca="1" si="152"/>
        <v>25146</v>
      </c>
      <c r="V567">
        <f t="shared" ca="1" si="153"/>
        <v>4.7148750000000001</v>
      </c>
      <c r="X567">
        <f t="shared" ca="1" si="154"/>
        <v>4.7077357059248737</v>
      </c>
    </row>
    <row r="568" spans="5:24" x14ac:dyDescent="0.25">
      <c r="E568">
        <v>566</v>
      </c>
      <c r="F568">
        <f t="shared" si="138"/>
        <v>76.599999999999994</v>
      </c>
      <c r="G568">
        <f t="shared" ca="1" si="139"/>
        <v>76.60199999999999</v>
      </c>
      <c r="H568" s="5">
        <f t="shared" ca="1" si="140"/>
        <v>1.9999999999953388E-3</v>
      </c>
      <c r="I568" s="5">
        <f t="shared" ca="1" si="141"/>
        <v>2.6109660574351685E-5</v>
      </c>
      <c r="J568" s="10">
        <f t="shared" si="142"/>
        <v>4.7166666666666659</v>
      </c>
      <c r="K568" s="12">
        <f t="shared" ca="1" si="143"/>
        <v>4.7168333333333319</v>
      </c>
      <c r="L568" s="5">
        <f t="shared" ca="1" si="144"/>
        <v>3.5335689045791283E-5</v>
      </c>
      <c r="N568">
        <f t="shared" ca="1" si="145"/>
        <v>51.60199999999999</v>
      </c>
      <c r="O568">
        <f t="shared" ca="1" si="146"/>
        <v>1.077403E-3</v>
      </c>
      <c r="P568">
        <f t="shared" ca="1" si="147"/>
        <v>1.0012900499999999</v>
      </c>
      <c r="Q568">
        <f t="shared" ca="1" si="148"/>
        <v>4.7218394912712585</v>
      </c>
      <c r="R568">
        <f t="shared" ca="1" si="149"/>
        <v>25183.14395344671</v>
      </c>
      <c r="S568">
        <f t="shared" ca="1" si="150"/>
        <v>2.6590891693231362</v>
      </c>
      <c r="T568">
        <f t="shared" ca="1" si="151"/>
        <v>2</v>
      </c>
      <c r="U568">
        <f t="shared" ca="1" si="152"/>
        <v>25188</v>
      </c>
      <c r="V568">
        <f t="shared" ca="1" si="153"/>
        <v>4.7227500000000004</v>
      </c>
      <c r="X568">
        <f t="shared" ca="1" si="154"/>
        <v>4.7155892510866364</v>
      </c>
    </row>
    <row r="569" spans="5:24" x14ac:dyDescent="0.25">
      <c r="E569">
        <v>567</v>
      </c>
      <c r="F569">
        <f t="shared" si="138"/>
        <v>76.7</v>
      </c>
      <c r="G569">
        <f t="shared" ca="1" si="139"/>
        <v>76.698999999999998</v>
      </c>
      <c r="H569" s="5">
        <f t="shared" ca="1" si="140"/>
        <v>1.0000000000047748E-3</v>
      </c>
      <c r="I569" s="5">
        <f t="shared" ca="1" si="141"/>
        <v>1.3037809648041393E-5</v>
      </c>
      <c r="J569" s="10">
        <f t="shared" si="142"/>
        <v>4.7249999999999996</v>
      </c>
      <c r="K569" s="12">
        <f t="shared" ca="1" si="143"/>
        <v>4.7249166666666662</v>
      </c>
      <c r="L569" s="5">
        <f t="shared" ca="1" si="144"/>
        <v>1.7636684303372527E-5</v>
      </c>
      <c r="N569">
        <f t="shared" ca="1" si="145"/>
        <v>51.698999999999998</v>
      </c>
      <c r="O569">
        <f t="shared" ca="1" si="146"/>
        <v>1.0775485E-3</v>
      </c>
      <c r="P569">
        <f t="shared" ca="1" si="147"/>
        <v>1.0012924750000001</v>
      </c>
      <c r="Q569">
        <f t="shared" ca="1" si="148"/>
        <v>4.7299445621309193</v>
      </c>
      <c r="R569">
        <f t="shared" ca="1" si="149"/>
        <v>25226.370998031569</v>
      </c>
      <c r="S569">
        <f t="shared" ca="1" si="150"/>
        <v>2.6466823148679657</v>
      </c>
      <c r="T569">
        <f t="shared" ca="1" si="151"/>
        <v>-1</v>
      </c>
      <c r="U569">
        <f t="shared" ca="1" si="152"/>
        <v>25228</v>
      </c>
      <c r="V569">
        <f t="shared" ca="1" si="153"/>
        <v>4.7302499999999998</v>
      </c>
      <c r="X569">
        <f t="shared" ca="1" si="154"/>
        <v>4.7230680041812958</v>
      </c>
    </row>
    <row r="570" spans="5:24" x14ac:dyDescent="0.25">
      <c r="E570">
        <v>568</v>
      </c>
      <c r="F570">
        <f t="shared" si="138"/>
        <v>76.800000000000011</v>
      </c>
      <c r="G570">
        <f t="shared" ca="1" si="139"/>
        <v>76.801000000000016</v>
      </c>
      <c r="H570" s="5">
        <f t="shared" ca="1" si="140"/>
        <v>1.0000000000047748E-3</v>
      </c>
      <c r="I570" s="5">
        <f t="shared" ca="1" si="141"/>
        <v>1.3020833333395505E-5</v>
      </c>
      <c r="J570" s="10">
        <f t="shared" si="142"/>
        <v>4.7333333333333334</v>
      </c>
      <c r="K570" s="12">
        <f t="shared" ca="1" si="143"/>
        <v>4.7334166666666677</v>
      </c>
      <c r="L570" s="5">
        <f t="shared" ca="1" si="144"/>
        <v>1.7605633803026062E-5</v>
      </c>
      <c r="N570">
        <f t="shared" ca="1" si="145"/>
        <v>51.801000000000016</v>
      </c>
      <c r="O570">
        <f t="shared" ca="1" si="146"/>
        <v>1.0777015000000001E-3</v>
      </c>
      <c r="P570">
        <f t="shared" ca="1" si="147"/>
        <v>1.0012950249999999</v>
      </c>
      <c r="Q570">
        <f t="shared" ca="1" si="148"/>
        <v>4.7384674624350325</v>
      </c>
      <c r="R570">
        <f t="shared" ca="1" si="149"/>
        <v>25271.826466320173</v>
      </c>
      <c r="S570">
        <f t="shared" ca="1" si="150"/>
        <v>2.6335868373025808</v>
      </c>
      <c r="T570">
        <f t="shared" ca="1" si="151"/>
        <v>2</v>
      </c>
      <c r="U570">
        <f t="shared" ca="1" si="152"/>
        <v>25276</v>
      </c>
      <c r="V570">
        <f t="shared" ca="1" si="153"/>
        <v>4.7392500000000002</v>
      </c>
      <c r="X570">
        <f t="shared" ca="1" si="154"/>
        <v>4.7320441829819346</v>
      </c>
    </row>
    <row r="571" spans="5:24" x14ac:dyDescent="0.25">
      <c r="E571">
        <v>569</v>
      </c>
      <c r="F571">
        <f t="shared" si="138"/>
        <v>76.900000000000006</v>
      </c>
      <c r="G571">
        <f t="shared" ca="1" si="139"/>
        <v>76.89</v>
      </c>
      <c r="H571" s="5">
        <f t="shared" ca="1" si="140"/>
        <v>1.0000000000005116E-2</v>
      </c>
      <c r="I571" s="5">
        <f t="shared" ca="1" si="141"/>
        <v>1.3003901170357757E-4</v>
      </c>
      <c r="J571" s="10">
        <f t="shared" si="142"/>
        <v>4.7416666666666663</v>
      </c>
      <c r="K571" s="12">
        <f t="shared" ca="1" si="143"/>
        <v>4.7408333333333328</v>
      </c>
      <c r="L571" s="5">
        <f t="shared" ca="1" si="144"/>
        <v>1.7574692442884999E-4</v>
      </c>
      <c r="N571">
        <f t="shared" ca="1" si="145"/>
        <v>51.89</v>
      </c>
      <c r="O571">
        <f t="shared" ca="1" si="146"/>
        <v>1.0778350000000001E-3</v>
      </c>
      <c r="P571">
        <f t="shared" ca="1" si="147"/>
        <v>1.0012972499999999</v>
      </c>
      <c r="Q571">
        <f t="shared" ca="1" si="148"/>
        <v>4.7459041461535447</v>
      </c>
      <c r="R571">
        <f t="shared" ca="1" si="149"/>
        <v>25311.488779485571</v>
      </c>
      <c r="S571">
        <f t="shared" ca="1" si="150"/>
        <v>2.6221194665411307</v>
      </c>
      <c r="T571">
        <f t="shared" ca="1" si="151"/>
        <v>2</v>
      </c>
      <c r="U571">
        <f t="shared" ca="1" si="152"/>
        <v>25316</v>
      </c>
      <c r="V571">
        <f t="shared" ca="1" si="153"/>
        <v>4.7467500000000005</v>
      </c>
      <c r="X571">
        <f t="shared" ca="1" si="154"/>
        <v>4.7395238177274539</v>
      </c>
    </row>
    <row r="572" spans="5:24" x14ac:dyDescent="0.25">
      <c r="E572">
        <v>570</v>
      </c>
      <c r="F572">
        <f t="shared" si="138"/>
        <v>77</v>
      </c>
      <c r="G572">
        <f t="shared" ca="1" si="139"/>
        <v>76.998999999999995</v>
      </c>
      <c r="H572" s="5">
        <f t="shared" ca="1" si="140"/>
        <v>1.0000000000047748E-3</v>
      </c>
      <c r="I572" s="5">
        <f t="shared" ca="1" si="141"/>
        <v>1.2987012987074997E-5</v>
      </c>
      <c r="J572" s="10">
        <f t="shared" si="142"/>
        <v>4.7499999999999991</v>
      </c>
      <c r="K572" s="12">
        <f t="shared" ca="1" si="143"/>
        <v>4.7499166666666657</v>
      </c>
      <c r="L572" s="5">
        <f t="shared" ca="1" si="144"/>
        <v>1.7543859649144253E-5</v>
      </c>
      <c r="N572">
        <f t="shared" ca="1" si="145"/>
        <v>51.998999999999995</v>
      </c>
      <c r="O572">
        <f t="shared" ca="1" si="146"/>
        <v>1.0779985000000001E-3</v>
      </c>
      <c r="P572">
        <f t="shared" ca="1" si="147"/>
        <v>1.001299975</v>
      </c>
      <c r="Q572">
        <f t="shared" ca="1" si="148"/>
        <v>4.7550120397143161</v>
      </c>
      <c r="R572">
        <f t="shared" ca="1" si="149"/>
        <v>25360.064211809684</v>
      </c>
      <c r="S572">
        <f t="shared" ca="1" si="150"/>
        <v>2.6080234534795887</v>
      </c>
      <c r="T572">
        <f t="shared" ca="1" si="151"/>
        <v>-2</v>
      </c>
      <c r="U572">
        <f t="shared" ca="1" si="152"/>
        <v>25361</v>
      </c>
      <c r="V572">
        <f t="shared" ca="1" si="153"/>
        <v>4.7551874999999999</v>
      </c>
      <c r="X572">
        <f t="shared" ca="1" si="154"/>
        <v>4.747937301706215</v>
      </c>
    </row>
    <row r="573" spans="5:24" x14ac:dyDescent="0.25">
      <c r="E573">
        <v>571</v>
      </c>
      <c r="F573">
        <f t="shared" si="138"/>
        <v>77.099999999999994</v>
      </c>
      <c r="G573">
        <f t="shared" ca="1" si="139"/>
        <v>77.090999999999994</v>
      </c>
      <c r="H573" s="5">
        <f t="shared" ca="1" si="140"/>
        <v>9.0000000000003411E-3</v>
      </c>
      <c r="I573" s="5">
        <f t="shared" ca="1" si="141"/>
        <v>1.1673151750973205E-4</v>
      </c>
      <c r="J573" s="10">
        <f t="shared" si="142"/>
        <v>4.758333333333332</v>
      </c>
      <c r="K573" s="12">
        <f t="shared" ca="1" si="143"/>
        <v>4.7575833333333319</v>
      </c>
      <c r="L573" s="5">
        <f t="shared" ca="1" si="144"/>
        <v>1.5761821366025122E-4</v>
      </c>
      <c r="N573">
        <f t="shared" ca="1" si="145"/>
        <v>52.090999999999994</v>
      </c>
      <c r="O573">
        <f t="shared" ca="1" si="146"/>
        <v>1.0781365000000001E-3</v>
      </c>
      <c r="P573">
        <f t="shared" ca="1" si="147"/>
        <v>1.001302275</v>
      </c>
      <c r="Q573">
        <f t="shared" ca="1" si="148"/>
        <v>4.7626994746385378</v>
      </c>
      <c r="R573">
        <f t="shared" ca="1" si="149"/>
        <v>25401.06386473887</v>
      </c>
      <c r="S573">
        <f t="shared" ca="1" si="150"/>
        <v>2.5960818093506686</v>
      </c>
      <c r="T573">
        <f t="shared" ca="1" si="151"/>
        <v>0</v>
      </c>
      <c r="U573">
        <f t="shared" ca="1" si="152"/>
        <v>25404</v>
      </c>
      <c r="V573">
        <f t="shared" ca="1" si="153"/>
        <v>4.7632500000000002</v>
      </c>
      <c r="X573">
        <f t="shared" ca="1" si="154"/>
        <v>4.7559782718959669</v>
      </c>
    </row>
    <row r="574" spans="5:24" x14ac:dyDescent="0.25">
      <c r="E574">
        <v>572</v>
      </c>
      <c r="F574">
        <f t="shared" si="138"/>
        <v>77.2</v>
      </c>
      <c r="G574">
        <f t="shared" ca="1" si="139"/>
        <v>77.209000000000003</v>
      </c>
      <c r="H574" s="5">
        <f t="shared" ca="1" si="140"/>
        <v>9.0000000000003411E-3</v>
      </c>
      <c r="I574" s="5">
        <f t="shared" ca="1" si="141"/>
        <v>1.1658031088083343E-4</v>
      </c>
      <c r="J574" s="10">
        <f t="shared" si="142"/>
        <v>4.7666666666666666</v>
      </c>
      <c r="K574" s="12">
        <f t="shared" ca="1" si="143"/>
        <v>4.7674166666666666</v>
      </c>
      <c r="L574" s="5">
        <f t="shared" ca="1" si="144"/>
        <v>1.5734265734266331E-4</v>
      </c>
      <c r="N574">
        <f t="shared" ca="1" si="145"/>
        <v>52.209000000000003</v>
      </c>
      <c r="O574">
        <f t="shared" ca="1" si="146"/>
        <v>1.0783135E-3</v>
      </c>
      <c r="P574">
        <f t="shared" ca="1" si="147"/>
        <v>1.0013052250000001</v>
      </c>
      <c r="Q574">
        <f t="shared" ca="1" si="148"/>
        <v>4.7725594971436793</v>
      </c>
      <c r="R574">
        <f t="shared" ca="1" si="149"/>
        <v>25453.650651432956</v>
      </c>
      <c r="S574">
        <f t="shared" ca="1" si="150"/>
        <v>2.5807065792615393</v>
      </c>
      <c r="T574">
        <f t="shared" ca="1" si="151"/>
        <v>2</v>
      </c>
      <c r="U574">
        <f t="shared" ca="1" si="152"/>
        <v>25458</v>
      </c>
      <c r="V574">
        <f t="shared" ca="1" si="153"/>
        <v>4.7733749999999997</v>
      </c>
      <c r="X574">
        <f t="shared" ca="1" si="154"/>
        <v>4.7660758851028664</v>
      </c>
    </row>
    <row r="575" spans="5:24" x14ac:dyDescent="0.25">
      <c r="E575">
        <v>573</v>
      </c>
      <c r="F575">
        <f t="shared" si="138"/>
        <v>77.300000000000011</v>
      </c>
      <c r="G575">
        <f t="shared" ca="1" si="139"/>
        <v>77.297000000000011</v>
      </c>
      <c r="H575" s="5">
        <f t="shared" ca="1" si="140"/>
        <v>3.0000000000001137E-3</v>
      </c>
      <c r="I575" s="5">
        <f t="shared" ca="1" si="141"/>
        <v>3.8809831824063562E-5</v>
      </c>
      <c r="J575" s="10">
        <f t="shared" si="142"/>
        <v>4.7750000000000004</v>
      </c>
      <c r="K575" s="12">
        <f t="shared" ca="1" si="143"/>
        <v>4.77475</v>
      </c>
      <c r="L575" s="5">
        <f t="shared" ca="1" si="144"/>
        <v>5.2356020942472357E-5</v>
      </c>
      <c r="N575">
        <f t="shared" ca="1" si="145"/>
        <v>52.297000000000011</v>
      </c>
      <c r="O575">
        <f t="shared" ca="1" si="146"/>
        <v>1.0784455000000001E-3</v>
      </c>
      <c r="P575">
        <f t="shared" ca="1" si="147"/>
        <v>1.001307425</v>
      </c>
      <c r="Q575">
        <f t="shared" ca="1" si="148"/>
        <v>4.7799127720321426</v>
      </c>
      <c r="R575">
        <f t="shared" ca="1" si="149"/>
        <v>25492.86811750476</v>
      </c>
      <c r="S575">
        <f t="shared" ca="1" si="150"/>
        <v>2.5691975232939366</v>
      </c>
      <c r="T575">
        <f t="shared" ca="1" si="151"/>
        <v>1</v>
      </c>
      <c r="U575">
        <f t="shared" ca="1" si="152"/>
        <v>25496</v>
      </c>
      <c r="V575">
        <f t="shared" ca="1" si="153"/>
        <v>4.7805</v>
      </c>
      <c r="X575">
        <f t="shared" ca="1" si="154"/>
        <v>4.7731809783593686</v>
      </c>
    </row>
    <row r="576" spans="5:24" x14ac:dyDescent="0.25">
      <c r="E576">
        <v>574</v>
      </c>
      <c r="F576">
        <f t="shared" si="138"/>
        <v>77.400000000000006</v>
      </c>
      <c r="G576">
        <f t="shared" ca="1" si="139"/>
        <v>77.408000000000001</v>
      </c>
      <c r="H576" s="5">
        <f t="shared" ca="1" si="140"/>
        <v>7.9999999999955662E-3</v>
      </c>
      <c r="I576" s="5">
        <f t="shared" ca="1" si="141"/>
        <v>1.033591731265577E-4</v>
      </c>
      <c r="J576" s="10">
        <f t="shared" si="142"/>
        <v>4.7833333333333332</v>
      </c>
      <c r="K576" s="12">
        <f t="shared" ca="1" si="143"/>
        <v>4.7839999999999998</v>
      </c>
      <c r="L576" s="5">
        <f t="shared" ca="1" si="144"/>
        <v>1.3937282229963623E-4</v>
      </c>
      <c r="N576">
        <f t="shared" ca="1" si="145"/>
        <v>52.408000000000001</v>
      </c>
      <c r="O576">
        <f t="shared" ca="1" si="146"/>
        <v>1.0786120000000001E-3</v>
      </c>
      <c r="P576">
        <f t="shared" ca="1" si="147"/>
        <v>1.0013102</v>
      </c>
      <c r="Q576">
        <f t="shared" ca="1" si="148"/>
        <v>4.7891879716025576</v>
      </c>
      <c r="R576">
        <f t="shared" ca="1" si="149"/>
        <v>25542.335848546973</v>
      </c>
      <c r="S576">
        <f t="shared" ca="1" si="150"/>
        <v>2.5546285656310013</v>
      </c>
      <c r="T576">
        <f t="shared" ca="1" si="151"/>
        <v>-1</v>
      </c>
      <c r="U576">
        <f t="shared" ca="1" si="152"/>
        <v>25544</v>
      </c>
      <c r="V576">
        <f t="shared" ca="1" si="153"/>
        <v>4.7895000000000003</v>
      </c>
      <c r="X576">
        <f t="shared" ca="1" si="154"/>
        <v>4.7821558074610646</v>
      </c>
    </row>
    <row r="577" spans="5:24" x14ac:dyDescent="0.25">
      <c r="E577">
        <v>575</v>
      </c>
      <c r="F577">
        <f t="shared" si="138"/>
        <v>77.5</v>
      </c>
      <c r="G577">
        <f t="shared" ca="1" si="139"/>
        <v>77.501999999999995</v>
      </c>
      <c r="H577" s="5">
        <f t="shared" ca="1" si="140"/>
        <v>1.9999999999953388E-3</v>
      </c>
      <c r="I577" s="5">
        <f t="shared" ca="1" si="141"/>
        <v>2.5806451612843083E-5</v>
      </c>
      <c r="J577" s="10">
        <f t="shared" si="142"/>
        <v>4.7916666666666661</v>
      </c>
      <c r="K577" s="12">
        <f t="shared" ca="1" si="143"/>
        <v>4.7918333333333321</v>
      </c>
      <c r="L577" s="5">
        <f t="shared" ca="1" si="144"/>
        <v>3.4782608695509327E-5</v>
      </c>
      <c r="N577">
        <f t="shared" ca="1" si="145"/>
        <v>52.501999999999995</v>
      </c>
      <c r="O577">
        <f t="shared" ca="1" si="146"/>
        <v>1.078753E-3</v>
      </c>
      <c r="P577">
        <f t="shared" ca="1" si="147"/>
        <v>1.00131255</v>
      </c>
      <c r="Q577">
        <f t="shared" ca="1" si="148"/>
        <v>4.7970426852577486</v>
      </c>
      <c r="R577">
        <f t="shared" ca="1" si="149"/>
        <v>25584.227654707993</v>
      </c>
      <c r="S577">
        <f t="shared" ca="1" si="150"/>
        <v>2.5422458791070146</v>
      </c>
      <c r="T577">
        <f t="shared" ca="1" si="151"/>
        <v>3</v>
      </c>
      <c r="U577">
        <f t="shared" ca="1" si="152"/>
        <v>25590</v>
      </c>
      <c r="V577">
        <f t="shared" ca="1" si="153"/>
        <v>4.7981249999999998</v>
      </c>
      <c r="X577">
        <f t="shared" ca="1" si="154"/>
        <v>4.7907581374067467</v>
      </c>
    </row>
    <row r="578" spans="5:24" x14ac:dyDescent="0.25">
      <c r="E578">
        <v>576</v>
      </c>
      <c r="F578">
        <f t="shared" si="138"/>
        <v>77.599999999999994</v>
      </c>
      <c r="G578">
        <f t="shared" ca="1" si="139"/>
        <v>77.595999999999989</v>
      </c>
      <c r="H578" s="5">
        <f t="shared" ca="1" si="140"/>
        <v>4.0000000000048885E-3</v>
      </c>
      <c r="I578" s="5">
        <f t="shared" ca="1" si="141"/>
        <v>5.1546391752640321E-5</v>
      </c>
      <c r="J578" s="10">
        <f t="shared" si="142"/>
        <v>4.7999999999999989</v>
      </c>
      <c r="K578" s="12">
        <f t="shared" ca="1" si="143"/>
        <v>4.7996666666666652</v>
      </c>
      <c r="L578" s="5">
        <f t="shared" ca="1" si="144"/>
        <v>6.9444444444529324E-5</v>
      </c>
      <c r="N578">
        <f t="shared" ca="1" si="145"/>
        <v>52.595999999999989</v>
      </c>
      <c r="O578">
        <f t="shared" ca="1" si="146"/>
        <v>1.0788939999999999E-3</v>
      </c>
      <c r="P578">
        <f t="shared" ca="1" si="147"/>
        <v>1.0013148999999999</v>
      </c>
      <c r="Q578">
        <f t="shared" ca="1" si="148"/>
        <v>4.804897435728944</v>
      </c>
      <c r="R578">
        <f t="shared" ca="1" si="149"/>
        <v>25626.119657221036</v>
      </c>
      <c r="S578">
        <f t="shared" ca="1" si="150"/>
        <v>2.5298221256491238</v>
      </c>
      <c r="T578">
        <f t="shared" ca="1" si="151"/>
        <v>3</v>
      </c>
      <c r="U578">
        <f t="shared" ca="1" si="152"/>
        <v>25632</v>
      </c>
      <c r="V578">
        <f t="shared" ca="1" si="153"/>
        <v>4.806</v>
      </c>
      <c r="X578">
        <f t="shared" ca="1" si="154"/>
        <v>4.7986114118545533</v>
      </c>
    </row>
    <row r="579" spans="5:24" x14ac:dyDescent="0.25">
      <c r="E579">
        <v>577</v>
      </c>
      <c r="F579">
        <f t="shared" ref="F579:F602" si="155">0.1*E579+20</f>
        <v>77.7</v>
      </c>
      <c r="G579">
        <f t="shared" ref="G579:G602" ca="1" si="156">F579+(RANDBETWEEN(-10,10)/100)*0.1</f>
        <v>77.707000000000008</v>
      </c>
      <c r="H579" s="5">
        <f t="shared" ref="H579:H602" ca="1" si="157">ABS(F579-G579)</f>
        <v>7.0000000000050022E-3</v>
      </c>
      <c r="I579" s="5">
        <f t="shared" ref="I579:I602" ca="1" si="158">ABS(F579-G579)/F579</f>
        <v>9.0090090090154466E-5</v>
      </c>
      <c r="J579" s="10">
        <f t="shared" ref="J579:J602" si="159">1/12*F579-5/3</f>
        <v>4.8083333333333327</v>
      </c>
      <c r="K579" s="12">
        <f t="shared" ref="K579:K602" ca="1" si="160">(1/12*G579-5/3) + J579*RANDBETWEEN($B$2,$C$2)</f>
        <v>4.8089166666666667</v>
      </c>
      <c r="L579" s="5">
        <f t="shared" ref="L579:L602" ca="1" si="161">IF(J579=0, ABS(J579-K579), ABS(J579-K579)/J579)</f>
        <v>1.213171577124533E-4</v>
      </c>
      <c r="N579">
        <f t="shared" ref="N579:N602" ca="1" si="162">G579-$B$29</f>
        <v>52.707000000000008</v>
      </c>
      <c r="O579">
        <f t="shared" ref="O579:O602" ca="1" si="163">0.001 + 0.0000015*N579</f>
        <v>1.0790605000000001E-3</v>
      </c>
      <c r="P579">
        <f t="shared" ref="P579:P602" ca="1" si="164">1 + 0.000025*N579</f>
        <v>1.0013176749999999</v>
      </c>
      <c r="Q579">
        <f t="shared" ref="Q579:Q602" ca="1" si="165">(K579-O579)*P579</f>
        <v>4.8141727735843718</v>
      </c>
      <c r="R579">
        <f t="shared" ref="R579:R602" ca="1" si="166">Q579*32768/6.144</f>
        <v>25675.588125783317</v>
      </c>
      <c r="S579">
        <f t="shared" ref="S579:S602" ca="1" si="167">4*SIN(PI()*R579/32768)</f>
        <v>2.5150989170022902</v>
      </c>
      <c r="T579">
        <f t="shared" ref="T579:T602" ca="1" si="168">RANDBETWEEN(-1*$B$15,1*$B$15)</f>
        <v>-1</v>
      </c>
      <c r="U579">
        <f t="shared" ref="U579:U602" ca="1" si="169">ROUND(R579+S579+T579,0)</f>
        <v>25677</v>
      </c>
      <c r="V579">
        <f t="shared" ref="V579:V602" ca="1" si="170">U579*6.144/32768</f>
        <v>4.8144375000000004</v>
      </c>
      <c r="X579">
        <f t="shared" ref="X579:X602" ca="1" si="171">(U579*6.144/32768 -O579)/P579</f>
        <v>4.8070243436979183</v>
      </c>
    </row>
    <row r="580" spans="5:24" x14ac:dyDescent="0.25">
      <c r="E580">
        <v>578</v>
      </c>
      <c r="F580">
        <f t="shared" si="155"/>
        <v>77.800000000000011</v>
      </c>
      <c r="G580">
        <f t="shared" ca="1" si="156"/>
        <v>77.799000000000007</v>
      </c>
      <c r="H580" s="5">
        <f t="shared" ca="1" si="157"/>
        <v>1.0000000000047748E-3</v>
      </c>
      <c r="I580" s="5">
        <f t="shared" ca="1" si="158"/>
        <v>1.2853470437079366E-5</v>
      </c>
      <c r="J580" s="10">
        <f t="shared" si="159"/>
        <v>4.8166666666666673</v>
      </c>
      <c r="K580" s="12">
        <f t="shared" ca="1" si="160"/>
        <v>4.816583333333333</v>
      </c>
      <c r="L580" s="5">
        <f t="shared" ca="1" si="161"/>
        <v>1.7301038062489276E-5</v>
      </c>
      <c r="N580">
        <f t="shared" ca="1" si="162"/>
        <v>52.799000000000007</v>
      </c>
      <c r="O580">
        <f t="shared" ca="1" si="163"/>
        <v>1.0791985000000001E-3</v>
      </c>
      <c r="P580">
        <f t="shared" ca="1" si="164"/>
        <v>1.0013199749999999</v>
      </c>
      <c r="Q580">
        <f t="shared" ca="1" si="165"/>
        <v>4.8218604799037088</v>
      </c>
      <c r="R580">
        <f t="shared" ca="1" si="166"/>
        <v>25716.589226153112</v>
      </c>
      <c r="S580">
        <f t="shared" ca="1" si="167"/>
        <v>2.502852944322469</v>
      </c>
      <c r="T580">
        <f t="shared" ca="1" si="168"/>
        <v>0</v>
      </c>
      <c r="U580">
        <f t="shared" ca="1" si="169"/>
        <v>25719</v>
      </c>
      <c r="V580">
        <f t="shared" ca="1" si="170"/>
        <v>4.8223124999999998</v>
      </c>
      <c r="X580">
        <f t="shared" ca="1" si="171"/>
        <v>4.8148777831981233</v>
      </c>
    </row>
    <row r="581" spans="5:24" x14ac:dyDescent="0.25">
      <c r="E581">
        <v>579</v>
      </c>
      <c r="F581">
        <f t="shared" si="155"/>
        <v>77.900000000000006</v>
      </c>
      <c r="G581">
        <f t="shared" ca="1" si="156"/>
        <v>77.906000000000006</v>
      </c>
      <c r="H581" s="5">
        <f t="shared" ca="1" si="157"/>
        <v>6.0000000000002274E-3</v>
      </c>
      <c r="I581" s="5">
        <f t="shared" ca="1" si="158"/>
        <v>7.7021822849810363E-5</v>
      </c>
      <c r="J581" s="10">
        <f t="shared" si="159"/>
        <v>4.8250000000000002</v>
      </c>
      <c r="K581" s="12">
        <f t="shared" ca="1" si="160"/>
        <v>4.8254999999999999</v>
      </c>
      <c r="L581" s="5">
        <f t="shared" ca="1" si="161"/>
        <v>1.0362694300512391E-4</v>
      </c>
      <c r="N581">
        <f t="shared" ca="1" si="162"/>
        <v>52.906000000000006</v>
      </c>
      <c r="O581">
        <f t="shared" ca="1" si="163"/>
        <v>1.079359E-3</v>
      </c>
      <c r="P581">
        <f t="shared" ca="1" si="164"/>
        <v>1.0013226500000001</v>
      </c>
      <c r="Q581">
        <f t="shared" ca="1" si="165"/>
        <v>4.8308016609608186</v>
      </c>
      <c r="R581">
        <f t="shared" ca="1" si="166"/>
        <v>25764.275525124365</v>
      </c>
      <c r="S581">
        <f t="shared" ca="1" si="167"/>
        <v>2.4885616405069064</v>
      </c>
      <c r="T581">
        <f t="shared" ca="1" si="168"/>
        <v>-1</v>
      </c>
      <c r="U581">
        <f t="shared" ca="1" si="169"/>
        <v>25766</v>
      </c>
      <c r="V581">
        <f t="shared" ca="1" si="170"/>
        <v>4.8311250000000001</v>
      </c>
      <c r="X581">
        <f t="shared" ca="1" si="171"/>
        <v>4.8236656196681453</v>
      </c>
    </row>
    <row r="582" spans="5:24" x14ac:dyDescent="0.25">
      <c r="E582">
        <v>580</v>
      </c>
      <c r="F582">
        <f t="shared" si="155"/>
        <v>78</v>
      </c>
      <c r="G582">
        <f t="shared" ca="1" si="156"/>
        <v>77.994</v>
      </c>
      <c r="H582" s="5">
        <f t="shared" ca="1" si="157"/>
        <v>6.0000000000002274E-3</v>
      </c>
      <c r="I582" s="5">
        <f t="shared" ca="1" si="158"/>
        <v>7.692307692307984E-5</v>
      </c>
      <c r="J582" s="10">
        <f t="shared" si="159"/>
        <v>4.833333333333333</v>
      </c>
      <c r="K582" s="12">
        <f t="shared" ca="1" si="160"/>
        <v>4.8328333333333324</v>
      </c>
      <c r="L582" s="5">
        <f t="shared" ca="1" si="161"/>
        <v>1.0344827586219539E-4</v>
      </c>
      <c r="N582">
        <f t="shared" ca="1" si="162"/>
        <v>52.994</v>
      </c>
      <c r="O582">
        <f t="shared" ca="1" si="163"/>
        <v>1.0794910000000001E-3</v>
      </c>
      <c r="P582">
        <f t="shared" ca="1" si="164"/>
        <v>1.00132485</v>
      </c>
      <c r="Q582">
        <f t="shared" ca="1" si="165"/>
        <v>4.8381551914113485</v>
      </c>
      <c r="R582">
        <f t="shared" ca="1" si="166"/>
        <v>25803.494354193859</v>
      </c>
      <c r="S582">
        <f t="shared" ca="1" si="167"/>
        <v>2.476768993009884</v>
      </c>
      <c r="T582">
        <f t="shared" ca="1" si="168"/>
        <v>2</v>
      </c>
      <c r="U582">
        <f t="shared" ca="1" si="169"/>
        <v>25808</v>
      </c>
      <c r="V582">
        <f t="shared" ca="1" si="170"/>
        <v>4.8390000000000004</v>
      </c>
      <c r="X582">
        <f t="shared" ca="1" si="171"/>
        <v>4.8315194704296021</v>
      </c>
    </row>
    <row r="583" spans="5:24" x14ac:dyDescent="0.25">
      <c r="E583">
        <v>581</v>
      </c>
      <c r="F583">
        <f t="shared" si="155"/>
        <v>78.099999999999994</v>
      </c>
      <c r="G583">
        <f t="shared" ca="1" si="156"/>
        <v>78.099999999999994</v>
      </c>
      <c r="H583" s="5">
        <f t="shared" ca="1" si="157"/>
        <v>0</v>
      </c>
      <c r="I583" s="5">
        <f t="shared" ca="1" si="158"/>
        <v>0</v>
      </c>
      <c r="J583" s="10">
        <f t="shared" si="159"/>
        <v>4.8416666666666659</v>
      </c>
      <c r="K583" s="12">
        <f t="shared" ca="1" si="160"/>
        <v>4.8416666666666659</v>
      </c>
      <c r="L583" s="5">
        <f t="shared" ca="1" si="161"/>
        <v>0</v>
      </c>
      <c r="N583">
        <f t="shared" ca="1" si="162"/>
        <v>53.099999999999994</v>
      </c>
      <c r="O583">
        <f t="shared" ca="1" si="163"/>
        <v>1.0796499999999999E-3</v>
      </c>
      <c r="P583">
        <f t="shared" ca="1" si="164"/>
        <v>1.0013274999999999</v>
      </c>
      <c r="Q583">
        <f t="shared" ca="1" si="165"/>
        <v>4.8470128959312904</v>
      </c>
      <c r="R583">
        <f t="shared" ca="1" si="166"/>
        <v>25850.735444966882</v>
      </c>
      <c r="S583">
        <f t="shared" ca="1" si="167"/>
        <v>2.4625176662782802</v>
      </c>
      <c r="T583">
        <f t="shared" ca="1" si="168"/>
        <v>3</v>
      </c>
      <c r="U583">
        <f t="shared" ca="1" si="169"/>
        <v>25856</v>
      </c>
      <c r="V583">
        <f t="shared" ca="1" si="170"/>
        <v>4.8479999999999999</v>
      </c>
      <c r="X583">
        <f t="shared" ca="1" si="171"/>
        <v>4.8404945934272252</v>
      </c>
    </row>
    <row r="584" spans="5:24" x14ac:dyDescent="0.25">
      <c r="E584">
        <v>582</v>
      </c>
      <c r="F584">
        <f t="shared" si="155"/>
        <v>78.2</v>
      </c>
      <c r="G584">
        <f t="shared" ca="1" si="156"/>
        <v>78.209000000000003</v>
      </c>
      <c r="H584" s="5">
        <f t="shared" ca="1" si="157"/>
        <v>9.0000000000003411E-3</v>
      </c>
      <c r="I584" s="5">
        <f t="shared" ca="1" si="158"/>
        <v>1.1508951406650052E-4</v>
      </c>
      <c r="J584" s="10">
        <f t="shared" si="159"/>
        <v>4.8499999999999996</v>
      </c>
      <c r="K584" s="12">
        <f t="shared" ca="1" si="160"/>
        <v>4.8507499999999997</v>
      </c>
      <c r="L584" s="5">
        <f t="shared" ca="1" si="161"/>
        <v>1.5463917525773783E-4</v>
      </c>
      <c r="N584">
        <f t="shared" ca="1" si="162"/>
        <v>53.209000000000003</v>
      </c>
      <c r="O584">
        <f t="shared" ca="1" si="163"/>
        <v>1.0798135E-3</v>
      </c>
      <c r="P584">
        <f t="shared" ca="1" si="164"/>
        <v>1.001330225</v>
      </c>
      <c r="Q584">
        <f t="shared" ca="1" si="165"/>
        <v>4.8561213390238374</v>
      </c>
      <c r="R584">
        <f t="shared" ca="1" si="166"/>
        <v>25899.313808127132</v>
      </c>
      <c r="S584">
        <f t="shared" ca="1" si="167"/>
        <v>2.447810244530197</v>
      </c>
      <c r="T584">
        <f t="shared" ca="1" si="168"/>
        <v>-1</v>
      </c>
      <c r="U584">
        <f t="shared" ca="1" si="169"/>
        <v>25901</v>
      </c>
      <c r="V584">
        <f t="shared" ca="1" si="170"/>
        <v>4.8564375000000002</v>
      </c>
      <c r="X584">
        <f t="shared" ca="1" si="171"/>
        <v>4.8489075484563555</v>
      </c>
    </row>
    <row r="585" spans="5:24" x14ac:dyDescent="0.25">
      <c r="E585">
        <v>583</v>
      </c>
      <c r="F585">
        <f t="shared" si="155"/>
        <v>78.300000000000011</v>
      </c>
      <c r="G585">
        <f t="shared" ca="1" si="156"/>
        <v>78.303000000000011</v>
      </c>
      <c r="H585" s="5">
        <f t="shared" ca="1" si="157"/>
        <v>3.0000000000001137E-3</v>
      </c>
      <c r="I585" s="5">
        <f t="shared" ca="1" si="158"/>
        <v>3.8314176245212177E-5</v>
      </c>
      <c r="J585" s="10">
        <f t="shared" si="159"/>
        <v>4.8583333333333334</v>
      </c>
      <c r="K585" s="12">
        <f t="shared" ca="1" si="160"/>
        <v>4.8585833333333337</v>
      </c>
      <c r="L585" s="5">
        <f t="shared" ca="1" si="161"/>
        <v>5.1457975986340762E-5</v>
      </c>
      <c r="N585">
        <f t="shared" ca="1" si="162"/>
        <v>53.303000000000011</v>
      </c>
      <c r="O585">
        <f t="shared" ca="1" si="163"/>
        <v>1.0799545000000001E-3</v>
      </c>
      <c r="P585">
        <f t="shared" ca="1" si="164"/>
        <v>1.0013325749999999</v>
      </c>
      <c r="Q585">
        <f t="shared" ca="1" si="165"/>
        <v>4.8639763663983828</v>
      </c>
      <c r="R585">
        <f t="shared" ca="1" si="166"/>
        <v>25941.207287458041</v>
      </c>
      <c r="S585">
        <f t="shared" ca="1" si="167"/>
        <v>2.4350840649611438</v>
      </c>
      <c r="T585">
        <f t="shared" ca="1" si="168"/>
        <v>0</v>
      </c>
      <c r="U585">
        <f t="shared" ca="1" si="169"/>
        <v>25944</v>
      </c>
      <c r="V585">
        <f t="shared" ca="1" si="170"/>
        <v>4.8645000000000005</v>
      </c>
      <c r="X585">
        <f t="shared" ca="1" si="171"/>
        <v>4.8569477982876981</v>
      </c>
    </row>
    <row r="586" spans="5:24" x14ac:dyDescent="0.25">
      <c r="E586">
        <v>584</v>
      </c>
      <c r="F586">
        <f t="shared" si="155"/>
        <v>78.400000000000006</v>
      </c>
      <c r="G586">
        <f t="shared" ca="1" si="156"/>
        <v>78.404000000000011</v>
      </c>
      <c r="H586" s="5">
        <f t="shared" ca="1" si="157"/>
        <v>4.0000000000048885E-3</v>
      </c>
      <c r="I586" s="5">
        <f t="shared" ca="1" si="158"/>
        <v>5.1020408163327656E-5</v>
      </c>
      <c r="J586" s="10">
        <f t="shared" si="159"/>
        <v>4.8666666666666663</v>
      </c>
      <c r="K586" s="12">
        <f t="shared" ca="1" si="160"/>
        <v>4.867</v>
      </c>
      <c r="L586" s="5">
        <f t="shared" ca="1" si="161"/>
        <v>6.8493150685015216E-5</v>
      </c>
      <c r="N586">
        <f t="shared" ca="1" si="162"/>
        <v>53.404000000000011</v>
      </c>
      <c r="O586">
        <f t="shared" ca="1" si="163"/>
        <v>1.0801059999999999E-3</v>
      </c>
      <c r="P586">
        <f t="shared" ca="1" si="164"/>
        <v>1.0013350999999999</v>
      </c>
      <c r="Q586">
        <f t="shared" ca="1" si="165"/>
        <v>4.8724163836504788</v>
      </c>
      <c r="R586">
        <f t="shared" ca="1" si="166"/>
        <v>25986.220712802555</v>
      </c>
      <c r="S586">
        <f t="shared" ca="1" si="167"/>
        <v>2.4213663500001599</v>
      </c>
      <c r="T586">
        <f t="shared" ca="1" si="168"/>
        <v>-1</v>
      </c>
      <c r="U586">
        <f t="shared" ca="1" si="169"/>
        <v>25988</v>
      </c>
      <c r="V586">
        <f t="shared" ca="1" si="170"/>
        <v>4.8727499999999999</v>
      </c>
      <c r="X586">
        <f t="shared" ca="1" si="171"/>
        <v>4.8651743996590158</v>
      </c>
    </row>
    <row r="587" spans="5:24" x14ac:dyDescent="0.25">
      <c r="E587">
        <v>585</v>
      </c>
      <c r="F587">
        <f t="shared" si="155"/>
        <v>78.5</v>
      </c>
      <c r="G587">
        <f t="shared" ca="1" si="156"/>
        <v>78.498000000000005</v>
      </c>
      <c r="H587" s="5">
        <f t="shared" ca="1" si="157"/>
        <v>1.9999999999953388E-3</v>
      </c>
      <c r="I587" s="5">
        <f t="shared" ca="1" si="158"/>
        <v>2.5477707006310047E-5</v>
      </c>
      <c r="J587" s="10">
        <f t="shared" si="159"/>
        <v>4.8749999999999991</v>
      </c>
      <c r="K587" s="12">
        <f t="shared" ca="1" si="160"/>
        <v>4.8748333333333331</v>
      </c>
      <c r="L587" s="5">
        <f t="shared" ca="1" si="161"/>
        <v>3.4188034187893787E-5</v>
      </c>
      <c r="N587">
        <f t="shared" ca="1" si="162"/>
        <v>53.498000000000005</v>
      </c>
      <c r="O587">
        <f t="shared" ca="1" si="163"/>
        <v>1.0802470000000001E-3</v>
      </c>
      <c r="P587">
        <f t="shared" ca="1" si="164"/>
        <v>1.0013374500000001</v>
      </c>
      <c r="Q587">
        <f t="shared" ca="1" si="165"/>
        <v>4.8802714873986499</v>
      </c>
      <c r="R587">
        <f t="shared" ca="1" si="166"/>
        <v>26028.114599459466</v>
      </c>
      <c r="S587">
        <f t="shared" ca="1" si="167"/>
        <v>2.4085587834343345</v>
      </c>
      <c r="T587">
        <f t="shared" ca="1" si="168"/>
        <v>1</v>
      </c>
      <c r="U587">
        <f t="shared" ca="1" si="169"/>
        <v>26032</v>
      </c>
      <c r="V587">
        <f t="shared" ca="1" si="170"/>
        <v>4.8810000000000002</v>
      </c>
      <c r="X587">
        <f t="shared" ca="1" si="171"/>
        <v>4.8734018217335224</v>
      </c>
    </row>
    <row r="588" spans="5:24" x14ac:dyDescent="0.25">
      <c r="E588">
        <v>586</v>
      </c>
      <c r="F588">
        <f t="shared" si="155"/>
        <v>78.599999999999994</v>
      </c>
      <c r="G588">
        <f t="shared" ca="1" si="156"/>
        <v>78.590999999999994</v>
      </c>
      <c r="H588" s="5">
        <f t="shared" ca="1" si="157"/>
        <v>9.0000000000003411E-3</v>
      </c>
      <c r="I588" s="5">
        <f t="shared" ca="1" si="158"/>
        <v>1.1450381679389748E-4</v>
      </c>
      <c r="J588" s="10">
        <f t="shared" si="159"/>
        <v>4.883333333333332</v>
      </c>
      <c r="K588" s="12">
        <f t="shared" ca="1" si="160"/>
        <v>4.8825833333333319</v>
      </c>
      <c r="L588" s="5">
        <f t="shared" ca="1" si="161"/>
        <v>1.5358361774744613E-4</v>
      </c>
      <c r="N588">
        <f t="shared" ca="1" si="162"/>
        <v>53.590999999999994</v>
      </c>
      <c r="O588">
        <f t="shared" ca="1" si="163"/>
        <v>1.0803865E-3</v>
      </c>
      <c r="P588">
        <f t="shared" ca="1" si="164"/>
        <v>1.0013397749999999</v>
      </c>
      <c r="Q588">
        <f t="shared" ca="1" si="165"/>
        <v>4.8880430624439253</v>
      </c>
      <c r="R588">
        <f t="shared" ca="1" si="166"/>
        <v>26069.562999700935</v>
      </c>
      <c r="S588">
        <f t="shared" ca="1" si="167"/>
        <v>2.3958491693793298</v>
      </c>
      <c r="T588">
        <f t="shared" ca="1" si="168"/>
        <v>3</v>
      </c>
      <c r="U588">
        <f t="shared" ca="1" si="169"/>
        <v>26075</v>
      </c>
      <c r="V588">
        <f t="shared" ca="1" si="170"/>
        <v>4.8890625000000005</v>
      </c>
      <c r="X588">
        <f t="shared" ca="1" si="171"/>
        <v>4.8814420794380222</v>
      </c>
    </row>
    <row r="589" spans="5:24" x14ac:dyDescent="0.25">
      <c r="E589">
        <v>587</v>
      </c>
      <c r="F589">
        <f t="shared" si="155"/>
        <v>78.7</v>
      </c>
      <c r="G589">
        <f t="shared" ca="1" si="156"/>
        <v>78.709000000000003</v>
      </c>
      <c r="H589" s="5">
        <f t="shared" ca="1" si="157"/>
        <v>9.0000000000003411E-3</v>
      </c>
      <c r="I589" s="5">
        <f t="shared" ca="1" si="158"/>
        <v>1.1435832274460408E-4</v>
      </c>
      <c r="J589" s="10">
        <f t="shared" si="159"/>
        <v>4.8916666666666666</v>
      </c>
      <c r="K589" s="12">
        <f t="shared" ca="1" si="160"/>
        <v>4.8924166666666666</v>
      </c>
      <c r="L589" s="5">
        <f t="shared" ca="1" si="161"/>
        <v>1.5332197614992062E-4</v>
      </c>
      <c r="N589">
        <f t="shared" ca="1" si="162"/>
        <v>53.709000000000003</v>
      </c>
      <c r="O589">
        <f t="shared" ca="1" si="163"/>
        <v>1.0805635000000001E-3</v>
      </c>
      <c r="P589">
        <f t="shared" ca="1" si="164"/>
        <v>1.001342725</v>
      </c>
      <c r="Q589">
        <f t="shared" ca="1" si="165"/>
        <v>4.8979038224357909</v>
      </c>
      <c r="R589">
        <f t="shared" ca="1" si="166"/>
        <v>26122.153719657552</v>
      </c>
      <c r="S589">
        <f t="shared" ca="1" si="167"/>
        <v>2.379668477437467</v>
      </c>
      <c r="T589">
        <f t="shared" ca="1" si="168"/>
        <v>3</v>
      </c>
      <c r="U589">
        <f t="shared" ca="1" si="169"/>
        <v>26128</v>
      </c>
      <c r="V589">
        <f t="shared" ca="1" si="170"/>
        <v>4.899</v>
      </c>
      <c r="X589">
        <f t="shared" ca="1" si="171"/>
        <v>4.8913516962935937</v>
      </c>
    </row>
    <row r="590" spans="5:24" x14ac:dyDescent="0.25">
      <c r="E590">
        <v>588</v>
      </c>
      <c r="F590">
        <f t="shared" si="155"/>
        <v>78.800000000000011</v>
      </c>
      <c r="G590">
        <f t="shared" ca="1" si="156"/>
        <v>78.808000000000007</v>
      </c>
      <c r="H590" s="5">
        <f t="shared" ca="1" si="157"/>
        <v>7.9999999999955662E-3</v>
      </c>
      <c r="I590" s="5">
        <f t="shared" ca="1" si="158"/>
        <v>1.0152284263953762E-4</v>
      </c>
      <c r="J590" s="10">
        <f t="shared" si="159"/>
        <v>4.9000000000000004</v>
      </c>
      <c r="K590" s="12">
        <f t="shared" ca="1" si="160"/>
        <v>4.9006666666666669</v>
      </c>
      <c r="L590" s="5">
        <f t="shared" ca="1" si="161"/>
        <v>1.3605442176869249E-4</v>
      </c>
      <c r="N590">
        <f t="shared" ca="1" si="162"/>
        <v>53.808000000000007</v>
      </c>
      <c r="O590">
        <f t="shared" ca="1" si="163"/>
        <v>1.0807119999999999E-3</v>
      </c>
      <c r="P590">
        <f t="shared" ca="1" si="164"/>
        <v>1.0013452</v>
      </c>
      <c r="Q590">
        <f t="shared" ca="1" si="165"/>
        <v>4.9061768776928849</v>
      </c>
      <c r="R590">
        <f t="shared" ca="1" si="166"/>
        <v>26166.276681028718</v>
      </c>
      <c r="S590">
        <f t="shared" ca="1" si="167"/>
        <v>2.3660463906105638</v>
      </c>
      <c r="T590">
        <f t="shared" ca="1" si="168"/>
        <v>-3</v>
      </c>
      <c r="U590">
        <f t="shared" ca="1" si="169"/>
        <v>26166</v>
      </c>
      <c r="V590">
        <f t="shared" ca="1" si="170"/>
        <v>4.9061250000000003</v>
      </c>
      <c r="X590">
        <f t="shared" ca="1" si="171"/>
        <v>4.8984548864866975</v>
      </c>
    </row>
    <row r="591" spans="5:24" x14ac:dyDescent="0.25">
      <c r="E591">
        <v>589</v>
      </c>
      <c r="F591">
        <f t="shared" si="155"/>
        <v>78.900000000000006</v>
      </c>
      <c r="G591">
        <f t="shared" ca="1" si="156"/>
        <v>78.910000000000011</v>
      </c>
      <c r="H591" s="5">
        <f t="shared" ca="1" si="157"/>
        <v>1.0000000000005116E-2</v>
      </c>
      <c r="I591" s="5">
        <f t="shared" ca="1" si="158"/>
        <v>1.2674271229410792E-4</v>
      </c>
      <c r="J591" s="10">
        <f t="shared" si="159"/>
        <v>4.9083333333333332</v>
      </c>
      <c r="K591" s="12">
        <f t="shared" ca="1" si="160"/>
        <v>4.9091666666666667</v>
      </c>
      <c r="L591" s="5">
        <f t="shared" ca="1" si="161"/>
        <v>1.6977928692702145E-4</v>
      </c>
      <c r="N591">
        <f t="shared" ca="1" si="162"/>
        <v>53.910000000000011</v>
      </c>
      <c r="O591">
        <f t="shared" ca="1" si="163"/>
        <v>1.0808650000000001E-3</v>
      </c>
      <c r="P591">
        <f t="shared" ca="1" si="164"/>
        <v>1.0013477500000001</v>
      </c>
      <c r="Q591">
        <f t="shared" ca="1" si="165"/>
        <v>4.9147006743058634</v>
      </c>
      <c r="R591">
        <f t="shared" ca="1" si="166"/>
        <v>26211.736929631272</v>
      </c>
      <c r="S591">
        <f t="shared" ca="1" si="167"/>
        <v>2.3519671611129365</v>
      </c>
      <c r="T591">
        <f t="shared" ca="1" si="168"/>
        <v>0</v>
      </c>
      <c r="U591">
        <f t="shared" ca="1" si="169"/>
        <v>26214</v>
      </c>
      <c r="V591">
        <f t="shared" ca="1" si="170"/>
        <v>4.9151249999999997</v>
      </c>
      <c r="X591">
        <f t="shared" ca="1" si="171"/>
        <v>4.9074301460207002</v>
      </c>
    </row>
    <row r="592" spans="5:24" x14ac:dyDescent="0.25">
      <c r="E592">
        <v>590</v>
      </c>
      <c r="F592">
        <f t="shared" si="155"/>
        <v>79</v>
      </c>
      <c r="G592">
        <f t="shared" ca="1" si="156"/>
        <v>78.991</v>
      </c>
      <c r="H592" s="5">
        <f t="shared" ca="1" si="157"/>
        <v>9.0000000000003411E-3</v>
      </c>
      <c r="I592" s="5">
        <f t="shared" ca="1" si="158"/>
        <v>1.1392405063291571E-4</v>
      </c>
      <c r="J592" s="10">
        <f t="shared" si="159"/>
        <v>4.9166666666666661</v>
      </c>
      <c r="K592" s="12">
        <f t="shared" ca="1" si="160"/>
        <v>4.915916666666666</v>
      </c>
      <c r="L592" s="5">
        <f t="shared" ca="1" si="161"/>
        <v>1.5254237288136172E-4</v>
      </c>
      <c r="N592">
        <f t="shared" ca="1" si="162"/>
        <v>53.991</v>
      </c>
      <c r="O592">
        <f t="shared" ca="1" si="163"/>
        <v>1.0809865000000001E-3</v>
      </c>
      <c r="P592">
        <f t="shared" ca="1" si="164"/>
        <v>1.001349775</v>
      </c>
      <c r="Q592">
        <f t="shared" ca="1" si="165"/>
        <v>4.9214696024968632</v>
      </c>
      <c r="R592">
        <f t="shared" ca="1" si="166"/>
        <v>26247.837879983268</v>
      </c>
      <c r="S592">
        <f t="shared" ca="1" si="167"/>
        <v>2.3407547048891488</v>
      </c>
      <c r="T592">
        <f t="shared" ca="1" si="168"/>
        <v>1</v>
      </c>
      <c r="U592">
        <f t="shared" ca="1" si="169"/>
        <v>26251</v>
      </c>
      <c r="V592">
        <f t="shared" ca="1" si="170"/>
        <v>4.9220625</v>
      </c>
      <c r="X592">
        <f t="shared" ca="1" si="171"/>
        <v>4.9143482490920816</v>
      </c>
    </row>
    <row r="593" spans="5:24" x14ac:dyDescent="0.25">
      <c r="E593">
        <v>591</v>
      </c>
      <c r="F593">
        <f t="shared" si="155"/>
        <v>79.099999999999994</v>
      </c>
      <c r="G593">
        <f t="shared" ca="1" si="156"/>
        <v>79.10499999999999</v>
      </c>
      <c r="H593" s="5">
        <f t="shared" ca="1" si="157"/>
        <v>4.9999999999954525E-3</v>
      </c>
      <c r="I593" s="5">
        <f t="shared" ca="1" si="158"/>
        <v>6.3211125157970334E-5</v>
      </c>
      <c r="J593" s="10">
        <f t="shared" si="159"/>
        <v>4.9249999999999989</v>
      </c>
      <c r="K593" s="12">
        <f t="shared" ca="1" si="160"/>
        <v>4.9254166666666652</v>
      </c>
      <c r="L593" s="5">
        <f t="shared" ca="1" si="161"/>
        <v>8.4602368866251333E-5</v>
      </c>
      <c r="N593">
        <f t="shared" ca="1" si="162"/>
        <v>54.10499999999999</v>
      </c>
      <c r="O593">
        <f t="shared" ca="1" si="163"/>
        <v>1.0811575000000001E-3</v>
      </c>
      <c r="P593">
        <f t="shared" ca="1" si="164"/>
        <v>1.001352625</v>
      </c>
      <c r="Q593">
        <f t="shared" ca="1" si="165"/>
        <v>4.930996288484752</v>
      </c>
      <c r="R593">
        <f t="shared" ca="1" si="166"/>
        <v>26298.646871918678</v>
      </c>
      <c r="S593">
        <f t="shared" ca="1" si="167"/>
        <v>2.3249266606296435</v>
      </c>
      <c r="T593">
        <f t="shared" ca="1" si="168"/>
        <v>-2</v>
      </c>
      <c r="U593">
        <f t="shared" ca="1" si="169"/>
        <v>26299</v>
      </c>
      <c r="V593">
        <f t="shared" ca="1" si="170"/>
        <v>4.9310625000000003</v>
      </c>
      <c r="X593">
        <f t="shared" ca="1" si="171"/>
        <v>4.9233219341687953</v>
      </c>
    </row>
    <row r="594" spans="5:24" x14ac:dyDescent="0.25">
      <c r="E594">
        <v>592</v>
      </c>
      <c r="F594">
        <f t="shared" si="155"/>
        <v>79.2</v>
      </c>
      <c r="G594">
        <f t="shared" ca="1" si="156"/>
        <v>79.209000000000003</v>
      </c>
      <c r="H594" s="5">
        <f t="shared" ca="1" si="157"/>
        <v>9.0000000000003411E-3</v>
      </c>
      <c r="I594" s="5">
        <f t="shared" ca="1" si="158"/>
        <v>1.1363636363636793E-4</v>
      </c>
      <c r="J594" s="10">
        <f t="shared" si="159"/>
        <v>4.9333333333333327</v>
      </c>
      <c r="K594" s="12">
        <f t="shared" ca="1" si="160"/>
        <v>4.9340833333333327</v>
      </c>
      <c r="L594" s="5">
        <f t="shared" ca="1" si="161"/>
        <v>1.5202702702703282E-4</v>
      </c>
      <c r="N594">
        <f t="shared" ca="1" si="162"/>
        <v>54.209000000000003</v>
      </c>
      <c r="O594">
        <f t="shared" ca="1" si="163"/>
        <v>1.0813134999999999E-3</v>
      </c>
      <c r="P594">
        <f t="shared" ca="1" si="164"/>
        <v>1.001355225</v>
      </c>
      <c r="Q594">
        <f t="shared" ca="1" si="165"/>
        <v>4.9396873474956609</v>
      </c>
      <c r="R594">
        <f t="shared" ca="1" si="166"/>
        <v>26344.999186643523</v>
      </c>
      <c r="S594">
        <f t="shared" ca="1" si="167"/>
        <v>2.3104388312963131</v>
      </c>
      <c r="T594">
        <f t="shared" ca="1" si="168"/>
        <v>1</v>
      </c>
      <c r="U594">
        <f t="shared" ca="1" si="169"/>
        <v>26348</v>
      </c>
      <c r="V594">
        <f t="shared" ca="1" si="170"/>
        <v>4.9402499999999998</v>
      </c>
      <c r="X594">
        <f t="shared" ca="1" si="171"/>
        <v>4.9324840607887177</v>
      </c>
    </row>
    <row r="595" spans="5:24" x14ac:dyDescent="0.25">
      <c r="E595">
        <v>593</v>
      </c>
      <c r="F595">
        <f t="shared" si="155"/>
        <v>79.300000000000011</v>
      </c>
      <c r="G595">
        <f t="shared" ca="1" si="156"/>
        <v>79.310000000000016</v>
      </c>
      <c r="H595" s="5">
        <f t="shared" ca="1" si="157"/>
        <v>1.0000000000005116E-2</v>
      </c>
      <c r="I595" s="5">
        <f t="shared" ca="1" si="158"/>
        <v>1.2610340479199386E-4</v>
      </c>
      <c r="J595" s="10">
        <f t="shared" si="159"/>
        <v>4.9416666666666673</v>
      </c>
      <c r="K595" s="12">
        <f t="shared" ca="1" si="160"/>
        <v>4.9425000000000008</v>
      </c>
      <c r="L595" s="5">
        <f t="shared" ca="1" si="161"/>
        <v>1.686340640809707E-4</v>
      </c>
      <c r="N595">
        <f t="shared" ca="1" si="162"/>
        <v>54.310000000000016</v>
      </c>
      <c r="O595">
        <f t="shared" ca="1" si="163"/>
        <v>1.081465E-3</v>
      </c>
      <c r="P595">
        <f t="shared" ca="1" si="164"/>
        <v>1.0013577499999999</v>
      </c>
      <c r="Q595">
        <f t="shared" ca="1" si="165"/>
        <v>4.9481277460158966</v>
      </c>
      <c r="R595">
        <f t="shared" ca="1" si="166"/>
        <v>26390.014645418116</v>
      </c>
      <c r="S595">
        <f t="shared" ca="1" si="167"/>
        <v>2.296325172036529</v>
      </c>
      <c r="T595">
        <f t="shared" ca="1" si="168"/>
        <v>3</v>
      </c>
      <c r="U595">
        <f t="shared" ca="1" si="169"/>
        <v>26395</v>
      </c>
      <c r="V595">
        <f t="shared" ca="1" si="170"/>
        <v>4.9490625000000001</v>
      </c>
      <c r="X595">
        <f t="shared" ca="1" si="171"/>
        <v>4.9412720229108924</v>
      </c>
    </row>
    <row r="596" spans="5:24" x14ac:dyDescent="0.25">
      <c r="E596">
        <v>594</v>
      </c>
      <c r="F596">
        <f t="shared" si="155"/>
        <v>79.400000000000006</v>
      </c>
      <c r="G596">
        <f t="shared" ca="1" si="156"/>
        <v>79.405000000000001</v>
      </c>
      <c r="H596" s="5">
        <f t="shared" ca="1" si="157"/>
        <v>4.9999999999954525E-3</v>
      </c>
      <c r="I596" s="5">
        <f t="shared" ca="1" si="158"/>
        <v>6.2972292191378494E-5</v>
      </c>
      <c r="J596" s="10">
        <f t="shared" si="159"/>
        <v>4.95</v>
      </c>
      <c r="K596" s="12">
        <f t="shared" ca="1" si="160"/>
        <v>4.9504166666666665</v>
      </c>
      <c r="L596" s="5">
        <f t="shared" ca="1" si="161"/>
        <v>8.4175084175007621E-5</v>
      </c>
      <c r="N596">
        <f t="shared" ca="1" si="162"/>
        <v>54.405000000000001</v>
      </c>
      <c r="O596">
        <f t="shared" ca="1" si="163"/>
        <v>1.0816075E-3</v>
      </c>
      <c r="P596">
        <f t="shared" ca="1" si="164"/>
        <v>1.0013601249999999</v>
      </c>
      <c r="Q596">
        <f t="shared" ca="1" si="165"/>
        <v>4.9560667735140154</v>
      </c>
      <c r="R596">
        <f t="shared" ca="1" si="166"/>
        <v>26432.356125408081</v>
      </c>
      <c r="S596">
        <f t="shared" ca="1" si="167"/>
        <v>2.2830108422895297</v>
      </c>
      <c r="T596">
        <f t="shared" ca="1" si="168"/>
        <v>1</v>
      </c>
      <c r="U596">
        <f t="shared" ca="1" si="169"/>
        <v>26436</v>
      </c>
      <c r="V596">
        <f t="shared" ca="1" si="170"/>
        <v>4.9567500000000004</v>
      </c>
      <c r="X596">
        <f t="shared" ca="1" si="171"/>
        <v>4.948937219264649</v>
      </c>
    </row>
    <row r="597" spans="5:24" x14ac:dyDescent="0.25">
      <c r="E597">
        <v>595</v>
      </c>
      <c r="F597">
        <f t="shared" si="155"/>
        <v>79.5</v>
      </c>
      <c r="G597">
        <f t="shared" ca="1" si="156"/>
        <v>79.495000000000005</v>
      </c>
      <c r="H597" s="5">
        <f t="shared" ca="1" si="157"/>
        <v>4.9999999999954525E-3</v>
      </c>
      <c r="I597" s="5">
        <f t="shared" ca="1" si="158"/>
        <v>6.2893081760949095E-5</v>
      </c>
      <c r="J597" s="10">
        <f t="shared" si="159"/>
        <v>4.958333333333333</v>
      </c>
      <c r="K597" s="12">
        <f t="shared" ca="1" si="160"/>
        <v>4.9579166666666667</v>
      </c>
      <c r="L597" s="5">
        <f t="shared" ca="1" si="161"/>
        <v>8.4033613445301731E-5</v>
      </c>
      <c r="N597">
        <f t="shared" ca="1" si="162"/>
        <v>54.495000000000005</v>
      </c>
      <c r="O597">
        <f t="shared" ca="1" si="163"/>
        <v>1.0817425000000001E-3</v>
      </c>
      <c r="P597">
        <f t="shared" ca="1" si="164"/>
        <v>1.001362375</v>
      </c>
      <c r="Q597">
        <f t="shared" ca="1" si="165"/>
        <v>4.9635879921464783</v>
      </c>
      <c r="R597">
        <f t="shared" ca="1" si="166"/>
        <v>26472.469291447884</v>
      </c>
      <c r="S597">
        <f t="shared" ca="1" si="167"/>
        <v>2.2703625010258244</v>
      </c>
      <c r="T597">
        <f t="shared" ca="1" si="168"/>
        <v>-1</v>
      </c>
      <c r="U597">
        <f t="shared" ca="1" si="169"/>
        <v>26474</v>
      </c>
      <c r="V597">
        <f t="shared" ca="1" si="170"/>
        <v>4.9638749999999998</v>
      </c>
      <c r="X597">
        <f t="shared" ca="1" si="171"/>
        <v>4.9560412707737287</v>
      </c>
    </row>
    <row r="598" spans="5:24" x14ac:dyDescent="0.25">
      <c r="E598">
        <v>596</v>
      </c>
      <c r="F598">
        <f t="shared" si="155"/>
        <v>79.599999999999994</v>
      </c>
      <c r="G598">
        <f t="shared" ca="1" si="156"/>
        <v>79.60499999999999</v>
      </c>
      <c r="H598" s="5">
        <f t="shared" ca="1" si="157"/>
        <v>4.9999999999954525E-3</v>
      </c>
      <c r="I598" s="5">
        <f t="shared" ca="1" si="158"/>
        <v>6.2814070351701663E-5</v>
      </c>
      <c r="J598" s="10">
        <f t="shared" si="159"/>
        <v>4.9666666666666659</v>
      </c>
      <c r="K598" s="12">
        <f t="shared" ca="1" si="160"/>
        <v>4.9670833333333322</v>
      </c>
      <c r="L598" s="5">
        <f t="shared" ca="1" si="161"/>
        <v>8.3892617449588138E-5</v>
      </c>
      <c r="N598">
        <f t="shared" ca="1" si="162"/>
        <v>54.60499999999999</v>
      </c>
      <c r="O598">
        <f t="shared" ca="1" si="163"/>
        <v>1.0819075E-3</v>
      </c>
      <c r="P598">
        <f t="shared" ca="1" si="164"/>
        <v>1.001365125</v>
      </c>
      <c r="Q598">
        <f t="shared" ca="1" si="165"/>
        <v>4.9727806385297733</v>
      </c>
      <c r="R598">
        <f t="shared" ca="1" si="166"/>
        <v>26521.496738825455</v>
      </c>
      <c r="S598">
        <f t="shared" ca="1" si="167"/>
        <v>2.2548577575085851</v>
      </c>
      <c r="T598">
        <f t="shared" ca="1" si="168"/>
        <v>-1</v>
      </c>
      <c r="U598">
        <f t="shared" ca="1" si="169"/>
        <v>26523</v>
      </c>
      <c r="V598">
        <f t="shared" ca="1" si="170"/>
        <v>4.9730625000000002</v>
      </c>
      <c r="X598">
        <f t="shared" ca="1" si="171"/>
        <v>4.9652024704774904</v>
      </c>
    </row>
    <row r="599" spans="5:24" x14ac:dyDescent="0.25">
      <c r="E599">
        <v>597</v>
      </c>
      <c r="F599">
        <f t="shared" si="155"/>
        <v>79.7</v>
      </c>
      <c r="G599">
        <f t="shared" ca="1" si="156"/>
        <v>79.706000000000003</v>
      </c>
      <c r="H599" s="5">
        <f t="shared" ca="1" si="157"/>
        <v>6.0000000000002274E-3</v>
      </c>
      <c r="I599" s="5">
        <f t="shared" ca="1" si="158"/>
        <v>7.5282308657468347E-5</v>
      </c>
      <c r="J599" s="10">
        <f t="shared" si="159"/>
        <v>4.9749999999999996</v>
      </c>
      <c r="K599" s="12">
        <f t="shared" ca="1" si="160"/>
        <v>4.9754999999999994</v>
      </c>
      <c r="L599" s="5">
        <f t="shared" ca="1" si="161"/>
        <v>1.0050251256275837E-4</v>
      </c>
      <c r="N599">
        <f t="shared" ca="1" si="162"/>
        <v>54.706000000000003</v>
      </c>
      <c r="O599">
        <f t="shared" ca="1" si="163"/>
        <v>1.082059E-3</v>
      </c>
      <c r="P599">
        <f t="shared" ca="1" si="164"/>
        <v>1.0013676499999999</v>
      </c>
      <c r="Q599">
        <f t="shared" ca="1" si="165"/>
        <v>4.9812212036970083</v>
      </c>
      <c r="R599">
        <f t="shared" ca="1" si="166"/>
        <v>26566.513086384042</v>
      </c>
      <c r="S599">
        <f t="shared" ca="1" si="167"/>
        <v>2.2405776286659198</v>
      </c>
      <c r="T599">
        <f t="shared" ca="1" si="168"/>
        <v>3</v>
      </c>
      <c r="U599">
        <f t="shared" ca="1" si="169"/>
        <v>26572</v>
      </c>
      <c r="V599">
        <f t="shared" ca="1" si="170"/>
        <v>4.9822500000000005</v>
      </c>
      <c r="X599">
        <f t="shared" ca="1" si="171"/>
        <v>4.9743647510482303</v>
      </c>
    </row>
    <row r="600" spans="5:24" x14ac:dyDescent="0.25">
      <c r="E600">
        <v>598</v>
      </c>
      <c r="F600">
        <f t="shared" si="155"/>
        <v>79.800000000000011</v>
      </c>
      <c r="G600">
        <f t="shared" ca="1" si="156"/>
        <v>79.800000000000011</v>
      </c>
      <c r="H600" s="5">
        <f t="shared" ca="1" si="157"/>
        <v>0</v>
      </c>
      <c r="I600" s="5">
        <f t="shared" ca="1" si="158"/>
        <v>0</v>
      </c>
      <c r="J600" s="10">
        <f t="shared" si="159"/>
        <v>4.9833333333333334</v>
      </c>
      <c r="K600" s="12">
        <f t="shared" ca="1" si="160"/>
        <v>4.9833333333333334</v>
      </c>
      <c r="L600" s="5">
        <f t="shared" ca="1" si="161"/>
        <v>0</v>
      </c>
      <c r="N600">
        <f t="shared" ca="1" si="162"/>
        <v>54.800000000000011</v>
      </c>
      <c r="O600">
        <f t="shared" ca="1" si="163"/>
        <v>1.0822E-3</v>
      </c>
      <c r="P600">
        <f t="shared" ca="1" si="164"/>
        <v>1.0013700000000001</v>
      </c>
      <c r="Q600">
        <f t="shared" ca="1" si="165"/>
        <v>4.9890768173860005</v>
      </c>
      <c r="R600">
        <f t="shared" ca="1" si="166"/>
        <v>26608.409692725334</v>
      </c>
      <c r="S600">
        <f t="shared" ca="1" si="167"/>
        <v>2.2272496449269017</v>
      </c>
      <c r="T600">
        <f t="shared" ca="1" si="168"/>
        <v>1</v>
      </c>
      <c r="U600">
        <f t="shared" ca="1" si="169"/>
        <v>26612</v>
      </c>
      <c r="V600">
        <f t="shared" ca="1" si="170"/>
        <v>4.9897499999999999</v>
      </c>
      <c r="X600">
        <f t="shared" ca="1" si="171"/>
        <v>4.9818426755345175</v>
      </c>
    </row>
    <row r="601" spans="5:24" x14ac:dyDescent="0.25">
      <c r="E601">
        <v>599</v>
      </c>
      <c r="F601">
        <f t="shared" si="155"/>
        <v>79.900000000000006</v>
      </c>
      <c r="G601">
        <f t="shared" ca="1" si="156"/>
        <v>79.906000000000006</v>
      </c>
      <c r="H601" s="5">
        <f t="shared" ca="1" si="157"/>
        <v>6.0000000000002274E-3</v>
      </c>
      <c r="I601" s="5">
        <f t="shared" ca="1" si="158"/>
        <v>7.5093867334170557E-5</v>
      </c>
      <c r="J601" s="10">
        <f t="shared" si="159"/>
        <v>4.9916666666666663</v>
      </c>
      <c r="K601" s="12">
        <f t="shared" ca="1" si="160"/>
        <v>4.9921666666666669</v>
      </c>
      <c r="L601" s="5">
        <f t="shared" ca="1" si="161"/>
        <v>1.0016694490830273E-4</v>
      </c>
      <c r="N601">
        <f t="shared" ca="1" si="162"/>
        <v>54.906000000000006</v>
      </c>
      <c r="O601">
        <f t="shared" ca="1" si="163"/>
        <v>1.082359E-3</v>
      </c>
      <c r="P601">
        <f t="shared" ca="1" si="164"/>
        <v>1.00137265</v>
      </c>
      <c r="Q601">
        <f t="shared" ca="1" si="165"/>
        <v>4.9979353195415852</v>
      </c>
      <c r="R601">
        <f t="shared" ca="1" si="166"/>
        <v>26655.65503755512</v>
      </c>
      <c r="S601">
        <f t="shared" ca="1" si="167"/>
        <v>2.2121770423917715</v>
      </c>
      <c r="T601">
        <f t="shared" ca="1" si="168"/>
        <v>0</v>
      </c>
      <c r="U601">
        <f t="shared" ca="1" si="169"/>
        <v>26658</v>
      </c>
      <c r="V601">
        <f t="shared" ca="1" si="170"/>
        <v>4.9983750000000002</v>
      </c>
      <c r="X601">
        <f t="shared" ca="1" si="171"/>
        <v>4.9904425100885277</v>
      </c>
    </row>
    <row r="602" spans="5:24" x14ac:dyDescent="0.25">
      <c r="E602">
        <v>600</v>
      </c>
      <c r="F602">
        <f t="shared" si="155"/>
        <v>80</v>
      </c>
      <c r="G602">
        <f t="shared" ca="1" si="156"/>
        <v>79.991</v>
      </c>
      <c r="H602" s="5">
        <f t="shared" ca="1" si="157"/>
        <v>9.0000000000003411E-3</v>
      </c>
      <c r="I602" s="5">
        <f t="shared" ca="1" si="158"/>
        <v>1.1250000000000427E-4</v>
      </c>
      <c r="J602" s="10">
        <f t="shared" si="159"/>
        <v>4.9999999999999991</v>
      </c>
      <c r="K602" s="12">
        <f t="shared" ca="1" si="160"/>
        <v>4.9992499999999991</v>
      </c>
      <c r="L602" s="5">
        <f t="shared" ca="1" si="161"/>
        <v>1.5000000000000571E-4</v>
      </c>
      <c r="N602">
        <f t="shared" ca="1" si="162"/>
        <v>54.991</v>
      </c>
      <c r="O602">
        <f t="shared" ca="1" si="163"/>
        <v>1.0824865000000001E-3</v>
      </c>
      <c r="P602">
        <f t="shared" ca="1" si="164"/>
        <v>1.0013747749999999</v>
      </c>
      <c r="Q602">
        <f t="shared" ca="1" si="165"/>
        <v>5.0050388692433714</v>
      </c>
      <c r="R602">
        <f t="shared" ca="1" si="166"/>
        <v>26693.540635964648</v>
      </c>
      <c r="S602">
        <f t="shared" ca="1" si="167"/>
        <v>2.2000576584634035</v>
      </c>
      <c r="T602">
        <f t="shared" ca="1" si="168"/>
        <v>-1</v>
      </c>
      <c r="U602">
        <f t="shared" ca="1" si="169"/>
        <v>26695</v>
      </c>
      <c r="V602">
        <f t="shared" ca="1" si="170"/>
        <v>5.0053125000000005</v>
      </c>
      <c r="X602">
        <f t="shared" ca="1" si="171"/>
        <v>4.9973597682246398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8DF46-3D37-4C8C-845B-A0FBD87A3379}">
  <dimension ref="A1:Z602"/>
  <sheetViews>
    <sheetView tabSelected="1" zoomScale="87" zoomScaleNormal="85" workbookViewId="0">
      <pane ySplit="1" topLeftCell="A2" activePane="bottomLeft" state="frozen"/>
      <selection pane="bottomLeft" activeCell="A45" sqref="A45"/>
    </sheetView>
  </sheetViews>
  <sheetFormatPr defaultRowHeight="15" x14ac:dyDescent="0.25"/>
  <cols>
    <col min="1" max="1" width="33.140625" customWidth="1"/>
    <col min="2" max="2" width="18" customWidth="1"/>
    <col min="3" max="3" width="21.5703125" customWidth="1"/>
    <col min="4" max="4" width="10.85546875" customWidth="1"/>
    <col min="5" max="5" width="10.85546875" style="20" customWidth="1"/>
    <col min="7" max="7" width="9.140625" style="14"/>
    <col min="9" max="9" width="11.7109375" style="11" customWidth="1"/>
    <col min="10" max="10" width="11.85546875" customWidth="1"/>
    <col min="11" max="11" width="11.5703125" customWidth="1"/>
    <col min="12" max="12" width="11" customWidth="1"/>
    <col min="13" max="13" width="9.140625" style="11"/>
    <col min="14" max="14" width="13.5703125" customWidth="1"/>
    <col min="16" max="16" width="13.140625" customWidth="1"/>
    <col min="17" max="17" width="30.42578125" customWidth="1"/>
    <col min="22" max="22" width="12.28515625" bestFit="1" customWidth="1"/>
    <col min="24" max="24" width="24.5703125" bestFit="1" customWidth="1"/>
    <col min="26" max="26" width="12.28515625" bestFit="1" customWidth="1"/>
  </cols>
  <sheetData>
    <row r="1" spans="1:26" ht="16.5" thickTop="1" thickBot="1" x14ac:dyDescent="0.3">
      <c r="H1" s="23" t="s">
        <v>54</v>
      </c>
      <c r="I1" s="23" t="s">
        <v>59</v>
      </c>
      <c r="J1" s="23" t="s">
        <v>106</v>
      </c>
      <c r="K1" s="23" t="s">
        <v>107</v>
      </c>
      <c r="L1" s="23" t="s">
        <v>112</v>
      </c>
      <c r="M1" s="23" t="s">
        <v>111</v>
      </c>
      <c r="N1" s="23" t="s">
        <v>113</v>
      </c>
      <c r="O1" s="23" t="s">
        <v>8</v>
      </c>
      <c r="P1" s="23" t="s">
        <v>122</v>
      </c>
      <c r="Q1" s="23" t="s">
        <v>123</v>
      </c>
      <c r="R1" s="23" t="s">
        <v>124</v>
      </c>
      <c r="S1" s="23" t="s">
        <v>125</v>
      </c>
      <c r="T1" s="23"/>
      <c r="U1" s="23"/>
      <c r="V1" s="23"/>
    </row>
    <row r="2" spans="1:26" ht="15.75" thickTop="1" x14ac:dyDescent="0.25">
      <c r="A2" s="25" t="s">
        <v>79</v>
      </c>
      <c r="B2" s="25"/>
      <c r="C2" s="25"/>
      <c r="D2" s="25"/>
      <c r="E2" s="25"/>
      <c r="H2">
        <v>20</v>
      </c>
      <c r="I2">
        <f>0.015</f>
        <v>1.4999999999999999E-2</v>
      </c>
      <c r="J2" s="10">
        <f>ROUND(H2*0.00000575 -0.00034,6)</f>
        <v>-2.2499999999999999E-4</v>
      </c>
      <c r="K2" s="17">
        <f>ROUND(H2*0.000005-0.0001,6)</f>
        <v>0</v>
      </c>
      <c r="L2" s="10">
        <f>ROUND(K2+($C$24*(H2-25)),6)</f>
        <v>-1.5E-3</v>
      </c>
      <c r="M2" s="11">
        <f>(I2-J2)/(1-L2)</f>
        <v>1.5202196704942585E-2</v>
      </c>
      <c r="N2" s="5">
        <f>ABS(I2-M2)/I2</f>
        <v>1.347978032950568E-2</v>
      </c>
      <c r="O2">
        <f>ROUND((M2*(2^($C$12-1)))/$C$44,4)</f>
        <v>81.105199999999996</v>
      </c>
      <c r="P2">
        <f ca="1">ROUND(O2+$C$47+$C$49+RANDBETWEEN($B$45,$D$45),0)</f>
        <v>85</v>
      </c>
      <c r="Q2" t="str">
        <f ca="1">_xlfn.BASE(P2,2,16)</f>
        <v>0000000001010101</v>
      </c>
      <c r="R2">
        <f ca="1">($C$16/2^($C$12-1)) * P2</f>
        <v>1.59375E-2</v>
      </c>
      <c r="S2">
        <f ca="1">(R2+5/3)/(1/12)</f>
        <v>20.19125</v>
      </c>
      <c r="T2" s="3">
        <f ca="1">ABS(H2-S2)/H2</f>
        <v>9.5625000000000068E-3</v>
      </c>
      <c r="V2" s="5">
        <f ca="1">MAX(T:T)</f>
        <v>3.458745874587453E-2</v>
      </c>
      <c r="W2">
        <f>(I2+5/3)/(1/12)</f>
        <v>20.18</v>
      </c>
      <c r="X2" s="5">
        <f>ABS(H2-W2)/H2</f>
        <v>8.9999999999999854E-3</v>
      </c>
      <c r="Z2" s="3">
        <f>MAX(X:X)</f>
        <v>3.5303863704393014E-2</v>
      </c>
    </row>
    <row r="3" spans="1:26" x14ac:dyDescent="0.25">
      <c r="A3" t="s">
        <v>80</v>
      </c>
      <c r="B3" s="7">
        <v>0.05</v>
      </c>
      <c r="H3">
        <v>20.100000000000001</v>
      </c>
      <c r="I3">
        <v>2.31866071851103E-2</v>
      </c>
      <c r="J3" s="10">
        <f t="shared" ref="J3:J66" si="0">ROUND(H3*0.00000575 -0.00034,6)</f>
        <v>-2.24E-4</v>
      </c>
      <c r="K3" s="17">
        <f t="shared" ref="K3:K66" si="1">ROUND(H3*0.000005-0.0001,6)</f>
        <v>9.9999999999999995E-7</v>
      </c>
      <c r="L3" s="10">
        <f t="shared" ref="L3:L66" si="2">ROUND(K3+($C$24*(H3-25)),6)</f>
        <v>-1.469E-3</v>
      </c>
      <c r="M3" s="11">
        <f>(I3-J3)/(1-L3)</f>
        <v>2.3376267448228853E-2</v>
      </c>
      <c r="N3" s="5">
        <f t="shared" ref="N3:N66" si="3">ABS(I3-M3)/I3</f>
        <v>8.1797333091641906E-3</v>
      </c>
      <c r="O3">
        <f t="shared" ref="O3:O66" si="4">ROUND((M3*(2^($C$12-1)))/$C$44,4)</f>
        <v>124.7146</v>
      </c>
      <c r="P3">
        <f t="shared" ref="P3:P66" ca="1" si="5">ROUND(O3+$C$47+$C$49+RANDBETWEEN($B$45,$D$45),0)</f>
        <v>124</v>
      </c>
      <c r="Q3" t="str">
        <f t="shared" ref="Q3:Q66" ca="1" si="6">_xlfn.BASE(P3,2,16)</f>
        <v>0000000001111100</v>
      </c>
      <c r="R3">
        <f t="shared" ref="R3:R66" ca="1" si="7">($C$16/2^($C$12-1)) * P3</f>
        <v>2.325E-2</v>
      </c>
      <c r="S3">
        <f t="shared" ref="S3:S66" ca="1" si="8">(R3+5/3)/(1/12)</f>
        <v>20.279000000000003</v>
      </c>
      <c r="T3" s="3">
        <f ca="1">ABS(H3-S3)/H3</f>
        <v>8.9054726368160211E-3</v>
      </c>
      <c r="V3" s="5">
        <f ca="1">MIN(T:T)</f>
        <v>6.4239828693792576E-5</v>
      </c>
      <c r="W3">
        <f t="shared" ref="W3:W66" si="9">(I3+5/3)/(1/12)</f>
        <v>20.278239286221325</v>
      </c>
      <c r="X3" s="5">
        <f t="shared" ref="X3:X66" si="10">ABS(H3-W3)/H3</f>
        <v>8.8676261801653514E-3</v>
      </c>
      <c r="Z3" s="3">
        <f>MIN(X:X)</f>
        <v>2.6324316647536446E-5</v>
      </c>
    </row>
    <row r="4" spans="1:26" x14ac:dyDescent="0.25">
      <c r="H4">
        <v>20.2</v>
      </c>
      <c r="I4">
        <v>2.8898879581931339E-2</v>
      </c>
      <c r="J4" s="10">
        <f t="shared" si="0"/>
        <v>-2.24E-4</v>
      </c>
      <c r="K4" s="17">
        <f t="shared" si="1"/>
        <v>9.9999999999999995E-7</v>
      </c>
      <c r="L4" s="10">
        <f t="shared" si="2"/>
        <v>-1.439E-3</v>
      </c>
      <c r="M4" s="11">
        <f t="shared" ref="M4:M67" si="11">(I4-J4)/(1-L4)</f>
        <v>2.9081031976916555E-2</v>
      </c>
      <c r="N4" s="5">
        <f t="shared" si="3"/>
        <v>6.3030954009408923E-3</v>
      </c>
      <c r="O4">
        <f t="shared" si="4"/>
        <v>155.15010000000001</v>
      </c>
      <c r="P4">
        <f t="shared" ca="1" si="5"/>
        <v>154</v>
      </c>
      <c r="Q4" t="str">
        <f t="shared" ca="1" si="6"/>
        <v>0000000010011010</v>
      </c>
      <c r="R4">
        <f t="shared" ca="1" si="7"/>
        <v>2.8875000000000001E-2</v>
      </c>
      <c r="S4">
        <f t="shared" ca="1" si="8"/>
        <v>20.346500000000002</v>
      </c>
      <c r="T4" s="3">
        <f t="shared" ref="T4:T67" ca="1" si="12">ABS(H4-S4)/H4</f>
        <v>7.2524752475249107E-3</v>
      </c>
      <c r="W4">
        <f t="shared" si="9"/>
        <v>20.346786554983179</v>
      </c>
      <c r="X4" s="5">
        <f t="shared" si="10"/>
        <v>7.2666611377811855E-3</v>
      </c>
    </row>
    <row r="5" spans="1:26" x14ac:dyDescent="0.25">
      <c r="H5">
        <v>20.3</v>
      </c>
      <c r="I5">
        <v>3.4639619519478804E-2</v>
      </c>
      <c r="J5" s="10">
        <f t="shared" si="0"/>
        <v>-2.23E-4</v>
      </c>
      <c r="K5" s="17">
        <f t="shared" si="1"/>
        <v>1.9999999999999999E-6</v>
      </c>
      <c r="L5" s="10">
        <f>ROUND(K5+($C$24*(H5-25)),6)</f>
        <v>-1.408E-3</v>
      </c>
      <c r="M5" s="11">
        <f t="shared" si="11"/>
        <v>3.4813601967907989E-2</v>
      </c>
      <c r="N5" s="5">
        <f t="shared" si="3"/>
        <v>5.0226431711050019E-3</v>
      </c>
      <c r="O5">
        <f t="shared" si="4"/>
        <v>185.73390000000001</v>
      </c>
      <c r="P5">
        <f t="shared" ca="1" si="5"/>
        <v>183</v>
      </c>
      <c r="Q5" t="str">
        <f t="shared" ca="1" si="6"/>
        <v>0000000010110111</v>
      </c>
      <c r="R5">
        <f t="shared" ca="1" si="7"/>
        <v>3.4312500000000003E-2</v>
      </c>
      <c r="S5">
        <f t="shared" ca="1" si="8"/>
        <v>20.411750000000001</v>
      </c>
      <c r="T5" s="3">
        <f t="shared" ca="1" si="12"/>
        <v>5.5049261083744173E-3</v>
      </c>
      <c r="W5">
        <f t="shared" si="9"/>
        <v>20.415675434233748</v>
      </c>
      <c r="X5" s="5">
        <f t="shared" si="10"/>
        <v>5.6982972528939486E-3</v>
      </c>
    </row>
    <row r="6" spans="1:26" x14ac:dyDescent="0.25">
      <c r="H6">
        <v>20.399999999999999</v>
      </c>
      <c r="I6">
        <v>4.2349349368335294E-2</v>
      </c>
      <c r="J6" s="10">
        <f t="shared" si="0"/>
        <v>-2.23E-4</v>
      </c>
      <c r="K6" s="17">
        <f t="shared" si="1"/>
        <v>1.9999999999999999E-6</v>
      </c>
      <c r="L6" s="10">
        <f t="shared" si="2"/>
        <v>-1.3780000000000001E-3</v>
      </c>
      <c r="M6" s="11">
        <f t="shared" si="11"/>
        <v>4.2513765399614621E-2</v>
      </c>
      <c r="N6" s="5">
        <f t="shared" si="3"/>
        <v>3.8823744338858995E-3</v>
      </c>
      <c r="O6">
        <f t="shared" si="4"/>
        <v>226.815</v>
      </c>
      <c r="P6">
        <f t="shared" ca="1" si="5"/>
        <v>229</v>
      </c>
      <c r="Q6" t="str">
        <f t="shared" ca="1" si="6"/>
        <v>0000000011100101</v>
      </c>
      <c r="R6">
        <f t="shared" ca="1" si="7"/>
        <v>4.2937500000000003E-2</v>
      </c>
      <c r="S6">
        <f t="shared" ca="1" si="8"/>
        <v>20.515250000000002</v>
      </c>
      <c r="T6" s="3">
        <f t="shared" ca="1" si="12"/>
        <v>5.6495098039217248E-3</v>
      </c>
      <c r="W6">
        <f t="shared" si="9"/>
        <v>20.508192192420026</v>
      </c>
      <c r="X6" s="5">
        <f t="shared" si="10"/>
        <v>5.3035388441189865E-3</v>
      </c>
    </row>
    <row r="7" spans="1:26" x14ac:dyDescent="0.25">
      <c r="H7">
        <v>20.5</v>
      </c>
      <c r="I7">
        <v>4.8145410585364694E-2</v>
      </c>
      <c r="J7" s="10">
        <f t="shared" si="0"/>
        <v>-2.22E-4</v>
      </c>
      <c r="K7" s="17">
        <f t="shared" si="1"/>
        <v>3.0000000000000001E-6</v>
      </c>
      <c r="L7" s="10">
        <f t="shared" si="2"/>
        <v>-1.3470000000000001E-3</v>
      </c>
      <c r="M7" s="11">
        <f t="shared" si="11"/>
        <v>4.8302347323519915E-2</v>
      </c>
      <c r="N7" s="5">
        <f t="shared" si="3"/>
        <v>3.2596406645439783E-3</v>
      </c>
      <c r="O7">
        <f t="shared" si="4"/>
        <v>257.6977</v>
      </c>
      <c r="P7">
        <f t="shared" ca="1" si="5"/>
        <v>258</v>
      </c>
      <c r="Q7" t="str">
        <f t="shared" ca="1" si="6"/>
        <v>0000000100000010</v>
      </c>
      <c r="R7">
        <f t="shared" ca="1" si="7"/>
        <v>4.8375000000000001E-2</v>
      </c>
      <c r="S7">
        <f t="shared" ca="1" si="8"/>
        <v>20.580500000000004</v>
      </c>
      <c r="T7" s="3">
        <f t="shared" ca="1" si="12"/>
        <v>3.9268292682928894E-3</v>
      </c>
      <c r="W7">
        <f t="shared" si="9"/>
        <v>20.57774492702438</v>
      </c>
      <c r="X7" s="5">
        <f t="shared" si="10"/>
        <v>3.7924354646039007E-3</v>
      </c>
    </row>
    <row r="8" spans="1:26" x14ac:dyDescent="0.25">
      <c r="A8" s="26" t="s">
        <v>81</v>
      </c>
      <c r="B8" s="25"/>
      <c r="C8" s="25"/>
      <c r="D8" s="25"/>
      <c r="E8" s="25"/>
      <c r="H8">
        <v>20.6</v>
      </c>
      <c r="I8">
        <v>5.4938581576707342E-2</v>
      </c>
      <c r="J8" s="10">
        <f t="shared" si="0"/>
        <v>-2.22E-4</v>
      </c>
      <c r="K8" s="17">
        <f t="shared" si="1"/>
        <v>3.0000000000000001E-6</v>
      </c>
      <c r="L8" s="10">
        <f t="shared" si="2"/>
        <v>-1.317E-3</v>
      </c>
      <c r="M8" s="11">
        <f t="shared" si="11"/>
        <v>5.5088030640353995E-2</v>
      </c>
      <c r="N8" s="5">
        <f t="shared" si="3"/>
        <v>2.7202934505687385E-3</v>
      </c>
      <c r="O8">
        <f t="shared" si="4"/>
        <v>293.8999</v>
      </c>
      <c r="P8">
        <f t="shared" ca="1" si="5"/>
        <v>295</v>
      </c>
      <c r="Q8" t="str">
        <f t="shared" ca="1" si="6"/>
        <v>0000000100100111</v>
      </c>
      <c r="R8">
        <f t="shared" ca="1" si="7"/>
        <v>5.5312500000000001E-2</v>
      </c>
      <c r="S8">
        <f t="shared" ca="1" si="8"/>
        <v>20.663750000000004</v>
      </c>
      <c r="T8" s="3">
        <f t="shared" ca="1" si="12"/>
        <v>3.0946601941748745E-3</v>
      </c>
      <c r="W8">
        <f t="shared" si="9"/>
        <v>20.659262978920491</v>
      </c>
      <c r="X8" s="5">
        <f t="shared" si="10"/>
        <v>2.8768436369169866E-3</v>
      </c>
    </row>
    <row r="9" spans="1:26" x14ac:dyDescent="0.25">
      <c r="B9" t="s">
        <v>82</v>
      </c>
      <c r="C9" t="s">
        <v>83</v>
      </c>
      <c r="D9" t="s">
        <v>84</v>
      </c>
      <c r="E9" s="20" t="s">
        <v>90</v>
      </c>
      <c r="H9">
        <v>20.7</v>
      </c>
      <c r="I9">
        <v>6.1758593009178894E-2</v>
      </c>
      <c r="J9" s="10">
        <f t="shared" si="0"/>
        <v>-2.2100000000000001E-4</v>
      </c>
      <c r="K9" s="17">
        <f t="shared" si="1"/>
        <v>3.9999999999999998E-6</v>
      </c>
      <c r="L9" s="10">
        <f t="shared" si="2"/>
        <v>-1.286E-3</v>
      </c>
      <c r="M9" s="11">
        <f t="shared" si="11"/>
        <v>6.1899989622524333E-2</v>
      </c>
      <c r="N9" s="5">
        <f t="shared" si="3"/>
        <v>2.2895050948525297E-3</v>
      </c>
      <c r="O9">
        <f t="shared" si="4"/>
        <v>330.24239999999998</v>
      </c>
      <c r="P9">
        <f t="shared" ca="1" si="5"/>
        <v>334</v>
      </c>
      <c r="Q9" t="str">
        <f t="shared" ca="1" si="6"/>
        <v>0000000101001110</v>
      </c>
      <c r="R9">
        <f t="shared" ca="1" si="7"/>
        <v>6.2625E-2</v>
      </c>
      <c r="S9">
        <f t="shared" ca="1" si="8"/>
        <v>20.7515</v>
      </c>
      <c r="T9" s="3">
        <f t="shared" ca="1" si="12"/>
        <v>2.4879227053140468E-3</v>
      </c>
      <c r="W9">
        <f t="shared" si="9"/>
        <v>20.74110311611015</v>
      </c>
      <c r="X9" s="5">
        <f t="shared" si="10"/>
        <v>1.9856577830990579E-3</v>
      </c>
    </row>
    <row r="10" spans="1:26" x14ac:dyDescent="0.25">
      <c r="A10" t="s">
        <v>12</v>
      </c>
      <c r="B10">
        <v>5.2</v>
      </c>
      <c r="C10">
        <v>5.5</v>
      </c>
      <c r="D10">
        <v>5.5</v>
      </c>
      <c r="E10" s="20" t="s">
        <v>65</v>
      </c>
      <c r="H10">
        <v>20.8</v>
      </c>
      <c r="I10">
        <v>6.9572468714446042E-2</v>
      </c>
      <c r="J10" s="10">
        <f t="shared" si="0"/>
        <v>-2.2000000000000001E-4</v>
      </c>
      <c r="K10" s="17">
        <f t="shared" si="1"/>
        <v>3.9999999999999998E-6</v>
      </c>
      <c r="L10" s="10">
        <f t="shared" si="2"/>
        <v>-1.256E-3</v>
      </c>
      <c r="M10" s="11">
        <f t="shared" si="11"/>
        <v>6.9704919335760326E-2</v>
      </c>
      <c r="N10" s="5">
        <f t="shared" si="3"/>
        <v>1.9037792356904233E-3</v>
      </c>
      <c r="O10">
        <f>ROUND((M10*(2^($C$12-1)))/$C$44,4)</f>
        <v>371.88240000000002</v>
      </c>
      <c r="P10">
        <f t="shared" ca="1" si="5"/>
        <v>373</v>
      </c>
      <c r="Q10" t="str">
        <f t="shared" ca="1" si="6"/>
        <v>0000000101110101</v>
      </c>
      <c r="R10">
        <f t="shared" ca="1" si="7"/>
        <v>6.99375E-2</v>
      </c>
      <c r="S10">
        <f t="shared" ca="1" si="8"/>
        <v>20.839250000000003</v>
      </c>
      <c r="T10" s="3">
        <f t="shared" ca="1" si="12"/>
        <v>1.8870192307693591E-3</v>
      </c>
      <c r="W10">
        <f t="shared" si="9"/>
        <v>20.834869624573354</v>
      </c>
      <c r="X10" s="5">
        <f t="shared" si="10"/>
        <v>1.6764242583343037E-3</v>
      </c>
    </row>
    <row r="11" spans="1:26" x14ac:dyDescent="0.25">
      <c r="A11" t="s">
        <v>13</v>
      </c>
      <c r="B11">
        <v>-0.3</v>
      </c>
      <c r="C11">
        <v>0</v>
      </c>
      <c r="D11">
        <v>0.3</v>
      </c>
      <c r="E11" s="20" t="s">
        <v>65</v>
      </c>
      <c r="H11">
        <v>20.9</v>
      </c>
      <c r="I11">
        <v>7.5479103474706419E-2</v>
      </c>
      <c r="J11" s="10">
        <f t="shared" si="0"/>
        <v>-2.2000000000000001E-4</v>
      </c>
      <c r="K11" s="17">
        <f t="shared" si="1"/>
        <v>5.0000000000000004E-6</v>
      </c>
      <c r="L11" s="10">
        <f t="shared" si="2"/>
        <v>-1.225E-3</v>
      </c>
      <c r="M11" s="11">
        <f t="shared" si="11"/>
        <v>7.5606485529932252E-2</v>
      </c>
      <c r="N11" s="5">
        <f t="shared" si="3"/>
        <v>1.6876466380992422E-3</v>
      </c>
      <c r="O11">
        <f t="shared" si="4"/>
        <v>403.36790000000002</v>
      </c>
      <c r="P11">
        <f t="shared" ca="1" si="5"/>
        <v>402</v>
      </c>
      <c r="Q11" t="str">
        <f t="shared" ca="1" si="6"/>
        <v>0000000110010010</v>
      </c>
      <c r="R11">
        <f t="shared" ca="1" si="7"/>
        <v>7.5374999999999998E-2</v>
      </c>
      <c r="S11">
        <f t="shared" ca="1" si="8"/>
        <v>20.904500000000002</v>
      </c>
      <c r="T11" s="3">
        <f t="shared" ca="1" si="12"/>
        <v>2.1531100478486715E-4</v>
      </c>
      <c r="W11">
        <f t="shared" si="9"/>
        <v>20.90574924169648</v>
      </c>
      <c r="X11" s="5">
        <f t="shared" si="10"/>
        <v>2.7508333475986975E-4</v>
      </c>
    </row>
    <row r="12" spans="1:26" x14ac:dyDescent="0.25">
      <c r="A12" t="s">
        <v>23</v>
      </c>
      <c r="C12">
        <v>16</v>
      </c>
      <c r="E12" s="20" t="s">
        <v>7</v>
      </c>
      <c r="H12">
        <v>21</v>
      </c>
      <c r="I12">
        <v>8.2379584089812427E-2</v>
      </c>
      <c r="J12" s="10">
        <f t="shared" si="0"/>
        <v>-2.1900000000000001E-4</v>
      </c>
      <c r="K12" s="17">
        <f t="shared" si="1"/>
        <v>5.0000000000000004E-6</v>
      </c>
      <c r="L12" s="10">
        <f t="shared" si="2"/>
        <v>-1.1950000000000001E-3</v>
      </c>
      <c r="M12" s="11">
        <f t="shared" si="11"/>
        <v>8.2499996593882727E-2</v>
      </c>
      <c r="N12" s="5">
        <f t="shared" si="3"/>
        <v>1.4616789511709934E-3</v>
      </c>
      <c r="O12">
        <f t="shared" si="4"/>
        <v>440.1454</v>
      </c>
      <c r="P12">
        <f t="shared" ca="1" si="5"/>
        <v>442</v>
      </c>
      <c r="Q12" t="str">
        <f t="shared" ca="1" si="6"/>
        <v>0000000110111010</v>
      </c>
      <c r="R12">
        <f t="shared" ca="1" si="7"/>
        <v>8.2875000000000004E-2</v>
      </c>
      <c r="S12">
        <f t="shared" ca="1" si="8"/>
        <v>20.994500000000002</v>
      </c>
      <c r="T12" s="3">
        <f t="shared" ca="1" si="12"/>
        <v>2.6190476190465902E-4</v>
      </c>
      <c r="W12">
        <f t="shared" si="9"/>
        <v>20.988555009077754</v>
      </c>
      <c r="X12" s="5">
        <f t="shared" si="10"/>
        <v>5.4499956772602332E-4</v>
      </c>
    </row>
    <row r="13" spans="1:26" x14ac:dyDescent="0.25">
      <c r="A13" t="s">
        <v>85</v>
      </c>
      <c r="E13" s="20" t="s">
        <v>65</v>
      </c>
      <c r="H13">
        <v>21.1</v>
      </c>
      <c r="I13">
        <v>8.8342279611194077E-2</v>
      </c>
      <c r="J13" s="10">
        <f t="shared" si="0"/>
        <v>-2.1900000000000001E-4</v>
      </c>
      <c r="K13" s="17">
        <f t="shared" si="1"/>
        <v>6.0000000000000002E-6</v>
      </c>
      <c r="L13" s="10">
        <f t="shared" si="2"/>
        <v>-1.1640000000000001E-3</v>
      </c>
      <c r="M13" s="11">
        <f t="shared" si="11"/>
        <v>8.8458314133542632E-2</v>
      </c>
      <c r="N13" s="5">
        <f t="shared" si="3"/>
        <v>1.3134653402565269E-3</v>
      </c>
      <c r="O13">
        <f t="shared" si="4"/>
        <v>471.93360000000001</v>
      </c>
      <c r="P13">
        <f t="shared" ca="1" si="5"/>
        <v>474</v>
      </c>
      <c r="Q13" t="str">
        <f t="shared" ca="1" si="6"/>
        <v>0000000111011010</v>
      </c>
      <c r="R13">
        <f t="shared" ca="1" si="7"/>
        <v>8.8874999999999996E-2</v>
      </c>
      <c r="S13">
        <f t="shared" ca="1" si="8"/>
        <v>21.066500000000001</v>
      </c>
      <c r="T13" s="3">
        <f t="shared" ca="1" si="12"/>
        <v>1.5876777251184874E-3</v>
      </c>
      <c r="W13">
        <f t="shared" si="9"/>
        <v>21.060107355334331</v>
      </c>
      <c r="X13" s="5">
        <f t="shared" si="10"/>
        <v>1.8906466666194415E-3</v>
      </c>
    </row>
    <row r="14" spans="1:26" x14ac:dyDescent="0.25">
      <c r="A14" t="s">
        <v>86</v>
      </c>
      <c r="B14">
        <v>-60</v>
      </c>
      <c r="D14">
        <v>150</v>
      </c>
      <c r="E14" s="20" t="s">
        <v>87</v>
      </c>
      <c r="H14">
        <v>21.2</v>
      </c>
      <c r="I14">
        <v>9.5297177184800505E-2</v>
      </c>
      <c r="J14" s="10">
        <f t="shared" si="0"/>
        <v>-2.1800000000000001E-4</v>
      </c>
      <c r="K14" s="17">
        <f t="shared" si="1"/>
        <v>6.0000000000000002E-6</v>
      </c>
      <c r="L14" s="10">
        <f t="shared" si="2"/>
        <v>-1.134E-3</v>
      </c>
      <c r="M14" s="11">
        <f t="shared" si="11"/>
        <v>9.5406985663058594E-2</v>
      </c>
      <c r="N14" s="5">
        <f t="shared" si="3"/>
        <v>1.1522741963819973E-3</v>
      </c>
      <c r="O14">
        <f t="shared" si="4"/>
        <v>509.00540000000001</v>
      </c>
      <c r="P14">
        <f t="shared" ca="1" si="5"/>
        <v>511</v>
      </c>
      <c r="Q14" t="str">
        <f t="shared" ca="1" si="6"/>
        <v>0000000111111111</v>
      </c>
      <c r="R14">
        <f t="shared" ca="1" si="7"/>
        <v>9.5812500000000009E-2</v>
      </c>
      <c r="S14">
        <f t="shared" ca="1" si="8"/>
        <v>21.149750000000004</v>
      </c>
      <c r="T14" s="3">
        <f t="shared" ca="1" si="12"/>
        <v>2.3702830188676791E-3</v>
      </c>
      <c r="W14">
        <f t="shared" si="9"/>
        <v>21.14356612621761</v>
      </c>
      <c r="X14" s="5">
        <f t="shared" si="10"/>
        <v>2.6619751784145683E-3</v>
      </c>
    </row>
    <row r="15" spans="1:26" x14ac:dyDescent="0.25">
      <c r="A15" t="s">
        <v>88</v>
      </c>
      <c r="B15">
        <f>2/3</f>
        <v>0.66666666666666663</v>
      </c>
      <c r="C15">
        <f>2/3*$C$24+$B$15</f>
        <v>0.66686666666666661</v>
      </c>
      <c r="H15">
        <v>21.3</v>
      </c>
      <c r="I15">
        <v>0.10131590742948883</v>
      </c>
      <c r="J15" s="10">
        <f t="shared" si="0"/>
        <v>-2.1800000000000001E-4</v>
      </c>
      <c r="K15" s="17">
        <f t="shared" si="1"/>
        <v>6.9999999999999999E-6</v>
      </c>
      <c r="L15" s="10">
        <f t="shared" si="2"/>
        <v>-1.103E-3</v>
      </c>
      <c r="M15" s="11">
        <f t="shared" si="11"/>
        <v>0.10142203892055944</v>
      </c>
      <c r="N15" s="5">
        <f t="shared" si="3"/>
        <v>1.0475303806016124E-3</v>
      </c>
      <c r="O15">
        <f t="shared" si="4"/>
        <v>541.09630000000004</v>
      </c>
      <c r="P15">
        <f t="shared" ca="1" si="5"/>
        <v>543</v>
      </c>
      <c r="Q15" t="str">
        <f t="shared" ca="1" si="6"/>
        <v>0000001000011111</v>
      </c>
      <c r="R15">
        <f t="shared" ca="1" si="7"/>
        <v>0.1018125</v>
      </c>
      <c r="S15">
        <f t="shared" ca="1" si="8"/>
        <v>21.221750000000004</v>
      </c>
      <c r="T15" s="3">
        <f t="shared" ca="1" si="12"/>
        <v>3.6737089201876547E-3</v>
      </c>
      <c r="W15">
        <f t="shared" si="9"/>
        <v>21.215790889153869</v>
      </c>
      <c r="X15" s="5">
        <f t="shared" si="10"/>
        <v>3.9534793824475027E-3</v>
      </c>
    </row>
    <row r="16" spans="1:26" x14ac:dyDescent="0.25">
      <c r="A16" t="s">
        <v>89</v>
      </c>
      <c r="B16">
        <f>-4.096/$C$15</f>
        <v>-6.1421573527941629</v>
      </c>
      <c r="C16">
        <f>4.096/$B$15</f>
        <v>6.1440000000000001</v>
      </c>
      <c r="D16">
        <f>4.096/$C$15</f>
        <v>6.1421573527941629</v>
      </c>
      <c r="E16" s="20" t="s">
        <v>65</v>
      </c>
      <c r="H16">
        <v>21.4</v>
      </c>
      <c r="I16">
        <v>0.10928731698172603</v>
      </c>
      <c r="J16" s="10">
        <f t="shared" si="0"/>
        <v>-2.1699999999999999E-4</v>
      </c>
      <c r="K16" s="17">
        <f t="shared" si="1"/>
        <v>6.9999999999999999E-6</v>
      </c>
      <c r="L16" s="10">
        <f t="shared" si="2"/>
        <v>-1.073E-3</v>
      </c>
      <c r="M16" s="11">
        <f t="shared" si="11"/>
        <v>0.10938694478996638</v>
      </c>
      <c r="N16" s="5">
        <f t="shared" si="3"/>
        <v>9.1161363451729128E-4</v>
      </c>
      <c r="O16">
        <f t="shared" si="4"/>
        <v>583.58989999999994</v>
      </c>
      <c r="P16">
        <f t="shared" ca="1" si="5"/>
        <v>582</v>
      </c>
      <c r="Q16" t="str">
        <f t="shared" ca="1" si="6"/>
        <v>0000001001000110</v>
      </c>
      <c r="R16">
        <f t="shared" ca="1" si="7"/>
        <v>0.109125</v>
      </c>
      <c r="S16">
        <f t="shared" ca="1" si="8"/>
        <v>21.3095</v>
      </c>
      <c r="T16" s="3">
        <f t="shared" ca="1" si="12"/>
        <v>4.2289719626167612E-3</v>
      </c>
      <c r="W16">
        <f t="shared" si="9"/>
        <v>21.311447803780716</v>
      </c>
      <c r="X16" s="5">
        <f t="shared" si="10"/>
        <v>4.1379530943589987E-3</v>
      </c>
    </row>
    <row r="17" spans="1:24" x14ac:dyDescent="0.25">
      <c r="A17" t="s">
        <v>91</v>
      </c>
      <c r="C17">
        <f>6000000</f>
        <v>6000000</v>
      </c>
      <c r="E17" s="20" t="s">
        <v>92</v>
      </c>
      <c r="H17">
        <v>21.5</v>
      </c>
      <c r="I17">
        <v>0.11632253694280009</v>
      </c>
      <c r="J17" s="10">
        <f t="shared" si="0"/>
        <v>-2.1599999999999999E-4</v>
      </c>
      <c r="K17" s="17">
        <f t="shared" si="1"/>
        <v>7.9999999999999996E-6</v>
      </c>
      <c r="L17" s="10">
        <f t="shared" si="2"/>
        <v>-1.042E-3</v>
      </c>
      <c r="M17" s="11">
        <f t="shared" si="11"/>
        <v>0.1164172301889432</v>
      </c>
      <c r="N17" s="5">
        <f t="shared" si="3"/>
        <v>8.1405760768161995E-4</v>
      </c>
      <c r="O17">
        <f t="shared" si="4"/>
        <v>621.09709999999995</v>
      </c>
      <c r="P17">
        <f t="shared" ca="1" si="5"/>
        <v>625</v>
      </c>
      <c r="Q17" t="str">
        <f t="shared" ca="1" si="6"/>
        <v>0000001001110001</v>
      </c>
      <c r="R17">
        <f t="shared" ca="1" si="7"/>
        <v>0.1171875</v>
      </c>
      <c r="S17">
        <f t="shared" ca="1" si="8"/>
        <v>21.406250000000004</v>
      </c>
      <c r="T17" s="3">
        <f t="shared" ca="1" si="12"/>
        <v>4.3604651162789049E-3</v>
      </c>
      <c r="W17">
        <f t="shared" si="9"/>
        <v>21.395870443313601</v>
      </c>
      <c r="X17" s="5">
        <f t="shared" si="10"/>
        <v>4.8432351947162175E-3</v>
      </c>
    </row>
    <row r="18" spans="1:24" x14ac:dyDescent="0.25">
      <c r="A18" t="s">
        <v>93</v>
      </c>
      <c r="C18">
        <v>128</v>
      </c>
      <c r="E18" s="20" t="s">
        <v>21</v>
      </c>
      <c r="H18">
        <v>21.6</v>
      </c>
      <c r="I18">
        <v>0.12338450778195233</v>
      </c>
      <c r="J18" s="10">
        <f t="shared" si="0"/>
        <v>-2.1599999999999999E-4</v>
      </c>
      <c r="K18" s="17">
        <f t="shared" si="1"/>
        <v>7.9999999999999996E-6</v>
      </c>
      <c r="L18" s="10">
        <f>ROUND(K18+($C$24*(H18-25)),6)</f>
        <v>-1.0120000000000001E-3</v>
      </c>
      <c r="M18" s="11">
        <f t="shared" si="11"/>
        <v>0.1234755505248212</v>
      </c>
      <c r="N18" s="5">
        <f t="shared" si="3"/>
        <v>7.3787823532732054E-4</v>
      </c>
      <c r="O18">
        <f t="shared" si="4"/>
        <v>658.75390000000004</v>
      </c>
      <c r="P18">
        <f t="shared" ca="1" si="5"/>
        <v>658</v>
      </c>
      <c r="Q18" t="str">
        <f t="shared" ca="1" si="6"/>
        <v>0000001010010010</v>
      </c>
      <c r="R18">
        <f t="shared" ca="1" si="7"/>
        <v>0.123375</v>
      </c>
      <c r="S18">
        <f t="shared" ca="1" si="8"/>
        <v>21.480500000000003</v>
      </c>
      <c r="T18" s="3">
        <f t="shared" ca="1" si="12"/>
        <v>5.5324074074073427E-3</v>
      </c>
      <c r="W18">
        <f t="shared" si="9"/>
        <v>21.48061409338343</v>
      </c>
      <c r="X18" s="5">
        <f t="shared" si="10"/>
        <v>5.5271253063227518E-3</v>
      </c>
    </row>
    <row r="19" spans="1:24" x14ac:dyDescent="0.25">
      <c r="A19" s="18" t="s">
        <v>94</v>
      </c>
      <c r="B19" s="18">
        <v>20</v>
      </c>
      <c r="C19" s="18"/>
      <c r="D19" s="18">
        <v>80</v>
      </c>
      <c r="E19" s="21" t="s">
        <v>87</v>
      </c>
      <c r="H19">
        <v>21.7</v>
      </c>
      <c r="I19">
        <v>0.12951356025341798</v>
      </c>
      <c r="J19" s="10">
        <f t="shared" si="0"/>
        <v>-2.1499999999999999E-4</v>
      </c>
      <c r="K19" s="17">
        <f t="shared" si="1"/>
        <v>9.0000000000000002E-6</v>
      </c>
      <c r="L19" s="10">
        <f t="shared" si="2"/>
        <v>-9.810000000000001E-4</v>
      </c>
      <c r="M19" s="11">
        <f t="shared" si="11"/>
        <v>0.12960142125916274</v>
      </c>
      <c r="N19" s="5">
        <f t="shared" si="3"/>
        <v>6.7839232874799822E-4</v>
      </c>
      <c r="O19">
        <f t="shared" si="4"/>
        <v>691.43600000000004</v>
      </c>
      <c r="P19">
        <f t="shared" ca="1" si="5"/>
        <v>692</v>
      </c>
      <c r="Q19" t="str">
        <f t="shared" ca="1" si="6"/>
        <v>0000001010110100</v>
      </c>
      <c r="R19">
        <f t="shared" ca="1" si="7"/>
        <v>0.12975</v>
      </c>
      <c r="S19">
        <f t="shared" ca="1" si="8"/>
        <v>21.557000000000002</v>
      </c>
      <c r="T19" s="3">
        <f t="shared" ca="1" si="12"/>
        <v>6.5898617511519417E-3</v>
      </c>
      <c r="W19">
        <f t="shared" si="9"/>
        <v>21.554162723041017</v>
      </c>
      <c r="X19" s="5">
        <f t="shared" si="10"/>
        <v>6.7206118414277509E-3</v>
      </c>
    </row>
    <row r="20" spans="1:24" x14ac:dyDescent="0.25">
      <c r="A20" t="s">
        <v>102</v>
      </c>
      <c r="B20">
        <f>-0.000225</f>
        <v>-2.2499999999999999E-4</v>
      </c>
      <c r="D20">
        <f>-0.00012</f>
        <v>-1.2E-4</v>
      </c>
      <c r="E20" s="20" t="s">
        <v>65</v>
      </c>
      <c r="H20">
        <v>21.8</v>
      </c>
      <c r="I20">
        <v>0.13662982331092821</v>
      </c>
      <c r="J20" s="10">
        <f t="shared" si="0"/>
        <v>-2.1499999999999999E-4</v>
      </c>
      <c r="K20" s="17">
        <f t="shared" si="1"/>
        <v>9.0000000000000002E-6</v>
      </c>
      <c r="L20" s="10">
        <f t="shared" si="2"/>
        <v>-9.5100000000000002E-4</v>
      </c>
      <c r="M20" s="11">
        <f t="shared" si="11"/>
        <v>0.13671480752896817</v>
      </c>
      <c r="N20" s="5">
        <f t="shared" si="3"/>
        <v>6.2200342487861492E-4</v>
      </c>
      <c r="O20">
        <f t="shared" si="4"/>
        <v>729.38660000000004</v>
      </c>
      <c r="P20">
        <f t="shared" ca="1" si="5"/>
        <v>731</v>
      </c>
      <c r="Q20" t="str">
        <f t="shared" ca="1" si="6"/>
        <v>0000001011011011</v>
      </c>
      <c r="R20">
        <f t="shared" ca="1" si="7"/>
        <v>0.1370625</v>
      </c>
      <c r="S20">
        <f t="shared" ca="1" si="8"/>
        <v>21.644750000000002</v>
      </c>
      <c r="T20" s="3">
        <f t="shared" ca="1" si="12"/>
        <v>7.1215596330274668E-3</v>
      </c>
      <c r="W20">
        <f t="shared" si="9"/>
        <v>21.639557879731139</v>
      </c>
      <c r="X20" s="5">
        <f t="shared" si="10"/>
        <v>7.3597302875624444E-3</v>
      </c>
    </row>
    <row r="21" spans="1:24" x14ac:dyDescent="0.25">
      <c r="H21">
        <v>21.9</v>
      </c>
      <c r="I21">
        <v>0.14281480243241768</v>
      </c>
      <c r="J21" s="10">
        <f t="shared" si="0"/>
        <v>-2.14E-4</v>
      </c>
      <c r="K21" s="17">
        <f t="shared" si="1"/>
        <v>1.0000000000000001E-5</v>
      </c>
      <c r="L21" s="10">
        <f t="shared" si="2"/>
        <v>-9.2000000000000003E-4</v>
      </c>
      <c r="M21" s="11">
        <f t="shared" si="11"/>
        <v>0.14289733688248576</v>
      </c>
      <c r="N21" s="5">
        <f t="shared" si="3"/>
        <v>5.7791243388195552E-4</v>
      </c>
      <c r="O21">
        <f t="shared" si="4"/>
        <v>762.37099999999998</v>
      </c>
      <c r="P21">
        <f t="shared" ca="1" si="5"/>
        <v>760</v>
      </c>
      <c r="Q21" t="str">
        <f t="shared" ca="1" si="6"/>
        <v>0000001011111000</v>
      </c>
      <c r="R21">
        <f t="shared" ca="1" si="7"/>
        <v>0.14250000000000002</v>
      </c>
      <c r="S21">
        <f t="shared" ca="1" si="8"/>
        <v>21.710000000000004</v>
      </c>
      <c r="T21" s="3">
        <f t="shared" ca="1" si="12"/>
        <v>8.6757990867577257E-3</v>
      </c>
      <c r="W21">
        <f t="shared" si="9"/>
        <v>21.713777629189014</v>
      </c>
      <c r="X21" s="5">
        <f t="shared" si="10"/>
        <v>8.5033046032413004E-3</v>
      </c>
    </row>
    <row r="22" spans="1:24" x14ac:dyDescent="0.25">
      <c r="A22" t="s">
        <v>103</v>
      </c>
      <c r="B22" s="7">
        <v>0</v>
      </c>
      <c r="D22" s="15">
        <v>2.9999999999999997E-4</v>
      </c>
      <c r="E22" s="20" t="s">
        <v>67</v>
      </c>
      <c r="H22">
        <v>22</v>
      </c>
      <c r="I22">
        <v>0.14998531072221985</v>
      </c>
      <c r="J22" s="10">
        <f t="shared" si="0"/>
        <v>-2.14E-4</v>
      </c>
      <c r="K22" s="17">
        <f t="shared" si="1"/>
        <v>1.0000000000000001E-5</v>
      </c>
      <c r="L22" s="10">
        <f t="shared" si="2"/>
        <v>-8.8999999999999995E-4</v>
      </c>
      <c r="M22" s="11">
        <f t="shared" si="11"/>
        <v>0.15006575220275939</v>
      </c>
      <c r="N22" s="5">
        <f t="shared" si="3"/>
        <v>5.3632905884044087E-4</v>
      </c>
      <c r="O22">
        <f t="shared" si="4"/>
        <v>800.61519999999996</v>
      </c>
      <c r="P22">
        <f t="shared" ca="1" si="5"/>
        <v>798</v>
      </c>
      <c r="Q22" t="str">
        <f t="shared" ca="1" si="6"/>
        <v>0000001100011110</v>
      </c>
      <c r="R22">
        <f t="shared" ca="1" si="7"/>
        <v>0.14962500000000001</v>
      </c>
      <c r="S22">
        <f t="shared" ca="1" si="8"/>
        <v>21.795500000000004</v>
      </c>
      <c r="T22" s="3">
        <f t="shared" ca="1" si="12"/>
        <v>9.2954545454543586E-3</v>
      </c>
      <c r="W22">
        <f t="shared" si="9"/>
        <v>21.799823728666638</v>
      </c>
      <c r="X22" s="5">
        <f t="shared" si="10"/>
        <v>9.0989214242437229E-3</v>
      </c>
    </row>
    <row r="23" spans="1:24" x14ac:dyDescent="0.25">
      <c r="A23" t="s">
        <v>95</v>
      </c>
      <c r="C23" s="16">
        <v>5.0000000000000004E-6</v>
      </c>
      <c r="E23" s="27" t="s">
        <v>96</v>
      </c>
      <c r="H23">
        <v>22.1</v>
      </c>
      <c r="I23">
        <v>0.15622617520898585</v>
      </c>
      <c r="J23" s="10">
        <f t="shared" si="0"/>
        <v>-2.13E-4</v>
      </c>
      <c r="K23" s="17">
        <f t="shared" si="1"/>
        <v>1.1E-5</v>
      </c>
      <c r="L23" s="10">
        <f t="shared" si="2"/>
        <v>-8.5899999999999995E-4</v>
      </c>
      <c r="M23" s="11">
        <f t="shared" si="11"/>
        <v>0.1563049092919041</v>
      </c>
      <c r="N23" s="5">
        <f t="shared" si="3"/>
        <v>5.0397497610710196E-4</v>
      </c>
      <c r="O23">
        <f t="shared" si="4"/>
        <v>833.90170000000001</v>
      </c>
      <c r="P23">
        <f t="shared" ca="1" si="5"/>
        <v>835</v>
      </c>
      <c r="Q23" t="str">
        <f t="shared" ca="1" si="6"/>
        <v>0000001101000011</v>
      </c>
      <c r="R23">
        <f t="shared" ca="1" si="7"/>
        <v>0.15656249999999999</v>
      </c>
      <c r="S23">
        <f t="shared" ca="1" si="8"/>
        <v>21.87875</v>
      </c>
      <c r="T23" s="3">
        <f t="shared" ca="1" si="12"/>
        <v>1.0011312217194627E-2</v>
      </c>
      <c r="W23">
        <f t="shared" si="9"/>
        <v>21.874714102507834</v>
      </c>
      <c r="X23" s="5">
        <f t="shared" si="10"/>
        <v>1.0193932013220235E-2</v>
      </c>
    </row>
    <row r="24" spans="1:24" x14ac:dyDescent="0.25">
      <c r="B24" t="s">
        <v>98</v>
      </c>
      <c r="C24" s="17">
        <f>($D$19-$B$19)*C23</f>
        <v>3.0000000000000003E-4</v>
      </c>
      <c r="E24" s="27"/>
      <c r="H24">
        <v>22.2</v>
      </c>
      <c r="I24">
        <v>0.16536186833135227</v>
      </c>
      <c r="J24" s="10">
        <f t="shared" si="0"/>
        <v>-2.12E-4</v>
      </c>
      <c r="K24" s="17">
        <f t="shared" si="1"/>
        <v>1.1E-5</v>
      </c>
      <c r="L24" s="10">
        <f t="shared" si="2"/>
        <v>-8.2899999999999998E-4</v>
      </c>
      <c r="M24" s="11">
        <f t="shared" si="11"/>
        <v>0.16543672128940334</v>
      </c>
      <c r="N24" s="5">
        <f t="shared" si="3"/>
        <v>4.5266154045307989E-4</v>
      </c>
      <c r="O24">
        <f t="shared" si="4"/>
        <v>882.62080000000003</v>
      </c>
      <c r="P24">
        <f t="shared" ca="1" si="5"/>
        <v>883</v>
      </c>
      <c r="Q24" t="str">
        <f t="shared" ca="1" si="6"/>
        <v>0000001101110011</v>
      </c>
      <c r="R24">
        <f t="shared" ca="1" si="7"/>
        <v>0.1655625</v>
      </c>
      <c r="S24">
        <f t="shared" ca="1" si="8"/>
        <v>21.986750000000004</v>
      </c>
      <c r="T24" s="3">
        <f t="shared" ca="1" si="12"/>
        <v>9.6058558558556328E-3</v>
      </c>
      <c r="W24">
        <f t="shared" si="9"/>
        <v>21.98434241997623</v>
      </c>
      <c r="X24" s="5">
        <f t="shared" si="10"/>
        <v>9.7143054064761109E-3</v>
      </c>
    </row>
    <row r="25" spans="1:24" x14ac:dyDescent="0.25">
      <c r="A25" t="s">
        <v>97</v>
      </c>
      <c r="B25" t="s">
        <v>98</v>
      </c>
      <c r="C25">
        <v>90</v>
      </c>
      <c r="E25" s="20" t="s">
        <v>32</v>
      </c>
      <c r="H25">
        <v>22.3</v>
      </c>
      <c r="I25">
        <v>0.16974758191067651</v>
      </c>
      <c r="J25" s="10">
        <f t="shared" si="0"/>
        <v>-2.12E-4</v>
      </c>
      <c r="K25" s="17">
        <f t="shared" si="1"/>
        <v>1.2E-5</v>
      </c>
      <c r="L25" s="10">
        <f t="shared" si="2"/>
        <v>-7.9799999999999999E-4</v>
      </c>
      <c r="M25" s="11">
        <f t="shared" si="11"/>
        <v>0.16982406230895394</v>
      </c>
      <c r="N25" s="5">
        <f t="shared" si="3"/>
        <v>4.5055368339605401E-4</v>
      </c>
      <c r="O25">
        <f t="shared" si="4"/>
        <v>906.02769999999998</v>
      </c>
      <c r="P25">
        <f t="shared" ca="1" si="5"/>
        <v>909</v>
      </c>
      <c r="Q25" t="str">
        <f t="shared" ca="1" si="6"/>
        <v>0000001110001101</v>
      </c>
      <c r="R25">
        <f t="shared" ca="1" si="7"/>
        <v>0.17043749999999999</v>
      </c>
      <c r="S25">
        <f t="shared" ca="1" si="8"/>
        <v>22.045250000000003</v>
      </c>
      <c r="T25" s="3">
        <f t="shared" ca="1" si="12"/>
        <v>1.14237668161434E-2</v>
      </c>
      <c r="W25">
        <f t="shared" si="9"/>
        <v>22.036970982928118</v>
      </c>
      <c r="X25" s="5">
        <f t="shared" si="10"/>
        <v>1.1795023187079954E-2</v>
      </c>
    </row>
    <row r="26" spans="1:24" x14ac:dyDescent="0.25">
      <c r="A26" t="s">
        <v>104</v>
      </c>
      <c r="C26" s="10">
        <f>0.00002</f>
        <v>2.0000000000000002E-5</v>
      </c>
      <c r="E26" s="20" t="s">
        <v>65</v>
      </c>
      <c r="H26">
        <v>22.4</v>
      </c>
      <c r="I26">
        <v>0.17893406084070246</v>
      </c>
      <c r="J26" s="10">
        <f t="shared" si="0"/>
        <v>-2.1100000000000001E-4</v>
      </c>
      <c r="K26" s="17">
        <f t="shared" si="1"/>
        <v>1.2E-5</v>
      </c>
      <c r="L26" s="10">
        <f t="shared" si="2"/>
        <v>-7.6800000000000002E-4</v>
      </c>
      <c r="M26" s="11">
        <f t="shared" si="11"/>
        <v>0.17900758301694542</v>
      </c>
      <c r="N26" s="5">
        <f t="shared" si="3"/>
        <v>4.1088977636522168E-4</v>
      </c>
      <c r="O26">
        <f t="shared" si="4"/>
        <v>955.02269999999999</v>
      </c>
      <c r="P26">
        <f t="shared" ca="1" si="5"/>
        <v>957</v>
      </c>
      <c r="Q26" t="str">
        <f t="shared" ca="1" si="6"/>
        <v>0000001110111101</v>
      </c>
      <c r="R26">
        <f t="shared" ca="1" si="7"/>
        <v>0.1794375</v>
      </c>
      <c r="S26">
        <f t="shared" ca="1" si="8"/>
        <v>22.15325</v>
      </c>
      <c r="T26" s="3">
        <f t="shared" ca="1" si="12"/>
        <v>1.1015624999999942E-2</v>
      </c>
      <c r="W26">
        <f t="shared" si="9"/>
        <v>22.14720873008843</v>
      </c>
      <c r="X26" s="5">
        <f t="shared" si="10"/>
        <v>1.128532454962361E-2</v>
      </c>
    </row>
    <row r="27" spans="1:24" x14ac:dyDescent="0.25">
      <c r="A27" t="s">
        <v>105</v>
      </c>
      <c r="B27">
        <f>0.000022</f>
        <v>2.1999999999999999E-5</v>
      </c>
      <c r="D27">
        <f>0.000028</f>
        <v>2.8E-5</v>
      </c>
      <c r="E27" s="20" t="s">
        <v>65</v>
      </c>
      <c r="H27">
        <v>22.5</v>
      </c>
      <c r="I27">
        <v>0.18528487213656453</v>
      </c>
      <c r="J27" s="10">
        <f t="shared" si="0"/>
        <v>-2.1100000000000001E-4</v>
      </c>
      <c r="K27" s="17">
        <f t="shared" si="1"/>
        <v>1.2999999999999999E-5</v>
      </c>
      <c r="L27" s="10">
        <f t="shared" si="2"/>
        <v>-7.3700000000000002E-4</v>
      </c>
      <c r="M27" s="11">
        <f t="shared" si="11"/>
        <v>0.18535926236020506</v>
      </c>
      <c r="N27" s="5">
        <f t="shared" si="3"/>
        <v>4.0149108118066345E-4</v>
      </c>
      <c r="O27">
        <f t="shared" si="4"/>
        <v>988.90949999999998</v>
      </c>
      <c r="P27">
        <f t="shared" ca="1" si="5"/>
        <v>990</v>
      </c>
      <c r="Q27" t="str">
        <f t="shared" ca="1" si="6"/>
        <v>0000001111011110</v>
      </c>
      <c r="R27">
        <f t="shared" ca="1" si="7"/>
        <v>0.18562500000000001</v>
      </c>
      <c r="S27">
        <f t="shared" ca="1" si="8"/>
        <v>22.227500000000003</v>
      </c>
      <c r="T27" s="3">
        <f t="shared" ca="1" si="12"/>
        <v>1.2111111111110991E-2</v>
      </c>
      <c r="W27">
        <f t="shared" si="9"/>
        <v>22.223418465638776</v>
      </c>
      <c r="X27" s="5">
        <f t="shared" si="10"/>
        <v>1.2292512638276618E-2</v>
      </c>
    </row>
    <row r="28" spans="1:24" x14ac:dyDescent="0.25">
      <c r="A28" s="19" t="s">
        <v>99</v>
      </c>
      <c r="B28" s="19"/>
      <c r="C28" s="19"/>
      <c r="D28" s="19"/>
      <c r="E28" s="22"/>
      <c r="H28">
        <v>22.6</v>
      </c>
      <c r="I28">
        <v>0.19261611077165719</v>
      </c>
      <c r="J28" s="10">
        <f t="shared" si="0"/>
        <v>-2.1000000000000001E-4</v>
      </c>
      <c r="K28" s="17">
        <f t="shared" si="1"/>
        <v>1.2999999999999999E-5</v>
      </c>
      <c r="L28" s="10">
        <f t="shared" si="2"/>
        <v>-7.0699999999999995E-4</v>
      </c>
      <c r="M28" s="11">
        <f t="shared" si="11"/>
        <v>0.19268987902718496</v>
      </c>
      <c r="N28" s="5">
        <f t="shared" si="3"/>
        <v>3.8298071346284392E-4</v>
      </c>
      <c r="O28">
        <f t="shared" si="4"/>
        <v>1028.019</v>
      </c>
      <c r="P28">
        <f t="shared" ca="1" si="5"/>
        <v>1027</v>
      </c>
      <c r="Q28" t="str">
        <f t="shared" ca="1" si="6"/>
        <v>0000010000000011</v>
      </c>
      <c r="R28">
        <f t="shared" ca="1" si="7"/>
        <v>0.1925625</v>
      </c>
      <c r="S28">
        <f t="shared" ca="1" si="8"/>
        <v>22.310750000000002</v>
      </c>
      <c r="T28" s="3">
        <f t="shared" ca="1" si="12"/>
        <v>1.2798672566371641E-2</v>
      </c>
      <c r="W28">
        <f t="shared" si="9"/>
        <v>22.311393329259886</v>
      </c>
      <c r="X28" s="5">
        <f t="shared" si="10"/>
        <v>1.2770206669916618E-2</v>
      </c>
    </row>
    <row r="29" spans="1:24" x14ac:dyDescent="0.25">
      <c r="A29" t="s">
        <v>100</v>
      </c>
      <c r="B29">
        <f>0.7*$C$10</f>
        <v>3.8499999999999996</v>
      </c>
      <c r="D29">
        <f>$D$10</f>
        <v>5.5</v>
      </c>
      <c r="H29">
        <v>22.7</v>
      </c>
      <c r="I29">
        <v>0.19902265205128786</v>
      </c>
      <c r="J29" s="10">
        <f t="shared" si="0"/>
        <v>-2.0900000000000001E-4</v>
      </c>
      <c r="K29" s="17">
        <f t="shared" si="1"/>
        <v>1.4E-5</v>
      </c>
      <c r="L29" s="10">
        <f t="shared" si="2"/>
        <v>-6.7599999999999995E-4</v>
      </c>
      <c r="M29" s="11">
        <f t="shared" si="11"/>
        <v>0.19909706243708039</v>
      </c>
      <c r="N29" s="5">
        <f t="shared" si="3"/>
        <v>3.7387897822484213E-4</v>
      </c>
      <c r="O29">
        <f t="shared" si="4"/>
        <v>1062.202</v>
      </c>
      <c r="P29">
        <f t="shared" ca="1" si="5"/>
        <v>1062</v>
      </c>
      <c r="Q29" t="str">
        <f t="shared" ca="1" si="6"/>
        <v>0000010000100110</v>
      </c>
      <c r="R29">
        <f t="shared" ca="1" si="7"/>
        <v>0.199125</v>
      </c>
      <c r="S29">
        <f t="shared" ca="1" si="8"/>
        <v>22.389500000000002</v>
      </c>
      <c r="T29" s="3">
        <f t="shared" ca="1" si="12"/>
        <v>1.3678414096916192E-2</v>
      </c>
      <c r="W29">
        <f t="shared" si="9"/>
        <v>22.388271824615458</v>
      </c>
      <c r="X29" s="5">
        <f t="shared" si="10"/>
        <v>1.3732518739407099E-2</v>
      </c>
    </row>
    <row r="30" spans="1:24" x14ac:dyDescent="0.25">
      <c r="A30" t="s">
        <v>101</v>
      </c>
      <c r="B30">
        <f>$C$11-0.5</f>
        <v>-0.5</v>
      </c>
      <c r="D30">
        <f>0.3*$C$10</f>
        <v>1.65</v>
      </c>
      <c r="H30">
        <v>22.8</v>
      </c>
      <c r="I30">
        <v>0.20640790257766872</v>
      </c>
      <c r="J30" s="10">
        <f t="shared" si="0"/>
        <v>-2.0900000000000001E-4</v>
      </c>
      <c r="K30" s="17">
        <f t="shared" si="1"/>
        <v>1.4E-5</v>
      </c>
      <c r="L30" s="10">
        <f t="shared" si="2"/>
        <v>-6.4599999999999998E-4</v>
      </c>
      <c r="M30" s="11">
        <f t="shared" si="11"/>
        <v>0.20648351422747777</v>
      </c>
      <c r="N30" s="5">
        <f t="shared" si="3"/>
        <v>3.6632148703992279E-4</v>
      </c>
      <c r="O30">
        <f t="shared" si="4"/>
        <v>1101.6094000000001</v>
      </c>
      <c r="P30">
        <f t="shared" ca="1" si="5"/>
        <v>1099</v>
      </c>
      <c r="Q30" t="str">
        <f t="shared" ca="1" si="6"/>
        <v>0000010001001011</v>
      </c>
      <c r="R30">
        <f t="shared" ca="1" si="7"/>
        <v>0.20606250000000001</v>
      </c>
      <c r="S30">
        <f t="shared" ca="1" si="8"/>
        <v>22.472750000000001</v>
      </c>
      <c r="T30" s="3">
        <f t="shared" ca="1" si="12"/>
        <v>1.4353070175438569E-2</v>
      </c>
      <c r="W30">
        <f t="shared" si="9"/>
        <v>22.476894830932029</v>
      </c>
      <c r="X30" s="5">
        <f t="shared" si="10"/>
        <v>1.4171279345086493E-2</v>
      </c>
    </row>
    <row r="31" spans="1:24" x14ac:dyDescent="0.25">
      <c r="H31">
        <v>22.9</v>
      </c>
      <c r="I31">
        <v>0.21287011675555143</v>
      </c>
      <c r="J31" s="10">
        <f t="shared" si="0"/>
        <v>-2.0799999999999999E-4</v>
      </c>
      <c r="K31" s="17">
        <f t="shared" si="1"/>
        <v>1.5E-5</v>
      </c>
      <c r="L31" s="10">
        <f t="shared" si="2"/>
        <v>-6.1499999999999999E-4</v>
      </c>
      <c r="M31" s="11">
        <f t="shared" si="11"/>
        <v>0.2129471542556842</v>
      </c>
      <c r="N31" s="5">
        <f t="shared" si="3"/>
        <v>3.6189908337973183E-4</v>
      </c>
      <c r="O31">
        <f t="shared" si="4"/>
        <v>1136.0934999999999</v>
      </c>
      <c r="P31">
        <f t="shared" ca="1" si="5"/>
        <v>1138</v>
      </c>
      <c r="Q31" t="str">
        <f t="shared" ca="1" si="6"/>
        <v>0000010001110010</v>
      </c>
      <c r="R31">
        <f t="shared" ca="1" si="7"/>
        <v>0.21337500000000001</v>
      </c>
      <c r="S31">
        <f t="shared" ca="1" si="8"/>
        <v>22.560500000000005</v>
      </c>
      <c r="T31" s="3">
        <f t="shared" ca="1" si="12"/>
        <v>1.4825327510916766E-2</v>
      </c>
      <c r="W31">
        <f t="shared" si="9"/>
        <v>22.554441401066619</v>
      </c>
      <c r="X31" s="5">
        <f t="shared" si="10"/>
        <v>1.508989514992925E-2</v>
      </c>
    </row>
    <row r="32" spans="1:24" x14ac:dyDescent="0.25">
      <c r="A32" s="24" t="s">
        <v>108</v>
      </c>
      <c r="B32" s="24"/>
      <c r="C32" s="24"/>
      <c r="D32" s="24"/>
      <c r="E32" s="24"/>
      <c r="H32">
        <v>23</v>
      </c>
      <c r="I32">
        <v>0.22030931278097182</v>
      </c>
      <c r="J32" s="10">
        <f t="shared" si="0"/>
        <v>-2.0799999999999999E-4</v>
      </c>
      <c r="K32" s="17">
        <f t="shared" si="1"/>
        <v>1.5E-5</v>
      </c>
      <c r="L32" s="10">
        <f t="shared" si="2"/>
        <v>-5.8500000000000002E-4</v>
      </c>
      <c r="M32" s="11">
        <f t="shared" si="11"/>
        <v>0.22038838557541021</v>
      </c>
      <c r="N32" s="5">
        <f t="shared" si="3"/>
        <v>3.5891716714219211E-4</v>
      </c>
      <c r="O32">
        <f t="shared" si="4"/>
        <v>1175.7932000000001</v>
      </c>
      <c r="P32">
        <f t="shared" ca="1" si="5"/>
        <v>1177</v>
      </c>
      <c r="Q32" t="str">
        <f t="shared" ca="1" si="6"/>
        <v>0000010010011001</v>
      </c>
      <c r="R32">
        <f t="shared" ca="1" si="7"/>
        <v>0.22068750000000001</v>
      </c>
      <c r="S32">
        <f t="shared" ca="1" si="8"/>
        <v>22.648250000000001</v>
      </c>
      <c r="T32" s="3">
        <f t="shared" ca="1" si="12"/>
        <v>1.5293478260869527E-2</v>
      </c>
      <c r="W32">
        <f t="shared" si="9"/>
        <v>22.643711753371665</v>
      </c>
      <c r="X32" s="5">
        <f t="shared" si="10"/>
        <v>1.549079333166673E-2</v>
      </c>
    </row>
    <row r="33" spans="1:24" x14ac:dyDescent="0.25">
      <c r="B33" t="s">
        <v>109</v>
      </c>
      <c r="C33" t="s">
        <v>110</v>
      </c>
      <c r="D33" t="s">
        <v>51</v>
      </c>
      <c r="H33">
        <v>23.1</v>
      </c>
      <c r="I33">
        <v>0.22682713830473336</v>
      </c>
      <c r="J33" s="10">
        <f t="shared" si="0"/>
        <v>-2.0699999999999999E-4</v>
      </c>
      <c r="K33" s="17">
        <f t="shared" si="1"/>
        <v>1.5999999999999999E-5</v>
      </c>
      <c r="L33" s="10">
        <f t="shared" si="2"/>
        <v>-5.5400000000000002E-4</v>
      </c>
      <c r="M33" s="11">
        <f t="shared" si="11"/>
        <v>0.22690843103394059</v>
      </c>
      <c r="N33" s="5">
        <f t="shared" si="3"/>
        <v>3.5839066619100654E-4</v>
      </c>
      <c r="O33">
        <f t="shared" si="4"/>
        <v>1210.5782999999999</v>
      </c>
      <c r="P33">
        <f t="shared" ca="1" si="5"/>
        <v>1213</v>
      </c>
      <c r="Q33" t="str">
        <f t="shared" ca="1" si="6"/>
        <v>0000010010111101</v>
      </c>
      <c r="R33">
        <f t="shared" ca="1" si="7"/>
        <v>0.22743750000000001</v>
      </c>
      <c r="S33">
        <f t="shared" ca="1" si="8"/>
        <v>22.72925</v>
      </c>
      <c r="T33" s="3">
        <f t="shared" ca="1" si="12"/>
        <v>1.6049783549783592E-2</v>
      </c>
      <c r="W33">
        <f t="shared" si="9"/>
        <v>22.721925659656801</v>
      </c>
      <c r="X33" s="5">
        <f t="shared" si="10"/>
        <v>1.636685456031171E-2</v>
      </c>
    </row>
    <row r="34" spans="1:24" x14ac:dyDescent="0.25">
      <c r="A34" t="s">
        <v>40</v>
      </c>
      <c r="B34">
        <v>0</v>
      </c>
      <c r="C34">
        <v>0</v>
      </c>
      <c r="D34">
        <f>B34-C34</f>
        <v>0</v>
      </c>
      <c r="H34">
        <v>23.2</v>
      </c>
      <c r="I34">
        <v>0.23432020946960694</v>
      </c>
      <c r="J34" s="10">
        <f t="shared" si="0"/>
        <v>-2.0699999999999999E-4</v>
      </c>
      <c r="K34" s="17">
        <f t="shared" si="1"/>
        <v>1.5999999999999999E-5</v>
      </c>
      <c r="L34" s="10">
        <f t="shared" si="2"/>
        <v>-5.2400000000000005E-4</v>
      </c>
      <c r="M34" s="11">
        <f t="shared" si="11"/>
        <v>0.23440438157366236</v>
      </c>
      <c r="N34" s="5">
        <f t="shared" si="3"/>
        <v>3.5921828614762379E-4</v>
      </c>
      <c r="O34">
        <f t="shared" si="4"/>
        <v>1250.5699</v>
      </c>
      <c r="P34">
        <f t="shared" ca="1" si="5"/>
        <v>1250</v>
      </c>
      <c r="Q34" t="str">
        <f t="shared" ca="1" si="6"/>
        <v>0000010011100010</v>
      </c>
      <c r="R34">
        <f t="shared" ca="1" si="7"/>
        <v>0.234375</v>
      </c>
      <c r="S34">
        <f t="shared" ca="1" si="8"/>
        <v>22.812500000000004</v>
      </c>
      <c r="T34" s="3">
        <f t="shared" ca="1" si="12"/>
        <v>1.670258620689637E-2</v>
      </c>
      <c r="W34">
        <f t="shared" si="9"/>
        <v>22.811842513635284</v>
      </c>
      <c r="X34" s="5">
        <f t="shared" si="10"/>
        <v>1.673092613641014E-2</v>
      </c>
    </row>
    <row r="35" spans="1:24" x14ac:dyDescent="0.25">
      <c r="A35" t="s">
        <v>41</v>
      </c>
      <c r="B35">
        <v>5</v>
      </c>
      <c r="C35">
        <v>5</v>
      </c>
      <c r="D35">
        <f t="shared" ref="D35:D41" si="13">B35-C35</f>
        <v>0</v>
      </c>
      <c r="H35">
        <v>23.3</v>
      </c>
      <c r="I35">
        <v>0.24183976360711973</v>
      </c>
      <c r="J35" s="10">
        <f t="shared" si="0"/>
        <v>-2.0599999999999999E-4</v>
      </c>
      <c r="K35" s="17">
        <f t="shared" si="1"/>
        <v>1.7E-5</v>
      </c>
      <c r="L35" s="10">
        <f t="shared" si="2"/>
        <v>-4.9299999999999995E-4</v>
      </c>
      <c r="M35" s="11">
        <f t="shared" si="11"/>
        <v>0.24192649384565382</v>
      </c>
      <c r="N35" s="5">
        <f t="shared" si="3"/>
        <v>3.5862687442494312E-4</v>
      </c>
      <c r="O35">
        <f t="shared" si="4"/>
        <v>1290.7011</v>
      </c>
      <c r="P35">
        <f t="shared" ca="1" si="5"/>
        <v>1293</v>
      </c>
      <c r="Q35" t="str">
        <f t="shared" ca="1" si="6"/>
        <v>0000010100001101</v>
      </c>
      <c r="R35">
        <f t="shared" ca="1" si="7"/>
        <v>0.2424375</v>
      </c>
      <c r="S35">
        <f t="shared" ca="1" si="8"/>
        <v>22.909250000000004</v>
      </c>
      <c r="T35" s="3">
        <f t="shared" ca="1" si="12"/>
        <v>1.6770386266094294E-2</v>
      </c>
      <c r="W35">
        <f t="shared" si="9"/>
        <v>22.902077163285437</v>
      </c>
      <c r="X35" s="5">
        <f t="shared" si="10"/>
        <v>1.7078233335389003E-2</v>
      </c>
    </row>
    <row r="36" spans="1:24" x14ac:dyDescent="0.25">
      <c r="A36" t="s">
        <v>42</v>
      </c>
      <c r="B36">
        <v>0</v>
      </c>
      <c r="C36">
        <v>0</v>
      </c>
      <c r="D36">
        <f t="shared" si="13"/>
        <v>0</v>
      </c>
      <c r="H36">
        <v>23.4</v>
      </c>
      <c r="I36">
        <v>0.24844045376687354</v>
      </c>
      <c r="J36" s="10">
        <f t="shared" si="0"/>
        <v>-2.05E-4</v>
      </c>
      <c r="K36" s="17">
        <f t="shared" si="1"/>
        <v>1.7E-5</v>
      </c>
      <c r="L36" s="10">
        <f t="shared" si="2"/>
        <v>-4.6299999999999998E-4</v>
      </c>
      <c r="M36" s="11">
        <f t="shared" si="11"/>
        <v>0.2485303841989894</v>
      </c>
      <c r="N36" s="5">
        <f t="shared" si="3"/>
        <v>3.6197982555709714E-4</v>
      </c>
      <c r="O36">
        <f t="shared" si="4"/>
        <v>1325.9335000000001</v>
      </c>
      <c r="P36">
        <f t="shared" ca="1" si="5"/>
        <v>1326</v>
      </c>
      <c r="Q36" t="str">
        <f t="shared" ca="1" si="6"/>
        <v>0000010100101110</v>
      </c>
      <c r="R36">
        <f t="shared" ca="1" si="7"/>
        <v>0.24862500000000001</v>
      </c>
      <c r="S36">
        <f t="shared" ca="1" si="8"/>
        <v>22.983500000000003</v>
      </c>
      <c r="T36" s="3">
        <f t="shared" ca="1" si="12"/>
        <v>1.7799145299145114E-2</v>
      </c>
      <c r="W36">
        <f t="shared" si="9"/>
        <v>22.981285445202484</v>
      </c>
      <c r="X36" s="5">
        <f t="shared" si="10"/>
        <v>1.7893784393056163E-2</v>
      </c>
    </row>
    <row r="37" spans="1:24" x14ac:dyDescent="0.25">
      <c r="A37" t="s">
        <v>43</v>
      </c>
      <c r="B37">
        <v>5</v>
      </c>
      <c r="C37">
        <v>5</v>
      </c>
      <c r="D37">
        <f t="shared" si="13"/>
        <v>0</v>
      </c>
      <c r="H37">
        <v>23.5</v>
      </c>
      <c r="I37">
        <v>0.25506930253060134</v>
      </c>
      <c r="J37" s="10">
        <f t="shared" si="0"/>
        <v>-2.05E-4</v>
      </c>
      <c r="K37" s="17">
        <f t="shared" si="1"/>
        <v>1.8E-5</v>
      </c>
      <c r="L37" s="10">
        <f t="shared" si="2"/>
        <v>-4.3199999999999998E-4</v>
      </c>
      <c r="M37" s="11">
        <f t="shared" si="11"/>
        <v>0.25516407165164784</v>
      </c>
      <c r="N37" s="5">
        <f t="shared" si="3"/>
        <v>3.7154263608468133E-4</v>
      </c>
      <c r="O37">
        <f t="shared" si="4"/>
        <v>1361.3249000000001</v>
      </c>
      <c r="P37">
        <f t="shared" ca="1" si="5"/>
        <v>1364</v>
      </c>
      <c r="Q37" t="str">
        <f t="shared" ca="1" si="6"/>
        <v>0000010101010100</v>
      </c>
      <c r="R37">
        <f t="shared" ca="1" si="7"/>
        <v>0.25575000000000003</v>
      </c>
      <c r="S37">
        <f t="shared" ca="1" si="8"/>
        <v>23.069000000000003</v>
      </c>
      <c r="T37" s="3">
        <f t="shared" ca="1" si="12"/>
        <v>1.8340425531914784E-2</v>
      </c>
      <c r="W37">
        <f t="shared" si="9"/>
        <v>23.060831630367218</v>
      </c>
      <c r="X37" s="5">
        <f t="shared" si="10"/>
        <v>1.8688015729054541E-2</v>
      </c>
    </row>
    <row r="38" spans="1:24" x14ac:dyDescent="0.25">
      <c r="A38" t="s">
        <v>44</v>
      </c>
      <c r="B38">
        <v>0</v>
      </c>
      <c r="C38">
        <v>0</v>
      </c>
      <c r="D38">
        <f t="shared" si="13"/>
        <v>0</v>
      </c>
      <c r="H38">
        <v>23.6</v>
      </c>
      <c r="I38">
        <v>0.26266989762333204</v>
      </c>
      <c r="J38" s="10">
        <f t="shared" si="0"/>
        <v>-2.04E-4</v>
      </c>
      <c r="K38" s="17">
        <f t="shared" si="1"/>
        <v>1.8E-5</v>
      </c>
      <c r="L38" s="10">
        <f t="shared" si="2"/>
        <v>-4.0200000000000001E-4</v>
      </c>
      <c r="M38" s="11">
        <f t="shared" si="11"/>
        <v>0.2627682647808901</v>
      </c>
      <c r="N38" s="5">
        <f t="shared" si="3"/>
        <v>3.744896482166527E-4</v>
      </c>
      <c r="O38">
        <f t="shared" si="4"/>
        <v>1401.894</v>
      </c>
      <c r="P38">
        <f t="shared" ca="1" si="5"/>
        <v>1400</v>
      </c>
      <c r="Q38" t="str">
        <f t="shared" ca="1" si="6"/>
        <v>0000010101111000</v>
      </c>
      <c r="R38">
        <f t="shared" ca="1" si="7"/>
        <v>0.26250000000000001</v>
      </c>
      <c r="S38">
        <f t="shared" ca="1" si="8"/>
        <v>23.150000000000002</v>
      </c>
      <c r="T38" s="3">
        <f t="shared" ca="1" si="12"/>
        <v>1.9067796610169462E-2</v>
      </c>
      <c r="W38">
        <f t="shared" si="9"/>
        <v>23.152038771479987</v>
      </c>
      <c r="X38" s="5">
        <f t="shared" si="10"/>
        <v>1.8981407988136217E-2</v>
      </c>
    </row>
    <row r="39" spans="1:24" x14ac:dyDescent="0.25">
      <c r="A39" t="s">
        <v>45</v>
      </c>
      <c r="B39">
        <v>5</v>
      </c>
      <c r="C39">
        <v>5</v>
      </c>
      <c r="D39">
        <f t="shared" si="13"/>
        <v>0</v>
      </c>
      <c r="H39">
        <v>23.7</v>
      </c>
      <c r="I39">
        <v>0.27029689212016922</v>
      </c>
      <c r="J39" s="10">
        <f t="shared" si="0"/>
        <v>-2.04E-4</v>
      </c>
      <c r="K39" s="17">
        <f t="shared" si="1"/>
        <v>1.9000000000000001E-5</v>
      </c>
      <c r="L39" s="10">
        <f t="shared" si="2"/>
        <v>-3.7100000000000002E-4</v>
      </c>
      <c r="M39" s="11">
        <f t="shared" si="11"/>
        <v>0.27040057350739799</v>
      </c>
      <c r="N39" s="5">
        <f t="shared" si="3"/>
        <v>3.8358334946254679E-4</v>
      </c>
      <c r="O39">
        <f t="shared" si="4"/>
        <v>1442.6131</v>
      </c>
      <c r="P39">
        <f t="shared" ca="1" si="5"/>
        <v>1444</v>
      </c>
      <c r="Q39" t="str">
        <f t="shared" ca="1" si="6"/>
        <v>0000010110100100</v>
      </c>
      <c r="R39">
        <f t="shared" ca="1" si="7"/>
        <v>0.27074999999999999</v>
      </c>
      <c r="S39">
        <f t="shared" ca="1" si="8"/>
        <v>23.249000000000002</v>
      </c>
      <c r="T39" s="3">
        <f t="shared" ca="1" si="12"/>
        <v>1.9029535864978776E-2</v>
      </c>
      <c r="W39">
        <f t="shared" si="9"/>
        <v>23.243562705442031</v>
      </c>
      <c r="X39" s="5">
        <f t="shared" si="10"/>
        <v>1.9258957576285589E-2</v>
      </c>
    </row>
    <row r="40" spans="1:24" x14ac:dyDescent="0.25">
      <c r="A40" t="s">
        <v>46</v>
      </c>
      <c r="B40">
        <v>0</v>
      </c>
      <c r="C40">
        <v>0</v>
      </c>
      <c r="D40">
        <f t="shared" si="13"/>
        <v>0</v>
      </c>
      <c r="H40">
        <v>23.8</v>
      </c>
      <c r="I40">
        <v>0.27700838513439835</v>
      </c>
      <c r="J40" s="10">
        <f t="shared" si="0"/>
        <v>-2.03E-4</v>
      </c>
      <c r="K40" s="17">
        <f t="shared" si="1"/>
        <v>1.9000000000000001E-5</v>
      </c>
      <c r="L40" s="10">
        <f t="shared" si="2"/>
        <v>-3.4099999999999999E-4</v>
      </c>
      <c r="M40" s="11">
        <f t="shared" si="11"/>
        <v>0.27711688827549641</v>
      </c>
      <c r="N40" s="5">
        <f t="shared" si="3"/>
        <v>3.916962334747245E-4</v>
      </c>
      <c r="O40">
        <f t="shared" si="4"/>
        <v>1478.4452000000001</v>
      </c>
      <c r="P40">
        <f t="shared" ca="1" si="5"/>
        <v>1479</v>
      </c>
      <c r="Q40" t="str">
        <f t="shared" ca="1" si="6"/>
        <v>0000010111000111</v>
      </c>
      <c r="R40">
        <f t="shared" ca="1" si="7"/>
        <v>0.27731250000000002</v>
      </c>
      <c r="S40">
        <f t="shared" ca="1" si="8"/>
        <v>23.327750000000002</v>
      </c>
      <c r="T40" s="3">
        <f t="shared" ca="1" si="12"/>
        <v>1.9842436974789872E-2</v>
      </c>
      <c r="W40">
        <f t="shared" si="9"/>
        <v>23.324100621612782</v>
      </c>
      <c r="X40" s="5">
        <f t="shared" si="10"/>
        <v>1.9995772201143635E-2</v>
      </c>
    </row>
    <row r="41" spans="1:24" x14ac:dyDescent="0.25">
      <c r="A41" t="s">
        <v>47</v>
      </c>
      <c r="B41">
        <v>5</v>
      </c>
      <c r="C41">
        <v>5</v>
      </c>
      <c r="D41">
        <f t="shared" si="13"/>
        <v>0</v>
      </c>
      <c r="H41">
        <v>23.9</v>
      </c>
      <c r="I41">
        <v>0.28374796390608115</v>
      </c>
      <c r="J41" s="10">
        <f t="shared" si="0"/>
        <v>-2.03E-4</v>
      </c>
      <c r="K41" s="17">
        <f t="shared" si="1"/>
        <v>2.0000000000000002E-5</v>
      </c>
      <c r="L41" s="10">
        <f t="shared" si="2"/>
        <v>-3.1E-4</v>
      </c>
      <c r="M41" s="11">
        <f t="shared" si="11"/>
        <v>0.28386296638650133</v>
      </c>
      <c r="N41" s="5">
        <f t="shared" si="3"/>
        <v>4.0529799346240923E-4</v>
      </c>
      <c r="O41">
        <f t="shared" si="4"/>
        <v>1514.4362000000001</v>
      </c>
      <c r="P41">
        <f t="shared" ca="1" si="5"/>
        <v>1516</v>
      </c>
      <c r="Q41" t="str">
        <f t="shared" ca="1" si="6"/>
        <v>0000010111101100</v>
      </c>
      <c r="R41">
        <f t="shared" ca="1" si="7"/>
        <v>0.28425</v>
      </c>
      <c r="S41">
        <f t="shared" ca="1" si="8"/>
        <v>23.411000000000001</v>
      </c>
      <c r="T41" s="3">
        <f t="shared" ca="1" si="12"/>
        <v>2.0460251046024988E-2</v>
      </c>
      <c r="W41">
        <f t="shared" si="9"/>
        <v>23.404975566872977</v>
      </c>
      <c r="X41" s="5">
        <f t="shared" si="10"/>
        <v>2.0712319377699635E-2</v>
      </c>
    </row>
    <row r="42" spans="1:24" x14ac:dyDescent="0.25">
      <c r="H42">
        <v>24</v>
      </c>
      <c r="I42">
        <v>0.29145575347065761</v>
      </c>
      <c r="J42" s="10">
        <f t="shared" si="0"/>
        <v>-2.02E-4</v>
      </c>
      <c r="K42" s="17">
        <f t="shared" si="1"/>
        <v>2.0000000000000002E-5</v>
      </c>
      <c r="L42" s="10">
        <f t="shared" si="2"/>
        <v>-2.7999999999999998E-4</v>
      </c>
      <c r="M42" s="11">
        <f t="shared" si="11"/>
        <v>0.291576112159253</v>
      </c>
      <c r="N42" s="5">
        <f t="shared" si="3"/>
        <v>4.1295698287701553E-4</v>
      </c>
      <c r="O42">
        <f t="shared" si="4"/>
        <v>1555.5866000000001</v>
      </c>
      <c r="P42">
        <f t="shared" ca="1" si="5"/>
        <v>1555</v>
      </c>
      <c r="Q42" t="str">
        <f t="shared" ca="1" si="6"/>
        <v>0000011000010011</v>
      </c>
      <c r="R42">
        <f t="shared" ca="1" si="7"/>
        <v>0.2915625</v>
      </c>
      <c r="S42">
        <f t="shared" ca="1" si="8"/>
        <v>23.498750000000001</v>
      </c>
      <c r="T42" s="3">
        <f t="shared" ca="1" si="12"/>
        <v>2.0885416666666618E-2</v>
      </c>
      <c r="W42">
        <f t="shared" si="9"/>
        <v>23.497469041647893</v>
      </c>
      <c r="X42" s="5">
        <f t="shared" si="10"/>
        <v>2.0938789931337798E-2</v>
      </c>
    </row>
    <row r="43" spans="1:24" x14ac:dyDescent="0.25">
      <c r="A43" s="24" t="s">
        <v>114</v>
      </c>
      <c r="B43" s="24"/>
      <c r="C43" s="24"/>
      <c r="D43" s="24"/>
      <c r="E43" s="24"/>
      <c r="H43">
        <v>24.1</v>
      </c>
      <c r="I43">
        <v>0.29731130374336184</v>
      </c>
      <c r="J43" s="10">
        <f t="shared" si="0"/>
        <v>-2.0100000000000001E-4</v>
      </c>
      <c r="K43" s="17">
        <f t="shared" si="1"/>
        <v>2.0999999999999999E-5</v>
      </c>
      <c r="L43" s="10">
        <f t="shared" si="2"/>
        <v>-2.4899999999999998E-4</v>
      </c>
      <c r="M43" s="11">
        <f t="shared" si="11"/>
        <v>0.2974382416211982</v>
      </c>
      <c r="N43" s="5">
        <f t="shared" si="3"/>
        <v>4.269527469629112E-4</v>
      </c>
      <c r="O43">
        <f t="shared" si="4"/>
        <v>1586.8616</v>
      </c>
      <c r="P43">
        <f t="shared" ca="1" si="5"/>
        <v>1589</v>
      </c>
      <c r="Q43" t="str">
        <f t="shared" ca="1" si="6"/>
        <v>0000011000110101</v>
      </c>
      <c r="R43">
        <f t="shared" ca="1" si="7"/>
        <v>0.29793750000000002</v>
      </c>
      <c r="S43">
        <f t="shared" ca="1" si="8"/>
        <v>23.57525</v>
      </c>
      <c r="T43" s="3">
        <f t="shared" ca="1" si="12"/>
        <v>2.1773858921161862E-2</v>
      </c>
      <c r="W43">
        <f t="shared" si="9"/>
        <v>23.567735644920344</v>
      </c>
      <c r="X43" s="5">
        <f t="shared" si="10"/>
        <v>2.2085657887122728E-2</v>
      </c>
    </row>
    <row r="44" spans="1:24" x14ac:dyDescent="0.25">
      <c r="A44" t="s">
        <v>115</v>
      </c>
      <c r="B44" t="s">
        <v>116</v>
      </c>
      <c r="C44">
        <f>$D$16*(2^($C$12-1) - 1)/(2^($C$12-1))</f>
        <v>6.141969909027293</v>
      </c>
      <c r="D44" t="s">
        <v>65</v>
      </c>
      <c r="H44">
        <v>24.2</v>
      </c>
      <c r="I44">
        <v>0.30413502562732236</v>
      </c>
      <c r="J44" s="10">
        <f t="shared" si="0"/>
        <v>-2.0100000000000001E-4</v>
      </c>
      <c r="K44" s="17">
        <f t="shared" si="1"/>
        <v>2.0999999999999999E-5</v>
      </c>
      <c r="L44" s="10">
        <f t="shared" si="2"/>
        <v>-2.1900000000000001E-4</v>
      </c>
      <c r="M44" s="11">
        <f t="shared" si="11"/>
        <v>0.30426939063077424</v>
      </c>
      <c r="N44" s="5">
        <f t="shared" si="3"/>
        <v>4.4179391431397246E-4</v>
      </c>
      <c r="O44">
        <f t="shared" si="4"/>
        <v>1623.3064999999999</v>
      </c>
      <c r="P44">
        <f t="shared" ca="1" si="5"/>
        <v>1627</v>
      </c>
      <c r="Q44" t="str">
        <f t="shared" ca="1" si="6"/>
        <v>0000011001011011</v>
      </c>
      <c r="R44">
        <f t="shared" ca="1" si="7"/>
        <v>0.30506250000000001</v>
      </c>
      <c r="S44">
        <f t="shared" ca="1" si="8"/>
        <v>23.660750000000004</v>
      </c>
      <c r="T44" s="3">
        <f t="shared" ca="1" si="12"/>
        <v>2.2283057851239487E-2</v>
      </c>
      <c r="W44">
        <f t="shared" si="9"/>
        <v>23.649620307527869</v>
      </c>
      <c r="X44" s="5">
        <f t="shared" si="10"/>
        <v>2.2742962498848378E-2</v>
      </c>
    </row>
    <row r="45" spans="1:24" x14ac:dyDescent="0.25">
      <c r="A45" t="s">
        <v>16</v>
      </c>
      <c r="B45">
        <v>-3</v>
      </c>
      <c r="D45">
        <v>3</v>
      </c>
      <c r="E45" s="20" t="s">
        <v>17</v>
      </c>
      <c r="H45">
        <v>24.3</v>
      </c>
      <c r="I45">
        <v>0.31192428466482308</v>
      </c>
      <c r="J45" s="10">
        <f t="shared" si="0"/>
        <v>-2.0000000000000001E-4</v>
      </c>
      <c r="K45" s="17">
        <f t="shared" si="1"/>
        <v>2.1999999999999999E-5</v>
      </c>
      <c r="L45" s="10">
        <f t="shared" si="2"/>
        <v>-1.8799999999999999E-4</v>
      </c>
      <c r="M45" s="11">
        <f t="shared" si="11"/>
        <v>0.31206561632895319</v>
      </c>
      <c r="N45" s="5">
        <f t="shared" si="3"/>
        <v>4.5309605913490802E-4</v>
      </c>
      <c r="O45">
        <f t="shared" si="4"/>
        <v>1664.9001000000001</v>
      </c>
      <c r="P45">
        <f t="shared" ca="1" si="5"/>
        <v>1668</v>
      </c>
      <c r="Q45" t="str">
        <f t="shared" ca="1" si="6"/>
        <v>0000011010000100</v>
      </c>
      <c r="R45">
        <f t="shared" ca="1" si="7"/>
        <v>0.31275000000000003</v>
      </c>
      <c r="S45">
        <f t="shared" ca="1" si="8"/>
        <v>23.753000000000004</v>
      </c>
      <c r="T45" s="3">
        <f t="shared" ca="1" si="12"/>
        <v>2.2510288065843501E-2</v>
      </c>
      <c r="W45">
        <f t="shared" si="9"/>
        <v>23.743091415977879</v>
      </c>
      <c r="X45" s="5">
        <f t="shared" si="10"/>
        <v>2.2918048725190175E-2</v>
      </c>
    </row>
    <row r="46" spans="1:24" x14ac:dyDescent="0.25">
      <c r="A46" t="s">
        <v>117</v>
      </c>
      <c r="C46">
        <v>5.0000000000000001E-3</v>
      </c>
      <c r="E46" s="20" t="s">
        <v>118</v>
      </c>
      <c r="H46">
        <v>24.4</v>
      </c>
      <c r="I46">
        <v>0.31973978164892797</v>
      </c>
      <c r="J46" s="10">
        <f t="shared" si="0"/>
        <v>-2.0000000000000001E-4</v>
      </c>
      <c r="K46" s="17">
        <f t="shared" si="1"/>
        <v>2.1999999999999999E-5</v>
      </c>
      <c r="L46" s="10">
        <f t="shared" si="2"/>
        <v>-1.5799999999999999E-4</v>
      </c>
      <c r="M46" s="11">
        <f t="shared" si="11"/>
        <v>0.31988923914914236</v>
      </c>
      <c r="N46" s="5">
        <f t="shared" si="3"/>
        <v>4.6743479789603627E-4</v>
      </c>
      <c r="O46">
        <f t="shared" si="4"/>
        <v>1706.6397999999999</v>
      </c>
      <c r="P46">
        <f t="shared" ca="1" si="5"/>
        <v>1704</v>
      </c>
      <c r="Q46" t="str">
        <f t="shared" ca="1" si="6"/>
        <v>0000011010101000</v>
      </c>
      <c r="R46">
        <f t="shared" ca="1" si="7"/>
        <v>0.31950000000000001</v>
      </c>
      <c r="S46">
        <f t="shared" ca="1" si="8"/>
        <v>23.834</v>
      </c>
      <c r="T46" s="3">
        <f t="shared" ca="1" si="12"/>
        <v>2.319672131147537E-2</v>
      </c>
      <c r="W46">
        <f t="shared" si="9"/>
        <v>23.83687737978714</v>
      </c>
      <c r="X46" s="5">
        <f t="shared" si="10"/>
        <v>2.3078795910363065E-2</v>
      </c>
    </row>
    <row r="47" spans="1:24" x14ac:dyDescent="0.25">
      <c r="B47" t="s">
        <v>119</v>
      </c>
      <c r="C47">
        <f>($D$19-$B$19)*C46</f>
        <v>0.3</v>
      </c>
      <c r="E47" s="20" t="s">
        <v>17</v>
      </c>
      <c r="H47">
        <v>24.5</v>
      </c>
      <c r="I47">
        <v>0.32664571241692569</v>
      </c>
      <c r="J47" s="10">
        <f t="shared" si="0"/>
        <v>-1.9900000000000001E-4</v>
      </c>
      <c r="K47" s="17">
        <f t="shared" si="1"/>
        <v>2.3E-5</v>
      </c>
      <c r="L47" s="10">
        <f t="shared" si="2"/>
        <v>-1.27E-4</v>
      </c>
      <c r="M47" s="11">
        <f t="shared" si="11"/>
        <v>0.3268032084094577</v>
      </c>
      <c r="N47" s="5">
        <f t="shared" si="3"/>
        <v>4.8216151795368737E-4</v>
      </c>
      <c r="O47">
        <f t="shared" si="4"/>
        <v>1743.5264999999999</v>
      </c>
      <c r="P47">
        <f t="shared" ca="1" si="5"/>
        <v>1743</v>
      </c>
      <c r="Q47" t="str">
        <f t="shared" ca="1" si="6"/>
        <v>0000011011001111</v>
      </c>
      <c r="R47">
        <f t="shared" ca="1" si="7"/>
        <v>0.32681250000000001</v>
      </c>
      <c r="S47">
        <f t="shared" ca="1" si="8"/>
        <v>23.921750000000003</v>
      </c>
      <c r="T47" s="3">
        <f t="shared" ca="1" si="12"/>
        <v>2.360204081632641E-2</v>
      </c>
      <c r="W47">
        <f t="shared" si="9"/>
        <v>23.91974854900311</v>
      </c>
      <c r="X47" s="5">
        <f t="shared" si="10"/>
        <v>2.3683732693750618E-2</v>
      </c>
    </row>
    <row r="48" spans="1:24" x14ac:dyDescent="0.25">
      <c r="A48" t="s">
        <v>120</v>
      </c>
      <c r="C48">
        <v>1</v>
      </c>
      <c r="E48" s="20" t="s">
        <v>20</v>
      </c>
      <c r="H48">
        <v>24.6</v>
      </c>
      <c r="I48">
        <v>0.33357958444403291</v>
      </c>
      <c r="J48" s="10">
        <f t="shared" si="0"/>
        <v>-1.9900000000000001E-4</v>
      </c>
      <c r="K48" s="17">
        <f t="shared" si="1"/>
        <v>2.3E-5</v>
      </c>
      <c r="L48" s="10">
        <f t="shared" si="2"/>
        <v>-9.7E-5</v>
      </c>
      <c r="M48" s="11">
        <f t="shared" si="11"/>
        <v>0.33374621106155994</v>
      </c>
      <c r="N48" s="5">
        <f t="shared" si="3"/>
        <v>4.9951083728563351E-4</v>
      </c>
      <c r="O48">
        <f t="shared" si="4"/>
        <v>1780.5681</v>
      </c>
      <c r="P48">
        <f t="shared" ca="1" si="5"/>
        <v>1780</v>
      </c>
      <c r="Q48" t="str">
        <f t="shared" ca="1" si="6"/>
        <v>0000011011110100</v>
      </c>
      <c r="R48">
        <f t="shared" ca="1" si="7"/>
        <v>0.33374999999999999</v>
      </c>
      <c r="S48">
        <f t="shared" ca="1" si="8"/>
        <v>24.005000000000003</v>
      </c>
      <c r="T48" s="3">
        <f t="shared" ca="1" si="12"/>
        <v>2.4186991869918652E-2</v>
      </c>
      <c r="W48">
        <f t="shared" si="9"/>
        <v>24.002955013328396</v>
      </c>
      <c r="X48" s="5">
        <f t="shared" si="10"/>
        <v>2.4270121409414844E-2</v>
      </c>
    </row>
    <row r="49" spans="2:24" x14ac:dyDescent="0.25">
      <c r="B49" t="s">
        <v>121</v>
      </c>
      <c r="C49">
        <f>($D$10-$B$10)*C48</f>
        <v>0.29999999999999982</v>
      </c>
      <c r="E49" s="20" t="s">
        <v>17</v>
      </c>
      <c r="H49">
        <v>24.7</v>
      </c>
      <c r="I49">
        <v>0.34240941427373484</v>
      </c>
      <c r="J49" s="10">
        <f t="shared" si="0"/>
        <v>-1.9799999999999999E-4</v>
      </c>
      <c r="K49" s="17">
        <f t="shared" si="1"/>
        <v>2.4000000000000001E-5</v>
      </c>
      <c r="L49" s="10">
        <f t="shared" si="2"/>
        <v>-6.6000000000000005E-5</v>
      </c>
      <c r="M49" s="11">
        <f t="shared" si="11"/>
        <v>0.3425848036766922</v>
      </c>
      <c r="N49" s="5">
        <f t="shared" si="3"/>
        <v>5.1222132232949392E-4</v>
      </c>
      <c r="O49">
        <f t="shared" si="4"/>
        <v>1827.7229</v>
      </c>
      <c r="P49">
        <f t="shared" ca="1" si="5"/>
        <v>1826</v>
      </c>
      <c r="Q49" t="str">
        <f t="shared" ca="1" si="6"/>
        <v>0000011100100010</v>
      </c>
      <c r="R49">
        <f t="shared" ca="1" si="7"/>
        <v>0.34237499999999998</v>
      </c>
      <c r="S49">
        <f t="shared" ca="1" si="8"/>
        <v>24.108499999999999</v>
      </c>
      <c r="T49" s="3">
        <f t="shared" ca="1" si="12"/>
        <v>2.394736842105263E-2</v>
      </c>
      <c r="W49">
        <f t="shared" si="9"/>
        <v>24.108912971284816</v>
      </c>
      <c r="X49" s="5">
        <f t="shared" si="10"/>
        <v>2.3930648935837372E-2</v>
      </c>
    </row>
    <row r="50" spans="2:24" x14ac:dyDescent="0.25">
      <c r="H50">
        <v>24.8</v>
      </c>
      <c r="I50">
        <v>0.34939733814112833</v>
      </c>
      <c r="J50" s="10">
        <f t="shared" si="0"/>
        <v>-1.9699999999999999E-4</v>
      </c>
      <c r="K50" s="17">
        <f t="shared" si="1"/>
        <v>2.4000000000000001E-5</v>
      </c>
      <c r="L50" s="10">
        <f t="shared" si="2"/>
        <v>-3.6000000000000001E-5</v>
      </c>
      <c r="M50" s="11">
        <f t="shared" si="11"/>
        <v>0.34958175319801321</v>
      </c>
      <c r="N50" s="5">
        <f t="shared" si="3"/>
        <v>5.2780899209481163E-4</v>
      </c>
      <c r="O50">
        <f t="shared" si="4"/>
        <v>1865.0523000000001</v>
      </c>
      <c r="P50">
        <f t="shared" ca="1" si="5"/>
        <v>1868</v>
      </c>
      <c r="Q50" t="str">
        <f t="shared" ca="1" si="6"/>
        <v>0000011101001100</v>
      </c>
      <c r="R50">
        <f t="shared" ca="1" si="7"/>
        <v>0.35025000000000001</v>
      </c>
      <c r="S50">
        <f t="shared" ca="1" si="8"/>
        <v>24.203000000000003</v>
      </c>
      <c r="T50" s="3">
        <f t="shared" ca="1" si="12"/>
        <v>2.4072580645161198E-2</v>
      </c>
      <c r="W50">
        <f t="shared" si="9"/>
        <v>24.192768057693542</v>
      </c>
      <c r="X50" s="5">
        <f t="shared" si="10"/>
        <v>2.4485158963970126E-2</v>
      </c>
    </row>
    <row r="51" spans="2:24" x14ac:dyDescent="0.25">
      <c r="H51">
        <v>24.9</v>
      </c>
      <c r="I51">
        <v>0.35454862470100779</v>
      </c>
      <c r="J51" s="10">
        <f t="shared" si="0"/>
        <v>-1.9699999999999999E-4</v>
      </c>
      <c r="K51" s="17">
        <f t="shared" si="1"/>
        <v>2.5000000000000001E-5</v>
      </c>
      <c r="L51" s="10">
        <f t="shared" si="2"/>
        <v>-5.0000000000000004E-6</v>
      </c>
      <c r="M51" s="11">
        <f t="shared" si="11"/>
        <v>0.35474385098175287</v>
      </c>
      <c r="N51" s="5">
        <f t="shared" si="3"/>
        <v>5.5063330427447489E-4</v>
      </c>
      <c r="O51">
        <f t="shared" si="4"/>
        <v>1892.5925999999999</v>
      </c>
      <c r="P51">
        <f t="shared" ca="1" si="5"/>
        <v>1892</v>
      </c>
      <c r="Q51" t="str">
        <f t="shared" ca="1" si="6"/>
        <v>0000011101100100</v>
      </c>
      <c r="R51">
        <f t="shared" ca="1" si="7"/>
        <v>0.35475000000000001</v>
      </c>
      <c r="S51">
        <f t="shared" ca="1" si="8"/>
        <v>24.257000000000001</v>
      </c>
      <c r="T51" s="3">
        <f t="shared" ca="1" si="12"/>
        <v>2.5823293172690651E-2</v>
      </c>
      <c r="W51">
        <f t="shared" si="9"/>
        <v>24.254583496412096</v>
      </c>
      <c r="X51" s="5">
        <f t="shared" si="10"/>
        <v>2.5920341509554336E-2</v>
      </c>
    </row>
    <row r="52" spans="2:24" x14ac:dyDescent="0.25">
      <c r="H52">
        <v>25</v>
      </c>
      <c r="I52">
        <v>0.3634567715122744</v>
      </c>
      <c r="J52" s="10">
        <f t="shared" si="0"/>
        <v>-1.9599999999999999E-4</v>
      </c>
      <c r="K52" s="17">
        <f t="shared" si="1"/>
        <v>2.5000000000000001E-5</v>
      </c>
      <c r="L52" s="10">
        <f t="shared" si="2"/>
        <v>2.5000000000000001E-5</v>
      </c>
      <c r="M52" s="11">
        <f t="shared" si="11"/>
        <v>0.36366186305885084</v>
      </c>
      <c r="N52" s="5">
        <f t="shared" si="3"/>
        <v>5.6428043897241062E-4</v>
      </c>
      <c r="O52">
        <f t="shared" si="4"/>
        <v>1940.171</v>
      </c>
      <c r="P52">
        <f t="shared" ca="1" si="5"/>
        <v>1938</v>
      </c>
      <c r="Q52" t="str">
        <f t="shared" ca="1" si="6"/>
        <v>0000011110010010</v>
      </c>
      <c r="R52">
        <f t="shared" ca="1" si="7"/>
        <v>0.363375</v>
      </c>
      <c r="S52">
        <f t="shared" ca="1" si="8"/>
        <v>24.360499999999998</v>
      </c>
      <c r="T52" s="3">
        <f t="shared" ca="1" si="12"/>
        <v>2.5580000000000068E-2</v>
      </c>
      <c r="W52">
        <f t="shared" si="9"/>
        <v>24.361481258147297</v>
      </c>
      <c r="X52" s="5">
        <f t="shared" si="10"/>
        <v>2.5540749674108128E-2</v>
      </c>
    </row>
    <row r="53" spans="2:24" x14ac:dyDescent="0.25">
      <c r="H53">
        <v>25.1</v>
      </c>
      <c r="I53">
        <v>0.37052823315396544</v>
      </c>
      <c r="J53" s="10">
        <f t="shared" si="0"/>
        <v>-1.9599999999999999E-4</v>
      </c>
      <c r="K53" s="17">
        <f t="shared" si="1"/>
        <v>2.5999999999999998E-5</v>
      </c>
      <c r="L53" s="10">
        <f t="shared" si="2"/>
        <v>5.5999999999999999E-5</v>
      </c>
      <c r="M53" s="11">
        <f t="shared" si="11"/>
        <v>0.37074499487367829</v>
      </c>
      <c r="N53" s="5">
        <f t="shared" si="3"/>
        <v>5.8500729584831321E-4</v>
      </c>
      <c r="O53">
        <f t="shared" si="4"/>
        <v>1977.9602</v>
      </c>
      <c r="P53">
        <f t="shared" ca="1" si="5"/>
        <v>1980</v>
      </c>
      <c r="Q53" t="str">
        <f t="shared" ca="1" si="6"/>
        <v>0000011110111100</v>
      </c>
      <c r="R53">
        <f t="shared" ca="1" si="7"/>
        <v>0.37125000000000002</v>
      </c>
      <c r="S53">
        <f t="shared" ca="1" si="8"/>
        <v>24.455000000000002</v>
      </c>
      <c r="T53" s="3">
        <f t="shared" ca="1" si="12"/>
        <v>2.5697211155378468E-2</v>
      </c>
      <c r="W53">
        <f t="shared" si="9"/>
        <v>24.446338797847588</v>
      </c>
      <c r="X53" s="5">
        <f t="shared" si="10"/>
        <v>2.6042278970215677E-2</v>
      </c>
    </row>
    <row r="54" spans="2:24" x14ac:dyDescent="0.25">
      <c r="H54">
        <v>25.2</v>
      </c>
      <c r="I54">
        <v>0.37762749221889347</v>
      </c>
      <c r="J54" s="10">
        <f t="shared" si="0"/>
        <v>-1.95E-4</v>
      </c>
      <c r="K54" s="17">
        <f t="shared" si="1"/>
        <v>2.5999999999999998E-5</v>
      </c>
      <c r="L54" s="10">
        <f t="shared" si="2"/>
        <v>8.6000000000000003E-5</v>
      </c>
      <c r="M54" s="11">
        <f t="shared" si="11"/>
        <v>0.37785498774783982</v>
      </c>
      <c r="N54" s="5">
        <f t="shared" si="3"/>
        <v>6.0243370420309426E-4</v>
      </c>
      <c r="O54">
        <f t="shared" si="4"/>
        <v>2015.8927000000001</v>
      </c>
      <c r="P54">
        <f t="shared" ca="1" si="5"/>
        <v>2014</v>
      </c>
      <c r="Q54" t="str">
        <f t="shared" ca="1" si="6"/>
        <v>0000011111011110</v>
      </c>
      <c r="R54">
        <f t="shared" ca="1" si="7"/>
        <v>0.37762499999999999</v>
      </c>
      <c r="S54">
        <f t="shared" ca="1" si="8"/>
        <v>24.531500000000001</v>
      </c>
      <c r="T54" s="3">
        <f t="shared" ca="1" si="12"/>
        <v>2.6527777777777702E-2</v>
      </c>
      <c r="W54">
        <f t="shared" si="9"/>
        <v>24.531529906626723</v>
      </c>
      <c r="X54" s="5">
        <f t="shared" si="10"/>
        <v>2.6526591006876047E-2</v>
      </c>
    </row>
    <row r="55" spans="2:24" x14ac:dyDescent="0.25">
      <c r="H55">
        <v>25.3</v>
      </c>
      <c r="I55">
        <v>0.38475452317236519</v>
      </c>
      <c r="J55" s="10">
        <f t="shared" si="0"/>
        <v>-1.95E-4</v>
      </c>
      <c r="K55" s="17">
        <f t="shared" si="1"/>
        <v>2.6999999999999999E-5</v>
      </c>
      <c r="L55" s="10">
        <f t="shared" si="2"/>
        <v>1.17E-4</v>
      </c>
      <c r="M55" s="11">
        <f t="shared" si="11"/>
        <v>0.38499456753676703</v>
      </c>
      <c r="N55" s="5">
        <f t="shared" si="3"/>
        <v>6.2388964897054633E-4</v>
      </c>
      <c r="O55">
        <f t="shared" si="4"/>
        <v>2053.9830000000002</v>
      </c>
      <c r="P55">
        <f t="shared" ca="1" si="5"/>
        <v>2054</v>
      </c>
      <c r="Q55" t="str">
        <f t="shared" ca="1" si="6"/>
        <v>0000100000000110</v>
      </c>
      <c r="R55">
        <f t="shared" ca="1" si="7"/>
        <v>0.385125</v>
      </c>
      <c r="S55">
        <f t="shared" ca="1" si="8"/>
        <v>24.621500000000005</v>
      </c>
      <c r="T55" s="3">
        <f t="shared" ca="1" si="12"/>
        <v>2.6818181818181665E-2</v>
      </c>
      <c r="W55">
        <f t="shared" si="9"/>
        <v>24.617054278068384</v>
      </c>
      <c r="X55" s="5">
        <f t="shared" si="10"/>
        <v>2.6993902052633075E-2</v>
      </c>
    </row>
    <row r="56" spans="2:24" x14ac:dyDescent="0.25">
      <c r="H56">
        <v>25.4</v>
      </c>
      <c r="I56">
        <v>0.39283711009180378</v>
      </c>
      <c r="J56" s="10">
        <f t="shared" si="0"/>
        <v>-1.94E-4</v>
      </c>
      <c r="K56" s="17">
        <f t="shared" si="1"/>
        <v>2.6999999999999999E-5</v>
      </c>
      <c r="L56" s="10">
        <f t="shared" si="2"/>
        <v>1.47E-4</v>
      </c>
      <c r="M56" s="11">
        <f t="shared" si="11"/>
        <v>0.39308889415924519</v>
      </c>
      <c r="N56" s="5">
        <f t="shared" si="3"/>
        <v>6.4093758194733175E-4</v>
      </c>
      <c r="O56">
        <f t="shared" si="4"/>
        <v>2097.1669999999999</v>
      </c>
      <c r="P56">
        <f t="shared" ca="1" si="5"/>
        <v>2095</v>
      </c>
      <c r="Q56" t="str">
        <f t="shared" ca="1" si="6"/>
        <v>0000100000101111</v>
      </c>
      <c r="R56">
        <f t="shared" ca="1" si="7"/>
        <v>0.39281250000000001</v>
      </c>
      <c r="S56">
        <f t="shared" ca="1" si="8"/>
        <v>24.713750000000001</v>
      </c>
      <c r="T56" s="3">
        <f t="shared" ca="1" si="12"/>
        <v>2.7017716535432976E-2</v>
      </c>
      <c r="W56">
        <f t="shared" si="9"/>
        <v>24.714045321101644</v>
      </c>
      <c r="X56" s="5">
        <f t="shared" si="10"/>
        <v>2.7006089720407682E-2</v>
      </c>
    </row>
    <row r="57" spans="2:24" x14ac:dyDescent="0.25">
      <c r="H57">
        <v>25.5</v>
      </c>
      <c r="I57">
        <v>0.40094563020375662</v>
      </c>
      <c r="J57" s="10">
        <f t="shared" si="0"/>
        <v>-1.93E-4</v>
      </c>
      <c r="K57" s="17">
        <f t="shared" si="1"/>
        <v>2.8E-5</v>
      </c>
      <c r="L57" s="10">
        <f t="shared" si="2"/>
        <v>1.7799999999999999E-4</v>
      </c>
      <c r="M57" s="11">
        <f t="shared" si="11"/>
        <v>0.40121004559187196</v>
      </c>
      <c r="N57" s="5">
        <f t="shared" si="3"/>
        <v>6.5947941116345922E-4</v>
      </c>
      <c r="O57">
        <f t="shared" si="4"/>
        <v>2140.4942000000001</v>
      </c>
      <c r="P57">
        <f t="shared" ca="1" si="5"/>
        <v>2141</v>
      </c>
      <c r="Q57" t="str">
        <f t="shared" ca="1" si="6"/>
        <v>0000100001011101</v>
      </c>
      <c r="R57">
        <f t="shared" ca="1" si="7"/>
        <v>0.4014375</v>
      </c>
      <c r="S57">
        <f t="shared" ca="1" si="8"/>
        <v>24.817250000000001</v>
      </c>
      <c r="T57" s="3">
        <f t="shared" ca="1" si="12"/>
        <v>2.6774509803921515E-2</v>
      </c>
      <c r="W57">
        <f t="shared" si="9"/>
        <v>24.811347562445082</v>
      </c>
      <c r="X57" s="5">
        <f t="shared" si="10"/>
        <v>2.7005977943330112E-2</v>
      </c>
    </row>
    <row r="58" spans="2:24" x14ac:dyDescent="0.25">
      <c r="H58">
        <v>25.6</v>
      </c>
      <c r="I58">
        <v>0.40630198742807422</v>
      </c>
      <c r="J58" s="10">
        <f t="shared" si="0"/>
        <v>-1.93E-4</v>
      </c>
      <c r="K58" s="17">
        <f t="shared" si="1"/>
        <v>2.8E-5</v>
      </c>
      <c r="L58" s="10">
        <f t="shared" si="2"/>
        <v>2.0799999999999999E-4</v>
      </c>
      <c r="M58" s="11">
        <f t="shared" si="11"/>
        <v>0.40657955597571716</v>
      </c>
      <c r="N58" s="5">
        <f t="shared" si="3"/>
        <v>6.8315823262388913E-4</v>
      </c>
      <c r="O58">
        <f t="shared" si="4"/>
        <v>2169.1410000000001</v>
      </c>
      <c r="P58">
        <f t="shared" ca="1" si="5"/>
        <v>2169</v>
      </c>
      <c r="Q58" t="str">
        <f t="shared" ca="1" si="6"/>
        <v>0000100001111001</v>
      </c>
      <c r="R58">
        <f t="shared" ca="1" si="7"/>
        <v>0.40668750000000004</v>
      </c>
      <c r="S58">
        <f t="shared" ca="1" si="8"/>
        <v>24.880250000000004</v>
      </c>
      <c r="T58" s="3">
        <f t="shared" ca="1" si="12"/>
        <v>2.8115234374999909E-2</v>
      </c>
      <c r="W58">
        <f t="shared" si="9"/>
        <v>24.875623849136893</v>
      </c>
      <c r="X58" s="5">
        <f t="shared" si="10"/>
        <v>2.8295943393090162E-2</v>
      </c>
    </row>
    <row r="59" spans="2:24" x14ac:dyDescent="0.25">
      <c r="H59">
        <v>25.7</v>
      </c>
      <c r="I59">
        <v>0.41539009045558711</v>
      </c>
      <c r="J59" s="10">
        <f t="shared" si="0"/>
        <v>-1.92E-4</v>
      </c>
      <c r="K59" s="17">
        <f t="shared" si="1"/>
        <v>2.9E-5</v>
      </c>
      <c r="L59" s="10">
        <f t="shared" si="2"/>
        <v>2.3900000000000001E-4</v>
      </c>
      <c r="M59" s="11">
        <f t="shared" si="11"/>
        <v>0.41568143831934545</v>
      </c>
      <c r="N59" s="5">
        <f t="shared" si="3"/>
        <v>7.0138376059669259E-4</v>
      </c>
      <c r="O59">
        <f t="shared" si="4"/>
        <v>2217.7004000000002</v>
      </c>
      <c r="P59">
        <f t="shared" ca="1" si="5"/>
        <v>2217</v>
      </c>
      <c r="Q59" t="str">
        <f t="shared" ca="1" si="6"/>
        <v>0000100010101001</v>
      </c>
      <c r="R59">
        <f t="shared" ca="1" si="7"/>
        <v>0.41568749999999999</v>
      </c>
      <c r="S59">
        <f t="shared" ca="1" si="8"/>
        <v>24.988250000000001</v>
      </c>
      <c r="T59" s="3">
        <f t="shared" ca="1" si="12"/>
        <v>2.7694552529182823E-2</v>
      </c>
      <c r="W59">
        <f t="shared" si="9"/>
        <v>24.984681085467049</v>
      </c>
      <c r="X59" s="5">
        <f t="shared" si="10"/>
        <v>2.7833420798947496E-2</v>
      </c>
    </row>
    <row r="60" spans="2:24" x14ac:dyDescent="0.25">
      <c r="H60">
        <v>25.8</v>
      </c>
      <c r="I60">
        <v>0.42265378653181968</v>
      </c>
      <c r="J60" s="10">
        <f t="shared" si="0"/>
        <v>-1.92E-4</v>
      </c>
      <c r="K60" s="17">
        <f t="shared" si="1"/>
        <v>2.9E-5</v>
      </c>
      <c r="L60" s="10">
        <f t="shared" si="2"/>
        <v>2.6899999999999998E-4</v>
      </c>
      <c r="M60" s="11">
        <f t="shared" si="11"/>
        <v>0.42295956265417367</v>
      </c>
      <c r="N60" s="5">
        <f t="shared" si="3"/>
        <v>7.2346713101309262E-4</v>
      </c>
      <c r="O60">
        <f t="shared" si="4"/>
        <v>2256.5299</v>
      </c>
      <c r="P60">
        <f t="shared" ca="1" si="5"/>
        <v>2254</v>
      </c>
      <c r="Q60" t="str">
        <f t="shared" ca="1" si="6"/>
        <v>0000100011001110</v>
      </c>
      <c r="R60">
        <f t="shared" ca="1" si="7"/>
        <v>0.42262500000000003</v>
      </c>
      <c r="S60">
        <f t="shared" ca="1" si="8"/>
        <v>25.071500000000004</v>
      </c>
      <c r="T60" s="3">
        <f t="shared" ca="1" si="12"/>
        <v>2.8236434108527008E-2</v>
      </c>
      <c r="W60">
        <f t="shared" si="9"/>
        <v>25.071845438381839</v>
      </c>
      <c r="X60" s="5">
        <f t="shared" si="10"/>
        <v>2.8223045023959756E-2</v>
      </c>
    </row>
    <row r="61" spans="2:24" x14ac:dyDescent="0.25">
      <c r="H61">
        <v>25.9</v>
      </c>
      <c r="I61">
        <v>0.42994508874959714</v>
      </c>
      <c r="J61" s="10">
        <f t="shared" si="0"/>
        <v>-1.9100000000000001E-4</v>
      </c>
      <c r="K61" s="17">
        <f t="shared" si="1"/>
        <v>3.0000000000000001E-5</v>
      </c>
      <c r="L61" s="10">
        <f t="shared" si="2"/>
        <v>2.9999999999999997E-4</v>
      </c>
      <c r="M61" s="11">
        <f t="shared" si="11"/>
        <v>0.43026516830008715</v>
      </c>
      <c r="N61" s="5">
        <f t="shared" si="3"/>
        <v>7.444661164077909E-4</v>
      </c>
      <c r="O61">
        <f t="shared" si="4"/>
        <v>2295.5059999999999</v>
      </c>
      <c r="P61">
        <f t="shared" ca="1" si="5"/>
        <v>2299</v>
      </c>
      <c r="Q61" t="str">
        <f t="shared" ca="1" si="6"/>
        <v>0000100011111011</v>
      </c>
      <c r="R61">
        <f t="shared" ca="1" si="7"/>
        <v>0.43106250000000002</v>
      </c>
      <c r="S61">
        <f t="shared" ca="1" si="8"/>
        <v>25.172750000000004</v>
      </c>
      <c r="T61" s="3">
        <f t="shared" ca="1" si="12"/>
        <v>2.8079150579150364E-2</v>
      </c>
      <c r="W61">
        <f t="shared" si="9"/>
        <v>25.159341064995168</v>
      </c>
      <c r="X61" s="5">
        <f t="shared" si="10"/>
        <v>2.8596870077406591E-2</v>
      </c>
    </row>
    <row r="62" spans="2:24" x14ac:dyDescent="0.25">
      <c r="H62">
        <v>26</v>
      </c>
      <c r="I62">
        <v>0.43726396822224661</v>
      </c>
      <c r="J62" s="10">
        <f t="shared" si="0"/>
        <v>-1.9100000000000001E-4</v>
      </c>
      <c r="K62" s="17">
        <f t="shared" si="1"/>
        <v>3.0000000000000001E-5</v>
      </c>
      <c r="L62" s="10">
        <f t="shared" si="2"/>
        <v>3.3E-4</v>
      </c>
      <c r="M62" s="11">
        <f t="shared" si="11"/>
        <v>0.43759937601633203</v>
      </c>
      <c r="N62" s="5">
        <f t="shared" si="3"/>
        <v>7.6706021639299995E-4</v>
      </c>
      <c r="O62">
        <f t="shared" si="4"/>
        <v>2334.6347000000001</v>
      </c>
      <c r="P62">
        <f t="shared" ca="1" si="5"/>
        <v>2333</v>
      </c>
      <c r="Q62" t="str">
        <f t="shared" ca="1" si="6"/>
        <v>0000100100011101</v>
      </c>
      <c r="R62">
        <f t="shared" ca="1" si="7"/>
        <v>0.43743750000000003</v>
      </c>
      <c r="S62">
        <f t="shared" ca="1" si="8"/>
        <v>25.24925</v>
      </c>
      <c r="T62" s="3">
        <f t="shared" ca="1" si="12"/>
        <v>2.8875000000000001E-2</v>
      </c>
      <c r="W62">
        <f t="shared" si="9"/>
        <v>25.247167618666964</v>
      </c>
      <c r="X62" s="5">
        <f t="shared" si="10"/>
        <v>2.8955091589732154E-2</v>
      </c>
    </row>
    <row r="63" spans="2:24" x14ac:dyDescent="0.25">
      <c r="H63">
        <v>26.1</v>
      </c>
      <c r="I63">
        <v>0.4446103956867628</v>
      </c>
      <c r="J63" s="10">
        <f t="shared" si="0"/>
        <v>-1.9000000000000001E-4</v>
      </c>
      <c r="K63" s="17">
        <f t="shared" si="1"/>
        <v>3.1000000000000001E-5</v>
      </c>
      <c r="L63" s="10">
        <f t="shared" si="2"/>
        <v>3.6099999999999999E-4</v>
      </c>
      <c r="M63" s="11">
        <f t="shared" si="11"/>
        <v>0.44496102661737169</v>
      </c>
      <c r="N63" s="5">
        <f t="shared" si="3"/>
        <v>7.8862512890029879E-4</v>
      </c>
      <c r="O63">
        <f t="shared" si="4"/>
        <v>2373.9099000000001</v>
      </c>
      <c r="P63">
        <f t="shared" ca="1" si="5"/>
        <v>2375</v>
      </c>
      <c r="Q63" t="str">
        <f t="shared" ca="1" si="6"/>
        <v>0000100101000111</v>
      </c>
      <c r="R63">
        <f t="shared" ca="1" si="7"/>
        <v>0.4453125</v>
      </c>
      <c r="S63">
        <f t="shared" ca="1" si="8"/>
        <v>25.343750000000004</v>
      </c>
      <c r="T63" s="3">
        <f t="shared" ca="1" si="12"/>
        <v>2.8975095785440531E-2</v>
      </c>
      <c r="W63">
        <f t="shared" si="9"/>
        <v>25.335324748241153</v>
      </c>
      <c r="X63" s="5">
        <f t="shared" si="10"/>
        <v>2.9297902366239418E-2</v>
      </c>
    </row>
    <row r="64" spans="2:24" x14ac:dyDescent="0.25">
      <c r="H64">
        <v>26.2</v>
      </c>
      <c r="I64">
        <v>0.45382556749317321</v>
      </c>
      <c r="J64" s="10">
        <f t="shared" si="0"/>
        <v>-1.8900000000000001E-4</v>
      </c>
      <c r="K64" s="17">
        <f t="shared" si="1"/>
        <v>3.1000000000000001E-5</v>
      </c>
      <c r="L64" s="10">
        <f t="shared" si="2"/>
        <v>3.9100000000000002E-4</v>
      </c>
      <c r="M64" s="11">
        <f t="shared" si="11"/>
        <v>0.45419215662641416</v>
      </c>
      <c r="N64" s="5">
        <f t="shared" si="3"/>
        <v>8.0777540865733849E-4</v>
      </c>
      <c r="O64">
        <f t="shared" si="4"/>
        <v>2423.1588000000002</v>
      </c>
      <c r="P64">
        <f t="shared" ca="1" si="5"/>
        <v>2427</v>
      </c>
      <c r="Q64" t="str">
        <f t="shared" ca="1" si="6"/>
        <v>0000100101111011</v>
      </c>
      <c r="R64">
        <f t="shared" ca="1" si="7"/>
        <v>0.45506250000000004</v>
      </c>
      <c r="S64">
        <f t="shared" ca="1" si="8"/>
        <v>25.460750000000004</v>
      </c>
      <c r="T64" s="3">
        <f t="shared" ca="1" si="12"/>
        <v>2.8215648854961636E-2</v>
      </c>
      <c r="W64">
        <f t="shared" si="9"/>
        <v>25.445906809918082</v>
      </c>
      <c r="X64" s="5">
        <f t="shared" si="10"/>
        <v>2.8782182827554102E-2</v>
      </c>
    </row>
    <row r="65" spans="8:24" x14ac:dyDescent="0.25">
      <c r="H65">
        <v>26.3</v>
      </c>
      <c r="I65">
        <v>0.45938577446906748</v>
      </c>
      <c r="J65" s="10">
        <f t="shared" si="0"/>
        <v>-1.8900000000000001E-4</v>
      </c>
      <c r="K65" s="17">
        <f t="shared" si="1"/>
        <v>3.1999999999999999E-5</v>
      </c>
      <c r="L65" s="10">
        <f t="shared" si="2"/>
        <v>4.2200000000000001E-4</v>
      </c>
      <c r="M65" s="11">
        <f t="shared" si="11"/>
        <v>0.45976879690135986</v>
      </c>
      <c r="N65" s="5">
        <f t="shared" si="3"/>
        <v>8.3377077301763477E-4</v>
      </c>
      <c r="O65">
        <f t="shared" si="4"/>
        <v>2452.9106999999999</v>
      </c>
      <c r="P65">
        <f t="shared" ca="1" si="5"/>
        <v>2451</v>
      </c>
      <c r="Q65" t="str">
        <f t="shared" ca="1" si="6"/>
        <v>0000100110010011</v>
      </c>
      <c r="R65">
        <f t="shared" ca="1" si="7"/>
        <v>0.45956249999999998</v>
      </c>
      <c r="S65">
        <f t="shared" ca="1" si="8"/>
        <v>25.514749999999999</v>
      </c>
      <c r="T65" s="3">
        <f t="shared" ca="1" si="12"/>
        <v>2.985741444866925E-2</v>
      </c>
      <c r="W65">
        <f t="shared" si="9"/>
        <v>25.512629293628812</v>
      </c>
      <c r="X65" s="5">
        <f t="shared" si="10"/>
        <v>2.9938049671908301E-2</v>
      </c>
    </row>
    <row r="66" spans="8:24" x14ac:dyDescent="0.25">
      <c r="H66">
        <v>26.4</v>
      </c>
      <c r="I66">
        <v>0.46773346071592159</v>
      </c>
      <c r="J66" s="10">
        <f t="shared" si="0"/>
        <v>-1.8799999999999999E-4</v>
      </c>
      <c r="K66" s="17">
        <f t="shared" si="1"/>
        <v>3.1999999999999999E-5</v>
      </c>
      <c r="L66" s="10">
        <f t="shared" si="2"/>
        <v>4.5199999999999998E-4</v>
      </c>
      <c r="M66" s="11">
        <f t="shared" si="11"/>
        <v>0.46813305685762124</v>
      </c>
      <c r="N66" s="5">
        <f t="shared" si="3"/>
        <v>8.5432447165106537E-4</v>
      </c>
      <c r="O66">
        <f t="shared" si="4"/>
        <v>2497.5349000000001</v>
      </c>
      <c r="P66">
        <f t="shared" ca="1" si="5"/>
        <v>2498</v>
      </c>
      <c r="Q66" t="str">
        <f t="shared" ca="1" si="6"/>
        <v>0000100111000010</v>
      </c>
      <c r="R66">
        <f t="shared" ca="1" si="7"/>
        <v>0.46837499999999999</v>
      </c>
      <c r="S66">
        <f t="shared" ca="1" si="8"/>
        <v>25.620500000000003</v>
      </c>
      <c r="T66" s="3">
        <f t="shared" ca="1" si="12"/>
        <v>2.952651515151497E-2</v>
      </c>
      <c r="W66">
        <f t="shared" si="9"/>
        <v>25.61280152859106</v>
      </c>
      <c r="X66" s="5">
        <f t="shared" si="10"/>
        <v>2.9818123917005251E-2</v>
      </c>
    </row>
    <row r="67" spans="8:24" x14ac:dyDescent="0.25">
      <c r="H67">
        <v>26.5</v>
      </c>
      <c r="I67">
        <v>0.47610675157887633</v>
      </c>
      <c r="J67" s="10">
        <f t="shared" ref="J67:J130" si="14">ROUND(H67*0.00000575 -0.00034,6)</f>
        <v>-1.8799999999999999E-4</v>
      </c>
      <c r="K67" s="17">
        <f t="shared" ref="K67:K130" si="15">ROUND(H67*0.000005-0.0001,6)</f>
        <v>3.3000000000000003E-5</v>
      </c>
      <c r="L67" s="10">
        <f t="shared" ref="L67:L130" si="16">ROUND(K67+($C$24*(H67-25)),6)</f>
        <v>4.8299999999999998E-4</v>
      </c>
      <c r="M67" s="11">
        <f t="shared" si="11"/>
        <v>0.47652491311190942</v>
      </c>
      <c r="N67" s="5">
        <f t="shared" ref="N67:N130" si="17">ABS(I67-M67)/I67</f>
        <v>8.7829364243706496E-4</v>
      </c>
      <c r="O67">
        <f t="shared" ref="O67:O130" si="18">ROUND((M67*(2^($C$12-1)))/$C$44,4)</f>
        <v>2542.3062</v>
      </c>
      <c r="P67">
        <f t="shared" ref="P67:P130" ca="1" si="19">ROUND(O67+$C$47+$C$49+RANDBETWEEN($B$45,$D$45),0)</f>
        <v>2540</v>
      </c>
      <c r="Q67" t="str">
        <f t="shared" ref="Q67:Q130" ca="1" si="20">_xlfn.BASE(P67,2,16)</f>
        <v>0000100111101100</v>
      </c>
      <c r="R67">
        <f t="shared" ref="R67:R130" ca="1" si="21">($C$16/2^($C$12-1)) * P67</f>
        <v>0.47625000000000001</v>
      </c>
      <c r="S67">
        <f t="shared" ref="S67:S130" ca="1" si="22">(R67+5/3)/(1/12)</f>
        <v>25.715000000000003</v>
      </c>
      <c r="T67" s="3">
        <f t="shared" ca="1" si="12"/>
        <v>2.9622641509433834E-2</v>
      </c>
      <c r="W67">
        <f t="shared" ref="W67:W130" si="23">(I67+5/3)/(1/12)</f>
        <v>25.713281018946518</v>
      </c>
      <c r="X67" s="5">
        <f t="shared" ref="X67:X130" si="24">ABS(H67-W67)/H67</f>
        <v>2.9687508718999341E-2</v>
      </c>
    </row>
    <row r="68" spans="8:24" x14ac:dyDescent="0.25">
      <c r="H68">
        <v>26.6</v>
      </c>
      <c r="I68">
        <v>0.48175468792502746</v>
      </c>
      <c r="J68" s="10">
        <f t="shared" si="14"/>
        <v>-1.8699999999999999E-4</v>
      </c>
      <c r="K68" s="17">
        <f t="shared" si="15"/>
        <v>3.3000000000000003E-5</v>
      </c>
      <c r="L68" s="10">
        <f t="shared" si="16"/>
        <v>5.13E-4</v>
      </c>
      <c r="M68" s="11">
        <f t="shared" ref="M68:M131" si="25">(I68-J68)/(1-L68)</f>
        <v>0.48218905090814335</v>
      </c>
      <c r="N68" s="5">
        <f t="shared" si="17"/>
        <v>9.0162689435724851E-4</v>
      </c>
      <c r="O68">
        <f t="shared" si="18"/>
        <v>2572.5248999999999</v>
      </c>
      <c r="P68">
        <f t="shared" ca="1" si="19"/>
        <v>2570</v>
      </c>
      <c r="Q68" t="str">
        <f t="shared" ca="1" si="20"/>
        <v>0000101000001010</v>
      </c>
      <c r="R68">
        <f t="shared" ca="1" si="21"/>
        <v>0.481875</v>
      </c>
      <c r="S68">
        <f t="shared" ca="1" si="22"/>
        <v>25.782499999999999</v>
      </c>
      <c r="T68" s="3">
        <f t="shared" ref="T68:T131" ca="1" si="26">ABS(H68-S68)/H68</f>
        <v>3.0733082706767011E-2</v>
      </c>
      <c r="W68">
        <f t="shared" si="23"/>
        <v>25.781056255100331</v>
      </c>
      <c r="X68" s="5">
        <f t="shared" si="24"/>
        <v>3.0787358830814657E-2</v>
      </c>
    </row>
    <row r="69" spans="8:24" x14ac:dyDescent="0.25">
      <c r="H69">
        <v>26.7</v>
      </c>
      <c r="I69">
        <v>0.49018181639290004</v>
      </c>
      <c r="J69" s="10">
        <f t="shared" si="14"/>
        <v>-1.8599999999999999E-4</v>
      </c>
      <c r="K69" s="17">
        <f t="shared" si="15"/>
        <v>3.4E-5</v>
      </c>
      <c r="L69" s="10">
        <f t="shared" si="16"/>
        <v>5.44E-4</v>
      </c>
      <c r="M69" s="11">
        <f t="shared" si="25"/>
        <v>0.4906347216814948</v>
      </c>
      <c r="N69" s="5">
        <f t="shared" si="17"/>
        <v>9.2395367075742609E-4</v>
      </c>
      <c r="O69">
        <f t="shared" si="18"/>
        <v>2617.5834</v>
      </c>
      <c r="P69">
        <f t="shared" ca="1" si="19"/>
        <v>2616</v>
      </c>
      <c r="Q69" t="str">
        <f t="shared" ca="1" si="20"/>
        <v>0000101000111000</v>
      </c>
      <c r="R69">
        <f t="shared" ca="1" si="21"/>
        <v>0.49049999999999999</v>
      </c>
      <c r="S69">
        <f t="shared" ca="1" si="22"/>
        <v>25.886000000000003</v>
      </c>
      <c r="T69" s="3">
        <f t="shared" ca="1" si="26"/>
        <v>3.0486891385767659E-2</v>
      </c>
      <c r="W69">
        <f t="shared" si="23"/>
        <v>25.8821817967148</v>
      </c>
      <c r="X69" s="5">
        <f t="shared" si="24"/>
        <v>3.0629895254127314E-2</v>
      </c>
    </row>
    <row r="70" spans="8:24" x14ac:dyDescent="0.25">
      <c r="H70">
        <v>26.8</v>
      </c>
      <c r="I70">
        <v>0.49771929775514212</v>
      </c>
      <c r="J70" s="10">
        <f t="shared" si="14"/>
        <v>-1.8599999999999999E-4</v>
      </c>
      <c r="K70" s="17">
        <f t="shared" si="15"/>
        <v>3.4E-5</v>
      </c>
      <c r="L70" s="10">
        <f t="shared" si="16"/>
        <v>5.7399999999999997E-4</v>
      </c>
      <c r="M70" s="11">
        <f t="shared" si="25"/>
        <v>0.49819125953811699</v>
      </c>
      <c r="N70" s="5">
        <f t="shared" si="17"/>
        <v>9.4824891279794937E-4</v>
      </c>
      <c r="O70">
        <f t="shared" si="18"/>
        <v>2657.8982999999998</v>
      </c>
      <c r="P70">
        <f t="shared" ca="1" si="19"/>
        <v>2660</v>
      </c>
      <c r="Q70" t="str">
        <f t="shared" ca="1" si="20"/>
        <v>0000101001100100</v>
      </c>
      <c r="R70">
        <f t="shared" ca="1" si="21"/>
        <v>0.49875000000000003</v>
      </c>
      <c r="S70">
        <f t="shared" ca="1" si="22"/>
        <v>25.985000000000003</v>
      </c>
      <c r="T70" s="3">
        <f t="shared" ca="1" si="26"/>
        <v>3.0410447761193945E-2</v>
      </c>
      <c r="W70">
        <f t="shared" si="23"/>
        <v>25.972631573061708</v>
      </c>
      <c r="X70" s="5">
        <f t="shared" si="24"/>
        <v>3.0871956229040768E-2</v>
      </c>
    </row>
    <row r="71" spans="8:24" x14ac:dyDescent="0.25">
      <c r="H71">
        <v>26.9</v>
      </c>
      <c r="I71">
        <v>0.50619829893567025</v>
      </c>
      <c r="J71" s="10">
        <f t="shared" si="14"/>
        <v>-1.85E-4</v>
      </c>
      <c r="K71" s="17">
        <f t="shared" si="15"/>
        <v>3.4999999999999997E-5</v>
      </c>
      <c r="L71" s="10">
        <f t="shared" si="16"/>
        <v>6.0499999999999996E-4</v>
      </c>
      <c r="M71" s="11">
        <f t="shared" si="25"/>
        <v>0.50668984629267733</v>
      </c>
      <c r="N71" s="5">
        <f t="shared" si="17"/>
        <v>9.7105691196631126E-4</v>
      </c>
      <c r="O71">
        <f t="shared" si="18"/>
        <v>2703.239</v>
      </c>
      <c r="P71">
        <f t="shared" ca="1" si="19"/>
        <v>2701</v>
      </c>
      <c r="Q71" t="str">
        <f t="shared" ca="1" si="20"/>
        <v>0000101010001101</v>
      </c>
      <c r="R71">
        <f t="shared" ca="1" si="21"/>
        <v>0.50643749999999998</v>
      </c>
      <c r="S71">
        <f t="shared" ca="1" si="22"/>
        <v>26.077249999999999</v>
      </c>
      <c r="T71" s="3">
        <f t="shared" ca="1" si="26"/>
        <v>3.0585501858736031E-2</v>
      </c>
      <c r="W71">
        <f t="shared" si="23"/>
        <v>26.074379587228044</v>
      </c>
      <c r="X71" s="5">
        <f t="shared" si="24"/>
        <v>3.0692208653232498E-2</v>
      </c>
    </row>
    <row r="72" spans="8:24" x14ac:dyDescent="0.25">
      <c r="H72">
        <v>27</v>
      </c>
      <c r="I72">
        <v>0.51287610381735704</v>
      </c>
      <c r="J72" s="10">
        <f t="shared" si="14"/>
        <v>-1.85E-4</v>
      </c>
      <c r="K72" s="17">
        <f t="shared" si="15"/>
        <v>3.4999999999999997E-5</v>
      </c>
      <c r="L72" s="10">
        <f t="shared" si="16"/>
        <v>6.3500000000000004E-4</v>
      </c>
      <c r="M72" s="11">
        <f t="shared" si="25"/>
        <v>0.51338710462879633</v>
      </c>
      <c r="N72" s="5">
        <f t="shared" si="17"/>
        <v>9.963435762280386E-4</v>
      </c>
      <c r="O72">
        <f t="shared" si="18"/>
        <v>2738.9695999999999</v>
      </c>
      <c r="P72">
        <f t="shared" ca="1" si="19"/>
        <v>2738</v>
      </c>
      <c r="Q72" t="str">
        <f t="shared" ca="1" si="20"/>
        <v>0000101010110010</v>
      </c>
      <c r="R72">
        <f t="shared" ca="1" si="21"/>
        <v>0.51337500000000003</v>
      </c>
      <c r="S72">
        <f t="shared" ca="1" si="22"/>
        <v>26.160500000000003</v>
      </c>
      <c r="T72" s="3">
        <f t="shared" ca="1" si="26"/>
        <v>3.1092592592592498E-2</v>
      </c>
      <c r="W72">
        <f t="shared" si="23"/>
        <v>26.154513245808285</v>
      </c>
      <c r="X72" s="5">
        <f t="shared" si="24"/>
        <v>3.131432422932276E-2</v>
      </c>
    </row>
    <row r="73" spans="8:24" x14ac:dyDescent="0.25">
      <c r="H73">
        <v>27.1</v>
      </c>
      <c r="I73">
        <v>0.52049535997845986</v>
      </c>
      <c r="J73" s="10">
        <f t="shared" si="14"/>
        <v>-1.84E-4</v>
      </c>
      <c r="K73" s="17">
        <f t="shared" si="15"/>
        <v>3.6000000000000001E-5</v>
      </c>
      <c r="L73" s="10">
        <f t="shared" si="16"/>
        <v>6.6600000000000003E-4</v>
      </c>
      <c r="M73" s="11">
        <f t="shared" si="25"/>
        <v>0.52102636353657517</v>
      </c>
      <c r="N73" s="5">
        <f t="shared" si="17"/>
        <v>1.0201888411402575E-3</v>
      </c>
      <c r="O73">
        <f t="shared" si="18"/>
        <v>2779.7257</v>
      </c>
      <c r="P73">
        <f t="shared" ca="1" si="19"/>
        <v>2782</v>
      </c>
      <c r="Q73" t="str">
        <f t="shared" ca="1" si="20"/>
        <v>0000101011011110</v>
      </c>
      <c r="R73">
        <f t="shared" ca="1" si="21"/>
        <v>0.52162500000000001</v>
      </c>
      <c r="S73">
        <f t="shared" ca="1" si="22"/>
        <v>26.259500000000003</v>
      </c>
      <c r="T73" s="3">
        <f t="shared" ca="1" si="26"/>
        <v>3.1014760147601426E-2</v>
      </c>
      <c r="W73">
        <f t="shared" si="23"/>
        <v>26.245944319741522</v>
      </c>
      <c r="X73" s="5">
        <f t="shared" si="24"/>
        <v>3.1514969751235404E-2</v>
      </c>
    </row>
    <row r="74" spans="8:24" x14ac:dyDescent="0.25">
      <c r="H74">
        <v>27.2</v>
      </c>
      <c r="I74">
        <v>0.52905327112022404</v>
      </c>
      <c r="J74" s="10">
        <f t="shared" si="14"/>
        <v>-1.84E-4</v>
      </c>
      <c r="K74" s="17">
        <f t="shared" si="15"/>
        <v>3.6000000000000001E-5</v>
      </c>
      <c r="L74" s="10">
        <f t="shared" si="16"/>
        <v>6.96E-4</v>
      </c>
      <c r="M74" s="11">
        <f t="shared" si="25"/>
        <v>0.5296058768104841</v>
      </c>
      <c r="N74" s="5">
        <f t="shared" si="17"/>
        <v>1.0445180484187555E-3</v>
      </c>
      <c r="O74">
        <f t="shared" si="18"/>
        <v>2825.4983000000002</v>
      </c>
      <c r="P74">
        <f t="shared" ca="1" si="19"/>
        <v>2825</v>
      </c>
      <c r="Q74" t="str">
        <f t="shared" ca="1" si="20"/>
        <v>0000101100001001</v>
      </c>
      <c r="R74">
        <f t="shared" ca="1" si="21"/>
        <v>0.52968749999999998</v>
      </c>
      <c r="S74">
        <f t="shared" ca="1" si="22"/>
        <v>26.356249999999999</v>
      </c>
      <c r="T74" s="3">
        <f t="shared" ca="1" si="26"/>
        <v>3.1020220588235295E-2</v>
      </c>
      <c r="W74">
        <f t="shared" si="23"/>
        <v>26.348639253442691</v>
      </c>
      <c r="X74" s="5">
        <f t="shared" si="24"/>
        <v>3.1300027446959859E-2</v>
      </c>
    </row>
    <row r="75" spans="8:24" x14ac:dyDescent="0.25">
      <c r="H75">
        <v>27.3</v>
      </c>
      <c r="I75">
        <v>0.53581540296058061</v>
      </c>
      <c r="J75" s="10">
        <f t="shared" si="14"/>
        <v>-1.83E-4</v>
      </c>
      <c r="K75" s="17">
        <f t="shared" si="15"/>
        <v>3.6999999999999998E-5</v>
      </c>
      <c r="L75" s="10">
        <f t="shared" si="16"/>
        <v>7.27E-4</v>
      </c>
      <c r="M75" s="11">
        <f t="shared" si="25"/>
        <v>0.53638835729633516</v>
      </c>
      <c r="N75" s="5">
        <f t="shared" si="17"/>
        <v>1.0693129249154888E-3</v>
      </c>
      <c r="O75">
        <f t="shared" si="18"/>
        <v>2861.6835000000001</v>
      </c>
      <c r="P75">
        <f t="shared" ca="1" si="19"/>
        <v>2859</v>
      </c>
      <c r="Q75" t="str">
        <f t="shared" ca="1" si="20"/>
        <v>0000101100101011</v>
      </c>
      <c r="R75">
        <f t="shared" ca="1" si="21"/>
        <v>0.5360625</v>
      </c>
      <c r="S75">
        <f t="shared" ca="1" si="22"/>
        <v>26.432750000000002</v>
      </c>
      <c r="T75" s="3">
        <f t="shared" ca="1" si="26"/>
        <v>3.1767399267399216E-2</v>
      </c>
      <c r="W75">
        <f t="shared" si="23"/>
        <v>26.42978483552697</v>
      </c>
      <c r="X75" s="5">
        <f t="shared" si="24"/>
        <v>3.1876013350660468E-2</v>
      </c>
    </row>
    <row r="76" spans="8:24" x14ac:dyDescent="0.25">
      <c r="H76">
        <v>27.4</v>
      </c>
      <c r="I76">
        <v>0.54169688569460228</v>
      </c>
      <c r="J76" s="10">
        <f t="shared" si="14"/>
        <v>-1.8200000000000001E-4</v>
      </c>
      <c r="K76" s="17">
        <f t="shared" si="15"/>
        <v>3.6999999999999998E-5</v>
      </c>
      <c r="L76" s="10">
        <f t="shared" si="16"/>
        <v>7.5699999999999997E-4</v>
      </c>
      <c r="M76" s="11">
        <f t="shared" si="25"/>
        <v>0.5422893987694708</v>
      </c>
      <c r="N76" s="5">
        <f t="shared" si="17"/>
        <v>1.0938092695673422E-3</v>
      </c>
      <c r="O76">
        <f t="shared" si="18"/>
        <v>2893.1660999999999</v>
      </c>
      <c r="P76">
        <f t="shared" ca="1" si="19"/>
        <v>2891</v>
      </c>
      <c r="Q76" t="str">
        <f t="shared" ca="1" si="20"/>
        <v>0000101101001011</v>
      </c>
      <c r="R76">
        <f t="shared" ca="1" si="21"/>
        <v>0.5420625</v>
      </c>
      <c r="S76">
        <f t="shared" ca="1" si="22"/>
        <v>26.504750000000001</v>
      </c>
      <c r="T76" s="3">
        <f t="shared" ca="1" si="26"/>
        <v>3.2673357664233474E-2</v>
      </c>
      <c r="W76">
        <f t="shared" si="23"/>
        <v>26.500362628335228</v>
      </c>
      <c r="X76" s="5">
        <f t="shared" si="24"/>
        <v>3.2833480717692348E-2</v>
      </c>
    </row>
    <row r="77" spans="8:24" x14ac:dyDescent="0.25">
      <c r="H77">
        <v>27.5</v>
      </c>
      <c r="I77">
        <v>0.55033522424388348</v>
      </c>
      <c r="J77" s="10">
        <f t="shared" si="14"/>
        <v>-1.8200000000000001E-4</v>
      </c>
      <c r="K77" s="17">
        <f t="shared" si="15"/>
        <v>3.8000000000000002E-5</v>
      </c>
      <c r="L77" s="10">
        <f t="shared" si="16"/>
        <v>7.8799999999999996E-4</v>
      </c>
      <c r="M77" s="11">
        <f t="shared" si="25"/>
        <v>0.55095137392653759</v>
      </c>
      <c r="N77" s="5">
        <f t="shared" si="17"/>
        <v>1.1195897618595111E-3</v>
      </c>
      <c r="O77">
        <f t="shared" si="18"/>
        <v>2939.3786</v>
      </c>
      <c r="P77">
        <f t="shared" ca="1" si="19"/>
        <v>2939</v>
      </c>
      <c r="Q77" t="str">
        <f t="shared" ca="1" si="20"/>
        <v>0000101101111011</v>
      </c>
      <c r="R77">
        <f t="shared" ca="1" si="21"/>
        <v>0.55106250000000001</v>
      </c>
      <c r="S77">
        <f t="shared" ca="1" si="22"/>
        <v>26.612749999999998</v>
      </c>
      <c r="T77" s="3">
        <f t="shared" ca="1" si="26"/>
        <v>3.2263636363636425E-2</v>
      </c>
      <c r="W77">
        <f t="shared" si="23"/>
        <v>26.604022690926605</v>
      </c>
      <c r="X77" s="5">
        <f t="shared" si="24"/>
        <v>3.2580993057214354E-2</v>
      </c>
    </row>
    <row r="78" spans="8:24" x14ac:dyDescent="0.25">
      <c r="H78">
        <v>27.6</v>
      </c>
      <c r="I78">
        <v>0.55809099152355479</v>
      </c>
      <c r="J78" s="10">
        <f t="shared" si="14"/>
        <v>-1.8100000000000001E-4</v>
      </c>
      <c r="K78" s="17">
        <f t="shared" si="15"/>
        <v>3.8000000000000002E-5</v>
      </c>
      <c r="L78" s="10">
        <f t="shared" si="16"/>
        <v>8.1800000000000004E-4</v>
      </c>
      <c r="M78" s="11">
        <f t="shared" si="25"/>
        <v>0.55872903187162581</v>
      </c>
      <c r="N78" s="5">
        <f t="shared" si="17"/>
        <v>1.143255056544115E-3</v>
      </c>
      <c r="O78">
        <f t="shared" si="18"/>
        <v>2980.8730999999998</v>
      </c>
      <c r="P78">
        <f t="shared" ca="1" si="19"/>
        <v>2982</v>
      </c>
      <c r="Q78" t="str">
        <f t="shared" ca="1" si="20"/>
        <v>0000101110100110</v>
      </c>
      <c r="R78">
        <f t="shared" ca="1" si="21"/>
        <v>0.55912499999999998</v>
      </c>
      <c r="S78">
        <f t="shared" ca="1" si="22"/>
        <v>26.709500000000002</v>
      </c>
      <c r="T78" s="3">
        <f t="shared" ca="1" si="26"/>
        <v>3.2264492753623163E-2</v>
      </c>
      <c r="W78">
        <f t="shared" si="23"/>
        <v>26.697091898282661</v>
      </c>
      <c r="X78" s="5">
        <f t="shared" si="24"/>
        <v>3.2714061656425375E-2</v>
      </c>
    </row>
    <row r="79" spans="8:24" x14ac:dyDescent="0.25">
      <c r="H79">
        <v>27.7</v>
      </c>
      <c r="I79">
        <v>0.56496693542771026</v>
      </c>
      <c r="J79" s="10">
        <f t="shared" si="14"/>
        <v>-1.8100000000000001E-4</v>
      </c>
      <c r="K79" s="17">
        <f t="shared" si="15"/>
        <v>3.8999999999999999E-5</v>
      </c>
      <c r="L79" s="10">
        <f t="shared" si="16"/>
        <v>8.4900000000000004E-4</v>
      </c>
      <c r="M79" s="11">
        <f t="shared" si="25"/>
        <v>0.56562815373022723</v>
      </c>
      <c r="N79" s="5">
        <f t="shared" si="17"/>
        <v>1.1703663720008626E-3</v>
      </c>
      <c r="O79">
        <f t="shared" si="18"/>
        <v>3017.6806000000001</v>
      </c>
      <c r="P79">
        <f t="shared" ca="1" si="19"/>
        <v>3017</v>
      </c>
      <c r="Q79" t="str">
        <f t="shared" ca="1" si="20"/>
        <v>0000101111001001</v>
      </c>
      <c r="R79">
        <f t="shared" ca="1" si="21"/>
        <v>0.56568750000000001</v>
      </c>
      <c r="S79">
        <f t="shared" ca="1" si="22"/>
        <v>26.788250000000001</v>
      </c>
      <c r="T79" s="3">
        <f t="shared" ca="1" si="26"/>
        <v>3.2915162454873567E-2</v>
      </c>
      <c r="W79">
        <f t="shared" si="23"/>
        <v>26.779603225132526</v>
      </c>
      <c r="X79" s="5">
        <f t="shared" si="24"/>
        <v>3.3227320392327564E-2</v>
      </c>
    </row>
    <row r="80" spans="8:24" x14ac:dyDescent="0.25">
      <c r="H80">
        <v>27.8</v>
      </c>
      <c r="I80">
        <v>0.57368350945322355</v>
      </c>
      <c r="J80" s="10">
        <f t="shared" si="14"/>
        <v>-1.8000000000000001E-4</v>
      </c>
      <c r="K80" s="17">
        <f t="shared" si="15"/>
        <v>3.8999999999999999E-5</v>
      </c>
      <c r="L80" s="10">
        <f t="shared" si="16"/>
        <v>8.7900000000000001E-4</v>
      </c>
      <c r="M80" s="11">
        <f t="shared" si="25"/>
        <v>0.57436837925859174</v>
      </c>
      <c r="N80" s="5">
        <f t="shared" si="17"/>
        <v>1.1938112113784503E-3</v>
      </c>
      <c r="O80">
        <f t="shared" si="18"/>
        <v>3064.3105</v>
      </c>
      <c r="P80">
        <f t="shared" ca="1" si="19"/>
        <v>3064</v>
      </c>
      <c r="Q80" t="str">
        <f t="shared" ca="1" si="20"/>
        <v>0000101111111000</v>
      </c>
      <c r="R80">
        <f t="shared" ca="1" si="21"/>
        <v>0.57450000000000001</v>
      </c>
      <c r="S80">
        <f t="shared" ca="1" si="22"/>
        <v>26.893999999999998</v>
      </c>
      <c r="T80" s="3">
        <f t="shared" ca="1" si="26"/>
        <v>3.2589928057554042E-2</v>
      </c>
      <c r="W80">
        <f t="shared" si="23"/>
        <v>26.884202113438686</v>
      </c>
      <c r="X80" s="5">
        <f t="shared" si="24"/>
        <v>3.2942370020191167E-2</v>
      </c>
    </row>
    <row r="81" spans="8:24" x14ac:dyDescent="0.25">
      <c r="H81">
        <v>27.9</v>
      </c>
      <c r="I81">
        <v>0.58152018292009067</v>
      </c>
      <c r="J81" s="10">
        <f t="shared" si="14"/>
        <v>-1.8000000000000001E-4</v>
      </c>
      <c r="K81" s="17">
        <f t="shared" si="15"/>
        <v>4.0000000000000003E-5</v>
      </c>
      <c r="L81" s="10">
        <f t="shared" si="16"/>
        <v>9.1E-4</v>
      </c>
      <c r="M81" s="11">
        <f t="shared" si="25"/>
        <v>0.58223001223122106</v>
      </c>
      <c r="N81" s="5">
        <f t="shared" si="17"/>
        <v>1.2206443249587699E-3</v>
      </c>
      <c r="O81">
        <f t="shared" si="18"/>
        <v>3106.2530999999999</v>
      </c>
      <c r="P81">
        <f t="shared" ca="1" si="19"/>
        <v>3107</v>
      </c>
      <c r="Q81" t="str">
        <f t="shared" ca="1" si="20"/>
        <v>0000110000100011</v>
      </c>
      <c r="R81">
        <f t="shared" ca="1" si="21"/>
        <v>0.58256249999999998</v>
      </c>
      <c r="S81">
        <f t="shared" ca="1" si="22"/>
        <v>26.990750000000002</v>
      </c>
      <c r="T81" s="3">
        <f t="shared" ca="1" si="26"/>
        <v>3.2589605734766901E-2</v>
      </c>
      <c r="W81">
        <f t="shared" si="23"/>
        <v>26.978242195041091</v>
      </c>
      <c r="X81" s="5">
        <f t="shared" si="24"/>
        <v>3.3037914156233257E-2</v>
      </c>
    </row>
    <row r="82" spans="8:24" x14ac:dyDescent="0.25">
      <c r="H82">
        <v>28</v>
      </c>
      <c r="I82">
        <v>0.59028777870424409</v>
      </c>
      <c r="J82" s="10">
        <f t="shared" si="14"/>
        <v>-1.7899999999999999E-4</v>
      </c>
      <c r="K82" s="17">
        <f t="shared" si="15"/>
        <v>4.0000000000000003E-5</v>
      </c>
      <c r="L82" s="10">
        <f t="shared" si="16"/>
        <v>9.3999999999999997E-4</v>
      </c>
      <c r="M82" s="11">
        <f t="shared" si="25"/>
        <v>0.59102233970356555</v>
      </c>
      <c r="N82" s="5">
        <f t="shared" si="17"/>
        <v>1.2444116680408121E-3</v>
      </c>
      <c r="O82">
        <f t="shared" si="18"/>
        <v>3153.1610000000001</v>
      </c>
      <c r="P82">
        <f t="shared" ca="1" si="19"/>
        <v>3153</v>
      </c>
      <c r="Q82" t="str">
        <f t="shared" ca="1" si="20"/>
        <v>0000110001010001</v>
      </c>
      <c r="R82">
        <f t="shared" ca="1" si="21"/>
        <v>0.59118749999999998</v>
      </c>
      <c r="S82">
        <f t="shared" ca="1" si="22"/>
        <v>27.094250000000002</v>
      </c>
      <c r="T82" s="3">
        <f t="shared" ca="1" si="26"/>
        <v>3.2348214285714202E-2</v>
      </c>
      <c r="W82">
        <f t="shared" si="23"/>
        <v>27.08345334445093</v>
      </c>
      <c r="X82" s="5">
        <f t="shared" si="24"/>
        <v>3.2733809126752486E-2</v>
      </c>
    </row>
    <row r="83" spans="8:24" x14ac:dyDescent="0.25">
      <c r="H83">
        <v>28.1</v>
      </c>
      <c r="I83">
        <v>0.59637106845572407</v>
      </c>
      <c r="J83" s="10">
        <f t="shared" si="14"/>
        <v>-1.7799999999999999E-4</v>
      </c>
      <c r="K83" s="17">
        <f t="shared" si="15"/>
        <v>4.1E-5</v>
      </c>
      <c r="L83" s="10">
        <f t="shared" si="16"/>
        <v>9.7099999999999997E-4</v>
      </c>
      <c r="M83" s="11">
        <f t="shared" si="25"/>
        <v>0.59712888059878555</v>
      </c>
      <c r="N83" s="5">
        <f t="shared" si="17"/>
        <v>1.2707057453739267E-3</v>
      </c>
      <c r="O83">
        <f t="shared" si="18"/>
        <v>3185.74</v>
      </c>
      <c r="P83">
        <f t="shared" ca="1" si="19"/>
        <v>3186</v>
      </c>
      <c r="Q83" t="str">
        <f t="shared" ca="1" si="20"/>
        <v>0000110001110010</v>
      </c>
      <c r="R83">
        <f t="shared" ca="1" si="21"/>
        <v>0.59737499999999999</v>
      </c>
      <c r="S83">
        <f t="shared" ca="1" si="22"/>
        <v>27.168499999999998</v>
      </c>
      <c r="T83" s="3">
        <f t="shared" ca="1" si="26"/>
        <v>3.3149466192170934E-2</v>
      </c>
      <c r="W83">
        <f t="shared" si="23"/>
        <v>27.15645282146869</v>
      </c>
      <c r="X83" s="5">
        <f t="shared" si="24"/>
        <v>3.3578191406808226E-2</v>
      </c>
    </row>
    <row r="84" spans="8:24" x14ac:dyDescent="0.25">
      <c r="H84">
        <v>28.200000000000003</v>
      </c>
      <c r="I84">
        <v>0.60428923291575742</v>
      </c>
      <c r="J84" s="10">
        <f t="shared" si="14"/>
        <v>-1.7799999999999999E-4</v>
      </c>
      <c r="K84" s="17">
        <f t="shared" si="15"/>
        <v>4.1E-5</v>
      </c>
      <c r="L84" s="10">
        <f t="shared" si="16"/>
        <v>1.0009999999999999E-3</v>
      </c>
      <c r="M84" s="11">
        <f t="shared" si="25"/>
        <v>0.60507291089956794</v>
      </c>
      <c r="N84" s="5">
        <f t="shared" si="17"/>
        <v>1.2968590885347885E-3</v>
      </c>
      <c r="O84">
        <f t="shared" si="18"/>
        <v>3228.1221999999998</v>
      </c>
      <c r="P84">
        <f t="shared" ca="1" si="19"/>
        <v>3227</v>
      </c>
      <c r="Q84" t="str">
        <f t="shared" ca="1" si="20"/>
        <v>0000110010011011</v>
      </c>
      <c r="R84">
        <f t="shared" ca="1" si="21"/>
        <v>0.60506250000000006</v>
      </c>
      <c r="S84">
        <f t="shared" ca="1" si="22"/>
        <v>27.260750000000002</v>
      </c>
      <c r="T84" s="3">
        <f t="shared" ca="1" si="26"/>
        <v>3.3306737588652525E-2</v>
      </c>
      <c r="W84">
        <f t="shared" si="23"/>
        <v>27.251470794989093</v>
      </c>
      <c r="X84" s="5">
        <f t="shared" si="24"/>
        <v>3.3635787411734404E-2</v>
      </c>
    </row>
    <row r="85" spans="8:24" x14ac:dyDescent="0.25">
      <c r="H85">
        <v>28.3</v>
      </c>
      <c r="I85">
        <v>0.61223416908448069</v>
      </c>
      <c r="J85" s="10">
        <f t="shared" si="14"/>
        <v>-1.7699999999999999E-4</v>
      </c>
      <c r="K85" s="17">
        <f t="shared" si="15"/>
        <v>4.1999999999999998E-5</v>
      </c>
      <c r="L85" s="10">
        <f t="shared" si="16"/>
        <v>1.0319999999999999E-3</v>
      </c>
      <c r="M85" s="11">
        <f t="shared" si="25"/>
        <v>0.6130438303173682</v>
      </c>
      <c r="N85" s="5">
        <f t="shared" si="17"/>
        <v>1.3224698551181011E-3</v>
      </c>
      <c r="O85">
        <f t="shared" si="18"/>
        <v>3270.6478000000002</v>
      </c>
      <c r="P85">
        <f t="shared" ca="1" si="19"/>
        <v>3271</v>
      </c>
      <c r="Q85" t="str">
        <f t="shared" ca="1" si="20"/>
        <v>0000110011000111</v>
      </c>
      <c r="R85">
        <f t="shared" ca="1" si="21"/>
        <v>0.61331250000000004</v>
      </c>
      <c r="S85">
        <f t="shared" ca="1" si="22"/>
        <v>27.359750000000002</v>
      </c>
      <c r="T85" s="3">
        <f t="shared" ca="1" si="26"/>
        <v>3.3224381625441654E-2</v>
      </c>
      <c r="W85">
        <f t="shared" si="23"/>
        <v>27.346810029013771</v>
      </c>
      <c r="X85" s="5">
        <f t="shared" si="24"/>
        <v>3.3681624416474563E-2</v>
      </c>
    </row>
    <row r="86" spans="8:24" x14ac:dyDescent="0.25">
      <c r="H86">
        <v>28.4</v>
      </c>
      <c r="I86">
        <v>0.62020583540555951</v>
      </c>
      <c r="J86" s="10">
        <f t="shared" si="14"/>
        <v>-1.7699999999999999E-4</v>
      </c>
      <c r="K86" s="17">
        <f t="shared" si="15"/>
        <v>4.1999999999999998E-5</v>
      </c>
      <c r="L86" s="10">
        <f t="shared" si="16"/>
        <v>1.062E-3</v>
      </c>
      <c r="M86" s="11">
        <f t="shared" si="25"/>
        <v>0.62104238241568499</v>
      </c>
      <c r="N86" s="5">
        <f t="shared" si="17"/>
        <v>1.3488215724033771E-3</v>
      </c>
      <c r="O86">
        <f t="shared" si="18"/>
        <v>3313.3208</v>
      </c>
      <c r="P86">
        <f t="shared" ca="1" si="19"/>
        <v>3313</v>
      </c>
      <c r="Q86" t="str">
        <f t="shared" ca="1" si="20"/>
        <v>0000110011110001</v>
      </c>
      <c r="R86">
        <f t="shared" ca="1" si="21"/>
        <v>0.6211875</v>
      </c>
      <c r="S86">
        <f t="shared" ca="1" si="22"/>
        <v>27.454249999999998</v>
      </c>
      <c r="T86" s="3">
        <f t="shared" ca="1" si="26"/>
        <v>3.3301056338028184E-2</v>
      </c>
      <c r="W86">
        <f t="shared" si="23"/>
        <v>27.442470024866715</v>
      </c>
      <c r="X86" s="5">
        <f t="shared" si="24"/>
        <v>3.3715844194833929E-2</v>
      </c>
    </row>
    <row r="87" spans="8:24" x14ac:dyDescent="0.25">
      <c r="H87">
        <v>28.5</v>
      </c>
      <c r="I87">
        <v>0.62820419038086639</v>
      </c>
      <c r="J87" s="10">
        <f t="shared" si="14"/>
        <v>-1.76E-4</v>
      </c>
      <c r="K87" s="17">
        <f t="shared" si="15"/>
        <v>4.3000000000000002E-5</v>
      </c>
      <c r="L87" s="10">
        <f t="shared" si="16"/>
        <v>1.093E-3</v>
      </c>
      <c r="M87" s="11">
        <f t="shared" si="25"/>
        <v>0.6290677614441248</v>
      </c>
      <c r="N87" s="5">
        <f t="shared" si="17"/>
        <v>1.3746661937018309E-3</v>
      </c>
      <c r="O87">
        <f t="shared" si="18"/>
        <v>3356.1370000000002</v>
      </c>
      <c r="P87">
        <f t="shared" ca="1" si="19"/>
        <v>3357</v>
      </c>
      <c r="Q87" t="str">
        <f t="shared" ca="1" si="20"/>
        <v>0000110100011101</v>
      </c>
      <c r="R87">
        <f t="shared" ca="1" si="21"/>
        <v>0.62943749999999998</v>
      </c>
      <c r="S87">
        <f t="shared" ca="1" si="22"/>
        <v>27.553250000000002</v>
      </c>
      <c r="T87" s="3">
        <f t="shared" ca="1" si="26"/>
        <v>3.3219298245613961E-2</v>
      </c>
      <c r="W87">
        <f t="shared" si="23"/>
        <v>27.538450284570395</v>
      </c>
      <c r="X87" s="5">
        <f t="shared" si="24"/>
        <v>3.3738586506301932E-2</v>
      </c>
    </row>
    <row r="88" spans="8:24" x14ac:dyDescent="0.25">
      <c r="H88">
        <v>28.6</v>
      </c>
      <c r="I88">
        <v>0.63622919137535339</v>
      </c>
      <c r="J88" s="10">
        <f t="shared" si="14"/>
        <v>-1.76E-4</v>
      </c>
      <c r="K88" s="17">
        <f t="shared" si="15"/>
        <v>4.3000000000000002E-5</v>
      </c>
      <c r="L88" s="10">
        <f t="shared" si="16"/>
        <v>1.1230000000000001E-3</v>
      </c>
      <c r="M88" s="11">
        <f t="shared" si="25"/>
        <v>0.63712067789663129</v>
      </c>
      <c r="N88" s="5">
        <f t="shared" si="17"/>
        <v>1.4012034238019742E-3</v>
      </c>
      <c r="O88">
        <f t="shared" si="18"/>
        <v>3399.1001000000001</v>
      </c>
      <c r="P88">
        <f t="shared" ca="1" si="19"/>
        <v>3403</v>
      </c>
      <c r="Q88" t="str">
        <f t="shared" ca="1" si="20"/>
        <v>0000110101001011</v>
      </c>
      <c r="R88">
        <f t="shared" ca="1" si="21"/>
        <v>0.63806249999999998</v>
      </c>
      <c r="S88">
        <f t="shared" ca="1" si="22"/>
        <v>27.656750000000002</v>
      </c>
      <c r="T88" s="3">
        <f t="shared" ca="1" si="26"/>
        <v>3.2980769230769195E-2</v>
      </c>
      <c r="W88">
        <f t="shared" si="23"/>
        <v>27.63475029650424</v>
      </c>
      <c r="X88" s="5">
        <f t="shared" si="24"/>
        <v>3.374998963271892E-2</v>
      </c>
    </row>
    <row r="89" spans="8:24" x14ac:dyDescent="0.25">
      <c r="H89">
        <v>28.700000000000003</v>
      </c>
      <c r="I89">
        <v>0.64248591087425622</v>
      </c>
      <c r="J89" s="10">
        <f t="shared" si="14"/>
        <v>-1.75E-4</v>
      </c>
      <c r="K89" s="17">
        <f t="shared" si="15"/>
        <v>4.3999999999999999E-5</v>
      </c>
      <c r="L89" s="10">
        <f t="shared" si="16"/>
        <v>1.1540000000000001E-3</v>
      </c>
      <c r="M89" s="11">
        <f t="shared" si="25"/>
        <v>0.64340339839600524</v>
      </c>
      <c r="N89" s="5">
        <f t="shared" si="17"/>
        <v>1.4280274574434879E-3</v>
      </c>
      <c r="O89">
        <f t="shared" si="18"/>
        <v>3432.6190000000001</v>
      </c>
      <c r="P89">
        <f t="shared" ca="1" si="19"/>
        <v>3432</v>
      </c>
      <c r="Q89" t="str">
        <f t="shared" ca="1" si="20"/>
        <v>0000110101101000</v>
      </c>
      <c r="R89">
        <f t="shared" ca="1" si="21"/>
        <v>0.64349999999999996</v>
      </c>
      <c r="S89">
        <f t="shared" ca="1" si="22"/>
        <v>27.721999999999998</v>
      </c>
      <c r="T89" s="3">
        <f t="shared" ca="1" si="26"/>
        <v>3.4076655052264981E-2</v>
      </c>
      <c r="W89">
        <f t="shared" si="23"/>
        <v>27.709830930491073</v>
      </c>
      <c r="X89" s="5">
        <f t="shared" si="24"/>
        <v>3.4500664442819858E-2</v>
      </c>
    </row>
    <row r="90" spans="8:24" x14ac:dyDescent="0.25">
      <c r="H90">
        <v>28.8</v>
      </c>
      <c r="I90">
        <v>0.65146246396574514</v>
      </c>
      <c r="J90" s="10">
        <f t="shared" si="14"/>
        <v>-1.74E-4</v>
      </c>
      <c r="K90" s="17">
        <f t="shared" si="15"/>
        <v>4.3999999999999999E-5</v>
      </c>
      <c r="L90" s="10">
        <f t="shared" si="16"/>
        <v>1.1839999999999999E-3</v>
      </c>
      <c r="M90" s="11">
        <f t="shared" si="25"/>
        <v>0.65240891612243412</v>
      </c>
      <c r="N90" s="5">
        <f t="shared" si="17"/>
        <v>1.4528114957345379E-3</v>
      </c>
      <c r="O90">
        <f t="shared" si="18"/>
        <v>3480.6642999999999</v>
      </c>
      <c r="P90">
        <f t="shared" ca="1" si="19"/>
        <v>3480</v>
      </c>
      <c r="Q90" t="str">
        <f t="shared" ca="1" si="20"/>
        <v>0000110110011000</v>
      </c>
      <c r="R90">
        <f t="shared" ca="1" si="21"/>
        <v>0.65249999999999997</v>
      </c>
      <c r="S90">
        <f t="shared" ca="1" si="22"/>
        <v>27.830000000000002</v>
      </c>
      <c r="T90" s="3">
        <f t="shared" ca="1" si="26"/>
        <v>3.3680555555555512E-2</v>
      </c>
      <c r="W90">
        <f t="shared" si="23"/>
        <v>27.817549567588944</v>
      </c>
      <c r="X90" s="5">
        <f t="shared" si="24"/>
        <v>3.4112862236495012E-2</v>
      </c>
    </row>
    <row r="91" spans="8:24" x14ac:dyDescent="0.25">
      <c r="H91">
        <v>28.9</v>
      </c>
      <c r="I91">
        <v>0.6604636398533672</v>
      </c>
      <c r="J91" s="10">
        <f t="shared" si="14"/>
        <v>-1.74E-4</v>
      </c>
      <c r="K91" s="17">
        <f t="shared" si="15"/>
        <v>4.5000000000000003E-5</v>
      </c>
      <c r="L91" s="10">
        <f t="shared" si="16"/>
        <v>1.2149999999999999E-3</v>
      </c>
      <c r="M91" s="11">
        <f t="shared" si="25"/>
        <v>0.66144129102195892</v>
      </c>
      <c r="N91" s="5">
        <f t="shared" si="17"/>
        <v>1.4802497966561385E-3</v>
      </c>
      <c r="O91">
        <f t="shared" si="18"/>
        <v>3528.8528999999999</v>
      </c>
      <c r="P91">
        <f t="shared" ca="1" si="19"/>
        <v>3531</v>
      </c>
      <c r="Q91" t="str">
        <f t="shared" ca="1" si="20"/>
        <v>0000110111001011</v>
      </c>
      <c r="R91">
        <f t="shared" ca="1" si="21"/>
        <v>0.6620625</v>
      </c>
      <c r="S91">
        <f t="shared" ca="1" si="22"/>
        <v>27.944750000000003</v>
      </c>
      <c r="T91" s="3">
        <f t="shared" ca="1" si="26"/>
        <v>3.3053633217992942E-2</v>
      </c>
      <c r="W91">
        <f t="shared" si="23"/>
        <v>27.925563678240405</v>
      </c>
      <c r="X91" s="5">
        <f t="shared" si="24"/>
        <v>3.3717519784068999E-2</v>
      </c>
    </row>
    <row r="92" spans="8:24" x14ac:dyDescent="0.25">
      <c r="H92">
        <v>29</v>
      </c>
      <c r="I92">
        <v>0.66680559930964378</v>
      </c>
      <c r="J92" s="10">
        <f t="shared" si="14"/>
        <v>-1.73E-4</v>
      </c>
      <c r="K92" s="17">
        <f t="shared" si="15"/>
        <v>4.5000000000000003E-5</v>
      </c>
      <c r="L92" s="10">
        <f t="shared" si="16"/>
        <v>1.245E-3</v>
      </c>
      <c r="M92" s="11">
        <f t="shared" si="25"/>
        <v>0.66781002278801482</v>
      </c>
      <c r="N92" s="5">
        <f t="shared" si="17"/>
        <v>1.5063213017571235E-3</v>
      </c>
      <c r="O92">
        <f t="shared" si="18"/>
        <v>3562.8307</v>
      </c>
      <c r="P92">
        <f t="shared" ca="1" si="19"/>
        <v>3566</v>
      </c>
      <c r="Q92" t="str">
        <f t="shared" ca="1" si="20"/>
        <v>0000110111101110</v>
      </c>
      <c r="R92">
        <f t="shared" ca="1" si="21"/>
        <v>0.66862500000000002</v>
      </c>
      <c r="S92">
        <f t="shared" ca="1" si="22"/>
        <v>28.023499999999999</v>
      </c>
      <c r="T92" s="3">
        <f t="shared" ca="1" si="26"/>
        <v>3.3672413793103498E-2</v>
      </c>
      <c r="W92">
        <f t="shared" si="23"/>
        <v>28.001667191715729</v>
      </c>
      <c r="X92" s="5">
        <f t="shared" si="24"/>
        <v>3.4425269251181764E-2</v>
      </c>
    </row>
    <row r="93" spans="8:24" x14ac:dyDescent="0.25">
      <c r="H93">
        <v>29.1</v>
      </c>
      <c r="I93">
        <v>0.67496508130752708</v>
      </c>
      <c r="J93" s="10">
        <f t="shared" si="14"/>
        <v>-1.73E-4</v>
      </c>
      <c r="K93" s="17">
        <f t="shared" si="15"/>
        <v>4.6E-5</v>
      </c>
      <c r="L93" s="10">
        <f t="shared" si="16"/>
        <v>1.276E-3</v>
      </c>
      <c r="M93" s="11">
        <f t="shared" si="25"/>
        <v>0.67600065814732313</v>
      </c>
      <c r="N93" s="5">
        <f t="shared" si="17"/>
        <v>1.5342672805976163E-3</v>
      </c>
      <c r="O93">
        <f t="shared" si="18"/>
        <v>3606.5284999999999</v>
      </c>
      <c r="P93">
        <f t="shared" ca="1" si="19"/>
        <v>3605</v>
      </c>
      <c r="Q93" t="str">
        <f t="shared" ca="1" si="20"/>
        <v>0000111000010101</v>
      </c>
      <c r="R93">
        <f t="shared" ca="1" si="21"/>
        <v>0.67593749999999997</v>
      </c>
      <c r="S93">
        <f t="shared" ca="1" si="22"/>
        <v>28.111250000000002</v>
      </c>
      <c r="T93" s="3">
        <f t="shared" ca="1" si="26"/>
        <v>3.3977663230240533E-2</v>
      </c>
      <c r="W93">
        <f t="shared" si="23"/>
        <v>28.099580975690326</v>
      </c>
      <c r="X93" s="5">
        <f t="shared" si="24"/>
        <v>3.4378660629198456E-2</v>
      </c>
    </row>
    <row r="94" spans="8:24" x14ac:dyDescent="0.25">
      <c r="H94">
        <v>29.200000000000003</v>
      </c>
      <c r="I94">
        <v>0.68315094725972225</v>
      </c>
      <c r="J94" s="10">
        <f t="shared" si="14"/>
        <v>-1.7200000000000001E-4</v>
      </c>
      <c r="K94" s="17">
        <f t="shared" si="15"/>
        <v>4.6E-5</v>
      </c>
      <c r="L94" s="10">
        <f t="shared" si="16"/>
        <v>1.3060000000000001E-3</v>
      </c>
      <c r="M94" s="11">
        <f t="shared" si="25"/>
        <v>0.68421653405319571</v>
      </c>
      <c r="N94" s="5">
        <f t="shared" si="17"/>
        <v>1.5598116313060503E-3</v>
      </c>
      <c r="O94">
        <f t="shared" si="18"/>
        <v>3650.3609999999999</v>
      </c>
      <c r="P94">
        <f t="shared" ca="1" si="19"/>
        <v>3653</v>
      </c>
      <c r="Q94" t="str">
        <f t="shared" ca="1" si="20"/>
        <v>0000111001000101</v>
      </c>
      <c r="R94">
        <f t="shared" ca="1" si="21"/>
        <v>0.68493749999999998</v>
      </c>
      <c r="S94">
        <f t="shared" ca="1" si="22"/>
        <v>28.219250000000002</v>
      </c>
      <c r="T94" s="3">
        <f t="shared" ca="1" si="26"/>
        <v>3.3587328767123302E-2</v>
      </c>
      <c r="W94">
        <f t="shared" si="23"/>
        <v>28.197811367116671</v>
      </c>
      <c r="X94" s="5">
        <f t="shared" si="24"/>
        <v>3.432152852340177E-2</v>
      </c>
    </row>
    <row r="95" spans="8:24" x14ac:dyDescent="0.25">
      <c r="H95">
        <v>29.3</v>
      </c>
      <c r="I95">
        <v>0.69136315194684983</v>
      </c>
      <c r="J95" s="10">
        <f t="shared" si="14"/>
        <v>-1.7200000000000001E-4</v>
      </c>
      <c r="K95" s="17">
        <f t="shared" si="15"/>
        <v>4.6999999999999997E-5</v>
      </c>
      <c r="L95" s="10">
        <f t="shared" si="16"/>
        <v>1.3370000000000001E-3</v>
      </c>
      <c r="M95" s="11">
        <f t="shared" si="25"/>
        <v>0.6924609722667705</v>
      </c>
      <c r="N95" s="5">
        <f t="shared" si="17"/>
        <v>1.587906900778927E-3</v>
      </c>
      <c r="O95">
        <f t="shared" si="18"/>
        <v>3694.3458999999998</v>
      </c>
      <c r="P95">
        <f t="shared" ca="1" si="19"/>
        <v>3698</v>
      </c>
      <c r="Q95" t="str">
        <f t="shared" ca="1" si="20"/>
        <v>0000111001110010</v>
      </c>
      <c r="R95">
        <f t="shared" ca="1" si="21"/>
        <v>0.69337499999999996</v>
      </c>
      <c r="S95">
        <f t="shared" ca="1" si="22"/>
        <v>28.320499999999999</v>
      </c>
      <c r="T95" s="3">
        <f t="shared" ca="1" si="26"/>
        <v>3.3430034129692886E-2</v>
      </c>
      <c r="W95">
        <f t="shared" si="23"/>
        <v>28.2963578233622</v>
      </c>
      <c r="X95" s="5">
        <f t="shared" si="24"/>
        <v>3.4253999202655309E-2</v>
      </c>
    </row>
    <row r="96" spans="8:24" x14ac:dyDescent="0.25">
      <c r="H96">
        <v>29.4</v>
      </c>
      <c r="I96">
        <v>0.69871086947125149</v>
      </c>
      <c r="J96" s="10">
        <f t="shared" si="14"/>
        <v>-1.7100000000000001E-4</v>
      </c>
      <c r="K96" s="17">
        <f t="shared" si="15"/>
        <v>4.6999999999999997E-5</v>
      </c>
      <c r="L96" s="10">
        <f t="shared" si="16"/>
        <v>1.3669999999999999E-3</v>
      </c>
      <c r="M96" s="11">
        <f t="shared" si="25"/>
        <v>0.69983854876741658</v>
      </c>
      <c r="N96" s="5">
        <f t="shared" si="17"/>
        <v>1.6139426842156539E-3</v>
      </c>
      <c r="O96">
        <f t="shared" si="18"/>
        <v>3733.7058999999999</v>
      </c>
      <c r="P96">
        <f t="shared" ca="1" si="19"/>
        <v>3731</v>
      </c>
      <c r="Q96" t="str">
        <f t="shared" ca="1" si="20"/>
        <v>0000111010010011</v>
      </c>
      <c r="R96">
        <f t="shared" ca="1" si="21"/>
        <v>0.69956249999999998</v>
      </c>
      <c r="S96">
        <f t="shared" ca="1" si="22"/>
        <v>28.394750000000002</v>
      </c>
      <c r="T96" s="3">
        <f t="shared" ca="1" si="26"/>
        <v>3.4192176870748187E-2</v>
      </c>
      <c r="W96">
        <f t="shared" si="23"/>
        <v>28.384530433655019</v>
      </c>
      <c r="X96" s="5">
        <f t="shared" si="24"/>
        <v>3.453978116819658E-2</v>
      </c>
    </row>
    <row r="97" spans="8:24" x14ac:dyDescent="0.25">
      <c r="H97">
        <v>29.5</v>
      </c>
      <c r="I97">
        <v>0.70786638924881795</v>
      </c>
      <c r="J97" s="10">
        <f t="shared" si="14"/>
        <v>-1.7000000000000001E-4</v>
      </c>
      <c r="K97" s="17">
        <f t="shared" si="15"/>
        <v>4.8000000000000001E-5</v>
      </c>
      <c r="L97" s="10">
        <f t="shared" si="16"/>
        <v>1.3979999999999999E-3</v>
      </c>
      <c r="M97" s="11">
        <f t="shared" si="25"/>
        <v>0.70902760984738455</v>
      </c>
      <c r="N97" s="5">
        <f t="shared" si="17"/>
        <v>1.6404516674380901E-3</v>
      </c>
      <c r="O97">
        <f t="shared" si="18"/>
        <v>3782.7305000000001</v>
      </c>
      <c r="P97">
        <f t="shared" ca="1" si="19"/>
        <v>3784</v>
      </c>
      <c r="Q97" t="str">
        <f t="shared" ca="1" si="20"/>
        <v>0000111011001000</v>
      </c>
      <c r="R97">
        <f t="shared" ca="1" si="21"/>
        <v>0.70950000000000002</v>
      </c>
      <c r="S97">
        <f t="shared" ca="1" si="22"/>
        <v>28.514000000000003</v>
      </c>
      <c r="T97" s="3">
        <f t="shared" ca="1" si="26"/>
        <v>3.3423728813559227E-2</v>
      </c>
      <c r="W97">
        <f t="shared" si="23"/>
        <v>28.494396670985818</v>
      </c>
      <c r="X97" s="5">
        <f t="shared" si="24"/>
        <v>3.4088248441158708E-2</v>
      </c>
    </row>
    <row r="98" spans="8:24" x14ac:dyDescent="0.25">
      <c r="H98">
        <v>29.6</v>
      </c>
      <c r="I98">
        <v>0.71437960537372225</v>
      </c>
      <c r="J98" s="10">
        <f t="shared" si="14"/>
        <v>-1.7000000000000001E-4</v>
      </c>
      <c r="K98" s="17">
        <f t="shared" si="15"/>
        <v>4.8000000000000001E-5</v>
      </c>
      <c r="L98" s="10">
        <f t="shared" si="16"/>
        <v>1.428E-3</v>
      </c>
      <c r="M98" s="11">
        <f t="shared" si="25"/>
        <v>0.71557144139203011</v>
      </c>
      <c r="N98" s="5">
        <f t="shared" si="17"/>
        <v>1.6683511250077708E-3</v>
      </c>
      <c r="O98">
        <f t="shared" si="18"/>
        <v>3817.6424000000002</v>
      </c>
      <c r="P98">
        <f t="shared" ca="1" si="19"/>
        <v>3819</v>
      </c>
      <c r="Q98" t="str">
        <f t="shared" ca="1" si="20"/>
        <v>0000111011101011</v>
      </c>
      <c r="R98">
        <f t="shared" ca="1" si="21"/>
        <v>0.71606250000000005</v>
      </c>
      <c r="S98">
        <f t="shared" ca="1" si="22"/>
        <v>28.592749999999999</v>
      </c>
      <c r="T98" s="3">
        <f t="shared" ca="1" si="26"/>
        <v>3.4028716216216302E-2</v>
      </c>
      <c r="W98">
        <f t="shared" si="23"/>
        <v>28.572555264484667</v>
      </c>
      <c r="X98" s="5">
        <f t="shared" si="24"/>
        <v>3.4710970794436989E-2</v>
      </c>
    </row>
    <row r="99" spans="8:24" x14ac:dyDescent="0.25">
      <c r="H99">
        <v>29.700000000000003</v>
      </c>
      <c r="I99">
        <v>0.72269861470416752</v>
      </c>
      <c r="J99" s="10">
        <f t="shared" si="14"/>
        <v>-1.6899999999999999E-4</v>
      </c>
      <c r="K99" s="17">
        <f t="shared" si="15"/>
        <v>4.8999999999999998E-5</v>
      </c>
      <c r="L99" s="10">
        <f t="shared" si="16"/>
        <v>1.459E-3</v>
      </c>
      <c r="M99" s="11">
        <f t="shared" si="25"/>
        <v>0.72392381955690099</v>
      </c>
      <c r="N99" s="5">
        <f t="shared" si="17"/>
        <v>1.6953192213257598E-3</v>
      </c>
      <c r="O99">
        <f t="shared" si="18"/>
        <v>3862.2031999999999</v>
      </c>
      <c r="P99">
        <f t="shared" ca="1" si="19"/>
        <v>3865</v>
      </c>
      <c r="Q99" t="str">
        <f t="shared" ca="1" si="20"/>
        <v>0000111100011001</v>
      </c>
      <c r="R99">
        <f t="shared" ca="1" si="21"/>
        <v>0.72468750000000004</v>
      </c>
      <c r="S99">
        <f t="shared" ca="1" si="22"/>
        <v>28.696250000000003</v>
      </c>
      <c r="T99" s="3">
        <f t="shared" ca="1" si="26"/>
        <v>3.3796296296296297E-2</v>
      </c>
      <c r="W99">
        <f t="shared" si="23"/>
        <v>28.672383376450014</v>
      </c>
      <c r="X99" s="5">
        <f t="shared" si="24"/>
        <v>3.4599886314814428E-2</v>
      </c>
    </row>
    <row r="100" spans="8:24" x14ac:dyDescent="0.25">
      <c r="H100">
        <v>29.8</v>
      </c>
      <c r="I100">
        <v>0.73104372602944867</v>
      </c>
      <c r="J100" s="10">
        <f t="shared" si="14"/>
        <v>-1.6899999999999999E-4</v>
      </c>
      <c r="K100" s="17">
        <f t="shared" si="15"/>
        <v>4.8999999999999998E-5</v>
      </c>
      <c r="L100" s="10">
        <f t="shared" si="16"/>
        <v>1.4890000000000001E-3</v>
      </c>
      <c r="M100" s="11">
        <f t="shared" si="25"/>
        <v>0.73230312538314413</v>
      </c>
      <c r="N100" s="5">
        <f t="shared" si="17"/>
        <v>1.7227414843373182E-3</v>
      </c>
      <c r="O100">
        <f t="shared" si="18"/>
        <v>3906.9076</v>
      </c>
      <c r="P100">
        <f t="shared" ca="1" si="19"/>
        <v>3910</v>
      </c>
      <c r="Q100" t="str">
        <f t="shared" ca="1" si="20"/>
        <v>0000111101000110</v>
      </c>
      <c r="R100">
        <f t="shared" ca="1" si="21"/>
        <v>0.73312500000000003</v>
      </c>
      <c r="S100">
        <f t="shared" ca="1" si="22"/>
        <v>28.797500000000003</v>
      </c>
      <c r="T100" s="3">
        <f t="shared" ca="1" si="26"/>
        <v>3.3640939597315359E-2</v>
      </c>
      <c r="W100">
        <f t="shared" si="23"/>
        <v>28.772524712353388</v>
      </c>
      <c r="X100" s="5">
        <f t="shared" si="24"/>
        <v>3.4479036498208493E-2</v>
      </c>
    </row>
    <row r="101" spans="8:24" x14ac:dyDescent="0.25">
      <c r="H101">
        <v>29.9</v>
      </c>
      <c r="I101">
        <v>0.73764295061943441</v>
      </c>
      <c r="J101" s="10">
        <f t="shared" si="14"/>
        <v>-1.6799999999999999E-4</v>
      </c>
      <c r="K101" s="17">
        <f t="shared" si="15"/>
        <v>5.0000000000000002E-5</v>
      </c>
      <c r="L101" s="10">
        <f t="shared" si="16"/>
        <v>1.5200000000000001E-3</v>
      </c>
      <c r="M101" s="11">
        <f t="shared" si="25"/>
        <v>0.738934130497791</v>
      </c>
      <c r="N101" s="5">
        <f t="shared" si="17"/>
        <v>1.7504130925027064E-3</v>
      </c>
      <c r="O101">
        <f t="shared" si="18"/>
        <v>3942.2846</v>
      </c>
      <c r="P101">
        <f t="shared" ca="1" si="19"/>
        <v>3946</v>
      </c>
      <c r="Q101" t="str">
        <f t="shared" ca="1" si="20"/>
        <v>0000111101101010</v>
      </c>
      <c r="R101">
        <f t="shared" ca="1" si="21"/>
        <v>0.73987500000000006</v>
      </c>
      <c r="S101">
        <f t="shared" ca="1" si="22"/>
        <v>28.878499999999999</v>
      </c>
      <c r="T101" s="3">
        <f t="shared" ca="1" si="26"/>
        <v>3.4163879598662197E-2</v>
      </c>
      <c r="W101">
        <f t="shared" si="23"/>
        <v>28.851715407433211</v>
      </c>
      <c r="X101" s="5">
        <f t="shared" si="24"/>
        <v>3.5059685370126673E-2</v>
      </c>
    </row>
    <row r="102" spans="8:24" x14ac:dyDescent="0.25">
      <c r="H102">
        <v>30</v>
      </c>
      <c r="I102">
        <v>0.7469270611397516</v>
      </c>
      <c r="J102" s="10">
        <f t="shared" si="14"/>
        <v>-1.6799999999999999E-4</v>
      </c>
      <c r="K102" s="17">
        <f t="shared" si="15"/>
        <v>5.0000000000000002E-5</v>
      </c>
      <c r="L102" s="10">
        <f t="shared" si="16"/>
        <v>1.5499999999999999E-3</v>
      </c>
      <c r="M102" s="11">
        <f t="shared" si="25"/>
        <v>0.74825485616681009</v>
      </c>
      <c r="N102" s="5">
        <f t="shared" si="17"/>
        <v>1.7776769595579747E-3</v>
      </c>
      <c r="O102">
        <f t="shared" si="18"/>
        <v>3992.0115999999998</v>
      </c>
      <c r="P102">
        <f t="shared" ca="1" si="19"/>
        <v>3996</v>
      </c>
      <c r="Q102" t="str">
        <f t="shared" ca="1" si="20"/>
        <v>0000111110011100</v>
      </c>
      <c r="R102">
        <f t="shared" ca="1" si="21"/>
        <v>0.74924999999999997</v>
      </c>
      <c r="S102">
        <f t="shared" ca="1" si="22"/>
        <v>28.991000000000003</v>
      </c>
      <c r="T102" s="3">
        <f t="shared" ca="1" si="26"/>
        <v>3.3633333333333224E-2</v>
      </c>
      <c r="W102">
        <f t="shared" si="23"/>
        <v>28.96312473367702</v>
      </c>
      <c r="X102" s="5">
        <f t="shared" si="24"/>
        <v>3.456250887743266E-2</v>
      </c>
    </row>
    <row r="103" spans="8:24" x14ac:dyDescent="0.25">
      <c r="H103">
        <v>30.1</v>
      </c>
      <c r="I103">
        <v>0.75446711554118517</v>
      </c>
      <c r="J103" s="10">
        <f t="shared" si="14"/>
        <v>-1.6699999999999999E-4</v>
      </c>
      <c r="K103" s="17">
        <f t="shared" si="15"/>
        <v>5.1E-5</v>
      </c>
      <c r="L103" s="10">
        <f t="shared" si="16"/>
        <v>1.5809999999999999E-3</v>
      </c>
      <c r="M103" s="11">
        <f t="shared" si="25"/>
        <v>0.75582908131875015</v>
      </c>
      <c r="N103" s="5">
        <f t="shared" si="17"/>
        <v>1.8052023070455876E-3</v>
      </c>
      <c r="O103">
        <f t="shared" si="18"/>
        <v>4032.4207999999999</v>
      </c>
      <c r="P103">
        <f t="shared" ca="1" si="19"/>
        <v>4036</v>
      </c>
      <c r="Q103" t="str">
        <f t="shared" ca="1" si="20"/>
        <v>0000111111000100</v>
      </c>
      <c r="R103">
        <f t="shared" ca="1" si="21"/>
        <v>0.75675000000000003</v>
      </c>
      <c r="S103">
        <f t="shared" ca="1" si="22"/>
        <v>29.081000000000003</v>
      </c>
      <c r="T103" s="3">
        <f t="shared" ca="1" si="26"/>
        <v>3.3853820598006588E-2</v>
      </c>
      <c r="W103">
        <f t="shared" si="23"/>
        <v>29.053605386494226</v>
      </c>
      <c r="X103" s="5">
        <f t="shared" si="24"/>
        <v>3.4763940648032399E-2</v>
      </c>
    </row>
    <row r="104" spans="8:24" x14ac:dyDescent="0.25">
      <c r="H104">
        <v>30.200000000000003</v>
      </c>
      <c r="I104">
        <v>0.76115194301061084</v>
      </c>
      <c r="J104" s="10">
        <f t="shared" si="14"/>
        <v>-1.66E-4</v>
      </c>
      <c r="K104" s="17">
        <f t="shared" si="15"/>
        <v>5.1E-5</v>
      </c>
      <c r="L104" s="10">
        <f t="shared" si="16"/>
        <v>1.611E-3</v>
      </c>
      <c r="M104" s="11">
        <f t="shared" si="25"/>
        <v>0.76254640526950002</v>
      </c>
      <c r="N104" s="5">
        <f t="shared" si="17"/>
        <v>1.8320419092324822E-3</v>
      </c>
      <c r="O104">
        <f t="shared" si="18"/>
        <v>4068.2584000000002</v>
      </c>
      <c r="P104">
        <f t="shared" ca="1" si="19"/>
        <v>4072</v>
      </c>
      <c r="Q104" t="str">
        <f t="shared" ca="1" si="20"/>
        <v>0000111111101000</v>
      </c>
      <c r="R104">
        <f t="shared" ca="1" si="21"/>
        <v>0.76350000000000007</v>
      </c>
      <c r="S104">
        <f t="shared" ca="1" si="22"/>
        <v>29.161999999999999</v>
      </c>
      <c r="T104" s="3">
        <f t="shared" ca="1" si="26"/>
        <v>3.4370860927152441E-2</v>
      </c>
      <c r="W104">
        <f t="shared" si="23"/>
        <v>29.133823316127334</v>
      </c>
      <c r="X104" s="5">
        <f t="shared" si="24"/>
        <v>3.5303863704393014E-2</v>
      </c>
    </row>
    <row r="105" spans="8:24" x14ac:dyDescent="0.25">
      <c r="H105">
        <v>30.3</v>
      </c>
      <c r="I105">
        <v>0.76963070814607515</v>
      </c>
      <c r="J105" s="10">
        <f t="shared" si="14"/>
        <v>-1.66E-4</v>
      </c>
      <c r="K105" s="17">
        <f t="shared" si="15"/>
        <v>5.1999999999999997E-5</v>
      </c>
      <c r="L105" s="10">
        <f t="shared" si="16"/>
        <v>1.642E-3</v>
      </c>
      <c r="M105" s="11">
        <f t="shared" si="25"/>
        <v>0.77106279325259597</v>
      </c>
      <c r="N105" s="5">
        <f t="shared" si="17"/>
        <v>1.8607431997749904E-3</v>
      </c>
      <c r="O105">
        <f t="shared" si="18"/>
        <v>4113.6940999999997</v>
      </c>
      <c r="P105">
        <f t="shared" ca="1" si="19"/>
        <v>4112</v>
      </c>
      <c r="Q105" t="str">
        <f t="shared" ca="1" si="20"/>
        <v>0001000000010000</v>
      </c>
      <c r="R105">
        <f t="shared" ca="1" si="21"/>
        <v>0.77100000000000002</v>
      </c>
      <c r="S105">
        <f t="shared" ca="1" si="22"/>
        <v>29.252000000000002</v>
      </c>
      <c r="T105" s="3">
        <f t="shared" ca="1" si="26"/>
        <v>3.458745874587453E-2</v>
      </c>
      <c r="W105">
        <f t="shared" si="23"/>
        <v>29.235568497752904</v>
      </c>
      <c r="X105" s="5">
        <f t="shared" si="24"/>
        <v>3.5129752549409116E-2</v>
      </c>
    </row>
    <row r="106" spans="8:24" x14ac:dyDescent="0.25">
      <c r="H106">
        <v>30.4</v>
      </c>
      <c r="I106">
        <v>0.77813528067605309</v>
      </c>
      <c r="J106" s="10">
        <f t="shared" si="14"/>
        <v>-1.65E-4</v>
      </c>
      <c r="K106" s="17">
        <f t="shared" si="15"/>
        <v>5.1999999999999997E-5</v>
      </c>
      <c r="L106" s="10">
        <f t="shared" si="16"/>
        <v>1.6720000000000001E-3</v>
      </c>
      <c r="M106" s="11">
        <f t="shared" si="25"/>
        <v>0.77960377819319204</v>
      </c>
      <c r="N106" s="5">
        <f t="shared" si="17"/>
        <v>1.8872007909255932E-3</v>
      </c>
      <c r="O106">
        <f t="shared" si="18"/>
        <v>4159.2610999999997</v>
      </c>
      <c r="P106">
        <f t="shared" ca="1" si="19"/>
        <v>4158</v>
      </c>
      <c r="Q106" t="str">
        <f t="shared" ca="1" si="20"/>
        <v>0001000000111110</v>
      </c>
      <c r="R106">
        <f t="shared" ca="1" si="21"/>
        <v>0.77962500000000001</v>
      </c>
      <c r="S106">
        <f t="shared" ca="1" si="22"/>
        <v>29.355500000000003</v>
      </c>
      <c r="T106" s="3">
        <f t="shared" ca="1" si="26"/>
        <v>3.4358552631578811E-2</v>
      </c>
      <c r="W106">
        <f t="shared" si="23"/>
        <v>29.337623368112638</v>
      </c>
      <c r="X106" s="5">
        <f t="shared" si="24"/>
        <v>3.4946599733136866E-2</v>
      </c>
    </row>
    <row r="107" spans="8:24" x14ac:dyDescent="0.25">
      <c r="H107">
        <v>30.5</v>
      </c>
      <c r="I107">
        <v>0.78578545269238353</v>
      </c>
      <c r="J107" s="10">
        <f t="shared" si="14"/>
        <v>-1.65E-4</v>
      </c>
      <c r="K107" s="17">
        <f t="shared" si="15"/>
        <v>5.3000000000000001E-5</v>
      </c>
      <c r="L107" s="10">
        <f t="shared" si="16"/>
        <v>1.7030000000000001E-3</v>
      </c>
      <c r="M107" s="11">
        <f t="shared" si="25"/>
        <v>0.78729120962237042</v>
      </c>
      <c r="N107" s="5">
        <f t="shared" si="17"/>
        <v>1.9162443448496346E-3</v>
      </c>
      <c r="O107">
        <f t="shared" si="18"/>
        <v>4200.2743</v>
      </c>
      <c r="P107">
        <f t="shared" ca="1" si="19"/>
        <v>4203</v>
      </c>
      <c r="Q107" t="str">
        <f t="shared" ca="1" si="20"/>
        <v>0001000001101011</v>
      </c>
      <c r="R107">
        <f t="shared" ca="1" si="21"/>
        <v>0.7880625</v>
      </c>
      <c r="S107">
        <f t="shared" ca="1" si="22"/>
        <v>29.45675</v>
      </c>
      <c r="T107" s="3">
        <f t="shared" ca="1" si="26"/>
        <v>3.4204918032786899E-2</v>
      </c>
      <c r="W107">
        <f t="shared" si="23"/>
        <v>29.429425432308605</v>
      </c>
      <c r="X107" s="5">
        <f t="shared" si="24"/>
        <v>3.5100805498078522E-2</v>
      </c>
    </row>
    <row r="108" spans="8:24" x14ac:dyDescent="0.25">
      <c r="H108">
        <v>30.6</v>
      </c>
      <c r="I108">
        <v>0.794342458147557</v>
      </c>
      <c r="J108" s="10">
        <f t="shared" si="14"/>
        <v>-1.64E-4</v>
      </c>
      <c r="K108" s="17">
        <f t="shared" si="15"/>
        <v>5.3000000000000001E-5</v>
      </c>
      <c r="L108" s="10">
        <f t="shared" si="16"/>
        <v>1.7329999999999999E-3</v>
      </c>
      <c r="M108" s="11">
        <f t="shared" si="25"/>
        <v>0.7958857281143793</v>
      </c>
      <c r="N108" s="5">
        <f t="shared" si="17"/>
        <v>1.9428269897863435E-3</v>
      </c>
      <c r="O108">
        <f t="shared" si="18"/>
        <v>4246.1269000000002</v>
      </c>
      <c r="P108">
        <f t="shared" ca="1" si="19"/>
        <v>4244</v>
      </c>
      <c r="Q108" t="str">
        <f t="shared" ca="1" si="20"/>
        <v>0001000010010100</v>
      </c>
      <c r="R108">
        <f t="shared" ca="1" si="21"/>
        <v>0.79575000000000007</v>
      </c>
      <c r="S108">
        <f t="shared" ca="1" si="22"/>
        <v>29.549000000000003</v>
      </c>
      <c r="T108" s="3">
        <f t="shared" ca="1" si="26"/>
        <v>3.4346405228758113E-2</v>
      </c>
      <c r="W108">
        <f t="shared" si="23"/>
        <v>29.532109497770684</v>
      </c>
      <c r="X108" s="5">
        <f t="shared" si="24"/>
        <v>3.4898382425794704E-2</v>
      </c>
    </row>
    <row r="109" spans="8:24" x14ac:dyDescent="0.25">
      <c r="H109">
        <v>30.700000000000003</v>
      </c>
      <c r="I109">
        <v>0.80204690851817551</v>
      </c>
      <c r="J109" s="10">
        <f t="shared" si="14"/>
        <v>-1.63E-4</v>
      </c>
      <c r="K109" s="17">
        <f t="shared" si="15"/>
        <v>5.3999999999999998E-5</v>
      </c>
      <c r="L109" s="10">
        <f t="shared" si="16"/>
        <v>1.7639999999999999E-3</v>
      </c>
      <c r="M109" s="11">
        <f t="shared" si="25"/>
        <v>0.80362750744130196</v>
      </c>
      <c r="N109" s="5">
        <f t="shared" si="17"/>
        <v>1.9707063344296082E-3</v>
      </c>
      <c r="O109">
        <f t="shared" si="18"/>
        <v>4287.43</v>
      </c>
      <c r="P109">
        <f t="shared" ca="1" si="19"/>
        <v>4289</v>
      </c>
      <c r="Q109" t="str">
        <f t="shared" ca="1" si="20"/>
        <v>0001000011000001</v>
      </c>
      <c r="R109">
        <f t="shared" ca="1" si="21"/>
        <v>0.80418750000000006</v>
      </c>
      <c r="S109">
        <f t="shared" ca="1" si="22"/>
        <v>29.650250000000003</v>
      </c>
      <c r="T109" s="3">
        <f t="shared" ca="1" si="26"/>
        <v>3.4193811074918548E-2</v>
      </c>
      <c r="W109">
        <f t="shared" si="23"/>
        <v>29.624562902218106</v>
      </c>
      <c r="X109" s="5">
        <f t="shared" si="24"/>
        <v>3.5030524357716517E-2</v>
      </c>
    </row>
    <row r="110" spans="8:24" x14ac:dyDescent="0.25">
      <c r="H110">
        <v>30.8</v>
      </c>
      <c r="I110">
        <v>0.81065614014559007</v>
      </c>
      <c r="J110" s="10">
        <f t="shared" si="14"/>
        <v>-1.63E-4</v>
      </c>
      <c r="K110" s="17">
        <f t="shared" si="15"/>
        <v>5.3999999999999998E-5</v>
      </c>
      <c r="L110" s="10">
        <f t="shared" si="16"/>
        <v>1.794E-3</v>
      </c>
      <c r="M110" s="11">
        <f t="shared" si="25"/>
        <v>0.81227636394250291</v>
      </c>
      <c r="N110" s="5">
        <f t="shared" si="17"/>
        <v>1.9986572810289953E-3</v>
      </c>
      <c r="O110">
        <f t="shared" si="18"/>
        <v>4333.5725000000002</v>
      </c>
      <c r="P110">
        <f t="shared" ca="1" si="19"/>
        <v>4331</v>
      </c>
      <c r="Q110" t="str">
        <f t="shared" ca="1" si="20"/>
        <v>0001000011101011</v>
      </c>
      <c r="R110">
        <f t="shared" ca="1" si="21"/>
        <v>0.81206250000000002</v>
      </c>
      <c r="S110">
        <f t="shared" ca="1" si="22"/>
        <v>29.74475</v>
      </c>
      <c r="T110" s="3">
        <f t="shared" ca="1" si="26"/>
        <v>3.4261363636363666E-2</v>
      </c>
      <c r="W110">
        <f t="shared" si="23"/>
        <v>29.727873681747084</v>
      </c>
      <c r="X110" s="5">
        <f t="shared" si="24"/>
        <v>3.480929604717261E-2</v>
      </c>
    </row>
    <row r="111" spans="8:24" x14ac:dyDescent="0.25">
      <c r="H111">
        <v>30.9</v>
      </c>
      <c r="I111">
        <v>0.81841466649002759</v>
      </c>
      <c r="J111" s="10">
        <f t="shared" si="14"/>
        <v>-1.6200000000000001E-4</v>
      </c>
      <c r="K111" s="17">
        <f t="shared" si="15"/>
        <v>5.5000000000000002E-5</v>
      </c>
      <c r="L111" s="10">
        <f t="shared" si="16"/>
        <v>1.825E-3</v>
      </c>
      <c r="M111" s="11">
        <f t="shared" si="25"/>
        <v>0.82007330026300751</v>
      </c>
      <c r="N111" s="5">
        <f t="shared" si="17"/>
        <v>2.0266422889186251E-3</v>
      </c>
      <c r="O111">
        <f t="shared" si="18"/>
        <v>4375.1698999999999</v>
      </c>
      <c r="P111">
        <f t="shared" ca="1" si="19"/>
        <v>4375</v>
      </c>
      <c r="Q111" t="str">
        <f t="shared" ca="1" si="20"/>
        <v>0001000100010111</v>
      </c>
      <c r="R111">
        <f t="shared" ca="1" si="21"/>
        <v>0.8203125</v>
      </c>
      <c r="S111">
        <f t="shared" ca="1" si="22"/>
        <v>29.843750000000004</v>
      </c>
      <c r="T111" s="3">
        <f t="shared" ca="1" si="26"/>
        <v>3.4182847896439973E-2</v>
      </c>
      <c r="W111">
        <f t="shared" si="23"/>
        <v>29.820975997880332</v>
      </c>
      <c r="X111" s="5">
        <f t="shared" si="24"/>
        <v>3.4919870618759438E-2</v>
      </c>
    </row>
    <row r="112" spans="8:24" x14ac:dyDescent="0.25">
      <c r="H112">
        <v>31</v>
      </c>
      <c r="I112">
        <v>0.8262006432634823</v>
      </c>
      <c r="J112" s="10">
        <f t="shared" si="14"/>
        <v>-1.6200000000000001E-4</v>
      </c>
      <c r="K112" s="17">
        <f t="shared" si="15"/>
        <v>5.5000000000000002E-5</v>
      </c>
      <c r="L112" s="10">
        <f t="shared" si="16"/>
        <v>1.8550000000000001E-3</v>
      </c>
      <c r="M112" s="11">
        <f t="shared" si="25"/>
        <v>0.82789839478581007</v>
      </c>
      <c r="N112" s="5">
        <f t="shared" si="17"/>
        <v>2.0548900998450742E-3</v>
      </c>
      <c r="O112">
        <f t="shared" si="18"/>
        <v>4416.9174999999996</v>
      </c>
      <c r="P112">
        <f t="shared" ca="1" si="19"/>
        <v>4418</v>
      </c>
      <c r="Q112" t="str">
        <f t="shared" ca="1" si="20"/>
        <v>0001000101000010</v>
      </c>
      <c r="R112">
        <f t="shared" ca="1" si="21"/>
        <v>0.82837499999999997</v>
      </c>
      <c r="S112">
        <f t="shared" ca="1" si="22"/>
        <v>29.940500000000004</v>
      </c>
      <c r="T112" s="3">
        <f t="shared" ca="1" si="26"/>
        <v>3.417741935483859E-2</v>
      </c>
      <c r="W112">
        <f t="shared" si="23"/>
        <v>29.91440771916179</v>
      </c>
      <c r="X112" s="5">
        <f t="shared" si="24"/>
        <v>3.5019105833490632E-2</v>
      </c>
    </row>
    <row r="113" spans="8:24" x14ac:dyDescent="0.25">
      <c r="H113">
        <v>31.1</v>
      </c>
      <c r="I113">
        <v>0.83576259728032098</v>
      </c>
      <c r="J113" s="10">
        <f t="shared" si="14"/>
        <v>-1.6100000000000001E-4</v>
      </c>
      <c r="K113" s="17">
        <f t="shared" si="15"/>
        <v>5.5999999999999999E-5</v>
      </c>
      <c r="L113" s="10">
        <f t="shared" si="16"/>
        <v>1.8860000000000001E-3</v>
      </c>
      <c r="M113" s="11">
        <f t="shared" si="25"/>
        <v>0.83750312818006856</v>
      </c>
      <c r="N113" s="5">
        <f t="shared" si="17"/>
        <v>2.0825661562404009E-3</v>
      </c>
      <c r="O113">
        <f t="shared" si="18"/>
        <v>4468.1597000000002</v>
      </c>
      <c r="P113">
        <f t="shared" ca="1" si="19"/>
        <v>4468</v>
      </c>
      <c r="Q113" t="str">
        <f t="shared" ca="1" si="20"/>
        <v>0001000101110100</v>
      </c>
      <c r="R113">
        <f t="shared" ca="1" si="21"/>
        <v>0.83774999999999999</v>
      </c>
      <c r="S113">
        <f t="shared" ca="1" si="22"/>
        <v>30.053000000000001</v>
      </c>
      <c r="T113" s="3">
        <f t="shared" ca="1" si="26"/>
        <v>3.3665594855305486E-2</v>
      </c>
      <c r="W113">
        <f t="shared" si="23"/>
        <v>30.029151167363853</v>
      </c>
      <c r="X113" s="5">
        <f t="shared" si="24"/>
        <v>3.4432438348429205E-2</v>
      </c>
    </row>
    <row r="114" spans="8:24" x14ac:dyDescent="0.25">
      <c r="H114">
        <v>31.200000000000003</v>
      </c>
      <c r="I114">
        <v>0.84360135593524821</v>
      </c>
      <c r="J114" s="10">
        <f t="shared" si="14"/>
        <v>-1.6100000000000001E-4</v>
      </c>
      <c r="K114" s="17">
        <f t="shared" si="15"/>
        <v>5.5999999999999999E-5</v>
      </c>
      <c r="L114" s="10">
        <f t="shared" si="16"/>
        <v>1.916E-3</v>
      </c>
      <c r="M114" s="11">
        <f t="shared" si="25"/>
        <v>0.84538210805428016</v>
      </c>
      <c r="N114" s="5">
        <f t="shared" si="17"/>
        <v>2.1108929075365681E-3</v>
      </c>
      <c r="O114">
        <f t="shared" si="18"/>
        <v>4510.1948000000002</v>
      </c>
      <c r="P114">
        <f t="shared" ca="1" si="19"/>
        <v>4510</v>
      </c>
      <c r="Q114" t="str">
        <f t="shared" ca="1" si="20"/>
        <v>0001000110011110</v>
      </c>
      <c r="R114">
        <f t="shared" ca="1" si="21"/>
        <v>0.84562500000000007</v>
      </c>
      <c r="S114">
        <f t="shared" ca="1" si="22"/>
        <v>30.147500000000004</v>
      </c>
      <c r="T114" s="3">
        <f t="shared" ca="1" si="26"/>
        <v>3.3733974358974309E-2</v>
      </c>
      <c r="W114">
        <f t="shared" si="23"/>
        <v>30.123216271222979</v>
      </c>
      <c r="X114" s="5">
        <f t="shared" si="24"/>
        <v>3.4512298999263571E-2</v>
      </c>
    </row>
    <row r="115" spans="8:24" x14ac:dyDescent="0.25">
      <c r="H115">
        <v>31.3</v>
      </c>
      <c r="I115">
        <v>0.85059508672628847</v>
      </c>
      <c r="J115" s="10">
        <f t="shared" si="14"/>
        <v>-1.6000000000000001E-4</v>
      </c>
      <c r="K115" s="17">
        <f t="shared" si="15"/>
        <v>5.7000000000000003E-5</v>
      </c>
      <c r="L115" s="10">
        <f t="shared" si="16"/>
        <v>1.9469999999999999E-3</v>
      </c>
      <c r="M115" s="11">
        <f t="shared" si="25"/>
        <v>0.85241473822160607</v>
      </c>
      <c r="N115" s="5">
        <f t="shared" si="17"/>
        <v>2.1392687586768771E-3</v>
      </c>
      <c r="O115">
        <f t="shared" si="18"/>
        <v>4547.7146000000002</v>
      </c>
      <c r="P115">
        <f t="shared" ca="1" si="19"/>
        <v>4549</v>
      </c>
      <c r="Q115" t="str">
        <f t="shared" ca="1" si="20"/>
        <v>0001000111000101</v>
      </c>
      <c r="R115">
        <f t="shared" ca="1" si="21"/>
        <v>0.85293750000000002</v>
      </c>
      <c r="S115">
        <f t="shared" ca="1" si="22"/>
        <v>30.235250000000004</v>
      </c>
      <c r="T115" s="3">
        <f t="shared" ca="1" si="26"/>
        <v>3.4017571884983916E-2</v>
      </c>
      <c r="W115">
        <f t="shared" si="23"/>
        <v>30.207141040715463</v>
      </c>
      <c r="X115" s="5">
        <f t="shared" si="24"/>
        <v>3.4915621702381397E-2</v>
      </c>
    </row>
    <row r="116" spans="8:24" x14ac:dyDescent="0.25">
      <c r="H116">
        <v>31.4</v>
      </c>
      <c r="I116">
        <v>0.86023203759300171</v>
      </c>
      <c r="J116" s="10">
        <f t="shared" si="14"/>
        <v>-1.5899999999999999E-4</v>
      </c>
      <c r="K116" s="17">
        <f t="shared" si="15"/>
        <v>5.7000000000000003E-5</v>
      </c>
      <c r="L116" s="10">
        <f t="shared" si="16"/>
        <v>1.977E-3</v>
      </c>
      <c r="M116" s="11">
        <f t="shared" si="25"/>
        <v>0.86209540019919551</v>
      </c>
      <c r="N116" s="5">
        <f t="shared" si="17"/>
        <v>2.1661162625465974E-3</v>
      </c>
      <c r="O116">
        <f t="shared" si="18"/>
        <v>4599.3617999999997</v>
      </c>
      <c r="P116">
        <f t="shared" ca="1" si="19"/>
        <v>4603</v>
      </c>
      <c r="Q116" t="str">
        <f t="shared" ca="1" si="20"/>
        <v>0001000111111011</v>
      </c>
      <c r="R116">
        <f t="shared" ca="1" si="21"/>
        <v>0.86306250000000007</v>
      </c>
      <c r="S116">
        <f t="shared" ca="1" si="22"/>
        <v>30.356750000000002</v>
      </c>
      <c r="T116" s="3">
        <f t="shared" ca="1" si="26"/>
        <v>3.3224522292993532E-2</v>
      </c>
      <c r="W116">
        <f t="shared" si="23"/>
        <v>30.322784451116021</v>
      </c>
      <c r="X116" s="5">
        <f t="shared" si="24"/>
        <v>3.430622767146424E-2</v>
      </c>
    </row>
    <row r="117" spans="8:24" x14ac:dyDescent="0.25">
      <c r="H117">
        <v>31.5</v>
      </c>
      <c r="I117">
        <v>0.86815153227184072</v>
      </c>
      <c r="J117" s="10">
        <f t="shared" si="14"/>
        <v>-1.5899999999999999E-4</v>
      </c>
      <c r="K117" s="17">
        <f t="shared" si="15"/>
        <v>5.8E-5</v>
      </c>
      <c r="L117" s="10">
        <f t="shared" si="16"/>
        <v>2.0079999999999998E-3</v>
      </c>
      <c r="M117" s="11">
        <f t="shared" si="25"/>
        <v>0.87005760794860154</v>
      </c>
      <c r="N117" s="5">
        <f t="shared" si="17"/>
        <v>2.1955564275430886E-3</v>
      </c>
      <c r="O117">
        <f t="shared" si="18"/>
        <v>4641.8410000000003</v>
      </c>
      <c r="P117">
        <f t="shared" ca="1" si="19"/>
        <v>4641</v>
      </c>
      <c r="Q117" t="str">
        <f t="shared" ca="1" si="20"/>
        <v>0001001000100001</v>
      </c>
      <c r="R117">
        <f t="shared" ca="1" si="21"/>
        <v>0.8701875</v>
      </c>
      <c r="S117">
        <f t="shared" ca="1" si="22"/>
        <v>30.442250000000001</v>
      </c>
      <c r="T117" s="3">
        <f t="shared" ca="1" si="26"/>
        <v>3.3579365079365035E-2</v>
      </c>
      <c r="W117">
        <f t="shared" si="23"/>
        <v>30.417818387262091</v>
      </c>
      <c r="X117" s="5">
        <f t="shared" si="24"/>
        <v>3.4354971832949485E-2</v>
      </c>
    </row>
    <row r="118" spans="8:24" x14ac:dyDescent="0.25">
      <c r="H118">
        <v>31.6</v>
      </c>
      <c r="I118">
        <v>0.87522880001910219</v>
      </c>
      <c r="J118" s="10">
        <f t="shared" si="14"/>
        <v>-1.5799999999999999E-4</v>
      </c>
      <c r="K118" s="17">
        <f t="shared" si="15"/>
        <v>5.8E-5</v>
      </c>
      <c r="L118" s="10">
        <f t="shared" si="16"/>
        <v>2.0379999999999999E-3</v>
      </c>
      <c r="M118" s="11">
        <f t="shared" si="25"/>
        <v>0.87717448161262868</v>
      </c>
      <c r="N118" s="5">
        <f t="shared" si="17"/>
        <v>2.2230548097640496E-3</v>
      </c>
      <c r="O118">
        <f t="shared" si="18"/>
        <v>4679.8101999999999</v>
      </c>
      <c r="P118">
        <f t="shared" ca="1" si="19"/>
        <v>4678</v>
      </c>
      <c r="Q118" t="str">
        <f t="shared" ca="1" si="20"/>
        <v>0001001001000110</v>
      </c>
      <c r="R118">
        <f t="shared" ca="1" si="21"/>
        <v>0.87712500000000004</v>
      </c>
      <c r="S118">
        <f t="shared" ca="1" si="22"/>
        <v>30.525500000000005</v>
      </c>
      <c r="T118" s="3">
        <f t="shared" ca="1" si="26"/>
        <v>3.4003164556961923E-2</v>
      </c>
      <c r="W118">
        <f t="shared" si="23"/>
        <v>30.502745600229229</v>
      </c>
      <c r="X118" s="5">
        <f t="shared" si="24"/>
        <v>3.4723240499075075E-2</v>
      </c>
    </row>
    <row r="119" spans="8:24" x14ac:dyDescent="0.25">
      <c r="H119">
        <v>31.700000000000003</v>
      </c>
      <c r="I119">
        <v>0.88320349778653584</v>
      </c>
      <c r="J119" s="10">
        <f t="shared" si="14"/>
        <v>-1.5799999999999999E-4</v>
      </c>
      <c r="K119" s="17">
        <f t="shared" si="15"/>
        <v>5.8999999999999998E-5</v>
      </c>
      <c r="L119" s="10">
        <f t="shared" si="16"/>
        <v>2.0690000000000001E-3</v>
      </c>
      <c r="M119" s="11">
        <f t="shared" si="25"/>
        <v>0.88519296202496545</v>
      </c>
      <c r="N119" s="5">
        <f t="shared" si="17"/>
        <v>2.2525547548391226E-3</v>
      </c>
      <c r="O119">
        <f t="shared" si="18"/>
        <v>4722.5896000000002</v>
      </c>
      <c r="P119">
        <f t="shared" ca="1" si="19"/>
        <v>4722</v>
      </c>
      <c r="Q119" t="str">
        <f t="shared" ca="1" si="20"/>
        <v>0001001001110010</v>
      </c>
      <c r="R119">
        <f t="shared" ca="1" si="21"/>
        <v>0.88537500000000002</v>
      </c>
      <c r="S119">
        <f t="shared" ca="1" si="22"/>
        <v>30.624500000000001</v>
      </c>
      <c r="T119" s="3">
        <f t="shared" ca="1" si="26"/>
        <v>3.392744479495273E-2</v>
      </c>
      <c r="W119">
        <f t="shared" si="23"/>
        <v>30.59844197343843</v>
      </c>
      <c r="X119" s="5">
        <f t="shared" si="24"/>
        <v>3.4749464560301993E-2</v>
      </c>
    </row>
    <row r="120" spans="8:24" x14ac:dyDescent="0.25">
      <c r="H120">
        <v>31.8</v>
      </c>
      <c r="I120">
        <v>0.8929399785987554</v>
      </c>
      <c r="J120" s="10">
        <f t="shared" si="14"/>
        <v>-1.5699999999999999E-4</v>
      </c>
      <c r="K120" s="17">
        <f t="shared" si="15"/>
        <v>5.8999999999999998E-5</v>
      </c>
      <c r="L120" s="10">
        <f t="shared" si="16"/>
        <v>2.0990000000000002E-3</v>
      </c>
      <c r="M120" s="11">
        <f t="shared" si="25"/>
        <v>0.89497553224092907</v>
      </c>
      <c r="N120" s="5">
        <f t="shared" si="17"/>
        <v>2.2796085861985483E-3</v>
      </c>
      <c r="O120">
        <f t="shared" si="18"/>
        <v>4774.7804999999998</v>
      </c>
      <c r="P120">
        <f t="shared" ca="1" si="19"/>
        <v>4774</v>
      </c>
      <c r="Q120" t="str">
        <f t="shared" ca="1" si="20"/>
        <v>0001001010100110</v>
      </c>
      <c r="R120">
        <f t="shared" ca="1" si="21"/>
        <v>0.89512500000000006</v>
      </c>
      <c r="S120">
        <f t="shared" ca="1" si="22"/>
        <v>30.741500000000002</v>
      </c>
      <c r="T120" s="3">
        <f t="shared" ca="1" si="26"/>
        <v>3.3286163522012538E-2</v>
      </c>
      <c r="W120">
        <f t="shared" si="23"/>
        <v>30.715279743185064</v>
      </c>
      <c r="X120" s="5">
        <f t="shared" si="24"/>
        <v>3.4110699899840766E-2</v>
      </c>
    </row>
    <row r="121" spans="8:24" x14ac:dyDescent="0.25">
      <c r="H121">
        <v>31.9</v>
      </c>
      <c r="I121">
        <v>0.90096668845866612</v>
      </c>
      <c r="J121" s="10">
        <f t="shared" si="14"/>
        <v>-1.5699999999999999E-4</v>
      </c>
      <c r="K121" s="17">
        <f t="shared" si="15"/>
        <v>6.0000000000000002E-5</v>
      </c>
      <c r="L121" s="10">
        <f t="shared" si="16"/>
        <v>2.1299999999999999E-3</v>
      </c>
      <c r="M121" s="11">
        <f t="shared" si="25"/>
        <v>0.90304717894982922</v>
      </c>
      <c r="N121" s="5">
        <f t="shared" si="17"/>
        <v>2.3091758194992884E-3</v>
      </c>
      <c r="O121">
        <f t="shared" si="18"/>
        <v>4817.8434999999999</v>
      </c>
      <c r="P121">
        <f t="shared" ca="1" si="19"/>
        <v>4815</v>
      </c>
      <c r="Q121" t="str">
        <f t="shared" ca="1" si="20"/>
        <v>0001001011001111</v>
      </c>
      <c r="R121">
        <f t="shared" ca="1" si="21"/>
        <v>0.90281250000000002</v>
      </c>
      <c r="S121">
        <f t="shared" ca="1" si="22"/>
        <v>30.833749999999998</v>
      </c>
      <c r="T121" s="3">
        <f t="shared" ca="1" si="26"/>
        <v>3.3424764890282135E-2</v>
      </c>
      <c r="W121">
        <f t="shared" si="23"/>
        <v>30.811600261503997</v>
      </c>
      <c r="X121" s="5">
        <f t="shared" si="24"/>
        <v>3.4119114059435775E-2</v>
      </c>
    </row>
    <row r="122" spans="8:24" x14ac:dyDescent="0.25">
      <c r="H122">
        <v>32</v>
      </c>
      <c r="I122">
        <v>0.9081564921319748</v>
      </c>
      <c r="J122" s="10">
        <f t="shared" si="14"/>
        <v>-1.56E-4</v>
      </c>
      <c r="K122" s="17">
        <f t="shared" si="15"/>
        <v>6.0000000000000002E-5</v>
      </c>
      <c r="L122" s="10">
        <f t="shared" si="16"/>
        <v>2.16E-3</v>
      </c>
      <c r="M122" s="11">
        <f t="shared" si="25"/>
        <v>0.91027869411125517</v>
      </c>
      <c r="N122" s="5">
        <f t="shared" si="17"/>
        <v>2.3368241020865457E-3</v>
      </c>
      <c r="O122">
        <f t="shared" si="18"/>
        <v>4856.4243999999999</v>
      </c>
      <c r="P122">
        <f t="shared" ca="1" si="19"/>
        <v>4859</v>
      </c>
      <c r="Q122" t="str">
        <f t="shared" ca="1" si="20"/>
        <v>0001001011111011</v>
      </c>
      <c r="R122">
        <f t="shared" ca="1" si="21"/>
        <v>0.9110625</v>
      </c>
      <c r="S122">
        <f t="shared" ca="1" si="22"/>
        <v>30.932750000000002</v>
      </c>
      <c r="T122" s="3">
        <f t="shared" ca="1" si="26"/>
        <v>3.3351562499999932E-2</v>
      </c>
      <c r="W122">
        <f t="shared" si="23"/>
        <v>30.897877905583702</v>
      </c>
      <c r="X122" s="5">
        <f t="shared" si="24"/>
        <v>3.4441315450509324E-2</v>
      </c>
    </row>
    <row r="123" spans="8:24" x14ac:dyDescent="0.25">
      <c r="H123">
        <v>32.1</v>
      </c>
      <c r="I123">
        <v>0.9162363946283818</v>
      </c>
      <c r="J123" s="10">
        <f t="shared" si="14"/>
        <v>-1.55E-4</v>
      </c>
      <c r="K123" s="17">
        <f t="shared" si="15"/>
        <v>6.0999999999999999E-5</v>
      </c>
      <c r="L123" s="10">
        <f t="shared" si="16"/>
        <v>2.1909999999999998E-3</v>
      </c>
      <c r="M123" s="11">
        <f t="shared" si="25"/>
        <v>0.91840361695312611</v>
      </c>
      <c r="N123" s="5">
        <f t="shared" si="17"/>
        <v>2.3653528035451148E-3</v>
      </c>
      <c r="O123">
        <f t="shared" si="18"/>
        <v>4899.7716</v>
      </c>
      <c r="P123">
        <f t="shared" ca="1" si="19"/>
        <v>4897</v>
      </c>
      <c r="Q123" t="str">
        <f t="shared" ca="1" si="20"/>
        <v>0001001100100001</v>
      </c>
      <c r="R123">
        <f t="shared" ca="1" si="21"/>
        <v>0.91818750000000005</v>
      </c>
      <c r="S123">
        <f t="shared" ca="1" si="22"/>
        <v>31.018250000000002</v>
      </c>
      <c r="T123" s="3">
        <f t="shared" ca="1" si="26"/>
        <v>3.3699376947040484E-2</v>
      </c>
      <c r="W123">
        <f t="shared" si="23"/>
        <v>30.994836735540584</v>
      </c>
      <c r="X123" s="5">
        <f t="shared" si="24"/>
        <v>3.4428762132692123E-2</v>
      </c>
    </row>
    <row r="124" spans="8:24" x14ac:dyDescent="0.25">
      <c r="H124">
        <v>32.200000000000003</v>
      </c>
      <c r="I124">
        <v>0.9260714720073967</v>
      </c>
      <c r="J124" s="10">
        <f t="shared" si="14"/>
        <v>-1.55E-4</v>
      </c>
      <c r="K124" s="17">
        <f t="shared" si="15"/>
        <v>6.0999999999999999E-5</v>
      </c>
      <c r="L124" s="10">
        <f t="shared" si="16"/>
        <v>2.2209999999999999E-3</v>
      </c>
      <c r="M124" s="11">
        <f t="shared" si="25"/>
        <v>0.92828820009981849</v>
      </c>
      <c r="N124" s="5">
        <f t="shared" si="17"/>
        <v>2.3936900762278187E-3</v>
      </c>
      <c r="O124">
        <f t="shared" si="18"/>
        <v>4952.5068000000001</v>
      </c>
      <c r="P124">
        <f t="shared" ca="1" si="19"/>
        <v>4951</v>
      </c>
      <c r="Q124" t="str">
        <f t="shared" ca="1" si="20"/>
        <v>0001001101010111</v>
      </c>
      <c r="R124">
        <f t="shared" ca="1" si="21"/>
        <v>0.92831249999999998</v>
      </c>
      <c r="S124">
        <f t="shared" ca="1" si="22"/>
        <v>31.139749999999999</v>
      </c>
      <c r="T124" s="3">
        <f t="shared" ca="1" si="26"/>
        <v>3.2927018633540479E-2</v>
      </c>
      <c r="W124">
        <f t="shared" si="23"/>
        <v>31.112857664088764</v>
      </c>
      <c r="X124" s="5">
        <f t="shared" si="24"/>
        <v>3.3762184345069515E-2</v>
      </c>
    </row>
    <row r="125" spans="8:24" x14ac:dyDescent="0.25">
      <c r="H125">
        <v>32.299999999999997</v>
      </c>
      <c r="I125">
        <v>0.93334209189206618</v>
      </c>
      <c r="J125" s="10">
        <f t="shared" si="14"/>
        <v>-1.54E-4</v>
      </c>
      <c r="K125" s="17">
        <f t="shared" si="15"/>
        <v>6.2000000000000003E-5</v>
      </c>
      <c r="L125" s="10">
        <f t="shared" si="16"/>
        <v>2.2520000000000001E-3</v>
      </c>
      <c r="M125" s="11">
        <f t="shared" si="25"/>
        <v>0.93560307000571907</v>
      </c>
      <c r="N125" s="5">
        <f t="shared" si="17"/>
        <v>2.4224538176237679E-3</v>
      </c>
      <c r="O125">
        <f t="shared" si="18"/>
        <v>4991.5322999999999</v>
      </c>
      <c r="P125">
        <f t="shared" ca="1" si="19"/>
        <v>4991</v>
      </c>
      <c r="Q125" t="str">
        <f t="shared" ca="1" si="20"/>
        <v>0001001101111111</v>
      </c>
      <c r="R125">
        <f t="shared" ca="1" si="21"/>
        <v>0.93581250000000005</v>
      </c>
      <c r="S125">
        <f t="shared" ca="1" si="22"/>
        <v>31.229750000000003</v>
      </c>
      <c r="T125" s="3">
        <f t="shared" ca="1" si="26"/>
        <v>3.313467492260045E-2</v>
      </c>
      <c r="W125">
        <f t="shared" si="23"/>
        <v>31.200105102704796</v>
      </c>
      <c r="X125" s="5">
        <f t="shared" si="24"/>
        <v>3.4052473600470617E-2</v>
      </c>
    </row>
    <row r="126" spans="8:24" x14ac:dyDescent="0.25">
      <c r="H126">
        <v>32.4</v>
      </c>
      <c r="I126">
        <v>0.94236420878937732</v>
      </c>
      <c r="J126" s="10">
        <f t="shared" si="14"/>
        <v>-1.54E-4</v>
      </c>
      <c r="K126" s="17">
        <f t="shared" si="15"/>
        <v>6.2000000000000003E-5</v>
      </c>
      <c r="L126" s="10">
        <f t="shared" si="16"/>
        <v>2.2820000000000002E-3</v>
      </c>
      <c r="M126" s="11">
        <f t="shared" si="25"/>
        <v>0.94467395475412619</v>
      </c>
      <c r="N126" s="5">
        <f t="shared" si="17"/>
        <v>2.4510119794512535E-3</v>
      </c>
      <c r="O126">
        <f t="shared" si="18"/>
        <v>5039.9264000000003</v>
      </c>
      <c r="P126">
        <f t="shared" ca="1" si="19"/>
        <v>5044</v>
      </c>
      <c r="Q126" t="str">
        <f t="shared" ca="1" si="20"/>
        <v>0001001110110100</v>
      </c>
      <c r="R126">
        <f t="shared" ca="1" si="21"/>
        <v>0.94574999999999998</v>
      </c>
      <c r="S126">
        <f t="shared" ca="1" si="22"/>
        <v>31.349000000000004</v>
      </c>
      <c r="T126" s="3">
        <f t="shared" ca="1" si="26"/>
        <v>3.2438271604938111E-2</v>
      </c>
      <c r="W126">
        <f t="shared" si="23"/>
        <v>31.308370505472531</v>
      </c>
      <c r="X126" s="5">
        <f t="shared" si="24"/>
        <v>3.3692268349613183E-2</v>
      </c>
    </row>
    <row r="127" spans="8:24" x14ac:dyDescent="0.25">
      <c r="H127">
        <v>32.5</v>
      </c>
      <c r="I127">
        <v>0.95141094864217213</v>
      </c>
      <c r="J127" s="10">
        <f t="shared" si="14"/>
        <v>-1.5300000000000001E-4</v>
      </c>
      <c r="K127" s="17">
        <f t="shared" si="15"/>
        <v>6.3E-5</v>
      </c>
      <c r="L127" s="10">
        <f t="shared" si="16"/>
        <v>2.313E-3</v>
      </c>
      <c r="M127" s="11">
        <f t="shared" si="25"/>
        <v>0.95377001869541456</v>
      </c>
      <c r="N127" s="5">
        <f t="shared" si="17"/>
        <v>2.4795489862810909E-3</v>
      </c>
      <c r="O127">
        <f t="shared" si="18"/>
        <v>5088.4548000000004</v>
      </c>
      <c r="P127">
        <f t="shared" ca="1" si="19"/>
        <v>5087</v>
      </c>
      <c r="Q127" t="str">
        <f t="shared" ca="1" si="20"/>
        <v>0001001111011111</v>
      </c>
      <c r="R127">
        <f t="shared" ca="1" si="21"/>
        <v>0.95381250000000006</v>
      </c>
      <c r="S127">
        <f t="shared" ca="1" si="22"/>
        <v>31.44575</v>
      </c>
      <c r="T127" s="3">
        <f t="shared" ca="1" si="26"/>
        <v>3.2438461538461527E-2</v>
      </c>
      <c r="W127">
        <f t="shared" si="23"/>
        <v>31.416931383706068</v>
      </c>
      <c r="X127" s="5">
        <f t="shared" si="24"/>
        <v>3.3325188193659455E-2</v>
      </c>
    </row>
    <row r="128" spans="8:24" x14ac:dyDescent="0.25">
      <c r="H128">
        <v>32.6</v>
      </c>
      <c r="I128">
        <v>0.95876345203804425</v>
      </c>
      <c r="J128" s="10">
        <f t="shared" si="14"/>
        <v>-1.5300000000000001E-4</v>
      </c>
      <c r="K128" s="17">
        <f t="shared" si="15"/>
        <v>6.3E-5</v>
      </c>
      <c r="L128" s="10">
        <f t="shared" si="16"/>
        <v>2.343E-3</v>
      </c>
      <c r="M128" s="11">
        <f t="shared" si="25"/>
        <v>0.96116846976269821</v>
      </c>
      <c r="N128" s="5">
        <f t="shared" si="17"/>
        <v>2.5084578678313289E-3</v>
      </c>
      <c r="O128">
        <f t="shared" si="18"/>
        <v>5127.9261999999999</v>
      </c>
      <c r="P128">
        <f t="shared" ca="1" si="19"/>
        <v>5128</v>
      </c>
      <c r="Q128" t="str">
        <f t="shared" ca="1" si="20"/>
        <v>0001010000001000</v>
      </c>
      <c r="R128">
        <f t="shared" ca="1" si="21"/>
        <v>0.96150000000000002</v>
      </c>
      <c r="S128">
        <f t="shared" ca="1" si="22"/>
        <v>31.538000000000004</v>
      </c>
      <c r="T128" s="3">
        <f t="shared" ca="1" si="26"/>
        <v>3.2576687116564342E-2</v>
      </c>
      <c r="W128">
        <f t="shared" si="23"/>
        <v>31.505161424456535</v>
      </c>
      <c r="X128" s="5">
        <f t="shared" si="24"/>
        <v>3.3584005384768904E-2</v>
      </c>
    </row>
    <row r="129" spans="8:24" x14ac:dyDescent="0.25">
      <c r="H129">
        <v>32.700000000000003</v>
      </c>
      <c r="I129">
        <v>0.96614447081674959</v>
      </c>
      <c r="J129" s="10">
        <f t="shared" si="14"/>
        <v>-1.5200000000000001E-4</v>
      </c>
      <c r="K129" s="17">
        <f t="shared" si="15"/>
        <v>6.3999999999999997E-5</v>
      </c>
      <c r="L129" s="10">
        <f t="shared" si="16"/>
        <v>2.3739999999999998E-3</v>
      </c>
      <c r="M129" s="11">
        <f t="shared" si="25"/>
        <v>0.96859591752495389</v>
      </c>
      <c r="N129" s="5">
        <f t="shared" si="17"/>
        <v>2.5373500364101005E-3</v>
      </c>
      <c r="O129">
        <f t="shared" si="18"/>
        <v>5167.5523000000003</v>
      </c>
      <c r="P129">
        <f t="shared" ca="1" si="19"/>
        <v>5165</v>
      </c>
      <c r="Q129" t="str">
        <f t="shared" ca="1" si="20"/>
        <v>0001010000101101</v>
      </c>
      <c r="R129">
        <f t="shared" ca="1" si="21"/>
        <v>0.96843750000000006</v>
      </c>
      <c r="S129">
        <f t="shared" ca="1" si="22"/>
        <v>31.621250000000003</v>
      </c>
      <c r="T129" s="3">
        <f t="shared" ca="1" si="26"/>
        <v>3.2989296636085609E-2</v>
      </c>
      <c r="W129">
        <f t="shared" si="23"/>
        <v>31.593733649800999</v>
      </c>
      <c r="X129" s="5">
        <f t="shared" si="24"/>
        <v>3.383077523544354E-2</v>
      </c>
    </row>
    <row r="130" spans="8:24" x14ac:dyDescent="0.25">
      <c r="H130">
        <v>32.799999999999997</v>
      </c>
      <c r="I130">
        <v>0.97355394959419117</v>
      </c>
      <c r="J130" s="10">
        <f t="shared" si="14"/>
        <v>-1.5100000000000001E-4</v>
      </c>
      <c r="K130" s="17">
        <f t="shared" si="15"/>
        <v>6.3999999999999997E-5</v>
      </c>
      <c r="L130" s="10">
        <f t="shared" si="16"/>
        <v>2.4039999999999999E-3</v>
      </c>
      <c r="M130" s="11">
        <f t="shared" si="25"/>
        <v>0.97605137710475098</v>
      </c>
      <c r="N130" s="5">
        <f t="shared" si="17"/>
        <v>2.5652687368797815E-3</v>
      </c>
      <c r="O130">
        <f t="shared" si="18"/>
        <v>5207.3279000000002</v>
      </c>
      <c r="P130">
        <f t="shared" ca="1" si="19"/>
        <v>5211</v>
      </c>
      <c r="Q130" t="str">
        <f t="shared" ca="1" si="20"/>
        <v>0001010001011011</v>
      </c>
      <c r="R130">
        <f t="shared" ca="1" si="21"/>
        <v>0.97706250000000006</v>
      </c>
      <c r="S130">
        <f t="shared" ca="1" si="22"/>
        <v>31.72475</v>
      </c>
      <c r="T130" s="3">
        <f t="shared" ca="1" si="26"/>
        <v>3.2782012195121862E-2</v>
      </c>
      <c r="W130">
        <f t="shared" si="23"/>
        <v>31.682647395130292</v>
      </c>
      <c r="X130" s="5">
        <f t="shared" si="24"/>
        <v>3.4065628197247101E-2</v>
      </c>
    </row>
    <row r="131" spans="8:24" x14ac:dyDescent="0.25">
      <c r="H131">
        <v>32.9</v>
      </c>
      <c r="I131">
        <v>0.98270460006906113</v>
      </c>
      <c r="J131" s="10">
        <f t="shared" ref="J131:J194" si="27">ROUND(H131*0.00000575 -0.00034,6)</f>
        <v>-1.5100000000000001E-4</v>
      </c>
      <c r="K131" s="17">
        <f t="shared" ref="K131:K194" si="28">ROUND(H131*0.000005-0.0001,6)</f>
        <v>6.4999999999999994E-5</v>
      </c>
      <c r="L131" s="10">
        <f t="shared" ref="L131:L194" si="29">ROUND(K131+($C$24*(H131-25)),6)</f>
        <v>2.4350000000000001E-3</v>
      </c>
      <c r="M131" s="11">
        <f t="shared" si="25"/>
        <v>0.98525469525199971</v>
      </c>
      <c r="N131" s="5">
        <f t="shared" ref="N131:N194" si="30">ABS(I131-M131)/I131</f>
        <v>2.5949763364894914E-3</v>
      </c>
      <c r="O131">
        <f t="shared" ref="O131:O194" si="31">ROUND((M131*(2^($C$12-1)))/$C$44,4)</f>
        <v>5256.4285</v>
      </c>
      <c r="P131">
        <f t="shared" ref="P131:P194" ca="1" si="32">ROUND(O131+$C$47+$C$49+RANDBETWEEN($B$45,$D$45),0)</f>
        <v>5255</v>
      </c>
      <c r="Q131" t="str">
        <f t="shared" ref="Q131:Q194" ca="1" si="33">_xlfn.BASE(P131,2,16)</f>
        <v>0001010010000111</v>
      </c>
      <c r="R131">
        <f t="shared" ref="R131:R194" ca="1" si="34">($C$16/2^($C$12-1)) * P131</f>
        <v>0.98531250000000004</v>
      </c>
      <c r="S131">
        <f t="shared" ref="S131:S194" ca="1" si="35">(R131+5/3)/(1/12)</f>
        <v>31.823750000000004</v>
      </c>
      <c r="T131" s="3">
        <f t="shared" ca="1" si="26"/>
        <v>3.2712765957446648E-2</v>
      </c>
      <c r="W131">
        <f t="shared" ref="W131:W194" si="36">(I131+5/3)/(1/12)</f>
        <v>31.792455200828737</v>
      </c>
      <c r="X131" s="5">
        <f t="shared" ref="X131:X194" si="37">ABS(H131-W131)/H131</f>
        <v>3.3663975658700961E-2</v>
      </c>
    </row>
    <row r="132" spans="8:24" x14ac:dyDescent="0.25">
      <c r="H132">
        <v>33</v>
      </c>
      <c r="I132">
        <v>0.99187956793834275</v>
      </c>
      <c r="J132" s="10">
        <f t="shared" si="27"/>
        <v>-1.4999999999999999E-4</v>
      </c>
      <c r="K132" s="17">
        <f t="shared" si="28"/>
        <v>6.4999999999999994E-5</v>
      </c>
      <c r="L132" s="10">
        <f t="shared" si="29"/>
        <v>2.4650000000000002E-3</v>
      </c>
      <c r="M132" s="11">
        <f t="shared" ref="M132:M195" si="38">(I132-J132)/(1-L132)</f>
        <v>0.99448096351340332</v>
      </c>
      <c r="N132" s="5">
        <f t="shared" si="30"/>
        <v>2.6226929751841294E-3</v>
      </c>
      <c r="O132">
        <f t="shared" si="31"/>
        <v>5305.6516000000001</v>
      </c>
      <c r="P132">
        <f t="shared" ca="1" si="32"/>
        <v>5308</v>
      </c>
      <c r="Q132" t="str">
        <f t="shared" ca="1" si="33"/>
        <v>0001010010111100</v>
      </c>
      <c r="R132">
        <f t="shared" ca="1" si="34"/>
        <v>0.99524999999999997</v>
      </c>
      <c r="S132">
        <f t="shared" ca="1" si="35"/>
        <v>31.942999999999998</v>
      </c>
      <c r="T132" s="3">
        <f t="shared" ref="T132:T195" ca="1" si="39">ABS(H132-S132)/H132</f>
        <v>3.2030303030303096E-2</v>
      </c>
      <c r="W132">
        <f t="shared" si="36"/>
        <v>31.902554815260114</v>
      </c>
      <c r="X132" s="5">
        <f t="shared" si="37"/>
        <v>3.3255914689087458E-2</v>
      </c>
    </row>
    <row r="133" spans="8:24" x14ac:dyDescent="0.25">
      <c r="H133">
        <v>33.1</v>
      </c>
      <c r="I133">
        <v>0.99937004978534816</v>
      </c>
      <c r="J133" s="10">
        <f t="shared" si="27"/>
        <v>-1.4999999999999999E-4</v>
      </c>
      <c r="K133" s="17">
        <f t="shared" si="28"/>
        <v>6.6000000000000005E-5</v>
      </c>
      <c r="L133" s="10">
        <f t="shared" si="29"/>
        <v>2.496E-3</v>
      </c>
      <c r="M133" s="11">
        <f t="shared" si="38"/>
        <v>1.0020210944370631</v>
      </c>
      <c r="N133" s="5">
        <f t="shared" si="30"/>
        <v>2.6527157305588269E-3</v>
      </c>
      <c r="O133">
        <f t="shared" si="31"/>
        <v>5345.8788999999997</v>
      </c>
      <c r="P133">
        <f t="shared" ca="1" si="32"/>
        <v>5345</v>
      </c>
      <c r="Q133" t="str">
        <f t="shared" ca="1" si="33"/>
        <v>0001010011100001</v>
      </c>
      <c r="R133">
        <f t="shared" ca="1" si="34"/>
        <v>1.0021875</v>
      </c>
      <c r="S133">
        <f t="shared" ca="1" si="35"/>
        <v>32.026250000000005</v>
      </c>
      <c r="T133" s="3">
        <f t="shared" ca="1" si="39"/>
        <v>3.2439577039274831E-2</v>
      </c>
      <c r="W133">
        <f t="shared" si="36"/>
        <v>31.992440597424185</v>
      </c>
      <c r="X133" s="5">
        <f t="shared" si="37"/>
        <v>3.3461009141263334E-2</v>
      </c>
    </row>
    <row r="134" spans="8:24" x14ac:dyDescent="0.25">
      <c r="H134">
        <v>33.200000000000003</v>
      </c>
      <c r="I134">
        <v>1.0085954761817149</v>
      </c>
      <c r="J134" s="10">
        <f t="shared" si="27"/>
        <v>-1.4899999999999999E-4</v>
      </c>
      <c r="K134" s="17">
        <f t="shared" si="28"/>
        <v>6.6000000000000005E-5</v>
      </c>
      <c r="L134" s="10">
        <f t="shared" si="29"/>
        <v>2.526E-3</v>
      </c>
      <c r="M134" s="11">
        <f t="shared" si="38"/>
        <v>1.0112990174999197</v>
      </c>
      <c r="N134" s="5">
        <f t="shared" si="30"/>
        <v>2.6805011345477623E-3</v>
      </c>
      <c r="O134">
        <f t="shared" si="31"/>
        <v>5395.3774999999996</v>
      </c>
      <c r="P134">
        <f t="shared" ca="1" si="32"/>
        <v>5399</v>
      </c>
      <c r="Q134" t="str">
        <f t="shared" ca="1" si="33"/>
        <v>0001010100010111</v>
      </c>
      <c r="R134">
        <f t="shared" ca="1" si="34"/>
        <v>1.0123124999999999</v>
      </c>
      <c r="S134">
        <f t="shared" ca="1" si="35"/>
        <v>32.147750000000002</v>
      </c>
      <c r="T134" s="3">
        <f t="shared" ca="1" si="39"/>
        <v>3.1694277108433755E-2</v>
      </c>
      <c r="W134">
        <f t="shared" si="36"/>
        <v>32.103145714180584</v>
      </c>
      <c r="X134" s="5">
        <f t="shared" si="37"/>
        <v>3.3037779693355973E-2</v>
      </c>
    </row>
    <row r="135" spans="8:24" x14ac:dyDescent="0.25">
      <c r="H135">
        <v>33.299999999999997</v>
      </c>
      <c r="I135">
        <v>1.0161403295730842</v>
      </c>
      <c r="J135" s="10">
        <f t="shared" si="27"/>
        <v>-1.4899999999999999E-4</v>
      </c>
      <c r="K135" s="17">
        <f t="shared" si="28"/>
        <v>6.7000000000000002E-5</v>
      </c>
      <c r="L135" s="10">
        <f t="shared" si="29"/>
        <v>2.5569999999999998E-3</v>
      </c>
      <c r="M135" s="11">
        <f t="shared" si="38"/>
        <v>1.0188946431756845</v>
      </c>
      <c r="N135" s="5">
        <f t="shared" si="30"/>
        <v>2.7105642030342781E-3</v>
      </c>
      <c r="O135">
        <f t="shared" si="31"/>
        <v>5435.9008999999996</v>
      </c>
      <c r="P135">
        <f t="shared" ca="1" si="32"/>
        <v>5437</v>
      </c>
      <c r="Q135" t="str">
        <f t="shared" ca="1" si="33"/>
        <v>0001010100111101</v>
      </c>
      <c r="R135">
        <f t="shared" ca="1" si="34"/>
        <v>1.0194375</v>
      </c>
      <c r="S135">
        <f t="shared" ca="1" si="35"/>
        <v>32.233249999999998</v>
      </c>
      <c r="T135" s="3">
        <f t="shared" ca="1" si="39"/>
        <v>3.2034534534534503E-2</v>
      </c>
      <c r="W135">
        <f t="shared" si="36"/>
        <v>32.193683954877017</v>
      </c>
      <c r="X135" s="5">
        <f t="shared" si="37"/>
        <v>3.3222704057747167E-2</v>
      </c>
    </row>
    <row r="136" spans="8:24" x14ac:dyDescent="0.25">
      <c r="H136">
        <v>33.4</v>
      </c>
      <c r="I136">
        <v>1.0237132908069357</v>
      </c>
      <c r="J136" s="10">
        <f t="shared" si="27"/>
        <v>-1.4799999999999999E-4</v>
      </c>
      <c r="K136" s="17">
        <f t="shared" si="28"/>
        <v>6.7000000000000002E-5</v>
      </c>
      <c r="L136" s="10">
        <f t="shared" si="29"/>
        <v>2.5869999999999999E-3</v>
      </c>
      <c r="M136" s="11">
        <f t="shared" si="38"/>
        <v>1.0265168900013693</v>
      </c>
      <c r="N136" s="5">
        <f t="shared" si="30"/>
        <v>2.7386566332684758E-3</v>
      </c>
      <c r="O136">
        <f t="shared" si="31"/>
        <v>5476.5663000000004</v>
      </c>
      <c r="P136">
        <f t="shared" ca="1" si="32"/>
        <v>5476</v>
      </c>
      <c r="Q136" t="str">
        <f t="shared" ca="1" si="33"/>
        <v>0001010101100100</v>
      </c>
      <c r="R136">
        <f t="shared" ca="1" si="34"/>
        <v>1.0267500000000001</v>
      </c>
      <c r="S136">
        <f t="shared" ca="1" si="35"/>
        <v>32.321000000000005</v>
      </c>
      <c r="T136" s="3">
        <f t="shared" ca="1" si="39"/>
        <v>3.2305389221556693E-2</v>
      </c>
      <c r="W136">
        <f t="shared" si="36"/>
        <v>32.284559489683232</v>
      </c>
      <c r="X136" s="5">
        <f t="shared" si="37"/>
        <v>3.339642246457384E-2</v>
      </c>
    </row>
    <row r="137" spans="8:24" x14ac:dyDescent="0.25">
      <c r="H137">
        <v>33.5</v>
      </c>
      <c r="I137">
        <v>1.0330149413804004</v>
      </c>
      <c r="J137" s="10">
        <f t="shared" si="27"/>
        <v>-1.47E-4</v>
      </c>
      <c r="K137" s="17">
        <f t="shared" si="28"/>
        <v>6.7999999999999999E-5</v>
      </c>
      <c r="L137" s="10">
        <f t="shared" si="29"/>
        <v>2.6180000000000001E-3</v>
      </c>
      <c r="M137" s="11">
        <f t="shared" si="38"/>
        <v>1.0358738591436383</v>
      </c>
      <c r="N137" s="5">
        <f t="shared" si="30"/>
        <v>2.7675473497194092E-3</v>
      </c>
      <c r="O137">
        <f t="shared" si="31"/>
        <v>5526.4866000000002</v>
      </c>
      <c r="P137">
        <f t="shared" ca="1" si="32"/>
        <v>5526</v>
      </c>
      <c r="Q137" t="str">
        <f t="shared" ca="1" si="33"/>
        <v>0001010110010110</v>
      </c>
      <c r="R137">
        <f t="shared" ca="1" si="34"/>
        <v>1.036125</v>
      </c>
      <c r="S137">
        <f t="shared" ca="1" si="35"/>
        <v>32.433500000000002</v>
      </c>
      <c r="T137" s="3">
        <f t="shared" ca="1" si="39"/>
        <v>3.1835820895522324E-2</v>
      </c>
      <c r="W137">
        <f t="shared" si="36"/>
        <v>32.396179296564803</v>
      </c>
      <c r="X137" s="5">
        <f t="shared" si="37"/>
        <v>3.2949871744334239E-2</v>
      </c>
    </row>
    <row r="138" spans="8:24" x14ac:dyDescent="0.25">
      <c r="H138">
        <v>33.6</v>
      </c>
      <c r="I138">
        <v>1.0406419076240767</v>
      </c>
      <c r="J138" s="10">
        <f t="shared" si="27"/>
        <v>-1.47E-4</v>
      </c>
      <c r="K138" s="17">
        <f t="shared" si="28"/>
        <v>6.7999999999999999E-5</v>
      </c>
      <c r="L138" s="10">
        <f t="shared" si="29"/>
        <v>2.6480000000000002E-3</v>
      </c>
      <c r="M138" s="11">
        <f t="shared" si="38"/>
        <v>1.0435522339395484</v>
      </c>
      <c r="N138" s="5">
        <f t="shared" si="30"/>
        <v>2.7966645338321837E-3</v>
      </c>
      <c r="O138">
        <f t="shared" si="31"/>
        <v>5567.4515000000001</v>
      </c>
      <c r="P138">
        <f t="shared" ca="1" si="32"/>
        <v>5566</v>
      </c>
      <c r="Q138" t="str">
        <f t="shared" ca="1" si="33"/>
        <v>0001010110111110</v>
      </c>
      <c r="R138">
        <f t="shared" ca="1" si="34"/>
        <v>1.043625</v>
      </c>
      <c r="S138">
        <f t="shared" ca="1" si="35"/>
        <v>32.523499999999999</v>
      </c>
      <c r="T138" s="3">
        <f t="shared" ca="1" si="39"/>
        <v>3.2038690476190561E-2</v>
      </c>
      <c r="W138">
        <f t="shared" si="36"/>
        <v>32.487702891488922</v>
      </c>
      <c r="X138" s="5">
        <f t="shared" si="37"/>
        <v>3.3104080610448783E-2</v>
      </c>
    </row>
    <row r="139" spans="8:24" x14ac:dyDescent="0.25">
      <c r="H139">
        <v>33.700000000000003</v>
      </c>
      <c r="I139">
        <v>1.0499933784386968</v>
      </c>
      <c r="J139" s="10">
        <f t="shared" si="27"/>
        <v>-1.46E-4</v>
      </c>
      <c r="K139" s="17">
        <f t="shared" si="28"/>
        <v>6.8999999999999997E-5</v>
      </c>
      <c r="L139" s="10">
        <f t="shared" si="29"/>
        <v>2.679E-3</v>
      </c>
      <c r="M139" s="11">
        <f t="shared" si="38"/>
        <v>1.052960258972484</v>
      </c>
      <c r="N139" s="5">
        <f t="shared" si="30"/>
        <v>2.8256183274211581E-3</v>
      </c>
      <c r="O139">
        <f t="shared" si="31"/>
        <v>5617.6441999999997</v>
      </c>
      <c r="P139">
        <f t="shared" ca="1" si="32"/>
        <v>5617</v>
      </c>
      <c r="Q139" t="str">
        <f t="shared" ca="1" si="33"/>
        <v>0001010111110001</v>
      </c>
      <c r="R139">
        <f t="shared" ca="1" si="34"/>
        <v>1.0531874999999999</v>
      </c>
      <c r="S139">
        <f t="shared" ca="1" si="35"/>
        <v>32.638250000000006</v>
      </c>
      <c r="T139" s="3">
        <f t="shared" ca="1" si="39"/>
        <v>3.150593471810078E-2</v>
      </c>
      <c r="W139">
        <f t="shared" si="36"/>
        <v>32.599920541264368</v>
      </c>
      <c r="X139" s="5">
        <f t="shared" si="37"/>
        <v>3.264330738087938E-2</v>
      </c>
    </row>
    <row r="140" spans="8:24" x14ac:dyDescent="0.25">
      <c r="H140">
        <v>33.799999999999997</v>
      </c>
      <c r="I140">
        <v>1.0576740989648437</v>
      </c>
      <c r="J140" s="10">
        <f t="shared" si="27"/>
        <v>-1.46E-4</v>
      </c>
      <c r="K140" s="17">
        <f t="shared" si="28"/>
        <v>6.8999999999999997E-5</v>
      </c>
      <c r="L140" s="10">
        <f t="shared" si="29"/>
        <v>2.709E-3</v>
      </c>
      <c r="M140" s="11">
        <f t="shared" si="38"/>
        <v>1.0606935177043046</v>
      </c>
      <c r="N140" s="5">
        <f t="shared" si="30"/>
        <v>2.8547723182558069E-3</v>
      </c>
      <c r="O140">
        <f t="shared" si="31"/>
        <v>5658.9018999999998</v>
      </c>
      <c r="P140">
        <f t="shared" ca="1" si="32"/>
        <v>5657</v>
      </c>
      <c r="Q140" t="str">
        <f t="shared" ca="1" si="33"/>
        <v>0001011000011001</v>
      </c>
      <c r="R140">
        <f t="shared" ca="1" si="34"/>
        <v>1.0606875</v>
      </c>
      <c r="S140">
        <f t="shared" ca="1" si="35"/>
        <v>32.728250000000003</v>
      </c>
      <c r="T140" s="3">
        <f t="shared" ca="1" si="39"/>
        <v>3.1708579881656644E-2</v>
      </c>
      <c r="W140">
        <f t="shared" si="36"/>
        <v>32.692089187578127</v>
      </c>
      <c r="X140" s="5">
        <f t="shared" si="37"/>
        <v>3.2778426403013927E-2</v>
      </c>
    </row>
    <row r="141" spans="8:24" x14ac:dyDescent="0.25">
      <c r="H141">
        <v>33.9</v>
      </c>
      <c r="I141">
        <v>1.0670751271303265</v>
      </c>
      <c r="J141" s="10">
        <f t="shared" si="27"/>
        <v>-1.45E-4</v>
      </c>
      <c r="K141" s="17">
        <f t="shared" si="28"/>
        <v>6.9999999999999994E-5</v>
      </c>
      <c r="L141" s="10">
        <f t="shared" si="29"/>
        <v>2.7399999999999998E-3</v>
      </c>
      <c r="M141" s="11">
        <f t="shared" si="38"/>
        <v>1.0701523445544057</v>
      </c>
      <c r="N141" s="5">
        <f t="shared" si="30"/>
        <v>2.8837870416441144E-3</v>
      </c>
      <c r="O141">
        <f t="shared" si="31"/>
        <v>5709.3657000000003</v>
      </c>
      <c r="P141">
        <f t="shared" ca="1" si="32"/>
        <v>5708</v>
      </c>
      <c r="Q141" t="str">
        <f t="shared" ca="1" si="33"/>
        <v>0001011001001100</v>
      </c>
      <c r="R141">
        <f t="shared" ca="1" si="34"/>
        <v>1.0702499999999999</v>
      </c>
      <c r="S141">
        <f t="shared" ca="1" si="35"/>
        <v>32.843000000000004</v>
      </c>
      <c r="T141" s="3">
        <f t="shared" ca="1" si="39"/>
        <v>3.1179941002949709E-2</v>
      </c>
      <c r="W141">
        <f t="shared" si="36"/>
        <v>32.80490152556392</v>
      </c>
      <c r="X141" s="5">
        <f t="shared" si="37"/>
        <v>3.2303789806373988E-2</v>
      </c>
    </row>
    <row r="142" spans="8:24" x14ac:dyDescent="0.25">
      <c r="H142">
        <v>34</v>
      </c>
      <c r="I142">
        <v>1.0748093466072828</v>
      </c>
      <c r="J142" s="10">
        <f t="shared" si="27"/>
        <v>-1.45E-4</v>
      </c>
      <c r="K142" s="17">
        <f t="shared" si="28"/>
        <v>6.9999999999999994E-5</v>
      </c>
      <c r="L142" s="10">
        <f t="shared" si="29"/>
        <v>2.7699999999999999E-3</v>
      </c>
      <c r="M142" s="11">
        <f t="shared" si="38"/>
        <v>1.0779402410750609</v>
      </c>
      <c r="N142" s="5">
        <f t="shared" si="30"/>
        <v>2.9129765922310319E-3</v>
      </c>
      <c r="O142">
        <f t="shared" si="31"/>
        <v>5750.9147999999996</v>
      </c>
      <c r="P142">
        <f t="shared" ca="1" si="32"/>
        <v>5755</v>
      </c>
      <c r="Q142" t="str">
        <f t="shared" ca="1" si="33"/>
        <v>0001011001111011</v>
      </c>
      <c r="R142">
        <f t="shared" ca="1" si="34"/>
        <v>1.0790625</v>
      </c>
      <c r="S142">
        <f t="shared" ca="1" si="35"/>
        <v>32.948750000000004</v>
      </c>
      <c r="T142" s="3">
        <f t="shared" ca="1" si="39"/>
        <v>3.0919117647058708E-2</v>
      </c>
      <c r="W142">
        <f t="shared" si="36"/>
        <v>32.897712159287394</v>
      </c>
      <c r="X142" s="5">
        <f t="shared" si="37"/>
        <v>3.2420230609194287E-2</v>
      </c>
    </row>
    <row r="143" spans="8:24" x14ac:dyDescent="0.25">
      <c r="H143">
        <v>34.1</v>
      </c>
      <c r="I143">
        <v>1.0825712400768246</v>
      </c>
      <c r="J143" s="10">
        <f t="shared" si="27"/>
        <v>-1.44E-4</v>
      </c>
      <c r="K143" s="17">
        <f t="shared" si="28"/>
        <v>7.1000000000000005E-5</v>
      </c>
      <c r="L143" s="10">
        <f t="shared" si="29"/>
        <v>2.8010000000000001E-3</v>
      </c>
      <c r="M143" s="11">
        <f t="shared" si="38"/>
        <v>1.0857564438761216</v>
      </c>
      <c r="N143" s="5">
        <f t="shared" si="30"/>
        <v>2.9422579146578375E-3</v>
      </c>
      <c r="O143">
        <f t="shared" si="31"/>
        <v>5792.6149999999998</v>
      </c>
      <c r="P143">
        <f t="shared" ca="1" si="32"/>
        <v>5794</v>
      </c>
      <c r="Q143" t="str">
        <f t="shared" ca="1" si="33"/>
        <v>0001011010100010</v>
      </c>
      <c r="R143">
        <f t="shared" ca="1" si="34"/>
        <v>1.0863750000000001</v>
      </c>
      <c r="S143">
        <f t="shared" ca="1" si="35"/>
        <v>33.036500000000004</v>
      </c>
      <c r="T143" s="3">
        <f t="shared" ca="1" si="39"/>
        <v>3.118768328445741E-2</v>
      </c>
      <c r="W143">
        <f t="shared" si="36"/>
        <v>32.990854880921901</v>
      </c>
      <c r="X143" s="5">
        <f t="shared" si="37"/>
        <v>3.2526249826337242E-2</v>
      </c>
    </row>
    <row r="144" spans="8:24" x14ac:dyDescent="0.25">
      <c r="H144">
        <v>34.200000000000003</v>
      </c>
      <c r="I144">
        <v>1.0920471247710974</v>
      </c>
      <c r="J144" s="10">
        <f t="shared" si="27"/>
        <v>-1.4300000000000001E-4</v>
      </c>
      <c r="K144" s="17">
        <f t="shared" si="28"/>
        <v>7.1000000000000005E-5</v>
      </c>
      <c r="L144" s="10">
        <f t="shared" si="29"/>
        <v>2.8310000000000002E-3</v>
      </c>
      <c r="M144" s="11">
        <f t="shared" si="38"/>
        <v>1.0952908932900014</v>
      </c>
      <c r="N144" s="5">
        <f t="shared" si="30"/>
        <v>2.9703558072952919E-3</v>
      </c>
      <c r="O144">
        <f t="shared" si="31"/>
        <v>5843.4822000000004</v>
      </c>
      <c r="P144">
        <f t="shared" ca="1" si="32"/>
        <v>5847</v>
      </c>
      <c r="Q144" t="str">
        <f t="shared" ca="1" si="33"/>
        <v>0001011011010111</v>
      </c>
      <c r="R144">
        <f t="shared" ca="1" si="34"/>
        <v>1.0963125</v>
      </c>
      <c r="S144">
        <f t="shared" ca="1" si="35"/>
        <v>33.155750000000005</v>
      </c>
      <c r="T144" s="3">
        <f t="shared" ca="1" si="39"/>
        <v>3.0533625730994093E-2</v>
      </c>
      <c r="W144">
        <f t="shared" si="36"/>
        <v>33.104565497253176</v>
      </c>
      <c r="X144" s="5">
        <f t="shared" si="37"/>
        <v>3.2030248618328254E-2</v>
      </c>
    </row>
    <row r="145" spans="8:24" x14ac:dyDescent="0.25">
      <c r="H145">
        <v>34.299999999999997</v>
      </c>
      <c r="I145">
        <v>1.1015464636777048</v>
      </c>
      <c r="J145" s="10">
        <f t="shared" si="27"/>
        <v>-1.4300000000000001E-4</v>
      </c>
      <c r="K145" s="17">
        <f t="shared" si="28"/>
        <v>7.2000000000000002E-5</v>
      </c>
      <c r="L145" s="10">
        <f t="shared" si="29"/>
        <v>2.862E-3</v>
      </c>
      <c r="M145" s="11">
        <f t="shared" si="38"/>
        <v>1.1048515488104003</v>
      </c>
      <c r="N145" s="5">
        <f t="shared" si="30"/>
        <v>3.0004046508041509E-3</v>
      </c>
      <c r="O145">
        <f t="shared" si="31"/>
        <v>5894.4892</v>
      </c>
      <c r="P145">
        <f t="shared" ca="1" si="32"/>
        <v>5893</v>
      </c>
      <c r="Q145" t="str">
        <f t="shared" ca="1" si="33"/>
        <v>0001011100000101</v>
      </c>
      <c r="R145">
        <f t="shared" ca="1" si="34"/>
        <v>1.1049375000000001</v>
      </c>
      <c r="S145">
        <f t="shared" ca="1" si="35"/>
        <v>33.259250000000009</v>
      </c>
      <c r="T145" s="3">
        <f t="shared" ca="1" si="39"/>
        <v>3.0342565597667306E-2</v>
      </c>
      <c r="W145">
        <f t="shared" si="36"/>
        <v>33.21855756413246</v>
      </c>
      <c r="X145" s="5">
        <f t="shared" si="37"/>
        <v>3.1528933990307199E-2</v>
      </c>
    </row>
    <row r="146" spans="8:24" x14ac:dyDescent="0.25">
      <c r="H146">
        <v>34.4</v>
      </c>
      <c r="I146">
        <v>1.1093869004507566</v>
      </c>
      <c r="J146" s="10">
        <f t="shared" si="27"/>
        <v>-1.4200000000000001E-4</v>
      </c>
      <c r="K146" s="17">
        <f t="shared" si="28"/>
        <v>7.2000000000000002E-5</v>
      </c>
      <c r="L146" s="10">
        <f t="shared" si="29"/>
        <v>2.892E-3</v>
      </c>
      <c r="M146" s="11">
        <f t="shared" si="38"/>
        <v>1.1127469646725898</v>
      </c>
      <c r="N146" s="5">
        <f t="shared" si="30"/>
        <v>3.0287577944790784E-3</v>
      </c>
      <c r="O146">
        <f t="shared" si="31"/>
        <v>5936.6120000000001</v>
      </c>
      <c r="P146">
        <f t="shared" ca="1" si="32"/>
        <v>5939</v>
      </c>
      <c r="Q146" t="str">
        <f t="shared" ca="1" si="33"/>
        <v>0001011100110011</v>
      </c>
      <c r="R146">
        <f t="shared" ca="1" si="34"/>
        <v>1.1135625</v>
      </c>
      <c r="S146">
        <f t="shared" ca="1" si="35"/>
        <v>33.362749999999998</v>
      </c>
      <c r="T146" s="3">
        <f t="shared" ca="1" si="39"/>
        <v>3.0152616279069774E-2</v>
      </c>
      <c r="W146">
        <f t="shared" si="36"/>
        <v>33.312642805409084</v>
      </c>
      <c r="X146" s="5">
        <f t="shared" si="37"/>
        <v>3.1609220772991713E-2</v>
      </c>
    </row>
    <row r="147" spans="8:24" x14ac:dyDescent="0.25">
      <c r="H147">
        <v>34.5</v>
      </c>
      <c r="I147">
        <v>1.1172547523807508</v>
      </c>
      <c r="J147" s="10">
        <f t="shared" si="27"/>
        <v>-1.4200000000000001E-4</v>
      </c>
      <c r="K147" s="17">
        <f t="shared" si="28"/>
        <v>7.2999999999999999E-5</v>
      </c>
      <c r="L147" s="10">
        <f t="shared" si="29"/>
        <v>2.9229999999999998E-3</v>
      </c>
      <c r="M147" s="11">
        <f t="shared" si="38"/>
        <v>1.1206724780340445</v>
      </c>
      <c r="N147" s="5">
        <f t="shared" si="30"/>
        <v>3.0590388145683607E-3</v>
      </c>
      <c r="O147">
        <f t="shared" si="31"/>
        <v>5978.8954000000003</v>
      </c>
      <c r="P147">
        <f t="shared" ca="1" si="32"/>
        <v>5980</v>
      </c>
      <c r="Q147" t="str">
        <f t="shared" ca="1" si="33"/>
        <v>0001011101011100</v>
      </c>
      <c r="R147">
        <f t="shared" ca="1" si="34"/>
        <v>1.1212500000000001</v>
      </c>
      <c r="S147">
        <f t="shared" ca="1" si="35"/>
        <v>33.455000000000005</v>
      </c>
      <c r="T147" s="3">
        <f t="shared" ca="1" si="39"/>
        <v>3.0289855072463612E-2</v>
      </c>
      <c r="W147">
        <f t="shared" si="36"/>
        <v>33.407057028569014</v>
      </c>
      <c r="X147" s="5">
        <f t="shared" si="37"/>
        <v>3.1679506418289455E-2</v>
      </c>
    </row>
    <row r="148" spans="8:24" x14ac:dyDescent="0.25">
      <c r="H148">
        <v>34.6</v>
      </c>
      <c r="I148">
        <v>1.1251499550478685</v>
      </c>
      <c r="J148" s="10">
        <f t="shared" si="27"/>
        <v>-1.4100000000000001E-4</v>
      </c>
      <c r="K148" s="17">
        <f t="shared" si="28"/>
        <v>7.2999999999999999E-5</v>
      </c>
      <c r="L148" s="10">
        <f t="shared" si="29"/>
        <v>2.9529999999999999E-3</v>
      </c>
      <c r="M148" s="11">
        <f t="shared" si="38"/>
        <v>1.1286237810733781</v>
      </c>
      <c r="N148" s="5">
        <f t="shared" si="30"/>
        <v>3.0874338215316523E-3</v>
      </c>
      <c r="O148">
        <f t="shared" si="31"/>
        <v>6021.3163999999997</v>
      </c>
      <c r="P148">
        <f t="shared" ca="1" si="32"/>
        <v>6025</v>
      </c>
      <c r="Q148" t="str">
        <f t="shared" ca="1" si="33"/>
        <v>0001011110001001</v>
      </c>
      <c r="R148">
        <f t="shared" ca="1" si="34"/>
        <v>1.1296875</v>
      </c>
      <c r="S148">
        <f t="shared" ca="1" si="35"/>
        <v>33.556250000000006</v>
      </c>
      <c r="T148" s="3">
        <f t="shared" ca="1" si="39"/>
        <v>3.0166184971098142E-2</v>
      </c>
      <c r="W148">
        <f t="shared" si="36"/>
        <v>33.501799460574425</v>
      </c>
      <c r="X148" s="5">
        <f t="shared" si="37"/>
        <v>3.1739899983398163E-2</v>
      </c>
    </row>
    <row r="149" spans="8:24" x14ac:dyDescent="0.25">
      <c r="H149">
        <v>34.700000000000003</v>
      </c>
      <c r="I149">
        <v>1.1339105018771058</v>
      </c>
      <c r="J149" s="10">
        <f t="shared" si="27"/>
        <v>-1.3999999999999999E-4</v>
      </c>
      <c r="K149" s="17">
        <f t="shared" si="28"/>
        <v>7.3999999999999996E-5</v>
      </c>
      <c r="L149" s="10">
        <f t="shared" si="29"/>
        <v>2.9840000000000001E-3</v>
      </c>
      <c r="M149" s="11">
        <f t="shared" si="38"/>
        <v>1.1374446366729378</v>
      </c>
      <c r="N149" s="5">
        <f t="shared" si="30"/>
        <v>3.1167669670414699E-3</v>
      </c>
      <c r="O149">
        <f t="shared" si="31"/>
        <v>6068.3765000000003</v>
      </c>
      <c r="P149">
        <f t="shared" ca="1" si="32"/>
        <v>6067</v>
      </c>
      <c r="Q149" t="str">
        <f t="shared" ca="1" si="33"/>
        <v>0001011110110011</v>
      </c>
      <c r="R149">
        <f t="shared" ca="1" si="34"/>
        <v>1.1375625</v>
      </c>
      <c r="S149">
        <f t="shared" ca="1" si="35"/>
        <v>33.650750000000002</v>
      </c>
      <c r="T149" s="3">
        <f t="shared" ca="1" si="39"/>
        <v>3.0237752161383302E-2</v>
      </c>
      <c r="W149">
        <f t="shared" si="36"/>
        <v>33.606926022525272</v>
      </c>
      <c r="X149" s="5">
        <f t="shared" si="37"/>
        <v>3.1500690993508093E-2</v>
      </c>
    </row>
    <row r="150" spans="8:24" x14ac:dyDescent="0.25">
      <c r="H150">
        <v>34.799999999999997</v>
      </c>
      <c r="I150">
        <v>1.144370270750767</v>
      </c>
      <c r="J150" s="10">
        <f t="shared" si="27"/>
        <v>-1.3999999999999999E-4</v>
      </c>
      <c r="K150" s="17">
        <f t="shared" si="28"/>
        <v>7.3999999999999996E-5</v>
      </c>
      <c r="L150" s="10">
        <f t="shared" si="29"/>
        <v>3.0140000000000002E-3</v>
      </c>
      <c r="M150" s="11">
        <f t="shared" si="38"/>
        <v>1.1479702530935911</v>
      </c>
      <c r="N150" s="5">
        <f t="shared" si="30"/>
        <v>3.1458195261069885E-3</v>
      </c>
      <c r="O150">
        <f t="shared" si="31"/>
        <v>6124.5316999999995</v>
      </c>
      <c r="P150">
        <f t="shared" ca="1" si="32"/>
        <v>6128</v>
      </c>
      <c r="Q150" t="str">
        <f t="shared" ca="1" si="33"/>
        <v>0001011111110000</v>
      </c>
      <c r="R150">
        <f t="shared" ca="1" si="34"/>
        <v>1.149</v>
      </c>
      <c r="S150">
        <f t="shared" ca="1" si="35"/>
        <v>33.788000000000004</v>
      </c>
      <c r="T150" s="3">
        <f t="shared" ca="1" si="39"/>
        <v>2.9080459770114753E-2</v>
      </c>
      <c r="W150">
        <f t="shared" si="36"/>
        <v>33.732443249009208</v>
      </c>
      <c r="X150" s="5">
        <f t="shared" si="37"/>
        <v>3.0676918131919233E-2</v>
      </c>
    </row>
    <row r="151" spans="8:24" x14ac:dyDescent="0.25">
      <c r="H151">
        <v>34.9</v>
      </c>
      <c r="I151">
        <v>1.1515070057755254</v>
      </c>
      <c r="J151" s="10">
        <f t="shared" si="27"/>
        <v>-1.3899999999999999E-4</v>
      </c>
      <c r="K151" s="17">
        <f t="shared" si="28"/>
        <v>7.4999999999999993E-5</v>
      </c>
      <c r="L151" s="10">
        <f t="shared" si="29"/>
        <v>3.045E-3</v>
      </c>
      <c r="M151" s="11">
        <f t="shared" si="38"/>
        <v>1.1551634785677642</v>
      </c>
      <c r="N151" s="5">
        <f t="shared" si="30"/>
        <v>3.1753804135791672E-3</v>
      </c>
      <c r="O151">
        <f t="shared" si="31"/>
        <v>6162.9081999999999</v>
      </c>
      <c r="P151">
        <f t="shared" ca="1" si="32"/>
        <v>6161</v>
      </c>
      <c r="Q151" t="str">
        <f t="shared" ca="1" si="33"/>
        <v>0001100000010001</v>
      </c>
      <c r="R151">
        <f t="shared" ca="1" si="34"/>
        <v>1.1551875</v>
      </c>
      <c r="S151">
        <f t="shared" ca="1" si="35"/>
        <v>33.862250000000003</v>
      </c>
      <c r="T151" s="3">
        <f t="shared" ca="1" si="39"/>
        <v>2.9734957020057178E-2</v>
      </c>
      <c r="W151">
        <f t="shared" si="36"/>
        <v>33.818084069306309</v>
      </c>
      <c r="X151" s="5">
        <f t="shared" si="37"/>
        <v>3.1000456466867898E-2</v>
      </c>
    </row>
    <row r="152" spans="8:24" x14ac:dyDescent="0.25">
      <c r="H152">
        <v>35</v>
      </c>
      <c r="I152">
        <v>1.1603428226976698</v>
      </c>
      <c r="J152" s="10">
        <f t="shared" si="27"/>
        <v>-1.3899999999999999E-4</v>
      </c>
      <c r="K152" s="17">
        <f t="shared" si="28"/>
        <v>7.4999999999999993E-5</v>
      </c>
      <c r="L152" s="10">
        <f t="shared" si="29"/>
        <v>3.075E-3</v>
      </c>
      <c r="M152" s="11">
        <f t="shared" si="38"/>
        <v>1.1640613112297011</v>
      </c>
      <c r="N152" s="5">
        <f t="shared" si="30"/>
        <v>3.204646471106104E-3</v>
      </c>
      <c r="O152">
        <f t="shared" si="31"/>
        <v>6210.3789999999999</v>
      </c>
      <c r="P152">
        <f t="shared" ca="1" si="32"/>
        <v>6214</v>
      </c>
      <c r="Q152" t="str">
        <f t="shared" ca="1" si="33"/>
        <v>0001100001000110</v>
      </c>
      <c r="R152">
        <f t="shared" ca="1" si="34"/>
        <v>1.165125</v>
      </c>
      <c r="S152">
        <f t="shared" ca="1" si="35"/>
        <v>33.981500000000004</v>
      </c>
      <c r="T152" s="3">
        <f t="shared" ca="1" si="39"/>
        <v>2.9099999999999886E-2</v>
      </c>
      <c r="W152">
        <f t="shared" si="36"/>
        <v>33.92411387237204</v>
      </c>
      <c r="X152" s="5">
        <f t="shared" si="37"/>
        <v>3.0739603646513153E-2</v>
      </c>
    </row>
    <row r="153" spans="8:24" x14ac:dyDescent="0.25">
      <c r="H153">
        <v>35.1</v>
      </c>
      <c r="I153">
        <v>1.169203588899913</v>
      </c>
      <c r="J153" s="10">
        <f t="shared" si="27"/>
        <v>-1.3799999999999999E-4</v>
      </c>
      <c r="K153" s="17">
        <f t="shared" si="28"/>
        <v>7.6000000000000004E-5</v>
      </c>
      <c r="L153" s="10">
        <f t="shared" si="29"/>
        <v>3.1059999999999998E-3</v>
      </c>
      <c r="M153" s="11">
        <f t="shared" si="38"/>
        <v>1.1729848799369973</v>
      </c>
      <c r="N153" s="5">
        <f t="shared" si="30"/>
        <v>3.2340740936674744E-3</v>
      </c>
      <c r="O153">
        <f t="shared" si="31"/>
        <v>6257.9871000000003</v>
      </c>
      <c r="P153">
        <f t="shared" ca="1" si="32"/>
        <v>6258</v>
      </c>
      <c r="Q153" t="str">
        <f t="shared" ca="1" si="33"/>
        <v>0001100001110010</v>
      </c>
      <c r="R153">
        <f t="shared" ca="1" si="34"/>
        <v>1.1733750000000001</v>
      </c>
      <c r="S153">
        <f t="shared" ca="1" si="35"/>
        <v>34.080500000000008</v>
      </c>
      <c r="T153" s="3">
        <f t="shared" ca="1" si="39"/>
        <v>2.9045584045583862E-2</v>
      </c>
      <c r="W153">
        <f t="shared" si="36"/>
        <v>34.030443066798959</v>
      </c>
      <c r="X153" s="5">
        <f t="shared" si="37"/>
        <v>3.0471707498605189E-2</v>
      </c>
    </row>
    <row r="154" spans="8:24" x14ac:dyDescent="0.25">
      <c r="H154">
        <v>35.200000000000003</v>
      </c>
      <c r="I154">
        <v>1.1755905330321466</v>
      </c>
      <c r="J154" s="10">
        <f t="shared" si="27"/>
        <v>-1.3799999999999999E-4</v>
      </c>
      <c r="K154" s="17">
        <f t="shared" si="28"/>
        <v>7.6000000000000004E-5</v>
      </c>
      <c r="L154" s="10">
        <f t="shared" si="29"/>
        <v>3.1359999999999999E-3</v>
      </c>
      <c r="M154" s="11">
        <f t="shared" si="38"/>
        <v>1.1794272167839812</v>
      </c>
      <c r="N154" s="5">
        <f t="shared" si="30"/>
        <v>3.2636225318511845E-3</v>
      </c>
      <c r="O154">
        <f t="shared" si="31"/>
        <v>6292.3576000000003</v>
      </c>
      <c r="P154">
        <f t="shared" ca="1" si="32"/>
        <v>6293</v>
      </c>
      <c r="Q154" t="str">
        <f t="shared" ca="1" si="33"/>
        <v>0001100010010101</v>
      </c>
      <c r="R154">
        <f t="shared" ca="1" si="34"/>
        <v>1.1799375000000001</v>
      </c>
      <c r="S154">
        <f t="shared" ca="1" si="35"/>
        <v>34.159250000000007</v>
      </c>
      <c r="T154" s="3">
        <f t="shared" ca="1" si="39"/>
        <v>2.9566761363636236E-2</v>
      </c>
      <c r="W154">
        <f t="shared" si="36"/>
        <v>34.10708639638576</v>
      </c>
      <c r="X154" s="5">
        <f t="shared" si="37"/>
        <v>3.1048681920859158E-2</v>
      </c>
    </row>
    <row r="155" spans="8:24" x14ac:dyDescent="0.25">
      <c r="H155">
        <v>35.299999999999997</v>
      </c>
      <c r="I155">
        <v>1.1845040887178608</v>
      </c>
      <c r="J155" s="10">
        <f t="shared" si="27"/>
        <v>-1.37E-4</v>
      </c>
      <c r="K155" s="17">
        <f t="shared" si="28"/>
        <v>7.7000000000000001E-5</v>
      </c>
      <c r="L155" s="10">
        <f t="shared" si="29"/>
        <v>3.1670000000000001E-3</v>
      </c>
      <c r="M155" s="11">
        <f t="shared" si="38"/>
        <v>1.1884047666137265</v>
      </c>
      <c r="N155" s="5">
        <f t="shared" si="30"/>
        <v>3.2930894312807966E-3</v>
      </c>
      <c r="O155">
        <f t="shared" si="31"/>
        <v>6340.2537000000002</v>
      </c>
      <c r="P155">
        <f t="shared" ca="1" si="32"/>
        <v>6339</v>
      </c>
      <c r="Q155" t="str">
        <f t="shared" ca="1" si="33"/>
        <v>0001100011000011</v>
      </c>
      <c r="R155">
        <f t="shared" ca="1" si="34"/>
        <v>1.1885625</v>
      </c>
      <c r="S155">
        <f t="shared" ca="1" si="35"/>
        <v>34.262750000000004</v>
      </c>
      <c r="T155" s="3">
        <f t="shared" ca="1" si="39"/>
        <v>2.9383852691217939E-2</v>
      </c>
      <c r="W155">
        <f t="shared" si="36"/>
        <v>34.214049064614336</v>
      </c>
      <c r="X155" s="5">
        <f t="shared" si="37"/>
        <v>3.0763482588828925E-2</v>
      </c>
    </row>
    <row r="156" spans="8:24" x14ac:dyDescent="0.25">
      <c r="H156">
        <v>35.4</v>
      </c>
      <c r="I156">
        <v>1.1951040389420386</v>
      </c>
      <c r="J156" s="10">
        <f t="shared" si="27"/>
        <v>-1.36E-4</v>
      </c>
      <c r="K156" s="17">
        <f t="shared" si="28"/>
        <v>7.7000000000000001E-5</v>
      </c>
      <c r="L156" s="10">
        <f t="shared" si="29"/>
        <v>3.1970000000000002E-3</v>
      </c>
      <c r="M156" s="11">
        <f t="shared" si="38"/>
        <v>1.1990734768475202</v>
      </c>
      <c r="N156" s="5">
        <f t="shared" si="30"/>
        <v>3.3214161915103837E-3</v>
      </c>
      <c r="O156">
        <f t="shared" si="31"/>
        <v>6397.1723000000002</v>
      </c>
      <c r="P156">
        <f t="shared" ca="1" si="32"/>
        <v>6398</v>
      </c>
      <c r="Q156" t="str">
        <f t="shared" ca="1" si="33"/>
        <v>0001100011111110</v>
      </c>
      <c r="R156">
        <f t="shared" ca="1" si="34"/>
        <v>1.1996249999999999</v>
      </c>
      <c r="S156">
        <f t="shared" ca="1" si="35"/>
        <v>34.395500000000006</v>
      </c>
      <c r="T156" s="3">
        <f t="shared" ca="1" si="39"/>
        <v>2.8375706214689069E-2</v>
      </c>
      <c r="W156">
        <f t="shared" si="36"/>
        <v>34.341248467304467</v>
      </c>
      <c r="X156" s="5">
        <f t="shared" si="37"/>
        <v>2.9908235386879416E-2</v>
      </c>
    </row>
    <row r="157" spans="8:24" x14ac:dyDescent="0.25">
      <c r="H157">
        <v>35.5</v>
      </c>
      <c r="I157">
        <v>1.2024053402440646</v>
      </c>
      <c r="J157" s="10">
        <f t="shared" si="27"/>
        <v>-1.36E-4</v>
      </c>
      <c r="K157" s="17">
        <f t="shared" si="28"/>
        <v>7.7999999999999999E-5</v>
      </c>
      <c r="L157" s="10">
        <f t="shared" si="29"/>
        <v>3.228E-3</v>
      </c>
      <c r="M157" s="11">
        <f t="shared" si="38"/>
        <v>1.206435714731217</v>
      </c>
      <c r="N157" s="5">
        <f t="shared" si="30"/>
        <v>3.3519266359331792E-3</v>
      </c>
      <c r="O157">
        <f t="shared" si="31"/>
        <v>6436.4504999999999</v>
      </c>
      <c r="P157">
        <f t="shared" ca="1" si="32"/>
        <v>6437</v>
      </c>
      <c r="Q157" t="str">
        <f t="shared" ca="1" si="33"/>
        <v>0001100100100101</v>
      </c>
      <c r="R157">
        <f t="shared" ca="1" si="34"/>
        <v>1.2069375</v>
      </c>
      <c r="S157">
        <f t="shared" ca="1" si="35"/>
        <v>34.483249999999998</v>
      </c>
      <c r="T157" s="3">
        <f t="shared" ca="1" si="39"/>
        <v>2.8640845070422586E-2</v>
      </c>
      <c r="W157">
        <f t="shared" si="36"/>
        <v>34.428864082928783</v>
      </c>
      <c r="X157" s="5">
        <f t="shared" si="37"/>
        <v>3.0172842734400483E-2</v>
      </c>
    </row>
    <row r="158" spans="8:24" x14ac:dyDescent="0.25">
      <c r="H158">
        <v>35.6</v>
      </c>
      <c r="I158">
        <v>1.211392890623191</v>
      </c>
      <c r="J158" s="10">
        <f t="shared" si="27"/>
        <v>-1.35E-4</v>
      </c>
      <c r="K158" s="17">
        <f t="shared" si="28"/>
        <v>7.7999999999999999E-5</v>
      </c>
      <c r="L158" s="10">
        <f t="shared" si="29"/>
        <v>3.258E-3</v>
      </c>
      <c r="M158" s="11">
        <f t="shared" si="38"/>
        <v>1.2154879503654816</v>
      </c>
      <c r="N158" s="5">
        <f t="shared" si="30"/>
        <v>3.3804554855724474E-3</v>
      </c>
      <c r="O158">
        <f t="shared" si="31"/>
        <v>6484.7451000000001</v>
      </c>
      <c r="P158">
        <f t="shared" ca="1" si="32"/>
        <v>6484</v>
      </c>
      <c r="Q158" t="str">
        <f t="shared" ca="1" si="33"/>
        <v>0001100101010100</v>
      </c>
      <c r="R158">
        <f t="shared" ca="1" si="34"/>
        <v>1.2157500000000001</v>
      </c>
      <c r="S158">
        <f t="shared" ca="1" si="35"/>
        <v>34.589000000000006</v>
      </c>
      <c r="T158" s="3">
        <f t="shared" ca="1" si="39"/>
        <v>2.8398876404494261E-2</v>
      </c>
      <c r="W158">
        <f t="shared" si="36"/>
        <v>34.536714687478295</v>
      </c>
      <c r="X158" s="5">
        <f t="shared" si="37"/>
        <v>2.986756495847491E-2</v>
      </c>
    </row>
    <row r="159" spans="8:24" x14ac:dyDescent="0.25">
      <c r="H159">
        <v>35.700000000000003</v>
      </c>
      <c r="I159">
        <v>1.2195772475925475</v>
      </c>
      <c r="J159" s="10">
        <f t="shared" si="27"/>
        <v>-1.35E-4</v>
      </c>
      <c r="K159" s="17">
        <f t="shared" si="28"/>
        <v>7.8999999999999996E-5</v>
      </c>
      <c r="L159" s="10">
        <f t="shared" si="29"/>
        <v>3.2889999999999998E-3</v>
      </c>
      <c r="M159" s="11">
        <f t="shared" si="38"/>
        <v>1.2237371189768624</v>
      </c>
      <c r="N159" s="5">
        <f t="shared" si="30"/>
        <v>3.4109125867398398E-3</v>
      </c>
      <c r="O159">
        <f t="shared" si="31"/>
        <v>6528.7551999999996</v>
      </c>
      <c r="P159">
        <f t="shared" ca="1" si="32"/>
        <v>6528</v>
      </c>
      <c r="Q159" t="str">
        <f t="shared" ca="1" si="33"/>
        <v>0001100110000000</v>
      </c>
      <c r="R159">
        <f t="shared" ca="1" si="34"/>
        <v>1.224</v>
      </c>
      <c r="S159">
        <f t="shared" ca="1" si="35"/>
        <v>34.688000000000002</v>
      </c>
      <c r="T159" s="3">
        <f t="shared" ca="1" si="39"/>
        <v>2.8347338935574239E-2</v>
      </c>
      <c r="W159">
        <f t="shared" si="36"/>
        <v>34.634926971110573</v>
      </c>
      <c r="X159" s="5">
        <f t="shared" si="37"/>
        <v>2.9833978400264128E-2</v>
      </c>
    </row>
    <row r="160" spans="8:24" x14ac:dyDescent="0.25">
      <c r="H160">
        <v>35.799999999999997</v>
      </c>
      <c r="I160">
        <v>1.2294414732395536</v>
      </c>
      <c r="J160" s="10">
        <f t="shared" si="27"/>
        <v>-1.34E-4</v>
      </c>
      <c r="K160" s="17">
        <f t="shared" si="28"/>
        <v>7.8999999999999996E-5</v>
      </c>
      <c r="L160" s="10">
        <f t="shared" si="29"/>
        <v>3.3189999999999999E-3</v>
      </c>
      <c r="M160" s="11">
        <f t="shared" si="38"/>
        <v>1.2336700240493734</v>
      </c>
      <c r="N160" s="5">
        <f t="shared" si="30"/>
        <v>3.439407976597478E-3</v>
      </c>
      <c r="O160">
        <f t="shared" si="31"/>
        <v>6581.7482</v>
      </c>
      <c r="P160">
        <f t="shared" ca="1" si="32"/>
        <v>6585</v>
      </c>
      <c r="Q160" t="str">
        <f t="shared" ca="1" si="33"/>
        <v>0001100110111001</v>
      </c>
      <c r="R160">
        <f t="shared" ca="1" si="34"/>
        <v>1.2346874999999999</v>
      </c>
      <c r="S160">
        <f t="shared" ca="1" si="35"/>
        <v>34.816250000000004</v>
      </c>
      <c r="T160" s="3">
        <f t="shared" ca="1" si="39"/>
        <v>2.7479050279329429E-2</v>
      </c>
      <c r="W160">
        <f t="shared" si="36"/>
        <v>34.753297678874645</v>
      </c>
      <c r="X160" s="5">
        <f t="shared" si="37"/>
        <v>2.9237495003501451E-2</v>
      </c>
    </row>
    <row r="161" spans="8:24" x14ac:dyDescent="0.25">
      <c r="H161">
        <v>35.9</v>
      </c>
      <c r="I161">
        <v>1.2360254694458923</v>
      </c>
      <c r="J161" s="10">
        <f t="shared" si="27"/>
        <v>-1.34E-4</v>
      </c>
      <c r="K161" s="17">
        <f t="shared" si="28"/>
        <v>8.0000000000000007E-5</v>
      </c>
      <c r="L161" s="10">
        <f t="shared" si="29"/>
        <v>3.3500000000000001E-3</v>
      </c>
      <c r="M161" s="11">
        <f t="shared" si="38"/>
        <v>1.2403145230982715</v>
      </c>
      <c r="N161" s="5">
        <f t="shared" si="30"/>
        <v>3.4700366282112028E-3</v>
      </c>
      <c r="O161">
        <f t="shared" si="31"/>
        <v>6617.1971999999996</v>
      </c>
      <c r="P161">
        <f t="shared" ca="1" si="32"/>
        <v>6618</v>
      </c>
      <c r="Q161" t="str">
        <f t="shared" ca="1" si="33"/>
        <v>0001100111011010</v>
      </c>
      <c r="R161">
        <f t="shared" ca="1" si="34"/>
        <v>1.240875</v>
      </c>
      <c r="S161">
        <f t="shared" ca="1" si="35"/>
        <v>34.890500000000003</v>
      </c>
      <c r="T161" s="3">
        <f t="shared" ca="1" si="39"/>
        <v>2.8119777158774253E-2</v>
      </c>
      <c r="W161">
        <f t="shared" si="36"/>
        <v>34.832305633350714</v>
      </c>
      <c r="X161" s="5">
        <f t="shared" si="37"/>
        <v>2.9740790157361689E-2</v>
      </c>
    </row>
    <row r="162" spans="8:24" x14ac:dyDescent="0.25">
      <c r="H162">
        <v>36</v>
      </c>
      <c r="I162">
        <v>1.2451137763738995</v>
      </c>
      <c r="J162" s="10">
        <f t="shared" si="27"/>
        <v>-1.3300000000000001E-4</v>
      </c>
      <c r="K162" s="17">
        <f t="shared" si="28"/>
        <v>8.0000000000000007E-5</v>
      </c>
      <c r="L162" s="10">
        <f t="shared" si="29"/>
        <v>3.3800000000000002E-3</v>
      </c>
      <c r="M162" s="11">
        <f t="shared" si="38"/>
        <v>1.2494699849229391</v>
      </c>
      <c r="N162" s="5">
        <f t="shared" si="30"/>
        <v>3.4986429607469691E-3</v>
      </c>
      <c r="O162">
        <f t="shared" si="31"/>
        <v>6666.0424999999996</v>
      </c>
      <c r="P162">
        <f t="shared" ca="1" si="32"/>
        <v>6664</v>
      </c>
      <c r="Q162" t="str">
        <f t="shared" ca="1" si="33"/>
        <v>0001101000001000</v>
      </c>
      <c r="R162">
        <f t="shared" ca="1" si="34"/>
        <v>1.2495000000000001</v>
      </c>
      <c r="S162">
        <f t="shared" ca="1" si="35"/>
        <v>34.994000000000007</v>
      </c>
      <c r="T162" s="3">
        <f t="shared" ca="1" si="39"/>
        <v>2.7944444444444255E-2</v>
      </c>
      <c r="W162">
        <f t="shared" si="36"/>
        <v>34.941365316486795</v>
      </c>
      <c r="X162" s="5">
        <f t="shared" si="37"/>
        <v>2.9406518986477909E-2</v>
      </c>
    </row>
    <row r="163" spans="8:24" x14ac:dyDescent="0.25">
      <c r="H163">
        <v>36.1</v>
      </c>
      <c r="I163">
        <v>1.2542263069846795</v>
      </c>
      <c r="J163" s="10">
        <f t="shared" si="27"/>
        <v>-1.3200000000000001E-4</v>
      </c>
      <c r="K163" s="17">
        <f t="shared" si="28"/>
        <v>8.1000000000000004E-5</v>
      </c>
      <c r="L163" s="10">
        <f t="shared" si="29"/>
        <v>3.411E-3</v>
      </c>
      <c r="M163" s="11">
        <f t="shared" si="38"/>
        <v>1.2586515674813585</v>
      </c>
      <c r="N163" s="5">
        <f t="shared" si="30"/>
        <v>3.5282791247760619E-3</v>
      </c>
      <c r="O163">
        <f t="shared" si="31"/>
        <v>6715.0271000000002</v>
      </c>
      <c r="P163">
        <f t="shared" ca="1" si="32"/>
        <v>6714</v>
      </c>
      <c r="Q163" t="str">
        <f t="shared" ca="1" si="33"/>
        <v>0001101000111010</v>
      </c>
      <c r="R163">
        <f t="shared" ca="1" si="34"/>
        <v>1.258875</v>
      </c>
      <c r="S163">
        <f t="shared" ca="1" si="35"/>
        <v>35.106500000000004</v>
      </c>
      <c r="T163" s="3">
        <f t="shared" ca="1" si="39"/>
        <v>2.7520775623268625E-2</v>
      </c>
      <c r="W163">
        <f t="shared" si="36"/>
        <v>35.050715683816158</v>
      </c>
      <c r="X163" s="5">
        <f t="shared" si="37"/>
        <v>2.906604753971866E-2</v>
      </c>
    </row>
    <row r="164" spans="8:24" x14ac:dyDescent="0.25">
      <c r="H164">
        <v>36.200000000000003</v>
      </c>
      <c r="I164">
        <v>1.2625404882359423</v>
      </c>
      <c r="J164" s="10">
        <f t="shared" si="27"/>
        <v>-1.3200000000000001E-4</v>
      </c>
      <c r="K164" s="17">
        <f t="shared" si="28"/>
        <v>8.1000000000000004E-5</v>
      </c>
      <c r="L164" s="10">
        <f t="shared" si="29"/>
        <v>3.441E-3</v>
      </c>
      <c r="M164" s="11">
        <f t="shared" si="38"/>
        <v>1.2670323465403879</v>
      </c>
      <c r="N164" s="5">
        <f t="shared" si="30"/>
        <v>3.5577934698329495E-3</v>
      </c>
      <c r="O164">
        <f t="shared" si="31"/>
        <v>6759.7394000000004</v>
      </c>
      <c r="P164">
        <f t="shared" ca="1" si="32"/>
        <v>6758</v>
      </c>
      <c r="Q164" t="str">
        <f t="shared" ca="1" si="33"/>
        <v>0001101001100110</v>
      </c>
      <c r="R164">
        <f t="shared" ca="1" si="34"/>
        <v>1.2671250000000001</v>
      </c>
      <c r="S164">
        <f t="shared" ca="1" si="35"/>
        <v>35.205500000000008</v>
      </c>
      <c r="T164" s="3">
        <f t="shared" ca="1" si="39"/>
        <v>2.7472375690607596E-2</v>
      </c>
      <c r="W164">
        <f t="shared" si="36"/>
        <v>35.15048585883131</v>
      </c>
      <c r="X164" s="5">
        <f t="shared" si="37"/>
        <v>2.8992103347201464E-2</v>
      </c>
    </row>
    <row r="165" spans="8:24" x14ac:dyDescent="0.25">
      <c r="H165">
        <v>36.299999999999997</v>
      </c>
      <c r="I165">
        <v>1.2725237338962043</v>
      </c>
      <c r="J165" s="10">
        <f t="shared" si="27"/>
        <v>-1.3100000000000001E-4</v>
      </c>
      <c r="K165" s="17">
        <f t="shared" si="28"/>
        <v>8.2000000000000001E-5</v>
      </c>
      <c r="L165" s="10">
        <f t="shared" si="29"/>
        <v>3.4719999999999998E-3</v>
      </c>
      <c r="M165" s="11">
        <f t="shared" si="38"/>
        <v>1.2770887861617581</v>
      </c>
      <c r="N165" s="5">
        <f t="shared" si="30"/>
        <v>3.5874004892439766E-3</v>
      </c>
      <c r="O165">
        <f t="shared" si="31"/>
        <v>6813.3914999999997</v>
      </c>
      <c r="P165">
        <f t="shared" ca="1" si="32"/>
        <v>6815</v>
      </c>
      <c r="Q165" t="str">
        <f t="shared" ca="1" si="33"/>
        <v>0001101010011111</v>
      </c>
      <c r="R165">
        <f t="shared" ca="1" si="34"/>
        <v>1.2778125</v>
      </c>
      <c r="S165">
        <f t="shared" ca="1" si="35"/>
        <v>35.333750000000002</v>
      </c>
      <c r="T165" s="3">
        <f t="shared" ca="1" si="39"/>
        <v>2.6618457300275351E-2</v>
      </c>
      <c r="W165">
        <f t="shared" si="36"/>
        <v>35.270284806754454</v>
      </c>
      <c r="X165" s="5">
        <f t="shared" si="37"/>
        <v>2.8366809731282191E-2</v>
      </c>
    </row>
    <row r="166" spans="8:24" x14ac:dyDescent="0.25">
      <c r="H166">
        <v>36.400000000000006</v>
      </c>
      <c r="I166">
        <v>1.280888074035383</v>
      </c>
      <c r="J166" s="10">
        <f t="shared" si="27"/>
        <v>-1.3100000000000001E-4</v>
      </c>
      <c r="K166" s="17">
        <f t="shared" si="28"/>
        <v>8.2000000000000001E-5</v>
      </c>
      <c r="L166" s="10">
        <f t="shared" si="29"/>
        <v>3.5019999999999999E-3</v>
      </c>
      <c r="M166" s="11">
        <f t="shared" si="38"/>
        <v>1.2855209684669544</v>
      </c>
      <c r="N166" s="5">
        <f t="shared" si="30"/>
        <v>3.6169393138119465E-3</v>
      </c>
      <c r="O166">
        <f t="shared" si="31"/>
        <v>6858.3779999999997</v>
      </c>
      <c r="P166">
        <f t="shared" ca="1" si="32"/>
        <v>6858</v>
      </c>
      <c r="Q166" t="str">
        <f t="shared" ca="1" si="33"/>
        <v>0001101011001010</v>
      </c>
      <c r="R166">
        <f t="shared" ca="1" si="34"/>
        <v>1.2858750000000001</v>
      </c>
      <c r="S166">
        <f t="shared" ca="1" si="35"/>
        <v>35.430500000000002</v>
      </c>
      <c r="T166" s="3">
        <f t="shared" ca="1" si="39"/>
        <v>2.6634615384615479E-2</v>
      </c>
      <c r="W166">
        <f t="shared" si="36"/>
        <v>35.370656888424598</v>
      </c>
      <c r="X166" s="5">
        <f t="shared" si="37"/>
        <v>2.8278656911412289E-2</v>
      </c>
    </row>
    <row r="167" spans="8:24" x14ac:dyDescent="0.25">
      <c r="H167">
        <v>36.5</v>
      </c>
      <c r="I167">
        <v>1.289278428886816</v>
      </c>
      <c r="J167" s="10">
        <f t="shared" si="27"/>
        <v>-1.2999999999999999E-4</v>
      </c>
      <c r="K167" s="17">
        <f t="shared" si="28"/>
        <v>8.2999999999999998E-5</v>
      </c>
      <c r="L167" s="10">
        <f t="shared" si="29"/>
        <v>3.5330000000000001E-3</v>
      </c>
      <c r="M167" s="11">
        <f t="shared" si="38"/>
        <v>1.2939800604403517</v>
      </c>
      <c r="N167" s="5">
        <f t="shared" si="30"/>
        <v>3.6467154403531142E-3</v>
      </c>
      <c r="O167">
        <f t="shared" si="31"/>
        <v>6903.5079999999998</v>
      </c>
      <c r="P167">
        <f t="shared" ca="1" si="32"/>
        <v>6905</v>
      </c>
      <c r="Q167" t="str">
        <f t="shared" ca="1" si="33"/>
        <v>0001101011111001</v>
      </c>
      <c r="R167">
        <f t="shared" ca="1" si="34"/>
        <v>1.2946875</v>
      </c>
      <c r="S167">
        <f t="shared" ca="1" si="35"/>
        <v>35.536250000000003</v>
      </c>
      <c r="T167" s="3">
        <f t="shared" ca="1" si="39"/>
        <v>2.6404109589041026E-2</v>
      </c>
      <c r="W167">
        <f t="shared" si="36"/>
        <v>35.471341146641798</v>
      </c>
      <c r="X167" s="5">
        <f t="shared" si="37"/>
        <v>2.8182434338580874E-2</v>
      </c>
    </row>
    <row r="168" spans="8:24" x14ac:dyDescent="0.25">
      <c r="H168">
        <v>36.6</v>
      </c>
      <c r="I168">
        <v>1.2976947233742293</v>
      </c>
      <c r="J168" s="10">
        <f t="shared" si="27"/>
        <v>-1.2999999999999999E-4</v>
      </c>
      <c r="K168" s="17">
        <f t="shared" si="28"/>
        <v>8.2999999999999998E-5</v>
      </c>
      <c r="L168" s="10">
        <f t="shared" si="29"/>
        <v>3.5630000000000002E-3</v>
      </c>
      <c r="M168" s="11">
        <f t="shared" si="38"/>
        <v>1.3024654076215849</v>
      </c>
      <c r="N168" s="5">
        <f t="shared" si="30"/>
        <v>3.6762762161435059E-3</v>
      </c>
      <c r="O168">
        <f t="shared" si="31"/>
        <v>6948.7781999999997</v>
      </c>
      <c r="P168">
        <f t="shared" ca="1" si="32"/>
        <v>6950</v>
      </c>
      <c r="Q168" t="str">
        <f t="shared" ca="1" si="33"/>
        <v>0001101100100110</v>
      </c>
      <c r="R168">
        <f t="shared" ca="1" si="34"/>
        <v>1.3031250000000001</v>
      </c>
      <c r="S168">
        <f t="shared" ca="1" si="35"/>
        <v>35.637500000000003</v>
      </c>
      <c r="T168" s="3">
        <f t="shared" ca="1" si="39"/>
        <v>2.6297814207650233E-2</v>
      </c>
      <c r="W168">
        <f t="shared" si="36"/>
        <v>35.57233668049075</v>
      </c>
      <c r="X168" s="5">
        <f t="shared" si="37"/>
        <v>2.8078232773476815E-2</v>
      </c>
    </row>
    <row r="169" spans="8:24" x14ac:dyDescent="0.25">
      <c r="H169">
        <v>36.700000000000003</v>
      </c>
      <c r="I169">
        <v>1.3069541370499924</v>
      </c>
      <c r="J169" s="10">
        <f t="shared" si="27"/>
        <v>-1.2899999999999999E-4</v>
      </c>
      <c r="K169" s="17">
        <f t="shared" si="28"/>
        <v>8.3999999999999995E-5</v>
      </c>
      <c r="L169" s="10">
        <f t="shared" si="29"/>
        <v>3.594E-3</v>
      </c>
      <c r="M169" s="11">
        <f t="shared" si="38"/>
        <v>1.3117977381207986</v>
      </c>
      <c r="N169" s="5">
        <f t="shared" si="30"/>
        <v>3.7060222187589253E-3</v>
      </c>
      <c r="O169">
        <f t="shared" si="31"/>
        <v>6998.5671000000002</v>
      </c>
      <c r="P169">
        <f t="shared" ca="1" si="32"/>
        <v>6998</v>
      </c>
      <c r="Q169" t="str">
        <f t="shared" ca="1" si="33"/>
        <v>0001101101010110</v>
      </c>
      <c r="R169">
        <f t="shared" ca="1" si="34"/>
        <v>1.312125</v>
      </c>
      <c r="S169">
        <f t="shared" ca="1" si="35"/>
        <v>35.745500000000007</v>
      </c>
      <c r="T169" s="3">
        <f t="shared" ca="1" si="39"/>
        <v>2.6008174386920869E-2</v>
      </c>
      <c r="W169">
        <f t="shared" si="36"/>
        <v>35.683449644599911</v>
      </c>
      <c r="X169" s="5">
        <f t="shared" si="37"/>
        <v>2.7698919765670082E-2</v>
      </c>
    </row>
    <row r="170" spans="8:24" x14ac:dyDescent="0.25">
      <c r="H170">
        <v>36.799999999999997</v>
      </c>
      <c r="I170">
        <v>1.3162372373921485</v>
      </c>
      <c r="J170" s="10">
        <f t="shared" si="27"/>
        <v>-1.2799999999999999E-4</v>
      </c>
      <c r="K170" s="17">
        <f t="shared" si="28"/>
        <v>8.3999999999999995E-5</v>
      </c>
      <c r="L170" s="10">
        <f t="shared" si="29"/>
        <v>3.6240000000000001E-3</v>
      </c>
      <c r="M170" s="11">
        <f t="shared" si="38"/>
        <v>1.3211530962128235</v>
      </c>
      <c r="N170" s="5">
        <f t="shared" si="30"/>
        <v>3.7347817559202166E-3</v>
      </c>
      <c r="O170">
        <f t="shared" si="31"/>
        <v>7048.4787999999999</v>
      </c>
      <c r="P170">
        <f t="shared" ca="1" si="32"/>
        <v>7048</v>
      </c>
      <c r="Q170" t="str">
        <f t="shared" ca="1" si="33"/>
        <v>0001101110001000</v>
      </c>
      <c r="R170">
        <f t="shared" ca="1" si="34"/>
        <v>1.3215000000000001</v>
      </c>
      <c r="S170">
        <f t="shared" ca="1" si="35"/>
        <v>35.858000000000004</v>
      </c>
      <c r="T170" s="3">
        <f t="shared" ca="1" si="39"/>
        <v>2.5597826086956335E-2</v>
      </c>
      <c r="W170">
        <f t="shared" si="36"/>
        <v>35.794846848705788</v>
      </c>
      <c r="X170" s="5">
        <f t="shared" si="37"/>
        <v>2.7313944328646988E-2</v>
      </c>
    </row>
    <row r="171" spans="8:24" x14ac:dyDescent="0.25">
      <c r="H171">
        <v>36.900000000000006</v>
      </c>
      <c r="I171">
        <v>1.3230984953947882</v>
      </c>
      <c r="J171" s="10">
        <f t="shared" si="27"/>
        <v>-1.2799999999999999E-4</v>
      </c>
      <c r="K171" s="17">
        <f t="shared" si="28"/>
        <v>8.5000000000000006E-5</v>
      </c>
      <c r="L171" s="10">
        <f t="shared" si="29"/>
        <v>3.6549999999999998E-3</v>
      </c>
      <c r="M171" s="11">
        <f t="shared" si="38"/>
        <v>1.3280806300977954</v>
      </c>
      <c r="N171" s="5">
        <f t="shared" si="30"/>
        <v>3.7655055314084218E-3</v>
      </c>
      <c r="O171">
        <f t="shared" si="31"/>
        <v>7085.4378999999999</v>
      </c>
      <c r="P171">
        <f t="shared" ca="1" si="32"/>
        <v>7086</v>
      </c>
      <c r="Q171" t="str">
        <f t="shared" ca="1" si="33"/>
        <v>0001101110101110</v>
      </c>
      <c r="R171">
        <f t="shared" ca="1" si="34"/>
        <v>1.3286249999999999</v>
      </c>
      <c r="S171">
        <f t="shared" ca="1" si="35"/>
        <v>35.9435</v>
      </c>
      <c r="T171" s="3">
        <f t="shared" ca="1" si="39"/>
        <v>2.5921409214092285E-2</v>
      </c>
      <c r="W171">
        <f t="shared" si="36"/>
        <v>35.877181944737465</v>
      </c>
      <c r="X171" s="5">
        <f t="shared" si="37"/>
        <v>2.7718646484079679E-2</v>
      </c>
    </row>
    <row r="172" spans="8:24" x14ac:dyDescent="0.25">
      <c r="H172">
        <v>37</v>
      </c>
      <c r="I172">
        <v>1.3332459877114458</v>
      </c>
      <c r="J172" s="10">
        <f t="shared" si="27"/>
        <v>-1.27E-4</v>
      </c>
      <c r="K172" s="17">
        <f t="shared" si="28"/>
        <v>8.5000000000000006E-5</v>
      </c>
      <c r="L172" s="10">
        <f t="shared" si="29"/>
        <v>3.6849999999999999E-3</v>
      </c>
      <c r="M172" s="11">
        <f t="shared" si="38"/>
        <v>1.3383046403109917</v>
      </c>
      <c r="N172" s="5">
        <f t="shared" si="30"/>
        <v>3.7942380072182214E-3</v>
      </c>
      <c r="O172">
        <f t="shared" si="31"/>
        <v>7139.9839000000002</v>
      </c>
      <c r="P172">
        <f t="shared" ca="1" si="32"/>
        <v>7141</v>
      </c>
      <c r="Q172" t="str">
        <f t="shared" ca="1" si="33"/>
        <v>0001101111100101</v>
      </c>
      <c r="R172">
        <f t="shared" ca="1" si="34"/>
        <v>1.3389375000000001</v>
      </c>
      <c r="S172">
        <f t="shared" ca="1" si="35"/>
        <v>36.067250000000008</v>
      </c>
      <c r="T172" s="3">
        <f t="shared" ca="1" si="39"/>
        <v>2.5209459459459231E-2</v>
      </c>
      <c r="W172">
        <f t="shared" si="36"/>
        <v>35.998951852537353</v>
      </c>
      <c r="X172" s="5">
        <f t="shared" si="37"/>
        <v>2.7055355336828308E-2</v>
      </c>
    </row>
    <row r="173" spans="8:24" x14ac:dyDescent="0.25">
      <c r="H173">
        <v>37.1</v>
      </c>
      <c r="I173">
        <v>1.3401626573512815</v>
      </c>
      <c r="J173" s="10">
        <f t="shared" si="27"/>
        <v>-1.27E-4</v>
      </c>
      <c r="K173" s="17">
        <f t="shared" si="28"/>
        <v>8.6000000000000003E-5</v>
      </c>
      <c r="L173" s="10">
        <f t="shared" si="29"/>
        <v>3.7160000000000001E-3</v>
      </c>
      <c r="M173" s="11">
        <f t="shared" si="38"/>
        <v>1.3452887503475732</v>
      </c>
      <c r="N173" s="5">
        <f t="shared" si="30"/>
        <v>3.8249782354203431E-3</v>
      </c>
      <c r="O173">
        <f t="shared" si="31"/>
        <v>7177.2448000000004</v>
      </c>
      <c r="P173">
        <f t="shared" ca="1" si="32"/>
        <v>7177</v>
      </c>
      <c r="Q173" t="str">
        <f t="shared" ca="1" si="33"/>
        <v>0001110000001001</v>
      </c>
      <c r="R173">
        <f t="shared" ca="1" si="34"/>
        <v>1.3456874999999999</v>
      </c>
      <c r="S173">
        <f t="shared" ca="1" si="35"/>
        <v>36.148249999999997</v>
      </c>
      <c r="T173" s="3">
        <f t="shared" ca="1" si="39"/>
        <v>2.5653638814016281E-2</v>
      </c>
      <c r="W173">
        <f t="shared" si="36"/>
        <v>36.081951888215379</v>
      </c>
      <c r="X173" s="5">
        <f t="shared" si="37"/>
        <v>2.7440649913332147E-2</v>
      </c>
    </row>
    <row r="174" spans="8:24" x14ac:dyDescent="0.25">
      <c r="H174">
        <v>37.200000000000003</v>
      </c>
      <c r="I174">
        <v>1.3503569731845797</v>
      </c>
      <c r="J174" s="10">
        <f t="shared" si="27"/>
        <v>-1.26E-4</v>
      </c>
      <c r="K174" s="17">
        <f t="shared" si="28"/>
        <v>8.6000000000000003E-5</v>
      </c>
      <c r="L174" s="10">
        <f t="shared" si="29"/>
        <v>3.7460000000000002E-3</v>
      </c>
      <c r="M174" s="11">
        <f t="shared" si="38"/>
        <v>1.3555609043322083</v>
      </c>
      <c r="N174" s="5">
        <f t="shared" si="30"/>
        <v>3.8537447882066836E-3</v>
      </c>
      <c r="O174">
        <f t="shared" si="31"/>
        <v>7232.0478000000003</v>
      </c>
      <c r="P174">
        <f t="shared" ca="1" si="32"/>
        <v>7236</v>
      </c>
      <c r="Q174" t="str">
        <f t="shared" ca="1" si="33"/>
        <v>0001110001000100</v>
      </c>
      <c r="R174">
        <f t="shared" ca="1" si="34"/>
        <v>1.3567500000000001</v>
      </c>
      <c r="S174">
        <f t="shared" ca="1" si="35"/>
        <v>36.281000000000006</v>
      </c>
      <c r="T174" s="3">
        <f t="shared" ca="1" si="39"/>
        <v>2.4704301075268734E-2</v>
      </c>
      <c r="W174">
        <f t="shared" si="36"/>
        <v>36.204283678214964</v>
      </c>
      <c r="X174" s="5">
        <f t="shared" si="37"/>
        <v>2.6766567789920408E-2</v>
      </c>
    </row>
    <row r="175" spans="8:24" x14ac:dyDescent="0.25">
      <c r="H175">
        <v>37.299999999999997</v>
      </c>
      <c r="I175">
        <v>1.357328754301095</v>
      </c>
      <c r="J175" s="10">
        <f t="shared" si="27"/>
        <v>-1.26E-4</v>
      </c>
      <c r="K175" s="17">
        <f t="shared" si="28"/>
        <v>8.7000000000000001E-5</v>
      </c>
      <c r="L175" s="10">
        <f t="shared" si="29"/>
        <v>3.777E-3</v>
      </c>
      <c r="M175" s="11">
        <f t="shared" si="38"/>
        <v>1.3626012994089627</v>
      </c>
      <c r="N175" s="5">
        <f t="shared" si="30"/>
        <v>3.8845011506313913E-3</v>
      </c>
      <c r="O175">
        <f t="shared" si="31"/>
        <v>7269.6089000000002</v>
      </c>
      <c r="P175">
        <f t="shared" ca="1" si="32"/>
        <v>7270</v>
      </c>
      <c r="Q175" t="str">
        <f t="shared" ca="1" si="33"/>
        <v>0001110001100110</v>
      </c>
      <c r="R175">
        <f t="shared" ca="1" si="34"/>
        <v>1.3631249999999999</v>
      </c>
      <c r="S175">
        <f t="shared" ca="1" si="35"/>
        <v>36.357500000000002</v>
      </c>
      <c r="T175" s="3">
        <f t="shared" ca="1" si="39"/>
        <v>2.5268096514745188E-2</v>
      </c>
      <c r="W175">
        <f t="shared" si="36"/>
        <v>36.287945051613143</v>
      </c>
      <c r="X175" s="5">
        <f t="shared" si="37"/>
        <v>2.7132840439325859E-2</v>
      </c>
    </row>
    <row r="176" spans="8:24" x14ac:dyDescent="0.25">
      <c r="H176">
        <v>37.400000000000006</v>
      </c>
      <c r="I176">
        <v>1.3675695745803969</v>
      </c>
      <c r="J176" s="10">
        <f t="shared" si="27"/>
        <v>-1.25E-4</v>
      </c>
      <c r="K176" s="17">
        <f t="shared" si="28"/>
        <v>8.7000000000000001E-5</v>
      </c>
      <c r="L176" s="10">
        <f t="shared" si="29"/>
        <v>3.8070000000000001E-3</v>
      </c>
      <c r="M176" s="11">
        <f t="shared" si="38"/>
        <v>1.3729212859158786</v>
      </c>
      <c r="N176" s="5">
        <f t="shared" si="30"/>
        <v>3.9133009646867643E-3</v>
      </c>
      <c r="O176">
        <f t="shared" si="31"/>
        <v>7324.6670999999997</v>
      </c>
      <c r="P176">
        <f t="shared" ca="1" si="32"/>
        <v>7323</v>
      </c>
      <c r="Q176" t="str">
        <f t="shared" ca="1" si="33"/>
        <v>0001110010011011</v>
      </c>
      <c r="R176">
        <f t="shared" ca="1" si="34"/>
        <v>1.3730625000000001</v>
      </c>
      <c r="S176">
        <f t="shared" ca="1" si="35"/>
        <v>36.476750000000003</v>
      </c>
      <c r="T176" s="3">
        <f t="shared" ca="1" si="39"/>
        <v>2.4685828877005423E-2</v>
      </c>
      <c r="W176">
        <f t="shared" si="36"/>
        <v>36.410834894964765</v>
      </c>
      <c r="X176" s="5">
        <f t="shared" si="37"/>
        <v>2.6448264840514456E-2</v>
      </c>
    </row>
    <row r="177" spans="8:24" x14ac:dyDescent="0.25">
      <c r="H177">
        <v>37.5</v>
      </c>
      <c r="I177">
        <v>1.3762137857394463</v>
      </c>
      <c r="J177" s="10">
        <f t="shared" si="27"/>
        <v>-1.2400000000000001E-4</v>
      </c>
      <c r="K177" s="17">
        <f t="shared" si="28"/>
        <v>8.7999999999999998E-5</v>
      </c>
      <c r="L177" s="10">
        <f t="shared" si="29"/>
        <v>3.8379999999999998E-3</v>
      </c>
      <c r="M177" s="11">
        <f t="shared" si="38"/>
        <v>1.3816405220631247</v>
      </c>
      <c r="N177" s="5">
        <f t="shared" si="30"/>
        <v>3.9432364214856295E-3</v>
      </c>
      <c r="O177">
        <f t="shared" si="31"/>
        <v>7371.1850000000004</v>
      </c>
      <c r="P177">
        <f t="shared" ca="1" si="32"/>
        <v>7369</v>
      </c>
      <c r="Q177" t="str">
        <f t="shared" ca="1" si="33"/>
        <v>0001110011001001</v>
      </c>
      <c r="R177">
        <f t="shared" ca="1" si="34"/>
        <v>1.3816875</v>
      </c>
      <c r="S177">
        <f t="shared" ca="1" si="35"/>
        <v>36.580250000000007</v>
      </c>
      <c r="T177" s="3">
        <f t="shared" ca="1" si="39"/>
        <v>2.4526666666666492E-2</v>
      </c>
      <c r="W177">
        <f t="shared" si="36"/>
        <v>36.514565428873354</v>
      </c>
      <c r="X177" s="5">
        <f t="shared" si="37"/>
        <v>2.6278255230043897E-2</v>
      </c>
    </row>
    <row r="178" spans="8:24" x14ac:dyDescent="0.25">
      <c r="H178">
        <v>37.6</v>
      </c>
      <c r="I178">
        <v>1.3840754131709712</v>
      </c>
      <c r="J178" s="10">
        <f t="shared" si="27"/>
        <v>-1.2400000000000001E-4</v>
      </c>
      <c r="K178" s="17">
        <f t="shared" si="28"/>
        <v>8.7999999999999998E-5</v>
      </c>
      <c r="L178" s="10">
        <f t="shared" si="29"/>
        <v>3.8679999999999999E-3</v>
      </c>
      <c r="M178" s="11">
        <f t="shared" si="38"/>
        <v>1.3895742865111964</v>
      </c>
      <c r="N178" s="5">
        <f t="shared" si="30"/>
        <v>3.9729578951389049E-3</v>
      </c>
      <c r="O178">
        <f t="shared" si="31"/>
        <v>7413.5123999999996</v>
      </c>
      <c r="P178">
        <f t="shared" ca="1" si="32"/>
        <v>7414</v>
      </c>
      <c r="Q178" t="str">
        <f t="shared" ca="1" si="33"/>
        <v>0001110011110110</v>
      </c>
      <c r="R178">
        <f t="shared" ca="1" si="34"/>
        <v>1.3901250000000001</v>
      </c>
      <c r="S178">
        <f t="shared" ca="1" si="35"/>
        <v>36.681500000000007</v>
      </c>
      <c r="T178" s="3">
        <f t="shared" ca="1" si="39"/>
        <v>2.4428191489361557E-2</v>
      </c>
      <c r="W178">
        <f t="shared" si="36"/>
        <v>36.60890495805166</v>
      </c>
      <c r="X178" s="5">
        <f t="shared" si="37"/>
        <v>2.6358910690115461E-2</v>
      </c>
    </row>
    <row r="179" spans="8:24" x14ac:dyDescent="0.25">
      <c r="H179">
        <v>37.700000000000003</v>
      </c>
      <c r="I179">
        <v>1.3935776349060334</v>
      </c>
      <c r="J179" s="10">
        <f t="shared" si="27"/>
        <v>-1.2300000000000001E-4</v>
      </c>
      <c r="K179" s="17">
        <f t="shared" si="28"/>
        <v>8.8999999999999995E-5</v>
      </c>
      <c r="L179" s="10">
        <f t="shared" si="29"/>
        <v>3.8990000000000001E-3</v>
      </c>
      <c r="M179" s="11">
        <f t="shared" si="38"/>
        <v>1.3991559439314221</v>
      </c>
      <c r="N179" s="5">
        <f t="shared" si="30"/>
        <v>4.0028692235469397E-3</v>
      </c>
      <c r="O179">
        <f t="shared" si="31"/>
        <v>7464.6315000000004</v>
      </c>
      <c r="P179">
        <f t="shared" ca="1" si="32"/>
        <v>7465</v>
      </c>
      <c r="Q179" t="str">
        <f t="shared" ca="1" si="33"/>
        <v>0001110100101001</v>
      </c>
      <c r="R179">
        <f t="shared" ca="1" si="34"/>
        <v>1.3996875</v>
      </c>
      <c r="S179">
        <f t="shared" ca="1" si="35"/>
        <v>36.796250000000001</v>
      </c>
      <c r="T179" s="3">
        <f t="shared" ca="1" si="39"/>
        <v>2.3972148541114117E-2</v>
      </c>
      <c r="W179">
        <f t="shared" si="36"/>
        <v>36.722931618872401</v>
      </c>
      <c r="X179" s="5">
        <f t="shared" si="37"/>
        <v>2.5916933186408527E-2</v>
      </c>
    </row>
    <row r="180" spans="8:24" x14ac:dyDescent="0.25">
      <c r="H180">
        <v>37.799999999999997</v>
      </c>
      <c r="I180">
        <v>1.4031027448780493</v>
      </c>
      <c r="J180" s="10">
        <f t="shared" si="27"/>
        <v>-1.2300000000000001E-4</v>
      </c>
      <c r="K180" s="17">
        <f t="shared" si="28"/>
        <v>8.8999999999999995E-5</v>
      </c>
      <c r="L180" s="10">
        <f t="shared" si="29"/>
        <v>3.9290000000000002E-3</v>
      </c>
      <c r="M180" s="11">
        <f t="shared" si="38"/>
        <v>1.408760765927378</v>
      </c>
      <c r="N180" s="5">
        <f t="shared" si="30"/>
        <v>4.0325065787113349E-3</v>
      </c>
      <c r="O180">
        <f t="shared" si="31"/>
        <v>7515.8741</v>
      </c>
      <c r="P180">
        <f t="shared" ca="1" si="32"/>
        <v>7516</v>
      </c>
      <c r="Q180" t="str">
        <f t="shared" ca="1" si="33"/>
        <v>0001110101011100</v>
      </c>
      <c r="R180">
        <f t="shared" ca="1" si="34"/>
        <v>1.4092500000000001</v>
      </c>
      <c r="S180">
        <f t="shared" ca="1" si="35"/>
        <v>36.911000000000008</v>
      </c>
      <c r="T180" s="3">
        <f t="shared" ca="1" si="39"/>
        <v>2.351851851851822E-2</v>
      </c>
      <c r="W180">
        <f t="shared" si="36"/>
        <v>36.837232938536594</v>
      </c>
      <c r="X180" s="5">
        <f t="shared" si="37"/>
        <v>2.5470028081042404E-2</v>
      </c>
    </row>
    <row r="181" spans="8:24" x14ac:dyDescent="0.25">
      <c r="H181">
        <v>37.900000000000006</v>
      </c>
      <c r="I181">
        <v>1.4110415210617007</v>
      </c>
      <c r="J181" s="10">
        <f t="shared" si="27"/>
        <v>-1.22E-4</v>
      </c>
      <c r="K181" s="17">
        <f t="shared" si="28"/>
        <v>9.0000000000000006E-5</v>
      </c>
      <c r="L181" s="10">
        <f t="shared" si="29"/>
        <v>3.96E-3</v>
      </c>
      <c r="M181" s="11">
        <f t="shared" si="38"/>
        <v>1.4167739458874147</v>
      </c>
      <c r="N181" s="5">
        <f t="shared" si="30"/>
        <v>4.0625486494549074E-3</v>
      </c>
      <c r="O181">
        <f t="shared" si="31"/>
        <v>7558.6252000000004</v>
      </c>
      <c r="P181">
        <f t="shared" ca="1" si="32"/>
        <v>7560</v>
      </c>
      <c r="Q181" t="str">
        <f t="shared" ca="1" si="33"/>
        <v>0001110110001000</v>
      </c>
      <c r="R181">
        <f t="shared" ca="1" si="34"/>
        <v>1.4175</v>
      </c>
      <c r="S181">
        <f t="shared" ca="1" si="35"/>
        <v>37.01</v>
      </c>
      <c r="T181" s="3">
        <f t="shared" ca="1" si="39"/>
        <v>2.3482849604221836E-2</v>
      </c>
      <c r="W181">
        <f t="shared" si="36"/>
        <v>36.932498252740409</v>
      </c>
      <c r="X181" s="5">
        <f t="shared" si="37"/>
        <v>2.5527750587324451E-2</v>
      </c>
    </row>
    <row r="182" spans="8:24" x14ac:dyDescent="0.25">
      <c r="H182">
        <v>38</v>
      </c>
      <c r="I182">
        <v>1.4206142829235711</v>
      </c>
      <c r="J182" s="10">
        <f t="shared" si="27"/>
        <v>-1.22E-4</v>
      </c>
      <c r="K182" s="17">
        <f t="shared" si="28"/>
        <v>9.0000000000000006E-5</v>
      </c>
      <c r="L182" s="10">
        <f t="shared" si="29"/>
        <v>3.9899999999999996E-3</v>
      </c>
      <c r="M182" s="11">
        <f t="shared" si="38"/>
        <v>1.4264277295645336</v>
      </c>
      <c r="N182" s="5">
        <f t="shared" si="30"/>
        <v>4.0922062454550644E-3</v>
      </c>
      <c r="O182">
        <f t="shared" si="31"/>
        <v>7610.1291000000001</v>
      </c>
      <c r="P182">
        <f t="shared" ca="1" si="32"/>
        <v>7608</v>
      </c>
      <c r="Q182" t="str">
        <f t="shared" ca="1" si="33"/>
        <v>0001110110111000</v>
      </c>
      <c r="R182">
        <f t="shared" ca="1" si="34"/>
        <v>1.4265000000000001</v>
      </c>
      <c r="S182">
        <f t="shared" ca="1" si="35"/>
        <v>37.118000000000002</v>
      </c>
      <c r="T182" s="3">
        <f t="shared" ca="1" si="39"/>
        <v>2.3210526315789418E-2</v>
      </c>
      <c r="W182">
        <f t="shared" si="36"/>
        <v>37.047371395082855</v>
      </c>
      <c r="X182" s="5">
        <f t="shared" si="37"/>
        <v>2.5069173813609069E-2</v>
      </c>
    </row>
    <row r="183" spans="8:24" x14ac:dyDescent="0.25">
      <c r="H183">
        <v>38.1</v>
      </c>
      <c r="I183">
        <v>1.4286048004762348</v>
      </c>
      <c r="J183" s="10">
        <f t="shared" si="27"/>
        <v>-1.21E-4</v>
      </c>
      <c r="K183" s="17">
        <f t="shared" si="28"/>
        <v>9.1000000000000003E-5</v>
      </c>
      <c r="L183" s="10">
        <f t="shared" si="29"/>
        <v>4.0210000000000003E-3</v>
      </c>
      <c r="M183" s="11">
        <f t="shared" si="38"/>
        <v>1.4344939004499442</v>
      </c>
      <c r="N183" s="5">
        <f t="shared" si="30"/>
        <v>4.1222736839090657E-3</v>
      </c>
      <c r="O183">
        <f t="shared" si="31"/>
        <v>7653.1629000000003</v>
      </c>
      <c r="P183">
        <f t="shared" ca="1" si="32"/>
        <v>7655</v>
      </c>
      <c r="Q183" t="str">
        <f t="shared" ca="1" si="33"/>
        <v>0001110111100111</v>
      </c>
      <c r="R183">
        <f t="shared" ca="1" si="34"/>
        <v>1.4353125</v>
      </c>
      <c r="S183">
        <f t="shared" ca="1" si="35"/>
        <v>37.223750000000003</v>
      </c>
      <c r="T183" s="3">
        <f t="shared" ca="1" si="39"/>
        <v>2.2998687664041964E-2</v>
      </c>
      <c r="W183">
        <f t="shared" si="36"/>
        <v>37.143257605714822</v>
      </c>
      <c r="X183" s="5">
        <f t="shared" si="37"/>
        <v>2.5111348931369525E-2</v>
      </c>
    </row>
    <row r="184" spans="8:24" x14ac:dyDescent="0.25">
      <c r="H184">
        <v>38.200000000000003</v>
      </c>
      <c r="I184">
        <v>1.4382248859772346</v>
      </c>
      <c r="J184" s="10">
        <f t="shared" si="27"/>
        <v>-1.2E-4</v>
      </c>
      <c r="K184" s="17">
        <f t="shared" si="28"/>
        <v>9.1000000000000003E-5</v>
      </c>
      <c r="L184" s="10">
        <f t="shared" si="29"/>
        <v>4.0509999999999999E-3</v>
      </c>
      <c r="M184" s="11">
        <f t="shared" si="38"/>
        <v>1.444195321223511</v>
      </c>
      <c r="N184" s="5">
        <f t="shared" si="30"/>
        <v>4.1512529121755784E-3</v>
      </c>
      <c r="O184">
        <f t="shared" si="31"/>
        <v>7704.9209000000001</v>
      </c>
      <c r="P184">
        <f t="shared" ca="1" si="32"/>
        <v>7707</v>
      </c>
      <c r="Q184" t="str">
        <f t="shared" ca="1" si="33"/>
        <v>0001111000011011</v>
      </c>
      <c r="R184">
        <f t="shared" ca="1" si="34"/>
        <v>1.4450625000000001</v>
      </c>
      <c r="S184">
        <f t="shared" ca="1" si="35"/>
        <v>37.34075</v>
      </c>
      <c r="T184" s="3">
        <f t="shared" ca="1" si="39"/>
        <v>2.2493455497382273E-2</v>
      </c>
      <c r="W184">
        <f t="shared" si="36"/>
        <v>37.258698631726823</v>
      </c>
      <c r="X184" s="5">
        <f t="shared" si="37"/>
        <v>2.4641397075214136E-2</v>
      </c>
    </row>
    <row r="185" spans="8:24" x14ac:dyDescent="0.25">
      <c r="H185">
        <v>38.299999999999997</v>
      </c>
      <c r="I185">
        <v>1.4470671329489737</v>
      </c>
      <c r="J185" s="10">
        <f t="shared" si="27"/>
        <v>-1.2E-4</v>
      </c>
      <c r="K185" s="17">
        <f t="shared" si="28"/>
        <v>9.2E-5</v>
      </c>
      <c r="L185" s="10">
        <f t="shared" si="29"/>
        <v>4.0819999999999997E-3</v>
      </c>
      <c r="M185" s="11">
        <f t="shared" si="38"/>
        <v>1.4531187637425709</v>
      </c>
      <c r="N185" s="5">
        <f t="shared" si="30"/>
        <v>4.1819972659212865E-3</v>
      </c>
      <c r="O185">
        <f t="shared" si="31"/>
        <v>7752.5282999999999</v>
      </c>
      <c r="P185">
        <f t="shared" ca="1" si="32"/>
        <v>7755</v>
      </c>
      <c r="Q185" t="str">
        <f t="shared" ca="1" si="33"/>
        <v>0001111001001011</v>
      </c>
      <c r="R185">
        <f t="shared" ca="1" si="34"/>
        <v>1.4540625</v>
      </c>
      <c r="S185">
        <f t="shared" ca="1" si="35"/>
        <v>37.448750000000004</v>
      </c>
      <c r="T185" s="3">
        <f t="shared" ca="1" si="39"/>
        <v>2.2225848563968493E-2</v>
      </c>
      <c r="W185">
        <f t="shared" si="36"/>
        <v>37.364805595387686</v>
      </c>
      <c r="X185" s="5">
        <f t="shared" si="37"/>
        <v>2.4417608475517258E-2</v>
      </c>
    </row>
    <row r="186" spans="8:24" x14ac:dyDescent="0.25">
      <c r="H186">
        <v>38.400000000000006</v>
      </c>
      <c r="I186">
        <v>1.4551346574705735</v>
      </c>
      <c r="J186" s="10">
        <f t="shared" si="27"/>
        <v>-1.1900000000000001E-4</v>
      </c>
      <c r="K186" s="17">
        <f t="shared" si="28"/>
        <v>9.2E-5</v>
      </c>
      <c r="L186" s="10">
        <f t="shared" si="29"/>
        <v>4.1120000000000002E-3</v>
      </c>
      <c r="M186" s="11">
        <f t="shared" si="38"/>
        <v>1.4612623683291428</v>
      </c>
      <c r="N186" s="5">
        <f t="shared" si="30"/>
        <v>4.2110953973297505E-3</v>
      </c>
      <c r="O186">
        <f t="shared" si="31"/>
        <v>7795.9751999999999</v>
      </c>
      <c r="P186">
        <f t="shared" ca="1" si="32"/>
        <v>7799</v>
      </c>
      <c r="Q186" t="str">
        <f t="shared" ca="1" si="33"/>
        <v>0001111001110111</v>
      </c>
      <c r="R186">
        <f t="shared" ca="1" si="34"/>
        <v>1.4623125000000001</v>
      </c>
      <c r="S186">
        <f t="shared" ca="1" si="35"/>
        <v>37.547750000000008</v>
      </c>
      <c r="T186" s="3">
        <f t="shared" ca="1" si="39"/>
        <v>2.2194010416666611E-2</v>
      </c>
      <c r="W186">
        <f t="shared" si="36"/>
        <v>37.461615889646886</v>
      </c>
      <c r="X186" s="5">
        <f t="shared" si="37"/>
        <v>2.4437086207112487E-2</v>
      </c>
    </row>
    <row r="187" spans="8:24" x14ac:dyDescent="0.25">
      <c r="H187">
        <v>38.5</v>
      </c>
      <c r="I187">
        <v>1.4648251053475787</v>
      </c>
      <c r="J187" s="10">
        <f t="shared" si="27"/>
        <v>-1.1900000000000001E-4</v>
      </c>
      <c r="K187" s="17">
        <f t="shared" si="28"/>
        <v>9.2999999999999997E-5</v>
      </c>
      <c r="L187" s="10">
        <f t="shared" si="29"/>
        <v>4.143E-3</v>
      </c>
      <c r="M187" s="11">
        <f t="shared" si="38"/>
        <v>1.4710386183433752</v>
      </c>
      <c r="N187" s="5">
        <f t="shared" si="30"/>
        <v>4.2418121952669356E-3</v>
      </c>
      <c r="O187">
        <f t="shared" si="31"/>
        <v>7848.1324999999997</v>
      </c>
      <c r="P187">
        <f t="shared" ca="1" si="32"/>
        <v>7849</v>
      </c>
      <c r="Q187" t="str">
        <f t="shared" ca="1" si="33"/>
        <v>0001111010101001</v>
      </c>
      <c r="R187">
        <f t="shared" ca="1" si="34"/>
        <v>1.4716875</v>
      </c>
      <c r="S187">
        <f t="shared" ca="1" si="35"/>
        <v>37.660250000000005</v>
      </c>
      <c r="T187" s="3">
        <f t="shared" ca="1" si="39"/>
        <v>2.1811688311688185E-2</v>
      </c>
      <c r="W187">
        <f t="shared" si="36"/>
        <v>37.577901264170947</v>
      </c>
      <c r="X187" s="5">
        <f t="shared" si="37"/>
        <v>2.3950616515040334E-2</v>
      </c>
    </row>
    <row r="188" spans="8:24" x14ac:dyDescent="0.25">
      <c r="H188">
        <v>38.6</v>
      </c>
      <c r="I188">
        <v>1.4729435584448747</v>
      </c>
      <c r="J188" s="10">
        <f t="shared" si="27"/>
        <v>-1.18E-4</v>
      </c>
      <c r="K188" s="17">
        <f t="shared" si="28"/>
        <v>9.2999999999999997E-5</v>
      </c>
      <c r="L188" s="10">
        <f t="shared" si="29"/>
        <v>4.1729999999999996E-3</v>
      </c>
      <c r="M188" s="11">
        <f t="shared" si="38"/>
        <v>1.479234403611144</v>
      </c>
      <c r="N188" s="5">
        <f t="shared" si="30"/>
        <v>4.2709343003686845E-3</v>
      </c>
      <c r="O188">
        <f t="shared" si="31"/>
        <v>7891.8577999999998</v>
      </c>
      <c r="P188">
        <f t="shared" ca="1" si="32"/>
        <v>7889</v>
      </c>
      <c r="Q188" t="str">
        <f t="shared" ca="1" si="33"/>
        <v>0001111011010001</v>
      </c>
      <c r="R188">
        <f t="shared" ca="1" si="34"/>
        <v>1.4791875000000001</v>
      </c>
      <c r="S188">
        <f t="shared" ca="1" si="35"/>
        <v>37.750250000000008</v>
      </c>
      <c r="T188" s="3">
        <f t="shared" ca="1" si="39"/>
        <v>2.2014248704663033E-2</v>
      </c>
      <c r="W188">
        <f t="shared" si="36"/>
        <v>37.675322701338494</v>
      </c>
      <c r="X188" s="5">
        <f t="shared" si="37"/>
        <v>2.3955370431645258E-2</v>
      </c>
    </row>
    <row r="189" spans="8:24" x14ac:dyDescent="0.25">
      <c r="H189">
        <v>38.700000000000003</v>
      </c>
      <c r="I189">
        <v>1.4810884226746759</v>
      </c>
      <c r="J189" s="10">
        <f t="shared" si="27"/>
        <v>-1.17E-4</v>
      </c>
      <c r="K189" s="17">
        <f t="shared" si="28"/>
        <v>9.3999999999999994E-5</v>
      </c>
      <c r="L189" s="10">
        <f t="shared" si="29"/>
        <v>4.2040000000000003E-3</v>
      </c>
      <c r="M189" s="11">
        <f t="shared" si="38"/>
        <v>1.487458699045463</v>
      </c>
      <c r="N189" s="5">
        <f t="shared" si="30"/>
        <v>4.3010776893948992E-3</v>
      </c>
      <c r="O189">
        <f t="shared" si="31"/>
        <v>7935.7352000000001</v>
      </c>
      <c r="P189">
        <f t="shared" ca="1" si="32"/>
        <v>7938</v>
      </c>
      <c r="Q189" t="str">
        <f t="shared" ca="1" si="33"/>
        <v>0001111100000010</v>
      </c>
      <c r="R189">
        <f t="shared" ca="1" si="34"/>
        <v>1.488375</v>
      </c>
      <c r="S189">
        <f t="shared" ca="1" si="35"/>
        <v>37.860500000000002</v>
      </c>
      <c r="T189" s="3">
        <f t="shared" ca="1" si="39"/>
        <v>2.1692506459948344E-2</v>
      </c>
      <c r="W189">
        <f t="shared" si="36"/>
        <v>37.773061072096112</v>
      </c>
      <c r="X189" s="5">
        <f t="shared" si="37"/>
        <v>2.3951910281754273E-2</v>
      </c>
    </row>
    <row r="190" spans="8:24" x14ac:dyDescent="0.25">
      <c r="H190">
        <v>38.799999999999997</v>
      </c>
      <c r="I190">
        <v>1.4908495457724884</v>
      </c>
      <c r="J190" s="10">
        <f t="shared" si="27"/>
        <v>-1.17E-4</v>
      </c>
      <c r="K190" s="17">
        <f t="shared" si="28"/>
        <v>9.3999999999999994E-5</v>
      </c>
      <c r="L190" s="10">
        <f t="shared" si="29"/>
        <v>4.2339999999999999E-3</v>
      </c>
      <c r="M190" s="11">
        <f t="shared" si="38"/>
        <v>1.4973061399691174</v>
      </c>
      <c r="N190" s="5">
        <f t="shared" si="30"/>
        <v>4.3308154165774817E-3</v>
      </c>
      <c r="O190">
        <f t="shared" si="31"/>
        <v>7988.2722000000003</v>
      </c>
      <c r="P190">
        <f t="shared" ca="1" si="32"/>
        <v>7992</v>
      </c>
      <c r="Q190" t="str">
        <f t="shared" ca="1" si="33"/>
        <v>0001111100111000</v>
      </c>
      <c r="R190">
        <f t="shared" ca="1" si="34"/>
        <v>1.4984999999999999</v>
      </c>
      <c r="S190">
        <f t="shared" ca="1" si="35"/>
        <v>37.982000000000006</v>
      </c>
      <c r="T190" s="3">
        <f t="shared" ca="1" si="39"/>
        <v>2.1082474226803885E-2</v>
      </c>
      <c r="W190">
        <f t="shared" si="36"/>
        <v>37.890194549269864</v>
      </c>
      <c r="X190" s="5">
        <f t="shared" si="37"/>
        <v>2.3448594090982804E-2</v>
      </c>
    </row>
    <row r="191" spans="8:24" x14ac:dyDescent="0.25">
      <c r="H191">
        <v>38.900000000000006</v>
      </c>
      <c r="I191">
        <v>1.4990448423938032</v>
      </c>
      <c r="J191" s="10">
        <f t="shared" si="27"/>
        <v>-1.16E-4</v>
      </c>
      <c r="K191" s="17">
        <f t="shared" si="28"/>
        <v>9.5000000000000005E-5</v>
      </c>
      <c r="L191" s="10">
        <f t="shared" si="29"/>
        <v>4.2649999999999997E-3</v>
      </c>
      <c r="M191" s="11">
        <f t="shared" si="38"/>
        <v>1.505582150264682</v>
      </c>
      <c r="N191" s="5">
        <f t="shared" si="30"/>
        <v>4.3609821974634677E-3</v>
      </c>
      <c r="O191">
        <f t="shared" si="31"/>
        <v>8032.4255000000003</v>
      </c>
      <c r="P191">
        <f t="shared" ca="1" si="32"/>
        <v>8032</v>
      </c>
      <c r="Q191" t="str">
        <f t="shared" ca="1" si="33"/>
        <v>0001111101100000</v>
      </c>
      <c r="R191">
        <f t="shared" ca="1" si="34"/>
        <v>1.506</v>
      </c>
      <c r="S191">
        <f t="shared" ca="1" si="35"/>
        <v>38.072000000000003</v>
      </c>
      <c r="T191" s="3">
        <f t="shared" ca="1" si="39"/>
        <v>2.1285347043701872E-2</v>
      </c>
      <c r="W191">
        <f t="shared" si="36"/>
        <v>37.988538108725642</v>
      </c>
      <c r="X191" s="5">
        <f t="shared" si="37"/>
        <v>2.3430896947927084E-2</v>
      </c>
    </row>
    <row r="192" spans="8:24" x14ac:dyDescent="0.25">
      <c r="H192">
        <v>39</v>
      </c>
      <c r="I192">
        <v>1.5088519451708406</v>
      </c>
      <c r="J192" s="10">
        <f t="shared" si="27"/>
        <v>-1.16E-4</v>
      </c>
      <c r="K192" s="17">
        <f t="shared" si="28"/>
        <v>9.5000000000000005E-5</v>
      </c>
      <c r="L192" s="10">
        <f t="shared" si="29"/>
        <v>4.2950000000000002E-3</v>
      </c>
      <c r="M192" s="11">
        <f t="shared" si="38"/>
        <v>1.5154769185359527</v>
      </c>
      <c r="N192" s="5">
        <f t="shared" si="30"/>
        <v>4.3907378628603045E-3</v>
      </c>
      <c r="O192">
        <f t="shared" si="31"/>
        <v>8085.2151000000003</v>
      </c>
      <c r="P192">
        <f t="shared" ca="1" si="32"/>
        <v>8086</v>
      </c>
      <c r="Q192" t="str">
        <f t="shared" ca="1" si="33"/>
        <v>0001111110010110</v>
      </c>
      <c r="R192">
        <f t="shared" ca="1" si="34"/>
        <v>1.5161249999999999</v>
      </c>
      <c r="S192">
        <f t="shared" ca="1" si="35"/>
        <v>38.1935</v>
      </c>
      <c r="T192" s="3">
        <f t="shared" ca="1" si="39"/>
        <v>2.0679487179487175E-2</v>
      </c>
      <c r="W192">
        <f t="shared" si="36"/>
        <v>38.106223342050086</v>
      </c>
      <c r="X192" s="5">
        <f t="shared" si="37"/>
        <v>2.2917350203843948E-2</v>
      </c>
    </row>
    <row r="193" spans="8:24" x14ac:dyDescent="0.25">
      <c r="H193">
        <v>39.1</v>
      </c>
      <c r="I193">
        <v>1.517097337650968</v>
      </c>
      <c r="J193" s="10">
        <f t="shared" si="27"/>
        <v>-1.15E-4</v>
      </c>
      <c r="K193" s="17">
        <f t="shared" si="28"/>
        <v>9.6000000000000002E-5</v>
      </c>
      <c r="L193" s="10">
        <f t="shared" si="29"/>
        <v>4.326E-3</v>
      </c>
      <c r="M193" s="11">
        <f t="shared" si="38"/>
        <v>1.5238043151181693</v>
      </c>
      <c r="N193" s="5">
        <f t="shared" si="30"/>
        <v>4.4209275837146884E-3</v>
      </c>
      <c r="O193">
        <f t="shared" si="31"/>
        <v>8129.6424999999999</v>
      </c>
      <c r="P193">
        <f t="shared" ca="1" si="32"/>
        <v>8128</v>
      </c>
      <c r="Q193" t="str">
        <f t="shared" ca="1" si="33"/>
        <v>0001111111000000</v>
      </c>
      <c r="R193">
        <f t="shared" ca="1" si="34"/>
        <v>1.524</v>
      </c>
      <c r="S193">
        <f t="shared" ca="1" si="35"/>
        <v>38.288000000000004</v>
      </c>
      <c r="T193" s="3">
        <f t="shared" ca="1" si="39"/>
        <v>2.0767263427109911E-2</v>
      </c>
      <c r="W193">
        <f t="shared" si="36"/>
        <v>38.205168051811619</v>
      </c>
      <c r="X193" s="5">
        <f t="shared" si="37"/>
        <v>2.2885727575150457E-2</v>
      </c>
    </row>
    <row r="194" spans="8:24" x14ac:dyDescent="0.25">
      <c r="H194">
        <v>39.200000000000003</v>
      </c>
      <c r="I194">
        <v>1.526950075523799</v>
      </c>
      <c r="J194" s="10">
        <f t="shared" si="27"/>
        <v>-1.15E-4</v>
      </c>
      <c r="K194" s="17">
        <f t="shared" si="28"/>
        <v>9.6000000000000002E-5</v>
      </c>
      <c r="L194" s="10">
        <f t="shared" si="29"/>
        <v>4.3559999999999996E-3</v>
      </c>
      <c r="M194" s="11">
        <f t="shared" si="38"/>
        <v>1.5337460734196149</v>
      </c>
      <c r="N194" s="5">
        <f t="shared" si="30"/>
        <v>4.4507007823976113E-3</v>
      </c>
      <c r="O194">
        <f t="shared" si="31"/>
        <v>8182.6827999999996</v>
      </c>
      <c r="P194">
        <f t="shared" ca="1" si="32"/>
        <v>8181</v>
      </c>
      <c r="Q194" t="str">
        <f t="shared" ca="1" si="33"/>
        <v>0001111111110101</v>
      </c>
      <c r="R194">
        <f t="shared" ca="1" si="34"/>
        <v>1.5339375</v>
      </c>
      <c r="S194">
        <f t="shared" ca="1" si="35"/>
        <v>38.407249999999998</v>
      </c>
      <c r="T194" s="3">
        <f t="shared" ca="1" si="39"/>
        <v>2.0223214285714417E-2</v>
      </c>
      <c r="W194">
        <f t="shared" si="36"/>
        <v>38.323400906285592</v>
      </c>
      <c r="X194" s="5">
        <f t="shared" si="37"/>
        <v>2.2362221778428851E-2</v>
      </c>
    </row>
    <row r="195" spans="8:24" x14ac:dyDescent="0.25">
      <c r="H195">
        <v>39.299999999999997</v>
      </c>
      <c r="I195">
        <v>1.5352452248100386</v>
      </c>
      <c r="J195" s="10">
        <f t="shared" ref="J195:J258" si="40">ROUND(H195*0.00000575 -0.00034,6)</f>
        <v>-1.1400000000000001E-4</v>
      </c>
      <c r="K195" s="17">
        <f t="shared" ref="K195:K258" si="41">ROUND(H195*0.000005-0.0001,6)</f>
        <v>9.7E-5</v>
      </c>
      <c r="L195" s="10">
        <f t="shared" ref="L195:L258" si="42">ROUND(K195+($C$24*(H195-25)),6)</f>
        <v>4.3870000000000003E-3</v>
      </c>
      <c r="M195" s="11">
        <f t="shared" si="38"/>
        <v>1.5421245251016595</v>
      </c>
      <c r="N195" s="5">
        <f t="shared" ref="N195:N258" si="43">ABS(I195-M195)/I195</f>
        <v>4.4809130036357432E-3</v>
      </c>
      <c r="O195">
        <f t="shared" ref="O195:O258" si="44">ROUND((M195*(2^($C$12-1)))/$C$44,4)</f>
        <v>8227.3826000000008</v>
      </c>
      <c r="P195">
        <f t="shared" ref="P195:P258" ca="1" si="45">ROUND(O195+$C$47+$C$49+RANDBETWEEN($B$45,$D$45),0)</f>
        <v>8229</v>
      </c>
      <c r="Q195" t="str">
        <f t="shared" ref="Q195:Q258" ca="1" si="46">_xlfn.BASE(P195,2,16)</f>
        <v>0010000000100101</v>
      </c>
      <c r="R195">
        <f t="shared" ref="R195:R258" ca="1" si="47">($C$16/2^($C$12-1)) * P195</f>
        <v>1.5429375000000001</v>
      </c>
      <c r="S195">
        <f t="shared" ref="S195:S258" ca="1" si="48">(R195+5/3)/(1/12)</f>
        <v>38.515250000000002</v>
      </c>
      <c r="T195" s="3">
        <f t="shared" ca="1" si="39"/>
        <v>1.9968193384223804E-2</v>
      </c>
      <c r="W195">
        <f t="shared" ref="W195:W258" si="49">(I195+5/3)/(1/12)</f>
        <v>38.422942697720465</v>
      </c>
      <c r="X195" s="5">
        <f t="shared" ref="X195:X258" si="50">ABS(H195-W195)/H195</f>
        <v>2.2316979701769258E-2</v>
      </c>
    </row>
    <row r="196" spans="8:24" x14ac:dyDescent="0.25">
      <c r="H196">
        <v>39.400000000000006</v>
      </c>
      <c r="I196">
        <v>1.5435662003721693</v>
      </c>
      <c r="J196" s="10">
        <f t="shared" si="40"/>
        <v>-1.13E-4</v>
      </c>
      <c r="K196" s="17">
        <f t="shared" si="41"/>
        <v>9.7E-5</v>
      </c>
      <c r="L196" s="10">
        <f t="shared" si="42"/>
        <v>4.4169999999999999E-3</v>
      </c>
      <c r="M196" s="11">
        <f t="shared" ref="M196:M259" si="51">(I196-J196)/(1-L196)</f>
        <v>1.5505278820270829</v>
      </c>
      <c r="N196" s="5">
        <f t="shared" si="43"/>
        <v>4.5101283334884439E-3</v>
      </c>
      <c r="O196">
        <f t="shared" si="44"/>
        <v>8272.2152999999998</v>
      </c>
      <c r="P196">
        <f t="shared" ca="1" si="45"/>
        <v>8271</v>
      </c>
      <c r="Q196" t="str">
        <f t="shared" ca="1" si="46"/>
        <v>0010000001001111</v>
      </c>
      <c r="R196">
        <f t="shared" ca="1" si="47"/>
        <v>1.5508124999999999</v>
      </c>
      <c r="S196">
        <f t="shared" ca="1" si="48"/>
        <v>38.609750000000005</v>
      </c>
      <c r="T196" s="3">
        <f t="shared" ref="T196:T259" ca="1" si="52">ABS(H196-S196)/H196</f>
        <v>2.0057106598984777E-2</v>
      </c>
      <c r="W196">
        <f t="shared" si="49"/>
        <v>38.522794404466033</v>
      </c>
      <c r="X196" s="5">
        <f t="shared" si="50"/>
        <v>2.2264101409491682E-2</v>
      </c>
    </row>
    <row r="197" spans="8:24" x14ac:dyDescent="0.25">
      <c r="H197">
        <v>39.5</v>
      </c>
      <c r="I197">
        <v>1.553487812561277</v>
      </c>
      <c r="J197" s="10">
        <f t="shared" si="40"/>
        <v>-1.13E-4</v>
      </c>
      <c r="K197" s="17">
        <f t="shared" si="41"/>
        <v>9.7999999999999997E-5</v>
      </c>
      <c r="L197" s="10">
        <f t="shared" si="42"/>
        <v>4.4479999999999997E-3</v>
      </c>
      <c r="M197" s="11">
        <f t="shared" si="51"/>
        <v>1.5605421038391536</v>
      </c>
      <c r="N197" s="5">
        <f t="shared" si="43"/>
        <v>4.5409376377700712E-3</v>
      </c>
      <c r="O197">
        <f t="shared" si="44"/>
        <v>8325.6422000000002</v>
      </c>
      <c r="P197">
        <f t="shared" ca="1" si="45"/>
        <v>8325</v>
      </c>
      <c r="Q197" t="str">
        <f t="shared" ca="1" si="46"/>
        <v>0010000010000101</v>
      </c>
      <c r="R197">
        <f t="shared" ca="1" si="47"/>
        <v>1.5609375000000001</v>
      </c>
      <c r="S197">
        <f t="shared" ca="1" si="48"/>
        <v>38.731250000000003</v>
      </c>
      <c r="T197" s="3">
        <f t="shared" ca="1" si="52"/>
        <v>1.9462025316455623E-2</v>
      </c>
      <c r="W197">
        <f t="shared" si="49"/>
        <v>38.641853750735322</v>
      </c>
      <c r="X197" s="5">
        <f t="shared" si="50"/>
        <v>2.1725221500371591E-2</v>
      </c>
    </row>
    <row r="198" spans="8:24" x14ac:dyDescent="0.25">
      <c r="H198">
        <v>39.6</v>
      </c>
      <c r="I198">
        <v>1.5610716609297861</v>
      </c>
      <c r="J198" s="10">
        <f t="shared" si="40"/>
        <v>-1.12E-4</v>
      </c>
      <c r="K198" s="17">
        <f t="shared" si="41"/>
        <v>9.7999999999999997E-5</v>
      </c>
      <c r="L198" s="10">
        <f t="shared" si="42"/>
        <v>4.4780000000000002E-3</v>
      </c>
      <c r="M198" s="11">
        <f t="shared" si="51"/>
        <v>1.5682060877909136</v>
      </c>
      <c r="N198" s="5">
        <f t="shared" si="43"/>
        <v>4.5702109901080458E-3</v>
      </c>
      <c r="O198">
        <f t="shared" si="44"/>
        <v>8366.5303000000004</v>
      </c>
      <c r="P198">
        <f t="shared" ca="1" si="45"/>
        <v>8364</v>
      </c>
      <c r="Q198" t="str">
        <f t="shared" ca="1" si="46"/>
        <v>0010000010101100</v>
      </c>
      <c r="R198">
        <f t="shared" ca="1" si="47"/>
        <v>1.5682499999999999</v>
      </c>
      <c r="S198">
        <f t="shared" ca="1" si="48"/>
        <v>38.819000000000003</v>
      </c>
      <c r="T198" s="3">
        <f t="shared" ca="1" si="52"/>
        <v>1.9722222222222193E-2</v>
      </c>
      <c r="W198">
        <f t="shared" si="49"/>
        <v>38.732859931157435</v>
      </c>
      <c r="X198" s="5">
        <f t="shared" si="50"/>
        <v>2.1897476485923391E-2</v>
      </c>
    </row>
    <row r="199" spans="8:24" x14ac:dyDescent="0.25">
      <c r="H199">
        <v>39.700000000000003</v>
      </c>
      <c r="I199">
        <v>1.5718244048738634</v>
      </c>
      <c r="J199" s="10">
        <f t="shared" si="40"/>
        <v>-1.12E-4</v>
      </c>
      <c r="K199" s="17">
        <f t="shared" si="41"/>
        <v>9.8999999999999994E-5</v>
      </c>
      <c r="L199" s="10">
        <f t="shared" si="42"/>
        <v>4.509E-3</v>
      </c>
      <c r="M199" s="11">
        <f t="shared" si="51"/>
        <v>1.5790563700464024</v>
      </c>
      <c r="N199" s="5">
        <f t="shared" si="43"/>
        <v>4.6010006907351358E-3</v>
      </c>
      <c r="O199">
        <f t="shared" si="44"/>
        <v>8424.4176000000007</v>
      </c>
      <c r="P199">
        <f t="shared" ca="1" si="45"/>
        <v>8422</v>
      </c>
      <c r="Q199" t="str">
        <f t="shared" ca="1" si="46"/>
        <v>0010000011100110</v>
      </c>
      <c r="R199">
        <f t="shared" ca="1" si="47"/>
        <v>1.5791250000000001</v>
      </c>
      <c r="S199">
        <f t="shared" ca="1" si="48"/>
        <v>38.949500000000008</v>
      </c>
      <c r="T199" s="3">
        <f t="shared" ca="1" si="52"/>
        <v>1.8904282115868896E-2</v>
      </c>
      <c r="W199">
        <f t="shared" si="49"/>
        <v>38.861892858486364</v>
      </c>
      <c r="X199" s="5">
        <f t="shared" si="50"/>
        <v>2.1111011121250349E-2</v>
      </c>
    </row>
    <row r="200" spans="8:24" x14ac:dyDescent="0.25">
      <c r="H200">
        <v>39.799999999999997</v>
      </c>
      <c r="I200">
        <v>1.5794593043148055</v>
      </c>
      <c r="J200" s="10">
        <f t="shared" si="40"/>
        <v>-1.11E-4</v>
      </c>
      <c r="K200" s="17">
        <f t="shared" si="41"/>
        <v>9.8999999999999994E-5</v>
      </c>
      <c r="L200" s="10">
        <f t="shared" si="42"/>
        <v>4.5389999999999996E-3</v>
      </c>
      <c r="M200" s="11">
        <f t="shared" si="51"/>
        <v>1.5867726654432524</v>
      </c>
      <c r="N200" s="5">
        <f t="shared" si="43"/>
        <v>4.630294119302731E-3</v>
      </c>
      <c r="O200">
        <f t="shared" si="44"/>
        <v>8465.5846999999994</v>
      </c>
      <c r="P200">
        <f t="shared" ca="1" si="45"/>
        <v>8463</v>
      </c>
      <c r="Q200" t="str">
        <f t="shared" ca="1" si="46"/>
        <v>0010000100001111</v>
      </c>
      <c r="R200">
        <f t="shared" ca="1" si="47"/>
        <v>1.5868125</v>
      </c>
      <c r="S200">
        <f t="shared" ca="1" si="48"/>
        <v>39.04175</v>
      </c>
      <c r="T200" s="3">
        <f t="shared" ca="1" si="52"/>
        <v>1.9051507537688361E-2</v>
      </c>
      <c r="W200">
        <f t="shared" si="49"/>
        <v>38.953511651777667</v>
      </c>
      <c r="X200" s="5">
        <f t="shared" si="50"/>
        <v>2.1268551462872615E-2</v>
      </c>
    </row>
    <row r="201" spans="8:24" x14ac:dyDescent="0.25">
      <c r="H201">
        <v>39.900000000000006</v>
      </c>
      <c r="I201">
        <v>1.5886880280303106</v>
      </c>
      <c r="J201" s="10">
        <f t="shared" si="40"/>
        <v>-1.11E-4</v>
      </c>
      <c r="K201" s="17">
        <f t="shared" si="41"/>
        <v>1E-4</v>
      </c>
      <c r="L201" s="10">
        <f t="shared" si="42"/>
        <v>4.5700000000000003E-3</v>
      </c>
      <c r="M201" s="11">
        <f t="shared" si="51"/>
        <v>1.5960931738347353</v>
      </c>
      <c r="N201" s="5">
        <f t="shared" si="43"/>
        <v>4.6611705216949972E-3</v>
      </c>
      <c r="O201">
        <f t="shared" si="44"/>
        <v>8515.3104999999996</v>
      </c>
      <c r="P201">
        <f t="shared" ca="1" si="45"/>
        <v>8518</v>
      </c>
      <c r="Q201" t="str">
        <f t="shared" ca="1" si="46"/>
        <v>0010000101000110</v>
      </c>
      <c r="R201">
        <f t="shared" ca="1" si="47"/>
        <v>1.5971250000000001</v>
      </c>
      <c r="S201">
        <f t="shared" ca="1" si="48"/>
        <v>39.165500000000009</v>
      </c>
      <c r="T201" s="3">
        <f t="shared" ca="1" si="52"/>
        <v>1.8408521303258069E-2</v>
      </c>
      <c r="W201">
        <f t="shared" si="49"/>
        <v>39.064256336363734</v>
      </c>
      <c r="X201" s="5">
        <f t="shared" si="50"/>
        <v>2.0945956482112078E-2</v>
      </c>
    </row>
    <row r="202" spans="8:24" x14ac:dyDescent="0.25">
      <c r="H202">
        <v>40</v>
      </c>
      <c r="I202">
        <v>1.5979399014250044</v>
      </c>
      <c r="J202" s="10">
        <f t="shared" si="40"/>
        <v>-1.1E-4</v>
      </c>
      <c r="K202" s="17">
        <f t="shared" si="41"/>
        <v>1E-4</v>
      </c>
      <c r="L202" s="10">
        <f t="shared" si="42"/>
        <v>4.5999999999999999E-3</v>
      </c>
      <c r="M202" s="11">
        <f t="shared" si="51"/>
        <v>1.6054349019740854</v>
      </c>
      <c r="N202" s="5">
        <f t="shared" si="43"/>
        <v>4.6904145408705111E-3</v>
      </c>
      <c r="O202">
        <f t="shared" si="44"/>
        <v>8565.1496000000006</v>
      </c>
      <c r="P202">
        <f t="shared" ca="1" si="45"/>
        <v>8566</v>
      </c>
      <c r="Q202" t="str">
        <f t="shared" ca="1" si="46"/>
        <v>0010000101110110</v>
      </c>
      <c r="R202">
        <f t="shared" ca="1" si="47"/>
        <v>1.606125</v>
      </c>
      <c r="S202">
        <f t="shared" ca="1" si="48"/>
        <v>39.273499999999999</v>
      </c>
      <c r="T202" s="3">
        <f t="shared" ca="1" si="52"/>
        <v>1.8162500000000036E-2</v>
      </c>
      <c r="W202">
        <f t="shared" si="49"/>
        <v>39.175278817100057</v>
      </c>
      <c r="X202" s="5">
        <f t="shared" si="50"/>
        <v>2.0618029572498565E-2</v>
      </c>
    </row>
    <row r="203" spans="8:24" x14ac:dyDescent="0.25">
      <c r="H203">
        <v>40.1</v>
      </c>
      <c r="I203">
        <v>1.607214835275788</v>
      </c>
      <c r="J203" s="10">
        <f t="shared" si="40"/>
        <v>-1.0900000000000001E-4</v>
      </c>
      <c r="K203" s="17">
        <f t="shared" si="41"/>
        <v>1.01E-4</v>
      </c>
      <c r="L203" s="10">
        <f t="shared" si="42"/>
        <v>4.6309999999999997E-3</v>
      </c>
      <c r="M203" s="11">
        <f t="shared" si="51"/>
        <v>1.6148019832602662</v>
      </c>
      <c r="N203" s="5">
        <f t="shared" si="43"/>
        <v>4.7206806569678843E-3</v>
      </c>
      <c r="O203">
        <f t="shared" si="44"/>
        <v>8615.1237999999994</v>
      </c>
      <c r="P203">
        <f t="shared" ca="1" si="45"/>
        <v>8614</v>
      </c>
      <c r="Q203" t="str">
        <f t="shared" ca="1" si="46"/>
        <v>0010000110100110</v>
      </c>
      <c r="R203">
        <f t="shared" ca="1" si="47"/>
        <v>1.6151250000000001</v>
      </c>
      <c r="S203">
        <f t="shared" ca="1" si="48"/>
        <v>39.381500000000003</v>
      </c>
      <c r="T203" s="3">
        <f t="shared" ca="1" si="52"/>
        <v>1.7917705735660816E-2</v>
      </c>
      <c r="W203">
        <f t="shared" si="49"/>
        <v>39.28657802330946</v>
      </c>
      <c r="X203" s="5">
        <f t="shared" si="50"/>
        <v>2.0284837323953659E-2</v>
      </c>
    </row>
    <row r="204" spans="8:24" x14ac:dyDescent="0.25">
      <c r="H204">
        <v>40.200000000000003</v>
      </c>
      <c r="I204">
        <v>1.6149529582424909</v>
      </c>
      <c r="J204" s="10">
        <f t="shared" si="40"/>
        <v>-1.0900000000000001E-4</v>
      </c>
      <c r="K204" s="17">
        <f t="shared" si="41"/>
        <v>1.01E-4</v>
      </c>
      <c r="L204" s="10">
        <f t="shared" si="42"/>
        <v>4.6610000000000002E-3</v>
      </c>
      <c r="M204" s="11">
        <f t="shared" si="51"/>
        <v>1.6226250134300884</v>
      </c>
      <c r="N204" s="5">
        <f t="shared" si="43"/>
        <v>4.7506369448350938E-3</v>
      </c>
      <c r="O204">
        <f t="shared" si="44"/>
        <v>8656.8605000000007</v>
      </c>
      <c r="P204">
        <f t="shared" ca="1" si="45"/>
        <v>8658</v>
      </c>
      <c r="Q204" t="str">
        <f t="shared" ca="1" si="46"/>
        <v>0010000111010010</v>
      </c>
      <c r="R204">
        <f t="shared" ca="1" si="47"/>
        <v>1.623375</v>
      </c>
      <c r="S204">
        <f t="shared" ca="1" si="48"/>
        <v>39.480500000000006</v>
      </c>
      <c r="T204" s="3">
        <f t="shared" ca="1" si="52"/>
        <v>1.7898009950248667E-2</v>
      </c>
      <c r="W204">
        <f t="shared" si="49"/>
        <v>39.379435498909892</v>
      </c>
      <c r="X204" s="5">
        <f t="shared" si="50"/>
        <v>2.0412052265923152E-2</v>
      </c>
    </row>
    <row r="205" spans="8:24" x14ac:dyDescent="0.25">
      <c r="H205">
        <v>40.299999999999997</v>
      </c>
      <c r="I205">
        <v>1.6258335246749724</v>
      </c>
      <c r="J205" s="10">
        <f t="shared" si="40"/>
        <v>-1.08E-4</v>
      </c>
      <c r="K205" s="17">
        <f t="shared" si="41"/>
        <v>1.02E-4</v>
      </c>
      <c r="L205" s="10">
        <f t="shared" si="42"/>
        <v>4.692E-3</v>
      </c>
      <c r="M205" s="11">
        <f t="shared" si="51"/>
        <v>1.6336064059316036</v>
      </c>
      <c r="N205" s="5">
        <f t="shared" si="43"/>
        <v>4.7808592569064078E-3</v>
      </c>
      <c r="O205">
        <f t="shared" si="44"/>
        <v>8715.4472000000005</v>
      </c>
      <c r="P205">
        <f t="shared" ca="1" si="45"/>
        <v>8714</v>
      </c>
      <c r="Q205" t="str">
        <f t="shared" ca="1" si="46"/>
        <v>0010001000001010</v>
      </c>
      <c r="R205">
        <f t="shared" ca="1" si="47"/>
        <v>1.633875</v>
      </c>
      <c r="S205">
        <f t="shared" ca="1" si="48"/>
        <v>39.606500000000004</v>
      </c>
      <c r="T205" s="3">
        <f t="shared" ca="1" si="52"/>
        <v>1.7208436724565589E-2</v>
      </c>
      <c r="W205">
        <f t="shared" si="49"/>
        <v>39.510002296099671</v>
      </c>
      <c r="X205" s="5">
        <f t="shared" si="50"/>
        <v>1.9602920692315784E-2</v>
      </c>
    </row>
    <row r="206" spans="8:24" x14ac:dyDescent="0.25">
      <c r="H206">
        <v>40.400000000000006</v>
      </c>
      <c r="I206">
        <v>1.633621648891098</v>
      </c>
      <c r="J206" s="10">
        <f t="shared" si="40"/>
        <v>-1.08E-4</v>
      </c>
      <c r="K206" s="17">
        <f t="shared" si="41"/>
        <v>1.02E-4</v>
      </c>
      <c r="L206" s="10">
        <f t="shared" si="42"/>
        <v>4.7219999999999996E-3</v>
      </c>
      <c r="M206" s="11">
        <f t="shared" si="51"/>
        <v>1.6414807208549751</v>
      </c>
      <c r="N206" s="5">
        <f t="shared" si="43"/>
        <v>4.8108275066089364E-3</v>
      </c>
      <c r="O206">
        <f t="shared" si="44"/>
        <v>8757.4575000000004</v>
      </c>
      <c r="P206">
        <f t="shared" ca="1" si="45"/>
        <v>8756</v>
      </c>
      <c r="Q206" t="str">
        <f t="shared" ca="1" si="46"/>
        <v>0010001000110100</v>
      </c>
      <c r="R206">
        <f t="shared" ca="1" si="47"/>
        <v>1.64175</v>
      </c>
      <c r="S206">
        <f t="shared" ca="1" si="48"/>
        <v>39.701000000000008</v>
      </c>
      <c r="T206" s="3">
        <f t="shared" ca="1" si="52"/>
        <v>1.7301980198019751E-2</v>
      </c>
      <c r="W206">
        <f t="shared" si="49"/>
        <v>39.603459786693179</v>
      </c>
      <c r="X206" s="5">
        <f t="shared" si="50"/>
        <v>1.9716341913535312E-2</v>
      </c>
    </row>
    <row r="207" spans="8:24" x14ac:dyDescent="0.25">
      <c r="H207">
        <v>40.5</v>
      </c>
      <c r="I207">
        <v>1.642990091640538</v>
      </c>
      <c r="J207" s="10">
        <f t="shared" si="40"/>
        <v>-1.07E-4</v>
      </c>
      <c r="K207" s="17">
        <f t="shared" si="41"/>
        <v>1.03E-4</v>
      </c>
      <c r="L207" s="10">
        <f t="shared" si="42"/>
        <v>4.7530000000000003E-3</v>
      </c>
      <c r="M207" s="11">
        <f t="shared" si="51"/>
        <v>1.6509440286085144</v>
      </c>
      <c r="N207" s="5">
        <f t="shared" si="43"/>
        <v>4.8411350795392501E-3</v>
      </c>
      <c r="O207">
        <f t="shared" si="44"/>
        <v>8807.9451000000008</v>
      </c>
      <c r="P207">
        <f t="shared" ca="1" si="45"/>
        <v>8806</v>
      </c>
      <c r="Q207" t="str">
        <f t="shared" ca="1" si="46"/>
        <v>0010001001100110</v>
      </c>
      <c r="R207">
        <f t="shared" ca="1" si="47"/>
        <v>1.651125</v>
      </c>
      <c r="S207">
        <f t="shared" ca="1" si="48"/>
        <v>39.813499999999998</v>
      </c>
      <c r="T207" s="3">
        <f t="shared" ca="1" si="52"/>
        <v>1.6950617283950673E-2</v>
      </c>
      <c r="W207">
        <f t="shared" si="49"/>
        <v>39.715881099686463</v>
      </c>
      <c r="X207" s="5">
        <f t="shared" si="50"/>
        <v>1.9360960501568814E-2</v>
      </c>
    </row>
    <row r="208" spans="8:24" x14ac:dyDescent="0.25">
      <c r="H208">
        <v>40.6</v>
      </c>
      <c r="I208">
        <v>1.650830033272173</v>
      </c>
      <c r="J208" s="10">
        <f t="shared" si="40"/>
        <v>-1.07E-4</v>
      </c>
      <c r="K208" s="17">
        <f t="shared" si="41"/>
        <v>1.03E-4</v>
      </c>
      <c r="L208" s="10">
        <f t="shared" si="42"/>
        <v>4.7829999999999999E-3</v>
      </c>
      <c r="M208" s="11">
        <f t="shared" si="51"/>
        <v>1.6588714152513202</v>
      </c>
      <c r="N208" s="5">
        <f t="shared" si="43"/>
        <v>4.8711144194584569E-3</v>
      </c>
      <c r="O208">
        <f t="shared" si="44"/>
        <v>8850.2384999999995</v>
      </c>
      <c r="P208">
        <f t="shared" ca="1" si="45"/>
        <v>8850</v>
      </c>
      <c r="Q208" t="str">
        <f t="shared" ca="1" si="46"/>
        <v>0010001010010010</v>
      </c>
      <c r="R208">
        <f t="shared" ca="1" si="47"/>
        <v>1.659375</v>
      </c>
      <c r="S208">
        <f t="shared" ca="1" si="48"/>
        <v>39.912500000000001</v>
      </c>
      <c r="T208" s="3">
        <f t="shared" ca="1" si="52"/>
        <v>1.6933497536945813E-2</v>
      </c>
      <c r="W208">
        <f t="shared" si="49"/>
        <v>39.809960399266075</v>
      </c>
      <c r="X208" s="5">
        <f t="shared" si="50"/>
        <v>1.9459103466352875E-2</v>
      </c>
    </row>
    <row r="209" spans="8:24" x14ac:dyDescent="0.25">
      <c r="H209">
        <v>40.700000000000003</v>
      </c>
      <c r="I209">
        <v>1.6617947154506447</v>
      </c>
      <c r="J209" s="10">
        <f t="shared" si="40"/>
        <v>-1.06E-4</v>
      </c>
      <c r="K209" s="17">
        <f t="shared" si="41"/>
        <v>1.0399999999999999E-4</v>
      </c>
      <c r="L209" s="10">
        <f t="shared" si="42"/>
        <v>4.8139999999999997E-3</v>
      </c>
      <c r="M209" s="11">
        <f t="shared" si="51"/>
        <v>1.6699398056751649</v>
      </c>
      <c r="N209" s="5">
        <f t="shared" si="43"/>
        <v>4.9013817102621874E-3</v>
      </c>
      <c r="O209">
        <f t="shared" si="44"/>
        <v>8909.2893999999997</v>
      </c>
      <c r="P209">
        <f t="shared" ca="1" si="45"/>
        <v>8907</v>
      </c>
      <c r="Q209" t="str">
        <f t="shared" ca="1" si="46"/>
        <v>0010001011001011</v>
      </c>
      <c r="R209">
        <f t="shared" ca="1" si="47"/>
        <v>1.6700625</v>
      </c>
      <c r="S209">
        <f t="shared" ca="1" si="48"/>
        <v>40.040750000000003</v>
      </c>
      <c r="T209" s="3">
        <f t="shared" ca="1" si="52"/>
        <v>1.61977886977887E-2</v>
      </c>
      <c r="W209">
        <f t="shared" si="49"/>
        <v>39.941536585407739</v>
      </c>
      <c r="X209" s="5">
        <f t="shared" si="50"/>
        <v>1.8635464731996645E-2</v>
      </c>
    </row>
    <row r="210" spans="8:24" x14ac:dyDescent="0.25">
      <c r="H210">
        <v>40.799999999999997</v>
      </c>
      <c r="I210">
        <v>1.6696839437095343</v>
      </c>
      <c r="J210" s="10">
        <f t="shared" si="40"/>
        <v>-1.05E-4</v>
      </c>
      <c r="K210" s="17">
        <f t="shared" si="41"/>
        <v>1.0399999999999999E-4</v>
      </c>
      <c r="L210" s="10">
        <f t="shared" si="42"/>
        <v>4.8440000000000002E-3</v>
      </c>
      <c r="M210" s="11">
        <f t="shared" si="51"/>
        <v>1.6779167725557946</v>
      </c>
      <c r="N210" s="5">
        <f t="shared" si="43"/>
        <v>4.9307708068207484E-3</v>
      </c>
      <c r="O210">
        <f t="shared" si="44"/>
        <v>8951.8472999999994</v>
      </c>
      <c r="P210">
        <f t="shared" ca="1" si="45"/>
        <v>8954</v>
      </c>
      <c r="Q210" t="str">
        <f t="shared" ca="1" si="46"/>
        <v>0010001011111010</v>
      </c>
      <c r="R210">
        <f t="shared" ca="1" si="47"/>
        <v>1.6788750000000001</v>
      </c>
      <c r="S210">
        <f t="shared" ca="1" si="48"/>
        <v>40.146500000000003</v>
      </c>
      <c r="T210" s="3">
        <f t="shared" ca="1" si="52"/>
        <v>1.6017156862744953E-2</v>
      </c>
      <c r="W210">
        <f t="shared" si="49"/>
        <v>40.036207324514415</v>
      </c>
      <c r="X210" s="5">
        <f t="shared" si="50"/>
        <v>1.8720408712881928E-2</v>
      </c>
    </row>
    <row r="211" spans="8:24" x14ac:dyDescent="0.25">
      <c r="H211">
        <v>40.900000000000006</v>
      </c>
      <c r="I211">
        <v>1.6791444488539484</v>
      </c>
      <c r="J211" s="10">
        <f t="shared" si="40"/>
        <v>-1.05E-4</v>
      </c>
      <c r="K211" s="17">
        <f t="shared" si="41"/>
        <v>1.05E-4</v>
      </c>
      <c r="L211" s="10">
        <f t="shared" si="42"/>
        <v>4.875E-3</v>
      </c>
      <c r="M211" s="11">
        <f t="shared" si="51"/>
        <v>1.6874758938364007</v>
      </c>
      <c r="N211" s="5">
        <f t="shared" si="43"/>
        <v>4.961720230882277E-3</v>
      </c>
      <c r="O211">
        <f t="shared" si="44"/>
        <v>9002.8461000000007</v>
      </c>
      <c r="P211">
        <f t="shared" ca="1" si="45"/>
        <v>9001</v>
      </c>
      <c r="Q211" t="str">
        <f t="shared" ca="1" si="46"/>
        <v>0010001100101001</v>
      </c>
      <c r="R211">
        <f t="shared" ca="1" si="47"/>
        <v>1.6876875</v>
      </c>
      <c r="S211">
        <f t="shared" ca="1" si="48"/>
        <v>40.252250000000004</v>
      </c>
      <c r="T211" s="3">
        <f t="shared" ca="1" si="52"/>
        <v>1.5837408312958483E-2</v>
      </c>
      <c r="W211">
        <f t="shared" si="49"/>
        <v>40.149733386247384</v>
      </c>
      <c r="X211" s="5">
        <f t="shared" si="50"/>
        <v>1.834392698661667E-2</v>
      </c>
    </row>
    <row r="212" spans="8:24" x14ac:dyDescent="0.25">
      <c r="H212">
        <v>41</v>
      </c>
      <c r="I212">
        <v>1.687855987540241</v>
      </c>
      <c r="J212" s="10">
        <f t="shared" si="40"/>
        <v>-1.0399999999999999E-4</v>
      </c>
      <c r="K212" s="17">
        <f t="shared" si="41"/>
        <v>1.05E-4</v>
      </c>
      <c r="L212" s="10">
        <f t="shared" si="42"/>
        <v>4.9049999999999996E-3</v>
      </c>
      <c r="M212" s="11">
        <f t="shared" si="51"/>
        <v>1.6962802421278784</v>
      </c>
      <c r="N212" s="5">
        <f t="shared" si="43"/>
        <v>4.9910979667846548E-3</v>
      </c>
      <c r="O212">
        <f t="shared" si="44"/>
        <v>9049.8181999999997</v>
      </c>
      <c r="P212">
        <f t="shared" ca="1" si="45"/>
        <v>9048</v>
      </c>
      <c r="Q212" t="str">
        <f t="shared" ca="1" si="46"/>
        <v>0010001101011000</v>
      </c>
      <c r="R212">
        <f t="shared" ca="1" si="47"/>
        <v>1.6965000000000001</v>
      </c>
      <c r="S212">
        <f t="shared" ca="1" si="48"/>
        <v>40.358000000000004</v>
      </c>
      <c r="T212" s="3">
        <f t="shared" ca="1" si="52"/>
        <v>1.5658536585365753E-2</v>
      </c>
      <c r="W212">
        <f t="shared" si="49"/>
        <v>40.254271850482894</v>
      </c>
      <c r="X212" s="5">
        <f t="shared" si="50"/>
        <v>1.8188491451636733E-2</v>
      </c>
    </row>
    <row r="213" spans="8:24" x14ac:dyDescent="0.25">
      <c r="H213">
        <v>41.1</v>
      </c>
      <c r="I213">
        <v>1.6965918532354285</v>
      </c>
      <c r="J213" s="10">
        <f t="shared" si="40"/>
        <v>-1.0399999999999999E-4</v>
      </c>
      <c r="K213" s="17">
        <f t="shared" si="41"/>
        <v>1.06E-4</v>
      </c>
      <c r="L213" s="10">
        <f t="shared" si="42"/>
        <v>4.9360000000000003E-3</v>
      </c>
      <c r="M213" s="11">
        <f t="shared" si="51"/>
        <v>1.7051122874864619</v>
      </c>
      <c r="N213" s="5">
        <f t="shared" si="43"/>
        <v>5.0220883913740539E-3</v>
      </c>
      <c r="O213">
        <f t="shared" si="44"/>
        <v>9096.9380000000001</v>
      </c>
      <c r="P213">
        <f t="shared" ca="1" si="45"/>
        <v>9097</v>
      </c>
      <c r="Q213" t="str">
        <f t="shared" ca="1" si="46"/>
        <v>0010001110001001</v>
      </c>
      <c r="R213">
        <f t="shared" ca="1" si="47"/>
        <v>1.7056875</v>
      </c>
      <c r="S213">
        <f t="shared" ca="1" si="48"/>
        <v>40.468250000000005</v>
      </c>
      <c r="T213" s="3">
        <f t="shared" ca="1" si="52"/>
        <v>1.5371046228710382E-2</v>
      </c>
      <c r="W213">
        <f t="shared" si="49"/>
        <v>40.359102238825145</v>
      </c>
      <c r="X213" s="5">
        <f t="shared" si="50"/>
        <v>1.8026709517636418E-2</v>
      </c>
    </row>
    <row r="214" spans="8:24" x14ac:dyDescent="0.25">
      <c r="H214">
        <v>41.2</v>
      </c>
      <c r="I214">
        <v>1.7053519546890163</v>
      </c>
      <c r="J214" s="10">
        <f t="shared" si="40"/>
        <v>-1.03E-4</v>
      </c>
      <c r="K214" s="17">
        <f t="shared" si="41"/>
        <v>1.06E-4</v>
      </c>
      <c r="L214" s="10">
        <f t="shared" si="42"/>
        <v>4.9659999999999999E-3</v>
      </c>
      <c r="M214" s="11">
        <f t="shared" si="51"/>
        <v>1.7139665123895429</v>
      </c>
      <c r="N214" s="5">
        <f t="shared" si="43"/>
        <v>5.0514837578483776E-3</v>
      </c>
      <c r="O214">
        <f t="shared" si="44"/>
        <v>9144.1761000000006</v>
      </c>
      <c r="P214">
        <f t="shared" ca="1" si="45"/>
        <v>9146</v>
      </c>
      <c r="Q214" t="str">
        <f t="shared" ca="1" si="46"/>
        <v>0010001110111010</v>
      </c>
      <c r="R214">
        <f t="shared" ca="1" si="47"/>
        <v>1.7148749999999999</v>
      </c>
      <c r="S214">
        <f t="shared" ca="1" si="48"/>
        <v>40.578500000000005</v>
      </c>
      <c r="T214" s="3">
        <f t="shared" ca="1" si="52"/>
        <v>1.5084951456310619E-2</v>
      </c>
      <c r="W214">
        <f t="shared" si="49"/>
        <v>40.464223456268201</v>
      </c>
      <c r="X214" s="5">
        <f t="shared" si="50"/>
        <v>1.785865397407287E-2</v>
      </c>
    </row>
    <row r="215" spans="8:24" x14ac:dyDescent="0.25">
      <c r="H215">
        <v>41.3</v>
      </c>
      <c r="I215">
        <v>1.7141362000432916</v>
      </c>
      <c r="J215" s="10">
        <f t="shared" si="40"/>
        <v>-1.03E-4</v>
      </c>
      <c r="K215" s="17">
        <f t="shared" si="41"/>
        <v>1.07E-4</v>
      </c>
      <c r="L215" s="10">
        <f t="shared" si="42"/>
        <v>4.9969999999999997E-3</v>
      </c>
      <c r="M215" s="11">
        <f t="shared" si="51"/>
        <v>1.722848272862787</v>
      </c>
      <c r="N215" s="5">
        <f t="shared" si="43"/>
        <v>5.0824857553765836E-3</v>
      </c>
      <c r="O215">
        <f t="shared" si="44"/>
        <v>9191.5612000000001</v>
      </c>
      <c r="P215">
        <f t="shared" ca="1" si="45"/>
        <v>9193</v>
      </c>
      <c r="Q215" t="str">
        <f t="shared" ca="1" si="46"/>
        <v>0010001111101001</v>
      </c>
      <c r="R215">
        <f t="shared" ca="1" si="47"/>
        <v>1.7236875</v>
      </c>
      <c r="S215">
        <f t="shared" ca="1" si="48"/>
        <v>40.684249999999999</v>
      </c>
      <c r="T215" s="3">
        <f t="shared" ca="1" si="52"/>
        <v>1.4909200968522966E-2</v>
      </c>
      <c r="W215">
        <f t="shared" si="49"/>
        <v>40.569634400519497</v>
      </c>
      <c r="X215" s="5">
        <f t="shared" si="50"/>
        <v>1.7684397081852297E-2</v>
      </c>
    </row>
    <row r="216" spans="8:24" x14ac:dyDescent="0.25">
      <c r="H216">
        <v>41.400000000000006</v>
      </c>
      <c r="I216">
        <v>1.7244781996010545</v>
      </c>
      <c r="J216" s="10">
        <f t="shared" si="40"/>
        <v>-1.02E-4</v>
      </c>
      <c r="K216" s="17">
        <f t="shared" si="41"/>
        <v>1.07E-4</v>
      </c>
      <c r="L216" s="10">
        <f t="shared" si="42"/>
        <v>5.0270000000000002E-3</v>
      </c>
      <c r="M216" s="11">
        <f t="shared" si="51"/>
        <v>1.7332934658539021</v>
      </c>
      <c r="N216" s="5">
        <f t="shared" si="43"/>
        <v>5.1118455744392204E-3</v>
      </c>
      <c r="O216">
        <f t="shared" si="44"/>
        <v>9247.2873</v>
      </c>
      <c r="P216">
        <f t="shared" ca="1" si="45"/>
        <v>9251</v>
      </c>
      <c r="Q216" t="str">
        <f t="shared" ca="1" si="46"/>
        <v>0010010000100011</v>
      </c>
      <c r="R216">
        <f t="shared" ca="1" si="47"/>
        <v>1.7345625</v>
      </c>
      <c r="S216">
        <f t="shared" ca="1" si="48"/>
        <v>40.814750000000004</v>
      </c>
      <c r="T216" s="3">
        <f t="shared" ca="1" si="52"/>
        <v>1.4136473429951738E-2</v>
      </c>
      <c r="W216">
        <f t="shared" si="49"/>
        <v>40.693738395212655</v>
      </c>
      <c r="X216" s="5">
        <f t="shared" si="50"/>
        <v>1.7059459052834548E-2</v>
      </c>
    </row>
    <row r="217" spans="8:24" x14ac:dyDescent="0.25">
      <c r="H217">
        <v>41.5</v>
      </c>
      <c r="I217">
        <v>1.733308273555366</v>
      </c>
      <c r="J217" s="10">
        <f t="shared" si="40"/>
        <v>-1.01E-4</v>
      </c>
      <c r="K217" s="17">
        <f t="shared" si="41"/>
        <v>1.08E-4</v>
      </c>
      <c r="L217" s="10">
        <f t="shared" si="42"/>
        <v>5.058E-3</v>
      </c>
      <c r="M217" s="11">
        <f t="shared" si="51"/>
        <v>1.7422214295460097</v>
      </c>
      <c r="N217" s="5">
        <f t="shared" si="43"/>
        <v>5.1422797240568167E-3</v>
      </c>
      <c r="O217">
        <f t="shared" si="44"/>
        <v>9294.9187999999995</v>
      </c>
      <c r="P217">
        <f t="shared" ca="1" si="45"/>
        <v>9299</v>
      </c>
      <c r="Q217" t="str">
        <f t="shared" ca="1" si="46"/>
        <v>0010010001010011</v>
      </c>
      <c r="R217">
        <f t="shared" ca="1" si="47"/>
        <v>1.7435625000000001</v>
      </c>
      <c r="S217">
        <f t="shared" ca="1" si="48"/>
        <v>40.922750000000008</v>
      </c>
      <c r="T217" s="3">
        <f t="shared" ca="1" si="52"/>
        <v>1.3909638554216681E-2</v>
      </c>
      <c r="W217">
        <f t="shared" si="49"/>
        <v>40.799699282664399</v>
      </c>
      <c r="X217" s="5">
        <f t="shared" si="50"/>
        <v>1.687471608037593E-2</v>
      </c>
    </row>
    <row r="218" spans="8:24" x14ac:dyDescent="0.25">
      <c r="H218">
        <v>41.6</v>
      </c>
      <c r="I218">
        <v>1.7421622134905541</v>
      </c>
      <c r="J218" s="10">
        <f t="shared" si="40"/>
        <v>-1.01E-4</v>
      </c>
      <c r="K218" s="17">
        <f t="shared" si="41"/>
        <v>1.08E-4</v>
      </c>
      <c r="L218" s="10">
        <f t="shared" si="42"/>
        <v>5.0879999999999996E-3</v>
      </c>
      <c r="M218" s="11">
        <f t="shared" si="51"/>
        <v>1.7511731826438459</v>
      </c>
      <c r="N218" s="5">
        <f t="shared" si="43"/>
        <v>5.1722905499354413E-3</v>
      </c>
      <c r="O218">
        <f t="shared" si="44"/>
        <v>9342.6772999999994</v>
      </c>
      <c r="P218">
        <f t="shared" ca="1" si="45"/>
        <v>9345</v>
      </c>
      <c r="Q218" t="str">
        <f t="shared" ca="1" si="46"/>
        <v>0010010010000001</v>
      </c>
      <c r="R218">
        <f t="shared" ca="1" si="47"/>
        <v>1.7521875</v>
      </c>
      <c r="S218">
        <f t="shared" ca="1" si="48"/>
        <v>41.026250000000005</v>
      </c>
      <c r="T218" s="3">
        <f t="shared" ca="1" si="52"/>
        <v>1.3792067307692233E-2</v>
      </c>
      <c r="W218">
        <f t="shared" si="49"/>
        <v>40.905946561886651</v>
      </c>
      <c r="X218" s="5">
        <f t="shared" si="50"/>
        <v>1.6683976877724768E-2</v>
      </c>
    </row>
    <row r="219" spans="8:24" x14ac:dyDescent="0.25">
      <c r="H219">
        <v>41.7</v>
      </c>
      <c r="I219">
        <v>1.7510399257239397</v>
      </c>
      <c r="J219" s="10">
        <f t="shared" si="40"/>
        <v>-1E-4</v>
      </c>
      <c r="K219" s="17">
        <f t="shared" si="41"/>
        <v>1.0900000000000001E-4</v>
      </c>
      <c r="L219" s="10">
        <f t="shared" si="42"/>
        <v>5.1190000000000003E-3</v>
      </c>
      <c r="M219" s="11">
        <f t="shared" si="51"/>
        <v>1.7601501342612229</v>
      </c>
      <c r="N219" s="5">
        <f t="shared" si="43"/>
        <v>5.2027417555980055E-3</v>
      </c>
      <c r="O219">
        <f t="shared" si="44"/>
        <v>9390.5702000000001</v>
      </c>
      <c r="P219">
        <f t="shared" ca="1" si="45"/>
        <v>9393</v>
      </c>
      <c r="Q219" t="str">
        <f t="shared" ca="1" si="46"/>
        <v>0010010010110001</v>
      </c>
      <c r="R219">
        <f t="shared" ca="1" si="47"/>
        <v>1.7611875000000001</v>
      </c>
      <c r="S219">
        <f t="shared" ca="1" si="48"/>
        <v>41.134250000000009</v>
      </c>
      <c r="T219" s="3">
        <f t="shared" ca="1" si="52"/>
        <v>1.3567146282973482E-2</v>
      </c>
      <c r="W219">
        <f t="shared" si="49"/>
        <v>41.01247910868728</v>
      </c>
      <c r="X219" s="5">
        <f t="shared" si="50"/>
        <v>1.648731154227152E-2</v>
      </c>
    </row>
    <row r="220" spans="8:24" x14ac:dyDescent="0.25">
      <c r="H220">
        <v>41.8</v>
      </c>
      <c r="I220">
        <v>1.759941316457581</v>
      </c>
      <c r="J220" s="10">
        <f t="shared" si="40"/>
        <v>-1E-4</v>
      </c>
      <c r="K220" s="17">
        <f t="shared" si="41"/>
        <v>1.0900000000000001E-4</v>
      </c>
      <c r="L220" s="10">
        <f t="shared" si="42"/>
        <v>5.1489999999999999E-3</v>
      </c>
      <c r="M220" s="11">
        <f t="shared" si="51"/>
        <v>1.7691506732742701</v>
      </c>
      <c r="N220" s="5">
        <f t="shared" si="43"/>
        <v>5.2327635760184028E-3</v>
      </c>
      <c r="O220">
        <f t="shared" si="44"/>
        <v>9438.5889000000006</v>
      </c>
      <c r="P220">
        <f t="shared" ca="1" si="45"/>
        <v>9438</v>
      </c>
      <c r="Q220" t="str">
        <f t="shared" ca="1" si="46"/>
        <v>0010010011011110</v>
      </c>
      <c r="R220">
        <f t="shared" ca="1" si="47"/>
        <v>1.769625</v>
      </c>
      <c r="S220">
        <f t="shared" ca="1" si="48"/>
        <v>41.235500000000002</v>
      </c>
      <c r="T220" s="3">
        <f t="shared" ca="1" si="52"/>
        <v>1.3504784688995105E-2</v>
      </c>
      <c r="W220">
        <f t="shared" si="49"/>
        <v>41.11929579749097</v>
      </c>
      <c r="X220" s="5">
        <f t="shared" si="50"/>
        <v>1.6284789533708776E-2</v>
      </c>
    </row>
    <row r="221" spans="8:24" x14ac:dyDescent="0.25">
      <c r="H221">
        <v>41.900000000000006</v>
      </c>
      <c r="I221">
        <v>1.7688662923269236</v>
      </c>
      <c r="J221" s="10">
        <f t="shared" si="40"/>
        <v>-9.8999999999999994E-5</v>
      </c>
      <c r="K221" s="17">
        <f t="shared" si="41"/>
        <v>1.1E-4</v>
      </c>
      <c r="L221" s="10">
        <f t="shared" si="42"/>
        <v>5.1799999999999997E-3</v>
      </c>
      <c r="M221" s="11">
        <f t="shared" si="51"/>
        <v>1.7781762452774608</v>
      </c>
      <c r="N221" s="5">
        <f t="shared" si="43"/>
        <v>5.2632315912866552E-3</v>
      </c>
      <c r="O221">
        <f t="shared" si="44"/>
        <v>9486.7412000000004</v>
      </c>
      <c r="P221">
        <f t="shared" ca="1" si="45"/>
        <v>9488</v>
      </c>
      <c r="Q221" t="str">
        <f t="shared" ca="1" si="46"/>
        <v>0010010100010000</v>
      </c>
      <c r="R221">
        <f t="shared" ca="1" si="47"/>
        <v>1.7790000000000001</v>
      </c>
      <c r="S221">
        <f t="shared" ca="1" si="48"/>
        <v>41.348000000000006</v>
      </c>
      <c r="T221" s="3">
        <f t="shared" ca="1" si="52"/>
        <v>1.3174224343675406E-2</v>
      </c>
      <c r="W221">
        <f t="shared" si="49"/>
        <v>41.226395507923087</v>
      </c>
      <c r="X221" s="5">
        <f t="shared" si="50"/>
        <v>1.6076479524508802E-2</v>
      </c>
    </row>
    <row r="222" spans="8:24" x14ac:dyDescent="0.25">
      <c r="H222">
        <v>42</v>
      </c>
      <c r="I222">
        <v>1.7778147589551199</v>
      </c>
      <c r="J222" s="10">
        <f t="shared" si="40"/>
        <v>-9.8999999999999994E-5</v>
      </c>
      <c r="K222" s="17">
        <f t="shared" si="41"/>
        <v>1.1E-4</v>
      </c>
      <c r="L222" s="10">
        <f t="shared" si="42"/>
        <v>5.2100000000000002E-3</v>
      </c>
      <c r="M222" s="11">
        <f t="shared" si="51"/>
        <v>1.7872252022588888</v>
      </c>
      <c r="N222" s="5">
        <f t="shared" si="43"/>
        <v>5.2932642483515951E-3</v>
      </c>
      <c r="O222">
        <f t="shared" si="44"/>
        <v>9535.0182999999997</v>
      </c>
      <c r="P222">
        <f t="shared" ca="1" si="45"/>
        <v>9536</v>
      </c>
      <c r="Q222" t="str">
        <f t="shared" ca="1" si="46"/>
        <v>0010010101000000</v>
      </c>
      <c r="R222">
        <f t="shared" ca="1" si="47"/>
        <v>1.788</v>
      </c>
      <c r="S222">
        <f t="shared" ca="1" si="48"/>
        <v>41.456000000000003</v>
      </c>
      <c r="T222" s="3">
        <f t="shared" ca="1" si="52"/>
        <v>1.2952380952380878E-2</v>
      </c>
      <c r="W222">
        <f t="shared" si="49"/>
        <v>41.333777107461437</v>
      </c>
      <c r="X222" s="5">
        <f t="shared" si="50"/>
        <v>1.5862449822346747E-2</v>
      </c>
    </row>
    <row r="223" spans="8:24" x14ac:dyDescent="0.25">
      <c r="H223">
        <v>42.1</v>
      </c>
      <c r="I223">
        <v>1.7867866221379991</v>
      </c>
      <c r="J223" s="10">
        <f t="shared" si="40"/>
        <v>-9.7999999999999997E-5</v>
      </c>
      <c r="K223" s="17">
        <f t="shared" si="41"/>
        <v>1.11E-4</v>
      </c>
      <c r="L223" s="10">
        <f t="shared" si="42"/>
        <v>5.241E-3</v>
      </c>
      <c r="M223" s="11">
        <f t="shared" si="51"/>
        <v>1.7962990253297524</v>
      </c>
      <c r="N223" s="5">
        <f t="shared" si="43"/>
        <v>5.3237488315035133E-3</v>
      </c>
      <c r="O223">
        <f t="shared" si="44"/>
        <v>9583.4279999999999</v>
      </c>
      <c r="P223">
        <f t="shared" ca="1" si="45"/>
        <v>9586</v>
      </c>
      <c r="Q223" t="str">
        <f t="shared" ca="1" si="46"/>
        <v>0010010101110010</v>
      </c>
      <c r="R223">
        <f t="shared" ca="1" si="47"/>
        <v>1.7973749999999999</v>
      </c>
      <c r="S223">
        <f t="shared" ca="1" si="48"/>
        <v>41.5685</v>
      </c>
      <c r="T223" s="3">
        <f t="shared" ca="1" si="52"/>
        <v>1.2624703087886014E-2</v>
      </c>
      <c r="W223">
        <f t="shared" si="49"/>
        <v>41.441439465655996</v>
      </c>
      <c r="X223" s="5">
        <f t="shared" si="50"/>
        <v>1.5642768036674703E-2</v>
      </c>
    </row>
    <row r="224" spans="8:24" x14ac:dyDescent="0.25">
      <c r="H224">
        <v>42.2</v>
      </c>
      <c r="I224">
        <v>1.7972979973881766</v>
      </c>
      <c r="J224" s="10">
        <f t="shared" si="40"/>
        <v>-9.7E-5</v>
      </c>
      <c r="K224" s="17">
        <f t="shared" si="41"/>
        <v>1.11E-4</v>
      </c>
      <c r="L224" s="10">
        <f t="shared" si="42"/>
        <v>5.2709999999999996E-3</v>
      </c>
      <c r="M224" s="11">
        <f t="shared" si="51"/>
        <v>1.8069192688543076</v>
      </c>
      <c r="N224" s="5">
        <f t="shared" si="43"/>
        <v>5.3531865500949689E-3</v>
      </c>
      <c r="O224">
        <f t="shared" si="44"/>
        <v>9640.0879999999997</v>
      </c>
      <c r="P224">
        <f t="shared" ca="1" si="45"/>
        <v>9642</v>
      </c>
      <c r="Q224" t="str">
        <f t="shared" ca="1" si="46"/>
        <v>0010010110101010</v>
      </c>
      <c r="R224">
        <f t="shared" ca="1" si="47"/>
        <v>1.8078750000000001</v>
      </c>
      <c r="S224">
        <f t="shared" ca="1" si="48"/>
        <v>41.694500000000005</v>
      </c>
      <c r="T224" s="3">
        <f t="shared" ca="1" si="52"/>
        <v>1.1978672985781938E-2</v>
      </c>
      <c r="W224">
        <f t="shared" si="49"/>
        <v>41.567575968658126</v>
      </c>
      <c r="X224" s="5">
        <f t="shared" si="50"/>
        <v>1.498635145359898E-2</v>
      </c>
    </row>
    <row r="225" spans="8:24" x14ac:dyDescent="0.25">
      <c r="H225">
        <v>42.3</v>
      </c>
      <c r="I225">
        <v>1.8055571659418452</v>
      </c>
      <c r="J225" s="10">
        <f t="shared" si="40"/>
        <v>-9.7E-5</v>
      </c>
      <c r="K225" s="17">
        <f t="shared" si="41"/>
        <v>1.12E-4</v>
      </c>
      <c r="L225" s="10">
        <f t="shared" si="42"/>
        <v>5.3020000000000003E-3</v>
      </c>
      <c r="M225" s="11">
        <f t="shared" si="51"/>
        <v>1.8152787740016019</v>
      </c>
      <c r="N225" s="5">
        <f t="shared" si="43"/>
        <v>5.3842704308315198E-3</v>
      </c>
      <c r="O225">
        <f t="shared" si="44"/>
        <v>9684.6867999999995</v>
      </c>
      <c r="P225">
        <f t="shared" ca="1" si="45"/>
        <v>9682</v>
      </c>
      <c r="Q225" t="str">
        <f t="shared" ca="1" si="46"/>
        <v>0010010111010010</v>
      </c>
      <c r="R225">
        <f t="shared" ca="1" si="47"/>
        <v>1.815375</v>
      </c>
      <c r="S225">
        <f t="shared" ca="1" si="48"/>
        <v>41.784500000000001</v>
      </c>
      <c r="T225" s="3">
        <f t="shared" ca="1" si="52"/>
        <v>1.2186761229314324E-2</v>
      </c>
      <c r="W225">
        <f t="shared" si="49"/>
        <v>41.666685991302145</v>
      </c>
      <c r="X225" s="5">
        <f t="shared" si="50"/>
        <v>1.497196238056387E-2</v>
      </c>
    </row>
    <row r="226" spans="8:24" x14ac:dyDescent="0.25">
      <c r="H226">
        <v>42.400000000000006</v>
      </c>
      <c r="I226">
        <v>1.8138416381766056</v>
      </c>
      <c r="J226" s="10">
        <f t="shared" si="40"/>
        <v>-9.6000000000000002E-5</v>
      </c>
      <c r="K226" s="17">
        <f t="shared" si="41"/>
        <v>1.12E-4</v>
      </c>
      <c r="L226" s="10">
        <f t="shared" si="42"/>
        <v>5.3319999999999999E-3</v>
      </c>
      <c r="M226" s="11">
        <f t="shared" si="51"/>
        <v>1.8236614007654872</v>
      </c>
      <c r="N226" s="5">
        <f t="shared" si="43"/>
        <v>5.4137926830002091E-3</v>
      </c>
      <c r="O226">
        <f t="shared" si="44"/>
        <v>9729.4089000000004</v>
      </c>
      <c r="P226">
        <f t="shared" ca="1" si="45"/>
        <v>9730</v>
      </c>
      <c r="Q226" t="str">
        <f t="shared" ca="1" si="46"/>
        <v>0010011000000010</v>
      </c>
      <c r="R226">
        <f t="shared" ca="1" si="47"/>
        <v>1.8243750000000001</v>
      </c>
      <c r="S226">
        <f t="shared" ca="1" si="48"/>
        <v>41.892500000000005</v>
      </c>
      <c r="T226" s="3">
        <f t="shared" ca="1" si="52"/>
        <v>1.1969339622641514E-2</v>
      </c>
      <c r="W226">
        <f t="shared" si="49"/>
        <v>41.766099658119273</v>
      </c>
      <c r="X226" s="5">
        <f t="shared" si="50"/>
        <v>1.4950479761338025E-2</v>
      </c>
    </row>
    <row r="227" spans="8:24" x14ac:dyDescent="0.25">
      <c r="H227">
        <v>42.5</v>
      </c>
      <c r="I227">
        <v>1.8236609485481847</v>
      </c>
      <c r="J227" s="10">
        <f t="shared" si="40"/>
        <v>-9.6000000000000002E-5</v>
      </c>
      <c r="K227" s="17">
        <f t="shared" si="41"/>
        <v>1.13E-4</v>
      </c>
      <c r="L227" s="10">
        <f t="shared" si="42"/>
        <v>5.3629999999999997E-3</v>
      </c>
      <c r="M227" s="11">
        <f t="shared" si="51"/>
        <v>1.8335904943694883</v>
      </c>
      <c r="N227" s="5">
        <f t="shared" si="43"/>
        <v>5.4448420520319136E-3</v>
      </c>
      <c r="O227">
        <f t="shared" si="44"/>
        <v>9782.3816000000006</v>
      </c>
      <c r="P227">
        <f t="shared" ca="1" si="45"/>
        <v>9785</v>
      </c>
      <c r="Q227" t="str">
        <f t="shared" ca="1" si="46"/>
        <v>0010011000111001</v>
      </c>
      <c r="R227">
        <f t="shared" ca="1" si="47"/>
        <v>1.8346875</v>
      </c>
      <c r="S227">
        <f t="shared" ca="1" si="48"/>
        <v>42.016250000000007</v>
      </c>
      <c r="T227" s="3">
        <f t="shared" ca="1" si="52"/>
        <v>1.1382352941176318E-2</v>
      </c>
      <c r="W227">
        <f t="shared" si="49"/>
        <v>41.883931382578218</v>
      </c>
      <c r="X227" s="5">
        <f t="shared" si="50"/>
        <v>1.4495732174630153E-2</v>
      </c>
    </row>
    <row r="228" spans="8:24" x14ac:dyDescent="0.25">
      <c r="H228">
        <v>42.6</v>
      </c>
      <c r="I228">
        <v>1.8319935473983333</v>
      </c>
      <c r="J228" s="10">
        <f t="shared" si="40"/>
        <v>-9.5000000000000005E-5</v>
      </c>
      <c r="K228" s="17">
        <f t="shared" si="41"/>
        <v>1.13E-4</v>
      </c>
      <c r="L228" s="10">
        <f t="shared" si="42"/>
        <v>5.3930000000000002E-3</v>
      </c>
      <c r="M228" s="11">
        <f t="shared" si="51"/>
        <v>1.8420225751460961</v>
      </c>
      <c r="N228" s="5">
        <f t="shared" si="43"/>
        <v>5.4743794059784381E-3</v>
      </c>
      <c r="O228">
        <f t="shared" si="44"/>
        <v>9827.3675000000003</v>
      </c>
      <c r="P228">
        <f t="shared" ca="1" si="45"/>
        <v>9826</v>
      </c>
      <c r="Q228" t="str">
        <f t="shared" ca="1" si="46"/>
        <v>0010011001100010</v>
      </c>
      <c r="R228">
        <f t="shared" ca="1" si="47"/>
        <v>1.8423750000000001</v>
      </c>
      <c r="S228">
        <f t="shared" ca="1" si="48"/>
        <v>42.108499999999999</v>
      </c>
      <c r="T228" s="3">
        <f t="shared" ca="1" si="52"/>
        <v>1.1537558685446057E-2</v>
      </c>
      <c r="W228">
        <f t="shared" si="49"/>
        <v>41.983922568780002</v>
      </c>
      <c r="X228" s="5">
        <f t="shared" si="50"/>
        <v>1.4461911530985892E-2</v>
      </c>
    </row>
    <row r="229" spans="8:24" x14ac:dyDescent="0.25">
      <c r="H229">
        <v>42.7</v>
      </c>
      <c r="I229">
        <v>1.8418564014729895</v>
      </c>
      <c r="J229" s="10">
        <f t="shared" si="40"/>
        <v>-9.3999999999999994E-5</v>
      </c>
      <c r="K229" s="17">
        <f t="shared" si="41"/>
        <v>1.1400000000000001E-4</v>
      </c>
      <c r="L229" s="10">
        <f t="shared" si="42"/>
        <v>5.424E-3</v>
      </c>
      <c r="M229" s="11">
        <f t="shared" si="51"/>
        <v>1.8519956257470414</v>
      </c>
      <c r="N229" s="5">
        <f t="shared" si="43"/>
        <v>5.5048940112504118E-3</v>
      </c>
      <c r="O229">
        <f t="shared" si="44"/>
        <v>9880.5746999999992</v>
      </c>
      <c r="P229">
        <f t="shared" ca="1" si="45"/>
        <v>9882</v>
      </c>
      <c r="Q229" t="str">
        <f t="shared" ca="1" si="46"/>
        <v>0010011010011010</v>
      </c>
      <c r="R229">
        <f t="shared" ca="1" si="47"/>
        <v>1.852875</v>
      </c>
      <c r="S229">
        <f t="shared" ca="1" si="48"/>
        <v>42.234500000000004</v>
      </c>
      <c r="T229" s="3">
        <f t="shared" ca="1" si="52"/>
        <v>1.0901639344262264E-2</v>
      </c>
      <c r="W229">
        <f t="shared" si="49"/>
        <v>42.102276817675872</v>
      </c>
      <c r="X229" s="5">
        <f t="shared" si="50"/>
        <v>1.3998200991197449E-2</v>
      </c>
    </row>
    <row r="230" spans="8:24" x14ac:dyDescent="0.25">
      <c r="H230">
        <v>42.8</v>
      </c>
      <c r="I230">
        <v>1.8502367422755628</v>
      </c>
      <c r="J230" s="10">
        <f t="shared" si="40"/>
        <v>-9.3999999999999994E-5</v>
      </c>
      <c r="K230" s="17">
        <f t="shared" si="41"/>
        <v>1.1400000000000001E-4</v>
      </c>
      <c r="L230" s="10">
        <f t="shared" si="42"/>
        <v>5.4539999999999996E-3</v>
      </c>
      <c r="M230" s="11">
        <f t="shared" si="51"/>
        <v>1.8604777881320349</v>
      </c>
      <c r="N230" s="5">
        <f t="shared" si="43"/>
        <v>5.5349921566668799E-3</v>
      </c>
      <c r="O230">
        <f t="shared" si="44"/>
        <v>9925.8279000000002</v>
      </c>
      <c r="P230">
        <f t="shared" ca="1" si="45"/>
        <v>9928</v>
      </c>
      <c r="Q230" t="str">
        <f t="shared" ca="1" si="46"/>
        <v>0010011011001000</v>
      </c>
      <c r="R230">
        <f t="shared" ca="1" si="47"/>
        <v>1.8614999999999999</v>
      </c>
      <c r="S230">
        <f t="shared" ca="1" si="48"/>
        <v>42.338000000000001</v>
      </c>
      <c r="T230" s="3">
        <f t="shared" ca="1" si="52"/>
        <v>1.0794392523364399E-2</v>
      </c>
      <c r="W230">
        <f t="shared" si="49"/>
        <v>42.202840907306758</v>
      </c>
      <c r="X230" s="5">
        <f t="shared" si="50"/>
        <v>1.3952315249842041E-2</v>
      </c>
    </row>
    <row r="231" spans="8:24" x14ac:dyDescent="0.25">
      <c r="H231">
        <v>42.900000000000006</v>
      </c>
      <c r="I231">
        <v>1.8601427505544188</v>
      </c>
      <c r="J231" s="10">
        <f t="shared" si="40"/>
        <v>-9.2999999999999997E-5</v>
      </c>
      <c r="K231" s="17">
        <f t="shared" si="41"/>
        <v>1.15E-4</v>
      </c>
      <c r="L231" s="10">
        <f t="shared" si="42"/>
        <v>5.4850000000000003E-3</v>
      </c>
      <c r="M231" s="11">
        <f t="shared" si="51"/>
        <v>1.8704954179217193</v>
      </c>
      <c r="N231" s="5">
        <f t="shared" si="43"/>
        <v>5.5655230568808865E-3</v>
      </c>
      <c r="O231">
        <f t="shared" si="44"/>
        <v>9979.2728999999999</v>
      </c>
      <c r="P231">
        <f t="shared" ca="1" si="45"/>
        <v>9978</v>
      </c>
      <c r="Q231" t="str">
        <f t="shared" ca="1" si="46"/>
        <v>0010011011111010</v>
      </c>
      <c r="R231">
        <f t="shared" ca="1" si="47"/>
        <v>1.8708750000000001</v>
      </c>
      <c r="S231">
        <f t="shared" ca="1" si="48"/>
        <v>42.450500000000005</v>
      </c>
      <c r="T231" s="3">
        <f t="shared" ca="1" si="52"/>
        <v>1.0477855477855487E-2</v>
      </c>
      <c r="W231">
        <f t="shared" si="49"/>
        <v>42.321713006653027</v>
      </c>
      <c r="X231" s="5">
        <f t="shared" si="50"/>
        <v>1.3479883294801357E-2</v>
      </c>
    </row>
    <row r="232" spans="8:24" x14ac:dyDescent="0.25">
      <c r="H232">
        <v>43</v>
      </c>
      <c r="I232">
        <v>1.8685704280566673</v>
      </c>
      <c r="J232" s="10">
        <f t="shared" si="40"/>
        <v>-9.2999999999999997E-5</v>
      </c>
      <c r="K232" s="17">
        <f t="shared" si="41"/>
        <v>1.15E-4</v>
      </c>
      <c r="L232" s="10">
        <f t="shared" si="42"/>
        <v>5.5149999999999999E-3</v>
      </c>
      <c r="M232" s="11">
        <f t="shared" si="51"/>
        <v>1.8790262578688137</v>
      </c>
      <c r="N232" s="5">
        <f t="shared" si="43"/>
        <v>5.595630571452747E-3</v>
      </c>
      <c r="O232">
        <f t="shared" si="44"/>
        <v>10024.7857</v>
      </c>
      <c r="P232">
        <f t="shared" ca="1" si="45"/>
        <v>10028</v>
      </c>
      <c r="Q232" t="str">
        <f t="shared" ca="1" si="46"/>
        <v>0010011100101100</v>
      </c>
      <c r="R232">
        <f t="shared" ca="1" si="47"/>
        <v>1.88025</v>
      </c>
      <c r="S232">
        <f t="shared" ca="1" si="48"/>
        <v>42.563000000000002</v>
      </c>
      <c r="T232" s="3">
        <f t="shared" ca="1" si="52"/>
        <v>1.0162790697674362E-2</v>
      </c>
      <c r="W232">
        <f t="shared" si="49"/>
        <v>42.42284513668001</v>
      </c>
      <c r="X232" s="5">
        <f t="shared" si="50"/>
        <v>1.3422206123720694E-2</v>
      </c>
    </row>
    <row r="233" spans="8:24" x14ac:dyDescent="0.25">
      <c r="H233">
        <v>43.1</v>
      </c>
      <c r="I233">
        <v>1.8785192166206719</v>
      </c>
      <c r="J233" s="10">
        <f t="shared" si="40"/>
        <v>-9.2E-5</v>
      </c>
      <c r="K233" s="17">
        <f t="shared" si="41"/>
        <v>1.16E-4</v>
      </c>
      <c r="L233" s="10">
        <f t="shared" si="42"/>
        <v>5.5459999999999997E-3</v>
      </c>
      <c r="M233" s="11">
        <f t="shared" si="51"/>
        <v>1.8890880992189403</v>
      </c>
      <c r="N233" s="5">
        <f t="shared" si="43"/>
        <v>5.6261775257647247E-3</v>
      </c>
      <c r="O233">
        <f t="shared" si="44"/>
        <v>10078.4666</v>
      </c>
      <c r="P233">
        <f t="shared" ca="1" si="45"/>
        <v>10080</v>
      </c>
      <c r="Q233" t="str">
        <f t="shared" ca="1" si="46"/>
        <v>0010011101100000</v>
      </c>
      <c r="R233">
        <f t="shared" ca="1" si="47"/>
        <v>1.8900000000000001</v>
      </c>
      <c r="S233">
        <f t="shared" ca="1" si="48"/>
        <v>42.68</v>
      </c>
      <c r="T233" s="3">
        <f t="shared" ca="1" si="52"/>
        <v>9.7447795823666292E-3</v>
      </c>
      <c r="W233">
        <f t="shared" si="49"/>
        <v>42.542230599448061</v>
      </c>
      <c r="X233" s="5">
        <f t="shared" si="50"/>
        <v>1.294128539563667E-2</v>
      </c>
    </row>
    <row r="234" spans="8:24" x14ac:dyDescent="0.25">
      <c r="H234">
        <v>43.2</v>
      </c>
      <c r="I234">
        <v>1.8869938781884343</v>
      </c>
      <c r="J234" s="10">
        <f t="shared" si="40"/>
        <v>-9.2E-5</v>
      </c>
      <c r="K234" s="17">
        <f t="shared" si="41"/>
        <v>1.16E-4</v>
      </c>
      <c r="L234" s="10">
        <f t="shared" si="42"/>
        <v>5.5760000000000002E-3</v>
      </c>
      <c r="M234" s="11">
        <f t="shared" si="51"/>
        <v>1.8976672708909221</v>
      </c>
      <c r="N234" s="5">
        <f t="shared" si="43"/>
        <v>5.6562942921333384E-3</v>
      </c>
      <c r="O234">
        <f t="shared" si="44"/>
        <v>10124.237300000001</v>
      </c>
      <c r="P234">
        <f t="shared" ca="1" si="45"/>
        <v>10127</v>
      </c>
      <c r="Q234" t="str">
        <f t="shared" ca="1" si="46"/>
        <v>0010011110001111</v>
      </c>
      <c r="R234">
        <f t="shared" ca="1" si="47"/>
        <v>1.8988125</v>
      </c>
      <c r="S234">
        <f t="shared" ca="1" si="48"/>
        <v>42.785750000000007</v>
      </c>
      <c r="T234" s="3">
        <f t="shared" ca="1" si="52"/>
        <v>9.589120370370267E-3</v>
      </c>
      <c r="W234">
        <f t="shared" si="49"/>
        <v>42.643926538261219</v>
      </c>
      <c r="X234" s="5">
        <f t="shared" si="50"/>
        <v>1.2872070873582955E-2</v>
      </c>
    </row>
    <row r="235" spans="8:24" x14ac:dyDescent="0.25">
      <c r="H235">
        <v>43.3</v>
      </c>
      <c r="I235">
        <v>1.8969850145632048</v>
      </c>
      <c r="J235" s="10">
        <f t="shared" si="40"/>
        <v>-9.1000000000000003E-5</v>
      </c>
      <c r="K235" s="17">
        <f t="shared" si="41"/>
        <v>1.17E-4</v>
      </c>
      <c r="L235" s="10">
        <f t="shared" si="42"/>
        <v>5.607E-3</v>
      </c>
      <c r="M235" s="11">
        <f t="shared" si="51"/>
        <v>1.907772897197793</v>
      </c>
      <c r="N235" s="5">
        <f t="shared" si="43"/>
        <v>5.6868570662231503E-3</v>
      </c>
      <c r="O235">
        <f t="shared" si="44"/>
        <v>10178.1518</v>
      </c>
      <c r="P235">
        <f t="shared" ca="1" si="45"/>
        <v>10181</v>
      </c>
      <c r="Q235" t="str">
        <f t="shared" ca="1" si="46"/>
        <v>0010011111000101</v>
      </c>
      <c r="R235">
        <f t="shared" ca="1" si="47"/>
        <v>1.9089375</v>
      </c>
      <c r="S235">
        <f t="shared" ca="1" si="48"/>
        <v>42.907249999999998</v>
      </c>
      <c r="T235" s="3">
        <f t="shared" ca="1" si="52"/>
        <v>9.0704387990762012E-3</v>
      </c>
      <c r="W235">
        <f t="shared" si="49"/>
        <v>42.763820174758465</v>
      </c>
      <c r="X235" s="5">
        <f t="shared" si="50"/>
        <v>1.2382905894723618E-2</v>
      </c>
    </row>
    <row r="236" spans="8:24" x14ac:dyDescent="0.25">
      <c r="H236">
        <v>43.400000000000006</v>
      </c>
      <c r="I236">
        <v>1.9062511664128585</v>
      </c>
      <c r="J236" s="10">
        <f t="shared" si="40"/>
        <v>-9.0000000000000006E-5</v>
      </c>
      <c r="K236" s="17">
        <f t="shared" si="41"/>
        <v>1.17E-4</v>
      </c>
      <c r="L236" s="10">
        <f t="shared" si="42"/>
        <v>5.6369999999999996E-3</v>
      </c>
      <c r="M236" s="11">
        <f t="shared" si="51"/>
        <v>1.917148130424059</v>
      </c>
      <c r="N236" s="5">
        <f t="shared" si="43"/>
        <v>5.7164366392001243E-3</v>
      </c>
      <c r="O236">
        <f t="shared" si="44"/>
        <v>10228.169599999999</v>
      </c>
      <c r="P236">
        <f t="shared" ca="1" si="45"/>
        <v>10227</v>
      </c>
      <c r="Q236" t="str">
        <f t="shared" ca="1" si="46"/>
        <v>0010011111110011</v>
      </c>
      <c r="R236">
        <f t="shared" ca="1" si="47"/>
        <v>1.9175625000000001</v>
      </c>
      <c r="S236">
        <f t="shared" ca="1" si="48"/>
        <v>43.010750000000002</v>
      </c>
      <c r="T236" s="3">
        <f t="shared" ca="1" si="52"/>
        <v>8.9688940092166828E-3</v>
      </c>
      <c r="W236">
        <f t="shared" si="49"/>
        <v>42.875013996954308</v>
      </c>
      <c r="X236" s="5">
        <f t="shared" si="50"/>
        <v>1.2096451683080579E-2</v>
      </c>
    </row>
    <row r="237" spans="8:24" x14ac:dyDescent="0.25">
      <c r="H237">
        <v>43.5</v>
      </c>
      <c r="I237">
        <v>1.914051725378171</v>
      </c>
      <c r="J237" s="10">
        <f t="shared" si="40"/>
        <v>-9.0000000000000006E-5</v>
      </c>
      <c r="K237" s="17">
        <f t="shared" si="41"/>
        <v>1.18E-4</v>
      </c>
      <c r="L237" s="10">
        <f t="shared" si="42"/>
        <v>5.6680000000000003E-3</v>
      </c>
      <c r="M237" s="11">
        <f t="shared" si="51"/>
        <v>1.9250529253591064</v>
      </c>
      <c r="N237" s="5">
        <f t="shared" si="43"/>
        <v>5.7475980586479871E-3</v>
      </c>
      <c r="O237">
        <f t="shared" si="44"/>
        <v>10270.3424</v>
      </c>
      <c r="P237">
        <f t="shared" ca="1" si="45"/>
        <v>10273</v>
      </c>
      <c r="Q237" t="str">
        <f t="shared" ca="1" si="46"/>
        <v>0010100000100001</v>
      </c>
      <c r="R237">
        <f t="shared" ca="1" si="47"/>
        <v>1.9261874999999999</v>
      </c>
      <c r="S237">
        <f t="shared" ca="1" si="48"/>
        <v>43.114250000000006</v>
      </c>
      <c r="T237" s="3">
        <f t="shared" ca="1" si="52"/>
        <v>8.8678160919538965E-3</v>
      </c>
      <c r="W237">
        <f t="shared" si="49"/>
        <v>42.968620704538054</v>
      </c>
      <c r="X237" s="5">
        <f t="shared" si="50"/>
        <v>1.221561598763094E-2</v>
      </c>
    </row>
    <row r="238" spans="8:24" x14ac:dyDescent="0.25">
      <c r="H238">
        <v>43.6</v>
      </c>
      <c r="I238">
        <v>1.9233640562029479</v>
      </c>
      <c r="J238" s="10">
        <f t="shared" si="40"/>
        <v>-8.8999999999999995E-5</v>
      </c>
      <c r="K238" s="17">
        <f t="shared" si="41"/>
        <v>1.18E-4</v>
      </c>
      <c r="L238" s="10">
        <f t="shared" si="42"/>
        <v>5.6979999999999999E-3</v>
      </c>
      <c r="M238" s="11">
        <f t="shared" si="51"/>
        <v>1.9344756987343361</v>
      </c>
      <c r="N238" s="5">
        <f t="shared" si="43"/>
        <v>5.7771915283290074E-3</v>
      </c>
      <c r="O238">
        <f t="shared" si="44"/>
        <v>10320.613799999999</v>
      </c>
      <c r="P238">
        <f t="shared" ca="1" si="45"/>
        <v>10321</v>
      </c>
      <c r="Q238" t="str">
        <f t="shared" ca="1" si="46"/>
        <v>0010100001010001</v>
      </c>
      <c r="R238">
        <f t="shared" ca="1" si="47"/>
        <v>1.9351875000000001</v>
      </c>
      <c r="S238">
        <f t="shared" ca="1" si="48"/>
        <v>43.222250000000003</v>
      </c>
      <c r="T238" s="3">
        <f t="shared" ca="1" si="52"/>
        <v>8.6639908256880491E-3</v>
      </c>
      <c r="W238">
        <f t="shared" si="49"/>
        <v>43.080368674435377</v>
      </c>
      <c r="X238" s="5">
        <f t="shared" si="50"/>
        <v>1.1918149668913407E-2</v>
      </c>
    </row>
    <row r="239" spans="8:24" x14ac:dyDescent="0.25">
      <c r="H239">
        <v>43.7</v>
      </c>
      <c r="I239">
        <v>1.9326982245442774</v>
      </c>
      <c r="J239" s="10">
        <f t="shared" si="40"/>
        <v>-8.8999999999999995E-5</v>
      </c>
      <c r="K239" s="17">
        <f t="shared" si="41"/>
        <v>1.1900000000000001E-4</v>
      </c>
      <c r="L239" s="10">
        <f t="shared" si="42"/>
        <v>5.7289999999999997E-3</v>
      </c>
      <c r="M239" s="11">
        <f t="shared" si="51"/>
        <v>1.9439239649394153</v>
      </c>
      <c r="N239" s="5">
        <f t="shared" si="43"/>
        <v>5.8083255070950825E-3</v>
      </c>
      <c r="O239">
        <f t="shared" si="44"/>
        <v>10371.0213</v>
      </c>
      <c r="P239">
        <f t="shared" ca="1" si="45"/>
        <v>10373</v>
      </c>
      <c r="Q239" t="str">
        <f t="shared" ca="1" si="46"/>
        <v>0010100010000101</v>
      </c>
      <c r="R239">
        <f t="shared" ca="1" si="47"/>
        <v>1.9449375</v>
      </c>
      <c r="S239">
        <f t="shared" ca="1" si="48"/>
        <v>43.339250000000007</v>
      </c>
      <c r="T239" s="3">
        <f t="shared" ca="1" si="52"/>
        <v>8.2551487414186699E-3</v>
      </c>
      <c r="W239">
        <f t="shared" si="49"/>
        <v>43.192378694531335</v>
      </c>
      <c r="X239" s="5">
        <f t="shared" si="50"/>
        <v>1.1616048180061043E-2</v>
      </c>
    </row>
    <row r="240" spans="8:24" x14ac:dyDescent="0.25">
      <c r="H240">
        <v>43.8</v>
      </c>
      <c r="I240">
        <v>1.9420541310722625</v>
      </c>
      <c r="J240" s="10">
        <f t="shared" si="40"/>
        <v>-8.7999999999999998E-5</v>
      </c>
      <c r="K240" s="17">
        <f t="shared" si="41"/>
        <v>1.1900000000000001E-4</v>
      </c>
      <c r="L240" s="10">
        <f t="shared" si="42"/>
        <v>5.7590000000000002E-3</v>
      </c>
      <c r="M240" s="11">
        <f t="shared" si="51"/>
        <v>1.9533917139529173</v>
      </c>
      <c r="N240" s="5">
        <f t="shared" si="43"/>
        <v>5.8379335051773175E-3</v>
      </c>
      <c r="O240">
        <f t="shared" si="44"/>
        <v>10421.5326</v>
      </c>
      <c r="P240">
        <f t="shared" ca="1" si="45"/>
        <v>10423</v>
      </c>
      <c r="Q240" t="str">
        <f t="shared" ca="1" si="46"/>
        <v>0010100010110111</v>
      </c>
      <c r="R240">
        <f t="shared" ca="1" si="47"/>
        <v>1.9543125000000001</v>
      </c>
      <c r="S240">
        <f t="shared" ca="1" si="48"/>
        <v>43.451750000000004</v>
      </c>
      <c r="T240" s="3">
        <f t="shared" ca="1" si="52"/>
        <v>7.950913242008974E-3</v>
      </c>
      <c r="W240">
        <f t="shared" si="49"/>
        <v>43.304649572867149</v>
      </c>
      <c r="X240" s="5">
        <f t="shared" si="50"/>
        <v>1.1309370482485124E-2</v>
      </c>
    </row>
    <row r="241" spans="8:24" x14ac:dyDescent="0.25">
      <c r="H241">
        <v>43.900000000000006</v>
      </c>
      <c r="I241">
        <v>1.9514316754437049</v>
      </c>
      <c r="J241" s="10">
        <f t="shared" si="40"/>
        <v>-8.7999999999999998E-5</v>
      </c>
      <c r="K241" s="17">
        <f t="shared" si="41"/>
        <v>1.2E-4</v>
      </c>
      <c r="L241" s="10">
        <f t="shared" si="42"/>
        <v>5.79E-3</v>
      </c>
      <c r="M241" s="11">
        <f t="shared" si="51"/>
        <v>1.9628847783101204</v>
      </c>
      <c r="N241" s="5">
        <f t="shared" si="43"/>
        <v>5.8690770527804435E-3</v>
      </c>
      <c r="O241">
        <f t="shared" si="44"/>
        <v>10472.179</v>
      </c>
      <c r="P241">
        <f t="shared" ca="1" si="45"/>
        <v>10474</v>
      </c>
      <c r="Q241" t="str">
        <f t="shared" ca="1" si="46"/>
        <v>0010100011101010</v>
      </c>
      <c r="R241">
        <f t="shared" ca="1" si="47"/>
        <v>1.963875</v>
      </c>
      <c r="S241">
        <f t="shared" ca="1" si="48"/>
        <v>43.566500000000005</v>
      </c>
      <c r="T241" s="3">
        <f t="shared" ca="1" si="52"/>
        <v>7.5968109339407917E-3</v>
      </c>
      <c r="W241">
        <f t="shared" si="49"/>
        <v>43.417180105324462</v>
      </c>
      <c r="X241" s="5">
        <f t="shared" si="50"/>
        <v>1.0998175277347231E-2</v>
      </c>
    </row>
    <row r="242" spans="8:24" x14ac:dyDescent="0.25">
      <c r="H242">
        <v>44</v>
      </c>
      <c r="I242">
        <v>1.9600924602932213</v>
      </c>
      <c r="J242" s="10">
        <f t="shared" si="40"/>
        <v>-8.7000000000000001E-5</v>
      </c>
      <c r="K242" s="17">
        <f t="shared" si="41"/>
        <v>1.2E-4</v>
      </c>
      <c r="L242" s="10">
        <f t="shared" si="42"/>
        <v>5.8199999999999997E-3</v>
      </c>
      <c r="M242" s="11">
        <f t="shared" si="51"/>
        <v>1.9716544894216554</v>
      </c>
      <c r="N242" s="5">
        <f t="shared" si="43"/>
        <v>5.8987161894926898E-3</v>
      </c>
      <c r="O242">
        <f t="shared" si="44"/>
        <v>10518.9663</v>
      </c>
      <c r="P242">
        <f t="shared" ca="1" si="45"/>
        <v>10519</v>
      </c>
      <c r="Q242" t="str">
        <f t="shared" ca="1" si="46"/>
        <v>0010100100010111</v>
      </c>
      <c r="R242">
        <f t="shared" ca="1" si="47"/>
        <v>1.9723125000000001</v>
      </c>
      <c r="S242">
        <f t="shared" ca="1" si="48"/>
        <v>43.667750000000005</v>
      </c>
      <c r="T242" s="3">
        <f t="shared" ca="1" si="52"/>
        <v>7.5511363636362461E-3</v>
      </c>
      <c r="W242">
        <f t="shared" si="49"/>
        <v>43.521109523518653</v>
      </c>
      <c r="X242" s="5">
        <f t="shared" si="50"/>
        <v>1.088387446548515E-2</v>
      </c>
    </row>
    <row r="243" spans="8:24" x14ac:dyDescent="0.25">
      <c r="H243">
        <v>44.1</v>
      </c>
      <c r="I243">
        <v>1.9695140822566872</v>
      </c>
      <c r="J243" s="10">
        <f t="shared" si="40"/>
        <v>-8.6000000000000003E-5</v>
      </c>
      <c r="K243" s="17">
        <f t="shared" si="41"/>
        <v>1.21E-4</v>
      </c>
      <c r="L243" s="10">
        <f t="shared" si="42"/>
        <v>5.8510000000000003E-3</v>
      </c>
      <c r="M243" s="11">
        <f t="shared" si="51"/>
        <v>1.9811920368643809</v>
      </c>
      <c r="N243" s="5">
        <f t="shared" si="43"/>
        <v>5.9293582680622478E-3</v>
      </c>
      <c r="O243">
        <f t="shared" si="44"/>
        <v>10569.85</v>
      </c>
      <c r="P243">
        <f t="shared" ca="1" si="45"/>
        <v>10572</v>
      </c>
      <c r="Q243" t="str">
        <f t="shared" ca="1" si="46"/>
        <v>0010100101001100</v>
      </c>
      <c r="R243">
        <f t="shared" ca="1" si="47"/>
        <v>1.9822500000000001</v>
      </c>
      <c r="S243">
        <f t="shared" ca="1" si="48"/>
        <v>43.786999999999999</v>
      </c>
      <c r="T243" s="3">
        <f t="shared" ca="1" si="52"/>
        <v>7.0975056689342939E-3</v>
      </c>
      <c r="W243">
        <f t="shared" si="49"/>
        <v>43.634168987080251</v>
      </c>
      <c r="X243" s="5">
        <f t="shared" si="50"/>
        <v>1.0563061517454654E-2</v>
      </c>
    </row>
    <row r="244" spans="8:24" x14ac:dyDescent="0.25">
      <c r="H244">
        <v>44.2</v>
      </c>
      <c r="I244">
        <v>1.9789570390076263</v>
      </c>
      <c r="J244" s="10">
        <f t="shared" si="40"/>
        <v>-8.6000000000000003E-5</v>
      </c>
      <c r="K244" s="17">
        <f t="shared" si="41"/>
        <v>1.21E-4</v>
      </c>
      <c r="L244" s="10">
        <f t="shared" si="42"/>
        <v>5.8809999999999999E-3</v>
      </c>
      <c r="M244" s="11">
        <f t="shared" si="51"/>
        <v>1.9907506435422986</v>
      </c>
      <c r="N244" s="5">
        <f t="shared" si="43"/>
        <v>5.9595050838427092E-3</v>
      </c>
      <c r="O244">
        <f t="shared" si="44"/>
        <v>10620.846100000001</v>
      </c>
      <c r="P244">
        <f t="shared" ca="1" si="45"/>
        <v>10622</v>
      </c>
      <c r="Q244" t="str">
        <f t="shared" ca="1" si="46"/>
        <v>0010100101111110</v>
      </c>
      <c r="R244">
        <f t="shared" ca="1" si="47"/>
        <v>1.991625</v>
      </c>
      <c r="S244">
        <f t="shared" ca="1" si="48"/>
        <v>43.899500000000003</v>
      </c>
      <c r="T244" s="3">
        <f t="shared" ca="1" si="52"/>
        <v>6.7986425339366411E-3</v>
      </c>
      <c r="W244">
        <f t="shared" si="49"/>
        <v>43.747484468091514</v>
      </c>
      <c r="X244" s="5">
        <f t="shared" si="50"/>
        <v>1.0237907961730516E-2</v>
      </c>
    </row>
    <row r="245" spans="8:24" x14ac:dyDescent="0.25">
      <c r="H245">
        <v>44.3</v>
      </c>
      <c r="I245">
        <v>1.9869512710197827</v>
      </c>
      <c r="J245" s="10">
        <f t="shared" si="40"/>
        <v>-8.5000000000000006E-5</v>
      </c>
      <c r="K245" s="17">
        <f t="shared" si="41"/>
        <v>1.22E-4</v>
      </c>
      <c r="L245" s="10">
        <f t="shared" si="42"/>
        <v>5.9119999999999997E-3</v>
      </c>
      <c r="M245" s="11">
        <f t="shared" si="51"/>
        <v>1.998853492869628</v>
      </c>
      <c r="N245" s="5">
        <f t="shared" si="43"/>
        <v>5.9901931282575161E-3</v>
      </c>
      <c r="O245">
        <f t="shared" si="44"/>
        <v>10664.0756</v>
      </c>
      <c r="P245">
        <f t="shared" ca="1" si="45"/>
        <v>10663</v>
      </c>
      <c r="Q245" t="str">
        <f t="shared" ca="1" si="46"/>
        <v>0010100110100111</v>
      </c>
      <c r="R245">
        <f t="shared" ca="1" si="47"/>
        <v>1.9993125</v>
      </c>
      <c r="S245">
        <f t="shared" ca="1" si="48"/>
        <v>43.991750000000003</v>
      </c>
      <c r="T245" s="3">
        <f t="shared" ca="1" si="52"/>
        <v>6.9582392776522334E-3</v>
      </c>
      <c r="W245">
        <f t="shared" si="49"/>
        <v>43.843415252237399</v>
      </c>
      <c r="X245" s="5">
        <f t="shared" si="50"/>
        <v>1.0306653448365642E-2</v>
      </c>
    </row>
    <row r="246" spans="8:24" x14ac:dyDescent="0.25">
      <c r="H246">
        <v>44.400000000000006</v>
      </c>
      <c r="I246">
        <v>1.9964388044136525</v>
      </c>
      <c r="J246" s="10">
        <f t="shared" si="40"/>
        <v>-8.5000000000000006E-5</v>
      </c>
      <c r="K246" s="17">
        <f t="shared" si="41"/>
        <v>1.22E-4</v>
      </c>
      <c r="L246" s="10">
        <f t="shared" si="42"/>
        <v>5.9420000000000002E-3</v>
      </c>
      <c r="M246" s="11">
        <f t="shared" si="51"/>
        <v>2.00845806221936</v>
      </c>
      <c r="N246" s="5">
        <f t="shared" si="43"/>
        <v>6.0203487225031511E-3</v>
      </c>
      <c r="O246">
        <f t="shared" si="44"/>
        <v>10715.3169</v>
      </c>
      <c r="P246">
        <f t="shared" ca="1" si="45"/>
        <v>10719</v>
      </c>
      <c r="Q246" t="str">
        <f t="shared" ca="1" si="46"/>
        <v>0010100111011111</v>
      </c>
      <c r="R246">
        <f t="shared" ca="1" si="47"/>
        <v>2.0098125000000002</v>
      </c>
      <c r="S246">
        <f t="shared" ca="1" si="48"/>
        <v>44.117750000000001</v>
      </c>
      <c r="T246" s="3">
        <f t="shared" ca="1" si="52"/>
        <v>6.3569819819820888E-3</v>
      </c>
      <c r="W246">
        <f t="shared" si="49"/>
        <v>43.957265652963834</v>
      </c>
      <c r="X246" s="5">
        <f t="shared" si="50"/>
        <v>9.9714943026164848E-3</v>
      </c>
    </row>
    <row r="247" spans="8:24" x14ac:dyDescent="0.25">
      <c r="H247">
        <v>44.5</v>
      </c>
      <c r="I247">
        <v>2.0059473683224143</v>
      </c>
      <c r="J247" s="10">
        <f t="shared" si="40"/>
        <v>-8.3999999999999995E-5</v>
      </c>
      <c r="K247" s="17">
        <f t="shared" si="41"/>
        <v>1.2300000000000001E-4</v>
      </c>
      <c r="L247" s="10">
        <f t="shared" si="42"/>
        <v>5.973E-3</v>
      </c>
      <c r="M247" s="11">
        <f t="shared" si="51"/>
        <v>2.0180853923710469</v>
      </c>
      <c r="N247" s="5">
        <f t="shared" si="43"/>
        <v>6.0510182073140453E-3</v>
      </c>
      <c r="O247">
        <f t="shared" si="44"/>
        <v>10766.679599999999</v>
      </c>
      <c r="P247">
        <f t="shared" ca="1" si="45"/>
        <v>10766</v>
      </c>
      <c r="Q247" t="str">
        <f t="shared" ca="1" si="46"/>
        <v>0010101000001110</v>
      </c>
      <c r="R247">
        <f t="shared" ca="1" si="47"/>
        <v>2.0186250000000001</v>
      </c>
      <c r="S247">
        <f t="shared" ca="1" si="48"/>
        <v>44.223500000000008</v>
      </c>
      <c r="T247" s="3">
        <f t="shared" ca="1" si="52"/>
        <v>6.2134831460672257E-3</v>
      </c>
      <c r="W247">
        <f t="shared" si="49"/>
        <v>44.071368419868975</v>
      </c>
      <c r="X247" s="5">
        <f t="shared" si="50"/>
        <v>9.6321703400230382E-3</v>
      </c>
    </row>
    <row r="248" spans="8:24" x14ac:dyDescent="0.25">
      <c r="H248">
        <v>44.6</v>
      </c>
      <c r="I248">
        <v>2.0147452010532301</v>
      </c>
      <c r="J248" s="10">
        <f t="shared" si="40"/>
        <v>-8.3999999999999995E-5</v>
      </c>
      <c r="K248" s="17">
        <f t="shared" si="41"/>
        <v>1.2300000000000001E-4</v>
      </c>
      <c r="L248" s="10">
        <f t="shared" si="42"/>
        <v>6.0029999999999997E-3</v>
      </c>
      <c r="M248" s="11">
        <f t="shared" si="51"/>
        <v>2.0269972656388604</v>
      </c>
      <c r="N248" s="5">
        <f t="shared" si="43"/>
        <v>6.0811980488775595E-3</v>
      </c>
      <c r="O248">
        <f t="shared" si="44"/>
        <v>10814.2253</v>
      </c>
      <c r="P248">
        <f t="shared" ca="1" si="45"/>
        <v>10817</v>
      </c>
      <c r="Q248" t="str">
        <f t="shared" ca="1" si="46"/>
        <v>0010101001000001</v>
      </c>
      <c r="R248">
        <f t="shared" ca="1" si="47"/>
        <v>2.0281875</v>
      </c>
      <c r="S248">
        <f t="shared" ca="1" si="48"/>
        <v>44.338250000000002</v>
      </c>
      <c r="T248" s="3">
        <f t="shared" ca="1" si="52"/>
        <v>5.8688340807174716E-3</v>
      </c>
      <c r="W248">
        <f t="shared" si="49"/>
        <v>44.176942412638759</v>
      </c>
      <c r="X248" s="5">
        <f t="shared" si="50"/>
        <v>9.4855961291758373E-3</v>
      </c>
    </row>
    <row r="249" spans="8:24" x14ac:dyDescent="0.25">
      <c r="H249">
        <v>44.7</v>
      </c>
      <c r="I249">
        <v>2.0235660738533565</v>
      </c>
      <c r="J249" s="10">
        <f t="shared" si="40"/>
        <v>-8.2999999999999998E-5</v>
      </c>
      <c r="K249" s="17">
        <f t="shared" si="41"/>
        <v>1.2400000000000001E-4</v>
      </c>
      <c r="L249" s="10">
        <f t="shared" si="42"/>
        <v>6.0340000000000003E-3</v>
      </c>
      <c r="M249" s="11">
        <f t="shared" si="51"/>
        <v>2.0359338989999221</v>
      </c>
      <c r="N249" s="5">
        <f t="shared" si="43"/>
        <v>6.1118958784549217E-3</v>
      </c>
      <c r="O249">
        <f t="shared" si="44"/>
        <v>10861.9031</v>
      </c>
      <c r="P249">
        <f t="shared" ca="1" si="45"/>
        <v>10862</v>
      </c>
      <c r="Q249" t="str">
        <f t="shared" ca="1" si="46"/>
        <v>0010101001101110</v>
      </c>
      <c r="R249">
        <f t="shared" ca="1" si="47"/>
        <v>2.0366249999999999</v>
      </c>
      <c r="S249">
        <f t="shared" ca="1" si="48"/>
        <v>44.439500000000002</v>
      </c>
      <c r="T249" s="3">
        <f t="shared" ca="1" si="52"/>
        <v>5.8277404921700309E-3</v>
      </c>
      <c r="W249">
        <f t="shared" si="49"/>
        <v>44.28279288624028</v>
      </c>
      <c r="X249" s="5">
        <f t="shared" si="50"/>
        <v>9.3334924778461486E-3</v>
      </c>
    </row>
    <row r="250" spans="8:24" x14ac:dyDescent="0.25">
      <c r="H250">
        <v>44.8</v>
      </c>
      <c r="I250">
        <v>2.0338687711929553</v>
      </c>
      <c r="J250" s="10">
        <f t="shared" si="40"/>
        <v>-8.2000000000000001E-5</v>
      </c>
      <c r="K250" s="17">
        <f t="shared" si="41"/>
        <v>1.2400000000000001E-4</v>
      </c>
      <c r="L250" s="10">
        <f t="shared" si="42"/>
        <v>6.0639999999999999E-3</v>
      </c>
      <c r="M250" s="11">
        <f t="shared" si="51"/>
        <v>2.0463598976120747</v>
      </c>
      <c r="N250" s="5">
        <f t="shared" si="43"/>
        <v>6.1415596699450868E-3</v>
      </c>
      <c r="O250">
        <f t="shared" si="44"/>
        <v>10917.5268</v>
      </c>
      <c r="P250">
        <f t="shared" ca="1" si="45"/>
        <v>10919</v>
      </c>
      <c r="Q250" t="str">
        <f t="shared" ca="1" si="46"/>
        <v>0010101010100111</v>
      </c>
      <c r="R250">
        <f t="shared" ca="1" si="47"/>
        <v>2.0473124999999999</v>
      </c>
      <c r="S250">
        <f t="shared" ca="1" si="48"/>
        <v>44.567749999999997</v>
      </c>
      <c r="T250" s="3">
        <f t="shared" ca="1" si="52"/>
        <v>5.1841517857142971E-3</v>
      </c>
      <c r="W250">
        <f t="shared" si="49"/>
        <v>44.406425254315465</v>
      </c>
      <c r="X250" s="5">
        <f t="shared" si="50"/>
        <v>8.7851505733154475E-3</v>
      </c>
    </row>
    <row r="251" spans="8:24" x14ac:dyDescent="0.25">
      <c r="H251">
        <v>44.900000000000006</v>
      </c>
      <c r="I251">
        <v>2.0427332007567776</v>
      </c>
      <c r="J251" s="10">
        <f t="shared" si="40"/>
        <v>-8.2000000000000001E-5</v>
      </c>
      <c r="K251" s="17">
        <f t="shared" si="41"/>
        <v>1.25E-4</v>
      </c>
      <c r="L251" s="10">
        <f t="shared" si="42"/>
        <v>6.0949999999999997E-3</v>
      </c>
      <c r="M251" s="11">
        <f t="shared" si="51"/>
        <v>2.0553425133758028</v>
      </c>
      <c r="N251" s="5">
        <f t="shared" si="43"/>
        <v>6.17276530011545E-3</v>
      </c>
      <c r="O251">
        <f t="shared" si="44"/>
        <v>10965.4499</v>
      </c>
      <c r="P251">
        <f t="shared" ca="1" si="45"/>
        <v>10965</v>
      </c>
      <c r="Q251" t="str">
        <f t="shared" ca="1" si="46"/>
        <v>0010101011010101</v>
      </c>
      <c r="R251">
        <f t="shared" ca="1" si="47"/>
        <v>2.0559375000000002</v>
      </c>
      <c r="S251">
        <f t="shared" ca="1" si="48"/>
        <v>44.671250000000001</v>
      </c>
      <c r="T251" s="3">
        <f t="shared" ca="1" si="52"/>
        <v>5.0946547884188212E-3</v>
      </c>
      <c r="W251">
        <f t="shared" si="49"/>
        <v>44.512798409081334</v>
      </c>
      <c r="X251" s="5">
        <f t="shared" si="50"/>
        <v>8.623643450304485E-3</v>
      </c>
    </row>
    <row r="252" spans="8:24" x14ac:dyDescent="0.25">
      <c r="H252">
        <v>45</v>
      </c>
      <c r="I252">
        <v>2.0516203630475993</v>
      </c>
      <c r="J252" s="10">
        <f t="shared" si="40"/>
        <v>-8.1000000000000004E-5</v>
      </c>
      <c r="K252" s="17">
        <f t="shared" si="41"/>
        <v>1.25E-4</v>
      </c>
      <c r="L252" s="10">
        <f t="shared" si="42"/>
        <v>6.1250000000000002E-3</v>
      </c>
      <c r="M252" s="11">
        <f t="shared" si="51"/>
        <v>2.0643454791071307</v>
      </c>
      <c r="N252" s="5">
        <f t="shared" si="43"/>
        <v>6.2024711241551386E-3</v>
      </c>
      <c r="O252">
        <f t="shared" si="44"/>
        <v>11013.481599999999</v>
      </c>
      <c r="P252">
        <f t="shared" ca="1" si="45"/>
        <v>11011</v>
      </c>
      <c r="Q252" t="str">
        <f t="shared" ca="1" si="46"/>
        <v>0010101100000011</v>
      </c>
      <c r="R252">
        <f t="shared" ca="1" si="47"/>
        <v>2.0645625000000001</v>
      </c>
      <c r="S252">
        <f t="shared" ca="1" si="48"/>
        <v>44.774750000000004</v>
      </c>
      <c r="T252" s="3">
        <f t="shared" ca="1" si="52"/>
        <v>5.0055555555554559E-3</v>
      </c>
      <c r="W252">
        <f t="shared" si="49"/>
        <v>44.619444356571194</v>
      </c>
      <c r="X252" s="5">
        <f t="shared" si="50"/>
        <v>8.4567920761956985E-3</v>
      </c>
    </row>
    <row r="253" spans="8:24" x14ac:dyDescent="0.25">
      <c r="H253">
        <v>45.1</v>
      </c>
      <c r="I253">
        <v>2.0619823920639728</v>
      </c>
      <c r="J253" s="10">
        <f t="shared" si="40"/>
        <v>-8.1000000000000004E-5</v>
      </c>
      <c r="K253" s="17">
        <f t="shared" si="41"/>
        <v>1.26E-4</v>
      </c>
      <c r="L253" s="10">
        <f t="shared" si="42"/>
        <v>6.156E-3</v>
      </c>
      <c r="M253" s="11">
        <f t="shared" si="51"/>
        <v>2.0748360829908647</v>
      </c>
      <c r="N253" s="5">
        <f t="shared" si="43"/>
        <v>6.2336569780432642E-3</v>
      </c>
      <c r="O253">
        <f t="shared" si="44"/>
        <v>11069.45</v>
      </c>
      <c r="P253">
        <f t="shared" ca="1" si="45"/>
        <v>11069</v>
      </c>
      <c r="Q253" t="str">
        <f t="shared" ca="1" si="46"/>
        <v>0010101100111101</v>
      </c>
      <c r="R253">
        <f t="shared" ca="1" si="47"/>
        <v>2.0754375</v>
      </c>
      <c r="S253">
        <f t="shared" ca="1" si="48"/>
        <v>44.905250000000002</v>
      </c>
      <c r="T253" s="3">
        <f t="shared" ca="1" si="52"/>
        <v>4.3181818181817983E-3</v>
      </c>
      <c r="W253">
        <f t="shared" si="49"/>
        <v>44.743788704767681</v>
      </c>
      <c r="X253" s="5">
        <f t="shared" si="50"/>
        <v>7.8982548832000083E-3</v>
      </c>
    </row>
    <row r="254" spans="8:24" x14ac:dyDescent="0.25">
      <c r="H254">
        <v>45.2</v>
      </c>
      <c r="I254">
        <v>2.0694624754309761</v>
      </c>
      <c r="J254" s="10">
        <f t="shared" si="40"/>
        <v>-8.0000000000000007E-5</v>
      </c>
      <c r="K254" s="17">
        <f t="shared" si="41"/>
        <v>1.26E-4</v>
      </c>
      <c r="L254" s="10">
        <f t="shared" si="42"/>
        <v>6.1859999999999997E-3</v>
      </c>
      <c r="M254" s="11">
        <f t="shared" si="51"/>
        <v>2.0824243524753889</v>
      </c>
      <c r="N254" s="5">
        <f t="shared" si="43"/>
        <v>6.2634027909655608E-3</v>
      </c>
      <c r="O254">
        <f t="shared" si="44"/>
        <v>11109.9341</v>
      </c>
      <c r="P254">
        <f t="shared" ca="1" si="45"/>
        <v>11110</v>
      </c>
      <c r="Q254" t="str">
        <f t="shared" ca="1" si="46"/>
        <v>0010101101100110</v>
      </c>
      <c r="R254">
        <f t="shared" ca="1" si="47"/>
        <v>2.0831249999999999</v>
      </c>
      <c r="S254">
        <f t="shared" ca="1" si="48"/>
        <v>44.997500000000002</v>
      </c>
      <c r="T254" s="3">
        <f t="shared" ca="1" si="52"/>
        <v>4.4800884955752338E-3</v>
      </c>
      <c r="W254">
        <f t="shared" si="49"/>
        <v>44.83354970517172</v>
      </c>
      <c r="X254" s="5">
        <f t="shared" si="50"/>
        <v>8.1073074077053775E-3</v>
      </c>
    </row>
    <row r="255" spans="8:24" x14ac:dyDescent="0.25">
      <c r="H255">
        <v>45.3</v>
      </c>
      <c r="I255">
        <v>2.0798650155603795</v>
      </c>
      <c r="J255" s="10">
        <f t="shared" si="40"/>
        <v>-8.0000000000000007E-5</v>
      </c>
      <c r="K255" s="17">
        <f t="shared" si="41"/>
        <v>1.27E-4</v>
      </c>
      <c r="L255" s="10">
        <f t="shared" si="42"/>
        <v>6.2170000000000003E-3</v>
      </c>
      <c r="M255" s="11">
        <f t="shared" si="51"/>
        <v>2.0929569287866463</v>
      </c>
      <c r="N255" s="5">
        <f t="shared" si="43"/>
        <v>6.294597547591054E-3</v>
      </c>
      <c r="O255">
        <f t="shared" si="44"/>
        <v>11166.126399999999</v>
      </c>
      <c r="P255">
        <f t="shared" ca="1" si="45"/>
        <v>11166</v>
      </c>
      <c r="Q255" t="str">
        <f t="shared" ca="1" si="46"/>
        <v>0010101110011110</v>
      </c>
      <c r="R255">
        <f t="shared" ca="1" si="47"/>
        <v>2.0936249999999998</v>
      </c>
      <c r="S255">
        <f t="shared" ca="1" si="48"/>
        <v>45.1235</v>
      </c>
      <c r="T255" s="3">
        <f t="shared" ca="1" si="52"/>
        <v>3.8962472406180405E-3</v>
      </c>
      <c r="W255">
        <f t="shared" si="49"/>
        <v>44.958380186724561</v>
      </c>
      <c r="X255" s="5">
        <f t="shared" si="50"/>
        <v>7.5412762312458284E-3</v>
      </c>
    </row>
    <row r="256" spans="8:24" x14ac:dyDescent="0.25">
      <c r="H256">
        <v>45.400000000000006</v>
      </c>
      <c r="I256">
        <v>2.0888398584543699</v>
      </c>
      <c r="J256" s="10">
        <f t="shared" si="40"/>
        <v>-7.8999999999999996E-5</v>
      </c>
      <c r="K256" s="17">
        <f t="shared" si="41"/>
        <v>1.27E-4</v>
      </c>
      <c r="L256" s="10">
        <f t="shared" si="42"/>
        <v>6.2469999999999999E-3</v>
      </c>
      <c r="M256" s="11">
        <f t="shared" si="51"/>
        <v>2.1020503670976289</v>
      </c>
      <c r="N256" s="5">
        <f t="shared" si="43"/>
        <v>6.3243281143792818E-3</v>
      </c>
      <c r="O256">
        <f t="shared" si="44"/>
        <v>11214.640799999999</v>
      </c>
      <c r="P256">
        <f t="shared" ca="1" si="45"/>
        <v>11216</v>
      </c>
      <c r="Q256" t="str">
        <f t="shared" ca="1" si="46"/>
        <v>0010101111010000</v>
      </c>
      <c r="R256">
        <f t="shared" ca="1" si="47"/>
        <v>2.1030000000000002</v>
      </c>
      <c r="S256">
        <f t="shared" ca="1" si="48"/>
        <v>45.236000000000004</v>
      </c>
      <c r="T256" s="3">
        <f t="shared" ca="1" si="52"/>
        <v>3.6123348017621467E-3</v>
      </c>
      <c r="W256">
        <f t="shared" si="49"/>
        <v>45.066078301452443</v>
      </c>
      <c r="X256" s="5">
        <f t="shared" si="50"/>
        <v>7.3551034922370705E-3</v>
      </c>
    </row>
    <row r="257" spans="8:24" x14ac:dyDescent="0.25">
      <c r="H257">
        <v>45.5</v>
      </c>
      <c r="I257">
        <v>2.0978369167506532</v>
      </c>
      <c r="J257" s="10">
        <f t="shared" si="40"/>
        <v>-7.7999999999999999E-5</v>
      </c>
      <c r="K257" s="17">
        <f t="shared" si="41"/>
        <v>1.2799999999999999E-4</v>
      </c>
      <c r="L257" s="10">
        <f t="shared" si="42"/>
        <v>6.2779999999999997E-3</v>
      </c>
      <c r="M257" s="11">
        <f t="shared" si="51"/>
        <v>2.1111688346948676</v>
      </c>
      <c r="N257" s="5">
        <f t="shared" si="43"/>
        <v>6.3550783370064116E-3</v>
      </c>
      <c r="O257">
        <f t="shared" si="44"/>
        <v>11263.288699999999</v>
      </c>
      <c r="P257">
        <f t="shared" ca="1" si="45"/>
        <v>11264</v>
      </c>
      <c r="Q257" t="str">
        <f t="shared" ca="1" si="46"/>
        <v>0010110000000000</v>
      </c>
      <c r="R257">
        <f t="shared" ca="1" si="47"/>
        <v>2.1120000000000001</v>
      </c>
      <c r="S257">
        <f t="shared" ca="1" si="48"/>
        <v>45.344000000000008</v>
      </c>
      <c r="T257" s="3">
        <f t="shared" ca="1" si="52"/>
        <v>3.4285714285712462E-3</v>
      </c>
      <c r="W257">
        <f t="shared" si="49"/>
        <v>45.174043001007846</v>
      </c>
      <c r="X257" s="5">
        <f t="shared" si="50"/>
        <v>7.1638900877396584E-3</v>
      </c>
    </row>
    <row r="258" spans="8:24" x14ac:dyDescent="0.25">
      <c r="H258">
        <v>45.6</v>
      </c>
      <c r="I258">
        <v>2.1075766550201083</v>
      </c>
      <c r="J258" s="10">
        <f t="shared" si="40"/>
        <v>-7.7999999999999999E-5</v>
      </c>
      <c r="K258" s="17">
        <f t="shared" si="41"/>
        <v>1.2799999999999999E-4</v>
      </c>
      <c r="L258" s="10">
        <f t="shared" si="42"/>
        <v>6.3080000000000002E-3</v>
      </c>
      <c r="M258" s="11">
        <f t="shared" si="51"/>
        <v>2.1210341383649141</v>
      </c>
      <c r="N258" s="5">
        <f t="shared" si="43"/>
        <v>6.3852877250044271E-3</v>
      </c>
      <c r="O258">
        <f t="shared" si="44"/>
        <v>11315.9211</v>
      </c>
      <c r="P258">
        <f t="shared" ca="1" si="45"/>
        <v>11319</v>
      </c>
      <c r="Q258" t="str">
        <f t="shared" ca="1" si="46"/>
        <v>0010110000110111</v>
      </c>
      <c r="R258">
        <f t="shared" ca="1" si="47"/>
        <v>2.1223125</v>
      </c>
      <c r="S258">
        <f t="shared" ca="1" si="48"/>
        <v>45.467750000000002</v>
      </c>
      <c r="T258" s="3">
        <f t="shared" ca="1" si="52"/>
        <v>2.9002192982455939E-3</v>
      </c>
      <c r="W258">
        <f t="shared" si="49"/>
        <v>45.290919860241303</v>
      </c>
      <c r="X258" s="5">
        <f t="shared" si="50"/>
        <v>6.7780732403223383E-3</v>
      </c>
    </row>
    <row r="259" spans="8:24" x14ac:dyDescent="0.25">
      <c r="H259">
        <v>45.7</v>
      </c>
      <c r="I259">
        <v>2.115897263207652</v>
      </c>
      <c r="J259" s="10">
        <f t="shared" ref="J259:J322" si="53">ROUND(H259*0.00000575 -0.00034,6)</f>
        <v>-7.7000000000000001E-5</v>
      </c>
      <c r="K259" s="17">
        <f t="shared" ref="K259:K322" si="54">ROUND(H259*0.000005-0.0001,6)</f>
        <v>1.2899999999999999E-4</v>
      </c>
      <c r="L259" s="10">
        <f t="shared" ref="L259:L322" si="55">ROUND(K259+($C$24*(H259-25)),6)</f>
        <v>6.339E-3</v>
      </c>
      <c r="M259" s="11">
        <f t="shared" si="51"/>
        <v>2.1294729925071549</v>
      </c>
      <c r="N259" s="5">
        <f t="shared" ref="N259:N322" si="56">ABS(I259-M259)/I259</f>
        <v>6.4160626016985375E-3</v>
      </c>
      <c r="O259">
        <f t="shared" ref="O259:O322" si="57">ROUND((M259*(2^($C$12-1)))/$C$44,4)</f>
        <v>11360.9432</v>
      </c>
      <c r="P259">
        <f t="shared" ref="P259:P322" ca="1" si="58">ROUND(O259+$C$47+$C$49+RANDBETWEEN($B$45,$D$45),0)</f>
        <v>11365</v>
      </c>
      <c r="Q259" t="str">
        <f t="shared" ref="Q259:Q322" ca="1" si="59">_xlfn.BASE(P259,2,16)</f>
        <v>0010110001100101</v>
      </c>
      <c r="R259">
        <f t="shared" ref="R259:R322" ca="1" si="60">($C$16/2^($C$12-1)) * P259</f>
        <v>2.1309374999999999</v>
      </c>
      <c r="S259">
        <f t="shared" ref="S259:S322" ca="1" si="61">(R259+5/3)/(1/12)</f>
        <v>45.571250000000006</v>
      </c>
      <c r="T259" s="3">
        <f t="shared" ca="1" si="52"/>
        <v>2.8172866520786996E-3</v>
      </c>
      <c r="W259">
        <f t="shared" ref="W259:W322" si="62">(I259+5/3)/(1/12)</f>
        <v>45.390767158491826</v>
      </c>
      <c r="X259" s="5">
        <f t="shared" ref="X259:X322" si="63">ABS(H259-W259)/H259</f>
        <v>6.7665829651679787E-3</v>
      </c>
    </row>
    <row r="260" spans="8:24" x14ac:dyDescent="0.25">
      <c r="H260">
        <v>45.8</v>
      </c>
      <c r="I260">
        <v>2.1263970354411836</v>
      </c>
      <c r="J260" s="10">
        <f t="shared" si="53"/>
        <v>-7.7000000000000001E-5</v>
      </c>
      <c r="K260" s="17">
        <f t="shared" si="54"/>
        <v>1.2899999999999999E-4</v>
      </c>
      <c r="L260" s="10">
        <f t="shared" si="55"/>
        <v>6.3689999999999997E-3</v>
      </c>
      <c r="M260" s="11">
        <f t="shared" ref="M260:M323" si="64">(I260-J260)/(1-L260)</f>
        <v>2.1401043601107288</v>
      </c>
      <c r="N260" s="5">
        <f t="shared" si="56"/>
        <v>6.4462677670641009E-3</v>
      </c>
      <c r="O260">
        <f t="shared" si="57"/>
        <v>11417.6625</v>
      </c>
      <c r="P260">
        <f t="shared" ca="1" si="58"/>
        <v>11420</v>
      </c>
      <c r="Q260" t="str">
        <f t="shared" ca="1" si="59"/>
        <v>0010110010011100</v>
      </c>
      <c r="R260">
        <f t="shared" ca="1" si="60"/>
        <v>2.1412499999999999</v>
      </c>
      <c r="S260">
        <f t="shared" ca="1" si="61"/>
        <v>45.695</v>
      </c>
      <c r="T260" s="3">
        <f t="shared" ref="T260:T323" ca="1" si="65">ABS(H260-S260)/H260</f>
        <v>2.2925764192139055E-3</v>
      </c>
      <c r="W260">
        <f t="shared" si="62"/>
        <v>45.516764425294205</v>
      </c>
      <c r="X260" s="5">
        <f t="shared" si="63"/>
        <v>6.1841828538382482E-3</v>
      </c>
    </row>
    <row r="261" spans="8:24" x14ac:dyDescent="0.25">
      <c r="H261">
        <v>45.900000000000006</v>
      </c>
      <c r="I261">
        <v>2.1354796885083296</v>
      </c>
      <c r="J261" s="10">
        <f t="shared" si="53"/>
        <v>-7.6000000000000004E-5</v>
      </c>
      <c r="K261" s="17">
        <f t="shared" si="54"/>
        <v>1.2999999999999999E-4</v>
      </c>
      <c r="L261" s="10">
        <f t="shared" si="55"/>
        <v>6.4000000000000003E-3</v>
      </c>
      <c r="M261" s="11">
        <f t="shared" si="64"/>
        <v>2.1493112807048402</v>
      </c>
      <c r="N261" s="5">
        <f t="shared" si="56"/>
        <v>6.4770422640602386E-3</v>
      </c>
      <c r="O261">
        <f t="shared" si="57"/>
        <v>11466.782300000001</v>
      </c>
      <c r="P261">
        <f t="shared" ca="1" si="58"/>
        <v>11467</v>
      </c>
      <c r="Q261" t="str">
        <f t="shared" ca="1" si="59"/>
        <v>0010110011001011</v>
      </c>
      <c r="R261">
        <f t="shared" ca="1" si="60"/>
        <v>2.1500625000000002</v>
      </c>
      <c r="S261">
        <f t="shared" ca="1" si="61"/>
        <v>45.800750000000001</v>
      </c>
      <c r="T261" s="3">
        <f t="shared" ca="1" si="65"/>
        <v>2.1623093681918284E-3</v>
      </c>
      <c r="W261">
        <f t="shared" si="62"/>
        <v>45.625756262099962</v>
      </c>
      <c r="X261" s="5">
        <f t="shared" si="63"/>
        <v>5.974809104576111E-3</v>
      </c>
    </row>
    <row r="262" spans="8:24" x14ac:dyDescent="0.25">
      <c r="H262">
        <v>46</v>
      </c>
      <c r="I262">
        <v>2.1445816932485382</v>
      </c>
      <c r="J262" s="10">
        <f t="shared" si="53"/>
        <v>-7.6000000000000004E-5</v>
      </c>
      <c r="K262" s="17">
        <f t="shared" si="54"/>
        <v>1.2999999999999999E-4</v>
      </c>
      <c r="L262" s="10">
        <f t="shared" si="55"/>
        <v>6.43E-3</v>
      </c>
      <c r="M262" s="11">
        <f t="shared" si="64"/>
        <v>2.1585370867161231</v>
      </c>
      <c r="N262" s="5">
        <f t="shared" si="56"/>
        <v>6.5072799565148529E-3</v>
      </c>
      <c r="O262">
        <f t="shared" si="57"/>
        <v>11516.002899999999</v>
      </c>
      <c r="P262">
        <f t="shared" ca="1" si="58"/>
        <v>11520</v>
      </c>
      <c r="Q262" t="str">
        <f t="shared" ca="1" si="59"/>
        <v>0010110100000000</v>
      </c>
      <c r="R262">
        <f t="shared" ca="1" si="60"/>
        <v>2.16</v>
      </c>
      <c r="S262">
        <f t="shared" ca="1" si="61"/>
        <v>45.920000000000009</v>
      </c>
      <c r="T262" s="3">
        <f t="shared" ca="1" si="65"/>
        <v>1.7391304347824171E-3</v>
      </c>
      <c r="W262">
        <f t="shared" si="62"/>
        <v>45.734980318982466</v>
      </c>
      <c r="X262" s="5">
        <f t="shared" si="63"/>
        <v>5.7612974134246629E-3</v>
      </c>
    </row>
    <row r="263" spans="8:24" x14ac:dyDescent="0.25">
      <c r="H263">
        <v>46.1</v>
      </c>
      <c r="I263">
        <v>2.1544249769518684</v>
      </c>
      <c r="J263" s="10">
        <f t="shared" si="53"/>
        <v>-7.4999999999999993E-5</v>
      </c>
      <c r="K263" s="17">
        <f t="shared" si="54"/>
        <v>1.3100000000000001E-4</v>
      </c>
      <c r="L263" s="10">
        <f t="shared" si="55"/>
        <v>6.4609999999999997E-3</v>
      </c>
      <c r="M263" s="11">
        <f t="shared" si="64"/>
        <v>2.1685107247444422</v>
      </c>
      <c r="N263" s="5">
        <f t="shared" si="56"/>
        <v>6.5380544429551758E-3</v>
      </c>
      <c r="O263">
        <f t="shared" si="57"/>
        <v>11569.2132</v>
      </c>
      <c r="P263">
        <f t="shared" ca="1" si="58"/>
        <v>11570</v>
      </c>
      <c r="Q263" t="str">
        <f t="shared" ca="1" si="59"/>
        <v>0010110100110010</v>
      </c>
      <c r="R263">
        <f t="shared" ca="1" si="60"/>
        <v>2.1693750000000001</v>
      </c>
      <c r="S263">
        <f t="shared" ca="1" si="61"/>
        <v>46.032499999999999</v>
      </c>
      <c r="T263" s="3">
        <f t="shared" ca="1" si="65"/>
        <v>1.4642082429501639E-3</v>
      </c>
      <c r="W263">
        <f t="shared" si="62"/>
        <v>45.853099723422424</v>
      </c>
      <c r="X263" s="5">
        <f t="shared" si="63"/>
        <v>5.355754372615552E-3</v>
      </c>
    </row>
    <row r="264" spans="8:24" x14ac:dyDescent="0.25">
      <c r="H264">
        <v>46.2</v>
      </c>
      <c r="I264">
        <v>2.1628573750085227</v>
      </c>
      <c r="J264" s="10">
        <f t="shared" si="53"/>
        <v>-7.3999999999999996E-5</v>
      </c>
      <c r="K264" s="17">
        <f t="shared" si="54"/>
        <v>1.3100000000000001E-4</v>
      </c>
      <c r="L264" s="10">
        <f t="shared" si="55"/>
        <v>6.4910000000000002E-3</v>
      </c>
      <c r="M264" s="11">
        <f t="shared" si="64"/>
        <v>2.1770626889223177</v>
      </c>
      <c r="N264" s="5">
        <f t="shared" si="56"/>
        <v>6.5678458866197803E-3</v>
      </c>
      <c r="O264">
        <f t="shared" si="57"/>
        <v>11614.8388</v>
      </c>
      <c r="P264">
        <f t="shared" ca="1" si="58"/>
        <v>11617</v>
      </c>
      <c r="Q264" t="str">
        <f t="shared" ca="1" si="59"/>
        <v>0010110101100001</v>
      </c>
      <c r="R264">
        <f t="shared" ca="1" si="60"/>
        <v>2.1781874999999999</v>
      </c>
      <c r="S264">
        <f t="shared" ca="1" si="61"/>
        <v>46.138250000000006</v>
      </c>
      <c r="T264" s="3">
        <f t="shared" ca="1" si="65"/>
        <v>1.336580086580009E-3</v>
      </c>
      <c r="W264">
        <f t="shared" si="62"/>
        <v>45.95428850010228</v>
      </c>
      <c r="X264" s="5">
        <f t="shared" si="63"/>
        <v>5.3184307337169525E-3</v>
      </c>
    </row>
    <row r="265" spans="8:24" x14ac:dyDescent="0.25">
      <c r="H265">
        <v>46.3</v>
      </c>
      <c r="I265">
        <v>2.171313374244491</v>
      </c>
      <c r="J265" s="10">
        <f t="shared" si="53"/>
        <v>-7.3999999999999996E-5</v>
      </c>
      <c r="K265" s="17">
        <f t="shared" si="54"/>
        <v>1.3200000000000001E-4</v>
      </c>
      <c r="L265" s="10">
        <f t="shared" si="55"/>
        <v>6.522E-3</v>
      </c>
      <c r="M265" s="11">
        <f t="shared" si="64"/>
        <v>2.185642132230901</v>
      </c>
      <c r="N265" s="5">
        <f t="shared" si="56"/>
        <v>6.5991202174562544E-3</v>
      </c>
      <c r="O265">
        <f t="shared" si="57"/>
        <v>11660.6109</v>
      </c>
      <c r="P265">
        <f t="shared" ca="1" si="58"/>
        <v>11661</v>
      </c>
      <c r="Q265" t="str">
        <f t="shared" ca="1" si="59"/>
        <v>0010110110001101</v>
      </c>
      <c r="R265">
        <f t="shared" ca="1" si="60"/>
        <v>2.1864375000000003</v>
      </c>
      <c r="S265">
        <f t="shared" ca="1" si="61"/>
        <v>46.23725000000001</v>
      </c>
      <c r="T265" s="3">
        <f t="shared" ca="1" si="65"/>
        <v>1.355291576673585E-3</v>
      </c>
      <c r="W265">
        <f t="shared" si="62"/>
        <v>46.055760490933899</v>
      </c>
      <c r="X265" s="5">
        <f t="shared" si="63"/>
        <v>5.2751513837170205E-3</v>
      </c>
    </row>
    <row r="266" spans="8:24" x14ac:dyDescent="0.25">
      <c r="H266">
        <v>46.400000000000006</v>
      </c>
      <c r="I266">
        <v>2.1805045409003414</v>
      </c>
      <c r="J266" s="10">
        <f t="shared" si="53"/>
        <v>-7.2999999999999999E-5</v>
      </c>
      <c r="K266" s="17">
        <f t="shared" si="54"/>
        <v>1.3200000000000001E-4</v>
      </c>
      <c r="L266" s="10">
        <f t="shared" si="55"/>
        <v>6.5519999999999997E-3</v>
      </c>
      <c r="M266" s="11">
        <f t="shared" si="64"/>
        <v>2.1949589116897323</v>
      </c>
      <c r="N266" s="5">
        <f t="shared" si="56"/>
        <v>6.6289111158753435E-3</v>
      </c>
      <c r="O266">
        <f t="shared" si="57"/>
        <v>11710.316800000001</v>
      </c>
      <c r="P266">
        <f t="shared" ca="1" si="58"/>
        <v>11714</v>
      </c>
      <c r="Q266" t="str">
        <f t="shared" ca="1" si="59"/>
        <v>0010110111000010</v>
      </c>
      <c r="R266">
        <f t="shared" ca="1" si="60"/>
        <v>2.1963750000000002</v>
      </c>
      <c r="S266">
        <f t="shared" ca="1" si="61"/>
        <v>46.356500000000004</v>
      </c>
      <c r="T266" s="3">
        <f t="shared" ca="1" si="65"/>
        <v>9.3750000000003542E-4</v>
      </c>
      <c r="W266">
        <f t="shared" si="62"/>
        <v>46.1660544908041</v>
      </c>
      <c r="X266" s="5">
        <f t="shared" si="63"/>
        <v>5.0419290774979583E-3</v>
      </c>
    </row>
    <row r="267" spans="8:24" x14ac:dyDescent="0.25">
      <c r="H267">
        <v>46.5</v>
      </c>
      <c r="I267">
        <v>2.1904274306171239</v>
      </c>
      <c r="J267" s="10">
        <f t="shared" si="53"/>
        <v>-7.2999999999999999E-5</v>
      </c>
      <c r="K267" s="17">
        <f t="shared" si="54"/>
        <v>1.3300000000000001E-4</v>
      </c>
      <c r="L267" s="10">
        <f t="shared" si="55"/>
        <v>6.5830000000000003E-3</v>
      </c>
      <c r="M267" s="11">
        <f t="shared" si="64"/>
        <v>2.2050160512827182</v>
      </c>
      <c r="N267" s="5">
        <f t="shared" si="56"/>
        <v>6.6601707327433113E-3</v>
      </c>
      <c r="O267">
        <f t="shared" si="57"/>
        <v>11763.972599999999</v>
      </c>
      <c r="P267">
        <f t="shared" ca="1" si="58"/>
        <v>11768</v>
      </c>
      <c r="Q267" t="str">
        <f t="shared" ca="1" si="59"/>
        <v>0010110111111000</v>
      </c>
      <c r="R267">
        <f t="shared" ca="1" si="60"/>
        <v>2.2065000000000001</v>
      </c>
      <c r="S267">
        <f t="shared" ca="1" si="61"/>
        <v>46.478000000000009</v>
      </c>
      <c r="T267" s="3">
        <f t="shared" ca="1" si="65"/>
        <v>4.7311827956970665E-4</v>
      </c>
      <c r="W267">
        <f t="shared" si="62"/>
        <v>46.285129167405493</v>
      </c>
      <c r="X267" s="5">
        <f t="shared" si="63"/>
        <v>4.6208781203119689E-3</v>
      </c>
    </row>
    <row r="268" spans="8:24" x14ac:dyDescent="0.25">
      <c r="H268">
        <v>46.6</v>
      </c>
      <c r="I268">
        <v>2.1989502534064203</v>
      </c>
      <c r="J268" s="10">
        <f t="shared" si="53"/>
        <v>-7.2000000000000002E-5</v>
      </c>
      <c r="K268" s="17">
        <f t="shared" si="54"/>
        <v>1.3300000000000001E-4</v>
      </c>
      <c r="L268" s="10">
        <f t="shared" si="55"/>
        <v>6.613E-3</v>
      </c>
      <c r="M268" s="11">
        <f t="shared" si="64"/>
        <v>2.2136611948882159</v>
      </c>
      <c r="N268" s="5">
        <f t="shared" si="56"/>
        <v>6.6899837588443581E-3</v>
      </c>
      <c r="O268">
        <f t="shared" si="57"/>
        <v>11810.095300000001</v>
      </c>
      <c r="P268">
        <f t="shared" ca="1" si="58"/>
        <v>11813</v>
      </c>
      <c r="Q268" t="str">
        <f t="shared" ca="1" si="59"/>
        <v>0010111000100101</v>
      </c>
      <c r="R268">
        <f t="shared" ca="1" si="60"/>
        <v>2.2149375</v>
      </c>
      <c r="S268">
        <f t="shared" ca="1" si="61"/>
        <v>46.579250000000002</v>
      </c>
      <c r="T268" s="3">
        <f t="shared" ca="1" si="65"/>
        <v>4.4527896995707301E-4</v>
      </c>
      <c r="W268">
        <f t="shared" si="62"/>
        <v>46.387403040877047</v>
      </c>
      <c r="X268" s="5">
        <f t="shared" si="63"/>
        <v>4.5621665047844385E-3</v>
      </c>
    </row>
    <row r="269" spans="8:24" x14ac:dyDescent="0.25">
      <c r="H269">
        <v>46.7</v>
      </c>
      <c r="I269">
        <v>2.2089129210224274</v>
      </c>
      <c r="J269" s="10">
        <f t="shared" si="53"/>
        <v>-7.1000000000000005E-5</v>
      </c>
      <c r="K269" s="17">
        <f t="shared" si="54"/>
        <v>1.34E-4</v>
      </c>
      <c r="L269" s="10">
        <f t="shared" si="55"/>
        <v>6.6439999999999997E-3</v>
      </c>
      <c r="M269" s="11">
        <f t="shared" si="64"/>
        <v>2.2237585729813154</v>
      </c>
      <c r="N269" s="5">
        <f t="shared" si="56"/>
        <v>6.7207954725605297E-3</v>
      </c>
      <c r="O269">
        <f t="shared" si="57"/>
        <v>11863.9658</v>
      </c>
      <c r="P269">
        <f t="shared" ca="1" si="58"/>
        <v>11868</v>
      </c>
      <c r="Q269" t="str">
        <f t="shared" ca="1" si="59"/>
        <v>0010111001011100</v>
      </c>
      <c r="R269">
        <f t="shared" ca="1" si="60"/>
        <v>2.22525</v>
      </c>
      <c r="S269">
        <f t="shared" ca="1" si="61"/>
        <v>46.703000000000003</v>
      </c>
      <c r="T269" s="3">
        <f t="shared" ca="1" si="65"/>
        <v>6.4239828693792576E-5</v>
      </c>
      <c r="W269">
        <f t="shared" si="62"/>
        <v>46.506955052269127</v>
      </c>
      <c r="X269" s="5">
        <f t="shared" si="63"/>
        <v>4.1337247908110391E-3</v>
      </c>
    </row>
    <row r="270" spans="8:24" x14ac:dyDescent="0.25">
      <c r="H270">
        <v>46.8</v>
      </c>
      <c r="I270">
        <v>2.2174797595469373</v>
      </c>
      <c r="J270" s="10">
        <f t="shared" si="53"/>
        <v>-7.1000000000000005E-5</v>
      </c>
      <c r="K270" s="17">
        <f t="shared" si="54"/>
        <v>1.34E-4</v>
      </c>
      <c r="L270" s="10">
        <f t="shared" si="55"/>
        <v>6.6740000000000002E-3</v>
      </c>
      <c r="M270" s="11">
        <f t="shared" si="64"/>
        <v>2.2324501317260772</v>
      </c>
      <c r="N270" s="5">
        <f t="shared" si="56"/>
        <v>6.7510750051664684E-3</v>
      </c>
      <c r="O270">
        <f t="shared" si="57"/>
        <v>11910.3361</v>
      </c>
      <c r="P270">
        <f t="shared" ca="1" si="58"/>
        <v>11909</v>
      </c>
      <c r="Q270" t="str">
        <f t="shared" ca="1" si="59"/>
        <v>0010111010000101</v>
      </c>
      <c r="R270">
        <f t="shared" ca="1" si="60"/>
        <v>2.2329375000000002</v>
      </c>
      <c r="S270">
        <f t="shared" ca="1" si="61"/>
        <v>46.79525000000001</v>
      </c>
      <c r="T270" s="3">
        <f t="shared" ca="1" si="65"/>
        <v>1.01495726495452E-4</v>
      </c>
      <c r="W270">
        <f t="shared" si="62"/>
        <v>46.609757114563251</v>
      </c>
      <c r="X270" s="5">
        <f t="shared" si="63"/>
        <v>4.0650189195885842E-3</v>
      </c>
    </row>
    <row r="271" spans="8:24" x14ac:dyDescent="0.25">
      <c r="H271">
        <v>46.900000000000006</v>
      </c>
      <c r="I271">
        <v>2.2281878842781588</v>
      </c>
      <c r="J271" s="10">
        <f t="shared" si="53"/>
        <v>-6.9999999999999994E-5</v>
      </c>
      <c r="K271" s="17">
        <f t="shared" si="54"/>
        <v>1.35E-4</v>
      </c>
      <c r="L271" s="10">
        <f t="shared" si="55"/>
        <v>6.705E-3</v>
      </c>
      <c r="M271" s="11">
        <f t="shared" si="64"/>
        <v>2.2432992054507057</v>
      </c>
      <c r="N271" s="5">
        <f t="shared" si="56"/>
        <v>6.781888223686452E-3</v>
      </c>
      <c r="O271">
        <f t="shared" si="57"/>
        <v>11968.216899999999</v>
      </c>
      <c r="P271">
        <f t="shared" ca="1" si="58"/>
        <v>11972</v>
      </c>
      <c r="Q271" t="str">
        <f t="shared" ca="1" si="59"/>
        <v>0010111011000100</v>
      </c>
      <c r="R271">
        <f t="shared" ca="1" si="60"/>
        <v>2.2447500000000002</v>
      </c>
      <c r="S271">
        <f t="shared" ca="1" si="61"/>
        <v>46.937000000000005</v>
      </c>
      <c r="T271" s="3">
        <f t="shared" ca="1" si="65"/>
        <v>7.8891257995733542E-4</v>
      </c>
      <c r="W271">
        <f t="shared" si="62"/>
        <v>46.738254611337908</v>
      </c>
      <c r="X271" s="5">
        <f t="shared" si="63"/>
        <v>3.4487289693411055E-3</v>
      </c>
    </row>
    <row r="272" spans="8:24" x14ac:dyDescent="0.25">
      <c r="H272">
        <v>47</v>
      </c>
      <c r="I272">
        <v>2.2367971949637377</v>
      </c>
      <c r="J272" s="10">
        <f t="shared" si="53"/>
        <v>-6.9999999999999994E-5</v>
      </c>
      <c r="K272" s="17">
        <f t="shared" si="54"/>
        <v>1.35E-4</v>
      </c>
      <c r="L272" s="10">
        <f t="shared" si="55"/>
        <v>6.7349999999999997E-3</v>
      </c>
      <c r="M272" s="11">
        <f t="shared" si="64"/>
        <v>2.2520346483201741</v>
      </c>
      <c r="N272" s="5">
        <f t="shared" si="56"/>
        <v>6.8121747428619081E-3</v>
      </c>
      <c r="O272">
        <f t="shared" si="57"/>
        <v>12014.821400000001</v>
      </c>
      <c r="P272">
        <f t="shared" ca="1" si="58"/>
        <v>12018</v>
      </c>
      <c r="Q272" t="str">
        <f t="shared" ca="1" si="59"/>
        <v>0010111011110010</v>
      </c>
      <c r="R272">
        <f t="shared" ca="1" si="60"/>
        <v>2.2533750000000001</v>
      </c>
      <c r="S272">
        <f t="shared" ca="1" si="61"/>
        <v>47.040500000000009</v>
      </c>
      <c r="T272" s="3">
        <f t="shared" ca="1" si="65"/>
        <v>8.617021276597583E-4</v>
      </c>
      <c r="W272">
        <f t="shared" si="62"/>
        <v>46.841566339564856</v>
      </c>
      <c r="X272" s="5">
        <f t="shared" si="63"/>
        <v>3.3709289454285853E-3</v>
      </c>
    </row>
    <row r="273" spans="8:24" x14ac:dyDescent="0.25">
      <c r="H273">
        <v>47.1</v>
      </c>
      <c r="I273">
        <v>2.2454292528844166</v>
      </c>
      <c r="J273" s="10">
        <f t="shared" si="53"/>
        <v>-6.8999999999999997E-5</v>
      </c>
      <c r="K273" s="17">
        <f t="shared" si="54"/>
        <v>1.36E-4</v>
      </c>
      <c r="L273" s="10">
        <f t="shared" si="55"/>
        <v>6.7660000000000003E-3</v>
      </c>
      <c r="M273" s="11">
        <f t="shared" si="64"/>
        <v>2.2607947904365102</v>
      </c>
      <c r="N273" s="5">
        <f t="shared" si="56"/>
        <v>6.8430290254549017E-3</v>
      </c>
      <c r="O273">
        <f t="shared" si="57"/>
        <v>12061.5576</v>
      </c>
      <c r="P273">
        <f t="shared" ca="1" si="58"/>
        <v>12063</v>
      </c>
      <c r="Q273" t="str">
        <f t="shared" ca="1" si="59"/>
        <v>0010111100011111</v>
      </c>
      <c r="R273">
        <f t="shared" ca="1" si="60"/>
        <v>2.2618125</v>
      </c>
      <c r="S273">
        <f t="shared" ca="1" si="61"/>
        <v>47.141750000000002</v>
      </c>
      <c r="T273" s="3">
        <f t="shared" ca="1" si="65"/>
        <v>8.8641188959661136E-4</v>
      </c>
      <c r="W273">
        <f t="shared" si="62"/>
        <v>46.945151034612998</v>
      </c>
      <c r="X273" s="5">
        <f t="shared" si="63"/>
        <v>3.2876638086412643E-3</v>
      </c>
    </row>
    <row r="274" spans="8:24" x14ac:dyDescent="0.25">
      <c r="H274">
        <v>47.2</v>
      </c>
      <c r="I274">
        <v>2.2547867154394416</v>
      </c>
      <c r="J274" s="10">
        <f t="shared" si="53"/>
        <v>-6.8999999999999997E-5</v>
      </c>
      <c r="K274" s="17">
        <f t="shared" si="54"/>
        <v>1.36E-4</v>
      </c>
      <c r="L274" s="10">
        <f t="shared" si="55"/>
        <v>6.796E-3</v>
      </c>
      <c r="M274" s="11">
        <f t="shared" si="64"/>
        <v>2.2702845693728997</v>
      </c>
      <c r="N274" s="5">
        <f t="shared" si="56"/>
        <v>6.8733125964145214E-3</v>
      </c>
      <c r="O274">
        <f t="shared" si="57"/>
        <v>12112.1865</v>
      </c>
      <c r="P274">
        <f t="shared" ca="1" si="58"/>
        <v>12114</v>
      </c>
      <c r="Q274" t="str">
        <f t="shared" ca="1" si="59"/>
        <v>0010111101010010</v>
      </c>
      <c r="R274">
        <f t="shared" ca="1" si="60"/>
        <v>2.2713749999999999</v>
      </c>
      <c r="S274">
        <f t="shared" ca="1" si="61"/>
        <v>47.256500000000003</v>
      </c>
      <c r="T274" s="3">
        <f t="shared" ca="1" si="65"/>
        <v>1.1970338983050798E-3</v>
      </c>
      <c r="W274">
        <f t="shared" si="62"/>
        <v>47.057440585273298</v>
      </c>
      <c r="X274" s="5">
        <f t="shared" si="63"/>
        <v>3.0203265831928992E-3</v>
      </c>
    </row>
    <row r="275" spans="8:24" x14ac:dyDescent="0.25">
      <c r="H275">
        <v>47.3</v>
      </c>
      <c r="I275">
        <v>2.2641644797256717</v>
      </c>
      <c r="J275" s="10">
        <f t="shared" si="53"/>
        <v>-6.7999999999999999E-5</v>
      </c>
      <c r="K275" s="17">
        <f t="shared" si="54"/>
        <v>1.37E-4</v>
      </c>
      <c r="L275" s="10">
        <f t="shared" si="55"/>
        <v>6.8269999999999997E-3</v>
      </c>
      <c r="M275" s="11">
        <f t="shared" si="64"/>
        <v>2.279796651465225</v>
      </c>
      <c r="N275" s="5">
        <f t="shared" si="56"/>
        <v>6.9041679080873771E-3</v>
      </c>
      <c r="O275">
        <f t="shared" si="57"/>
        <v>12162.934300000001</v>
      </c>
      <c r="P275">
        <f t="shared" ca="1" si="58"/>
        <v>12164</v>
      </c>
      <c r="Q275" t="str">
        <f t="shared" ca="1" si="59"/>
        <v>0010111110000100</v>
      </c>
      <c r="R275">
        <f t="shared" ca="1" si="60"/>
        <v>2.2807499999999998</v>
      </c>
      <c r="S275">
        <f t="shared" ca="1" si="61"/>
        <v>47.369</v>
      </c>
      <c r="T275" s="3">
        <f t="shared" ca="1" si="65"/>
        <v>1.4587737843552351E-3</v>
      </c>
      <c r="W275">
        <f t="shared" si="62"/>
        <v>47.169973756708067</v>
      </c>
      <c r="X275" s="5">
        <f t="shared" si="63"/>
        <v>2.7489692027892112E-3</v>
      </c>
    </row>
    <row r="276" spans="8:24" x14ac:dyDescent="0.25">
      <c r="H276">
        <v>47.400000000000006</v>
      </c>
      <c r="I276">
        <v>2.2735624377844372</v>
      </c>
      <c r="J276" s="10">
        <f t="shared" si="53"/>
        <v>-6.7000000000000002E-5</v>
      </c>
      <c r="K276" s="17">
        <f t="shared" si="54"/>
        <v>1.37E-4</v>
      </c>
      <c r="L276" s="10">
        <f t="shared" si="55"/>
        <v>6.8570000000000002E-3</v>
      </c>
      <c r="M276" s="11">
        <f t="shared" si="64"/>
        <v>2.289327355460832</v>
      </c>
      <c r="N276" s="5">
        <f t="shared" si="56"/>
        <v>6.9340157166554485E-3</v>
      </c>
      <c r="O276">
        <f t="shared" si="57"/>
        <v>12213.7816</v>
      </c>
      <c r="P276">
        <f t="shared" ca="1" si="58"/>
        <v>12211</v>
      </c>
      <c r="Q276" t="str">
        <f t="shared" ca="1" si="59"/>
        <v>0010111110110011</v>
      </c>
      <c r="R276">
        <f t="shared" ca="1" si="60"/>
        <v>2.2895625000000002</v>
      </c>
      <c r="S276">
        <f t="shared" ca="1" si="61"/>
        <v>47.47475</v>
      </c>
      <c r="T276" s="3">
        <f t="shared" ca="1" si="65"/>
        <v>1.5770042194091674E-3</v>
      </c>
      <c r="W276">
        <f t="shared" si="62"/>
        <v>47.28274925341325</v>
      </c>
      <c r="X276" s="5">
        <f t="shared" si="63"/>
        <v>2.4736444427585521E-3</v>
      </c>
    </row>
    <row r="277" spans="8:24" x14ac:dyDescent="0.25">
      <c r="H277">
        <v>47.5</v>
      </c>
      <c r="I277">
        <v>2.2829804807877734</v>
      </c>
      <c r="J277" s="10">
        <f t="shared" si="53"/>
        <v>-6.7000000000000002E-5</v>
      </c>
      <c r="K277" s="17">
        <f t="shared" si="54"/>
        <v>1.3799999999999999E-4</v>
      </c>
      <c r="L277" s="10">
        <f t="shared" si="55"/>
        <v>6.888E-3</v>
      </c>
      <c r="M277" s="11">
        <f t="shared" si="64"/>
        <v>2.2988821812522389</v>
      </c>
      <c r="N277" s="5">
        <f t="shared" si="56"/>
        <v>6.9653247578263947E-3</v>
      </c>
      <c r="O277">
        <f t="shared" si="57"/>
        <v>12264.7575</v>
      </c>
      <c r="P277">
        <f t="shared" ca="1" si="58"/>
        <v>12265</v>
      </c>
      <c r="Q277" t="str">
        <f t="shared" ca="1" si="59"/>
        <v>0010111111101001</v>
      </c>
      <c r="R277">
        <f t="shared" ca="1" si="60"/>
        <v>2.2996875000000001</v>
      </c>
      <c r="S277">
        <f t="shared" ca="1" si="61"/>
        <v>47.596250000000005</v>
      </c>
      <c r="T277" s="3">
        <f t="shared" ca="1" si="65"/>
        <v>2.0263157894737861E-3</v>
      </c>
      <c r="W277">
        <f t="shared" si="62"/>
        <v>47.395765769453284</v>
      </c>
      <c r="X277" s="5">
        <f t="shared" si="63"/>
        <v>2.194404853615071E-3</v>
      </c>
    </row>
    <row r="278" spans="8:24" x14ac:dyDescent="0.25">
      <c r="H278">
        <v>47.6</v>
      </c>
      <c r="I278">
        <v>2.2924184995887269</v>
      </c>
      <c r="J278" s="10">
        <f t="shared" si="53"/>
        <v>-6.6000000000000005E-5</v>
      </c>
      <c r="K278" s="17">
        <f t="shared" si="54"/>
        <v>1.3799999999999999E-4</v>
      </c>
      <c r="L278" s="10">
        <f t="shared" si="55"/>
        <v>6.9179999999999997E-3</v>
      </c>
      <c r="M278" s="11">
        <f t="shared" si="64"/>
        <v>2.3084543870382572</v>
      </c>
      <c r="N278" s="5">
        <f t="shared" si="56"/>
        <v>6.9951832322096771E-3</v>
      </c>
      <c r="O278">
        <f t="shared" si="57"/>
        <v>12315.8261</v>
      </c>
      <c r="P278">
        <f t="shared" ca="1" si="58"/>
        <v>12315</v>
      </c>
      <c r="Q278" t="str">
        <f t="shared" ca="1" si="59"/>
        <v>0011000000011011</v>
      </c>
      <c r="R278">
        <f t="shared" ca="1" si="60"/>
        <v>2.3090625</v>
      </c>
      <c r="S278">
        <f t="shared" ca="1" si="61"/>
        <v>47.708750000000002</v>
      </c>
      <c r="T278" s="3">
        <f t="shared" ca="1" si="65"/>
        <v>2.2846638655462303E-3</v>
      </c>
      <c r="W278">
        <f t="shared" si="62"/>
        <v>47.509021995064721</v>
      </c>
      <c r="X278" s="5">
        <f t="shared" si="63"/>
        <v>1.9113026246907648E-3</v>
      </c>
    </row>
    <row r="279" spans="8:24" x14ac:dyDescent="0.25">
      <c r="H279">
        <v>47.7</v>
      </c>
      <c r="I279">
        <v>2.3018763855042037</v>
      </c>
      <c r="J279" s="10">
        <f t="shared" si="53"/>
        <v>-6.6000000000000005E-5</v>
      </c>
      <c r="K279" s="17">
        <f t="shared" si="54"/>
        <v>1.3899999999999999E-4</v>
      </c>
      <c r="L279" s="10">
        <f t="shared" si="55"/>
        <v>6.9490000000000003E-3</v>
      </c>
      <c r="M279" s="11">
        <f t="shared" si="64"/>
        <v>2.3180505185576608</v>
      </c>
      <c r="N279" s="5">
        <f t="shared" si="56"/>
        <v>7.0264994051425856E-3</v>
      </c>
      <c r="O279">
        <f t="shared" si="57"/>
        <v>12367.0224</v>
      </c>
      <c r="P279">
        <f t="shared" ca="1" si="58"/>
        <v>12368</v>
      </c>
      <c r="Q279" t="str">
        <f t="shared" ca="1" si="59"/>
        <v>0011000001010000</v>
      </c>
      <c r="R279">
        <f t="shared" ca="1" si="60"/>
        <v>2.319</v>
      </c>
      <c r="S279">
        <f t="shared" ca="1" si="61"/>
        <v>47.828000000000003</v>
      </c>
      <c r="T279" s="3">
        <f t="shared" ca="1" si="65"/>
        <v>2.6834381551362704E-3</v>
      </c>
      <c r="W279">
        <f t="shared" si="62"/>
        <v>47.622516626050448</v>
      </c>
      <c r="X279" s="5">
        <f t="shared" si="63"/>
        <v>1.6243893909759924E-3</v>
      </c>
    </row>
    <row r="280" spans="8:24" x14ac:dyDescent="0.25">
      <c r="H280">
        <v>47.8</v>
      </c>
      <c r="I280">
        <v>2.3106579502654072</v>
      </c>
      <c r="J280" s="10">
        <f t="shared" si="53"/>
        <v>-6.4999999999999994E-5</v>
      </c>
      <c r="K280" s="17">
        <f t="shared" si="54"/>
        <v>1.3899999999999999E-4</v>
      </c>
      <c r="L280" s="10">
        <f t="shared" si="55"/>
        <v>6.979E-3</v>
      </c>
      <c r="M280" s="11">
        <f t="shared" si="64"/>
        <v>2.3269628238127966</v>
      </c>
      <c r="N280" s="5">
        <f t="shared" si="56"/>
        <v>7.0563769706877624E-3</v>
      </c>
      <c r="O280">
        <f t="shared" si="57"/>
        <v>12414.570400000001</v>
      </c>
      <c r="P280">
        <f t="shared" ca="1" si="58"/>
        <v>12416</v>
      </c>
      <c r="Q280" t="str">
        <f t="shared" ca="1" si="59"/>
        <v>0011000010000000</v>
      </c>
      <c r="R280">
        <f t="shared" ca="1" si="60"/>
        <v>2.3279999999999998</v>
      </c>
      <c r="S280">
        <f t="shared" ca="1" si="61"/>
        <v>47.936</v>
      </c>
      <c r="T280" s="3">
        <f t="shared" ca="1" si="65"/>
        <v>2.845188284518887E-3</v>
      </c>
      <c r="W280">
        <f t="shared" si="62"/>
        <v>47.727895403184888</v>
      </c>
      <c r="X280" s="5">
        <f t="shared" si="63"/>
        <v>1.5084643685169213E-3</v>
      </c>
    </row>
    <row r="281" spans="8:24" x14ac:dyDescent="0.25">
      <c r="H281">
        <v>47.900000000000006</v>
      </c>
      <c r="I281">
        <v>2.3194613941572002</v>
      </c>
      <c r="J281" s="10">
        <f t="shared" si="53"/>
        <v>-6.4999999999999994E-5</v>
      </c>
      <c r="K281" s="17">
        <f t="shared" si="54"/>
        <v>1.3999999999999999E-4</v>
      </c>
      <c r="L281" s="10">
        <f t="shared" si="55"/>
        <v>7.0099999999999997E-3</v>
      </c>
      <c r="M281" s="11">
        <f t="shared" si="64"/>
        <v>2.3359010605919499</v>
      </c>
      <c r="N281" s="5">
        <f t="shared" si="56"/>
        <v>7.0877085844850713E-3</v>
      </c>
      <c r="O281">
        <f t="shared" si="57"/>
        <v>12462.2567</v>
      </c>
      <c r="P281">
        <f t="shared" ca="1" si="58"/>
        <v>12461</v>
      </c>
      <c r="Q281" t="str">
        <f t="shared" ca="1" si="59"/>
        <v>0011000010101101</v>
      </c>
      <c r="R281">
        <f t="shared" ca="1" si="60"/>
        <v>2.3364375000000002</v>
      </c>
      <c r="S281">
        <f t="shared" ca="1" si="61"/>
        <v>48.03725</v>
      </c>
      <c r="T281" s="3">
        <f t="shared" ca="1" si="65"/>
        <v>2.8653444676408043E-3</v>
      </c>
      <c r="W281">
        <f t="shared" si="62"/>
        <v>47.833536729886404</v>
      </c>
      <c r="X281" s="5">
        <f t="shared" si="63"/>
        <v>1.3875421735616163E-3</v>
      </c>
    </row>
    <row r="282" spans="8:24" x14ac:dyDescent="0.25">
      <c r="H282">
        <v>48</v>
      </c>
      <c r="I282">
        <v>2.3289804538045931</v>
      </c>
      <c r="J282" s="10">
        <f t="shared" si="53"/>
        <v>-6.3999999999999997E-5</v>
      </c>
      <c r="K282" s="17">
        <f t="shared" si="54"/>
        <v>1.3999999999999999E-4</v>
      </c>
      <c r="L282" s="10">
        <f t="shared" si="55"/>
        <v>7.0400000000000003E-3</v>
      </c>
      <c r="M282" s="11">
        <f t="shared" si="64"/>
        <v>2.345557176325928</v>
      </c>
      <c r="N282" s="5">
        <f t="shared" si="56"/>
        <v>7.117587652680976E-3</v>
      </c>
      <c r="O282">
        <f t="shared" si="57"/>
        <v>12513.7731</v>
      </c>
      <c r="P282">
        <f t="shared" ca="1" si="58"/>
        <v>12515</v>
      </c>
      <c r="Q282" t="str">
        <f t="shared" ca="1" si="59"/>
        <v>0011000011100011</v>
      </c>
      <c r="R282">
        <f t="shared" ca="1" si="60"/>
        <v>2.3465625000000001</v>
      </c>
      <c r="S282">
        <f t="shared" ca="1" si="61"/>
        <v>48.158750000000005</v>
      </c>
      <c r="T282" s="3">
        <f t="shared" ca="1" si="65"/>
        <v>3.3072916666667673E-3</v>
      </c>
      <c r="W282">
        <f t="shared" si="62"/>
        <v>47.947765445655115</v>
      </c>
      <c r="X282" s="5">
        <f t="shared" si="63"/>
        <v>1.0882198821851041E-3</v>
      </c>
    </row>
    <row r="283" spans="8:24" x14ac:dyDescent="0.25">
      <c r="H283">
        <v>48.1</v>
      </c>
      <c r="I283">
        <v>2.3378262105825942</v>
      </c>
      <c r="J283" s="10">
        <f t="shared" si="53"/>
        <v>-6.3E-5</v>
      </c>
      <c r="K283" s="17">
        <f t="shared" si="54"/>
        <v>1.4100000000000001E-4</v>
      </c>
      <c r="L283" s="10">
        <f t="shared" si="55"/>
        <v>7.071E-3</v>
      </c>
      <c r="M283" s="11">
        <f t="shared" si="64"/>
        <v>2.3545381498401139</v>
      </c>
      <c r="N283" s="5">
        <f t="shared" si="56"/>
        <v>7.1484951198981595E-3</v>
      </c>
      <c r="O283">
        <f t="shared" si="57"/>
        <v>12561.687400000001</v>
      </c>
      <c r="P283">
        <f t="shared" ca="1" si="58"/>
        <v>12563</v>
      </c>
      <c r="Q283" t="str">
        <f t="shared" ca="1" si="59"/>
        <v>0011000100010011</v>
      </c>
      <c r="R283">
        <f t="shared" ca="1" si="60"/>
        <v>2.3555625</v>
      </c>
      <c r="S283">
        <f t="shared" ca="1" si="61"/>
        <v>48.266750000000002</v>
      </c>
      <c r="T283" s="3">
        <f t="shared" ca="1" si="65"/>
        <v>3.466735966735975E-3</v>
      </c>
      <c r="W283">
        <f t="shared" si="62"/>
        <v>48.053914526991129</v>
      </c>
      <c r="X283" s="5">
        <f t="shared" si="63"/>
        <v>9.5811794197240467E-4</v>
      </c>
    </row>
    <row r="284" spans="8:24" x14ac:dyDescent="0.25">
      <c r="H284">
        <v>48.2</v>
      </c>
      <c r="I284">
        <v>2.3466935172264378</v>
      </c>
      <c r="J284" s="10">
        <f t="shared" si="53"/>
        <v>-6.3E-5</v>
      </c>
      <c r="K284" s="17">
        <f t="shared" si="54"/>
        <v>1.4100000000000001E-4</v>
      </c>
      <c r="L284" s="10">
        <f t="shared" si="55"/>
        <v>7.1009999999999997E-3</v>
      </c>
      <c r="M284" s="11">
        <f t="shared" si="64"/>
        <v>2.363540014872044</v>
      </c>
      <c r="N284" s="5">
        <f t="shared" si="56"/>
        <v>7.1788231066139E-3</v>
      </c>
      <c r="O284">
        <f t="shared" si="57"/>
        <v>12609.7132</v>
      </c>
      <c r="P284">
        <f t="shared" ca="1" si="58"/>
        <v>12613</v>
      </c>
      <c r="Q284" t="str">
        <f t="shared" ca="1" si="59"/>
        <v>0011000101000101</v>
      </c>
      <c r="R284">
        <f t="shared" ca="1" si="60"/>
        <v>2.3649374999999999</v>
      </c>
      <c r="S284">
        <f t="shared" ca="1" si="61"/>
        <v>48.379250000000006</v>
      </c>
      <c r="T284" s="3">
        <f t="shared" ca="1" si="65"/>
        <v>3.7188796680498594E-3</v>
      </c>
      <c r="W284">
        <f t="shared" si="62"/>
        <v>48.160322206717261</v>
      </c>
      <c r="X284" s="5">
        <f t="shared" si="63"/>
        <v>8.2319073200709341E-4</v>
      </c>
    </row>
    <row r="285" spans="8:24" x14ac:dyDescent="0.25">
      <c r="H285">
        <v>48.3</v>
      </c>
      <c r="I285">
        <v>2.3569632631803135</v>
      </c>
      <c r="J285" s="10">
        <f t="shared" si="53"/>
        <v>-6.2000000000000003E-5</v>
      </c>
      <c r="K285" s="17">
        <f t="shared" si="54"/>
        <v>1.4200000000000001E-4</v>
      </c>
      <c r="L285" s="10">
        <f t="shared" si="55"/>
        <v>7.1320000000000003E-3</v>
      </c>
      <c r="M285" s="11">
        <f t="shared" si="64"/>
        <v>2.3739563196520721</v>
      </c>
      <c r="N285" s="5">
        <f t="shared" si="56"/>
        <v>7.2097247917345363E-3</v>
      </c>
      <c r="O285">
        <f t="shared" si="57"/>
        <v>12665.2852</v>
      </c>
      <c r="P285">
        <f t="shared" ca="1" si="58"/>
        <v>12664</v>
      </c>
      <c r="Q285" t="str">
        <f t="shared" ca="1" si="59"/>
        <v>0011000101111000</v>
      </c>
      <c r="R285">
        <f t="shared" ca="1" si="60"/>
        <v>2.3744999999999998</v>
      </c>
      <c r="S285">
        <f t="shared" ca="1" si="61"/>
        <v>48.494</v>
      </c>
      <c r="T285" s="3">
        <f t="shared" ca="1" si="65"/>
        <v>4.016563146997984E-3</v>
      </c>
      <c r="W285">
        <f t="shared" si="62"/>
        <v>48.283559158163769</v>
      </c>
      <c r="X285" s="5">
        <f t="shared" si="63"/>
        <v>3.4039010012895475E-4</v>
      </c>
    </row>
    <row r="286" spans="8:24" x14ac:dyDescent="0.25">
      <c r="H286">
        <v>48.400000000000006</v>
      </c>
      <c r="I286">
        <v>2.3665604919228551</v>
      </c>
      <c r="J286" s="10">
        <f t="shared" si="53"/>
        <v>-6.2000000000000003E-5</v>
      </c>
      <c r="K286" s="17">
        <f t="shared" si="54"/>
        <v>1.4200000000000001E-4</v>
      </c>
      <c r="L286" s="10">
        <f t="shared" si="55"/>
        <v>7.162E-3</v>
      </c>
      <c r="M286" s="11">
        <f t="shared" si="64"/>
        <v>2.3836945120179274</v>
      </c>
      <c r="N286" s="5">
        <f t="shared" si="56"/>
        <v>7.2400516080409526E-3</v>
      </c>
      <c r="O286">
        <f t="shared" si="57"/>
        <v>12717.2394</v>
      </c>
      <c r="P286">
        <f t="shared" ca="1" si="58"/>
        <v>12715</v>
      </c>
      <c r="Q286" t="str">
        <f t="shared" ca="1" si="59"/>
        <v>0011000110101011</v>
      </c>
      <c r="R286">
        <f t="shared" ca="1" si="60"/>
        <v>2.3840625000000002</v>
      </c>
      <c r="S286">
        <f t="shared" ca="1" si="61"/>
        <v>48.608750000000001</v>
      </c>
      <c r="T286" s="3">
        <f t="shared" ca="1" si="65"/>
        <v>4.3130165289255139E-3</v>
      </c>
      <c r="W286">
        <f t="shared" si="62"/>
        <v>48.398725903074265</v>
      </c>
      <c r="X286" s="5">
        <f t="shared" si="63"/>
        <v>2.6324316647536446E-5</v>
      </c>
    </row>
    <row r="287" spans="8:24" x14ac:dyDescent="0.25">
      <c r="H287">
        <v>48.5</v>
      </c>
      <c r="I287">
        <v>2.3754884378601537</v>
      </c>
      <c r="J287" s="10">
        <f t="shared" si="53"/>
        <v>-6.0999999999999999E-5</v>
      </c>
      <c r="K287" s="17">
        <f t="shared" si="54"/>
        <v>1.4300000000000001E-4</v>
      </c>
      <c r="L287" s="10">
        <f t="shared" si="55"/>
        <v>7.1929999999999997E-3</v>
      </c>
      <c r="M287" s="11">
        <f t="shared" si="64"/>
        <v>2.392760564601331</v>
      </c>
      <c r="N287" s="5">
        <f t="shared" si="56"/>
        <v>7.2709790819845297E-3</v>
      </c>
      <c r="O287">
        <f t="shared" si="57"/>
        <v>12765.6077</v>
      </c>
      <c r="P287">
        <f t="shared" ca="1" si="58"/>
        <v>12769</v>
      </c>
      <c r="Q287" t="str">
        <f t="shared" ca="1" si="59"/>
        <v>0011000111100001</v>
      </c>
      <c r="R287">
        <f t="shared" ca="1" si="60"/>
        <v>2.3941875000000001</v>
      </c>
      <c r="S287">
        <f t="shared" ca="1" si="61"/>
        <v>48.730250000000005</v>
      </c>
      <c r="T287" s="3">
        <f t="shared" ca="1" si="65"/>
        <v>4.7474226804124775E-3</v>
      </c>
      <c r="W287">
        <f t="shared" si="62"/>
        <v>48.505861254321843</v>
      </c>
      <c r="X287" s="5">
        <f t="shared" si="63"/>
        <v>1.2085060457408319E-4</v>
      </c>
    </row>
    <row r="288" spans="8:24" x14ac:dyDescent="0.25">
      <c r="H288">
        <v>48.6</v>
      </c>
      <c r="I288">
        <v>2.3844374913717843</v>
      </c>
      <c r="J288" s="10">
        <f t="shared" si="53"/>
        <v>-6.0999999999999999E-5</v>
      </c>
      <c r="K288" s="17">
        <f t="shared" si="54"/>
        <v>1.4300000000000001E-4</v>
      </c>
      <c r="L288" s="10">
        <f t="shared" si="55"/>
        <v>7.2230000000000003E-3</v>
      </c>
      <c r="M288" s="11">
        <f t="shared" si="64"/>
        <v>2.4018470324874412</v>
      </c>
      <c r="N288" s="5">
        <f t="shared" si="56"/>
        <v>7.3013199879025225E-3</v>
      </c>
      <c r="O288">
        <f t="shared" si="57"/>
        <v>12814.0849</v>
      </c>
      <c r="P288">
        <f t="shared" ca="1" si="58"/>
        <v>12817</v>
      </c>
      <c r="Q288" t="str">
        <f t="shared" ca="1" si="59"/>
        <v>0011001000010001</v>
      </c>
      <c r="R288">
        <f t="shared" ca="1" si="60"/>
        <v>2.4031875</v>
      </c>
      <c r="S288">
        <f t="shared" ca="1" si="61"/>
        <v>48.838250000000002</v>
      </c>
      <c r="T288" s="3">
        <f t="shared" ca="1" si="65"/>
        <v>4.9022633744856114E-3</v>
      </c>
      <c r="W288">
        <f t="shared" si="62"/>
        <v>48.613249896461419</v>
      </c>
      <c r="X288" s="5">
        <f t="shared" si="63"/>
        <v>2.7263161443245198E-4</v>
      </c>
    </row>
    <row r="289" spans="8:24" x14ac:dyDescent="0.25">
      <c r="H289">
        <v>48.7</v>
      </c>
      <c r="I289">
        <v>2.394093580048922</v>
      </c>
      <c r="J289" s="10">
        <f t="shared" si="53"/>
        <v>-6.0000000000000002E-5</v>
      </c>
      <c r="K289" s="17">
        <f t="shared" si="54"/>
        <v>1.44E-4</v>
      </c>
      <c r="L289" s="10">
        <f t="shared" si="55"/>
        <v>7.254E-3</v>
      </c>
      <c r="M289" s="11">
        <f t="shared" si="64"/>
        <v>2.4116476722635216</v>
      </c>
      <c r="N289" s="5">
        <f t="shared" si="56"/>
        <v>7.3322498171691656E-3</v>
      </c>
      <c r="O289">
        <f t="shared" si="57"/>
        <v>12866.3722</v>
      </c>
      <c r="P289">
        <f t="shared" ca="1" si="58"/>
        <v>12864</v>
      </c>
      <c r="Q289" t="str">
        <f t="shared" ca="1" si="59"/>
        <v>0011001001000000</v>
      </c>
      <c r="R289">
        <f t="shared" ca="1" si="60"/>
        <v>2.4119999999999999</v>
      </c>
      <c r="S289">
        <f t="shared" ca="1" si="61"/>
        <v>48.944000000000003</v>
      </c>
      <c r="T289" s="3">
        <f t="shared" ca="1" si="65"/>
        <v>5.0102669404517401E-3</v>
      </c>
      <c r="W289">
        <f t="shared" si="62"/>
        <v>48.729122960587063</v>
      </c>
      <c r="X289" s="5">
        <f t="shared" si="63"/>
        <v>5.9800740425174049E-4</v>
      </c>
    </row>
    <row r="290" spans="8:24" x14ac:dyDescent="0.25">
      <c r="H290">
        <v>48.8</v>
      </c>
      <c r="I290">
        <v>2.4030834008740349</v>
      </c>
      <c r="J290" s="10">
        <f t="shared" si="53"/>
        <v>-5.8999999999999998E-5</v>
      </c>
      <c r="K290" s="17">
        <f t="shared" si="54"/>
        <v>1.44E-4</v>
      </c>
      <c r="L290" s="10">
        <f t="shared" si="55"/>
        <v>7.2839999999999997E-3</v>
      </c>
      <c r="M290" s="11">
        <f t="shared" si="64"/>
        <v>2.4207753283658513</v>
      </c>
      <c r="N290" s="5">
        <f t="shared" si="56"/>
        <v>7.362177894192753E-3</v>
      </c>
      <c r="O290">
        <f t="shared" si="57"/>
        <v>12915.069100000001</v>
      </c>
      <c r="P290">
        <f t="shared" ca="1" si="58"/>
        <v>12917</v>
      </c>
      <c r="Q290" t="str">
        <f t="shared" ca="1" si="59"/>
        <v>0011001001110101</v>
      </c>
      <c r="R290">
        <f t="shared" ca="1" si="60"/>
        <v>2.4219374999999999</v>
      </c>
      <c r="S290">
        <f t="shared" ca="1" si="61"/>
        <v>49.063249999999996</v>
      </c>
      <c r="T290" s="3">
        <f t="shared" ca="1" si="65"/>
        <v>5.3944672131147403E-3</v>
      </c>
      <c r="W290">
        <f t="shared" si="62"/>
        <v>48.837000810488426</v>
      </c>
      <c r="X290" s="5">
        <f t="shared" si="63"/>
        <v>7.5821332968092588E-4</v>
      </c>
    </row>
    <row r="291" spans="8:24" x14ac:dyDescent="0.25">
      <c r="H291">
        <v>48.900000000000006</v>
      </c>
      <c r="I291">
        <v>2.4120939963613197</v>
      </c>
      <c r="J291" s="10">
        <f t="shared" si="53"/>
        <v>-5.8999999999999998E-5</v>
      </c>
      <c r="K291" s="17">
        <f t="shared" si="54"/>
        <v>1.45E-4</v>
      </c>
      <c r="L291" s="10">
        <f t="shared" si="55"/>
        <v>7.3150000000000003E-3</v>
      </c>
      <c r="M291" s="11">
        <f t="shared" si="64"/>
        <v>2.4299279190894589</v>
      </c>
      <c r="N291" s="5">
        <f t="shared" si="56"/>
        <v>7.3935438482256328E-3</v>
      </c>
      <c r="O291">
        <f t="shared" si="57"/>
        <v>12963.899100000001</v>
      </c>
      <c r="P291">
        <f t="shared" ca="1" si="58"/>
        <v>12967</v>
      </c>
      <c r="Q291" t="str">
        <f t="shared" ca="1" si="59"/>
        <v>0011001010100111</v>
      </c>
      <c r="R291">
        <f t="shared" ca="1" si="60"/>
        <v>2.4313125000000002</v>
      </c>
      <c r="S291">
        <f t="shared" ca="1" si="61"/>
        <v>49.175750000000001</v>
      </c>
      <c r="T291" s="3">
        <f t="shared" ca="1" si="65"/>
        <v>5.6390593047033746E-3</v>
      </c>
      <c r="W291">
        <f t="shared" si="62"/>
        <v>48.945127956335838</v>
      </c>
      <c r="X291" s="5">
        <f t="shared" si="63"/>
        <v>9.2286209275731408E-4</v>
      </c>
    </row>
    <row r="292" spans="8:24" x14ac:dyDescent="0.25">
      <c r="H292">
        <v>49</v>
      </c>
      <c r="I292">
        <v>2.4218079454223176</v>
      </c>
      <c r="J292" s="10">
        <f t="shared" si="53"/>
        <v>-5.8E-5</v>
      </c>
      <c r="K292" s="17">
        <f t="shared" si="54"/>
        <v>1.45E-4</v>
      </c>
      <c r="L292" s="10">
        <f t="shared" si="55"/>
        <v>7.345E-3</v>
      </c>
      <c r="M292" s="11">
        <f t="shared" si="64"/>
        <v>2.4397861748767879</v>
      </c>
      <c r="N292" s="5">
        <f t="shared" si="56"/>
        <v>7.4234744701588209E-3</v>
      </c>
      <c r="O292">
        <f t="shared" si="57"/>
        <v>13016.4938</v>
      </c>
      <c r="P292">
        <f t="shared" ca="1" si="58"/>
        <v>13018</v>
      </c>
      <c r="Q292" t="str">
        <f t="shared" ca="1" si="59"/>
        <v>0011001011011010</v>
      </c>
      <c r="R292">
        <f t="shared" ca="1" si="60"/>
        <v>2.4408750000000001</v>
      </c>
      <c r="S292">
        <f t="shared" ca="1" si="61"/>
        <v>49.290500000000009</v>
      </c>
      <c r="T292" s="3">
        <f t="shared" ca="1" si="65"/>
        <v>5.928571428571605E-3</v>
      </c>
      <c r="W292">
        <f t="shared" si="62"/>
        <v>49.061695345067818</v>
      </c>
      <c r="X292" s="5">
        <f t="shared" si="63"/>
        <v>1.2590886748534316E-3</v>
      </c>
    </row>
    <row r="293" spans="8:24" x14ac:dyDescent="0.25">
      <c r="H293">
        <v>49.1</v>
      </c>
      <c r="I293">
        <v>2.4322217922306053</v>
      </c>
      <c r="J293" s="10">
        <f t="shared" si="53"/>
        <v>-5.8E-5</v>
      </c>
      <c r="K293" s="17">
        <f t="shared" si="54"/>
        <v>1.46E-4</v>
      </c>
      <c r="L293" s="10">
        <f t="shared" si="55"/>
        <v>7.3759999999999997E-3</v>
      </c>
      <c r="M293" s="11">
        <f t="shared" si="64"/>
        <v>2.4503536003870603</v>
      </c>
      <c r="N293" s="5">
        <f t="shared" si="56"/>
        <v>7.4548333603352002E-3</v>
      </c>
      <c r="O293">
        <f t="shared" si="57"/>
        <v>13072.872100000001</v>
      </c>
      <c r="P293">
        <f t="shared" ca="1" si="58"/>
        <v>13073</v>
      </c>
      <c r="Q293" t="str">
        <f t="shared" ca="1" si="59"/>
        <v>0011001100010001</v>
      </c>
      <c r="R293">
        <f t="shared" ca="1" si="60"/>
        <v>2.4511875000000001</v>
      </c>
      <c r="S293">
        <f t="shared" ca="1" si="61"/>
        <v>49.414250000000003</v>
      </c>
      <c r="T293" s="3">
        <f t="shared" ca="1" si="65"/>
        <v>6.400203665987805E-3</v>
      </c>
      <c r="W293">
        <f t="shared" si="62"/>
        <v>49.186661506767265</v>
      </c>
      <c r="X293" s="5">
        <f t="shared" si="63"/>
        <v>1.7650001378261512E-3</v>
      </c>
    </row>
    <row r="294" spans="8:24" x14ac:dyDescent="0.25">
      <c r="H294">
        <v>49.2</v>
      </c>
      <c r="I294">
        <v>2.4399297738803982</v>
      </c>
      <c r="J294" s="10">
        <f t="shared" si="53"/>
        <v>-5.7000000000000003E-5</v>
      </c>
      <c r="K294" s="17">
        <f t="shared" si="54"/>
        <v>1.46E-4</v>
      </c>
      <c r="L294" s="10">
        <f t="shared" si="55"/>
        <v>7.4060000000000003E-3</v>
      </c>
      <c r="M294" s="11">
        <f t="shared" si="64"/>
        <v>2.4581921449055688</v>
      </c>
      <c r="N294" s="5">
        <f t="shared" si="56"/>
        <v>7.4847937103233123E-3</v>
      </c>
      <c r="O294">
        <f t="shared" si="57"/>
        <v>13114.6914</v>
      </c>
      <c r="P294">
        <f t="shared" ca="1" si="58"/>
        <v>13115</v>
      </c>
      <c r="Q294" t="str">
        <f t="shared" ca="1" si="59"/>
        <v>0011001100111011</v>
      </c>
      <c r="R294">
        <f t="shared" ca="1" si="60"/>
        <v>2.4590624999999999</v>
      </c>
      <c r="S294">
        <f t="shared" ca="1" si="61"/>
        <v>49.508750000000006</v>
      </c>
      <c r="T294" s="3">
        <f t="shared" ca="1" si="65"/>
        <v>6.2754065040651098E-3</v>
      </c>
      <c r="W294">
        <f t="shared" si="62"/>
        <v>49.279157286564782</v>
      </c>
      <c r="X294" s="5">
        <f t="shared" si="63"/>
        <v>1.608887938308524E-3</v>
      </c>
    </row>
    <row r="295" spans="8:24" x14ac:dyDescent="0.25">
      <c r="H295">
        <v>49.3</v>
      </c>
      <c r="I295">
        <v>2.4497005792578839</v>
      </c>
      <c r="J295" s="10">
        <f t="shared" si="53"/>
        <v>-5.7000000000000003E-5</v>
      </c>
      <c r="K295" s="17">
        <f t="shared" si="54"/>
        <v>1.47E-4</v>
      </c>
      <c r="L295" s="10">
        <f t="shared" si="55"/>
        <v>7.437E-3</v>
      </c>
      <c r="M295" s="11">
        <f t="shared" si="64"/>
        <v>2.4681129351566438</v>
      </c>
      <c r="N295" s="5">
        <f t="shared" si="56"/>
        <v>7.5161658753976207E-3</v>
      </c>
      <c r="O295">
        <f t="shared" si="57"/>
        <v>13167.6198</v>
      </c>
      <c r="P295">
        <f t="shared" ca="1" si="58"/>
        <v>13168</v>
      </c>
      <c r="Q295" t="str">
        <f t="shared" ca="1" si="59"/>
        <v>0011001101110000</v>
      </c>
      <c r="R295">
        <f t="shared" ca="1" si="60"/>
        <v>2.4689999999999999</v>
      </c>
      <c r="S295">
        <f t="shared" ca="1" si="61"/>
        <v>49.628</v>
      </c>
      <c r="T295" s="3">
        <f t="shared" ca="1" si="65"/>
        <v>6.6531440162272406E-3</v>
      </c>
      <c r="W295">
        <f t="shared" si="62"/>
        <v>49.396406951094605</v>
      </c>
      <c r="X295" s="5">
        <f t="shared" si="63"/>
        <v>1.9555162493835195E-3</v>
      </c>
    </row>
    <row r="296" spans="8:24" x14ac:dyDescent="0.25">
      <c r="H296">
        <v>49.400000000000006</v>
      </c>
      <c r="I296">
        <v>2.4594893696732822</v>
      </c>
      <c r="J296" s="10">
        <f t="shared" si="53"/>
        <v>-5.5999999999999999E-5</v>
      </c>
      <c r="K296" s="17">
        <f t="shared" si="54"/>
        <v>1.47E-4</v>
      </c>
      <c r="L296" s="10">
        <f t="shared" si="55"/>
        <v>7.4669999999999997E-3</v>
      </c>
      <c r="M296" s="11">
        <f t="shared" si="64"/>
        <v>2.4780489612670631</v>
      </c>
      <c r="N296" s="5">
        <f t="shared" si="56"/>
        <v>7.5461158005518418E-3</v>
      </c>
      <c r="O296">
        <f t="shared" si="57"/>
        <v>13220.629499999999</v>
      </c>
      <c r="P296">
        <f t="shared" ca="1" si="58"/>
        <v>13220</v>
      </c>
      <c r="Q296" t="str">
        <f t="shared" ca="1" si="59"/>
        <v>0011001110100100</v>
      </c>
      <c r="R296">
        <f t="shared" ca="1" si="60"/>
        <v>2.4787500000000002</v>
      </c>
      <c r="S296">
        <f t="shared" ca="1" si="61"/>
        <v>49.745000000000005</v>
      </c>
      <c r="T296" s="3">
        <f t="shared" ca="1" si="65"/>
        <v>6.9838056680161702E-3</v>
      </c>
      <c r="W296">
        <f t="shared" si="62"/>
        <v>49.513872436079389</v>
      </c>
      <c r="X296" s="5">
        <f t="shared" si="63"/>
        <v>2.3051100420927732E-3</v>
      </c>
    </row>
    <row r="297" spans="8:24" x14ac:dyDescent="0.25">
      <c r="H297">
        <v>49.5</v>
      </c>
      <c r="I297">
        <v>2.4679418063108591</v>
      </c>
      <c r="J297" s="10">
        <f t="shared" si="53"/>
        <v>-5.5000000000000002E-5</v>
      </c>
      <c r="K297" s="17">
        <f t="shared" si="54"/>
        <v>1.4799999999999999E-4</v>
      </c>
      <c r="L297" s="10">
        <f t="shared" si="55"/>
        <v>7.4980000000000003E-3</v>
      </c>
      <c r="M297" s="11">
        <f t="shared" si="64"/>
        <v>2.4866416453678273</v>
      </c>
      <c r="N297" s="5">
        <f t="shared" si="56"/>
        <v>7.5770988639805624E-3</v>
      </c>
      <c r="O297">
        <f t="shared" si="57"/>
        <v>13266.472299999999</v>
      </c>
      <c r="P297">
        <f t="shared" ca="1" si="58"/>
        <v>13266</v>
      </c>
      <c r="Q297" t="str">
        <f t="shared" ca="1" si="59"/>
        <v>0011001111010010</v>
      </c>
      <c r="R297">
        <f t="shared" ca="1" si="60"/>
        <v>2.4873750000000001</v>
      </c>
      <c r="S297">
        <f t="shared" ca="1" si="61"/>
        <v>49.848500000000008</v>
      </c>
      <c r="T297" s="3">
        <f t="shared" ca="1" si="65"/>
        <v>7.0404040404042113E-3</v>
      </c>
      <c r="W297">
        <f t="shared" si="62"/>
        <v>49.615301675730308</v>
      </c>
      <c r="X297" s="5">
        <f t="shared" si="63"/>
        <v>2.3293267824304608E-3</v>
      </c>
    </row>
    <row r="298" spans="8:24" x14ac:dyDescent="0.25">
      <c r="H298">
        <v>49.6</v>
      </c>
      <c r="I298">
        <v>2.4777684588983253</v>
      </c>
      <c r="J298" s="10">
        <f t="shared" si="53"/>
        <v>-5.5000000000000002E-5</v>
      </c>
      <c r="K298" s="17">
        <f t="shared" si="54"/>
        <v>1.4799999999999999E-4</v>
      </c>
      <c r="L298" s="10">
        <f t="shared" si="55"/>
        <v>7.528E-3</v>
      </c>
      <c r="M298" s="11">
        <f t="shared" si="64"/>
        <v>2.4966179991962751</v>
      </c>
      <c r="N298" s="5">
        <f t="shared" si="56"/>
        <v>7.6074663999600601E-3</v>
      </c>
      <c r="O298">
        <f t="shared" si="57"/>
        <v>13319.697099999999</v>
      </c>
      <c r="P298">
        <f t="shared" ca="1" si="58"/>
        <v>13323</v>
      </c>
      <c r="Q298" t="str">
        <f t="shared" ca="1" si="59"/>
        <v>0011010000001011</v>
      </c>
      <c r="R298">
        <f t="shared" ca="1" si="60"/>
        <v>2.4980625000000001</v>
      </c>
      <c r="S298">
        <f t="shared" ca="1" si="61"/>
        <v>49.976750000000003</v>
      </c>
      <c r="T298" s="3">
        <f t="shared" ca="1" si="65"/>
        <v>7.5957661290322834E-3</v>
      </c>
      <c r="W298">
        <f t="shared" si="62"/>
        <v>49.733221506779905</v>
      </c>
      <c r="X298" s="5">
        <f t="shared" si="63"/>
        <v>2.6859174754012916E-3</v>
      </c>
    </row>
    <row r="299" spans="8:24" x14ac:dyDescent="0.25">
      <c r="H299">
        <v>49.7</v>
      </c>
      <c r="I299">
        <v>2.4862629972529415</v>
      </c>
      <c r="J299" s="10">
        <f t="shared" si="53"/>
        <v>-5.3999999999999998E-5</v>
      </c>
      <c r="K299" s="17">
        <f t="shared" si="54"/>
        <v>1.4899999999999999E-4</v>
      </c>
      <c r="L299" s="10">
        <f t="shared" si="55"/>
        <v>7.5589999999999997E-3</v>
      </c>
      <c r="M299" s="11">
        <f t="shared" si="64"/>
        <v>2.505254213855475</v>
      </c>
      <c r="N299" s="5">
        <f t="shared" si="56"/>
        <v>7.6384584509027152E-3</v>
      </c>
      <c r="O299">
        <f t="shared" si="57"/>
        <v>13365.7721</v>
      </c>
      <c r="P299">
        <f t="shared" ca="1" si="58"/>
        <v>13368</v>
      </c>
      <c r="Q299" t="str">
        <f t="shared" ca="1" si="59"/>
        <v>0011010000111000</v>
      </c>
      <c r="R299">
        <f t="shared" ca="1" si="60"/>
        <v>2.5065</v>
      </c>
      <c r="S299">
        <f t="shared" ca="1" si="61"/>
        <v>50.078000000000003</v>
      </c>
      <c r="T299" s="3">
        <f t="shared" ca="1" si="65"/>
        <v>7.6056338028169029E-3</v>
      </c>
      <c r="W299">
        <f t="shared" si="62"/>
        <v>49.835155967035305</v>
      </c>
      <c r="X299" s="5">
        <f t="shared" si="63"/>
        <v>2.7194359564447208E-3</v>
      </c>
    </row>
    <row r="300" spans="8:24" x14ac:dyDescent="0.25">
      <c r="H300">
        <v>49.8</v>
      </c>
      <c r="I300">
        <v>2.4961270622207556</v>
      </c>
      <c r="J300" s="10">
        <f t="shared" si="53"/>
        <v>-5.3999999999999998E-5</v>
      </c>
      <c r="K300" s="17">
        <f t="shared" si="54"/>
        <v>1.4899999999999999E-4</v>
      </c>
      <c r="L300" s="10">
        <f t="shared" si="55"/>
        <v>7.5890000000000003E-3</v>
      </c>
      <c r="M300" s="11">
        <f t="shared" si="64"/>
        <v>2.5152694420162165</v>
      </c>
      <c r="N300" s="5">
        <f t="shared" si="56"/>
        <v>7.6688322822918509E-3</v>
      </c>
      <c r="O300">
        <f t="shared" si="57"/>
        <v>13419.204299999999</v>
      </c>
      <c r="P300">
        <f t="shared" ca="1" si="58"/>
        <v>13421</v>
      </c>
      <c r="Q300" t="str">
        <f t="shared" ca="1" si="59"/>
        <v>0011010001101101</v>
      </c>
      <c r="R300">
        <f t="shared" ca="1" si="60"/>
        <v>2.5164374999999999</v>
      </c>
      <c r="S300">
        <f t="shared" ca="1" si="61"/>
        <v>50.197249999999997</v>
      </c>
      <c r="T300" s="3">
        <f t="shared" ca="1" si="65"/>
        <v>7.9769076305220826E-3</v>
      </c>
      <c r="W300">
        <f t="shared" si="62"/>
        <v>49.953524746649066</v>
      </c>
      <c r="X300" s="5">
        <f t="shared" si="63"/>
        <v>3.0828262379331084E-3</v>
      </c>
    </row>
    <row r="301" spans="8:24" x14ac:dyDescent="0.25">
      <c r="H301">
        <v>49.900000000000006</v>
      </c>
      <c r="I301">
        <v>2.5060085496969493</v>
      </c>
      <c r="J301" s="10">
        <f t="shared" si="53"/>
        <v>-5.3000000000000001E-5</v>
      </c>
      <c r="K301" s="17">
        <f t="shared" si="54"/>
        <v>1.4999999999999999E-4</v>
      </c>
      <c r="L301" s="10">
        <f t="shared" si="55"/>
        <v>7.62E-3</v>
      </c>
      <c r="M301" s="11">
        <f t="shared" si="64"/>
        <v>2.5253043689886425</v>
      </c>
      <c r="N301" s="5">
        <f t="shared" si="56"/>
        <v>7.6998218118715734E-3</v>
      </c>
      <c r="O301">
        <f t="shared" si="57"/>
        <v>13472.741599999999</v>
      </c>
      <c r="P301">
        <f t="shared" ca="1" si="58"/>
        <v>13473</v>
      </c>
      <c r="Q301" t="str">
        <f t="shared" ca="1" si="59"/>
        <v>0011010010100001</v>
      </c>
      <c r="R301">
        <f t="shared" ca="1" si="60"/>
        <v>2.5261875000000003</v>
      </c>
      <c r="S301">
        <f t="shared" ca="1" si="61"/>
        <v>50.314250000000001</v>
      </c>
      <c r="T301" s="3">
        <f t="shared" ca="1" si="65"/>
        <v>8.3016032064127353E-3</v>
      </c>
      <c r="W301">
        <f t="shared" si="62"/>
        <v>50.072102596363393</v>
      </c>
      <c r="X301" s="5">
        <f t="shared" si="63"/>
        <v>3.4489498269215982E-3</v>
      </c>
    </row>
    <row r="302" spans="8:24" x14ac:dyDescent="0.25">
      <c r="H302">
        <v>50</v>
      </c>
      <c r="I302">
        <v>2.5138927421246633</v>
      </c>
      <c r="J302" s="10">
        <f t="shared" si="53"/>
        <v>-5.3000000000000001E-5</v>
      </c>
      <c r="K302" s="17">
        <f t="shared" si="54"/>
        <v>1.4999999999999999E-4</v>
      </c>
      <c r="L302" s="10">
        <f t="shared" si="55"/>
        <v>7.6499999999999997E-3</v>
      </c>
      <c r="M302" s="11">
        <f t="shared" si="64"/>
        <v>2.5333256836042355</v>
      </c>
      <c r="N302" s="5">
        <f t="shared" si="56"/>
        <v>7.7302190160858193E-3</v>
      </c>
      <c r="O302">
        <f t="shared" si="57"/>
        <v>13515.536099999999</v>
      </c>
      <c r="P302">
        <f t="shared" ca="1" si="58"/>
        <v>13518</v>
      </c>
      <c r="Q302" t="str">
        <f t="shared" ca="1" si="59"/>
        <v>0011010011001110</v>
      </c>
      <c r="R302">
        <f t="shared" ca="1" si="60"/>
        <v>2.5346250000000001</v>
      </c>
      <c r="S302">
        <f t="shared" ca="1" si="61"/>
        <v>50.415500000000009</v>
      </c>
      <c r="T302" s="3">
        <f t="shared" ca="1" si="65"/>
        <v>8.3100000000001732E-3</v>
      </c>
      <c r="W302">
        <f t="shared" si="62"/>
        <v>50.166712905495963</v>
      </c>
      <c r="X302" s="5">
        <f t="shared" si="63"/>
        <v>3.3342581099192613E-3</v>
      </c>
    </row>
    <row r="303" spans="8:24" x14ac:dyDescent="0.25">
      <c r="H303">
        <v>50.1</v>
      </c>
      <c r="I303">
        <v>2.523141660741989</v>
      </c>
      <c r="J303" s="10">
        <f t="shared" si="53"/>
        <v>-5.1999999999999997E-5</v>
      </c>
      <c r="K303" s="17">
        <f t="shared" si="54"/>
        <v>1.5100000000000001E-4</v>
      </c>
      <c r="L303" s="10">
        <f t="shared" si="55"/>
        <v>7.6810000000000003E-3</v>
      </c>
      <c r="M303" s="11">
        <f t="shared" si="64"/>
        <v>2.5427243262922401</v>
      </c>
      <c r="N303" s="5">
        <f t="shared" si="56"/>
        <v>7.7612231825669193E-3</v>
      </c>
      <c r="O303">
        <f t="shared" si="57"/>
        <v>13565.6788</v>
      </c>
      <c r="P303">
        <f t="shared" ca="1" si="58"/>
        <v>13569</v>
      </c>
      <c r="Q303" t="str">
        <f t="shared" ca="1" si="59"/>
        <v>0011010100000001</v>
      </c>
      <c r="R303">
        <f t="shared" ca="1" si="60"/>
        <v>2.5441875</v>
      </c>
      <c r="S303">
        <f t="shared" ca="1" si="61"/>
        <v>50.530250000000002</v>
      </c>
      <c r="T303" s="3">
        <f t="shared" ca="1" si="65"/>
        <v>8.5878243512974226E-3</v>
      </c>
      <c r="W303">
        <f t="shared" si="62"/>
        <v>50.277699928903871</v>
      </c>
      <c r="X303" s="5">
        <f t="shared" si="63"/>
        <v>3.5469047685403169E-3</v>
      </c>
    </row>
    <row r="304" spans="8:24" x14ac:dyDescent="0.25">
      <c r="H304">
        <v>50.2</v>
      </c>
      <c r="I304">
        <v>2.5330791950427622</v>
      </c>
      <c r="J304" s="10">
        <f t="shared" si="53"/>
        <v>-5.1E-5</v>
      </c>
      <c r="K304" s="17">
        <f t="shared" si="54"/>
        <v>1.5100000000000001E-4</v>
      </c>
      <c r="L304" s="10">
        <f t="shared" si="55"/>
        <v>7.711E-3</v>
      </c>
      <c r="M304" s="11">
        <f t="shared" si="64"/>
        <v>2.5528149511309328</v>
      </c>
      <c r="N304" s="5">
        <f t="shared" si="56"/>
        <v>7.7912116315958313E-3</v>
      </c>
      <c r="O304">
        <f t="shared" si="57"/>
        <v>13619.513199999999</v>
      </c>
      <c r="P304">
        <f t="shared" ca="1" si="58"/>
        <v>13617</v>
      </c>
      <c r="Q304" t="str">
        <f t="shared" ca="1" si="59"/>
        <v>0011010100110001</v>
      </c>
      <c r="R304">
        <f t="shared" ca="1" si="60"/>
        <v>2.5531874999999999</v>
      </c>
      <c r="S304">
        <f t="shared" ca="1" si="61"/>
        <v>50.638250000000006</v>
      </c>
      <c r="T304" s="3">
        <f t="shared" ca="1" si="65"/>
        <v>8.7300796812749704E-3</v>
      </c>
      <c r="W304">
        <f t="shared" si="62"/>
        <v>50.39695034051315</v>
      </c>
      <c r="X304" s="5">
        <f t="shared" si="63"/>
        <v>3.9233135560387969E-3</v>
      </c>
    </row>
    <row r="305" spans="8:24" x14ac:dyDescent="0.25">
      <c r="H305">
        <v>50.3</v>
      </c>
      <c r="I305">
        <v>2.5423655105473464</v>
      </c>
      <c r="J305" s="10">
        <f t="shared" si="53"/>
        <v>-5.1E-5</v>
      </c>
      <c r="K305" s="17">
        <f t="shared" si="54"/>
        <v>1.5200000000000001E-4</v>
      </c>
      <c r="L305" s="10">
        <f t="shared" si="55"/>
        <v>7.7419999999999998E-3</v>
      </c>
      <c r="M305" s="11">
        <f t="shared" si="64"/>
        <v>2.5622534769660175</v>
      </c>
      <c r="N305" s="5">
        <f t="shared" si="56"/>
        <v>7.8226228039057193E-3</v>
      </c>
      <c r="O305">
        <f t="shared" si="57"/>
        <v>13669.868700000001</v>
      </c>
      <c r="P305">
        <f t="shared" ca="1" si="58"/>
        <v>13671</v>
      </c>
      <c r="Q305" t="str">
        <f t="shared" ca="1" si="59"/>
        <v>0011010101100111</v>
      </c>
      <c r="R305">
        <f t="shared" ca="1" si="60"/>
        <v>2.5633124999999999</v>
      </c>
      <c r="S305">
        <f t="shared" ca="1" si="61"/>
        <v>50.759749999999997</v>
      </c>
      <c r="T305" s="3">
        <f t="shared" ca="1" si="65"/>
        <v>9.1401590457256404E-3</v>
      </c>
      <c r="W305">
        <f t="shared" si="62"/>
        <v>50.508386126568155</v>
      </c>
      <c r="X305" s="5">
        <f t="shared" si="63"/>
        <v>4.1428653393271913E-3</v>
      </c>
    </row>
    <row r="306" spans="8:24" x14ac:dyDescent="0.25">
      <c r="H306">
        <v>50.400000000000006</v>
      </c>
      <c r="I306">
        <v>2.5516709112725113</v>
      </c>
      <c r="J306" s="10">
        <f t="shared" si="53"/>
        <v>-5.0000000000000002E-5</v>
      </c>
      <c r="K306" s="17">
        <f t="shared" si="54"/>
        <v>1.5200000000000001E-4</v>
      </c>
      <c r="L306" s="10">
        <f t="shared" si="55"/>
        <v>7.7720000000000003E-3</v>
      </c>
      <c r="M306" s="11">
        <f t="shared" si="64"/>
        <v>2.5717082276175547</v>
      </c>
      <c r="N306" s="5">
        <f t="shared" si="56"/>
        <v>7.8526256095660853E-3</v>
      </c>
      <c r="O306">
        <f t="shared" si="57"/>
        <v>13720.3107</v>
      </c>
      <c r="P306">
        <f t="shared" ca="1" si="58"/>
        <v>13724</v>
      </c>
      <c r="Q306" t="str">
        <f t="shared" ca="1" si="59"/>
        <v>0011010110011100</v>
      </c>
      <c r="R306">
        <f t="shared" ca="1" si="60"/>
        <v>2.5732500000000003</v>
      </c>
      <c r="S306">
        <f t="shared" ca="1" si="61"/>
        <v>50.879000000000005</v>
      </c>
      <c r="T306" s="3">
        <f t="shared" ca="1" si="65"/>
        <v>9.5039682539682369E-3</v>
      </c>
      <c r="W306">
        <f t="shared" si="62"/>
        <v>50.620050935270143</v>
      </c>
      <c r="X306" s="5">
        <f t="shared" si="63"/>
        <v>4.3660899855185991E-3</v>
      </c>
    </row>
    <row r="307" spans="8:24" x14ac:dyDescent="0.25">
      <c r="H307">
        <v>50.5</v>
      </c>
      <c r="I307">
        <v>2.5603293267805403</v>
      </c>
      <c r="J307" s="10">
        <f t="shared" si="53"/>
        <v>-5.0000000000000002E-5</v>
      </c>
      <c r="K307" s="17">
        <f t="shared" si="54"/>
        <v>1.5300000000000001E-4</v>
      </c>
      <c r="L307" s="10">
        <f t="shared" si="55"/>
        <v>7.803E-3</v>
      </c>
      <c r="M307" s="11">
        <f t="shared" si="64"/>
        <v>2.5805150859965713</v>
      </c>
      <c r="N307" s="5">
        <f t="shared" si="56"/>
        <v>7.8840479640224365E-3</v>
      </c>
      <c r="O307">
        <f t="shared" si="57"/>
        <v>13767.2961</v>
      </c>
      <c r="P307">
        <f t="shared" ca="1" si="58"/>
        <v>13766</v>
      </c>
      <c r="Q307" t="str">
        <f t="shared" ca="1" si="59"/>
        <v>0011010111000110</v>
      </c>
      <c r="R307">
        <f t="shared" ca="1" si="60"/>
        <v>2.5811250000000001</v>
      </c>
      <c r="S307">
        <f t="shared" ca="1" si="61"/>
        <v>50.973500000000008</v>
      </c>
      <c r="T307" s="3">
        <f t="shared" ca="1" si="65"/>
        <v>9.3762376237625442E-3</v>
      </c>
      <c r="W307">
        <f t="shared" si="62"/>
        <v>50.723951921366485</v>
      </c>
      <c r="X307" s="5">
        <f t="shared" si="63"/>
        <v>4.434691512207622E-3</v>
      </c>
    </row>
    <row r="308" spans="8:24" x14ac:dyDescent="0.25">
      <c r="H308">
        <v>50.6</v>
      </c>
      <c r="I308">
        <v>2.5696736724563682</v>
      </c>
      <c r="J308" s="10">
        <f t="shared" si="53"/>
        <v>-4.8999999999999998E-5</v>
      </c>
      <c r="K308" s="17">
        <f t="shared" si="54"/>
        <v>1.5300000000000001E-4</v>
      </c>
      <c r="L308" s="10">
        <f t="shared" si="55"/>
        <v>7.8329999999999997E-3</v>
      </c>
      <c r="M308" s="11">
        <f t="shared" si="64"/>
        <v>2.5900102225294415</v>
      </c>
      <c r="N308" s="5">
        <f t="shared" si="56"/>
        <v>7.9140593963564956E-3</v>
      </c>
      <c r="O308">
        <f t="shared" si="57"/>
        <v>13817.953600000001</v>
      </c>
      <c r="P308">
        <f t="shared" ca="1" si="58"/>
        <v>13818</v>
      </c>
      <c r="Q308" t="str">
        <f t="shared" ca="1" si="59"/>
        <v>0011010111111010</v>
      </c>
      <c r="R308">
        <f t="shared" ca="1" si="60"/>
        <v>2.590875</v>
      </c>
      <c r="S308">
        <f t="shared" ca="1" si="61"/>
        <v>51.090499999999999</v>
      </c>
      <c r="T308" s="3">
        <f t="shared" ca="1" si="65"/>
        <v>9.6936758893280094E-3</v>
      </c>
      <c r="W308">
        <f t="shared" si="62"/>
        <v>50.836084069476421</v>
      </c>
      <c r="X308" s="5">
        <f t="shared" si="63"/>
        <v>4.6656930726565069E-3</v>
      </c>
    </row>
    <row r="309" spans="8:24" x14ac:dyDescent="0.25">
      <c r="H309">
        <v>50.7</v>
      </c>
      <c r="I309">
        <v>2.5797004903590079</v>
      </c>
      <c r="J309" s="10">
        <f t="shared" si="53"/>
        <v>-4.8000000000000001E-5</v>
      </c>
      <c r="K309" s="17">
        <f t="shared" si="54"/>
        <v>1.54E-4</v>
      </c>
      <c r="L309" s="10">
        <f t="shared" si="55"/>
        <v>7.8639999999999995E-3</v>
      </c>
      <c r="M309" s="11">
        <f t="shared" si="64"/>
        <v>2.6001964351248295</v>
      </c>
      <c r="N309" s="5">
        <f t="shared" si="56"/>
        <v>7.9450869751818195E-3</v>
      </c>
      <c r="O309">
        <f t="shared" si="57"/>
        <v>13872.298000000001</v>
      </c>
      <c r="P309">
        <f t="shared" ca="1" si="58"/>
        <v>13871</v>
      </c>
      <c r="Q309" t="str">
        <f t="shared" ca="1" si="59"/>
        <v>0011011000101111</v>
      </c>
      <c r="R309">
        <f t="shared" ca="1" si="60"/>
        <v>2.6008125</v>
      </c>
      <c r="S309">
        <f t="shared" ca="1" si="61"/>
        <v>51.209750000000007</v>
      </c>
      <c r="T309" s="3">
        <f t="shared" ca="1" si="65"/>
        <v>1.0054240631163785E-2</v>
      </c>
      <c r="W309">
        <f t="shared" si="62"/>
        <v>50.956405884308097</v>
      </c>
      <c r="X309" s="5">
        <f t="shared" si="63"/>
        <v>5.0573152723489999E-3</v>
      </c>
    </row>
    <row r="310" spans="8:24" x14ac:dyDescent="0.25">
      <c r="H310">
        <v>50.8</v>
      </c>
      <c r="I310">
        <v>2.5890810954397385</v>
      </c>
      <c r="J310" s="10">
        <f t="shared" si="53"/>
        <v>-4.8000000000000001E-5</v>
      </c>
      <c r="K310" s="17">
        <f t="shared" si="54"/>
        <v>1.54E-4</v>
      </c>
      <c r="L310" s="10">
        <f t="shared" si="55"/>
        <v>7.894E-3</v>
      </c>
      <c r="M310" s="11">
        <f t="shared" si="64"/>
        <v>2.6097303064790842</v>
      </c>
      <c r="N310" s="5">
        <f t="shared" si="56"/>
        <v>7.9754979771456559E-3</v>
      </c>
      <c r="O310">
        <f t="shared" si="57"/>
        <v>13923.1621</v>
      </c>
      <c r="P310">
        <f t="shared" ca="1" si="58"/>
        <v>13927</v>
      </c>
      <c r="Q310" t="str">
        <f t="shared" ca="1" si="59"/>
        <v>0011011001100111</v>
      </c>
      <c r="R310">
        <f t="shared" ca="1" si="60"/>
        <v>2.6113124999999999</v>
      </c>
      <c r="S310">
        <f t="shared" ca="1" si="61"/>
        <v>51.335749999999997</v>
      </c>
      <c r="T310" s="3">
        <f t="shared" ca="1" si="65"/>
        <v>1.0546259842519688E-2</v>
      </c>
      <c r="W310">
        <f t="shared" si="62"/>
        <v>51.068973145276864</v>
      </c>
      <c r="X310" s="5">
        <f t="shared" si="63"/>
        <v>5.2947469542690339E-3</v>
      </c>
    </row>
    <row r="311" spans="8:24" x14ac:dyDescent="0.25">
      <c r="H311">
        <v>50.900000000000006</v>
      </c>
      <c r="I311">
        <v>2.5984802156538214</v>
      </c>
      <c r="J311" s="10">
        <f t="shared" si="53"/>
        <v>-4.6999999999999997E-5</v>
      </c>
      <c r="K311" s="17">
        <f t="shared" si="54"/>
        <v>1.55E-4</v>
      </c>
      <c r="L311" s="10">
        <f t="shared" si="55"/>
        <v>7.9249999999999998E-3</v>
      </c>
      <c r="M311" s="11">
        <f t="shared" si="64"/>
        <v>2.6192850496724756</v>
      </c>
      <c r="N311" s="5">
        <f t="shared" si="56"/>
        <v>8.0065393199152523E-3</v>
      </c>
      <c r="O311">
        <f t="shared" si="57"/>
        <v>13974.1376</v>
      </c>
      <c r="P311">
        <f t="shared" ca="1" si="58"/>
        <v>13978</v>
      </c>
      <c r="Q311" t="str">
        <f t="shared" ca="1" si="59"/>
        <v>0011011010011010</v>
      </c>
      <c r="R311">
        <f t="shared" ca="1" si="60"/>
        <v>2.6208749999999998</v>
      </c>
      <c r="S311">
        <f t="shared" ca="1" si="61"/>
        <v>51.450500000000005</v>
      </c>
      <c r="T311" s="3">
        <f t="shared" ca="1" si="65"/>
        <v>1.081532416502946E-2</v>
      </c>
      <c r="W311">
        <f t="shared" si="62"/>
        <v>51.18176258784586</v>
      </c>
      <c r="X311" s="5">
        <f t="shared" si="63"/>
        <v>5.5356107631798481E-3</v>
      </c>
    </row>
    <row r="312" spans="8:24" x14ac:dyDescent="0.25">
      <c r="H312">
        <v>51</v>
      </c>
      <c r="I312">
        <v>2.6085581243895821</v>
      </c>
      <c r="J312" s="10">
        <f t="shared" si="53"/>
        <v>-4.6999999999999997E-5</v>
      </c>
      <c r="K312" s="17">
        <f t="shared" si="54"/>
        <v>1.55E-4</v>
      </c>
      <c r="L312" s="10">
        <f t="shared" si="55"/>
        <v>7.9550000000000003E-3</v>
      </c>
      <c r="M312" s="11">
        <f t="shared" si="64"/>
        <v>2.6295229796930402</v>
      </c>
      <c r="N312" s="5">
        <f t="shared" si="56"/>
        <v>8.0369515662465606E-3</v>
      </c>
      <c r="O312">
        <f t="shared" si="57"/>
        <v>14028.757900000001</v>
      </c>
      <c r="P312">
        <f t="shared" ca="1" si="58"/>
        <v>14029</v>
      </c>
      <c r="Q312" t="str">
        <f t="shared" ca="1" si="59"/>
        <v>0011011011001101</v>
      </c>
      <c r="R312">
        <f t="shared" ca="1" si="60"/>
        <v>2.6304375000000002</v>
      </c>
      <c r="S312">
        <f t="shared" ca="1" si="61"/>
        <v>51.565250000000006</v>
      </c>
      <c r="T312" s="3">
        <f t="shared" ca="1" si="65"/>
        <v>1.1083333333333452E-2</v>
      </c>
      <c r="W312">
        <f t="shared" si="62"/>
        <v>51.302697492674987</v>
      </c>
      <c r="X312" s="5">
        <f t="shared" si="63"/>
        <v>5.9352449544115143E-3</v>
      </c>
    </row>
    <row r="313" spans="8:24" x14ac:dyDescent="0.25">
      <c r="H313">
        <v>51.1</v>
      </c>
      <c r="I313">
        <v>2.6160150029683451</v>
      </c>
      <c r="J313" s="10">
        <f t="shared" si="53"/>
        <v>-4.6E-5</v>
      </c>
      <c r="K313" s="17">
        <f t="shared" si="54"/>
        <v>1.56E-4</v>
      </c>
      <c r="L313" s="10">
        <f t="shared" si="55"/>
        <v>7.986E-3</v>
      </c>
      <c r="M313" s="11">
        <f t="shared" si="64"/>
        <v>2.6371210516871186</v>
      </c>
      <c r="N313" s="5">
        <f t="shared" si="56"/>
        <v>8.0680151661304978E-3</v>
      </c>
      <c r="O313">
        <f t="shared" si="57"/>
        <v>14069.294400000001</v>
      </c>
      <c r="P313">
        <f t="shared" ca="1" si="58"/>
        <v>14070</v>
      </c>
      <c r="Q313" t="str">
        <f t="shared" ca="1" si="59"/>
        <v>0011011011110110</v>
      </c>
      <c r="R313">
        <f t="shared" ca="1" si="60"/>
        <v>2.6381250000000001</v>
      </c>
      <c r="S313">
        <f t="shared" ca="1" si="61"/>
        <v>51.657499999999999</v>
      </c>
      <c r="T313" s="3">
        <f t="shared" ca="1" si="65"/>
        <v>1.0909980430528326E-2</v>
      </c>
      <c r="W313">
        <f t="shared" si="62"/>
        <v>51.392180035620143</v>
      </c>
      <c r="X313" s="5">
        <f t="shared" si="63"/>
        <v>5.7178089162454324E-3</v>
      </c>
    </row>
    <row r="314" spans="8:24" x14ac:dyDescent="0.25">
      <c r="H314">
        <v>51.2</v>
      </c>
      <c r="I314">
        <v>2.6254712100995516</v>
      </c>
      <c r="J314" s="10">
        <f t="shared" si="53"/>
        <v>-4.6E-5</v>
      </c>
      <c r="K314" s="17">
        <f t="shared" si="54"/>
        <v>1.56E-4</v>
      </c>
      <c r="L314" s="10">
        <f t="shared" si="55"/>
        <v>8.0160000000000006E-3</v>
      </c>
      <c r="M314" s="11">
        <f t="shared" si="64"/>
        <v>2.6467334252362456</v>
      </c>
      <c r="N314" s="5">
        <f t="shared" si="56"/>
        <v>8.0984377413484167E-3</v>
      </c>
      <c r="O314">
        <f t="shared" si="57"/>
        <v>14120.577300000001</v>
      </c>
      <c r="P314">
        <f t="shared" ca="1" si="58"/>
        <v>14124</v>
      </c>
      <c r="Q314" t="str">
        <f t="shared" ca="1" si="59"/>
        <v>0011011100101100</v>
      </c>
      <c r="R314">
        <f t="shared" ca="1" si="60"/>
        <v>2.64825</v>
      </c>
      <c r="S314">
        <f t="shared" ca="1" si="61"/>
        <v>51.779000000000003</v>
      </c>
      <c r="T314" s="3">
        <f t="shared" ca="1" si="65"/>
        <v>1.1308593750000012E-2</v>
      </c>
      <c r="W314">
        <f t="shared" si="62"/>
        <v>51.505654521194622</v>
      </c>
      <c r="X314" s="5">
        <f t="shared" si="63"/>
        <v>5.9698148670823958E-3</v>
      </c>
    </row>
    <row r="315" spans="8:24" x14ac:dyDescent="0.25">
      <c r="H315">
        <v>51.3</v>
      </c>
      <c r="I315">
        <v>2.6349454744927017</v>
      </c>
      <c r="J315" s="10">
        <f t="shared" si="53"/>
        <v>-4.5000000000000003E-5</v>
      </c>
      <c r="K315" s="17">
        <f t="shared" si="54"/>
        <v>1.5699999999999999E-4</v>
      </c>
      <c r="L315" s="10">
        <f t="shared" si="55"/>
        <v>8.0470000000000003E-3</v>
      </c>
      <c r="M315" s="11">
        <f t="shared" si="64"/>
        <v>2.6563662537365196</v>
      </c>
      <c r="N315" s="5">
        <f t="shared" si="56"/>
        <v>8.1294962082439255E-3</v>
      </c>
      <c r="O315">
        <f t="shared" si="57"/>
        <v>14171.9694</v>
      </c>
      <c r="P315">
        <f t="shared" ca="1" si="58"/>
        <v>14174</v>
      </c>
      <c r="Q315" t="str">
        <f t="shared" ca="1" si="59"/>
        <v>0011011101011110</v>
      </c>
      <c r="R315">
        <f t="shared" ca="1" si="60"/>
        <v>2.6576249999999999</v>
      </c>
      <c r="S315">
        <f t="shared" ca="1" si="61"/>
        <v>51.891500000000001</v>
      </c>
      <c r="T315" s="3">
        <f t="shared" ca="1" si="65"/>
        <v>1.1530214424951335E-2</v>
      </c>
      <c r="W315">
        <f t="shared" si="62"/>
        <v>51.619345693912422</v>
      </c>
      <c r="X315" s="5">
        <f t="shared" si="63"/>
        <v>6.225062259501455E-3</v>
      </c>
    </row>
    <row r="316" spans="8:24" x14ac:dyDescent="0.25">
      <c r="H316">
        <v>51.400000000000006</v>
      </c>
      <c r="I316">
        <v>2.6450936108290257</v>
      </c>
      <c r="J316" s="10">
        <f t="shared" si="53"/>
        <v>-4.3999999999999999E-5</v>
      </c>
      <c r="K316" s="17">
        <f t="shared" si="54"/>
        <v>1.5699999999999999E-4</v>
      </c>
      <c r="L316" s="10">
        <f t="shared" si="55"/>
        <v>8.0770000000000008E-3</v>
      </c>
      <c r="M316" s="11">
        <f t="shared" si="64"/>
        <v>2.6666763557544542</v>
      </c>
      <c r="N316" s="5">
        <f t="shared" si="56"/>
        <v>8.1595391698307332E-3</v>
      </c>
      <c r="O316">
        <f t="shared" si="57"/>
        <v>14226.9748</v>
      </c>
      <c r="P316">
        <f t="shared" ca="1" si="58"/>
        <v>14227</v>
      </c>
      <c r="Q316" t="str">
        <f t="shared" ca="1" si="59"/>
        <v>0011011110010011</v>
      </c>
      <c r="R316">
        <f t="shared" ca="1" si="60"/>
        <v>2.6675624999999998</v>
      </c>
      <c r="S316">
        <f t="shared" ca="1" si="61"/>
        <v>52.010750000000002</v>
      </c>
      <c r="T316" s="3">
        <f t="shared" ca="1" si="65"/>
        <v>1.1882295719844277E-2</v>
      </c>
      <c r="W316">
        <f t="shared" si="62"/>
        <v>51.741123329948316</v>
      </c>
      <c r="X316" s="5">
        <f t="shared" si="63"/>
        <v>6.6366406604729576E-3</v>
      </c>
    </row>
    <row r="317" spans="8:24" x14ac:dyDescent="0.25">
      <c r="H317">
        <v>51.5</v>
      </c>
      <c r="I317">
        <v>2.6539477134850658</v>
      </c>
      <c r="J317" s="10">
        <f t="shared" si="53"/>
        <v>-4.3999999999999999E-5</v>
      </c>
      <c r="K317" s="17">
        <f t="shared" si="54"/>
        <v>1.5799999999999999E-4</v>
      </c>
      <c r="L317" s="10">
        <f t="shared" si="55"/>
        <v>8.1080000000000006E-3</v>
      </c>
      <c r="M317" s="11">
        <f t="shared" si="64"/>
        <v>2.6756861770082487</v>
      </c>
      <c r="N317" s="5">
        <f t="shared" si="56"/>
        <v>8.1909916358664202E-3</v>
      </c>
      <c r="O317">
        <f t="shared" si="57"/>
        <v>14275.043</v>
      </c>
      <c r="P317">
        <f t="shared" ca="1" si="58"/>
        <v>14274</v>
      </c>
      <c r="Q317" t="str">
        <f t="shared" ca="1" si="59"/>
        <v>0011011111000010</v>
      </c>
      <c r="R317">
        <f t="shared" ca="1" si="60"/>
        <v>2.6763750000000002</v>
      </c>
      <c r="S317">
        <f t="shared" ca="1" si="61"/>
        <v>52.116500000000009</v>
      </c>
      <c r="T317" s="3">
        <f t="shared" ca="1" si="65"/>
        <v>1.1970873786407944E-2</v>
      </c>
      <c r="W317">
        <f t="shared" si="62"/>
        <v>51.847372561820791</v>
      </c>
      <c r="X317" s="5">
        <f t="shared" si="63"/>
        <v>6.7450982877823454E-3</v>
      </c>
    </row>
    <row r="318" spans="8:24" x14ac:dyDescent="0.25">
      <c r="H318">
        <v>51.6</v>
      </c>
      <c r="I318">
        <v>2.6628217555951386</v>
      </c>
      <c r="J318" s="10">
        <f t="shared" si="53"/>
        <v>-4.3000000000000002E-5</v>
      </c>
      <c r="K318" s="17">
        <f t="shared" si="54"/>
        <v>1.5799999999999999E-4</v>
      </c>
      <c r="L318" s="10">
        <f t="shared" si="55"/>
        <v>8.1379999999999994E-3</v>
      </c>
      <c r="M318" s="11">
        <f t="shared" si="64"/>
        <v>2.6847129495788105</v>
      </c>
      <c r="N318" s="5">
        <f t="shared" si="56"/>
        <v>8.2210511979158869E-3</v>
      </c>
      <c r="O318">
        <f t="shared" si="57"/>
        <v>14323.2017</v>
      </c>
      <c r="P318">
        <f t="shared" ca="1" si="58"/>
        <v>14325</v>
      </c>
      <c r="Q318" t="str">
        <f t="shared" ca="1" si="59"/>
        <v>0011011111110101</v>
      </c>
      <c r="R318">
        <f t="shared" ca="1" si="60"/>
        <v>2.6859375000000001</v>
      </c>
      <c r="S318">
        <f t="shared" ca="1" si="61"/>
        <v>52.231250000000003</v>
      </c>
      <c r="T318" s="3">
        <f t="shared" ca="1" si="65"/>
        <v>1.2233527131782973E-2</v>
      </c>
      <c r="W318">
        <f t="shared" si="62"/>
        <v>51.953861067141666</v>
      </c>
      <c r="X318" s="5">
        <f t="shared" si="63"/>
        <v>6.8577726190245129E-3</v>
      </c>
    </row>
    <row r="319" spans="8:24" x14ac:dyDescent="0.25">
      <c r="H319">
        <v>51.7</v>
      </c>
      <c r="I319">
        <v>2.6730208007576377</v>
      </c>
      <c r="J319" s="10">
        <f t="shared" si="53"/>
        <v>-4.3000000000000002E-5</v>
      </c>
      <c r="K319" s="17">
        <f t="shared" si="54"/>
        <v>1.5899999999999999E-4</v>
      </c>
      <c r="L319" s="10">
        <f t="shared" si="55"/>
        <v>8.1689999999999992E-3</v>
      </c>
      <c r="M319" s="11">
        <f t="shared" si="64"/>
        <v>2.6950799085304227</v>
      </c>
      <c r="N319" s="5">
        <f t="shared" si="56"/>
        <v>8.2525013522276227E-3</v>
      </c>
      <c r="O319">
        <f t="shared" si="57"/>
        <v>14378.510399999999</v>
      </c>
      <c r="P319">
        <f t="shared" ca="1" si="58"/>
        <v>14376</v>
      </c>
      <c r="Q319" t="str">
        <f t="shared" ca="1" si="59"/>
        <v>0011100000101000</v>
      </c>
      <c r="R319">
        <f t="shared" ca="1" si="60"/>
        <v>2.6955</v>
      </c>
      <c r="S319">
        <f t="shared" ca="1" si="61"/>
        <v>52.346000000000004</v>
      </c>
      <c r="T319" s="3">
        <f t="shared" ca="1" si="65"/>
        <v>1.2495164410058041E-2</v>
      </c>
      <c r="W319">
        <f t="shared" si="62"/>
        <v>52.076249609091654</v>
      </c>
      <c r="X319" s="5">
        <f t="shared" si="63"/>
        <v>7.2775553015793299E-3</v>
      </c>
    </row>
    <row r="320" spans="8:24" x14ac:dyDescent="0.25">
      <c r="H320">
        <v>51.8</v>
      </c>
      <c r="I320">
        <v>2.6819321461015369</v>
      </c>
      <c r="J320" s="10">
        <f t="shared" si="53"/>
        <v>-4.1999999999999998E-5</v>
      </c>
      <c r="K320" s="17">
        <f t="shared" si="54"/>
        <v>1.5899999999999999E-4</v>
      </c>
      <c r="L320" s="10">
        <f t="shared" si="55"/>
        <v>8.1989999999999997E-3</v>
      </c>
      <c r="M320" s="11">
        <f t="shared" si="64"/>
        <v>2.7041454345191593</v>
      </c>
      <c r="N320" s="5">
        <f t="shared" si="56"/>
        <v>8.282569135804491E-3</v>
      </c>
      <c r="O320">
        <f t="shared" si="57"/>
        <v>14426.875899999999</v>
      </c>
      <c r="P320">
        <f t="shared" ca="1" si="58"/>
        <v>14430</v>
      </c>
      <c r="Q320" t="str">
        <f t="shared" ca="1" si="59"/>
        <v>0011100001011110</v>
      </c>
      <c r="R320">
        <f t="shared" ca="1" si="60"/>
        <v>2.7056249999999999</v>
      </c>
      <c r="S320">
        <f t="shared" ca="1" si="61"/>
        <v>52.467500000000001</v>
      </c>
      <c r="T320" s="3">
        <f t="shared" ca="1" si="65"/>
        <v>1.2886100386100463E-2</v>
      </c>
      <c r="W320">
        <f t="shared" si="62"/>
        <v>52.183185753218446</v>
      </c>
      <c r="X320" s="5">
        <f t="shared" si="63"/>
        <v>7.3974083632905143E-3</v>
      </c>
    </row>
    <row r="321" spans="8:24" x14ac:dyDescent="0.25">
      <c r="H321">
        <v>51.900000000000006</v>
      </c>
      <c r="I321">
        <v>2.6908630829277502</v>
      </c>
      <c r="J321" s="10">
        <f t="shared" si="53"/>
        <v>-4.1999999999999998E-5</v>
      </c>
      <c r="K321" s="17">
        <f t="shared" si="54"/>
        <v>1.6000000000000001E-4</v>
      </c>
      <c r="L321" s="10">
        <f t="shared" si="55"/>
        <v>8.2299999999999995E-3</v>
      </c>
      <c r="M321" s="11">
        <f t="shared" si="64"/>
        <v>2.7132350070356535</v>
      </c>
      <c r="N321" s="5">
        <f t="shared" si="56"/>
        <v>8.3140328654558743E-3</v>
      </c>
      <c r="O321">
        <f t="shared" si="57"/>
        <v>14475.3696</v>
      </c>
      <c r="P321">
        <f t="shared" ca="1" si="58"/>
        <v>14477</v>
      </c>
      <c r="Q321" t="str">
        <f t="shared" ca="1" si="59"/>
        <v>0011100010001101</v>
      </c>
      <c r="R321">
        <f t="shared" ca="1" si="60"/>
        <v>2.7144374999999998</v>
      </c>
      <c r="S321">
        <f t="shared" ca="1" si="61"/>
        <v>52.573250000000002</v>
      </c>
      <c r="T321" s="3">
        <f t="shared" ca="1" si="65"/>
        <v>1.2972061657032675E-2</v>
      </c>
      <c r="W321">
        <f t="shared" si="62"/>
        <v>52.29035699513301</v>
      </c>
      <c r="X321" s="5">
        <f t="shared" si="63"/>
        <v>7.521329385992372E-3</v>
      </c>
    </row>
    <row r="322" spans="8:24" x14ac:dyDescent="0.25">
      <c r="H322">
        <v>52</v>
      </c>
      <c r="I322">
        <v>2.6998134954003485</v>
      </c>
      <c r="J322" s="10">
        <f t="shared" si="53"/>
        <v>-4.1E-5</v>
      </c>
      <c r="K322" s="17">
        <f t="shared" si="54"/>
        <v>1.6000000000000001E-4</v>
      </c>
      <c r="L322" s="10">
        <f t="shared" si="55"/>
        <v>8.26E-3</v>
      </c>
      <c r="M322" s="11">
        <f t="shared" si="64"/>
        <v>2.7223410323273729</v>
      </c>
      <c r="N322" s="5">
        <f t="shared" si="56"/>
        <v>8.3441085709825332E-3</v>
      </c>
      <c r="O322">
        <f t="shared" si="57"/>
        <v>14523.9512</v>
      </c>
      <c r="P322">
        <f t="shared" ca="1" si="58"/>
        <v>14528</v>
      </c>
      <c r="Q322" t="str">
        <f t="shared" ca="1" si="59"/>
        <v>0011100011000000</v>
      </c>
      <c r="R322">
        <f t="shared" ca="1" si="60"/>
        <v>2.7240000000000002</v>
      </c>
      <c r="S322">
        <f t="shared" ca="1" si="61"/>
        <v>52.688000000000009</v>
      </c>
      <c r="T322" s="3">
        <f t="shared" ca="1" si="65"/>
        <v>1.3230769230769414E-2</v>
      </c>
      <c r="W322">
        <f t="shared" si="62"/>
        <v>52.397761944804181</v>
      </c>
      <c r="X322" s="5">
        <f t="shared" si="63"/>
        <v>7.6492681693111674E-3</v>
      </c>
    </row>
    <row r="323" spans="8:24" x14ac:dyDescent="0.25">
      <c r="H323">
        <v>52.1</v>
      </c>
      <c r="I323">
        <v>2.7100795472528385</v>
      </c>
      <c r="J323" s="10">
        <f t="shared" ref="J323:J386" si="66">ROUND(H323*0.00000575 -0.00034,6)</f>
        <v>-4.0000000000000003E-5</v>
      </c>
      <c r="K323" s="17">
        <f t="shared" ref="K323:K386" si="67">ROUND(H323*0.000005-0.0001,6)</f>
        <v>1.6100000000000001E-4</v>
      </c>
      <c r="L323" s="10">
        <f t="shared" ref="L323:L386" si="68">ROUND(K323+($C$24*(H323-25)),6)</f>
        <v>8.2909999999999998E-3</v>
      </c>
      <c r="M323" s="11">
        <f t="shared" si="64"/>
        <v>2.7327770013712072</v>
      </c>
      <c r="N323" s="5">
        <f t="shared" ref="N323:N386" si="69">ABS(I323-M323)/I323</f>
        <v>8.3751984849952752E-3</v>
      </c>
      <c r="O323">
        <f t="shared" ref="O323:O386" si="70">ROUND((M323*(2^($C$12-1)))/$C$44,4)</f>
        <v>14579.6281</v>
      </c>
      <c r="P323">
        <f t="shared" ref="P323:P386" ca="1" si="71">ROUND(O323+$C$47+$C$49+RANDBETWEEN($B$45,$D$45),0)</f>
        <v>14581</v>
      </c>
      <c r="Q323" t="str">
        <f t="shared" ref="Q323:Q386" ca="1" si="72">_xlfn.BASE(P323,2,16)</f>
        <v>0011100011110101</v>
      </c>
      <c r="R323">
        <f t="shared" ref="R323:R386" ca="1" si="73">($C$16/2^($C$12-1)) * P323</f>
        <v>2.7339375000000001</v>
      </c>
      <c r="S323">
        <f t="shared" ref="S323:S386" ca="1" si="74">(R323+5/3)/(1/12)</f>
        <v>52.807250000000003</v>
      </c>
      <c r="T323" s="3">
        <f t="shared" ca="1" si="65"/>
        <v>1.3574856046065295E-2</v>
      </c>
      <c r="W323">
        <f t="shared" ref="W323:W386" si="75">(I323+5/3)/(1/12)</f>
        <v>52.52095456703406</v>
      </c>
      <c r="X323" s="5">
        <f t="shared" ref="X323:X386" si="76">ABS(H323-W323)/H323</f>
        <v>8.079742169559671E-3</v>
      </c>
    </row>
    <row r="324" spans="8:24" x14ac:dyDescent="0.25">
      <c r="H324">
        <v>52.2</v>
      </c>
      <c r="I324">
        <v>2.7184193083093571</v>
      </c>
      <c r="J324" s="10">
        <f t="shared" si="66"/>
        <v>-4.0000000000000003E-5</v>
      </c>
      <c r="K324" s="17">
        <f t="shared" si="67"/>
        <v>1.6100000000000001E-4</v>
      </c>
      <c r="L324" s="10">
        <f t="shared" si="68"/>
        <v>8.3210000000000003E-3</v>
      </c>
      <c r="M324" s="11">
        <f t="shared" ref="M324:M387" si="77">(I324-J324)/(1-L324)</f>
        <v>2.7412694110789451</v>
      </c>
      <c r="N324" s="5">
        <f t="shared" si="69"/>
        <v>8.4056579129431486E-3</v>
      </c>
      <c r="O324">
        <f t="shared" si="70"/>
        <v>14624.9359</v>
      </c>
      <c r="P324">
        <f t="shared" ca="1" si="71"/>
        <v>14629</v>
      </c>
      <c r="Q324" t="str">
        <f t="shared" ca="1" si="72"/>
        <v>0011100100100101</v>
      </c>
      <c r="R324">
        <f t="shared" ca="1" si="73"/>
        <v>2.7429375</v>
      </c>
      <c r="S324">
        <f t="shared" ca="1" si="74"/>
        <v>52.915250000000007</v>
      </c>
      <c r="T324" s="3">
        <f t="shared" ref="T324:T387" ca="1" si="78">ABS(H324-S324)/H324</f>
        <v>1.3702107279693574E-2</v>
      </c>
      <c r="W324">
        <f t="shared" si="75"/>
        <v>52.621031699712283</v>
      </c>
      <c r="X324" s="5">
        <f t="shared" si="76"/>
        <v>8.0657413737984726E-3</v>
      </c>
    </row>
    <row r="325" spans="8:24" x14ac:dyDescent="0.25">
      <c r="H325">
        <v>52.300000000000004</v>
      </c>
      <c r="I325">
        <v>2.7280722530193073</v>
      </c>
      <c r="J325" s="10">
        <f t="shared" si="66"/>
        <v>-3.8999999999999999E-5</v>
      </c>
      <c r="K325" s="17">
        <f t="shared" si="67"/>
        <v>1.6200000000000001E-4</v>
      </c>
      <c r="L325" s="10">
        <f t="shared" si="68"/>
        <v>8.352E-3</v>
      </c>
      <c r="M325" s="11">
        <f t="shared" si="77"/>
        <v>2.7510883428588646</v>
      </c>
      <c r="N325" s="5">
        <f t="shared" si="69"/>
        <v>8.4367596254403109E-3</v>
      </c>
      <c r="O325">
        <f t="shared" si="70"/>
        <v>14677.3208</v>
      </c>
      <c r="P325">
        <f t="shared" ca="1" si="71"/>
        <v>14676</v>
      </c>
      <c r="Q325" t="str">
        <f t="shared" ca="1" si="72"/>
        <v>0011100101010100</v>
      </c>
      <c r="R325">
        <f t="shared" ca="1" si="73"/>
        <v>2.7517499999999999</v>
      </c>
      <c r="S325">
        <f t="shared" ca="1" si="74"/>
        <v>53.021000000000001</v>
      </c>
      <c r="T325" s="3">
        <f t="shared" ca="1" si="78"/>
        <v>1.3785850860420583E-2</v>
      </c>
      <c r="W325">
        <f t="shared" si="75"/>
        <v>52.736867036231686</v>
      </c>
      <c r="X325" s="5">
        <f t="shared" si="76"/>
        <v>8.3530982071067291E-3</v>
      </c>
    </row>
    <row r="326" spans="8:24" x14ac:dyDescent="0.25">
      <c r="H326">
        <v>52.4</v>
      </c>
      <c r="I326">
        <v>2.7370971799855761</v>
      </c>
      <c r="J326" s="10">
        <f t="shared" si="66"/>
        <v>-3.8999999999999999E-5</v>
      </c>
      <c r="K326" s="17">
        <f t="shared" si="67"/>
        <v>1.6200000000000001E-4</v>
      </c>
      <c r="L326" s="10">
        <f t="shared" si="68"/>
        <v>8.3820000000000006E-3</v>
      </c>
      <c r="M326" s="11">
        <f t="shared" si="77"/>
        <v>2.7602727864818672</v>
      </c>
      <c r="N326" s="5">
        <f t="shared" si="69"/>
        <v>8.467220917750996E-3</v>
      </c>
      <c r="O326">
        <f t="shared" si="70"/>
        <v>14726.3207</v>
      </c>
      <c r="P326">
        <f t="shared" ca="1" si="71"/>
        <v>14727</v>
      </c>
      <c r="Q326" t="str">
        <f t="shared" ca="1" si="72"/>
        <v>0011100110000111</v>
      </c>
      <c r="R326">
        <f t="shared" ca="1" si="73"/>
        <v>2.7613124999999998</v>
      </c>
      <c r="S326">
        <f t="shared" ca="1" si="74"/>
        <v>53.135750000000002</v>
      </c>
      <c r="T326" s="3">
        <f t="shared" ca="1" si="78"/>
        <v>1.4041030534351203E-2</v>
      </c>
      <c r="W326">
        <f t="shared" si="75"/>
        <v>52.845166159826917</v>
      </c>
      <c r="X326" s="5">
        <f t="shared" si="76"/>
        <v>8.4955374012770681E-3</v>
      </c>
    </row>
    <row r="327" spans="8:24" x14ac:dyDescent="0.25">
      <c r="H327">
        <v>52.5</v>
      </c>
      <c r="I327">
        <v>2.7474283897253011</v>
      </c>
      <c r="J327" s="10">
        <f t="shared" si="66"/>
        <v>-3.8000000000000002E-5</v>
      </c>
      <c r="K327" s="17">
        <f t="shared" si="67"/>
        <v>1.63E-4</v>
      </c>
      <c r="L327" s="10">
        <f t="shared" si="68"/>
        <v>8.4130000000000003E-3</v>
      </c>
      <c r="M327" s="11">
        <f t="shared" si="77"/>
        <v>2.7707769360886148</v>
      </c>
      <c r="N327" s="5">
        <f t="shared" si="69"/>
        <v>8.4983275453625589E-3</v>
      </c>
      <c r="O327">
        <f t="shared" si="70"/>
        <v>14782.3614</v>
      </c>
      <c r="P327">
        <f t="shared" ca="1" si="71"/>
        <v>14786</v>
      </c>
      <c r="Q327" t="str">
        <f t="shared" ca="1" si="72"/>
        <v>0011100111000010</v>
      </c>
      <c r="R327">
        <f t="shared" ca="1" si="73"/>
        <v>2.7723750000000003</v>
      </c>
      <c r="S327">
        <f t="shared" ca="1" si="74"/>
        <v>53.26850000000001</v>
      </c>
      <c r="T327" s="3">
        <f t="shared" ca="1" si="78"/>
        <v>1.4638095238095433E-2</v>
      </c>
      <c r="W327">
        <f t="shared" si="75"/>
        <v>52.969140676703617</v>
      </c>
      <c r="X327" s="5">
        <f t="shared" si="76"/>
        <v>8.9360128895927052E-3</v>
      </c>
    </row>
    <row r="328" spans="8:24" x14ac:dyDescent="0.25">
      <c r="H328">
        <v>52.6</v>
      </c>
      <c r="I328">
        <v>2.7545610165636423</v>
      </c>
      <c r="J328" s="10">
        <f t="shared" si="66"/>
        <v>-3.8000000000000002E-5</v>
      </c>
      <c r="K328" s="17">
        <f t="shared" si="67"/>
        <v>1.63E-4</v>
      </c>
      <c r="L328" s="10">
        <f t="shared" si="68"/>
        <v>8.4430000000000009E-3</v>
      </c>
      <c r="M328" s="11">
        <f t="shared" si="77"/>
        <v>2.7780541275626538</v>
      </c>
      <c r="N328" s="5">
        <f t="shared" si="69"/>
        <v>8.5288039937193132E-3</v>
      </c>
      <c r="O328">
        <f t="shared" si="70"/>
        <v>14821.1859</v>
      </c>
      <c r="P328">
        <f t="shared" ca="1" si="71"/>
        <v>14824</v>
      </c>
      <c r="Q328" t="str">
        <f t="shared" ca="1" si="72"/>
        <v>0011100111101000</v>
      </c>
      <c r="R328">
        <f t="shared" ca="1" si="73"/>
        <v>2.7795000000000001</v>
      </c>
      <c r="S328">
        <f t="shared" ca="1" si="74"/>
        <v>53.353999999999999</v>
      </c>
      <c r="T328" s="3">
        <f t="shared" ca="1" si="78"/>
        <v>1.433460076045623E-2</v>
      </c>
      <c r="W328">
        <f t="shared" si="75"/>
        <v>53.054732198763709</v>
      </c>
      <c r="X328" s="5">
        <f t="shared" si="76"/>
        <v>8.6450988358119322E-3</v>
      </c>
    </row>
    <row r="329" spans="8:24" x14ac:dyDescent="0.25">
      <c r="H329">
        <v>52.7</v>
      </c>
      <c r="I329">
        <v>2.7649263275942304</v>
      </c>
      <c r="J329" s="10">
        <f t="shared" si="66"/>
        <v>-3.6999999999999998E-5</v>
      </c>
      <c r="K329" s="17">
        <f t="shared" si="67"/>
        <v>1.64E-4</v>
      </c>
      <c r="L329" s="10">
        <f t="shared" si="68"/>
        <v>8.4740000000000006E-3</v>
      </c>
      <c r="M329" s="11">
        <f t="shared" si="77"/>
        <v>2.7885938720661185</v>
      </c>
      <c r="N329" s="5">
        <f t="shared" si="69"/>
        <v>8.5599186624553993E-3</v>
      </c>
      <c r="O329">
        <f t="shared" si="70"/>
        <v>14877.4164</v>
      </c>
      <c r="P329">
        <f t="shared" ca="1" si="71"/>
        <v>14880</v>
      </c>
      <c r="Q329" t="str">
        <f t="shared" ca="1" si="72"/>
        <v>0011101000100000</v>
      </c>
      <c r="R329">
        <f t="shared" ca="1" si="73"/>
        <v>2.79</v>
      </c>
      <c r="S329">
        <f t="shared" ca="1" si="74"/>
        <v>53.480000000000004</v>
      </c>
      <c r="T329" s="3">
        <f t="shared" ca="1" si="78"/>
        <v>1.4800759013282754E-2</v>
      </c>
      <c r="W329">
        <f t="shared" si="75"/>
        <v>53.179115931130767</v>
      </c>
      <c r="X329" s="5">
        <f t="shared" si="76"/>
        <v>9.0913838924243599E-3</v>
      </c>
    </row>
    <row r="330" spans="8:24" x14ac:dyDescent="0.25">
      <c r="H330">
        <v>52.800000000000004</v>
      </c>
      <c r="I330">
        <v>2.7733846567294105</v>
      </c>
      <c r="J330" s="10">
        <f t="shared" si="66"/>
        <v>-3.6000000000000001E-5</v>
      </c>
      <c r="K330" s="17">
        <f t="shared" si="67"/>
        <v>1.64E-4</v>
      </c>
      <c r="L330" s="10">
        <f t="shared" si="68"/>
        <v>8.5039999999999994E-3</v>
      </c>
      <c r="M330" s="11">
        <f t="shared" si="77"/>
        <v>2.7972081145354197</v>
      </c>
      <c r="N330" s="5">
        <f t="shared" si="69"/>
        <v>8.5900301453689133E-3</v>
      </c>
      <c r="O330">
        <f t="shared" si="70"/>
        <v>14923.3742</v>
      </c>
      <c r="P330">
        <f t="shared" ca="1" si="71"/>
        <v>14923</v>
      </c>
      <c r="Q330" t="str">
        <f t="shared" ca="1" si="72"/>
        <v>0011101001001011</v>
      </c>
      <c r="R330">
        <f t="shared" ca="1" si="73"/>
        <v>2.7980624999999999</v>
      </c>
      <c r="S330">
        <f t="shared" ca="1" si="74"/>
        <v>53.576749999999997</v>
      </c>
      <c r="T330" s="3">
        <f t="shared" ca="1" si="78"/>
        <v>1.4711174242424104E-2</v>
      </c>
      <c r="W330">
        <f t="shared" si="75"/>
        <v>53.280615880752933</v>
      </c>
      <c r="X330" s="5">
        <f t="shared" si="76"/>
        <v>9.1025734991084951E-3</v>
      </c>
    </row>
    <row r="331" spans="8:24" x14ac:dyDescent="0.25">
      <c r="H331">
        <v>52.9</v>
      </c>
      <c r="I331">
        <v>2.7831421350430179</v>
      </c>
      <c r="J331" s="10">
        <f t="shared" si="66"/>
        <v>-3.6000000000000001E-5</v>
      </c>
      <c r="K331" s="17">
        <f t="shared" si="67"/>
        <v>1.65E-4</v>
      </c>
      <c r="L331" s="10">
        <f t="shared" si="68"/>
        <v>8.5349999999999992E-3</v>
      </c>
      <c r="M331" s="11">
        <f t="shared" si="77"/>
        <v>2.8071370497627428</v>
      </c>
      <c r="N331" s="5">
        <f t="shared" si="69"/>
        <v>8.6215196908561928E-3</v>
      </c>
      <c r="O331">
        <f t="shared" si="70"/>
        <v>14976.346100000001</v>
      </c>
      <c r="P331">
        <f t="shared" ca="1" si="71"/>
        <v>14979</v>
      </c>
      <c r="Q331" t="str">
        <f t="shared" ca="1" si="72"/>
        <v>0011101010000011</v>
      </c>
      <c r="R331">
        <f t="shared" ca="1" si="73"/>
        <v>2.8085624999999999</v>
      </c>
      <c r="S331">
        <f t="shared" ca="1" si="74"/>
        <v>53.702750000000002</v>
      </c>
      <c r="T331" s="3">
        <f t="shared" ca="1" si="78"/>
        <v>1.5174858223062443E-2</v>
      </c>
      <c r="W331">
        <f t="shared" si="75"/>
        <v>53.397705620516213</v>
      </c>
      <c r="X331" s="5">
        <f t="shared" si="76"/>
        <v>9.4084238282838243E-3</v>
      </c>
    </row>
    <row r="332" spans="8:24" x14ac:dyDescent="0.25">
      <c r="H332">
        <v>53</v>
      </c>
      <c r="I332">
        <v>2.7922775612899606</v>
      </c>
      <c r="J332" s="10">
        <f t="shared" si="66"/>
        <v>-3.4999999999999997E-5</v>
      </c>
      <c r="K332" s="17">
        <f t="shared" si="67"/>
        <v>1.65E-4</v>
      </c>
      <c r="L332" s="10">
        <f t="shared" si="68"/>
        <v>8.5649999999999997E-3</v>
      </c>
      <c r="M332" s="11">
        <f t="shared" si="77"/>
        <v>2.8164353298904725</v>
      </c>
      <c r="N332" s="5">
        <f t="shared" si="69"/>
        <v>8.6516358314148462E-3</v>
      </c>
      <c r="O332">
        <f t="shared" si="70"/>
        <v>15025.953299999999</v>
      </c>
      <c r="P332">
        <f t="shared" ca="1" si="71"/>
        <v>15030</v>
      </c>
      <c r="Q332" t="str">
        <f t="shared" ca="1" si="72"/>
        <v>0011101010110110</v>
      </c>
      <c r="R332">
        <f t="shared" ca="1" si="73"/>
        <v>2.8181250000000002</v>
      </c>
      <c r="S332">
        <f t="shared" ca="1" si="74"/>
        <v>53.81750000000001</v>
      </c>
      <c r="T332" s="3">
        <f t="shared" ca="1" si="78"/>
        <v>1.5424528301886975E-2</v>
      </c>
      <c r="W332">
        <f t="shared" si="75"/>
        <v>53.507330735479535</v>
      </c>
      <c r="X332" s="5">
        <f t="shared" si="76"/>
        <v>9.5722780279157479E-3</v>
      </c>
    </row>
    <row r="333" spans="8:24" x14ac:dyDescent="0.25">
      <c r="H333">
        <v>53.1</v>
      </c>
      <c r="I333">
        <v>2.8014311802398577</v>
      </c>
      <c r="J333" s="10">
        <f t="shared" si="66"/>
        <v>-3.4999999999999997E-5</v>
      </c>
      <c r="K333" s="17">
        <f t="shared" si="67"/>
        <v>1.66E-4</v>
      </c>
      <c r="L333" s="10">
        <f t="shared" si="68"/>
        <v>8.5959999999999995E-3</v>
      </c>
      <c r="M333" s="11">
        <f t="shared" si="77"/>
        <v>2.8257563821003928</v>
      </c>
      <c r="N333" s="5">
        <f t="shared" si="69"/>
        <v>8.6831338324907161E-3</v>
      </c>
      <c r="O333">
        <f t="shared" si="70"/>
        <v>15075.682000000001</v>
      </c>
      <c r="P333">
        <f t="shared" ca="1" si="71"/>
        <v>15074</v>
      </c>
      <c r="Q333" t="str">
        <f t="shared" ca="1" si="72"/>
        <v>0011101011100010</v>
      </c>
      <c r="R333">
        <f t="shared" ca="1" si="73"/>
        <v>2.8263750000000001</v>
      </c>
      <c r="S333">
        <f t="shared" ca="1" si="74"/>
        <v>53.916499999999999</v>
      </c>
      <c r="T333" s="3">
        <f t="shared" ca="1" si="78"/>
        <v>1.5376647834274912E-2</v>
      </c>
      <c r="W333">
        <f t="shared" si="75"/>
        <v>53.6171741628783</v>
      </c>
      <c r="X333" s="5">
        <f t="shared" si="76"/>
        <v>9.7396264195536379E-3</v>
      </c>
    </row>
    <row r="334" spans="8:24" x14ac:dyDescent="0.25">
      <c r="H334">
        <v>53.2</v>
      </c>
      <c r="I334">
        <v>2.8118747232935548</v>
      </c>
      <c r="J334" s="10">
        <f t="shared" si="66"/>
        <v>-3.4E-5</v>
      </c>
      <c r="K334" s="17">
        <f t="shared" si="67"/>
        <v>1.66E-4</v>
      </c>
      <c r="L334" s="10">
        <f t="shared" si="68"/>
        <v>8.626E-3</v>
      </c>
      <c r="M334" s="11">
        <f t="shared" si="77"/>
        <v>2.8363752966020441</v>
      </c>
      <c r="N334" s="5">
        <f t="shared" si="69"/>
        <v>8.7132520896207426E-3</v>
      </c>
      <c r="O334">
        <f t="shared" si="70"/>
        <v>15132.3349</v>
      </c>
      <c r="P334">
        <f t="shared" ca="1" si="71"/>
        <v>15130</v>
      </c>
      <c r="Q334" t="str">
        <f t="shared" ca="1" si="72"/>
        <v>0011101100011010</v>
      </c>
      <c r="R334">
        <f t="shared" ca="1" si="73"/>
        <v>2.836875</v>
      </c>
      <c r="S334">
        <f t="shared" ca="1" si="74"/>
        <v>54.042500000000004</v>
      </c>
      <c r="T334" s="3">
        <f t="shared" ca="1" si="78"/>
        <v>1.5836466165413555E-2</v>
      </c>
      <c r="W334">
        <f t="shared" si="75"/>
        <v>53.74249667952266</v>
      </c>
      <c r="X334" s="5">
        <f t="shared" si="76"/>
        <v>1.0197306006064975E-2</v>
      </c>
    </row>
    <row r="335" spans="8:24" x14ac:dyDescent="0.25">
      <c r="H335">
        <v>53.300000000000004</v>
      </c>
      <c r="I335">
        <v>2.8197925265908612</v>
      </c>
      <c r="J335" s="10">
        <f t="shared" si="66"/>
        <v>-3.4E-5</v>
      </c>
      <c r="K335" s="17">
        <f t="shared" si="67"/>
        <v>1.6699999999999999E-4</v>
      </c>
      <c r="L335" s="10">
        <f t="shared" si="68"/>
        <v>8.6569999999999998E-3</v>
      </c>
      <c r="M335" s="11">
        <f t="shared" si="77"/>
        <v>2.8444509383642806</v>
      </c>
      <c r="N335" s="5">
        <f t="shared" si="69"/>
        <v>8.7447610208512515E-3</v>
      </c>
      <c r="O335">
        <f t="shared" si="70"/>
        <v>15175.4192</v>
      </c>
      <c r="P335">
        <f t="shared" ca="1" si="71"/>
        <v>15177</v>
      </c>
      <c r="Q335" t="str">
        <f t="shared" ca="1" si="72"/>
        <v>0011101101001001</v>
      </c>
      <c r="R335">
        <f t="shared" ca="1" si="73"/>
        <v>2.8456874999999999</v>
      </c>
      <c r="S335">
        <f t="shared" ca="1" si="74"/>
        <v>54.148249999999997</v>
      </c>
      <c r="T335" s="3">
        <f t="shared" ca="1" si="78"/>
        <v>1.5914634146341332E-2</v>
      </c>
      <c r="W335">
        <f t="shared" si="75"/>
        <v>53.837510319090342</v>
      </c>
      <c r="X335" s="5">
        <f t="shared" si="76"/>
        <v>1.008462137130089E-2</v>
      </c>
    </row>
    <row r="336" spans="8:24" x14ac:dyDescent="0.25">
      <c r="H336">
        <v>53.4</v>
      </c>
      <c r="I336">
        <v>2.8290000193661466</v>
      </c>
      <c r="J336" s="10">
        <f t="shared" si="66"/>
        <v>-3.3000000000000003E-5</v>
      </c>
      <c r="K336" s="17">
        <f t="shared" si="67"/>
        <v>1.6699999999999999E-4</v>
      </c>
      <c r="L336" s="10">
        <f t="shared" si="68"/>
        <v>8.6870000000000003E-3</v>
      </c>
      <c r="M336" s="11">
        <f t="shared" si="77"/>
        <v>2.8538241901055943</v>
      </c>
      <c r="N336" s="5">
        <f t="shared" si="69"/>
        <v>8.7748923893643683E-3</v>
      </c>
      <c r="O336">
        <f t="shared" si="70"/>
        <v>15225.4264</v>
      </c>
      <c r="P336">
        <f t="shared" ca="1" si="71"/>
        <v>15228</v>
      </c>
      <c r="Q336" t="str">
        <f t="shared" ca="1" si="72"/>
        <v>0011101101111100</v>
      </c>
      <c r="R336">
        <f t="shared" ca="1" si="73"/>
        <v>2.8552499999999998</v>
      </c>
      <c r="S336">
        <f t="shared" ca="1" si="74"/>
        <v>54.263000000000005</v>
      </c>
      <c r="T336" s="3">
        <f t="shared" ca="1" si="78"/>
        <v>1.6161048689138702E-2</v>
      </c>
      <c r="W336">
        <f t="shared" si="75"/>
        <v>53.948000232393767</v>
      </c>
      <c r="X336" s="5">
        <f t="shared" si="76"/>
        <v>1.0262176636587421E-2</v>
      </c>
    </row>
    <row r="337" spans="8:24" x14ac:dyDescent="0.25">
      <c r="H337">
        <v>53.5</v>
      </c>
      <c r="I337">
        <v>2.83949043383471</v>
      </c>
      <c r="J337" s="10">
        <f t="shared" si="66"/>
        <v>-3.1999999999999999E-5</v>
      </c>
      <c r="K337" s="17">
        <f t="shared" si="67"/>
        <v>1.6799999999999999E-4</v>
      </c>
      <c r="L337" s="10">
        <f t="shared" si="68"/>
        <v>8.7180000000000001E-3</v>
      </c>
      <c r="M337" s="11">
        <f t="shared" si="77"/>
        <v>2.8644951021351241</v>
      </c>
      <c r="N337" s="5">
        <f t="shared" si="69"/>
        <v>8.8060406904225882E-3</v>
      </c>
      <c r="O337">
        <f t="shared" si="70"/>
        <v>15282.3568</v>
      </c>
      <c r="P337">
        <f t="shared" ca="1" si="71"/>
        <v>15286</v>
      </c>
      <c r="Q337" t="str">
        <f t="shared" ca="1" si="72"/>
        <v>0011101110110110</v>
      </c>
      <c r="R337">
        <f t="shared" ca="1" si="73"/>
        <v>2.8661250000000003</v>
      </c>
      <c r="S337">
        <f t="shared" ca="1" si="74"/>
        <v>54.39350000000001</v>
      </c>
      <c r="T337" s="3">
        <f t="shared" ca="1" si="78"/>
        <v>1.6700934579439441E-2</v>
      </c>
      <c r="W337">
        <f t="shared" si="75"/>
        <v>54.073885206016527</v>
      </c>
      <c r="X337" s="5">
        <f t="shared" si="76"/>
        <v>1.072682628068275E-2</v>
      </c>
    </row>
    <row r="338" spans="8:24" x14ac:dyDescent="0.25">
      <c r="H338">
        <v>53.6</v>
      </c>
      <c r="I338">
        <v>2.8487310406297639</v>
      </c>
      <c r="J338" s="10">
        <f t="shared" si="66"/>
        <v>-3.1999999999999999E-5</v>
      </c>
      <c r="K338" s="17">
        <f t="shared" si="67"/>
        <v>1.6799999999999999E-4</v>
      </c>
      <c r="L338" s="10">
        <f t="shared" si="68"/>
        <v>8.7480000000000006E-3</v>
      </c>
      <c r="M338" s="11">
        <f t="shared" si="77"/>
        <v>2.8739039524054064</v>
      </c>
      <c r="N338" s="5">
        <f t="shared" si="69"/>
        <v>8.8365350805731328E-3</v>
      </c>
      <c r="O338">
        <f t="shared" si="70"/>
        <v>15332.553900000001</v>
      </c>
      <c r="P338">
        <f t="shared" ca="1" si="71"/>
        <v>15332</v>
      </c>
      <c r="Q338" t="str">
        <f t="shared" ca="1" si="72"/>
        <v>0011101111100100</v>
      </c>
      <c r="R338">
        <f t="shared" ca="1" si="73"/>
        <v>2.8747500000000001</v>
      </c>
      <c r="S338">
        <f t="shared" ca="1" si="74"/>
        <v>54.497</v>
      </c>
      <c r="T338" s="3">
        <f t="shared" ca="1" si="78"/>
        <v>1.6735074626865642E-2</v>
      </c>
      <c r="W338">
        <f t="shared" si="75"/>
        <v>54.184772487557169</v>
      </c>
      <c r="X338" s="5">
        <f t="shared" si="76"/>
        <v>1.0909934469350133E-2</v>
      </c>
    </row>
    <row r="339" spans="8:24" x14ac:dyDescent="0.25">
      <c r="H339">
        <v>53.7</v>
      </c>
      <c r="I339">
        <v>2.8567283674075519</v>
      </c>
      <c r="J339" s="10">
        <f t="shared" si="66"/>
        <v>-3.1000000000000001E-5</v>
      </c>
      <c r="K339" s="17">
        <f t="shared" si="67"/>
        <v>1.6899999999999999E-4</v>
      </c>
      <c r="L339" s="10">
        <f t="shared" si="68"/>
        <v>8.7790000000000003E-3</v>
      </c>
      <c r="M339" s="11">
        <f t="shared" si="77"/>
        <v>2.8820609807576227</v>
      </c>
      <c r="N339" s="5">
        <f t="shared" si="69"/>
        <v>8.8677011224066495E-3</v>
      </c>
      <c r="O339">
        <f t="shared" si="70"/>
        <v>15376.072399999999</v>
      </c>
      <c r="P339">
        <f t="shared" ca="1" si="71"/>
        <v>15377</v>
      </c>
      <c r="Q339" t="str">
        <f t="shared" ca="1" si="72"/>
        <v>0011110000010001</v>
      </c>
      <c r="R339">
        <f t="shared" ca="1" si="73"/>
        <v>2.8831875</v>
      </c>
      <c r="S339">
        <f t="shared" ca="1" si="74"/>
        <v>54.598250000000007</v>
      </c>
      <c r="T339" s="3">
        <f t="shared" ca="1" si="78"/>
        <v>1.6727188081936767E-2</v>
      </c>
      <c r="W339">
        <f t="shared" si="75"/>
        <v>54.28074040889063</v>
      </c>
      <c r="X339" s="5">
        <f t="shared" si="76"/>
        <v>1.0814532754015395E-2</v>
      </c>
    </row>
    <row r="340" spans="8:24" x14ac:dyDescent="0.25">
      <c r="H340">
        <v>53.800000000000004</v>
      </c>
      <c r="I340">
        <v>2.8660060488333685</v>
      </c>
      <c r="J340" s="10">
        <f t="shared" si="66"/>
        <v>-3.1000000000000001E-5</v>
      </c>
      <c r="K340" s="17">
        <f t="shared" si="67"/>
        <v>1.6899999999999999E-4</v>
      </c>
      <c r="L340" s="10">
        <f t="shared" si="68"/>
        <v>8.8090000000000009E-3</v>
      </c>
      <c r="M340" s="11">
        <f t="shared" si="77"/>
        <v>2.8915083458519781</v>
      </c>
      <c r="N340" s="5">
        <f t="shared" si="69"/>
        <v>8.8982006960489635E-3</v>
      </c>
      <c r="O340">
        <f t="shared" si="70"/>
        <v>15426.475</v>
      </c>
      <c r="P340">
        <f t="shared" ca="1" si="71"/>
        <v>15430</v>
      </c>
      <c r="Q340" t="str">
        <f t="shared" ca="1" si="72"/>
        <v>0011110001000110</v>
      </c>
      <c r="R340">
        <f t="shared" ca="1" si="73"/>
        <v>2.8931249999999999</v>
      </c>
      <c r="S340">
        <f t="shared" ca="1" si="74"/>
        <v>54.717500000000001</v>
      </c>
      <c r="T340" s="3">
        <f t="shared" ca="1" si="78"/>
        <v>1.7053903345724847E-2</v>
      </c>
      <c r="W340">
        <f t="shared" si="75"/>
        <v>54.392072586000424</v>
      </c>
      <c r="X340" s="5">
        <f t="shared" si="76"/>
        <v>1.1005066654282893E-2</v>
      </c>
    </row>
    <row r="341" spans="8:24" x14ac:dyDescent="0.25">
      <c r="H341">
        <v>53.9</v>
      </c>
      <c r="I341">
        <v>2.8765573254061461</v>
      </c>
      <c r="J341" s="10">
        <f t="shared" si="66"/>
        <v>-3.0000000000000001E-5</v>
      </c>
      <c r="K341" s="17">
        <f t="shared" si="67"/>
        <v>1.7000000000000001E-4</v>
      </c>
      <c r="L341" s="10">
        <f t="shared" si="68"/>
        <v>8.8400000000000006E-3</v>
      </c>
      <c r="M341" s="11">
        <f t="shared" si="77"/>
        <v>2.9022431548954217</v>
      </c>
      <c r="N341" s="5">
        <f t="shared" si="69"/>
        <v>8.9293647174749219E-3</v>
      </c>
      <c r="O341">
        <f t="shared" si="70"/>
        <v>15483.746300000001</v>
      </c>
      <c r="P341">
        <f t="shared" ca="1" si="71"/>
        <v>15484</v>
      </c>
      <c r="Q341" t="str">
        <f t="shared" ca="1" si="72"/>
        <v>0011110001111100</v>
      </c>
      <c r="R341">
        <f t="shared" ca="1" si="73"/>
        <v>2.9032499999999999</v>
      </c>
      <c r="S341">
        <f t="shared" ca="1" si="74"/>
        <v>54.839000000000006</v>
      </c>
      <c r="T341" s="3">
        <f t="shared" ca="1" si="78"/>
        <v>1.742115027829327E-2</v>
      </c>
      <c r="W341">
        <f t="shared" si="75"/>
        <v>54.518687904873751</v>
      </c>
      <c r="X341" s="5">
        <f t="shared" si="76"/>
        <v>1.1478439793576111E-2</v>
      </c>
    </row>
    <row r="342" spans="8:24" x14ac:dyDescent="0.25">
      <c r="H342">
        <v>54</v>
      </c>
      <c r="I342">
        <v>2.8852401179348512</v>
      </c>
      <c r="J342" s="10">
        <f t="shared" si="66"/>
        <v>-3.0000000000000001E-5</v>
      </c>
      <c r="K342" s="17">
        <f t="shared" si="67"/>
        <v>1.7000000000000001E-4</v>
      </c>
      <c r="L342" s="10">
        <f t="shared" si="68"/>
        <v>8.8699999999999994E-3</v>
      </c>
      <c r="M342" s="11">
        <f t="shared" si="77"/>
        <v>2.9110914995357335</v>
      </c>
      <c r="N342" s="5">
        <f t="shared" si="69"/>
        <v>8.9598718110802372E-3</v>
      </c>
      <c r="O342">
        <f t="shared" si="70"/>
        <v>15530.953</v>
      </c>
      <c r="P342">
        <f t="shared" ca="1" si="71"/>
        <v>15534</v>
      </c>
      <c r="Q342" t="str">
        <f t="shared" ca="1" si="72"/>
        <v>0011110010101110</v>
      </c>
      <c r="R342">
        <f t="shared" ca="1" si="73"/>
        <v>2.9126250000000002</v>
      </c>
      <c r="S342">
        <f t="shared" ca="1" si="74"/>
        <v>54.95150000000001</v>
      </c>
      <c r="T342" s="3">
        <f t="shared" ca="1" si="78"/>
        <v>1.7620370370370557E-2</v>
      </c>
      <c r="W342">
        <f t="shared" si="75"/>
        <v>54.622881415218217</v>
      </c>
      <c r="X342" s="5">
        <f t="shared" si="76"/>
        <v>1.1534841022559569E-2</v>
      </c>
    </row>
    <row r="343" spans="8:24" x14ac:dyDescent="0.25">
      <c r="H343">
        <v>54.1</v>
      </c>
      <c r="I343">
        <v>2.8933161838079937</v>
      </c>
      <c r="J343" s="10">
        <f t="shared" si="66"/>
        <v>-2.9E-5</v>
      </c>
      <c r="K343" s="17">
        <f t="shared" si="67"/>
        <v>1.7100000000000001E-4</v>
      </c>
      <c r="L343" s="10">
        <f t="shared" si="68"/>
        <v>8.9009999999999992E-3</v>
      </c>
      <c r="M343" s="11">
        <f t="shared" si="77"/>
        <v>2.9193301413965647</v>
      </c>
      <c r="N343" s="5">
        <f t="shared" si="69"/>
        <v>8.9910524588201323E-3</v>
      </c>
      <c r="O343">
        <f t="shared" si="70"/>
        <v>15574.906999999999</v>
      </c>
      <c r="P343">
        <f t="shared" ca="1" si="71"/>
        <v>15575</v>
      </c>
      <c r="Q343" t="str">
        <f t="shared" ca="1" si="72"/>
        <v>0011110011010111</v>
      </c>
      <c r="R343">
        <f t="shared" ca="1" si="73"/>
        <v>2.9203125000000001</v>
      </c>
      <c r="S343">
        <f t="shared" ca="1" si="74"/>
        <v>55.043750000000003</v>
      </c>
      <c r="T343" s="3">
        <f t="shared" ca="1" si="78"/>
        <v>1.7444547134935331E-2</v>
      </c>
      <c r="W343">
        <f t="shared" si="75"/>
        <v>54.719794205695926</v>
      </c>
      <c r="X343" s="5">
        <f t="shared" si="76"/>
        <v>1.1456454818778649E-2</v>
      </c>
    </row>
    <row r="344" spans="8:24" x14ac:dyDescent="0.25">
      <c r="H344">
        <v>54.2</v>
      </c>
      <c r="I344">
        <v>2.9032881301887241</v>
      </c>
      <c r="J344" s="10">
        <f t="shared" si="66"/>
        <v>-2.8E-5</v>
      </c>
      <c r="K344" s="17">
        <f t="shared" si="67"/>
        <v>1.7100000000000001E-4</v>
      </c>
      <c r="L344" s="10">
        <f t="shared" si="68"/>
        <v>8.9309999999999997E-3</v>
      </c>
      <c r="M344" s="11">
        <f t="shared" si="77"/>
        <v>2.9294793099054899</v>
      </c>
      <c r="N344" s="5">
        <f t="shared" si="69"/>
        <v>9.0212126879267909E-3</v>
      </c>
      <c r="O344">
        <f t="shared" si="70"/>
        <v>15629.0538</v>
      </c>
      <c r="P344">
        <f t="shared" ca="1" si="71"/>
        <v>15633</v>
      </c>
      <c r="Q344" t="str">
        <f t="shared" ca="1" si="72"/>
        <v>0011110100010001</v>
      </c>
      <c r="R344">
        <f t="shared" ca="1" si="73"/>
        <v>2.9311875000000001</v>
      </c>
      <c r="S344">
        <f t="shared" ca="1" si="74"/>
        <v>55.174250000000008</v>
      </c>
      <c r="T344" s="3">
        <f t="shared" ca="1" si="78"/>
        <v>1.79750922509226E-2</v>
      </c>
      <c r="W344">
        <f t="shared" si="75"/>
        <v>54.839457562264691</v>
      </c>
      <c r="X344" s="5">
        <f t="shared" si="76"/>
        <v>1.1798110004883547E-2</v>
      </c>
    </row>
    <row r="345" spans="8:24" x14ac:dyDescent="0.25">
      <c r="H345">
        <v>54.300000000000004</v>
      </c>
      <c r="I345">
        <v>2.9114034069431605</v>
      </c>
      <c r="J345" s="10">
        <f t="shared" si="66"/>
        <v>-2.8E-5</v>
      </c>
      <c r="K345" s="17">
        <f t="shared" si="67"/>
        <v>1.7200000000000001E-4</v>
      </c>
      <c r="L345" s="10">
        <f t="shared" si="68"/>
        <v>8.9619999999999995E-3</v>
      </c>
      <c r="M345" s="11">
        <f t="shared" si="77"/>
        <v>2.9377596085550306</v>
      </c>
      <c r="N345" s="5">
        <f t="shared" si="69"/>
        <v>9.0527480832836328E-3</v>
      </c>
      <c r="O345">
        <f t="shared" si="70"/>
        <v>15673.23</v>
      </c>
      <c r="P345">
        <f t="shared" ca="1" si="71"/>
        <v>15675</v>
      </c>
      <c r="Q345" t="str">
        <f t="shared" ca="1" si="72"/>
        <v>0011110100111011</v>
      </c>
      <c r="R345">
        <f t="shared" ca="1" si="73"/>
        <v>2.9390624999999999</v>
      </c>
      <c r="S345">
        <f t="shared" ca="1" si="74"/>
        <v>55.268749999999997</v>
      </c>
      <c r="T345" s="3">
        <f t="shared" ca="1" si="78"/>
        <v>1.7840699815837805E-2</v>
      </c>
      <c r="W345">
        <f t="shared" si="75"/>
        <v>54.936840883317927</v>
      </c>
      <c r="X345" s="5">
        <f t="shared" si="76"/>
        <v>1.1728193062945176E-2</v>
      </c>
    </row>
    <row r="346" spans="8:24" x14ac:dyDescent="0.25">
      <c r="H346">
        <v>54.4</v>
      </c>
      <c r="I346">
        <v>2.9220303378950447</v>
      </c>
      <c r="J346" s="10">
        <f t="shared" si="66"/>
        <v>-2.6999999999999999E-5</v>
      </c>
      <c r="K346" s="17">
        <f t="shared" si="67"/>
        <v>1.7200000000000001E-4</v>
      </c>
      <c r="L346" s="10">
        <f t="shared" si="68"/>
        <v>8.992E-3</v>
      </c>
      <c r="M346" s="11">
        <f t="shared" si="77"/>
        <v>2.9485708873137706</v>
      </c>
      <c r="N346" s="5">
        <f t="shared" si="69"/>
        <v>9.0829137105554424E-3</v>
      </c>
      <c r="O346">
        <f t="shared" si="70"/>
        <v>15730.9092</v>
      </c>
      <c r="P346">
        <f t="shared" ca="1" si="71"/>
        <v>15734</v>
      </c>
      <c r="Q346" t="str">
        <f t="shared" ca="1" si="72"/>
        <v>0011110101110110</v>
      </c>
      <c r="R346">
        <f t="shared" ca="1" si="73"/>
        <v>2.9501249999999999</v>
      </c>
      <c r="S346">
        <f t="shared" ca="1" si="74"/>
        <v>55.401500000000006</v>
      </c>
      <c r="T346" s="3">
        <f t="shared" ca="1" si="78"/>
        <v>1.8409926470588367E-2</v>
      </c>
      <c r="W346">
        <f t="shared" si="75"/>
        <v>55.064364054740544</v>
      </c>
      <c r="X346" s="5">
        <f t="shared" si="76"/>
        <v>1.221257453567179E-2</v>
      </c>
    </row>
    <row r="347" spans="8:24" x14ac:dyDescent="0.25">
      <c r="H347">
        <v>54.5</v>
      </c>
      <c r="I347">
        <v>2.9308047816004881</v>
      </c>
      <c r="J347" s="10">
        <f t="shared" si="66"/>
        <v>-2.6999999999999999E-5</v>
      </c>
      <c r="K347" s="17">
        <f t="shared" si="67"/>
        <v>1.73E-4</v>
      </c>
      <c r="L347" s="10">
        <f t="shared" si="68"/>
        <v>9.0229999999999998E-3</v>
      </c>
      <c r="M347" s="11">
        <f t="shared" si="77"/>
        <v>2.9575174616570195</v>
      </c>
      <c r="N347" s="5">
        <f t="shared" si="69"/>
        <v>9.1144521887751954E-3</v>
      </c>
      <c r="O347">
        <f t="shared" si="70"/>
        <v>15778.64</v>
      </c>
      <c r="P347">
        <f t="shared" ca="1" si="71"/>
        <v>15776</v>
      </c>
      <c r="Q347" t="str">
        <f t="shared" ca="1" si="72"/>
        <v>0011110110100000</v>
      </c>
      <c r="R347">
        <f t="shared" ca="1" si="73"/>
        <v>2.9580000000000002</v>
      </c>
      <c r="S347">
        <f t="shared" ca="1" si="74"/>
        <v>55.496000000000009</v>
      </c>
      <c r="T347" s="3">
        <f t="shared" ca="1" si="78"/>
        <v>1.8275229357798337E-2</v>
      </c>
      <c r="W347">
        <f t="shared" si="75"/>
        <v>55.169657379205859</v>
      </c>
      <c r="X347" s="5">
        <f t="shared" si="76"/>
        <v>1.2287291361575388E-2</v>
      </c>
    </row>
    <row r="348" spans="8:24" x14ac:dyDescent="0.25">
      <c r="H348">
        <v>54.6</v>
      </c>
      <c r="I348">
        <v>2.9402182976984608</v>
      </c>
      <c r="J348" s="10">
        <f t="shared" si="66"/>
        <v>-2.5999999999999998E-5</v>
      </c>
      <c r="K348" s="17">
        <f t="shared" si="67"/>
        <v>1.73E-4</v>
      </c>
      <c r="L348" s="10">
        <f t="shared" si="68"/>
        <v>9.0530000000000003E-3</v>
      </c>
      <c r="M348" s="11">
        <f t="shared" si="77"/>
        <v>2.9671055038245848</v>
      </c>
      <c r="N348" s="5">
        <f t="shared" si="69"/>
        <v>9.1446292090525301E-3</v>
      </c>
      <c r="O348">
        <f t="shared" si="70"/>
        <v>15829.793100000001</v>
      </c>
      <c r="P348">
        <f t="shared" ca="1" si="71"/>
        <v>15827</v>
      </c>
      <c r="Q348" t="str">
        <f t="shared" ca="1" si="72"/>
        <v>0011110111010011</v>
      </c>
      <c r="R348">
        <f t="shared" ca="1" si="73"/>
        <v>2.9675625000000001</v>
      </c>
      <c r="S348">
        <f t="shared" ca="1" si="74"/>
        <v>55.610750000000003</v>
      </c>
      <c r="T348" s="3">
        <f t="shared" ca="1" si="78"/>
        <v>1.8511904761904792E-2</v>
      </c>
      <c r="W348">
        <f t="shared" si="75"/>
        <v>55.282619572381527</v>
      </c>
      <c r="X348" s="5">
        <f t="shared" si="76"/>
        <v>1.2502189970357619E-2</v>
      </c>
    </row>
    <row r="349" spans="8:24" x14ac:dyDescent="0.25">
      <c r="H349">
        <v>54.7</v>
      </c>
      <c r="I349">
        <v>2.949648125378304</v>
      </c>
      <c r="J349" s="10">
        <f t="shared" si="66"/>
        <v>-2.5000000000000001E-5</v>
      </c>
      <c r="K349" s="17">
        <f t="shared" si="67"/>
        <v>1.74E-4</v>
      </c>
      <c r="L349" s="10">
        <f t="shared" si="68"/>
        <v>9.0840000000000001E-3</v>
      </c>
      <c r="M349" s="11">
        <f t="shared" si="77"/>
        <v>2.9767135916448053</v>
      </c>
      <c r="N349" s="5">
        <f t="shared" si="69"/>
        <v>9.1758288162016102E-3</v>
      </c>
      <c r="O349">
        <f t="shared" si="70"/>
        <v>15881.0532</v>
      </c>
      <c r="P349">
        <f t="shared" ca="1" si="71"/>
        <v>15879</v>
      </c>
      <c r="Q349" t="str">
        <f t="shared" ca="1" si="72"/>
        <v>0011111000000111</v>
      </c>
      <c r="R349">
        <f t="shared" ca="1" si="73"/>
        <v>2.9773125</v>
      </c>
      <c r="S349">
        <f t="shared" ca="1" si="74"/>
        <v>55.727750000000007</v>
      </c>
      <c r="T349" s="3">
        <f t="shared" ca="1" si="78"/>
        <v>1.8788848263254197E-2</v>
      </c>
      <c r="W349">
        <f t="shared" si="75"/>
        <v>55.395777504539652</v>
      </c>
      <c r="X349" s="5">
        <f t="shared" si="76"/>
        <v>1.2719881253010032E-2</v>
      </c>
    </row>
    <row r="350" spans="8:24" x14ac:dyDescent="0.25">
      <c r="H350">
        <v>54.800000000000004</v>
      </c>
      <c r="I350">
        <v>2.9584759159126741</v>
      </c>
      <c r="J350" s="10">
        <f t="shared" si="66"/>
        <v>-2.5000000000000001E-5</v>
      </c>
      <c r="K350" s="17">
        <f t="shared" si="67"/>
        <v>1.74E-4</v>
      </c>
      <c r="L350" s="10">
        <f t="shared" si="68"/>
        <v>9.1140000000000006E-3</v>
      </c>
      <c r="M350" s="11">
        <f t="shared" si="77"/>
        <v>2.9857127014739073</v>
      </c>
      <c r="N350" s="5">
        <f t="shared" si="69"/>
        <v>9.2063570349636623E-3</v>
      </c>
      <c r="O350">
        <f t="shared" si="70"/>
        <v>15929.0643</v>
      </c>
      <c r="P350">
        <f t="shared" ca="1" si="71"/>
        <v>15929</v>
      </c>
      <c r="Q350" t="str">
        <f t="shared" ca="1" si="72"/>
        <v>0011111000111001</v>
      </c>
      <c r="R350">
        <f t="shared" ca="1" si="73"/>
        <v>2.9866874999999999</v>
      </c>
      <c r="S350">
        <f t="shared" ca="1" si="74"/>
        <v>55.840249999999997</v>
      </c>
      <c r="T350" s="3">
        <f t="shared" ca="1" si="78"/>
        <v>1.8982664233576519E-2</v>
      </c>
      <c r="W350">
        <f t="shared" si="75"/>
        <v>55.501710990952091</v>
      </c>
      <c r="X350" s="5">
        <f t="shared" si="76"/>
        <v>1.2804945090366547E-2</v>
      </c>
    </row>
    <row r="351" spans="8:24" x14ac:dyDescent="0.25">
      <c r="H351">
        <v>54.9</v>
      </c>
      <c r="I351">
        <v>2.9673219871856049</v>
      </c>
      <c r="J351" s="10">
        <f t="shared" si="66"/>
        <v>-2.4000000000000001E-5</v>
      </c>
      <c r="K351" s="17">
        <f t="shared" si="67"/>
        <v>1.75E-4</v>
      </c>
      <c r="L351" s="10">
        <f t="shared" si="68"/>
        <v>9.1450000000000004E-3</v>
      </c>
      <c r="M351" s="11">
        <f t="shared" si="77"/>
        <v>2.9947328188136555</v>
      </c>
      <c r="N351" s="5">
        <f t="shared" si="69"/>
        <v>9.2375656387895869E-3</v>
      </c>
      <c r="O351">
        <f t="shared" si="70"/>
        <v>15977.1875</v>
      </c>
      <c r="P351">
        <f t="shared" ca="1" si="71"/>
        <v>15977</v>
      </c>
      <c r="Q351" t="str">
        <f t="shared" ca="1" si="72"/>
        <v>0011111001101001</v>
      </c>
      <c r="R351">
        <f t="shared" ca="1" si="73"/>
        <v>2.9956875000000003</v>
      </c>
      <c r="S351">
        <f t="shared" ca="1" si="74"/>
        <v>55.948250000000002</v>
      </c>
      <c r="T351" s="3">
        <f t="shared" ca="1" si="78"/>
        <v>1.9093806921675831E-2</v>
      </c>
      <c r="W351">
        <f t="shared" si="75"/>
        <v>55.607863846227261</v>
      </c>
      <c r="X351" s="5">
        <f t="shared" si="76"/>
        <v>1.2893694831097672E-2</v>
      </c>
    </row>
    <row r="352" spans="8:24" x14ac:dyDescent="0.25">
      <c r="H352">
        <v>55</v>
      </c>
      <c r="I352">
        <v>2.9768022442455111</v>
      </c>
      <c r="J352" s="10">
        <f t="shared" si="66"/>
        <v>-2.4000000000000001E-5</v>
      </c>
      <c r="K352" s="17">
        <f t="shared" si="67"/>
        <v>1.75E-4</v>
      </c>
      <c r="L352" s="10">
        <f t="shared" si="68"/>
        <v>9.1750000000000009E-3</v>
      </c>
      <c r="M352" s="11">
        <f t="shared" si="77"/>
        <v>3.0043915365937588</v>
      </c>
      <c r="N352" s="5">
        <f t="shared" si="69"/>
        <v>9.2680971339567011E-3</v>
      </c>
      <c r="O352">
        <f t="shared" si="70"/>
        <v>16028.717699999999</v>
      </c>
      <c r="P352">
        <f t="shared" ca="1" si="71"/>
        <v>16032</v>
      </c>
      <c r="Q352" t="str">
        <f t="shared" ca="1" si="72"/>
        <v>0011111010100000</v>
      </c>
      <c r="R352">
        <f t="shared" ca="1" si="73"/>
        <v>3.0060000000000002</v>
      </c>
      <c r="S352">
        <f t="shared" ca="1" si="74"/>
        <v>56.07200000000001</v>
      </c>
      <c r="T352" s="3">
        <f t="shared" ca="1" si="78"/>
        <v>1.949090909090927E-2</v>
      </c>
      <c r="W352">
        <f t="shared" si="75"/>
        <v>55.721626930946137</v>
      </c>
      <c r="X352" s="5">
        <f t="shared" si="76"/>
        <v>1.3120489653566122E-2</v>
      </c>
    </row>
    <row r="353" spans="8:24" x14ac:dyDescent="0.25">
      <c r="H353">
        <v>55.1</v>
      </c>
      <c r="I353">
        <v>2.9862983404497885</v>
      </c>
      <c r="J353" s="10">
        <f t="shared" si="66"/>
        <v>-2.3E-5</v>
      </c>
      <c r="K353" s="17">
        <f t="shared" si="67"/>
        <v>1.76E-4</v>
      </c>
      <c r="L353" s="10">
        <f t="shared" si="68"/>
        <v>9.2060000000000006E-3</v>
      </c>
      <c r="M353" s="11">
        <f t="shared" si="77"/>
        <v>3.0140688583598494</v>
      </c>
      <c r="N353" s="5">
        <f t="shared" si="69"/>
        <v>9.2993113025265205E-3</v>
      </c>
      <c r="O353">
        <f t="shared" si="70"/>
        <v>16080.3472</v>
      </c>
      <c r="P353">
        <f t="shared" ca="1" si="71"/>
        <v>16079</v>
      </c>
      <c r="Q353" t="str">
        <f t="shared" ca="1" si="72"/>
        <v>0011111011001111</v>
      </c>
      <c r="R353">
        <f t="shared" ca="1" si="73"/>
        <v>3.0148125000000001</v>
      </c>
      <c r="S353">
        <f t="shared" ca="1" si="74"/>
        <v>56.177750000000003</v>
      </c>
      <c r="T353" s="3">
        <f t="shared" ca="1" si="78"/>
        <v>1.9559891107078071E-2</v>
      </c>
      <c r="W353">
        <f t="shared" si="75"/>
        <v>55.83558008539746</v>
      </c>
      <c r="X353" s="5">
        <f t="shared" si="76"/>
        <v>1.3349910805761499E-2</v>
      </c>
    </row>
    <row r="354" spans="8:24" x14ac:dyDescent="0.25">
      <c r="H354">
        <v>55.2</v>
      </c>
      <c r="I354">
        <v>2.9958101579347516</v>
      </c>
      <c r="J354" s="10">
        <f t="shared" si="66"/>
        <v>-2.3E-5</v>
      </c>
      <c r="K354" s="17">
        <f t="shared" si="67"/>
        <v>1.76E-4</v>
      </c>
      <c r="L354" s="10">
        <f t="shared" si="68"/>
        <v>9.2359999999999994E-3</v>
      </c>
      <c r="M354" s="11">
        <f t="shared" si="77"/>
        <v>3.0237606109373694</v>
      </c>
      <c r="N354" s="5">
        <f t="shared" si="69"/>
        <v>9.3298478638867543E-3</v>
      </c>
      <c r="O354">
        <f t="shared" si="70"/>
        <v>16132.053599999999</v>
      </c>
      <c r="P354">
        <f t="shared" ca="1" si="71"/>
        <v>16136</v>
      </c>
      <c r="Q354" t="str">
        <f t="shared" ca="1" si="72"/>
        <v>0011111100001000</v>
      </c>
      <c r="R354">
        <f t="shared" ca="1" si="73"/>
        <v>3.0255000000000001</v>
      </c>
      <c r="S354">
        <f t="shared" ca="1" si="74"/>
        <v>56.306000000000004</v>
      </c>
      <c r="T354" s="3">
        <f t="shared" ca="1" si="78"/>
        <v>2.0036231884057999E-2</v>
      </c>
      <c r="W354">
        <f t="shared" si="75"/>
        <v>55.949721895217017</v>
      </c>
      <c r="X354" s="5">
        <f t="shared" si="76"/>
        <v>1.3581918391612579E-2</v>
      </c>
    </row>
    <row r="355" spans="8:24" x14ac:dyDescent="0.25">
      <c r="H355">
        <v>55.300000000000004</v>
      </c>
      <c r="I355">
        <v>3.0047248545341159</v>
      </c>
      <c r="J355" s="10">
        <f t="shared" si="66"/>
        <v>-2.1999999999999999E-5</v>
      </c>
      <c r="K355" s="17">
        <f t="shared" si="67"/>
        <v>1.7699999999999999E-4</v>
      </c>
      <c r="L355" s="10">
        <f t="shared" si="68"/>
        <v>9.2669999999999992E-3</v>
      </c>
      <c r="M355" s="11">
        <f t="shared" si="77"/>
        <v>3.0328522967682674</v>
      </c>
      <c r="N355" s="5">
        <f t="shared" si="69"/>
        <v>9.3610708453745282E-3</v>
      </c>
      <c r="O355">
        <f t="shared" si="70"/>
        <v>16180.5586</v>
      </c>
      <c r="P355">
        <f t="shared" ca="1" si="71"/>
        <v>16178</v>
      </c>
      <c r="Q355" t="str">
        <f t="shared" ca="1" si="72"/>
        <v>0011111100110010</v>
      </c>
      <c r="R355">
        <f t="shared" ca="1" si="73"/>
        <v>3.0333749999999999</v>
      </c>
      <c r="S355">
        <f t="shared" ca="1" si="74"/>
        <v>56.400500000000001</v>
      </c>
      <c r="T355" s="3">
        <f t="shared" ca="1" si="78"/>
        <v>1.9900542495479144E-2</v>
      </c>
      <c r="W355">
        <f t="shared" si="75"/>
        <v>56.056698254409397</v>
      </c>
      <c r="X355" s="5">
        <f t="shared" si="76"/>
        <v>1.3683512737963709E-2</v>
      </c>
    </row>
    <row r="356" spans="8:24" x14ac:dyDescent="0.25">
      <c r="H356">
        <v>55.4</v>
      </c>
      <c r="I356">
        <v>3.0136572363582501</v>
      </c>
      <c r="J356" s="10">
        <f t="shared" si="66"/>
        <v>-2.0999999999999999E-5</v>
      </c>
      <c r="K356" s="17">
        <f t="shared" si="67"/>
        <v>1.7699999999999999E-4</v>
      </c>
      <c r="L356" s="10">
        <f t="shared" si="68"/>
        <v>9.2969999999999997E-3</v>
      </c>
      <c r="M356" s="11">
        <f t="shared" si="77"/>
        <v>3.0419593322703675</v>
      </c>
      <c r="N356" s="5">
        <f t="shared" si="69"/>
        <v>9.3912789983767696E-3</v>
      </c>
      <c r="O356">
        <f t="shared" si="70"/>
        <v>16229.145500000001</v>
      </c>
      <c r="P356">
        <f t="shared" ca="1" si="71"/>
        <v>16230</v>
      </c>
      <c r="Q356" t="str">
        <f t="shared" ca="1" si="72"/>
        <v>0011111101100110</v>
      </c>
      <c r="R356">
        <f t="shared" ca="1" si="73"/>
        <v>3.0431249999999999</v>
      </c>
      <c r="S356">
        <f t="shared" ca="1" si="74"/>
        <v>56.517500000000005</v>
      </c>
      <c r="T356" s="3">
        <f t="shared" ca="1" si="78"/>
        <v>2.0171480144404456E-2</v>
      </c>
      <c r="W356">
        <f t="shared" si="75"/>
        <v>56.163886836299</v>
      </c>
      <c r="X356" s="5">
        <f t="shared" si="76"/>
        <v>1.3788571052328539E-2</v>
      </c>
    </row>
    <row r="357" spans="8:24" x14ac:dyDescent="0.25">
      <c r="H357">
        <v>55.5</v>
      </c>
      <c r="I357">
        <v>3.0232177083821337</v>
      </c>
      <c r="J357" s="10">
        <f t="shared" si="66"/>
        <v>-2.0999999999999999E-5</v>
      </c>
      <c r="K357" s="17">
        <f t="shared" si="67"/>
        <v>1.7799999999999999E-4</v>
      </c>
      <c r="L357" s="10">
        <f t="shared" si="68"/>
        <v>9.3279999999999995E-3</v>
      </c>
      <c r="M357" s="11">
        <f t="shared" si="77"/>
        <v>3.0517050127409813</v>
      </c>
      <c r="N357" s="5">
        <f t="shared" si="69"/>
        <v>9.4228425163904294E-3</v>
      </c>
      <c r="O357">
        <f t="shared" si="70"/>
        <v>16281.1397</v>
      </c>
      <c r="P357">
        <f t="shared" ca="1" si="71"/>
        <v>16279</v>
      </c>
      <c r="Q357" t="str">
        <f t="shared" ca="1" si="72"/>
        <v>0011111110010111</v>
      </c>
      <c r="R357">
        <f t="shared" ca="1" si="73"/>
        <v>3.0523125000000002</v>
      </c>
      <c r="S357">
        <f t="shared" ca="1" si="74"/>
        <v>56.627750000000006</v>
      </c>
      <c r="T357" s="3">
        <f t="shared" ca="1" si="78"/>
        <v>2.031981981981993E-2</v>
      </c>
      <c r="W357">
        <f t="shared" si="75"/>
        <v>56.278612500585602</v>
      </c>
      <c r="X357" s="5">
        <f t="shared" si="76"/>
        <v>1.4029054064605445E-2</v>
      </c>
    </row>
    <row r="358" spans="8:24" x14ac:dyDescent="0.25">
      <c r="H358">
        <v>55.6</v>
      </c>
      <c r="I358">
        <v>3.0315745786107788</v>
      </c>
      <c r="J358" s="10">
        <f t="shared" si="66"/>
        <v>-2.0000000000000002E-5</v>
      </c>
      <c r="K358" s="17">
        <f t="shared" si="67"/>
        <v>1.7799999999999999E-4</v>
      </c>
      <c r="L358" s="10">
        <f t="shared" si="68"/>
        <v>9.358E-3</v>
      </c>
      <c r="M358" s="11">
        <f t="shared" si="77"/>
        <v>3.0602322318363031</v>
      </c>
      <c r="N358" s="5">
        <f t="shared" si="69"/>
        <v>9.4530589574532784E-3</v>
      </c>
      <c r="O358">
        <f t="shared" si="70"/>
        <v>16326.6332</v>
      </c>
      <c r="P358">
        <f t="shared" ca="1" si="71"/>
        <v>16330</v>
      </c>
      <c r="Q358" t="str">
        <f t="shared" ca="1" si="72"/>
        <v>0011111111001010</v>
      </c>
      <c r="R358">
        <f t="shared" ca="1" si="73"/>
        <v>3.0618750000000001</v>
      </c>
      <c r="S358">
        <f t="shared" ca="1" si="74"/>
        <v>56.7425</v>
      </c>
      <c r="T358" s="3">
        <f t="shared" ca="1" si="78"/>
        <v>2.0548561151079104E-2</v>
      </c>
      <c r="W358">
        <f t="shared" si="75"/>
        <v>56.37889494332935</v>
      </c>
      <c r="X358" s="5">
        <f t="shared" si="76"/>
        <v>1.4008901858441513E-2</v>
      </c>
    </row>
    <row r="359" spans="8:24" x14ac:dyDescent="0.25">
      <c r="H359">
        <v>55.7</v>
      </c>
      <c r="I359">
        <v>3.041167625726565</v>
      </c>
      <c r="J359" s="10">
        <f t="shared" si="66"/>
        <v>-2.0000000000000002E-5</v>
      </c>
      <c r="K359" s="17">
        <f t="shared" si="67"/>
        <v>1.7899999999999999E-4</v>
      </c>
      <c r="L359" s="10">
        <f t="shared" si="68"/>
        <v>9.3889999999999998E-3</v>
      </c>
      <c r="M359" s="11">
        <f t="shared" si="77"/>
        <v>3.0700119680950091</v>
      </c>
      <c r="N359" s="5">
        <f t="shared" si="69"/>
        <v>9.4846275898892406E-3</v>
      </c>
      <c r="O359">
        <f t="shared" si="70"/>
        <v>16378.808999999999</v>
      </c>
      <c r="P359">
        <f t="shared" ca="1" si="71"/>
        <v>16378</v>
      </c>
      <c r="Q359" t="str">
        <f t="shared" ca="1" si="72"/>
        <v>0011111111111010</v>
      </c>
      <c r="R359">
        <f t="shared" ca="1" si="73"/>
        <v>3.070875</v>
      </c>
      <c r="S359">
        <f t="shared" ca="1" si="74"/>
        <v>56.850500000000004</v>
      </c>
      <c r="T359" s="3">
        <f t="shared" ca="1" si="78"/>
        <v>2.0655296229802531E-2</v>
      </c>
      <c r="W359">
        <f t="shared" si="75"/>
        <v>56.494011508718778</v>
      </c>
      <c r="X359" s="5">
        <f t="shared" si="76"/>
        <v>1.4255143783101883E-2</v>
      </c>
    </row>
    <row r="360" spans="8:24" x14ac:dyDescent="0.25">
      <c r="H360">
        <v>55.800000000000004</v>
      </c>
      <c r="I360">
        <v>3.0501684566320919</v>
      </c>
      <c r="J360" s="10">
        <f t="shared" si="66"/>
        <v>-1.9000000000000001E-5</v>
      </c>
      <c r="K360" s="17">
        <f t="shared" si="67"/>
        <v>1.7899999999999999E-4</v>
      </c>
      <c r="L360" s="10">
        <f t="shared" si="68"/>
        <v>9.4190000000000003E-3</v>
      </c>
      <c r="M360" s="11">
        <f t="shared" si="77"/>
        <v>3.0791903505438643</v>
      </c>
      <c r="N360" s="5">
        <f t="shared" si="69"/>
        <v>9.5148495318902754E-3</v>
      </c>
      <c r="O360">
        <f t="shared" si="70"/>
        <v>16427.776600000001</v>
      </c>
      <c r="P360">
        <f t="shared" ca="1" si="71"/>
        <v>16425</v>
      </c>
      <c r="Q360" t="str">
        <f t="shared" ca="1" si="72"/>
        <v>0100000000101001</v>
      </c>
      <c r="R360">
        <f t="shared" ca="1" si="73"/>
        <v>3.0796874999999999</v>
      </c>
      <c r="S360">
        <f t="shared" ca="1" si="74"/>
        <v>56.956249999999997</v>
      </c>
      <c r="T360" s="3">
        <f t="shared" ca="1" si="78"/>
        <v>2.0721326164874421E-2</v>
      </c>
      <c r="W360">
        <f t="shared" si="75"/>
        <v>56.602021479585105</v>
      </c>
      <c r="X360" s="5">
        <f t="shared" si="76"/>
        <v>1.4373144795431905E-2</v>
      </c>
    </row>
    <row r="361" spans="8:24" x14ac:dyDescent="0.25">
      <c r="H361">
        <v>55.9</v>
      </c>
      <c r="I361">
        <v>3.0597925072334187</v>
      </c>
      <c r="J361" s="10">
        <f t="shared" si="66"/>
        <v>-1.9000000000000001E-5</v>
      </c>
      <c r="K361" s="17">
        <f t="shared" si="67"/>
        <v>1.8000000000000001E-4</v>
      </c>
      <c r="L361" s="10">
        <f t="shared" si="68"/>
        <v>9.4500000000000001E-3</v>
      </c>
      <c r="M361" s="11">
        <f t="shared" si="77"/>
        <v>3.0890025816298206</v>
      </c>
      <c r="N361" s="5">
        <f t="shared" si="69"/>
        <v>9.5464232712998056E-3</v>
      </c>
      <c r="O361">
        <f t="shared" si="70"/>
        <v>16480.125800000002</v>
      </c>
      <c r="P361">
        <f t="shared" ca="1" si="71"/>
        <v>16479</v>
      </c>
      <c r="Q361" t="str">
        <f t="shared" ca="1" si="72"/>
        <v>0100000001011111</v>
      </c>
      <c r="R361">
        <f t="shared" ca="1" si="73"/>
        <v>3.0898124999999999</v>
      </c>
      <c r="S361">
        <f t="shared" ca="1" si="74"/>
        <v>57.077750000000002</v>
      </c>
      <c r="T361" s="3">
        <f t="shared" ca="1" si="78"/>
        <v>2.1068872987477696E-2</v>
      </c>
      <c r="W361">
        <f t="shared" si="75"/>
        <v>56.717510086801028</v>
      </c>
      <c r="X361" s="5">
        <f t="shared" si="76"/>
        <v>1.4624509602880663E-2</v>
      </c>
    </row>
    <row r="362" spans="8:24" x14ac:dyDescent="0.25">
      <c r="H362">
        <v>56</v>
      </c>
      <c r="I362">
        <v>3.0682212650816467</v>
      </c>
      <c r="J362" s="10">
        <f t="shared" si="66"/>
        <v>-1.8E-5</v>
      </c>
      <c r="K362" s="17">
        <f t="shared" si="67"/>
        <v>1.8000000000000001E-4</v>
      </c>
      <c r="L362" s="10">
        <f t="shared" si="68"/>
        <v>9.4800000000000006E-3</v>
      </c>
      <c r="M362" s="11">
        <f t="shared" si="77"/>
        <v>3.0976045562751349</v>
      </c>
      <c r="N362" s="5">
        <f t="shared" si="69"/>
        <v>9.5766532641857055E-3</v>
      </c>
      <c r="O362">
        <f t="shared" si="70"/>
        <v>16526.018100000001</v>
      </c>
      <c r="P362">
        <f t="shared" ca="1" si="71"/>
        <v>16529</v>
      </c>
      <c r="Q362" t="str">
        <f t="shared" ca="1" si="72"/>
        <v>0100000010010001</v>
      </c>
      <c r="R362">
        <f t="shared" ca="1" si="73"/>
        <v>3.0991875000000002</v>
      </c>
      <c r="S362">
        <f t="shared" ca="1" si="74"/>
        <v>57.190250000000006</v>
      </c>
      <c r="T362" s="3">
        <f t="shared" ca="1" si="78"/>
        <v>2.1254464285714394E-2</v>
      </c>
      <c r="W362">
        <f t="shared" si="75"/>
        <v>56.818655180979768</v>
      </c>
      <c r="X362" s="5">
        <f t="shared" si="76"/>
        <v>1.4618842517495853E-2</v>
      </c>
    </row>
    <row r="363" spans="8:24" x14ac:dyDescent="0.25">
      <c r="H363">
        <v>56.1</v>
      </c>
      <c r="I363">
        <v>3.0772730041178114</v>
      </c>
      <c r="J363" s="10">
        <f t="shared" si="66"/>
        <v>-1.7E-5</v>
      </c>
      <c r="K363" s="17">
        <f t="shared" si="67"/>
        <v>1.8100000000000001E-4</v>
      </c>
      <c r="L363" s="10">
        <f t="shared" si="68"/>
        <v>9.5110000000000004E-3</v>
      </c>
      <c r="M363" s="11">
        <f t="shared" si="77"/>
        <v>3.1068391512856897</v>
      </c>
      <c r="N363" s="5">
        <f t="shared" si="69"/>
        <v>9.6079051576882409E-3</v>
      </c>
      <c r="O363">
        <f t="shared" si="70"/>
        <v>16575.285599999999</v>
      </c>
      <c r="P363">
        <f t="shared" ca="1" si="71"/>
        <v>16579</v>
      </c>
      <c r="Q363" t="str">
        <f t="shared" ca="1" si="72"/>
        <v>0100000011000011</v>
      </c>
      <c r="R363">
        <f t="shared" ca="1" si="73"/>
        <v>3.1085625000000001</v>
      </c>
      <c r="S363">
        <f t="shared" ca="1" si="74"/>
        <v>57.302750000000003</v>
      </c>
      <c r="T363" s="3">
        <f t="shared" ca="1" si="78"/>
        <v>2.143939393939397E-2</v>
      </c>
      <c r="W363">
        <f t="shared" si="75"/>
        <v>56.927276049413734</v>
      </c>
      <c r="X363" s="5">
        <f t="shared" si="76"/>
        <v>1.4746453643738555E-2</v>
      </c>
    </row>
    <row r="364" spans="8:24" x14ac:dyDescent="0.25">
      <c r="H364">
        <v>56.2</v>
      </c>
      <c r="I364">
        <v>3.0869443148220101</v>
      </c>
      <c r="J364" s="10">
        <f t="shared" si="66"/>
        <v>-1.7E-5</v>
      </c>
      <c r="K364" s="17">
        <f t="shared" si="67"/>
        <v>1.8100000000000001E-4</v>
      </c>
      <c r="L364" s="10">
        <f t="shared" si="68"/>
        <v>9.5409999999999991E-3</v>
      </c>
      <c r="M364" s="11">
        <f t="shared" si="77"/>
        <v>3.1166977278433641</v>
      </c>
      <c r="N364" s="5">
        <f t="shared" si="69"/>
        <v>9.6384676842055303E-3</v>
      </c>
      <c r="O364">
        <f t="shared" si="70"/>
        <v>16627.882000000001</v>
      </c>
      <c r="P364">
        <f t="shared" ca="1" si="71"/>
        <v>16628</v>
      </c>
      <c r="Q364" t="str">
        <f t="shared" ca="1" si="72"/>
        <v>0100000011110100</v>
      </c>
      <c r="R364">
        <f t="shared" ca="1" si="73"/>
        <v>3.11775</v>
      </c>
      <c r="S364">
        <f t="shared" ca="1" si="74"/>
        <v>57.413000000000004</v>
      </c>
      <c r="T364" s="3">
        <f t="shared" ca="1" si="78"/>
        <v>2.1583629893238452E-2</v>
      </c>
      <c r="W364">
        <f t="shared" si="75"/>
        <v>57.043331777864125</v>
      </c>
      <c r="X364" s="5">
        <f t="shared" si="76"/>
        <v>1.5005903520713923E-2</v>
      </c>
    </row>
    <row r="365" spans="8:24" x14ac:dyDescent="0.25">
      <c r="H365">
        <v>56.300000000000004</v>
      </c>
      <c r="I365">
        <v>3.0960282996864099</v>
      </c>
      <c r="J365" s="10">
        <f t="shared" si="66"/>
        <v>-1.5999999999999999E-5</v>
      </c>
      <c r="K365" s="17">
        <f t="shared" si="67"/>
        <v>1.8200000000000001E-4</v>
      </c>
      <c r="L365" s="10">
        <f t="shared" si="68"/>
        <v>9.5720000000000006E-3</v>
      </c>
      <c r="M365" s="11">
        <f t="shared" si="77"/>
        <v>3.1259660466852814</v>
      </c>
      <c r="N365" s="5">
        <f t="shared" si="69"/>
        <v>9.669726533799404E-3</v>
      </c>
      <c r="O365">
        <f t="shared" si="70"/>
        <v>16677.329399999999</v>
      </c>
      <c r="P365">
        <f t="shared" ca="1" si="71"/>
        <v>16679</v>
      </c>
      <c r="Q365" t="str">
        <f t="shared" ca="1" si="72"/>
        <v>0100000100100111</v>
      </c>
      <c r="R365">
        <f t="shared" ca="1" si="73"/>
        <v>3.1273124999999999</v>
      </c>
      <c r="S365">
        <f t="shared" ca="1" si="74"/>
        <v>57.527749999999997</v>
      </c>
      <c r="T365" s="3">
        <f t="shared" ca="1" si="78"/>
        <v>2.180728241563043E-2</v>
      </c>
      <c r="W365">
        <f t="shared" si="75"/>
        <v>57.152339596236921</v>
      </c>
      <c r="X365" s="5">
        <f t="shared" si="76"/>
        <v>1.5139246824812014E-2</v>
      </c>
    </row>
    <row r="366" spans="8:24" x14ac:dyDescent="0.25">
      <c r="H366">
        <v>56.4</v>
      </c>
      <c r="I366">
        <v>3.1045281260186544</v>
      </c>
      <c r="J366" s="10">
        <f t="shared" si="66"/>
        <v>-1.5999999999999999E-5</v>
      </c>
      <c r="K366" s="17">
        <f t="shared" si="67"/>
        <v>1.8200000000000001E-4</v>
      </c>
      <c r="L366" s="10">
        <f t="shared" si="68"/>
        <v>9.6019999999999994E-3</v>
      </c>
      <c r="M366" s="11">
        <f t="shared" si="77"/>
        <v>3.1346429677954259</v>
      </c>
      <c r="N366" s="5">
        <f t="shared" si="69"/>
        <v>9.7002960045305901E-3</v>
      </c>
      <c r="O366">
        <f t="shared" si="70"/>
        <v>16723.621599999999</v>
      </c>
      <c r="P366">
        <f t="shared" ca="1" si="71"/>
        <v>16725</v>
      </c>
      <c r="Q366" t="str">
        <f t="shared" ca="1" si="72"/>
        <v>0100000101010101</v>
      </c>
      <c r="R366">
        <f t="shared" ca="1" si="73"/>
        <v>3.1359375000000003</v>
      </c>
      <c r="S366">
        <f t="shared" ca="1" si="74"/>
        <v>57.631250000000001</v>
      </c>
      <c r="T366" s="3">
        <f t="shared" ca="1" si="78"/>
        <v>2.1830673758865299E-2</v>
      </c>
      <c r="W366">
        <f t="shared" si="75"/>
        <v>57.254337512223856</v>
      </c>
      <c r="X366" s="5">
        <f t="shared" si="76"/>
        <v>1.5147828230919454E-2</v>
      </c>
    </row>
    <row r="367" spans="8:24" x14ac:dyDescent="0.25">
      <c r="H367">
        <v>56.5</v>
      </c>
      <c r="I367">
        <v>3.1142456277163322</v>
      </c>
      <c r="J367" s="10">
        <f t="shared" si="66"/>
        <v>-1.5E-5</v>
      </c>
      <c r="K367" s="17">
        <f t="shared" si="67"/>
        <v>1.83E-4</v>
      </c>
      <c r="L367" s="10">
        <f t="shared" si="68"/>
        <v>9.6329999999999992E-3</v>
      </c>
      <c r="M367" s="11">
        <f t="shared" si="77"/>
        <v>3.1445520980771087</v>
      </c>
      <c r="N367" s="5">
        <f t="shared" si="69"/>
        <v>9.7315606999824698E-3</v>
      </c>
      <c r="O367">
        <f t="shared" si="70"/>
        <v>16776.487799999999</v>
      </c>
      <c r="P367">
        <f t="shared" ca="1" si="71"/>
        <v>16779</v>
      </c>
      <c r="Q367" t="str">
        <f t="shared" ca="1" si="72"/>
        <v>0100000110001011</v>
      </c>
      <c r="R367">
        <f t="shared" ca="1" si="73"/>
        <v>3.1460625000000002</v>
      </c>
      <c r="S367">
        <f t="shared" ca="1" si="74"/>
        <v>57.752750000000006</v>
      </c>
      <c r="T367" s="3">
        <f t="shared" ca="1" si="78"/>
        <v>2.2172566371681524E-2</v>
      </c>
      <c r="W367">
        <f t="shared" si="75"/>
        <v>57.370947532595984</v>
      </c>
      <c r="X367" s="5">
        <f t="shared" si="76"/>
        <v>1.5415000576920078E-2</v>
      </c>
    </row>
    <row r="368" spans="8:24" x14ac:dyDescent="0.25">
      <c r="H368">
        <v>56.6</v>
      </c>
      <c r="I368">
        <v>3.1239771971339461</v>
      </c>
      <c r="J368" s="10">
        <f t="shared" si="66"/>
        <v>-1.5E-5</v>
      </c>
      <c r="K368" s="17">
        <f t="shared" si="67"/>
        <v>1.83E-4</v>
      </c>
      <c r="L368" s="10">
        <f t="shared" si="68"/>
        <v>9.6629999999999997E-3</v>
      </c>
      <c r="M368" s="11">
        <f t="shared" si="77"/>
        <v>3.1544738782191777</v>
      </c>
      <c r="N368" s="5">
        <f t="shared" si="69"/>
        <v>9.7621330633304321E-3</v>
      </c>
      <c r="O368">
        <f t="shared" si="70"/>
        <v>16829.421399999999</v>
      </c>
      <c r="P368">
        <f t="shared" ca="1" si="71"/>
        <v>16831</v>
      </c>
      <c r="Q368" t="str">
        <f t="shared" ca="1" si="72"/>
        <v>0100000110111111</v>
      </c>
      <c r="R368">
        <f t="shared" ca="1" si="73"/>
        <v>3.1558125000000001</v>
      </c>
      <c r="S368">
        <f t="shared" ca="1" si="74"/>
        <v>57.869750000000003</v>
      </c>
      <c r="T368" s="3">
        <f t="shared" ca="1" si="78"/>
        <v>2.2433745583038903E-2</v>
      </c>
      <c r="W368">
        <f t="shared" si="75"/>
        <v>57.487726365607351</v>
      </c>
      <c r="X368" s="5">
        <f t="shared" si="76"/>
        <v>1.5684211406490275E-2</v>
      </c>
    </row>
    <row r="369" spans="8:24" x14ac:dyDescent="0.25">
      <c r="H369">
        <v>56.7</v>
      </c>
      <c r="I369">
        <v>3.1325279706337752</v>
      </c>
      <c r="J369" s="10">
        <f t="shared" si="66"/>
        <v>-1.4E-5</v>
      </c>
      <c r="K369" s="17">
        <f t="shared" si="67"/>
        <v>1.84E-4</v>
      </c>
      <c r="L369" s="10">
        <f t="shared" si="68"/>
        <v>9.6939999999999995E-3</v>
      </c>
      <c r="M369" s="11">
        <f t="shared" si="77"/>
        <v>3.1632060904748385</v>
      </c>
      <c r="N369" s="5">
        <f t="shared" si="69"/>
        <v>9.7934065166085209E-3</v>
      </c>
      <c r="O369">
        <f t="shared" si="70"/>
        <v>16876.008600000001</v>
      </c>
      <c r="P369">
        <f t="shared" ca="1" si="71"/>
        <v>16879</v>
      </c>
      <c r="Q369" t="str">
        <f t="shared" ca="1" si="72"/>
        <v>0100000111101111</v>
      </c>
      <c r="R369">
        <f t="shared" ca="1" si="73"/>
        <v>3.1648125</v>
      </c>
      <c r="S369">
        <f t="shared" ca="1" si="74"/>
        <v>57.977750000000007</v>
      </c>
      <c r="T369" s="3">
        <f t="shared" ca="1" si="78"/>
        <v>2.2535273368606782E-2</v>
      </c>
      <c r="W369">
        <f t="shared" si="75"/>
        <v>57.590335647605301</v>
      </c>
      <c r="X369" s="5">
        <f t="shared" si="76"/>
        <v>1.5702568740834175E-2</v>
      </c>
    </row>
    <row r="370" spans="8:24" x14ac:dyDescent="0.25">
      <c r="H370">
        <v>56.800000000000004</v>
      </c>
      <c r="I370">
        <v>3.1416932241655133</v>
      </c>
      <c r="J370" s="10">
        <f t="shared" si="66"/>
        <v>-1.2999999999999999E-5</v>
      </c>
      <c r="K370" s="17">
        <f t="shared" si="67"/>
        <v>1.84E-4</v>
      </c>
      <c r="L370" s="10">
        <f t="shared" si="68"/>
        <v>9.724E-3</v>
      </c>
      <c r="M370" s="11">
        <f t="shared" si="77"/>
        <v>3.1725561602679591</v>
      </c>
      <c r="N370" s="5">
        <f t="shared" si="69"/>
        <v>9.8236631969830356E-3</v>
      </c>
      <c r="O370">
        <f t="shared" si="70"/>
        <v>16925.892100000001</v>
      </c>
      <c r="P370">
        <f t="shared" ca="1" si="71"/>
        <v>16926</v>
      </c>
      <c r="Q370" t="str">
        <f t="shared" ca="1" si="72"/>
        <v>0100001000011110</v>
      </c>
      <c r="R370">
        <f t="shared" ca="1" si="73"/>
        <v>3.1736249999999999</v>
      </c>
      <c r="S370">
        <f t="shared" ca="1" si="74"/>
        <v>58.083500000000001</v>
      </c>
      <c r="T370" s="3">
        <f t="shared" ca="1" si="78"/>
        <v>2.2596830985915431E-2</v>
      </c>
      <c r="W370">
        <f t="shared" si="75"/>
        <v>57.700318689986162</v>
      </c>
      <c r="X370" s="5">
        <f t="shared" si="76"/>
        <v>1.5850681161728122E-2</v>
      </c>
    </row>
    <row r="371" spans="8:24" x14ac:dyDescent="0.25">
      <c r="H371">
        <v>56.9</v>
      </c>
      <c r="I371">
        <v>3.150874373833056</v>
      </c>
      <c r="J371" s="10">
        <f t="shared" si="66"/>
        <v>-1.2999999999999999E-5</v>
      </c>
      <c r="K371" s="17">
        <f t="shared" si="67"/>
        <v>1.85E-4</v>
      </c>
      <c r="L371" s="10">
        <f t="shared" si="68"/>
        <v>9.7549999999999998E-3</v>
      </c>
      <c r="M371" s="11">
        <f t="shared" si="77"/>
        <v>3.1819270724245574</v>
      </c>
      <c r="N371" s="5">
        <f t="shared" si="69"/>
        <v>9.8552639386017844E-3</v>
      </c>
      <c r="O371">
        <f t="shared" si="70"/>
        <v>16975.886900000001</v>
      </c>
      <c r="P371">
        <f t="shared" ca="1" si="71"/>
        <v>16975</v>
      </c>
      <c r="Q371" t="str">
        <f t="shared" ca="1" si="72"/>
        <v>0100001001001111</v>
      </c>
      <c r="R371">
        <f t="shared" ca="1" si="73"/>
        <v>3.1828125000000003</v>
      </c>
      <c r="S371">
        <f t="shared" ca="1" si="74"/>
        <v>58.193750000000001</v>
      </c>
      <c r="T371" s="3">
        <f t="shared" ca="1" si="78"/>
        <v>2.2737258347978961E-2</v>
      </c>
      <c r="W371">
        <f t="shared" si="75"/>
        <v>57.810492485996676</v>
      </c>
      <c r="X371" s="5">
        <f t="shared" si="76"/>
        <v>1.6001625412946877E-2</v>
      </c>
    </row>
    <row r="372" spans="8:24" x14ac:dyDescent="0.25">
      <c r="H372">
        <v>57</v>
      </c>
      <c r="I372">
        <v>3.1594772038052334</v>
      </c>
      <c r="J372" s="10">
        <f t="shared" si="66"/>
        <v>-1.2E-5</v>
      </c>
      <c r="K372" s="17">
        <f t="shared" si="67"/>
        <v>1.85E-4</v>
      </c>
      <c r="L372" s="10">
        <f t="shared" si="68"/>
        <v>9.7850000000000003E-3</v>
      </c>
      <c r="M372" s="11">
        <f t="shared" si="77"/>
        <v>3.1907103041311569</v>
      </c>
      <c r="N372" s="5">
        <f t="shared" si="69"/>
        <v>9.8855279880819113E-3</v>
      </c>
      <c r="O372">
        <f t="shared" si="70"/>
        <v>17022.746299999999</v>
      </c>
      <c r="P372">
        <f t="shared" ca="1" si="71"/>
        <v>17025</v>
      </c>
      <c r="Q372" t="str">
        <f t="shared" ca="1" si="72"/>
        <v>0100001010000001</v>
      </c>
      <c r="R372">
        <f t="shared" ca="1" si="73"/>
        <v>3.1921875000000002</v>
      </c>
      <c r="S372">
        <f t="shared" ca="1" si="74"/>
        <v>58.306250000000006</v>
      </c>
      <c r="T372" s="3">
        <f t="shared" ca="1" si="78"/>
        <v>2.2916666666666766E-2</v>
      </c>
      <c r="W372">
        <f t="shared" si="75"/>
        <v>57.913726445662803</v>
      </c>
      <c r="X372" s="5">
        <f t="shared" si="76"/>
        <v>1.6030288520400057E-2</v>
      </c>
    </row>
    <row r="373" spans="8:24" x14ac:dyDescent="0.25">
      <c r="H373">
        <v>57.1</v>
      </c>
      <c r="I373">
        <v>3.1680978730061198</v>
      </c>
      <c r="J373" s="10">
        <f t="shared" si="66"/>
        <v>-1.2E-5</v>
      </c>
      <c r="K373" s="17">
        <f t="shared" si="67"/>
        <v>1.8599999999999999E-4</v>
      </c>
      <c r="L373" s="10">
        <f t="shared" si="68"/>
        <v>9.8160000000000001E-3</v>
      </c>
      <c r="M373" s="11">
        <f t="shared" si="77"/>
        <v>3.1995163252548213</v>
      </c>
      <c r="N373" s="5">
        <f t="shared" si="69"/>
        <v>9.9171343525727169E-3</v>
      </c>
      <c r="O373">
        <f t="shared" si="70"/>
        <v>17069.727200000001</v>
      </c>
      <c r="P373">
        <f t="shared" ca="1" si="71"/>
        <v>17067</v>
      </c>
      <c r="Q373" t="str">
        <f t="shared" ca="1" si="72"/>
        <v>0100001010101011</v>
      </c>
      <c r="R373">
        <f t="shared" ca="1" si="73"/>
        <v>3.2000625</v>
      </c>
      <c r="S373">
        <f t="shared" ca="1" si="74"/>
        <v>58.400750000000002</v>
      </c>
      <c r="T373" s="3">
        <f t="shared" ca="1" si="78"/>
        <v>2.2780210157618226E-2</v>
      </c>
      <c r="W373">
        <f t="shared" si="75"/>
        <v>58.017174476073436</v>
      </c>
      <c r="X373" s="5">
        <f t="shared" si="76"/>
        <v>1.6062600281496218E-2</v>
      </c>
    </row>
    <row r="374" spans="8:24" x14ac:dyDescent="0.25">
      <c r="H374">
        <v>57.2</v>
      </c>
      <c r="I374">
        <v>3.1779200893010979</v>
      </c>
      <c r="J374" s="10">
        <f t="shared" si="66"/>
        <v>-1.1E-5</v>
      </c>
      <c r="K374" s="17">
        <f t="shared" si="67"/>
        <v>1.8599999999999999E-4</v>
      </c>
      <c r="L374" s="10">
        <f t="shared" si="68"/>
        <v>9.8460000000000006E-3</v>
      </c>
      <c r="M374" s="11">
        <f t="shared" si="77"/>
        <v>3.2095321427788992</v>
      </c>
      <c r="N374" s="5">
        <f t="shared" si="69"/>
        <v>9.947403518492352E-3</v>
      </c>
      <c r="O374">
        <f t="shared" si="70"/>
        <v>17123.1626</v>
      </c>
      <c r="P374">
        <f t="shared" ca="1" si="71"/>
        <v>17126</v>
      </c>
      <c r="Q374" t="str">
        <f t="shared" ca="1" si="72"/>
        <v>0100001011100110</v>
      </c>
      <c r="R374">
        <f t="shared" ca="1" si="73"/>
        <v>3.211125</v>
      </c>
      <c r="S374">
        <f t="shared" ca="1" si="74"/>
        <v>58.533500000000004</v>
      </c>
      <c r="T374" s="3">
        <f t="shared" ca="1" si="78"/>
        <v>2.3312937062937075E-2</v>
      </c>
      <c r="W374">
        <f t="shared" si="75"/>
        <v>58.135041071613173</v>
      </c>
      <c r="X374" s="5">
        <f t="shared" si="76"/>
        <v>1.6346871881349135E-2</v>
      </c>
    </row>
    <row r="375" spans="8:24" x14ac:dyDescent="0.25">
      <c r="H375">
        <v>57.300000000000004</v>
      </c>
      <c r="I375">
        <v>3.1877555462460223</v>
      </c>
      <c r="J375" s="10">
        <f t="shared" si="66"/>
        <v>-1.1E-5</v>
      </c>
      <c r="K375" s="17">
        <f t="shared" si="67"/>
        <v>1.8699999999999999E-4</v>
      </c>
      <c r="L375" s="10">
        <f t="shared" si="68"/>
        <v>9.8770000000000004E-3</v>
      </c>
      <c r="M375" s="11">
        <f t="shared" si="77"/>
        <v>3.2195662016194175</v>
      </c>
      <c r="N375" s="5">
        <f t="shared" si="69"/>
        <v>9.9790134192868762E-3</v>
      </c>
      <c r="O375">
        <f t="shared" si="70"/>
        <v>17176.695199999998</v>
      </c>
      <c r="P375">
        <f t="shared" ca="1" si="71"/>
        <v>17180</v>
      </c>
      <c r="Q375" t="str">
        <f t="shared" ca="1" si="72"/>
        <v>0100001100011100</v>
      </c>
      <c r="R375">
        <f t="shared" ca="1" si="73"/>
        <v>3.2212499999999999</v>
      </c>
      <c r="S375">
        <f t="shared" ca="1" si="74"/>
        <v>58.655000000000001</v>
      </c>
      <c r="T375" s="3">
        <f t="shared" ca="1" si="78"/>
        <v>2.3647469458987727E-2</v>
      </c>
      <c r="W375">
        <f t="shared" si="75"/>
        <v>58.253066554952269</v>
      </c>
      <c r="X375" s="5">
        <f t="shared" si="76"/>
        <v>1.66329241701966E-2</v>
      </c>
    </row>
    <row r="376" spans="8:24" x14ac:dyDescent="0.25">
      <c r="H376">
        <v>57.4</v>
      </c>
      <c r="I376">
        <v>3.1958349109008415</v>
      </c>
      <c r="J376" s="10">
        <f t="shared" si="66"/>
        <v>-1.0000000000000001E-5</v>
      </c>
      <c r="K376" s="17">
        <f t="shared" si="67"/>
        <v>1.8699999999999999E-4</v>
      </c>
      <c r="L376" s="10">
        <f t="shared" si="68"/>
        <v>9.9069999999999991E-3</v>
      </c>
      <c r="M376" s="11">
        <f t="shared" si="77"/>
        <v>3.2278229528951741</v>
      </c>
      <c r="N376" s="5">
        <f t="shared" si="69"/>
        <v>1.0009291119895739E-2</v>
      </c>
      <c r="O376">
        <f t="shared" si="70"/>
        <v>17220.745800000001</v>
      </c>
      <c r="P376">
        <f t="shared" ca="1" si="71"/>
        <v>17224</v>
      </c>
      <c r="Q376" t="str">
        <f t="shared" ca="1" si="72"/>
        <v>0100001101001000</v>
      </c>
      <c r="R376">
        <f t="shared" ca="1" si="73"/>
        <v>3.2295000000000003</v>
      </c>
      <c r="S376">
        <f t="shared" ca="1" si="74"/>
        <v>58.754000000000005</v>
      </c>
      <c r="T376" s="3">
        <f t="shared" ca="1" si="78"/>
        <v>2.358885017421614E-2</v>
      </c>
      <c r="W376">
        <f t="shared" si="75"/>
        <v>58.350018930810101</v>
      </c>
      <c r="X376" s="5">
        <f t="shared" si="76"/>
        <v>1.6550852453137681E-2</v>
      </c>
    </row>
    <row r="377" spans="8:24" x14ac:dyDescent="0.25">
      <c r="H377">
        <v>57.5</v>
      </c>
      <c r="I377">
        <v>3.2045224598355095</v>
      </c>
      <c r="J377" s="10">
        <f t="shared" si="66"/>
        <v>-9.0000000000000002E-6</v>
      </c>
      <c r="K377" s="17">
        <f t="shared" si="67"/>
        <v>1.8799999999999999E-4</v>
      </c>
      <c r="L377" s="10">
        <f t="shared" si="68"/>
        <v>9.9380000000000007E-3</v>
      </c>
      <c r="M377" s="11">
        <f t="shared" si="77"/>
        <v>3.2366977621962154</v>
      </c>
      <c r="N377" s="5">
        <f t="shared" si="69"/>
        <v>1.0040591933425691E-2</v>
      </c>
      <c r="O377">
        <f t="shared" si="70"/>
        <v>17268.093799999999</v>
      </c>
      <c r="P377">
        <f t="shared" ca="1" si="71"/>
        <v>17266</v>
      </c>
      <c r="Q377" t="str">
        <f t="shared" ca="1" si="72"/>
        <v>0100001101110010</v>
      </c>
      <c r="R377">
        <f t="shared" ca="1" si="73"/>
        <v>3.2373750000000001</v>
      </c>
      <c r="S377">
        <f t="shared" ca="1" si="74"/>
        <v>58.848500000000008</v>
      </c>
      <c r="T377" s="3">
        <f t="shared" ca="1" si="78"/>
        <v>2.3452173913043627E-2</v>
      </c>
      <c r="W377">
        <f t="shared" si="75"/>
        <v>58.454269518026116</v>
      </c>
      <c r="X377" s="5">
        <f t="shared" si="76"/>
        <v>1.6595991617845501E-2</v>
      </c>
    </row>
    <row r="378" spans="8:24" x14ac:dyDescent="0.25">
      <c r="H378">
        <v>57.6</v>
      </c>
      <c r="I378">
        <v>3.2144023671622595</v>
      </c>
      <c r="J378" s="10">
        <f t="shared" si="66"/>
        <v>-9.0000000000000002E-6</v>
      </c>
      <c r="K378" s="17">
        <f t="shared" si="67"/>
        <v>1.8799999999999999E-4</v>
      </c>
      <c r="L378" s="10">
        <f t="shared" si="68"/>
        <v>9.9679999999999994E-3</v>
      </c>
      <c r="M378" s="11">
        <f t="shared" si="77"/>
        <v>3.2467752225809461</v>
      </c>
      <c r="N378" s="5">
        <f t="shared" si="69"/>
        <v>1.007118951547626E-2</v>
      </c>
      <c r="O378">
        <f t="shared" si="70"/>
        <v>17321.858</v>
      </c>
      <c r="P378">
        <f t="shared" ca="1" si="71"/>
        <v>17323</v>
      </c>
      <c r="Q378" t="str">
        <f t="shared" ca="1" si="72"/>
        <v>0100001110101011</v>
      </c>
      <c r="R378">
        <f t="shared" ca="1" si="73"/>
        <v>3.2480625000000001</v>
      </c>
      <c r="S378">
        <f t="shared" ca="1" si="74"/>
        <v>58.976750000000003</v>
      </c>
      <c r="T378" s="3">
        <f t="shared" ca="1" si="78"/>
        <v>2.3901909722222243E-2</v>
      </c>
      <c r="W378">
        <f t="shared" si="75"/>
        <v>58.572828405947121</v>
      </c>
      <c r="X378" s="5">
        <f t="shared" si="76"/>
        <v>1.6889382047693042E-2</v>
      </c>
    </row>
    <row r="379" spans="8:24" x14ac:dyDescent="0.25">
      <c r="H379">
        <v>57.7</v>
      </c>
      <c r="I379">
        <v>3.2237085676199424</v>
      </c>
      <c r="J379" s="10">
        <f t="shared" si="66"/>
        <v>-7.9999999999999996E-6</v>
      </c>
      <c r="K379" s="17">
        <f t="shared" si="67"/>
        <v>1.8900000000000001E-4</v>
      </c>
      <c r="L379" s="10">
        <f t="shared" si="68"/>
        <v>9.9989999999999992E-3</v>
      </c>
      <c r="M379" s="11">
        <f t="shared" si="77"/>
        <v>3.2562760720645154</v>
      </c>
      <c r="N379" s="5">
        <f t="shared" si="69"/>
        <v>1.0102496476167986E-2</v>
      </c>
      <c r="O379">
        <f t="shared" si="70"/>
        <v>17372.545900000001</v>
      </c>
      <c r="P379">
        <f t="shared" ca="1" si="71"/>
        <v>17370</v>
      </c>
      <c r="Q379" t="str">
        <f t="shared" ca="1" si="72"/>
        <v>0100001111011010</v>
      </c>
      <c r="R379">
        <f t="shared" ca="1" si="73"/>
        <v>3.256875</v>
      </c>
      <c r="S379">
        <f t="shared" ca="1" si="74"/>
        <v>59.082500000000003</v>
      </c>
      <c r="T379" s="3">
        <f t="shared" ca="1" si="78"/>
        <v>2.3960138648180248E-2</v>
      </c>
      <c r="W379">
        <f t="shared" si="75"/>
        <v>58.684502811439316</v>
      </c>
      <c r="X379" s="5">
        <f t="shared" si="76"/>
        <v>1.7062440406227262E-2</v>
      </c>
    </row>
    <row r="380" spans="8:24" x14ac:dyDescent="0.25">
      <c r="H380">
        <v>57.800000000000004</v>
      </c>
      <c r="I380">
        <v>3.2324442011795931</v>
      </c>
      <c r="J380" s="10">
        <f t="shared" si="66"/>
        <v>-7.9999999999999996E-6</v>
      </c>
      <c r="K380" s="17">
        <f t="shared" si="67"/>
        <v>1.8900000000000001E-4</v>
      </c>
      <c r="L380" s="10">
        <f t="shared" si="68"/>
        <v>1.0029E-2</v>
      </c>
      <c r="M380" s="11">
        <f t="shared" si="77"/>
        <v>3.2651988807546815</v>
      </c>
      <c r="N380" s="5">
        <f t="shared" si="69"/>
        <v>1.0133099764919513E-2</v>
      </c>
      <c r="O380">
        <f t="shared" si="70"/>
        <v>17420.150000000001</v>
      </c>
      <c r="P380">
        <f t="shared" ca="1" si="71"/>
        <v>17419</v>
      </c>
      <c r="Q380" t="str">
        <f t="shared" ca="1" si="72"/>
        <v>0100010000001011</v>
      </c>
      <c r="R380">
        <f t="shared" ca="1" si="73"/>
        <v>3.2660624999999999</v>
      </c>
      <c r="S380">
        <f t="shared" ca="1" si="74"/>
        <v>59.192749999999997</v>
      </c>
      <c r="T380" s="3">
        <f t="shared" ca="1" si="78"/>
        <v>2.4096020761245542E-2</v>
      </c>
      <c r="W380">
        <f t="shared" si="75"/>
        <v>58.789330414155124</v>
      </c>
      <c r="X380" s="5">
        <f t="shared" si="76"/>
        <v>1.7116443151472659E-2</v>
      </c>
    </row>
    <row r="381" spans="8:24" x14ac:dyDescent="0.25">
      <c r="H381">
        <v>57.9</v>
      </c>
      <c r="I381">
        <v>3.2423653195879223</v>
      </c>
      <c r="J381" s="10">
        <f t="shared" si="66"/>
        <v>-6.9999999999999999E-6</v>
      </c>
      <c r="K381" s="17">
        <f t="shared" si="67"/>
        <v>1.9000000000000001E-4</v>
      </c>
      <c r="L381" s="10">
        <f t="shared" si="68"/>
        <v>1.0059999999999999E-2</v>
      </c>
      <c r="M381" s="11">
        <f t="shared" si="77"/>
        <v>3.2753220595065584</v>
      </c>
      <c r="N381" s="5">
        <f t="shared" si="69"/>
        <v>1.0164412911628555E-2</v>
      </c>
      <c r="O381">
        <f t="shared" si="70"/>
        <v>17474.158100000001</v>
      </c>
      <c r="P381">
        <f t="shared" ca="1" si="71"/>
        <v>17472</v>
      </c>
      <c r="Q381" t="str">
        <f t="shared" ca="1" si="72"/>
        <v>0100010001000000</v>
      </c>
      <c r="R381">
        <f t="shared" ca="1" si="73"/>
        <v>3.2760000000000002</v>
      </c>
      <c r="S381">
        <f t="shared" ca="1" si="74"/>
        <v>59.312000000000005</v>
      </c>
      <c r="T381" s="3">
        <f t="shared" ca="1" si="78"/>
        <v>2.4386873920552783E-2</v>
      </c>
      <c r="W381">
        <f t="shared" si="75"/>
        <v>58.908383835055069</v>
      </c>
      <c r="X381" s="5">
        <f t="shared" si="76"/>
        <v>1.7415955700433E-2</v>
      </c>
    </row>
    <row r="382" spans="8:24" x14ac:dyDescent="0.25">
      <c r="H382">
        <v>58</v>
      </c>
      <c r="I382">
        <v>3.2511324121004335</v>
      </c>
      <c r="J382" s="10">
        <f t="shared" si="66"/>
        <v>-6.9999999999999999E-6</v>
      </c>
      <c r="K382" s="17">
        <f t="shared" si="67"/>
        <v>1.9000000000000001E-4</v>
      </c>
      <c r="L382" s="10">
        <f t="shared" si="68"/>
        <v>1.009E-2</v>
      </c>
      <c r="M382" s="11">
        <f t="shared" si="77"/>
        <v>3.2842777748486567</v>
      </c>
      <c r="N382" s="5">
        <f t="shared" si="69"/>
        <v>1.0195020856381931E-2</v>
      </c>
      <c r="O382">
        <f t="shared" si="70"/>
        <v>17521.937699999999</v>
      </c>
      <c r="P382">
        <f t="shared" ca="1" si="71"/>
        <v>17520</v>
      </c>
      <c r="Q382" t="str">
        <f t="shared" ca="1" si="72"/>
        <v>0100010001110000</v>
      </c>
      <c r="R382">
        <f t="shared" ca="1" si="73"/>
        <v>3.2850000000000001</v>
      </c>
      <c r="S382">
        <f t="shared" ca="1" si="74"/>
        <v>59.420000000000009</v>
      </c>
      <c r="T382" s="3">
        <f t="shared" ca="1" si="78"/>
        <v>2.4482758620689805E-2</v>
      </c>
      <c r="W382">
        <f t="shared" si="75"/>
        <v>59.0135889452052</v>
      </c>
      <c r="X382" s="5">
        <f t="shared" si="76"/>
        <v>1.7475671469055168E-2</v>
      </c>
    </row>
    <row r="383" spans="8:24" x14ac:dyDescent="0.25">
      <c r="H383">
        <v>58.1</v>
      </c>
      <c r="I383">
        <v>3.2593340048501411</v>
      </c>
      <c r="J383" s="10">
        <f t="shared" si="66"/>
        <v>-6.0000000000000002E-6</v>
      </c>
      <c r="K383" s="17">
        <f t="shared" si="67"/>
        <v>1.9100000000000001E-4</v>
      </c>
      <c r="L383" s="10">
        <f t="shared" si="68"/>
        <v>1.0121E-2</v>
      </c>
      <c r="M383" s="11">
        <f t="shared" si="77"/>
        <v>3.2926650680034037</v>
      </c>
      <c r="N383" s="5">
        <f t="shared" si="69"/>
        <v>1.0226341670925232E-2</v>
      </c>
      <c r="O383">
        <f t="shared" si="70"/>
        <v>17566.684700000002</v>
      </c>
      <c r="P383">
        <f t="shared" ca="1" si="71"/>
        <v>17565</v>
      </c>
      <c r="Q383" t="str">
        <f t="shared" ca="1" si="72"/>
        <v>0100010010011101</v>
      </c>
      <c r="R383">
        <f t="shared" ca="1" si="73"/>
        <v>3.2934375</v>
      </c>
      <c r="S383">
        <f t="shared" ca="1" si="74"/>
        <v>59.521250000000002</v>
      </c>
      <c r="T383" s="3">
        <f t="shared" ca="1" si="78"/>
        <v>2.4462134251290887E-2</v>
      </c>
      <c r="W383">
        <f t="shared" si="75"/>
        <v>59.112008058201695</v>
      </c>
      <c r="X383" s="5">
        <f t="shared" si="76"/>
        <v>1.7418383101578207E-2</v>
      </c>
    </row>
    <row r="384" spans="8:24" x14ac:dyDescent="0.25">
      <c r="H384">
        <v>58.2</v>
      </c>
      <c r="I384">
        <v>3.2692974349578701</v>
      </c>
      <c r="J384" s="10">
        <f t="shared" si="66"/>
        <v>-5.0000000000000004E-6</v>
      </c>
      <c r="K384" s="17">
        <f t="shared" si="67"/>
        <v>1.9100000000000001E-4</v>
      </c>
      <c r="L384" s="10">
        <f t="shared" si="68"/>
        <v>1.0151E-2</v>
      </c>
      <c r="M384" s="11">
        <f t="shared" si="77"/>
        <v>3.3028294567735785</v>
      </c>
      <c r="N384" s="5">
        <f t="shared" si="69"/>
        <v>1.0256644579706337E-2</v>
      </c>
      <c r="O384">
        <f t="shared" si="70"/>
        <v>17620.912700000001</v>
      </c>
      <c r="P384">
        <f t="shared" ca="1" si="71"/>
        <v>17620</v>
      </c>
      <c r="Q384" t="str">
        <f t="shared" ca="1" si="72"/>
        <v>0100010011010100</v>
      </c>
      <c r="R384">
        <f t="shared" ca="1" si="73"/>
        <v>3.30375</v>
      </c>
      <c r="S384">
        <f t="shared" ca="1" si="74"/>
        <v>59.645000000000003</v>
      </c>
      <c r="T384" s="3">
        <f t="shared" ca="1" si="78"/>
        <v>2.4828178694158078E-2</v>
      </c>
      <c r="W384">
        <f t="shared" si="75"/>
        <v>59.231569219494439</v>
      </c>
      <c r="X384" s="5">
        <f t="shared" si="76"/>
        <v>1.7724557035986875E-2</v>
      </c>
    </row>
    <row r="385" spans="8:24" x14ac:dyDescent="0.25">
      <c r="H385">
        <v>58.300000000000004</v>
      </c>
      <c r="I385">
        <v>3.2781129875773036</v>
      </c>
      <c r="J385" s="10">
        <f t="shared" si="66"/>
        <v>-5.0000000000000004E-6</v>
      </c>
      <c r="K385" s="17">
        <f t="shared" si="67"/>
        <v>1.92E-4</v>
      </c>
      <c r="L385" s="10">
        <f t="shared" si="68"/>
        <v>1.0182E-2</v>
      </c>
      <c r="M385" s="11">
        <f t="shared" si="77"/>
        <v>3.3118391336359849</v>
      </c>
      <c r="N385" s="5">
        <f t="shared" si="69"/>
        <v>1.0288280540203917E-2</v>
      </c>
      <c r="O385">
        <f t="shared" si="70"/>
        <v>17668.980200000002</v>
      </c>
      <c r="P385">
        <f t="shared" ca="1" si="71"/>
        <v>17667</v>
      </c>
      <c r="Q385" t="str">
        <f t="shared" ca="1" si="72"/>
        <v>0100010100000011</v>
      </c>
      <c r="R385">
        <f t="shared" ca="1" si="73"/>
        <v>3.3125624999999999</v>
      </c>
      <c r="S385">
        <f t="shared" ca="1" si="74"/>
        <v>59.750749999999996</v>
      </c>
      <c r="T385" s="3">
        <f t="shared" ca="1" si="78"/>
        <v>2.4884219554030741E-2</v>
      </c>
      <c r="W385">
        <f t="shared" si="75"/>
        <v>59.337355850927651</v>
      </c>
      <c r="X385" s="5">
        <f t="shared" si="76"/>
        <v>1.7793410822086558E-2</v>
      </c>
    </row>
    <row r="386" spans="8:24" x14ac:dyDescent="0.25">
      <c r="H386">
        <v>58.400000000000006</v>
      </c>
      <c r="I386">
        <v>3.286944813901131</v>
      </c>
      <c r="J386" s="10">
        <f t="shared" si="66"/>
        <v>-3.9999999999999998E-6</v>
      </c>
      <c r="K386" s="17">
        <f t="shared" si="67"/>
        <v>1.92E-4</v>
      </c>
      <c r="L386" s="10">
        <f t="shared" si="68"/>
        <v>1.0212000000000001E-2</v>
      </c>
      <c r="M386" s="11">
        <f t="shared" si="77"/>
        <v>3.3208614510391428</v>
      </c>
      <c r="N386" s="5">
        <f t="shared" si="69"/>
        <v>1.0318590380517393E-2</v>
      </c>
      <c r="O386">
        <f t="shared" si="70"/>
        <v>17717.115099999999</v>
      </c>
      <c r="P386">
        <f t="shared" ca="1" si="71"/>
        <v>17716</v>
      </c>
      <c r="Q386" t="str">
        <f t="shared" ca="1" si="72"/>
        <v>0100010100110100</v>
      </c>
      <c r="R386">
        <f t="shared" ca="1" si="73"/>
        <v>3.3217500000000002</v>
      </c>
      <c r="S386">
        <f t="shared" ca="1" si="74"/>
        <v>59.861000000000004</v>
      </c>
      <c r="T386" s="3">
        <f t="shared" ca="1" si="78"/>
        <v>2.5017123287671205E-2</v>
      </c>
      <c r="W386">
        <f t="shared" si="75"/>
        <v>59.443337766813571</v>
      </c>
      <c r="X386" s="5">
        <f t="shared" si="76"/>
        <v>1.7865372719410355E-2</v>
      </c>
    </row>
    <row r="387" spans="8:24" x14ac:dyDescent="0.25">
      <c r="H387">
        <v>58.5</v>
      </c>
      <c r="I387">
        <v>3.2969484081633649</v>
      </c>
      <c r="J387" s="10">
        <f t="shared" ref="J387:J450" si="79">ROUND(H387*0.00000575 -0.00034,6)</f>
        <v>-3.9999999999999998E-6</v>
      </c>
      <c r="K387" s="17">
        <f t="shared" ref="K387:K450" si="80">ROUND(H387*0.000005-0.0001,6)</f>
        <v>1.93E-4</v>
      </c>
      <c r="L387" s="10">
        <f t="shared" ref="L387:L450" si="81">ROUND(K387+($C$24*(H387-25)),6)</f>
        <v>1.0243E-2</v>
      </c>
      <c r="M387" s="11">
        <f t="shared" si="77"/>
        <v>3.3310725846479134</v>
      </c>
      <c r="N387" s="5">
        <f t="shared" ref="N387:N450" si="82">ABS(I387-M387)/I387</f>
        <v>1.0350230655734819E-2</v>
      </c>
      <c r="O387">
        <f t="shared" ref="O387:O450" si="83">ROUND((M387*(2^($C$12-1)))/$C$44,4)</f>
        <v>17771.592499999999</v>
      </c>
      <c r="P387">
        <f t="shared" ref="P387:P450" ca="1" si="84">ROUND(O387+$C$47+$C$49+RANDBETWEEN($B$45,$D$45),0)</f>
        <v>17773</v>
      </c>
      <c r="Q387" t="str">
        <f t="shared" ref="Q387:Q450" ca="1" si="85">_xlfn.BASE(P387,2,16)</f>
        <v>0100010101101101</v>
      </c>
      <c r="R387">
        <f t="shared" ref="R387:R450" ca="1" si="86">($C$16/2^($C$12-1)) * P387</f>
        <v>3.3324375000000002</v>
      </c>
      <c r="S387">
        <f t="shared" ref="S387:S450" ca="1" si="87">(R387+5/3)/(1/12)</f>
        <v>59.989250000000006</v>
      </c>
      <c r="T387" s="3">
        <f t="shared" ca="1" si="78"/>
        <v>2.5457264957265052E-2</v>
      </c>
      <c r="W387">
        <f t="shared" ref="W387:W450" si="88">(I387+5/3)/(1/12)</f>
        <v>59.563380897960386</v>
      </c>
      <c r="X387" s="5">
        <f t="shared" ref="X387:X450" si="89">ABS(H387-W387)/H387</f>
        <v>1.8177451247186078E-2</v>
      </c>
    </row>
    <row r="388" spans="8:24" x14ac:dyDescent="0.25">
      <c r="H388">
        <v>58.6</v>
      </c>
      <c r="I388">
        <v>3.3046568057226517</v>
      </c>
      <c r="J388" s="10">
        <f t="shared" si="79"/>
        <v>-3.0000000000000001E-6</v>
      </c>
      <c r="K388" s="17">
        <f t="shared" si="80"/>
        <v>1.93E-4</v>
      </c>
      <c r="L388" s="10">
        <f t="shared" si="81"/>
        <v>1.0272999999999999E-2</v>
      </c>
      <c r="M388" s="11">
        <f t="shared" ref="M388:M451" si="90">(I388-J388)/(1-L388)</f>
        <v>3.3389609515782146</v>
      </c>
      <c r="N388" s="5">
        <f t="shared" si="82"/>
        <v>1.0380547170937265E-2</v>
      </c>
      <c r="O388">
        <f t="shared" si="83"/>
        <v>17813.6777</v>
      </c>
      <c r="P388">
        <f t="shared" ca="1" si="84"/>
        <v>17812</v>
      </c>
      <c r="Q388" t="str">
        <f t="shared" ca="1" si="85"/>
        <v>0100010110010100</v>
      </c>
      <c r="R388">
        <f t="shared" ca="1" si="86"/>
        <v>3.33975</v>
      </c>
      <c r="S388">
        <f t="shared" ca="1" si="87"/>
        <v>60.076999999999998</v>
      </c>
      <c r="T388" s="3">
        <f t="shared" ref="T388:T451" ca="1" si="91">ABS(H388-S388)/H388</f>
        <v>2.5204778156996531E-2</v>
      </c>
      <c r="W388">
        <f t="shared" si="88"/>
        <v>59.655881668671825</v>
      </c>
      <c r="X388" s="5">
        <f t="shared" si="89"/>
        <v>1.8018458509758074E-2</v>
      </c>
    </row>
    <row r="389" spans="8:24" x14ac:dyDescent="0.25">
      <c r="H389">
        <v>58.7</v>
      </c>
      <c r="I389">
        <v>3.3135367305133432</v>
      </c>
      <c r="J389" s="10">
        <f t="shared" si="79"/>
        <v>-1.9999999999999999E-6</v>
      </c>
      <c r="K389" s="17">
        <f t="shared" si="80"/>
        <v>1.94E-4</v>
      </c>
      <c r="L389" s="10">
        <f t="shared" si="81"/>
        <v>1.0304000000000001E-2</v>
      </c>
      <c r="M389" s="11">
        <f t="shared" si="90"/>
        <v>3.3480369027593757</v>
      </c>
      <c r="N389" s="5">
        <f t="shared" si="82"/>
        <v>1.0411887675283941E-2</v>
      </c>
      <c r="O389">
        <f t="shared" si="83"/>
        <v>17862.0988</v>
      </c>
      <c r="P389">
        <f t="shared" ca="1" si="84"/>
        <v>17865</v>
      </c>
      <c r="Q389" t="str">
        <f t="shared" ca="1" si="85"/>
        <v>0100010111001001</v>
      </c>
      <c r="R389">
        <f t="shared" ca="1" si="86"/>
        <v>3.3496874999999999</v>
      </c>
      <c r="S389">
        <f t="shared" ca="1" si="87"/>
        <v>60.196250000000006</v>
      </c>
      <c r="T389" s="3">
        <f t="shared" ca="1" si="91"/>
        <v>2.5489778534923395E-2</v>
      </c>
      <c r="W389">
        <f t="shared" si="88"/>
        <v>59.762440766160125</v>
      </c>
      <c r="X389" s="5">
        <f t="shared" si="89"/>
        <v>1.8099501978877726E-2</v>
      </c>
    </row>
    <row r="390" spans="8:24" x14ac:dyDescent="0.25">
      <c r="H390">
        <v>58.800000000000004</v>
      </c>
      <c r="I390">
        <v>3.3230070133284446</v>
      </c>
      <c r="J390" s="10">
        <f t="shared" si="79"/>
        <v>-1.9999999999999999E-6</v>
      </c>
      <c r="K390" s="17">
        <f t="shared" si="80"/>
        <v>1.94E-4</v>
      </c>
      <c r="L390" s="10">
        <f t="shared" si="81"/>
        <v>1.0333999999999999E-2</v>
      </c>
      <c r="M390" s="11">
        <f t="shared" si="90"/>
        <v>3.3577075632874567</v>
      </c>
      <c r="N390" s="5">
        <f t="shared" si="82"/>
        <v>1.0442514812586788E-2</v>
      </c>
      <c r="O390">
        <f t="shared" si="83"/>
        <v>17913.6927</v>
      </c>
      <c r="P390">
        <f t="shared" ca="1" si="84"/>
        <v>17917</v>
      </c>
      <c r="Q390" t="str">
        <f t="shared" ca="1" si="85"/>
        <v>0100010111111101</v>
      </c>
      <c r="R390">
        <f t="shared" ca="1" si="86"/>
        <v>3.3594374999999999</v>
      </c>
      <c r="S390">
        <f t="shared" ca="1" si="87"/>
        <v>60.313249999999996</v>
      </c>
      <c r="T390" s="3">
        <f t="shared" ca="1" si="91"/>
        <v>2.573554421768694E-2</v>
      </c>
      <c r="W390">
        <f t="shared" si="88"/>
        <v>59.876084159941342</v>
      </c>
      <c r="X390" s="5">
        <f t="shared" si="89"/>
        <v>1.8300751019410512E-2</v>
      </c>
    </row>
    <row r="391" spans="8:24" x14ac:dyDescent="0.25">
      <c r="H391">
        <v>58.900000000000006</v>
      </c>
      <c r="I391">
        <v>3.3319173226339807</v>
      </c>
      <c r="J391" s="10">
        <f t="shared" si="79"/>
        <v>-9.9999999999999995E-7</v>
      </c>
      <c r="K391" s="17">
        <f t="shared" si="80"/>
        <v>1.95E-4</v>
      </c>
      <c r="L391" s="10">
        <f t="shared" si="81"/>
        <v>1.0364999999999999E-2</v>
      </c>
      <c r="M391" s="11">
        <f t="shared" si="90"/>
        <v>3.3668153638806033</v>
      </c>
      <c r="N391" s="5">
        <f t="shared" si="82"/>
        <v>1.0473861704057744E-2</v>
      </c>
      <c r="O391">
        <f t="shared" si="83"/>
        <v>17962.2837</v>
      </c>
      <c r="P391">
        <f t="shared" ca="1" si="84"/>
        <v>17965</v>
      </c>
      <c r="Q391" t="str">
        <f t="shared" ca="1" si="85"/>
        <v>0100011000101101</v>
      </c>
      <c r="R391">
        <f t="shared" ca="1" si="86"/>
        <v>3.3684375000000002</v>
      </c>
      <c r="S391">
        <f t="shared" ca="1" si="87"/>
        <v>60.421250000000001</v>
      </c>
      <c r="T391" s="3">
        <f t="shared" ca="1" si="91"/>
        <v>2.5827674023769009E-2</v>
      </c>
      <c r="W391">
        <f t="shared" si="88"/>
        <v>59.983007871607775</v>
      </c>
      <c r="X391" s="5">
        <f t="shared" si="89"/>
        <v>1.838723041778895E-2</v>
      </c>
    </row>
    <row r="392" spans="8:24" x14ac:dyDescent="0.25">
      <c r="H392">
        <v>59</v>
      </c>
      <c r="I392">
        <v>3.3402707745379243</v>
      </c>
      <c r="J392" s="10">
        <f t="shared" si="79"/>
        <v>-9.9999999999999995E-7</v>
      </c>
      <c r="K392" s="17">
        <f t="shared" si="80"/>
        <v>1.95E-4</v>
      </c>
      <c r="L392" s="10">
        <f t="shared" si="81"/>
        <v>1.0395E-2</v>
      </c>
      <c r="M392" s="11">
        <f t="shared" si="90"/>
        <v>3.3753586274704803</v>
      </c>
      <c r="N392" s="5">
        <f t="shared" si="82"/>
        <v>1.050449358777205E-2</v>
      </c>
      <c r="O392">
        <f t="shared" si="83"/>
        <v>18007.862799999999</v>
      </c>
      <c r="P392">
        <f t="shared" ca="1" si="84"/>
        <v>18009</v>
      </c>
      <c r="Q392" t="str">
        <f t="shared" ca="1" si="85"/>
        <v>0100011001011001</v>
      </c>
      <c r="R392">
        <f t="shared" ca="1" si="86"/>
        <v>3.3766875000000001</v>
      </c>
      <c r="S392">
        <f t="shared" ca="1" si="87"/>
        <v>60.520250000000004</v>
      </c>
      <c r="T392" s="3">
        <f t="shared" ca="1" si="91"/>
        <v>2.5766949152542445E-2</v>
      </c>
      <c r="W392">
        <f t="shared" si="88"/>
        <v>60.083249294455094</v>
      </c>
      <c r="X392" s="5">
        <f t="shared" si="89"/>
        <v>1.8360157533137179E-2</v>
      </c>
    </row>
    <row r="393" spans="8:24" x14ac:dyDescent="0.25">
      <c r="H393">
        <v>59.1</v>
      </c>
      <c r="I393">
        <v>3.3492131450284433</v>
      </c>
      <c r="J393" s="10">
        <f t="shared" si="79"/>
        <v>0</v>
      </c>
      <c r="K393" s="17">
        <f t="shared" si="80"/>
        <v>1.9599999999999999E-4</v>
      </c>
      <c r="L393" s="10">
        <f t="shared" si="81"/>
        <v>1.0426E-2</v>
      </c>
      <c r="M393" s="11">
        <f t="shared" si="90"/>
        <v>3.3844999414176642</v>
      </c>
      <c r="N393" s="5">
        <f t="shared" si="82"/>
        <v>1.0535846738091454E-2</v>
      </c>
      <c r="O393">
        <f t="shared" si="83"/>
        <v>18056.632600000001</v>
      </c>
      <c r="P393">
        <f t="shared" ca="1" si="84"/>
        <v>18056</v>
      </c>
      <c r="Q393" t="str">
        <f t="shared" ca="1" si="85"/>
        <v>0100011010001000</v>
      </c>
      <c r="R393">
        <f t="shared" ca="1" si="86"/>
        <v>3.3855</v>
      </c>
      <c r="S393">
        <f t="shared" ca="1" si="87"/>
        <v>60.625999999999998</v>
      </c>
      <c r="T393" s="3">
        <f t="shared" ca="1" si="91"/>
        <v>2.5820642978003319E-2</v>
      </c>
      <c r="W393">
        <f t="shared" si="88"/>
        <v>60.190557740341326</v>
      </c>
      <c r="X393" s="5">
        <f t="shared" si="89"/>
        <v>1.8452753643677235E-2</v>
      </c>
    </row>
    <row r="394" spans="8:24" x14ac:dyDescent="0.25">
      <c r="H394">
        <v>59.2</v>
      </c>
      <c r="I394">
        <v>3.3593113409874169</v>
      </c>
      <c r="J394" s="10">
        <f t="shared" si="79"/>
        <v>0</v>
      </c>
      <c r="K394" s="17">
        <f t="shared" si="80"/>
        <v>1.9599999999999999E-4</v>
      </c>
      <c r="L394" s="10">
        <f t="shared" si="81"/>
        <v>1.0456E-2</v>
      </c>
      <c r="M394" s="11">
        <f t="shared" si="90"/>
        <v>3.3948074476601513</v>
      </c>
      <c r="N394" s="5">
        <f t="shared" si="82"/>
        <v>1.0566483147793283E-2</v>
      </c>
      <c r="O394">
        <f t="shared" si="83"/>
        <v>18111.624100000001</v>
      </c>
      <c r="P394">
        <f t="shared" ca="1" si="84"/>
        <v>18113</v>
      </c>
      <c r="Q394" t="str">
        <f t="shared" ca="1" si="85"/>
        <v>0100011011000001</v>
      </c>
      <c r="R394">
        <f t="shared" ca="1" si="86"/>
        <v>3.3961874999999999</v>
      </c>
      <c r="S394">
        <f t="shared" ca="1" si="87"/>
        <v>60.754250000000006</v>
      </c>
      <c r="T394" s="3">
        <f t="shared" ca="1" si="91"/>
        <v>2.6254222972973026E-2</v>
      </c>
      <c r="W394">
        <f t="shared" si="88"/>
        <v>60.311736091849006</v>
      </c>
      <c r="X394" s="5">
        <f t="shared" si="89"/>
        <v>1.8779325875827761E-2</v>
      </c>
    </row>
    <row r="395" spans="8:24" x14ac:dyDescent="0.25">
      <c r="H395">
        <v>59.300000000000004</v>
      </c>
      <c r="I395">
        <v>3.3682820630681913</v>
      </c>
      <c r="J395" s="10">
        <f t="shared" si="79"/>
        <v>9.9999999999999995E-7</v>
      </c>
      <c r="K395" s="17">
        <f t="shared" si="80"/>
        <v>1.9699999999999999E-4</v>
      </c>
      <c r="L395" s="10">
        <f t="shared" si="81"/>
        <v>1.0487E-2</v>
      </c>
      <c r="M395" s="11">
        <f t="shared" si="90"/>
        <v>3.4039785865048677</v>
      </c>
      <c r="N395" s="5">
        <f t="shared" si="82"/>
        <v>1.0597842689029489E-2</v>
      </c>
      <c r="O395">
        <f t="shared" si="83"/>
        <v>18160.553</v>
      </c>
      <c r="P395">
        <f t="shared" ca="1" si="84"/>
        <v>18164</v>
      </c>
      <c r="Q395" t="str">
        <f t="shared" ca="1" si="85"/>
        <v>0100011011110100</v>
      </c>
      <c r="R395">
        <f t="shared" ca="1" si="86"/>
        <v>3.4057500000000003</v>
      </c>
      <c r="S395">
        <f t="shared" ca="1" si="87"/>
        <v>60.869000000000007</v>
      </c>
      <c r="T395" s="3">
        <f t="shared" ca="1" si="91"/>
        <v>2.6458684654300211E-2</v>
      </c>
      <c r="W395">
        <f t="shared" si="88"/>
        <v>60.419384756818303</v>
      </c>
      <c r="X395" s="5">
        <f t="shared" si="89"/>
        <v>1.8876640081252932E-2</v>
      </c>
    </row>
    <row r="396" spans="8:24" x14ac:dyDescent="0.25">
      <c r="H396">
        <v>59.400000000000006</v>
      </c>
      <c r="I396">
        <v>3.37726785763246</v>
      </c>
      <c r="J396" s="10">
        <f t="shared" si="79"/>
        <v>1.9999999999999999E-6</v>
      </c>
      <c r="K396" s="17">
        <f t="shared" si="80"/>
        <v>1.9699999999999999E-4</v>
      </c>
      <c r="L396" s="10">
        <f t="shared" si="81"/>
        <v>1.0517E-2</v>
      </c>
      <c r="M396" s="11">
        <f t="shared" si="90"/>
        <v>3.4131620832621281</v>
      </c>
      <c r="N396" s="5">
        <f t="shared" si="82"/>
        <v>1.0628184420891864E-2</v>
      </c>
      <c r="O396">
        <f t="shared" si="83"/>
        <v>18209.547900000001</v>
      </c>
      <c r="P396">
        <f t="shared" ca="1" si="84"/>
        <v>18213</v>
      </c>
      <c r="Q396" t="str">
        <f t="shared" ca="1" si="85"/>
        <v>0100011100100101</v>
      </c>
      <c r="R396">
        <f t="shared" ca="1" si="86"/>
        <v>3.4149375000000002</v>
      </c>
      <c r="S396">
        <f t="shared" ca="1" si="87"/>
        <v>60.97925</v>
      </c>
      <c r="T396" s="3">
        <f t="shared" ca="1" si="91"/>
        <v>2.6586700336700245E-2</v>
      </c>
      <c r="W396">
        <f t="shared" si="88"/>
        <v>60.527214291589523</v>
      </c>
      <c r="X396" s="5">
        <f t="shared" si="89"/>
        <v>1.8976671575581097E-2</v>
      </c>
    </row>
    <row r="397" spans="8:24" x14ac:dyDescent="0.25">
      <c r="H397">
        <v>59.5</v>
      </c>
      <c r="I397">
        <v>3.3862686057155988</v>
      </c>
      <c r="J397" s="10">
        <f t="shared" si="79"/>
        <v>1.9999999999999999E-6</v>
      </c>
      <c r="K397" s="17">
        <f t="shared" si="80"/>
        <v>1.9799999999999999E-4</v>
      </c>
      <c r="L397" s="10">
        <f t="shared" si="81"/>
        <v>1.0548E-2</v>
      </c>
      <c r="M397" s="11">
        <f t="shared" si="90"/>
        <v>3.4223657193230181</v>
      </c>
      <c r="N397" s="5">
        <f t="shared" si="82"/>
        <v>1.0659849471625456E-2</v>
      </c>
      <c r="O397">
        <f t="shared" si="83"/>
        <v>18258.6502</v>
      </c>
      <c r="P397">
        <f t="shared" ca="1" si="84"/>
        <v>18262</v>
      </c>
      <c r="Q397" t="str">
        <f t="shared" ca="1" si="85"/>
        <v>0100011101010110</v>
      </c>
      <c r="R397">
        <f t="shared" ca="1" si="86"/>
        <v>3.4241250000000001</v>
      </c>
      <c r="S397">
        <f t="shared" ca="1" si="87"/>
        <v>61.089500000000008</v>
      </c>
      <c r="T397" s="3">
        <f t="shared" ca="1" si="91"/>
        <v>2.671428571428585E-2</v>
      </c>
      <c r="W397">
        <f t="shared" si="88"/>
        <v>60.63522326858719</v>
      </c>
      <c r="X397" s="5">
        <f t="shared" si="89"/>
        <v>1.9079382665330918E-2</v>
      </c>
    </row>
    <row r="398" spans="8:24" x14ac:dyDescent="0.25">
      <c r="H398">
        <v>59.6</v>
      </c>
      <c r="I398">
        <v>3.3947182257103616</v>
      </c>
      <c r="J398" s="10">
        <f t="shared" si="79"/>
        <v>3.0000000000000001E-6</v>
      </c>
      <c r="K398" s="17">
        <f t="shared" si="80"/>
        <v>1.9799999999999999E-4</v>
      </c>
      <c r="L398" s="10">
        <f t="shared" si="81"/>
        <v>1.0578000000000001E-2</v>
      </c>
      <c r="M398" s="11">
        <f t="shared" si="90"/>
        <v>3.4310084329137229</v>
      </c>
      <c r="N398" s="5">
        <f t="shared" si="82"/>
        <v>1.0690197179993454E-2</v>
      </c>
      <c r="O398">
        <f t="shared" si="83"/>
        <v>18304.759900000001</v>
      </c>
      <c r="P398">
        <f t="shared" ca="1" si="84"/>
        <v>18308</v>
      </c>
      <c r="Q398" t="str">
        <f t="shared" ca="1" si="85"/>
        <v>0100011110000100</v>
      </c>
      <c r="R398">
        <f t="shared" ca="1" si="86"/>
        <v>3.43275</v>
      </c>
      <c r="S398">
        <f t="shared" ca="1" si="87"/>
        <v>61.192999999999998</v>
      </c>
      <c r="T398" s="3">
        <f t="shared" ca="1" si="91"/>
        <v>2.6728187919463027E-2</v>
      </c>
      <c r="W398">
        <f t="shared" si="88"/>
        <v>60.736618708524347</v>
      </c>
      <c r="X398" s="5">
        <f t="shared" si="89"/>
        <v>1.9070783700072907E-2</v>
      </c>
    </row>
    <row r="399" spans="8:24" x14ac:dyDescent="0.25">
      <c r="H399">
        <v>59.7</v>
      </c>
      <c r="I399">
        <v>3.4037495927028125</v>
      </c>
      <c r="J399" s="10">
        <f t="shared" si="79"/>
        <v>3.0000000000000001E-6</v>
      </c>
      <c r="K399" s="17">
        <f t="shared" si="80"/>
        <v>1.9900000000000001E-4</v>
      </c>
      <c r="L399" s="10">
        <f t="shared" si="81"/>
        <v>1.0609E-2</v>
      </c>
      <c r="M399" s="11">
        <f t="shared" si="90"/>
        <v>3.4402441428139254</v>
      </c>
      <c r="N399" s="5">
        <f t="shared" si="82"/>
        <v>1.0721866905060344E-2</v>
      </c>
      <c r="O399">
        <f t="shared" si="83"/>
        <v>18354.033299999999</v>
      </c>
      <c r="P399">
        <f t="shared" ca="1" si="84"/>
        <v>18352</v>
      </c>
      <c r="Q399" t="str">
        <f t="shared" ca="1" si="85"/>
        <v>0100011110110000</v>
      </c>
      <c r="R399">
        <f t="shared" ca="1" si="86"/>
        <v>3.4410000000000003</v>
      </c>
      <c r="S399">
        <f t="shared" ca="1" si="87"/>
        <v>61.292000000000002</v>
      </c>
      <c r="T399" s="3">
        <f t="shared" ca="1" si="91"/>
        <v>2.6666666666666644E-2</v>
      </c>
      <c r="W399">
        <f t="shared" si="88"/>
        <v>60.844995112433757</v>
      </c>
      <c r="X399" s="5">
        <f t="shared" si="89"/>
        <v>1.9179147611955685E-2</v>
      </c>
    </row>
    <row r="400" spans="8:24" x14ac:dyDescent="0.25">
      <c r="H400">
        <v>59.800000000000004</v>
      </c>
      <c r="I400">
        <v>3.4127955526743294</v>
      </c>
      <c r="J400" s="10">
        <f t="shared" si="79"/>
        <v>3.9999999999999998E-6</v>
      </c>
      <c r="K400" s="17">
        <f t="shared" si="80"/>
        <v>1.9900000000000001E-4</v>
      </c>
      <c r="L400" s="10">
        <f t="shared" si="81"/>
        <v>1.0638999999999999E-2</v>
      </c>
      <c r="M400" s="11">
        <f t="shared" si="90"/>
        <v>3.4494906840620656</v>
      </c>
      <c r="N400" s="5">
        <f t="shared" si="82"/>
        <v>1.0752220817617154E-2</v>
      </c>
      <c r="O400">
        <f t="shared" si="83"/>
        <v>18403.3645</v>
      </c>
      <c r="P400">
        <f t="shared" ca="1" si="84"/>
        <v>18404</v>
      </c>
      <c r="Q400" t="str">
        <f t="shared" ca="1" si="85"/>
        <v>0100011111100100</v>
      </c>
      <c r="R400">
        <f t="shared" ca="1" si="86"/>
        <v>3.4507500000000002</v>
      </c>
      <c r="S400">
        <f t="shared" ca="1" si="87"/>
        <v>61.409000000000006</v>
      </c>
      <c r="T400" s="3">
        <f t="shared" ca="1" si="91"/>
        <v>2.6906354515050194E-2</v>
      </c>
      <c r="W400">
        <f t="shared" si="88"/>
        <v>60.953546632091957</v>
      </c>
      <c r="X400" s="5">
        <f t="shared" si="89"/>
        <v>1.9290077459731644E-2</v>
      </c>
    </row>
    <row r="401" spans="8:24" x14ac:dyDescent="0.25">
      <c r="H401">
        <v>59.900000000000006</v>
      </c>
      <c r="I401">
        <v>3.4218559867191445</v>
      </c>
      <c r="J401" s="10">
        <f t="shared" si="79"/>
        <v>3.9999999999999998E-6</v>
      </c>
      <c r="K401" s="17">
        <f t="shared" si="80"/>
        <v>2.0000000000000001E-4</v>
      </c>
      <c r="L401" s="10">
        <f t="shared" si="81"/>
        <v>1.0670000000000001E-2</v>
      </c>
      <c r="M401" s="11">
        <f t="shared" si="90"/>
        <v>3.4587569230884987</v>
      </c>
      <c r="N401" s="5">
        <f t="shared" si="82"/>
        <v>1.0783895205576611E-2</v>
      </c>
      <c r="O401">
        <f t="shared" si="83"/>
        <v>18452.8007</v>
      </c>
      <c r="P401">
        <f t="shared" ca="1" si="84"/>
        <v>18455</v>
      </c>
      <c r="Q401" t="str">
        <f t="shared" ca="1" si="85"/>
        <v>0100100000010111</v>
      </c>
      <c r="R401">
        <f t="shared" ca="1" si="86"/>
        <v>3.4603125000000001</v>
      </c>
      <c r="S401">
        <f t="shared" ca="1" si="87"/>
        <v>61.52375</v>
      </c>
      <c r="T401" s="3">
        <f t="shared" ca="1" si="91"/>
        <v>2.7107679465776191E-2</v>
      </c>
      <c r="W401">
        <f t="shared" si="88"/>
        <v>61.062271840629741</v>
      </c>
      <c r="X401" s="5">
        <f t="shared" si="89"/>
        <v>1.9403536571447999E-2</v>
      </c>
    </row>
    <row r="402" spans="8:24" x14ac:dyDescent="0.25">
      <c r="H402">
        <v>60</v>
      </c>
      <c r="I402">
        <v>3.4298074246038026</v>
      </c>
      <c r="J402" s="10">
        <f t="shared" si="79"/>
        <v>5.0000000000000004E-6</v>
      </c>
      <c r="K402" s="17">
        <f t="shared" si="80"/>
        <v>2.0000000000000001E-4</v>
      </c>
      <c r="L402" s="10">
        <f t="shared" si="81"/>
        <v>1.0699999999999999E-2</v>
      </c>
      <c r="M402" s="11">
        <f t="shared" si="90"/>
        <v>3.466898235726072</v>
      </c>
      <c r="N402" s="5">
        <f t="shared" si="82"/>
        <v>1.081425471768404E-2</v>
      </c>
      <c r="O402">
        <f t="shared" si="83"/>
        <v>18496.235400000001</v>
      </c>
      <c r="P402">
        <f t="shared" ca="1" si="84"/>
        <v>18497</v>
      </c>
      <c r="Q402" t="str">
        <f t="shared" ca="1" si="85"/>
        <v>0100100001000001</v>
      </c>
      <c r="R402">
        <f t="shared" ca="1" si="86"/>
        <v>3.4681875</v>
      </c>
      <c r="S402">
        <f t="shared" ca="1" si="87"/>
        <v>61.618250000000003</v>
      </c>
      <c r="T402" s="3">
        <f t="shared" ca="1" si="91"/>
        <v>2.6970833333333388E-2</v>
      </c>
      <c r="W402">
        <f t="shared" si="88"/>
        <v>61.15768909524563</v>
      </c>
      <c r="X402" s="5">
        <f t="shared" si="89"/>
        <v>1.9294818254093828E-2</v>
      </c>
    </row>
    <row r="403" spans="8:24" x14ac:dyDescent="0.25">
      <c r="H403">
        <v>60.1</v>
      </c>
      <c r="I403">
        <v>3.4400197994363753</v>
      </c>
      <c r="J403" s="10">
        <f t="shared" si="79"/>
        <v>6.0000000000000002E-6</v>
      </c>
      <c r="K403" s="17">
        <f t="shared" si="80"/>
        <v>2.0100000000000001E-4</v>
      </c>
      <c r="L403" s="10">
        <f t="shared" si="81"/>
        <v>1.0730999999999999E-2</v>
      </c>
      <c r="M403" s="11">
        <f t="shared" si="90"/>
        <v>3.4773290171190805</v>
      </c>
      <c r="N403" s="5">
        <f t="shared" si="82"/>
        <v>1.0845640391028593E-2</v>
      </c>
      <c r="O403">
        <f t="shared" si="83"/>
        <v>18551.884600000001</v>
      </c>
      <c r="P403">
        <f t="shared" ca="1" si="84"/>
        <v>18551</v>
      </c>
      <c r="Q403" t="str">
        <f t="shared" ca="1" si="85"/>
        <v>0100100001110111</v>
      </c>
      <c r="R403">
        <f t="shared" ca="1" si="86"/>
        <v>3.4783124999999999</v>
      </c>
      <c r="S403">
        <f t="shared" ca="1" si="87"/>
        <v>61.739750000000001</v>
      </c>
      <c r="T403" s="3">
        <f t="shared" ca="1" si="91"/>
        <v>2.7283693843593998E-2</v>
      </c>
      <c r="W403">
        <f t="shared" si="88"/>
        <v>61.280237593236507</v>
      </c>
      <c r="X403" s="5">
        <f t="shared" si="89"/>
        <v>1.9637896726064977E-2</v>
      </c>
    </row>
    <row r="404" spans="8:24" x14ac:dyDescent="0.25">
      <c r="H404">
        <v>60.2</v>
      </c>
      <c r="I404">
        <v>3.4491229397761978</v>
      </c>
      <c r="J404" s="10">
        <f t="shared" si="79"/>
        <v>6.0000000000000002E-6</v>
      </c>
      <c r="K404" s="17">
        <f t="shared" si="80"/>
        <v>2.0100000000000001E-4</v>
      </c>
      <c r="L404" s="10">
        <f t="shared" si="81"/>
        <v>1.0761E-2</v>
      </c>
      <c r="M404" s="11">
        <f t="shared" si="90"/>
        <v>3.4866366366228969</v>
      </c>
      <c r="N404" s="5">
        <f t="shared" si="82"/>
        <v>1.0876300294802852E-2</v>
      </c>
      <c r="O404">
        <f t="shared" si="83"/>
        <v>18601.541700000002</v>
      </c>
      <c r="P404">
        <f t="shared" ca="1" si="84"/>
        <v>18605</v>
      </c>
      <c r="Q404" t="str">
        <f t="shared" ca="1" si="85"/>
        <v>0100100010101101</v>
      </c>
      <c r="R404">
        <f t="shared" ca="1" si="86"/>
        <v>3.4884374999999999</v>
      </c>
      <c r="S404">
        <f t="shared" ca="1" si="87"/>
        <v>61.861250000000005</v>
      </c>
      <c r="T404" s="3">
        <f t="shared" ca="1" si="91"/>
        <v>2.7595514950166156E-2</v>
      </c>
      <c r="W404">
        <f t="shared" si="88"/>
        <v>61.389475277314375</v>
      </c>
      <c r="X404" s="5">
        <f t="shared" si="89"/>
        <v>1.9758725536783591E-2</v>
      </c>
    </row>
    <row r="405" spans="8:24" x14ac:dyDescent="0.25">
      <c r="H405">
        <v>60.300000000000004</v>
      </c>
      <c r="I405">
        <v>3.4582400771756419</v>
      </c>
      <c r="J405" s="10">
        <f t="shared" si="79"/>
        <v>6.9999999999999999E-6</v>
      </c>
      <c r="K405" s="17">
        <f t="shared" si="80"/>
        <v>2.02E-4</v>
      </c>
      <c r="L405" s="10">
        <f t="shared" si="81"/>
        <v>1.0792E-2</v>
      </c>
      <c r="M405" s="11">
        <f t="shared" si="90"/>
        <v>3.4959614936147321</v>
      </c>
      <c r="N405" s="5">
        <f t="shared" si="82"/>
        <v>1.0907691657398593E-2</v>
      </c>
      <c r="O405">
        <f t="shared" si="83"/>
        <v>18651.290700000001</v>
      </c>
      <c r="P405">
        <f t="shared" ca="1" si="84"/>
        <v>18650</v>
      </c>
      <c r="Q405" t="str">
        <f t="shared" ca="1" si="85"/>
        <v>0100100011011010</v>
      </c>
      <c r="R405">
        <f t="shared" ca="1" si="86"/>
        <v>3.4968750000000002</v>
      </c>
      <c r="S405">
        <f t="shared" ca="1" si="87"/>
        <v>61.962500000000006</v>
      </c>
      <c r="T405" s="3">
        <f t="shared" ca="1" si="91"/>
        <v>2.7570480928689904E-2</v>
      </c>
      <c r="W405">
        <f t="shared" si="88"/>
        <v>61.498880926107709</v>
      </c>
      <c r="X405" s="5">
        <f t="shared" si="89"/>
        <v>1.988193907309627E-2</v>
      </c>
    </row>
    <row r="406" spans="8:24" x14ac:dyDescent="0.25">
      <c r="H406">
        <v>60.400000000000006</v>
      </c>
      <c r="I406">
        <v>3.4662562822324579</v>
      </c>
      <c r="J406" s="10">
        <f t="shared" si="79"/>
        <v>6.9999999999999999E-6</v>
      </c>
      <c r="K406" s="17">
        <f t="shared" si="80"/>
        <v>2.02E-4</v>
      </c>
      <c r="L406" s="10">
        <f t="shared" si="81"/>
        <v>1.0822E-2</v>
      </c>
      <c r="M406" s="11">
        <f t="shared" si="90"/>
        <v>3.5041714253981162</v>
      </c>
      <c r="N406" s="5">
        <f t="shared" si="82"/>
        <v>1.0938355412439078E-2</v>
      </c>
      <c r="O406">
        <f t="shared" si="83"/>
        <v>18695.091499999999</v>
      </c>
      <c r="P406">
        <f t="shared" ca="1" si="84"/>
        <v>18693</v>
      </c>
      <c r="Q406" t="str">
        <f t="shared" ca="1" si="85"/>
        <v>0100100100000101</v>
      </c>
      <c r="R406">
        <f t="shared" ca="1" si="86"/>
        <v>3.5049375</v>
      </c>
      <c r="S406">
        <f t="shared" ca="1" si="87"/>
        <v>62.059249999999999</v>
      </c>
      <c r="T406" s="3">
        <f t="shared" ca="1" si="91"/>
        <v>2.7471026490066108E-2</v>
      </c>
      <c r="W406">
        <f t="shared" si="88"/>
        <v>61.595075386789496</v>
      </c>
      <c r="X406" s="5">
        <f t="shared" si="89"/>
        <v>1.978601633757434E-2</v>
      </c>
    </row>
    <row r="407" spans="8:24" x14ac:dyDescent="0.25">
      <c r="H407">
        <v>60.5</v>
      </c>
      <c r="I407">
        <v>3.4754031883620513</v>
      </c>
      <c r="J407" s="10">
        <f t="shared" si="79"/>
        <v>7.9999999999999996E-6</v>
      </c>
      <c r="K407" s="17">
        <f t="shared" si="80"/>
        <v>2.03E-4</v>
      </c>
      <c r="L407" s="10">
        <f t="shared" si="81"/>
        <v>1.0853E-2</v>
      </c>
      <c r="M407" s="11">
        <f t="shared" si="90"/>
        <v>3.5135275023450019</v>
      </c>
      <c r="N407" s="5">
        <f t="shared" si="82"/>
        <v>1.0969752836337377E-2</v>
      </c>
      <c r="O407">
        <f t="shared" si="83"/>
        <v>18745.007000000001</v>
      </c>
      <c r="P407">
        <f t="shared" ca="1" si="84"/>
        <v>18749</v>
      </c>
      <c r="Q407" t="str">
        <f t="shared" ca="1" si="85"/>
        <v>0100100100111101</v>
      </c>
      <c r="R407">
        <f t="shared" ca="1" si="86"/>
        <v>3.5154375</v>
      </c>
      <c r="S407">
        <f t="shared" ca="1" si="87"/>
        <v>62.185250000000003</v>
      </c>
      <c r="T407" s="3">
        <f t="shared" ca="1" si="91"/>
        <v>2.7855371900826504E-2</v>
      </c>
      <c r="W407">
        <f t="shared" si="88"/>
        <v>61.704838260344623</v>
      </c>
      <c r="X407" s="5">
        <f t="shared" si="89"/>
        <v>1.9914681989167321E-2</v>
      </c>
    </row>
    <row r="408" spans="8:24" x14ac:dyDescent="0.25">
      <c r="H408">
        <v>60.6</v>
      </c>
      <c r="I408">
        <v>3.4845637336758295</v>
      </c>
      <c r="J408" s="10">
        <f t="shared" si="79"/>
        <v>7.9999999999999996E-6</v>
      </c>
      <c r="K408" s="17">
        <f t="shared" si="80"/>
        <v>2.03E-4</v>
      </c>
      <c r="L408" s="10">
        <f t="shared" si="81"/>
        <v>1.0883E-2</v>
      </c>
      <c r="M408" s="11">
        <f t="shared" si="90"/>
        <v>3.522895404361496</v>
      </c>
      <c r="N408" s="5">
        <f t="shared" si="82"/>
        <v>1.1000421750137076E-2</v>
      </c>
      <c r="O408">
        <f t="shared" si="83"/>
        <v>18794.985700000001</v>
      </c>
      <c r="P408">
        <f t="shared" ca="1" si="84"/>
        <v>18796</v>
      </c>
      <c r="Q408" t="str">
        <f t="shared" ca="1" si="85"/>
        <v>0100100101101100</v>
      </c>
      <c r="R408">
        <f t="shared" ca="1" si="86"/>
        <v>3.5242499999999999</v>
      </c>
      <c r="S408">
        <f t="shared" ca="1" si="87"/>
        <v>62.290999999999997</v>
      </c>
      <c r="T408" s="3">
        <f t="shared" ca="1" si="91"/>
        <v>2.7904290429042827E-2</v>
      </c>
      <c r="W408">
        <f t="shared" si="88"/>
        <v>61.814764804109956</v>
      </c>
      <c r="X408" s="5">
        <f t="shared" si="89"/>
        <v>2.0045623830197267E-2</v>
      </c>
    </row>
    <row r="409" spans="8:24" x14ac:dyDescent="0.25">
      <c r="H409">
        <v>60.7</v>
      </c>
      <c r="I409">
        <v>3.4931835894756418</v>
      </c>
      <c r="J409" s="10">
        <f t="shared" si="79"/>
        <v>9.0000000000000002E-6</v>
      </c>
      <c r="K409" s="17">
        <f t="shared" si="80"/>
        <v>2.04E-4</v>
      </c>
      <c r="L409" s="10">
        <f t="shared" si="81"/>
        <v>1.0914E-2</v>
      </c>
      <c r="M409" s="11">
        <f t="shared" si="90"/>
        <v>3.5317197791452331</v>
      </c>
      <c r="N409" s="5">
        <f t="shared" si="82"/>
        <v>1.1031824890536571E-2</v>
      </c>
      <c r="O409">
        <f t="shared" si="83"/>
        <v>18842.064600000002</v>
      </c>
      <c r="P409">
        <f t="shared" ca="1" si="84"/>
        <v>18844</v>
      </c>
      <c r="Q409" t="str">
        <f t="shared" ca="1" si="85"/>
        <v>0100100110011100</v>
      </c>
      <c r="R409">
        <f t="shared" ca="1" si="86"/>
        <v>3.5332500000000002</v>
      </c>
      <c r="S409">
        <f t="shared" ca="1" si="87"/>
        <v>62.399000000000001</v>
      </c>
      <c r="T409" s="3">
        <f t="shared" ca="1" si="91"/>
        <v>2.7990115321252028E-2</v>
      </c>
      <c r="W409">
        <f t="shared" si="88"/>
        <v>61.918203073707708</v>
      </c>
      <c r="X409" s="5">
        <f t="shared" si="89"/>
        <v>2.006924338892431E-2</v>
      </c>
    </row>
    <row r="410" spans="8:24" x14ac:dyDescent="0.25">
      <c r="H410">
        <v>60.800000000000004</v>
      </c>
      <c r="I410">
        <v>3.5023721205114615</v>
      </c>
      <c r="J410" s="10">
        <f t="shared" si="79"/>
        <v>1.0000000000000001E-5</v>
      </c>
      <c r="K410" s="17">
        <f t="shared" si="80"/>
        <v>2.04E-4</v>
      </c>
      <c r="L410" s="10">
        <f t="shared" si="81"/>
        <v>1.0944000000000001E-2</v>
      </c>
      <c r="M410" s="11">
        <f t="shared" si="90"/>
        <v>3.5411160950557514</v>
      </c>
      <c r="N410" s="5">
        <f t="shared" si="82"/>
        <v>1.1062209614274799E-2</v>
      </c>
      <c r="O410">
        <f t="shared" si="83"/>
        <v>18892.194800000001</v>
      </c>
      <c r="P410">
        <f t="shared" ca="1" si="84"/>
        <v>18894</v>
      </c>
      <c r="Q410" t="str">
        <f t="shared" ca="1" si="85"/>
        <v>0100100111001110</v>
      </c>
      <c r="R410">
        <f t="shared" ca="1" si="86"/>
        <v>3.5426250000000001</v>
      </c>
      <c r="S410">
        <f t="shared" ca="1" si="87"/>
        <v>62.511500000000005</v>
      </c>
      <c r="T410" s="3">
        <f t="shared" ca="1" si="91"/>
        <v>2.8149671052631591E-2</v>
      </c>
      <c r="W410">
        <f t="shared" si="88"/>
        <v>62.028465446137545</v>
      </c>
      <c r="X410" s="5">
        <f t="shared" si="89"/>
        <v>2.0205023785156925E-2</v>
      </c>
    </row>
    <row r="411" spans="8:24" x14ac:dyDescent="0.25">
      <c r="H411">
        <v>60.900000000000006</v>
      </c>
      <c r="I411">
        <v>3.510469766773884</v>
      </c>
      <c r="J411" s="10">
        <f t="shared" si="79"/>
        <v>1.0000000000000001E-5</v>
      </c>
      <c r="K411" s="17">
        <f t="shared" si="80"/>
        <v>2.05E-4</v>
      </c>
      <c r="L411" s="10">
        <f t="shared" si="81"/>
        <v>1.0975E-2</v>
      </c>
      <c r="M411" s="11">
        <f t="shared" si="90"/>
        <v>3.549414591920208</v>
      </c>
      <c r="N411" s="5">
        <f t="shared" si="82"/>
        <v>1.1093907007811737E-2</v>
      </c>
      <c r="O411">
        <f t="shared" si="83"/>
        <v>18936.468099999998</v>
      </c>
      <c r="P411">
        <f t="shared" ca="1" si="84"/>
        <v>18936</v>
      </c>
      <c r="Q411" t="str">
        <f t="shared" ca="1" si="85"/>
        <v>0100100111111000</v>
      </c>
      <c r="R411">
        <f t="shared" ca="1" si="86"/>
        <v>3.5505</v>
      </c>
      <c r="S411">
        <f t="shared" ca="1" si="87"/>
        <v>62.606000000000002</v>
      </c>
      <c r="T411" s="3">
        <f t="shared" ca="1" si="91"/>
        <v>2.8013136288998288E-2</v>
      </c>
      <c r="W411">
        <f t="shared" si="88"/>
        <v>62.125637201286615</v>
      </c>
      <c r="X411" s="5">
        <f t="shared" si="89"/>
        <v>2.0125405604049414E-2</v>
      </c>
    </row>
    <row r="412" spans="8:24" x14ac:dyDescent="0.25">
      <c r="H412">
        <v>61</v>
      </c>
      <c r="I412">
        <v>3.5207889143799989</v>
      </c>
      <c r="J412" s="10">
        <f t="shared" si="79"/>
        <v>1.1E-5</v>
      </c>
      <c r="K412" s="17">
        <f t="shared" si="80"/>
        <v>2.05E-4</v>
      </c>
      <c r="L412" s="10">
        <f t="shared" si="81"/>
        <v>1.1004999999999999E-2</v>
      </c>
      <c r="M412" s="11">
        <f t="shared" si="90"/>
        <v>3.5599552215936368</v>
      </c>
      <c r="N412" s="5">
        <f t="shared" si="82"/>
        <v>1.1124298606392021E-2</v>
      </c>
      <c r="O412">
        <f t="shared" si="83"/>
        <v>18992.703399999999</v>
      </c>
      <c r="P412">
        <f t="shared" ca="1" si="84"/>
        <v>18996</v>
      </c>
      <c r="Q412" t="str">
        <f t="shared" ca="1" si="85"/>
        <v>0100101000110100</v>
      </c>
      <c r="R412">
        <f t="shared" ca="1" si="86"/>
        <v>3.56175</v>
      </c>
      <c r="S412">
        <f t="shared" ca="1" si="87"/>
        <v>62.741000000000007</v>
      </c>
      <c r="T412" s="3">
        <f t="shared" ca="1" si="91"/>
        <v>2.8540983606557487E-2</v>
      </c>
      <c r="W412">
        <f t="shared" si="88"/>
        <v>62.249466972559993</v>
      </c>
      <c r="X412" s="5">
        <f t="shared" si="89"/>
        <v>2.0483065123934319E-2</v>
      </c>
    </row>
    <row r="413" spans="8:24" x14ac:dyDescent="0.25">
      <c r="H413">
        <v>61.1</v>
      </c>
      <c r="I413">
        <v>3.528917014137412</v>
      </c>
      <c r="J413" s="10">
        <f t="shared" si="79"/>
        <v>1.1E-5</v>
      </c>
      <c r="K413" s="17">
        <f t="shared" si="80"/>
        <v>2.0599999999999999E-4</v>
      </c>
      <c r="L413" s="10">
        <f t="shared" si="81"/>
        <v>1.1036000000000001E-2</v>
      </c>
      <c r="M413" s="11">
        <f t="shared" si="90"/>
        <v>3.5682856141754522</v>
      </c>
      <c r="N413" s="5">
        <f t="shared" si="82"/>
        <v>1.1156000518097547E-2</v>
      </c>
      <c r="O413">
        <f t="shared" si="83"/>
        <v>19037.146799999999</v>
      </c>
      <c r="P413">
        <f t="shared" ca="1" si="84"/>
        <v>19037</v>
      </c>
      <c r="Q413" t="str">
        <f t="shared" ca="1" si="85"/>
        <v>0100101001011101</v>
      </c>
      <c r="R413">
        <f t="shared" ca="1" si="86"/>
        <v>3.5694375000000003</v>
      </c>
      <c r="S413">
        <f t="shared" ca="1" si="87"/>
        <v>62.833250000000007</v>
      </c>
      <c r="T413" s="3">
        <f t="shared" ca="1" si="91"/>
        <v>2.8367430441898614E-2</v>
      </c>
      <c r="W413">
        <f t="shared" si="88"/>
        <v>62.347004169648947</v>
      </c>
      <c r="X413" s="5">
        <f t="shared" si="89"/>
        <v>2.0409233545809265E-2</v>
      </c>
    </row>
    <row r="414" spans="8:24" x14ac:dyDescent="0.25">
      <c r="H414">
        <v>61.2</v>
      </c>
      <c r="I414">
        <v>3.538160087547277</v>
      </c>
      <c r="J414" s="10">
        <f t="shared" si="79"/>
        <v>1.2E-5</v>
      </c>
      <c r="K414" s="17">
        <f t="shared" si="80"/>
        <v>2.0599999999999999E-4</v>
      </c>
      <c r="L414" s="10">
        <f t="shared" si="81"/>
        <v>1.1065999999999999E-2</v>
      </c>
      <c r="M414" s="11">
        <f t="shared" si="90"/>
        <v>3.5777393512077418</v>
      </c>
      <c r="N414" s="5">
        <f t="shared" si="82"/>
        <v>1.1186397076764823E-2</v>
      </c>
      <c r="O414">
        <f t="shared" si="83"/>
        <v>19087.5834</v>
      </c>
      <c r="P414">
        <f t="shared" ca="1" si="84"/>
        <v>19090</v>
      </c>
      <c r="Q414" t="str">
        <f t="shared" ca="1" si="85"/>
        <v>0100101010010010</v>
      </c>
      <c r="R414">
        <f t="shared" ca="1" si="86"/>
        <v>3.5793750000000002</v>
      </c>
      <c r="S414">
        <f t="shared" ca="1" si="87"/>
        <v>62.952500000000001</v>
      </c>
      <c r="T414" s="3">
        <f t="shared" ca="1" si="91"/>
        <v>2.863562091503264E-2</v>
      </c>
      <c r="W414">
        <f t="shared" si="88"/>
        <v>62.457921050567322</v>
      </c>
      <c r="X414" s="5">
        <f t="shared" si="89"/>
        <v>2.0554265532145732E-2</v>
      </c>
    </row>
    <row r="415" spans="8:24" x14ac:dyDescent="0.25">
      <c r="H415">
        <v>61.300000000000004</v>
      </c>
      <c r="I415">
        <v>3.5474159706967101</v>
      </c>
      <c r="J415" s="10">
        <f t="shared" si="79"/>
        <v>1.2E-5</v>
      </c>
      <c r="K415" s="17">
        <f t="shared" si="80"/>
        <v>2.0699999999999999E-4</v>
      </c>
      <c r="L415" s="10">
        <f t="shared" si="81"/>
        <v>1.1096999999999999E-2</v>
      </c>
      <c r="M415" s="11">
        <f t="shared" si="90"/>
        <v>3.5872112539821503</v>
      </c>
      <c r="N415" s="5">
        <f t="shared" si="82"/>
        <v>1.121810456235401E-2</v>
      </c>
      <c r="O415">
        <f t="shared" si="83"/>
        <v>19138.116900000001</v>
      </c>
      <c r="P415">
        <f t="shared" ca="1" si="84"/>
        <v>19140</v>
      </c>
      <c r="Q415" t="str">
        <f t="shared" ca="1" si="85"/>
        <v>0100101011000100</v>
      </c>
      <c r="R415">
        <f t="shared" ca="1" si="86"/>
        <v>3.5887500000000001</v>
      </c>
      <c r="S415">
        <f t="shared" ca="1" si="87"/>
        <v>63.065000000000005</v>
      </c>
      <c r="T415" s="3">
        <f t="shared" ca="1" si="91"/>
        <v>2.8792822185970644E-2</v>
      </c>
      <c r="W415">
        <f t="shared" si="88"/>
        <v>62.568991648360523</v>
      </c>
      <c r="X415" s="5">
        <f t="shared" si="89"/>
        <v>2.0701331947153651E-2</v>
      </c>
    </row>
    <row r="416" spans="8:24" x14ac:dyDescent="0.25">
      <c r="H416">
        <v>61.400000000000006</v>
      </c>
      <c r="I416">
        <v>3.5555909730289645</v>
      </c>
      <c r="J416" s="10">
        <f t="shared" si="79"/>
        <v>1.2999999999999999E-5</v>
      </c>
      <c r="K416" s="17">
        <f t="shared" si="80"/>
        <v>2.0699999999999999E-4</v>
      </c>
      <c r="L416" s="10">
        <f t="shared" si="81"/>
        <v>1.1127E-2</v>
      </c>
      <c r="M416" s="11">
        <f t="shared" si="90"/>
        <v>3.5955860591086668</v>
      </c>
      <c r="N416" s="5">
        <f t="shared" si="82"/>
        <v>1.1248505911699661E-2</v>
      </c>
      <c r="O416">
        <f t="shared" si="83"/>
        <v>19182.797299999998</v>
      </c>
      <c r="P416">
        <f t="shared" ca="1" si="84"/>
        <v>19184</v>
      </c>
      <c r="Q416" t="str">
        <f t="shared" ca="1" si="85"/>
        <v>0100101011110000</v>
      </c>
      <c r="R416">
        <f t="shared" ca="1" si="86"/>
        <v>3.597</v>
      </c>
      <c r="S416">
        <f t="shared" ca="1" si="87"/>
        <v>63.164000000000001</v>
      </c>
      <c r="T416" s="3">
        <f t="shared" ca="1" si="91"/>
        <v>2.8729641693811005E-2</v>
      </c>
      <c r="W416">
        <f t="shared" si="88"/>
        <v>62.667091676347582</v>
      </c>
      <c r="X416" s="5">
        <f t="shared" si="89"/>
        <v>2.0636672253217848E-2</v>
      </c>
    </row>
    <row r="417" spans="8:24" x14ac:dyDescent="0.25">
      <c r="H417">
        <v>61.5</v>
      </c>
      <c r="I417">
        <v>3.5648742352087375</v>
      </c>
      <c r="J417" s="10">
        <f t="shared" si="79"/>
        <v>1.4E-5</v>
      </c>
      <c r="K417" s="17">
        <f t="shared" si="80"/>
        <v>2.0799999999999999E-4</v>
      </c>
      <c r="L417" s="10">
        <f t="shared" si="81"/>
        <v>1.1158E-2</v>
      </c>
      <c r="M417" s="11">
        <f t="shared" si="90"/>
        <v>3.6050857823684042</v>
      </c>
      <c r="N417" s="5">
        <f t="shared" si="82"/>
        <v>1.1279934299649182E-2</v>
      </c>
      <c r="O417">
        <f t="shared" si="83"/>
        <v>19233.479299999999</v>
      </c>
      <c r="P417">
        <f t="shared" ca="1" si="84"/>
        <v>19234</v>
      </c>
      <c r="Q417" t="str">
        <f t="shared" ca="1" si="85"/>
        <v>0100101100100010</v>
      </c>
      <c r="R417">
        <f t="shared" ca="1" si="86"/>
        <v>3.6063749999999999</v>
      </c>
      <c r="S417">
        <f t="shared" ca="1" si="87"/>
        <v>63.276500000000006</v>
      </c>
      <c r="T417" s="3">
        <f t="shared" ca="1" si="91"/>
        <v>2.8886178861788712E-2</v>
      </c>
      <c r="W417">
        <f t="shared" si="88"/>
        <v>62.778490822504857</v>
      </c>
      <c r="X417" s="5">
        <f t="shared" si="89"/>
        <v>2.0788468658615559E-2</v>
      </c>
    </row>
    <row r="418" spans="8:24" x14ac:dyDescent="0.25">
      <c r="H418">
        <v>61.6</v>
      </c>
      <c r="I418">
        <v>3.5730806078211335</v>
      </c>
      <c r="J418" s="10">
        <f t="shared" si="79"/>
        <v>1.4E-5</v>
      </c>
      <c r="K418" s="17">
        <f t="shared" si="80"/>
        <v>2.0799999999999999E-4</v>
      </c>
      <c r="L418" s="10">
        <f t="shared" si="81"/>
        <v>1.1188E-2</v>
      </c>
      <c r="M418" s="11">
        <f t="shared" si="90"/>
        <v>3.6134943829778896</v>
      </c>
      <c r="N418" s="5">
        <f t="shared" si="82"/>
        <v>1.1310625085897653E-2</v>
      </c>
      <c r="O418">
        <f t="shared" si="83"/>
        <v>19278.34</v>
      </c>
      <c r="P418">
        <f t="shared" ca="1" si="84"/>
        <v>19278</v>
      </c>
      <c r="Q418" t="str">
        <f t="shared" ca="1" si="85"/>
        <v>0100101101001110</v>
      </c>
      <c r="R418">
        <f t="shared" ca="1" si="86"/>
        <v>3.6146250000000002</v>
      </c>
      <c r="S418">
        <f t="shared" ca="1" si="87"/>
        <v>63.375500000000009</v>
      </c>
      <c r="T418" s="3">
        <f t="shared" ca="1" si="91"/>
        <v>2.882305194805208E-2</v>
      </c>
      <c r="W418">
        <f t="shared" si="88"/>
        <v>62.876967293853603</v>
      </c>
      <c r="X418" s="5">
        <f t="shared" si="89"/>
        <v>2.0729988536584445E-2</v>
      </c>
    </row>
    <row r="419" spans="8:24" x14ac:dyDescent="0.25">
      <c r="H419">
        <v>61.7</v>
      </c>
      <c r="I419">
        <v>3.5823907725392394</v>
      </c>
      <c r="J419" s="10">
        <f t="shared" si="79"/>
        <v>1.5E-5</v>
      </c>
      <c r="K419" s="17">
        <f t="shared" si="80"/>
        <v>2.0900000000000001E-4</v>
      </c>
      <c r="L419" s="10">
        <f t="shared" si="81"/>
        <v>1.1219E-2</v>
      </c>
      <c r="M419" s="11">
        <f t="shared" si="90"/>
        <v>3.6230224615352031</v>
      </c>
      <c r="N419" s="5">
        <f t="shared" si="82"/>
        <v>1.1342059416696046E-2</v>
      </c>
      <c r="O419">
        <f t="shared" si="83"/>
        <v>19329.173200000001</v>
      </c>
      <c r="P419">
        <f t="shared" ca="1" si="84"/>
        <v>19332</v>
      </c>
      <c r="Q419" t="str">
        <f t="shared" ca="1" si="85"/>
        <v>0100101110000100</v>
      </c>
      <c r="R419">
        <f t="shared" ca="1" si="86"/>
        <v>3.6247500000000001</v>
      </c>
      <c r="S419">
        <f t="shared" ca="1" si="87"/>
        <v>63.497</v>
      </c>
      <c r="T419" s="3">
        <f t="shared" ca="1" si="91"/>
        <v>2.9124797406807082E-2</v>
      </c>
      <c r="W419">
        <f t="shared" si="88"/>
        <v>62.988689270470871</v>
      </c>
      <c r="X419" s="5">
        <f t="shared" si="89"/>
        <v>2.0886373913628339E-2</v>
      </c>
    </row>
    <row r="420" spans="8:24" x14ac:dyDescent="0.25">
      <c r="H420">
        <v>61.800000000000004</v>
      </c>
      <c r="I420">
        <v>3.5906280320479351</v>
      </c>
      <c r="J420" s="10">
        <f t="shared" si="79"/>
        <v>1.5E-5</v>
      </c>
      <c r="K420" s="17">
        <f t="shared" si="80"/>
        <v>2.0900000000000001E-4</v>
      </c>
      <c r="L420" s="10">
        <f t="shared" si="81"/>
        <v>1.1249E-2</v>
      </c>
      <c r="M420" s="11">
        <f t="shared" si="90"/>
        <v>3.6314633634230815</v>
      </c>
      <c r="N420" s="5">
        <f t="shared" si="82"/>
        <v>1.1372754574039162E-2</v>
      </c>
      <c r="O420">
        <f t="shared" si="83"/>
        <v>19374.206200000001</v>
      </c>
      <c r="P420">
        <f t="shared" ca="1" si="84"/>
        <v>19375</v>
      </c>
      <c r="Q420" t="str">
        <f t="shared" ca="1" si="85"/>
        <v>0100101110101111</v>
      </c>
      <c r="R420">
        <f t="shared" ca="1" si="86"/>
        <v>3.6328125</v>
      </c>
      <c r="S420">
        <f t="shared" ca="1" si="87"/>
        <v>63.593750000000007</v>
      </c>
      <c r="T420" s="3">
        <f t="shared" ca="1" si="91"/>
        <v>2.9025080906148911E-2</v>
      </c>
      <c r="W420">
        <f t="shared" si="88"/>
        <v>63.087536384575223</v>
      </c>
      <c r="X420" s="5">
        <f t="shared" si="89"/>
        <v>2.0833922080505159E-2</v>
      </c>
    </row>
    <row r="421" spans="8:24" x14ac:dyDescent="0.25">
      <c r="H421">
        <v>61.900000000000006</v>
      </c>
      <c r="I421">
        <v>3.5999646239128404</v>
      </c>
      <c r="J421" s="10">
        <f t="shared" si="79"/>
        <v>1.5999999999999999E-5</v>
      </c>
      <c r="K421" s="17">
        <f t="shared" si="80"/>
        <v>2.1000000000000001E-4</v>
      </c>
      <c r="L421" s="10">
        <f t="shared" si="81"/>
        <v>1.128E-2</v>
      </c>
      <c r="M421" s="11">
        <f t="shared" si="90"/>
        <v>3.6410193218634599</v>
      </c>
      <c r="N421" s="5">
        <f t="shared" si="82"/>
        <v>1.1404194829558255E-2</v>
      </c>
      <c r="O421">
        <f t="shared" si="83"/>
        <v>19425.188200000001</v>
      </c>
      <c r="P421">
        <f t="shared" ca="1" si="84"/>
        <v>19429</v>
      </c>
      <c r="Q421" t="str">
        <f t="shared" ca="1" si="85"/>
        <v>0100101111100101</v>
      </c>
      <c r="R421">
        <f t="shared" ca="1" si="86"/>
        <v>3.6429374999999999</v>
      </c>
      <c r="S421">
        <f t="shared" ca="1" si="87"/>
        <v>63.715249999999997</v>
      </c>
      <c r="T421" s="3">
        <f t="shared" ca="1" si="91"/>
        <v>2.9325525040387587E-2</v>
      </c>
      <c r="W421">
        <f t="shared" si="88"/>
        <v>63.199575486954089</v>
      </c>
      <c r="X421" s="5">
        <f t="shared" si="89"/>
        <v>2.0994757462909259E-2</v>
      </c>
    </row>
    <row r="422" spans="8:24" x14ac:dyDescent="0.25">
      <c r="H422">
        <v>62</v>
      </c>
      <c r="I422">
        <v>3.6082322874549435</v>
      </c>
      <c r="J422" s="10">
        <f t="shared" si="79"/>
        <v>1.7E-5</v>
      </c>
      <c r="K422" s="17">
        <f t="shared" si="80"/>
        <v>2.1000000000000001E-4</v>
      </c>
      <c r="L422" s="10">
        <f t="shared" si="81"/>
        <v>1.1310000000000001E-2</v>
      </c>
      <c r="M422" s="11">
        <f t="shared" si="90"/>
        <v>3.6494910310157316</v>
      </c>
      <c r="N422" s="5">
        <f t="shared" si="82"/>
        <v>1.1434614036417762E-2</v>
      </c>
      <c r="O422">
        <f t="shared" si="83"/>
        <v>19470.3855</v>
      </c>
      <c r="P422">
        <f t="shared" ca="1" si="84"/>
        <v>19469</v>
      </c>
      <c r="Q422" t="str">
        <f t="shared" ca="1" si="85"/>
        <v>0100110000001101</v>
      </c>
      <c r="R422">
        <f t="shared" ca="1" si="86"/>
        <v>3.6504375000000002</v>
      </c>
      <c r="S422">
        <f t="shared" ca="1" si="87"/>
        <v>63.805250000000001</v>
      </c>
      <c r="T422" s="3">
        <f t="shared" ca="1" si="91"/>
        <v>2.9116935483870982E-2</v>
      </c>
      <c r="W422">
        <f t="shared" si="88"/>
        <v>63.298787449459326</v>
      </c>
      <c r="X422" s="5">
        <f t="shared" si="89"/>
        <v>2.0948184668698803E-2</v>
      </c>
    </row>
    <row r="423" spans="8:24" x14ac:dyDescent="0.25">
      <c r="H423">
        <v>62.1</v>
      </c>
      <c r="I423">
        <v>3.6175948317121533</v>
      </c>
      <c r="J423" s="10">
        <f t="shared" si="79"/>
        <v>1.7E-5</v>
      </c>
      <c r="K423" s="17">
        <f t="shared" si="80"/>
        <v>2.1100000000000001E-4</v>
      </c>
      <c r="L423" s="10">
        <f t="shared" si="81"/>
        <v>1.1341E-2</v>
      </c>
      <c r="M423" s="11">
        <f t="shared" si="90"/>
        <v>3.6590754058903561</v>
      </c>
      <c r="N423" s="5">
        <f t="shared" si="82"/>
        <v>1.146634051292322E-2</v>
      </c>
      <c r="O423">
        <f t="shared" si="83"/>
        <v>19521.519100000001</v>
      </c>
      <c r="P423">
        <f t="shared" ca="1" si="84"/>
        <v>19521</v>
      </c>
      <c r="Q423" t="str">
        <f t="shared" ca="1" si="85"/>
        <v>0100110001000001</v>
      </c>
      <c r="R423">
        <f t="shared" ca="1" si="86"/>
        <v>3.6601875000000001</v>
      </c>
      <c r="S423">
        <f t="shared" ca="1" si="87"/>
        <v>63.922250000000005</v>
      </c>
      <c r="T423" s="3">
        <f t="shared" ca="1" si="91"/>
        <v>2.9343800322061252E-2</v>
      </c>
      <c r="W423">
        <f t="shared" si="88"/>
        <v>63.411137980545838</v>
      </c>
      <c r="X423" s="5">
        <f t="shared" si="89"/>
        <v>2.1113333020061787E-2</v>
      </c>
    </row>
    <row r="424" spans="8:24" x14ac:dyDescent="0.25">
      <c r="H424">
        <v>62.2</v>
      </c>
      <c r="I424">
        <v>3.6258924181620329</v>
      </c>
      <c r="J424" s="10">
        <f t="shared" si="79"/>
        <v>1.8E-5</v>
      </c>
      <c r="K424" s="17">
        <f t="shared" si="80"/>
        <v>2.1100000000000001E-4</v>
      </c>
      <c r="L424" s="10">
        <f t="shared" si="81"/>
        <v>1.1370999999999999E-2</v>
      </c>
      <c r="M424" s="11">
        <f t="shared" si="90"/>
        <v>3.6675784527482334</v>
      </c>
      <c r="N424" s="5">
        <f t="shared" si="82"/>
        <v>1.1496765424532682E-2</v>
      </c>
      <c r="O424">
        <f t="shared" si="83"/>
        <v>19566.883699999998</v>
      </c>
      <c r="P424">
        <f t="shared" ca="1" si="84"/>
        <v>19564</v>
      </c>
      <c r="Q424" t="str">
        <f t="shared" ca="1" si="85"/>
        <v>0100110001101100</v>
      </c>
      <c r="R424">
        <f t="shared" ca="1" si="86"/>
        <v>3.66825</v>
      </c>
      <c r="S424">
        <f t="shared" ca="1" si="87"/>
        <v>64.019000000000005</v>
      </c>
      <c r="T424" s="3">
        <f t="shared" ca="1" si="91"/>
        <v>2.9244372990353738E-2</v>
      </c>
      <c r="W424">
        <f t="shared" si="88"/>
        <v>63.510709017944393</v>
      </c>
      <c r="X424" s="5">
        <f t="shared" si="89"/>
        <v>2.1072492249909806E-2</v>
      </c>
    </row>
    <row r="425" spans="8:24" x14ac:dyDescent="0.25">
      <c r="H425">
        <v>62.300000000000004</v>
      </c>
      <c r="I425">
        <v>3.6352804414474087</v>
      </c>
      <c r="J425" s="10">
        <f t="shared" si="79"/>
        <v>1.8E-5</v>
      </c>
      <c r="K425" s="17">
        <f t="shared" si="80"/>
        <v>2.12E-4</v>
      </c>
      <c r="L425" s="10">
        <f t="shared" si="81"/>
        <v>1.1402000000000001E-2</v>
      </c>
      <c r="M425" s="11">
        <f t="shared" si="90"/>
        <v>3.6771897590804441</v>
      </c>
      <c r="N425" s="5">
        <f t="shared" si="82"/>
        <v>1.1528496441487457E-2</v>
      </c>
      <c r="O425">
        <f t="shared" si="83"/>
        <v>19618.160899999999</v>
      </c>
      <c r="P425">
        <f t="shared" ca="1" si="84"/>
        <v>19620</v>
      </c>
      <c r="Q425" t="str">
        <f t="shared" ca="1" si="85"/>
        <v>0100110010100100</v>
      </c>
      <c r="R425">
        <f t="shared" ca="1" si="86"/>
        <v>3.67875</v>
      </c>
      <c r="S425">
        <f t="shared" ca="1" si="87"/>
        <v>64.14500000000001</v>
      </c>
      <c r="T425" s="3">
        <f t="shared" ca="1" si="91"/>
        <v>2.9614767255216789E-2</v>
      </c>
      <c r="W425">
        <f t="shared" si="88"/>
        <v>63.623365297368906</v>
      </c>
      <c r="X425" s="5">
        <f t="shared" si="89"/>
        <v>2.1241818577349948E-2</v>
      </c>
    </row>
    <row r="426" spans="8:24" x14ac:dyDescent="0.25">
      <c r="H426">
        <v>62.400000000000006</v>
      </c>
      <c r="I426">
        <v>3.6436074699112897</v>
      </c>
      <c r="J426" s="10">
        <f t="shared" si="79"/>
        <v>1.9000000000000001E-5</v>
      </c>
      <c r="K426" s="17">
        <f t="shared" si="80"/>
        <v>2.12E-4</v>
      </c>
      <c r="L426" s="10">
        <f t="shared" si="81"/>
        <v>1.1431999999999999E-2</v>
      </c>
      <c r="M426" s="11">
        <f t="shared" si="90"/>
        <v>3.6857236628247017</v>
      </c>
      <c r="N426" s="5">
        <f t="shared" si="82"/>
        <v>1.1558927041731351E-2</v>
      </c>
      <c r="O426">
        <f t="shared" si="83"/>
        <v>19663.6901</v>
      </c>
      <c r="P426">
        <f t="shared" ca="1" si="84"/>
        <v>19661</v>
      </c>
      <c r="Q426" t="str">
        <f t="shared" ca="1" si="85"/>
        <v>0100110011001101</v>
      </c>
      <c r="R426">
        <f t="shared" ca="1" si="86"/>
        <v>3.6864375000000003</v>
      </c>
      <c r="S426">
        <f t="shared" ca="1" si="87"/>
        <v>64.237250000000017</v>
      </c>
      <c r="T426" s="3">
        <f t="shared" ca="1" si="91"/>
        <v>2.9443108974359158E-2</v>
      </c>
      <c r="W426">
        <f t="shared" si="88"/>
        <v>63.723289638935483</v>
      </c>
      <c r="X426" s="5">
        <f t="shared" si="89"/>
        <v>2.120656472653009E-2</v>
      </c>
    </row>
    <row r="427" spans="8:24" x14ac:dyDescent="0.25">
      <c r="H427">
        <v>62.5</v>
      </c>
      <c r="I427">
        <v>3.6524852942450883</v>
      </c>
      <c r="J427" s="10">
        <f t="shared" si="79"/>
        <v>1.9000000000000001E-5</v>
      </c>
      <c r="K427" s="17">
        <f t="shared" si="80"/>
        <v>2.13E-4</v>
      </c>
      <c r="L427" s="10">
        <f t="shared" si="81"/>
        <v>1.1462999999999999E-2</v>
      </c>
      <c r="M427" s="11">
        <f t="shared" si="90"/>
        <v>3.6948200160895226</v>
      </c>
      <c r="N427" s="5">
        <f t="shared" si="82"/>
        <v>1.1590661818991457E-2</v>
      </c>
      <c r="O427">
        <f t="shared" si="83"/>
        <v>19712.22</v>
      </c>
      <c r="P427">
        <f t="shared" ca="1" si="84"/>
        <v>19715</v>
      </c>
      <c r="Q427" t="str">
        <f t="shared" ca="1" si="85"/>
        <v>0100110100000011</v>
      </c>
      <c r="R427">
        <f t="shared" ca="1" si="86"/>
        <v>3.6965625000000002</v>
      </c>
      <c r="S427">
        <f t="shared" ca="1" si="87"/>
        <v>64.358750000000001</v>
      </c>
      <c r="T427" s="3">
        <f t="shared" ca="1" si="91"/>
        <v>2.9740000000000009E-2</v>
      </c>
      <c r="W427">
        <f t="shared" si="88"/>
        <v>63.829823530941063</v>
      </c>
      <c r="X427" s="5">
        <f t="shared" si="89"/>
        <v>2.1277176495057008E-2</v>
      </c>
    </row>
    <row r="428" spans="8:24" x14ac:dyDescent="0.25">
      <c r="H428">
        <v>62.6</v>
      </c>
      <c r="I428">
        <v>3.6608423337680458</v>
      </c>
      <c r="J428" s="10">
        <f t="shared" si="79"/>
        <v>2.0000000000000002E-5</v>
      </c>
      <c r="K428" s="17">
        <f t="shared" si="80"/>
        <v>2.13E-4</v>
      </c>
      <c r="L428" s="10">
        <f t="shared" si="81"/>
        <v>1.1493E-2</v>
      </c>
      <c r="M428" s="11">
        <f t="shared" si="90"/>
        <v>3.7033853414978806</v>
      </c>
      <c r="N428" s="5">
        <f t="shared" si="82"/>
        <v>1.1621098056426249E-2</v>
      </c>
      <c r="O428">
        <f t="shared" si="83"/>
        <v>19757.9169</v>
      </c>
      <c r="P428">
        <f t="shared" ca="1" si="84"/>
        <v>19756</v>
      </c>
      <c r="Q428" t="str">
        <f t="shared" ca="1" si="85"/>
        <v>0100110100101100</v>
      </c>
      <c r="R428">
        <f t="shared" ca="1" si="86"/>
        <v>3.70425</v>
      </c>
      <c r="S428">
        <f t="shared" ca="1" si="87"/>
        <v>64.451000000000008</v>
      </c>
      <c r="T428" s="3">
        <f t="shared" ca="1" si="91"/>
        <v>2.9568690095846745E-2</v>
      </c>
      <c r="W428">
        <f t="shared" si="88"/>
        <v>63.930108005216553</v>
      </c>
      <c r="X428" s="5">
        <f t="shared" si="89"/>
        <v>2.1247731712724469E-2</v>
      </c>
    </row>
    <row r="429" spans="8:24" x14ac:dyDescent="0.25">
      <c r="H429">
        <v>62.7</v>
      </c>
      <c r="I429">
        <v>3.6702809454184604</v>
      </c>
      <c r="J429" s="10">
        <f t="shared" si="79"/>
        <v>2.0999999999999999E-5</v>
      </c>
      <c r="K429" s="17">
        <f t="shared" si="80"/>
        <v>2.14E-4</v>
      </c>
      <c r="L429" s="10">
        <f t="shared" si="81"/>
        <v>1.1524E-2</v>
      </c>
      <c r="M429" s="11">
        <f t="shared" si="90"/>
        <v>3.7130491235178806</v>
      </c>
      <c r="N429" s="5">
        <f t="shared" si="82"/>
        <v>1.1652562497376916E-2</v>
      </c>
      <c r="O429">
        <f t="shared" si="83"/>
        <v>19809.474099999999</v>
      </c>
      <c r="P429">
        <f t="shared" ca="1" si="84"/>
        <v>19808</v>
      </c>
      <c r="Q429" t="str">
        <f t="shared" ca="1" si="85"/>
        <v>0100110101100000</v>
      </c>
      <c r="R429">
        <f t="shared" ca="1" si="86"/>
        <v>3.714</v>
      </c>
      <c r="S429">
        <f t="shared" ca="1" si="87"/>
        <v>64.567999999999998</v>
      </c>
      <c r="T429" s="3">
        <f t="shared" ca="1" si="91"/>
        <v>2.9792663476873923E-2</v>
      </c>
      <c r="W429">
        <f t="shared" si="88"/>
        <v>64.043371345021527</v>
      </c>
      <c r="X429" s="5">
        <f t="shared" si="89"/>
        <v>2.1425380303373581E-2</v>
      </c>
    </row>
    <row r="430" spans="8:24" x14ac:dyDescent="0.25">
      <c r="H430">
        <v>62.800000000000004</v>
      </c>
      <c r="I430">
        <v>3.6786664678324534</v>
      </c>
      <c r="J430" s="10">
        <f t="shared" si="79"/>
        <v>2.0999999999999999E-5</v>
      </c>
      <c r="K430" s="17">
        <f t="shared" si="80"/>
        <v>2.14E-4</v>
      </c>
      <c r="L430" s="10">
        <f t="shared" si="81"/>
        <v>1.1554E-2</v>
      </c>
      <c r="M430" s="11">
        <f t="shared" si="90"/>
        <v>3.7216453583022782</v>
      </c>
      <c r="N430" s="5">
        <f t="shared" si="82"/>
        <v>1.1683280027055234E-2</v>
      </c>
      <c r="O430">
        <f t="shared" si="83"/>
        <v>19855.335800000001</v>
      </c>
      <c r="P430">
        <f t="shared" ca="1" si="84"/>
        <v>19857</v>
      </c>
      <c r="Q430" t="str">
        <f t="shared" ca="1" si="85"/>
        <v>0100110110010001</v>
      </c>
      <c r="R430">
        <f t="shared" ca="1" si="86"/>
        <v>3.7231874999999999</v>
      </c>
      <c r="S430">
        <f t="shared" ca="1" si="87"/>
        <v>64.678250000000006</v>
      </c>
      <c r="T430" s="3">
        <f t="shared" ca="1" si="91"/>
        <v>2.990843949044588E-2</v>
      </c>
      <c r="W430">
        <f t="shared" si="88"/>
        <v>64.143997613989455</v>
      </c>
      <c r="X430" s="5">
        <f t="shared" si="89"/>
        <v>2.1401235891551768E-2</v>
      </c>
    </row>
    <row r="431" spans="8:24" x14ac:dyDescent="0.25">
      <c r="H431">
        <v>62.900000000000006</v>
      </c>
      <c r="I431">
        <v>3.6870670977112656</v>
      </c>
      <c r="J431" s="10">
        <f t="shared" si="79"/>
        <v>2.1999999999999999E-5</v>
      </c>
      <c r="K431" s="17">
        <f t="shared" si="80"/>
        <v>2.1499999999999999E-4</v>
      </c>
      <c r="L431" s="10">
        <f t="shared" si="81"/>
        <v>1.1585E-2</v>
      </c>
      <c r="M431" s="11">
        <f t="shared" si="90"/>
        <v>3.7302601616843791</v>
      </c>
      <c r="N431" s="5">
        <f t="shared" si="82"/>
        <v>1.1714748559885297E-2</v>
      </c>
      <c r="O431">
        <f t="shared" si="83"/>
        <v>19901.296600000001</v>
      </c>
      <c r="P431">
        <f t="shared" ca="1" si="84"/>
        <v>19902</v>
      </c>
      <c r="Q431" t="str">
        <f t="shared" ca="1" si="85"/>
        <v>0100110110111110</v>
      </c>
      <c r="R431">
        <f t="shared" ca="1" si="86"/>
        <v>3.7316250000000002</v>
      </c>
      <c r="S431">
        <f t="shared" ca="1" si="87"/>
        <v>64.779500000000013</v>
      </c>
      <c r="T431" s="3">
        <f t="shared" ca="1" si="91"/>
        <v>2.9880763116057345E-2</v>
      </c>
      <c r="W431">
        <f t="shared" si="88"/>
        <v>64.244805172535195</v>
      </c>
      <c r="X431" s="5">
        <f t="shared" si="89"/>
        <v>2.1380050437761346E-2</v>
      </c>
    </row>
    <row r="432" spans="8:24" x14ac:dyDescent="0.25">
      <c r="H432">
        <v>63</v>
      </c>
      <c r="I432">
        <v>3.6954827142964994</v>
      </c>
      <c r="J432" s="10">
        <f t="shared" si="79"/>
        <v>2.1999999999999999E-5</v>
      </c>
      <c r="K432" s="17">
        <f t="shared" si="80"/>
        <v>2.1499999999999999E-4</v>
      </c>
      <c r="L432" s="10">
        <f t="shared" si="81"/>
        <v>1.1615E-2</v>
      </c>
      <c r="M432" s="11">
        <f t="shared" si="90"/>
        <v>3.738887897222742</v>
      </c>
      <c r="N432" s="5">
        <f t="shared" si="82"/>
        <v>1.1745470424830673E-2</v>
      </c>
      <c r="O432">
        <f t="shared" si="83"/>
        <v>19947.326400000002</v>
      </c>
      <c r="P432">
        <f t="shared" ca="1" si="84"/>
        <v>19948</v>
      </c>
      <c r="Q432" t="str">
        <f t="shared" ca="1" si="85"/>
        <v>0100110111101100</v>
      </c>
      <c r="R432">
        <f t="shared" ca="1" si="86"/>
        <v>3.7402500000000001</v>
      </c>
      <c r="S432">
        <f t="shared" ca="1" si="87"/>
        <v>64.88300000000001</v>
      </c>
      <c r="T432" s="3">
        <f t="shared" ca="1" si="91"/>
        <v>2.9888888888889045E-2</v>
      </c>
      <c r="W432">
        <f t="shared" si="88"/>
        <v>64.345792571558007</v>
      </c>
      <c r="X432" s="5">
        <f t="shared" si="89"/>
        <v>2.1361786850127101E-2</v>
      </c>
    </row>
    <row r="433" spans="8:24" x14ac:dyDescent="0.25">
      <c r="H433">
        <v>63.1</v>
      </c>
      <c r="I433">
        <v>3.7049710694609104</v>
      </c>
      <c r="J433" s="10">
        <f t="shared" si="79"/>
        <v>2.3E-5</v>
      </c>
      <c r="K433" s="17">
        <f t="shared" si="80"/>
        <v>2.1599999999999999E-4</v>
      </c>
      <c r="L433" s="10">
        <f t="shared" si="81"/>
        <v>1.1646E-2</v>
      </c>
      <c r="M433" s="11">
        <f t="shared" si="90"/>
        <v>3.7486043153170931</v>
      </c>
      <c r="N433" s="5">
        <f t="shared" si="82"/>
        <v>1.1776946442535005E-2</v>
      </c>
      <c r="O433">
        <f t="shared" si="83"/>
        <v>19999.164400000001</v>
      </c>
      <c r="P433">
        <f t="shared" ca="1" si="84"/>
        <v>19997</v>
      </c>
      <c r="Q433" t="str">
        <f t="shared" ca="1" si="85"/>
        <v>0100111000011101</v>
      </c>
      <c r="R433">
        <f t="shared" ca="1" si="86"/>
        <v>3.7494375</v>
      </c>
      <c r="S433">
        <f t="shared" ca="1" si="87"/>
        <v>64.993250000000003</v>
      </c>
      <c r="T433" s="3">
        <f t="shared" ca="1" si="91"/>
        <v>3.0003961965134735E-2</v>
      </c>
      <c r="W433">
        <f t="shared" si="88"/>
        <v>64.459652833530939</v>
      </c>
      <c r="X433" s="5">
        <f t="shared" si="89"/>
        <v>2.1547588487019608E-2</v>
      </c>
    </row>
    <row r="434" spans="8:24" x14ac:dyDescent="0.25">
      <c r="H434">
        <v>63.2</v>
      </c>
      <c r="I434">
        <v>3.7139421091069575</v>
      </c>
      <c r="J434" s="10">
        <f t="shared" si="79"/>
        <v>2.3E-5</v>
      </c>
      <c r="K434" s="17">
        <f t="shared" si="80"/>
        <v>2.1599999999999999E-4</v>
      </c>
      <c r="L434" s="10">
        <f t="shared" si="81"/>
        <v>1.1676000000000001E-2</v>
      </c>
      <c r="M434" s="11">
        <f t="shared" si="90"/>
        <v>3.7577951249862975</v>
      </c>
      <c r="N434" s="5">
        <f t="shared" si="82"/>
        <v>1.1807673515375483E-2</v>
      </c>
      <c r="O434">
        <f t="shared" si="83"/>
        <v>20048.1983</v>
      </c>
      <c r="P434">
        <f t="shared" ca="1" si="84"/>
        <v>20046</v>
      </c>
      <c r="Q434" t="str">
        <f t="shared" ca="1" si="85"/>
        <v>0100111001001110</v>
      </c>
      <c r="R434">
        <f t="shared" ca="1" si="86"/>
        <v>3.7586249999999999</v>
      </c>
      <c r="S434">
        <f t="shared" ca="1" si="87"/>
        <v>65.103499999999997</v>
      </c>
      <c r="T434" s="3">
        <f t="shared" ca="1" si="91"/>
        <v>3.0118670886075852E-2</v>
      </c>
      <c r="W434">
        <f t="shared" si="88"/>
        <v>64.567305309283498</v>
      </c>
      <c r="X434" s="5">
        <f t="shared" si="89"/>
        <v>2.1634577678536309E-2</v>
      </c>
    </row>
    <row r="435" spans="8:24" x14ac:dyDescent="0.25">
      <c r="H435">
        <v>63.300000000000004</v>
      </c>
      <c r="I435">
        <v>3.7223988377337958</v>
      </c>
      <c r="J435" s="10">
        <f t="shared" si="79"/>
        <v>2.4000000000000001E-5</v>
      </c>
      <c r="K435" s="17">
        <f t="shared" si="80"/>
        <v>2.1699999999999999E-4</v>
      </c>
      <c r="L435" s="10">
        <f t="shared" si="81"/>
        <v>1.1707E-2</v>
      </c>
      <c r="M435" s="11">
        <f t="shared" si="90"/>
        <v>3.7664688890175242</v>
      </c>
      <c r="N435" s="5">
        <f t="shared" si="82"/>
        <v>1.1839153514930272E-2</v>
      </c>
      <c r="O435">
        <f t="shared" si="83"/>
        <v>20094.473699999999</v>
      </c>
      <c r="P435">
        <f t="shared" ca="1" si="84"/>
        <v>20098</v>
      </c>
      <c r="Q435" t="str">
        <f t="shared" ca="1" si="85"/>
        <v>0100111010000010</v>
      </c>
      <c r="R435">
        <f t="shared" ca="1" si="86"/>
        <v>3.7683750000000003</v>
      </c>
      <c r="S435">
        <f t="shared" ca="1" si="87"/>
        <v>65.220500000000001</v>
      </c>
      <c r="T435" s="3">
        <f t="shared" ca="1" si="91"/>
        <v>3.0339652448657137E-2</v>
      </c>
      <c r="W435">
        <f t="shared" si="88"/>
        <v>64.668786052805558</v>
      </c>
      <c r="X435" s="5">
        <f t="shared" si="89"/>
        <v>2.1623792303405272E-2</v>
      </c>
    </row>
    <row r="436" spans="8:24" x14ac:dyDescent="0.25">
      <c r="H436">
        <v>63.400000000000006</v>
      </c>
      <c r="I436">
        <v>3.7308700724633108</v>
      </c>
      <c r="J436" s="10">
        <f t="shared" si="79"/>
        <v>2.5000000000000001E-5</v>
      </c>
      <c r="K436" s="17">
        <f t="shared" si="80"/>
        <v>2.1699999999999999E-4</v>
      </c>
      <c r="L436" s="10">
        <f t="shared" si="81"/>
        <v>1.1736999999999999E-2</v>
      </c>
      <c r="M436" s="11">
        <f t="shared" si="90"/>
        <v>3.775154055614053</v>
      </c>
      <c r="N436" s="5">
        <f t="shared" si="82"/>
        <v>1.1869612795576041E-2</v>
      </c>
      <c r="O436">
        <f t="shared" si="83"/>
        <v>20140.8099</v>
      </c>
      <c r="P436">
        <f t="shared" ca="1" si="84"/>
        <v>20139</v>
      </c>
      <c r="Q436" t="str">
        <f t="shared" ca="1" si="85"/>
        <v>0100111010101011</v>
      </c>
      <c r="R436">
        <f t="shared" ca="1" si="86"/>
        <v>3.7760625000000001</v>
      </c>
      <c r="S436">
        <f t="shared" ca="1" si="87"/>
        <v>65.312750000000008</v>
      </c>
      <c r="T436" s="3">
        <f t="shared" ca="1" si="91"/>
        <v>3.0169558359621488E-2</v>
      </c>
      <c r="W436">
        <f t="shared" si="88"/>
        <v>64.770440869559735</v>
      </c>
      <c r="X436" s="5">
        <f t="shared" si="89"/>
        <v>2.1615786586115605E-2</v>
      </c>
    </row>
    <row r="437" spans="8:24" x14ac:dyDescent="0.25">
      <c r="H437">
        <v>63.5</v>
      </c>
      <c r="I437">
        <v>3.7393556943309885</v>
      </c>
      <c r="J437" s="10">
        <f t="shared" si="79"/>
        <v>2.5000000000000001E-5</v>
      </c>
      <c r="K437" s="17">
        <f t="shared" si="80"/>
        <v>2.1800000000000001E-4</v>
      </c>
      <c r="L437" s="10">
        <f t="shared" si="81"/>
        <v>1.1768000000000001E-2</v>
      </c>
      <c r="M437" s="11">
        <f t="shared" si="90"/>
        <v>3.7838591487939963</v>
      </c>
      <c r="N437" s="5">
        <f t="shared" si="82"/>
        <v>1.1901369674587752E-2</v>
      </c>
      <c r="O437">
        <f t="shared" si="83"/>
        <v>20187.252400000001</v>
      </c>
      <c r="P437">
        <f t="shared" ca="1" si="84"/>
        <v>20186</v>
      </c>
      <c r="Q437" t="str">
        <f t="shared" ca="1" si="85"/>
        <v>0100111011011010</v>
      </c>
      <c r="R437">
        <f t="shared" ca="1" si="86"/>
        <v>3.784875</v>
      </c>
      <c r="S437">
        <f t="shared" ca="1" si="87"/>
        <v>65.418500000000009</v>
      </c>
      <c r="T437" s="3">
        <f t="shared" ca="1" si="91"/>
        <v>3.0212598425196989E-2</v>
      </c>
      <c r="W437">
        <f t="shared" si="88"/>
        <v>64.872268331971867</v>
      </c>
      <c r="X437" s="5">
        <f t="shared" si="89"/>
        <v>2.1610524912942786E-2</v>
      </c>
    </row>
    <row r="438" spans="8:24" x14ac:dyDescent="0.25">
      <c r="H438">
        <v>63.6</v>
      </c>
      <c r="I438">
        <v>3.74785558223041</v>
      </c>
      <c r="J438" s="10">
        <f t="shared" si="79"/>
        <v>2.5999999999999998E-5</v>
      </c>
      <c r="K438" s="17">
        <f t="shared" si="80"/>
        <v>2.1800000000000001E-4</v>
      </c>
      <c r="L438" s="10">
        <f t="shared" si="81"/>
        <v>1.1797999999999999E-2</v>
      </c>
      <c r="M438" s="11">
        <f t="shared" si="90"/>
        <v>3.7925743747031575</v>
      </c>
      <c r="N438" s="5">
        <f t="shared" si="82"/>
        <v>1.1931834482836336E-2</v>
      </c>
      <c r="O438">
        <f t="shared" si="83"/>
        <v>20233.748899999999</v>
      </c>
      <c r="P438">
        <f t="shared" ca="1" si="84"/>
        <v>20235</v>
      </c>
      <c r="Q438" t="str">
        <f t="shared" ca="1" si="85"/>
        <v>0100111100001011</v>
      </c>
      <c r="R438">
        <f t="shared" ca="1" si="86"/>
        <v>3.7940624999999999</v>
      </c>
      <c r="S438">
        <f t="shared" ca="1" si="87"/>
        <v>65.528750000000002</v>
      </c>
      <c r="T438" s="3">
        <f t="shared" ca="1" si="91"/>
        <v>3.0326257861635234E-2</v>
      </c>
      <c r="W438">
        <f t="shared" si="88"/>
        <v>64.974266986764931</v>
      </c>
      <c r="X438" s="5">
        <f t="shared" si="89"/>
        <v>2.1607971490014619E-2</v>
      </c>
    </row>
    <row r="439" spans="8:24" x14ac:dyDescent="0.25">
      <c r="H439">
        <v>63.7</v>
      </c>
      <c r="I439">
        <v>3.7574150257448808</v>
      </c>
      <c r="J439" s="10">
        <f t="shared" si="79"/>
        <v>2.5999999999999998E-5</v>
      </c>
      <c r="K439" s="17">
        <f t="shared" si="80"/>
        <v>2.1900000000000001E-4</v>
      </c>
      <c r="L439" s="10">
        <f t="shared" si="81"/>
        <v>1.1828999999999999E-2</v>
      </c>
      <c r="M439" s="11">
        <f t="shared" si="90"/>
        <v>3.8023672276811205</v>
      </c>
      <c r="N439" s="5">
        <f t="shared" si="82"/>
        <v>1.1963597746918617E-2</v>
      </c>
      <c r="O439">
        <f t="shared" si="83"/>
        <v>20285.994699999999</v>
      </c>
      <c r="P439">
        <f t="shared" ca="1" si="84"/>
        <v>20287</v>
      </c>
      <c r="Q439" t="str">
        <f t="shared" ca="1" si="85"/>
        <v>0100111100111111</v>
      </c>
      <c r="R439">
        <f t="shared" ca="1" si="86"/>
        <v>3.8038125000000003</v>
      </c>
      <c r="S439">
        <f t="shared" ca="1" si="87"/>
        <v>65.645750000000007</v>
      </c>
      <c r="T439" s="3">
        <f t="shared" ca="1" si="91"/>
        <v>3.0545525902668819E-2</v>
      </c>
      <c r="W439">
        <f t="shared" si="88"/>
        <v>65.088980308938574</v>
      </c>
      <c r="X439" s="5">
        <f t="shared" si="89"/>
        <v>2.1805028397779761E-2</v>
      </c>
    </row>
    <row r="440" spans="8:24" x14ac:dyDescent="0.25">
      <c r="H440">
        <v>63.800000000000004</v>
      </c>
      <c r="I440">
        <v>3.7659410156969133</v>
      </c>
      <c r="J440" s="10">
        <f t="shared" si="79"/>
        <v>2.6999999999999999E-5</v>
      </c>
      <c r="K440" s="17">
        <f t="shared" si="80"/>
        <v>2.1900000000000001E-4</v>
      </c>
      <c r="L440" s="10">
        <f t="shared" si="81"/>
        <v>1.1859E-2</v>
      </c>
      <c r="M440" s="11">
        <f t="shared" si="90"/>
        <v>3.8111099688171151</v>
      </c>
      <c r="N440" s="5">
        <f t="shared" si="82"/>
        <v>1.1994068131160818E-2</v>
      </c>
      <c r="O440">
        <f t="shared" si="83"/>
        <v>20332.6381</v>
      </c>
      <c r="P440">
        <f t="shared" ca="1" si="84"/>
        <v>20333</v>
      </c>
      <c r="Q440" t="str">
        <f t="shared" ca="1" si="85"/>
        <v>0100111101101101</v>
      </c>
      <c r="R440">
        <f t="shared" ca="1" si="86"/>
        <v>3.8124375000000001</v>
      </c>
      <c r="S440">
        <f t="shared" ca="1" si="87"/>
        <v>65.749250000000004</v>
      </c>
      <c r="T440" s="3">
        <f t="shared" ca="1" si="91"/>
        <v>3.0552507836990581E-2</v>
      </c>
      <c r="W440">
        <f t="shared" si="88"/>
        <v>65.191292188362965</v>
      </c>
      <c r="X440" s="5">
        <f t="shared" si="89"/>
        <v>2.1807087591895934E-2</v>
      </c>
    </row>
    <row r="441" spans="8:24" x14ac:dyDescent="0.25">
      <c r="H441">
        <v>63.900000000000006</v>
      </c>
      <c r="I441">
        <v>3.7744809144997808</v>
      </c>
      <c r="J441" s="10">
        <f t="shared" si="79"/>
        <v>2.6999999999999999E-5</v>
      </c>
      <c r="K441" s="17">
        <f t="shared" si="80"/>
        <v>2.2000000000000001E-4</v>
      </c>
      <c r="L441" s="10">
        <f t="shared" si="81"/>
        <v>1.189E-2</v>
      </c>
      <c r="M441" s="11">
        <f t="shared" si="90"/>
        <v>3.8198721948971071</v>
      </c>
      <c r="N441" s="5">
        <f t="shared" si="82"/>
        <v>1.2025833863129165E-2</v>
      </c>
      <c r="O441">
        <f t="shared" si="83"/>
        <v>20379.385399999999</v>
      </c>
      <c r="P441">
        <f t="shared" ca="1" si="84"/>
        <v>20379</v>
      </c>
      <c r="Q441" t="str">
        <f t="shared" ca="1" si="85"/>
        <v>0100111110011011</v>
      </c>
      <c r="R441">
        <f t="shared" ca="1" si="86"/>
        <v>3.8210625</v>
      </c>
      <c r="S441">
        <f t="shared" ca="1" si="87"/>
        <v>65.852750000000015</v>
      </c>
      <c r="T441" s="3">
        <f t="shared" ca="1" si="91"/>
        <v>3.0559467918622983E-2</v>
      </c>
      <c r="W441">
        <f t="shared" si="88"/>
        <v>65.293770973997368</v>
      </c>
      <c r="X441" s="5">
        <f t="shared" si="89"/>
        <v>2.1811752331727115E-2</v>
      </c>
    </row>
    <row r="442" spans="8:24" x14ac:dyDescent="0.25">
      <c r="H442">
        <v>64</v>
      </c>
      <c r="I442">
        <v>3.7830346034214015</v>
      </c>
      <c r="J442" s="10">
        <f t="shared" si="79"/>
        <v>2.8E-5</v>
      </c>
      <c r="K442" s="17">
        <f t="shared" si="80"/>
        <v>2.2000000000000001E-4</v>
      </c>
      <c r="L442" s="10">
        <f t="shared" si="81"/>
        <v>1.192E-2</v>
      </c>
      <c r="M442" s="11">
        <f t="shared" si="90"/>
        <v>3.8286440403827644</v>
      </c>
      <c r="N442" s="5">
        <f t="shared" si="82"/>
        <v>1.2056309746707948E-2</v>
      </c>
      <c r="O442">
        <f t="shared" si="83"/>
        <v>20426.184099999999</v>
      </c>
      <c r="P442">
        <f t="shared" ca="1" si="84"/>
        <v>20424</v>
      </c>
      <c r="Q442" t="str">
        <f t="shared" ca="1" si="85"/>
        <v>0100111111001000</v>
      </c>
      <c r="R442">
        <f t="shared" ca="1" si="86"/>
        <v>3.8294999999999999</v>
      </c>
      <c r="S442">
        <f t="shared" ca="1" si="87"/>
        <v>65.954000000000008</v>
      </c>
      <c r="T442" s="3">
        <f t="shared" ca="1" si="91"/>
        <v>3.0531250000000121E-2</v>
      </c>
      <c r="W442">
        <f t="shared" si="88"/>
        <v>65.396415241056829</v>
      </c>
      <c r="X442" s="5">
        <f t="shared" si="89"/>
        <v>2.1818988141512952E-2</v>
      </c>
    </row>
    <row r="443" spans="8:24" x14ac:dyDescent="0.25">
      <c r="H443">
        <v>64.099999999999994</v>
      </c>
      <c r="I443">
        <v>3.7916019626872526</v>
      </c>
      <c r="J443" s="10">
        <f t="shared" si="79"/>
        <v>2.9E-5</v>
      </c>
      <c r="K443" s="17">
        <f t="shared" si="80"/>
        <v>2.2100000000000001E-4</v>
      </c>
      <c r="L443" s="10">
        <f t="shared" si="81"/>
        <v>1.1951E-2</v>
      </c>
      <c r="M443" s="11">
        <f t="shared" si="90"/>
        <v>3.8374341380713433</v>
      </c>
      <c r="N443" s="5">
        <f t="shared" si="82"/>
        <v>1.208781297064412E-2</v>
      </c>
      <c r="O443">
        <f t="shared" si="83"/>
        <v>20473.080099999999</v>
      </c>
      <c r="P443">
        <f t="shared" ca="1" si="84"/>
        <v>20476</v>
      </c>
      <c r="Q443" t="str">
        <f t="shared" ca="1" si="85"/>
        <v>0100111111111100</v>
      </c>
      <c r="R443">
        <f t="shared" ca="1" si="86"/>
        <v>3.8392500000000003</v>
      </c>
      <c r="S443">
        <f t="shared" ca="1" si="87"/>
        <v>66.071000000000012</v>
      </c>
      <c r="T443" s="3">
        <f t="shared" ca="1" si="91"/>
        <v>3.0748829953198407E-2</v>
      </c>
      <c r="W443">
        <f t="shared" si="88"/>
        <v>65.499223552247045</v>
      </c>
      <c r="X443" s="5">
        <f t="shared" si="89"/>
        <v>2.1828760565476616E-2</v>
      </c>
    </row>
    <row r="444" spans="8:24" x14ac:dyDescent="0.25">
      <c r="H444">
        <v>64.2</v>
      </c>
      <c r="I444">
        <v>3.8001828732757645</v>
      </c>
      <c r="J444" s="10">
        <f t="shared" si="79"/>
        <v>2.9E-5</v>
      </c>
      <c r="K444" s="17">
        <f t="shared" si="80"/>
        <v>2.2100000000000001E-4</v>
      </c>
      <c r="L444" s="10">
        <f t="shared" si="81"/>
        <v>1.1981E-2</v>
      </c>
      <c r="M444" s="11">
        <f t="shared" si="90"/>
        <v>3.8462356222661351</v>
      </c>
      <c r="N444" s="5">
        <f t="shared" si="82"/>
        <v>1.2118561270887746E-2</v>
      </c>
      <c r="O444">
        <f t="shared" si="83"/>
        <v>20520.036899999999</v>
      </c>
      <c r="P444">
        <f t="shared" ca="1" si="84"/>
        <v>20519</v>
      </c>
      <c r="Q444" t="str">
        <f t="shared" ca="1" si="85"/>
        <v>0101000000100111</v>
      </c>
      <c r="R444">
        <f t="shared" ca="1" si="86"/>
        <v>3.8473125000000001</v>
      </c>
      <c r="S444">
        <f t="shared" ca="1" si="87"/>
        <v>66.167750000000012</v>
      </c>
      <c r="T444" s="3">
        <f t="shared" ca="1" si="91"/>
        <v>3.0650311526479897E-2</v>
      </c>
      <c r="W444">
        <f t="shared" si="88"/>
        <v>65.602194479309176</v>
      </c>
      <c r="X444" s="5">
        <f t="shared" si="89"/>
        <v>2.1841035503258152E-2</v>
      </c>
    </row>
    <row r="445" spans="8:24" x14ac:dyDescent="0.25">
      <c r="H445">
        <v>64.300000000000011</v>
      </c>
      <c r="I445">
        <v>3.8087772164551437</v>
      </c>
      <c r="J445" s="10">
        <f t="shared" si="79"/>
        <v>3.0000000000000001E-5</v>
      </c>
      <c r="K445" s="17">
        <f t="shared" si="80"/>
        <v>2.22E-4</v>
      </c>
      <c r="L445" s="10">
        <f t="shared" si="81"/>
        <v>1.2012E-2</v>
      </c>
      <c r="M445" s="11">
        <f t="shared" si="90"/>
        <v>3.8550541266241529</v>
      </c>
      <c r="N445" s="5">
        <f t="shared" si="82"/>
        <v>1.2150070098371232E-2</v>
      </c>
      <c r="O445">
        <f t="shared" si="83"/>
        <v>20567.0844</v>
      </c>
      <c r="P445">
        <f t="shared" ca="1" si="84"/>
        <v>20568</v>
      </c>
      <c r="Q445" t="str">
        <f t="shared" ca="1" si="85"/>
        <v>0101000001011000</v>
      </c>
      <c r="R445">
        <f t="shared" ca="1" si="86"/>
        <v>3.8565</v>
      </c>
      <c r="S445">
        <f t="shared" ca="1" si="87"/>
        <v>66.278000000000006</v>
      </c>
      <c r="T445" s="3">
        <f t="shared" ca="1" si="91"/>
        <v>3.0762052877138322E-2</v>
      </c>
      <c r="W445">
        <f t="shared" si="88"/>
        <v>65.705326597461735</v>
      </c>
      <c r="X445" s="5">
        <f t="shared" si="89"/>
        <v>2.1855779120711089E-2</v>
      </c>
    </row>
    <row r="446" spans="8:24" x14ac:dyDescent="0.25">
      <c r="H446">
        <v>64.400000000000006</v>
      </c>
      <c r="I446">
        <v>3.8173848731451807</v>
      </c>
      <c r="J446" s="10">
        <f t="shared" si="79"/>
        <v>3.0000000000000001E-5</v>
      </c>
      <c r="K446" s="17">
        <f t="shared" si="80"/>
        <v>2.22E-4</v>
      </c>
      <c r="L446" s="10">
        <f t="shared" si="81"/>
        <v>1.2042000000000001E-2</v>
      </c>
      <c r="M446" s="11">
        <f t="shared" si="90"/>
        <v>3.8638837613999586</v>
      </c>
      <c r="N446" s="5">
        <f t="shared" si="82"/>
        <v>1.2180822683584166E-2</v>
      </c>
      <c r="O446">
        <f t="shared" si="83"/>
        <v>20614.1914</v>
      </c>
      <c r="P446">
        <f t="shared" ca="1" si="84"/>
        <v>20618</v>
      </c>
      <c r="Q446" t="str">
        <f t="shared" ca="1" si="85"/>
        <v>0101000010001010</v>
      </c>
      <c r="R446">
        <f t="shared" ca="1" si="86"/>
        <v>3.865875</v>
      </c>
      <c r="S446">
        <f t="shared" ca="1" si="87"/>
        <v>66.390500000000003</v>
      </c>
      <c r="T446" s="3">
        <f t="shared" ca="1" si="91"/>
        <v>3.0908385093167658E-2</v>
      </c>
      <c r="W446">
        <f t="shared" si="88"/>
        <v>65.808618477742172</v>
      </c>
      <c r="X446" s="5">
        <f t="shared" si="89"/>
        <v>2.1872957728915624E-2</v>
      </c>
    </row>
    <row r="447" spans="8:24" x14ac:dyDescent="0.25">
      <c r="H447">
        <v>64.5</v>
      </c>
      <c r="I447">
        <v>3.8265201765480863</v>
      </c>
      <c r="J447" s="10">
        <f t="shared" si="79"/>
        <v>3.1000000000000001E-5</v>
      </c>
      <c r="K447" s="17">
        <f t="shared" si="80"/>
        <v>2.23E-4</v>
      </c>
      <c r="L447" s="10">
        <f t="shared" si="81"/>
        <v>1.2073E-2</v>
      </c>
      <c r="M447" s="11">
        <f t="shared" si="90"/>
        <v>3.8732509350873965</v>
      </c>
      <c r="N447" s="5">
        <f t="shared" si="82"/>
        <v>1.2212338203706045E-2</v>
      </c>
      <c r="O447">
        <f t="shared" si="83"/>
        <v>20664.166099999999</v>
      </c>
      <c r="P447">
        <f t="shared" ca="1" si="84"/>
        <v>20663</v>
      </c>
      <c r="Q447" t="str">
        <f t="shared" ca="1" si="85"/>
        <v>0101000010110111</v>
      </c>
      <c r="R447">
        <f t="shared" ca="1" si="86"/>
        <v>3.8743125000000003</v>
      </c>
      <c r="S447">
        <f t="shared" ca="1" si="87"/>
        <v>66.49175000000001</v>
      </c>
      <c r="T447" s="3">
        <f t="shared" ca="1" si="91"/>
        <v>3.0879844961240469E-2</v>
      </c>
      <c r="W447">
        <f t="shared" si="88"/>
        <v>65.918242118577041</v>
      </c>
      <c r="X447" s="5">
        <f t="shared" si="89"/>
        <v>2.1988249900419237E-2</v>
      </c>
    </row>
    <row r="448" spans="8:24" x14ac:dyDescent="0.25">
      <c r="H448">
        <v>64.599999999999994</v>
      </c>
      <c r="I448">
        <v>3.8356665044811535</v>
      </c>
      <c r="J448" s="10">
        <f t="shared" si="79"/>
        <v>3.1000000000000001E-5</v>
      </c>
      <c r="K448" s="17">
        <f t="shared" si="80"/>
        <v>2.23E-4</v>
      </c>
      <c r="L448" s="10">
        <f t="shared" si="81"/>
        <v>1.2102999999999999E-2</v>
      </c>
      <c r="M448" s="11">
        <f t="shared" si="90"/>
        <v>3.8826269383155871</v>
      </c>
      <c r="N448" s="5">
        <f t="shared" si="82"/>
        <v>1.2243096155406214E-2</v>
      </c>
      <c r="O448">
        <f t="shared" si="83"/>
        <v>20714.187999999998</v>
      </c>
      <c r="P448">
        <f t="shared" ca="1" si="84"/>
        <v>20716</v>
      </c>
      <c r="Q448" t="str">
        <f t="shared" ca="1" si="85"/>
        <v>0101000011101100</v>
      </c>
      <c r="R448">
        <f t="shared" ca="1" si="86"/>
        <v>3.8842500000000002</v>
      </c>
      <c r="S448">
        <f t="shared" ca="1" si="87"/>
        <v>66.611000000000004</v>
      </c>
      <c r="T448" s="3">
        <f t="shared" ca="1" si="91"/>
        <v>3.1130030959752478E-2</v>
      </c>
      <c r="W448">
        <f t="shared" si="88"/>
        <v>66.027998053773857</v>
      </c>
      <c r="X448" s="5">
        <f t="shared" si="89"/>
        <v>2.2105233030555147E-2</v>
      </c>
    </row>
    <row r="449" spans="8:24" x14ac:dyDescent="0.25">
      <c r="H449">
        <v>64.7</v>
      </c>
      <c r="I449">
        <v>3.8443113402867524</v>
      </c>
      <c r="J449" s="10">
        <f t="shared" si="79"/>
        <v>3.1999999999999999E-5</v>
      </c>
      <c r="K449" s="17">
        <f t="shared" si="80"/>
        <v>2.24E-4</v>
      </c>
      <c r="L449" s="10">
        <f t="shared" si="81"/>
        <v>1.2134000000000001E-2</v>
      </c>
      <c r="M449" s="11">
        <f t="shared" si="90"/>
        <v>3.8914987865629067</v>
      </c>
      <c r="N449" s="5">
        <f t="shared" si="82"/>
        <v>1.2274616205417579E-2</v>
      </c>
      <c r="O449">
        <f t="shared" si="83"/>
        <v>20761.520199999999</v>
      </c>
      <c r="P449">
        <f t="shared" ca="1" si="84"/>
        <v>20763</v>
      </c>
      <c r="Q449" t="str">
        <f t="shared" ca="1" si="85"/>
        <v>0101000100011011</v>
      </c>
      <c r="R449">
        <f t="shared" ca="1" si="86"/>
        <v>3.8930625000000001</v>
      </c>
      <c r="S449">
        <f t="shared" ca="1" si="87"/>
        <v>66.716750000000005</v>
      </c>
      <c r="T449" s="3">
        <f t="shared" ca="1" si="91"/>
        <v>3.1170788253477615E-2</v>
      </c>
      <c r="W449">
        <f t="shared" si="88"/>
        <v>66.131736083441027</v>
      </c>
      <c r="X449" s="5">
        <f t="shared" si="89"/>
        <v>2.2128842093369763E-2</v>
      </c>
    </row>
    <row r="450" spans="8:24" x14ac:dyDescent="0.25">
      <c r="H450">
        <v>64.800000000000011</v>
      </c>
      <c r="I450">
        <v>3.8519462698743676</v>
      </c>
      <c r="J450" s="10">
        <f t="shared" si="79"/>
        <v>3.3000000000000003E-5</v>
      </c>
      <c r="K450" s="17">
        <f t="shared" si="80"/>
        <v>2.24E-4</v>
      </c>
      <c r="L450" s="10">
        <f t="shared" si="81"/>
        <v>1.2163999999999999E-2</v>
      </c>
      <c r="M450" s="11">
        <f t="shared" si="90"/>
        <v>3.8993449012532113</v>
      </c>
      <c r="N450" s="5">
        <f t="shared" si="82"/>
        <v>1.2305112288180911E-2</v>
      </c>
      <c r="O450">
        <f t="shared" si="83"/>
        <v>20803.38</v>
      </c>
      <c r="P450">
        <f t="shared" ca="1" si="84"/>
        <v>20805</v>
      </c>
      <c r="Q450" t="str">
        <f t="shared" ca="1" si="85"/>
        <v>0101000101000101</v>
      </c>
      <c r="R450">
        <f t="shared" ca="1" si="86"/>
        <v>3.9009374999999999</v>
      </c>
      <c r="S450">
        <f t="shared" ca="1" si="87"/>
        <v>66.811250000000001</v>
      </c>
      <c r="T450" s="3">
        <f t="shared" ca="1" si="91"/>
        <v>3.1037808641975147E-2</v>
      </c>
      <c r="W450">
        <f t="shared" si="88"/>
        <v>66.223355238492417</v>
      </c>
      <c r="X450" s="5">
        <f t="shared" si="89"/>
        <v>2.1965358618709956E-2</v>
      </c>
    </row>
    <row r="451" spans="8:24" x14ac:dyDescent="0.25">
      <c r="H451">
        <v>64.900000000000006</v>
      </c>
      <c r="I451">
        <v>3.8606187213053875</v>
      </c>
      <c r="J451" s="10">
        <f t="shared" ref="J451:J514" si="92">ROUND(H451*0.00000575 -0.00034,6)</f>
        <v>3.3000000000000003E-5</v>
      </c>
      <c r="K451" s="17">
        <f t="shared" ref="K451:K514" si="93">ROUND(H451*0.000005-0.0001,6)</f>
        <v>2.2499999999999999E-4</v>
      </c>
      <c r="L451" s="10">
        <f t="shared" ref="L451:L514" si="94">ROUND(K451+($C$24*(H451-25)),6)</f>
        <v>1.2194999999999999E-2</v>
      </c>
      <c r="M451" s="11">
        <f t="shared" si="90"/>
        <v>3.9082467909206646</v>
      </c>
      <c r="N451" s="5">
        <f t="shared" ref="N451:N514" si="95">ABS(I451-M451)/I451</f>
        <v>1.2336900650777725E-2</v>
      </c>
      <c r="O451">
        <f t="shared" ref="O451:O514" si="96">ROUND((M451*(2^($C$12-1)))/$C$44,4)</f>
        <v>20850.8724</v>
      </c>
      <c r="P451">
        <f t="shared" ref="P451:P514" ca="1" si="97">ROUND(O451+$C$47+$C$49+RANDBETWEEN($B$45,$D$45),0)</f>
        <v>20849</v>
      </c>
      <c r="Q451" t="str">
        <f t="shared" ref="Q451:Q514" ca="1" si="98">_xlfn.BASE(P451,2,16)</f>
        <v>0101000101110001</v>
      </c>
      <c r="R451">
        <f t="shared" ref="R451:R514" ca="1" si="99">($C$16/2^($C$12-1)) * P451</f>
        <v>3.9091875000000003</v>
      </c>
      <c r="S451">
        <f t="shared" ref="S451:S514" ca="1" si="100">(R451+5/3)/(1/12)</f>
        <v>66.910250000000005</v>
      </c>
      <c r="T451" s="3">
        <f t="shared" ca="1" si="91"/>
        <v>3.0974576271186424E-2</v>
      </c>
      <c r="W451">
        <f t="shared" ref="W451:W514" si="101">(I451+5/3)/(1/12)</f>
        <v>66.327424655664657</v>
      </c>
      <c r="X451" s="5">
        <f t="shared" ref="X451:X514" si="102">ABS(H451-W451)/H451</f>
        <v>2.1994216574185696E-2</v>
      </c>
    </row>
    <row r="452" spans="8:24" x14ac:dyDescent="0.25">
      <c r="H452">
        <v>65</v>
      </c>
      <c r="I452">
        <v>3.8693037780257513</v>
      </c>
      <c r="J452" s="10">
        <f t="shared" si="92"/>
        <v>3.4E-5</v>
      </c>
      <c r="K452" s="17">
        <f t="shared" si="93"/>
        <v>2.2499999999999999E-4</v>
      </c>
      <c r="L452" s="10">
        <f t="shared" si="94"/>
        <v>1.2225E-2</v>
      </c>
      <c r="M452" s="11">
        <f t="shared" ref="M452:M515" si="103">(I452-J452)/(1-L452)</f>
        <v>3.9171570226273711</v>
      </c>
      <c r="N452" s="5">
        <f t="shared" si="95"/>
        <v>1.2367404408354855E-2</v>
      </c>
      <c r="O452">
        <f t="shared" si="96"/>
        <v>20898.409299999999</v>
      </c>
      <c r="P452">
        <f t="shared" ca="1" si="97"/>
        <v>20899</v>
      </c>
      <c r="Q452" t="str">
        <f t="shared" ca="1" si="98"/>
        <v>0101000110100011</v>
      </c>
      <c r="R452">
        <f t="shared" ca="1" si="99"/>
        <v>3.9185625000000002</v>
      </c>
      <c r="S452">
        <f t="shared" ca="1" si="100"/>
        <v>67.022750000000016</v>
      </c>
      <c r="T452" s="3">
        <f t="shared" ref="T452:T515" ca="1" si="104">ABS(H452-S452)/H452</f>
        <v>3.111923076923102E-2</v>
      </c>
      <c r="W452">
        <f t="shared" si="101"/>
        <v>66.431645336309018</v>
      </c>
      <c r="X452" s="5">
        <f t="shared" si="102"/>
        <v>2.2025312866292578E-2</v>
      </c>
    </row>
    <row r="453" spans="8:24" x14ac:dyDescent="0.25">
      <c r="H453">
        <v>65.099999999999994</v>
      </c>
      <c r="I453">
        <v>3.8780013227506438</v>
      </c>
      <c r="J453" s="10">
        <f t="shared" si="92"/>
        <v>3.4E-5</v>
      </c>
      <c r="K453" s="17">
        <f t="shared" si="93"/>
        <v>2.2599999999999999E-4</v>
      </c>
      <c r="L453" s="10">
        <f t="shared" si="94"/>
        <v>1.2256E-2</v>
      </c>
      <c r="M453" s="11">
        <f t="shared" si="103"/>
        <v>3.9260854257283708</v>
      </c>
      <c r="N453" s="5">
        <f t="shared" si="95"/>
        <v>1.2399197157473183E-2</v>
      </c>
      <c r="O453">
        <f t="shared" si="96"/>
        <v>20946.0432</v>
      </c>
      <c r="P453">
        <f t="shared" ca="1" si="97"/>
        <v>20944</v>
      </c>
      <c r="Q453" t="str">
        <f t="shared" ca="1" si="98"/>
        <v>0101000111010000</v>
      </c>
      <c r="R453">
        <f t="shared" ca="1" si="99"/>
        <v>3.927</v>
      </c>
      <c r="S453">
        <f t="shared" ca="1" si="100"/>
        <v>67.124000000000009</v>
      </c>
      <c r="T453" s="3">
        <f t="shared" ca="1" si="104"/>
        <v>3.1090629800307454E-2</v>
      </c>
      <c r="W453">
        <f t="shared" si="101"/>
        <v>66.536015873007727</v>
      </c>
      <c r="X453" s="5">
        <f t="shared" si="102"/>
        <v>2.2058615560794671E-2</v>
      </c>
    </row>
    <row r="454" spans="8:24" x14ac:dyDescent="0.25">
      <c r="H454">
        <v>65.2</v>
      </c>
      <c r="I454">
        <v>3.8872185246794668</v>
      </c>
      <c r="J454" s="10">
        <f t="shared" si="92"/>
        <v>3.4999999999999997E-5</v>
      </c>
      <c r="K454" s="17">
        <f t="shared" si="93"/>
        <v>2.2599999999999999E-4</v>
      </c>
      <c r="L454" s="10">
        <f t="shared" si="94"/>
        <v>1.2286E-2</v>
      </c>
      <c r="M454" s="11">
        <f t="shared" si="103"/>
        <v>3.9355355140045267</v>
      </c>
      <c r="N454" s="5">
        <f t="shared" si="95"/>
        <v>1.2429707519220066E-2</v>
      </c>
      <c r="O454">
        <f t="shared" si="96"/>
        <v>20996.4604</v>
      </c>
      <c r="P454">
        <f t="shared" ca="1" si="97"/>
        <v>20995</v>
      </c>
      <c r="Q454" t="str">
        <f t="shared" ca="1" si="98"/>
        <v>0101001000000011</v>
      </c>
      <c r="R454">
        <f t="shared" ca="1" si="99"/>
        <v>3.9365625</v>
      </c>
      <c r="S454">
        <f t="shared" ca="1" si="100"/>
        <v>67.23875000000001</v>
      </c>
      <c r="T454" s="3">
        <f t="shared" ca="1" si="104"/>
        <v>3.1269171779141215E-2</v>
      </c>
      <c r="W454">
        <f t="shared" si="101"/>
        <v>66.646622296153609</v>
      </c>
      <c r="X454" s="5">
        <f t="shared" si="102"/>
        <v>2.2187458529963285E-2</v>
      </c>
    </row>
    <row r="455" spans="8:24" x14ac:dyDescent="0.25">
      <c r="H455">
        <v>65.300000000000011</v>
      </c>
      <c r="I455">
        <v>3.8959396752460806</v>
      </c>
      <c r="J455" s="10">
        <f t="shared" si="92"/>
        <v>3.4999999999999997E-5</v>
      </c>
      <c r="K455" s="17">
        <f t="shared" si="93"/>
        <v>2.2699999999999999E-4</v>
      </c>
      <c r="L455" s="10">
        <f t="shared" si="94"/>
        <v>1.2317E-2</v>
      </c>
      <c r="M455" s="11">
        <f t="shared" si="103"/>
        <v>3.9444889455888994</v>
      </c>
      <c r="N455" s="5">
        <f t="shared" si="95"/>
        <v>1.2461504640662131E-2</v>
      </c>
      <c r="O455">
        <f t="shared" si="96"/>
        <v>21044.227800000001</v>
      </c>
      <c r="P455">
        <f t="shared" ca="1" si="97"/>
        <v>21043</v>
      </c>
      <c r="Q455" t="str">
        <f t="shared" ca="1" si="98"/>
        <v>0101001000110011</v>
      </c>
      <c r="R455">
        <f t="shared" ca="1" si="99"/>
        <v>3.9455624999999999</v>
      </c>
      <c r="S455">
        <f t="shared" ca="1" si="100"/>
        <v>67.34675</v>
      </c>
      <c r="T455" s="3">
        <f t="shared" ca="1" si="104"/>
        <v>3.1343797856048829E-2</v>
      </c>
      <c r="W455">
        <f t="shared" si="101"/>
        <v>66.751276102952971</v>
      </c>
      <c r="X455" s="5">
        <f t="shared" si="102"/>
        <v>2.222474889667626E-2</v>
      </c>
    </row>
    <row r="456" spans="8:24" x14ac:dyDescent="0.25">
      <c r="H456">
        <v>65.400000000000006</v>
      </c>
      <c r="I456">
        <v>3.9036624668361948</v>
      </c>
      <c r="J456" s="10">
        <f t="shared" si="92"/>
        <v>3.6000000000000001E-5</v>
      </c>
      <c r="K456" s="17">
        <f t="shared" si="93"/>
        <v>2.2699999999999999E-4</v>
      </c>
      <c r="L456" s="10">
        <f t="shared" si="94"/>
        <v>1.2347E-2</v>
      </c>
      <c r="M456" s="11">
        <f t="shared" si="103"/>
        <v>3.9524270840428719</v>
      </c>
      <c r="N456" s="5">
        <f t="shared" si="95"/>
        <v>1.2492016822909241E-2</v>
      </c>
      <c r="O456">
        <f t="shared" si="96"/>
        <v>21086.5785</v>
      </c>
      <c r="P456">
        <f t="shared" ca="1" si="97"/>
        <v>21084</v>
      </c>
      <c r="Q456" t="str">
        <f t="shared" ca="1" si="98"/>
        <v>0101001001011100</v>
      </c>
      <c r="R456">
        <f t="shared" ca="1" si="99"/>
        <v>3.9532500000000002</v>
      </c>
      <c r="S456">
        <f t="shared" ca="1" si="100"/>
        <v>67.439000000000007</v>
      </c>
      <c r="T456" s="3">
        <f t="shared" ca="1" si="104"/>
        <v>3.1177370030581061E-2</v>
      </c>
      <c r="W456">
        <f t="shared" si="101"/>
        <v>66.843949602034343</v>
      </c>
      <c r="X456" s="5">
        <f t="shared" si="102"/>
        <v>2.2078740092268147E-2</v>
      </c>
    </row>
    <row r="457" spans="8:24" x14ac:dyDescent="0.25">
      <c r="H457">
        <v>65.5</v>
      </c>
      <c r="I457">
        <v>3.9124098112556807</v>
      </c>
      <c r="J457" s="10">
        <f t="shared" si="92"/>
        <v>3.6999999999999998E-5</v>
      </c>
      <c r="K457" s="17">
        <f t="shared" si="93"/>
        <v>2.2800000000000001E-4</v>
      </c>
      <c r="L457" s="10">
        <f t="shared" si="94"/>
        <v>1.2378E-2</v>
      </c>
      <c r="M457" s="11">
        <f t="shared" si="103"/>
        <v>3.9614071084440008</v>
      </c>
      <c r="N457" s="5">
        <f t="shared" si="95"/>
        <v>1.2523559532889153E-2</v>
      </c>
      <c r="O457">
        <f t="shared" si="96"/>
        <v>21134.487799999999</v>
      </c>
      <c r="P457">
        <f t="shared" ca="1" si="97"/>
        <v>21134</v>
      </c>
      <c r="Q457" t="str">
        <f t="shared" ca="1" si="98"/>
        <v>0101001010001110</v>
      </c>
      <c r="R457">
        <f t="shared" ca="1" si="99"/>
        <v>3.9626250000000001</v>
      </c>
      <c r="S457">
        <f t="shared" ca="1" si="100"/>
        <v>67.551500000000004</v>
      </c>
      <c r="T457" s="3">
        <f t="shared" ca="1" si="104"/>
        <v>3.1320610687022965E-2</v>
      </c>
      <c r="W457">
        <f t="shared" si="101"/>
        <v>66.948917735068179</v>
      </c>
      <c r="X457" s="5">
        <f t="shared" si="102"/>
        <v>2.2120881451422575E-2</v>
      </c>
    </row>
    <row r="458" spans="8:24" x14ac:dyDescent="0.25">
      <c r="H458">
        <v>65.599999999999994</v>
      </c>
      <c r="I458">
        <v>3.9211690585914396</v>
      </c>
      <c r="J458" s="10">
        <f t="shared" si="92"/>
        <v>3.6999999999999998E-5</v>
      </c>
      <c r="K458" s="17">
        <f t="shared" si="93"/>
        <v>2.2800000000000001E-4</v>
      </c>
      <c r="L458" s="10">
        <f t="shared" si="94"/>
        <v>1.2408000000000001E-2</v>
      </c>
      <c r="M458" s="11">
        <f t="shared" si="103"/>
        <v>3.9703967413582122</v>
      </c>
      <c r="N458" s="5">
        <f t="shared" si="95"/>
        <v>1.2554338267796117E-2</v>
      </c>
      <c r="O458">
        <f t="shared" si="96"/>
        <v>21182.448400000001</v>
      </c>
      <c r="P458">
        <f t="shared" ca="1" si="97"/>
        <v>21186</v>
      </c>
      <c r="Q458" t="str">
        <f t="shared" ca="1" si="98"/>
        <v>0101001011000010</v>
      </c>
      <c r="R458">
        <f t="shared" ca="1" si="99"/>
        <v>3.972375</v>
      </c>
      <c r="S458">
        <f t="shared" ca="1" si="100"/>
        <v>67.668500000000009</v>
      </c>
      <c r="T458" s="3">
        <f t="shared" ca="1" si="104"/>
        <v>3.1532012195122174E-2</v>
      </c>
      <c r="W458">
        <f t="shared" si="101"/>
        <v>67.054028703097273</v>
      </c>
      <c r="X458" s="5">
        <f t="shared" si="102"/>
        <v>2.2165071693556086E-2</v>
      </c>
    </row>
    <row r="459" spans="8:24" x14ac:dyDescent="0.25">
      <c r="H459">
        <v>65.7</v>
      </c>
      <c r="I459">
        <v>3.9289356949141196</v>
      </c>
      <c r="J459" s="10">
        <f t="shared" si="92"/>
        <v>3.8000000000000002E-5</v>
      </c>
      <c r="K459" s="17">
        <f t="shared" si="93"/>
        <v>2.2900000000000001E-4</v>
      </c>
      <c r="L459" s="10">
        <f t="shared" si="94"/>
        <v>1.2439E-2</v>
      </c>
      <c r="M459" s="11">
        <f t="shared" si="103"/>
        <v>3.9783848237365791</v>
      </c>
      <c r="N459" s="5">
        <f t="shared" si="95"/>
        <v>1.2585883980353698E-2</v>
      </c>
      <c r="O459">
        <f t="shared" si="96"/>
        <v>21225.065500000001</v>
      </c>
      <c r="P459">
        <f t="shared" ca="1" si="97"/>
        <v>21224</v>
      </c>
      <c r="Q459" t="str">
        <f t="shared" ca="1" si="98"/>
        <v>0101001011101000</v>
      </c>
      <c r="R459">
        <f t="shared" ca="1" si="99"/>
        <v>3.9795000000000003</v>
      </c>
      <c r="S459">
        <f t="shared" ca="1" si="100"/>
        <v>67.754000000000005</v>
      </c>
      <c r="T459" s="3">
        <f t="shared" ca="1" si="104"/>
        <v>3.1263318112633214E-2</v>
      </c>
      <c r="W459">
        <f t="shared" si="101"/>
        <v>67.147228338969441</v>
      </c>
      <c r="X459" s="5">
        <f t="shared" si="102"/>
        <v>2.2027828599230415E-2</v>
      </c>
    </row>
    <row r="460" spans="8:24" x14ac:dyDescent="0.25">
      <c r="H460">
        <v>65.800000000000011</v>
      </c>
      <c r="I460">
        <v>3.937720427185575</v>
      </c>
      <c r="J460" s="10">
        <f t="shared" si="92"/>
        <v>3.8000000000000002E-5</v>
      </c>
      <c r="K460" s="17">
        <f t="shared" si="93"/>
        <v>2.2900000000000001E-4</v>
      </c>
      <c r="L460" s="10">
        <f t="shared" si="94"/>
        <v>1.2468999999999999E-2</v>
      </c>
      <c r="M460" s="11">
        <f t="shared" si="103"/>
        <v>3.9874013344245141</v>
      </c>
      <c r="N460" s="5">
        <f t="shared" si="95"/>
        <v>1.2616666966996358E-2</v>
      </c>
      <c r="O460">
        <f t="shared" si="96"/>
        <v>21273.1695</v>
      </c>
      <c r="P460">
        <f t="shared" ca="1" si="97"/>
        <v>21274</v>
      </c>
      <c r="Q460" t="str">
        <f t="shared" ca="1" si="98"/>
        <v>0101001100011010</v>
      </c>
      <c r="R460">
        <f t="shared" ca="1" si="99"/>
        <v>3.9888750000000002</v>
      </c>
      <c r="S460">
        <f t="shared" ca="1" si="100"/>
        <v>67.866500000000016</v>
      </c>
      <c r="T460" s="3">
        <f t="shared" ca="1" si="104"/>
        <v>3.1405775075987914E-2</v>
      </c>
      <c r="W460">
        <f t="shared" si="101"/>
        <v>67.252645126226909</v>
      </c>
      <c r="X460" s="5">
        <f t="shared" si="102"/>
        <v>2.2076673650864704E-2</v>
      </c>
    </row>
    <row r="461" spans="8:24" x14ac:dyDescent="0.25">
      <c r="H461">
        <v>65.900000000000006</v>
      </c>
      <c r="I461">
        <v>3.9460165413002422</v>
      </c>
      <c r="J461" s="10">
        <f t="shared" si="92"/>
        <v>3.8999999999999999E-5</v>
      </c>
      <c r="K461" s="17">
        <f t="shared" si="93"/>
        <v>2.3000000000000001E-4</v>
      </c>
      <c r="L461" s="10">
        <f t="shared" si="94"/>
        <v>1.2500000000000001E-2</v>
      </c>
      <c r="M461" s="11">
        <f t="shared" si="103"/>
        <v>3.9959266241015108</v>
      </c>
      <c r="N461" s="5">
        <f t="shared" si="95"/>
        <v>1.264821935714007E-2</v>
      </c>
      <c r="O461">
        <f t="shared" si="96"/>
        <v>21318.652699999999</v>
      </c>
      <c r="P461">
        <f t="shared" ca="1" si="97"/>
        <v>21318</v>
      </c>
      <c r="Q461" t="str">
        <f t="shared" ca="1" si="98"/>
        <v>0101001101000110</v>
      </c>
      <c r="R461">
        <f t="shared" ca="1" si="99"/>
        <v>3.997125</v>
      </c>
      <c r="S461">
        <f t="shared" ca="1" si="100"/>
        <v>67.965500000000006</v>
      </c>
      <c r="T461" s="3">
        <f t="shared" ca="1" si="104"/>
        <v>3.1342943854324734E-2</v>
      </c>
      <c r="W461">
        <f t="shared" si="101"/>
        <v>67.35219849560292</v>
      </c>
      <c r="X461" s="5">
        <f t="shared" si="102"/>
        <v>2.2036395987904616E-2</v>
      </c>
    </row>
    <row r="462" spans="8:24" x14ac:dyDescent="0.25">
      <c r="H462">
        <v>66</v>
      </c>
      <c r="I462">
        <v>3.95482527557296</v>
      </c>
      <c r="J462" s="10">
        <f t="shared" si="92"/>
        <v>4.0000000000000003E-5</v>
      </c>
      <c r="K462" s="17">
        <f t="shared" si="93"/>
        <v>2.3000000000000001E-4</v>
      </c>
      <c r="L462" s="10">
        <f t="shared" si="94"/>
        <v>1.2529999999999999E-2</v>
      </c>
      <c r="M462" s="11">
        <f t="shared" si="103"/>
        <v>4.0049675185807772</v>
      </c>
      <c r="N462" s="5">
        <f t="shared" si="95"/>
        <v>1.2678750517126877E-2</v>
      </c>
      <c r="O462">
        <f t="shared" si="96"/>
        <v>21366.8868</v>
      </c>
      <c r="P462">
        <f t="shared" ca="1" si="97"/>
        <v>21368</v>
      </c>
      <c r="Q462" t="str">
        <f t="shared" ca="1" si="98"/>
        <v>0101001101111000</v>
      </c>
      <c r="R462">
        <f t="shared" ca="1" si="99"/>
        <v>4.0065</v>
      </c>
      <c r="S462">
        <f t="shared" ca="1" si="100"/>
        <v>68.078000000000003</v>
      </c>
      <c r="T462" s="3">
        <f t="shared" ca="1" si="104"/>
        <v>3.1484848484848532E-2</v>
      </c>
      <c r="W462">
        <f t="shared" si="101"/>
        <v>67.457903306875522</v>
      </c>
      <c r="X462" s="5">
        <f t="shared" si="102"/>
        <v>2.208944404356852E-2</v>
      </c>
    </row>
    <row r="463" spans="8:24" x14ac:dyDescent="0.25">
      <c r="H463">
        <v>66.099999999999994</v>
      </c>
      <c r="I463">
        <v>3.9631471815310948</v>
      </c>
      <c r="J463" s="10">
        <f t="shared" si="92"/>
        <v>4.0000000000000003E-5</v>
      </c>
      <c r="K463" s="17">
        <f t="shared" si="93"/>
        <v>2.31E-4</v>
      </c>
      <c r="L463" s="10">
        <f t="shared" si="94"/>
        <v>1.2560999999999999E-2</v>
      </c>
      <c r="M463" s="11">
        <f t="shared" si="103"/>
        <v>4.0135210190513995</v>
      </c>
      <c r="N463" s="5">
        <f t="shared" si="95"/>
        <v>1.2710564410793239E-2</v>
      </c>
      <c r="O463">
        <f t="shared" si="96"/>
        <v>21412.520499999999</v>
      </c>
      <c r="P463">
        <f t="shared" ca="1" si="97"/>
        <v>21415</v>
      </c>
      <c r="Q463" t="str">
        <f t="shared" ca="1" si="98"/>
        <v>0101001110100111</v>
      </c>
      <c r="R463">
        <f t="shared" ca="1" si="99"/>
        <v>4.0153125000000003</v>
      </c>
      <c r="S463">
        <f t="shared" ca="1" si="100"/>
        <v>68.183750000000018</v>
      </c>
      <c r="T463" s="3">
        <f t="shared" ca="1" si="104"/>
        <v>3.1524205748865712E-2</v>
      </c>
      <c r="W463">
        <f t="shared" si="101"/>
        <v>67.557766178373143</v>
      </c>
      <c r="X463" s="5">
        <f t="shared" si="102"/>
        <v>2.2053951261318438E-2</v>
      </c>
    </row>
    <row r="464" spans="8:24" x14ac:dyDescent="0.25">
      <c r="H464">
        <v>66.2</v>
      </c>
      <c r="I464">
        <v>3.9719794520862663</v>
      </c>
      <c r="J464" s="10">
        <f t="shared" si="92"/>
        <v>4.1E-5</v>
      </c>
      <c r="K464" s="17">
        <f t="shared" si="93"/>
        <v>2.31E-4</v>
      </c>
      <c r="L464" s="10">
        <f t="shared" si="94"/>
        <v>1.2591E-2</v>
      </c>
      <c r="M464" s="11">
        <f t="shared" si="103"/>
        <v>4.0225868430268168</v>
      </c>
      <c r="N464" s="5">
        <f t="shared" si="95"/>
        <v>1.2741100892143115E-2</v>
      </c>
      <c r="O464">
        <f t="shared" si="96"/>
        <v>21460.887599999998</v>
      </c>
      <c r="P464">
        <f t="shared" ca="1" si="97"/>
        <v>21458</v>
      </c>
      <c r="Q464" t="str">
        <f t="shared" ca="1" si="98"/>
        <v>0101001111010010</v>
      </c>
      <c r="R464">
        <f t="shared" ca="1" si="99"/>
        <v>4.0233749999999997</v>
      </c>
      <c r="S464">
        <f t="shared" ca="1" si="100"/>
        <v>68.280500000000004</v>
      </c>
      <c r="T464" s="3">
        <f t="shared" ca="1" si="104"/>
        <v>3.1427492447129918E-2</v>
      </c>
      <c r="W464">
        <f t="shared" si="101"/>
        <v>67.66375342503521</v>
      </c>
      <c r="X464" s="5">
        <f t="shared" si="102"/>
        <v>2.2111078928024282E-2</v>
      </c>
    </row>
    <row r="465" spans="8:24" x14ac:dyDescent="0.25">
      <c r="H465">
        <v>66.300000000000011</v>
      </c>
      <c r="I465">
        <v>3.9808228128515979</v>
      </c>
      <c r="J465" s="10">
        <f t="shared" si="92"/>
        <v>4.1E-5</v>
      </c>
      <c r="K465" s="17">
        <f t="shared" si="93"/>
        <v>2.32E-4</v>
      </c>
      <c r="L465" s="10">
        <f t="shared" si="94"/>
        <v>1.2622E-2</v>
      </c>
      <c r="M465" s="11">
        <f t="shared" si="103"/>
        <v>4.0316695458594358</v>
      </c>
      <c r="N465" s="5">
        <f t="shared" si="95"/>
        <v>1.2772920423306832E-2</v>
      </c>
      <c r="O465">
        <f t="shared" si="96"/>
        <v>21509.344700000001</v>
      </c>
      <c r="P465">
        <f t="shared" ca="1" si="97"/>
        <v>21510</v>
      </c>
      <c r="Q465" t="str">
        <f t="shared" ca="1" si="98"/>
        <v>0101010000000110</v>
      </c>
      <c r="R465">
        <f t="shared" ca="1" si="99"/>
        <v>4.0331250000000001</v>
      </c>
      <c r="S465">
        <f t="shared" ca="1" si="100"/>
        <v>68.397500000000008</v>
      </c>
      <c r="T465" s="3">
        <f t="shared" ca="1" si="104"/>
        <v>3.1636500754147756E-2</v>
      </c>
      <c r="W465">
        <f t="shared" si="101"/>
        <v>67.769873754219176</v>
      </c>
      <c r="X465" s="5">
        <f t="shared" si="102"/>
        <v>2.2170041541767192E-2</v>
      </c>
    </row>
    <row r="466" spans="8:24" x14ac:dyDescent="0.25">
      <c r="H466">
        <v>66.400000000000006</v>
      </c>
      <c r="I466">
        <v>3.9886868990493101</v>
      </c>
      <c r="J466" s="10">
        <f t="shared" si="92"/>
        <v>4.1999999999999998E-5</v>
      </c>
      <c r="K466" s="17">
        <f t="shared" si="93"/>
        <v>2.32E-4</v>
      </c>
      <c r="L466" s="10">
        <f t="shared" si="94"/>
        <v>1.2652E-2</v>
      </c>
      <c r="M466" s="11">
        <f t="shared" si="103"/>
        <v>4.0397558905768891</v>
      </c>
      <c r="N466" s="5">
        <f t="shared" si="95"/>
        <v>1.2803459589608591E-2</v>
      </c>
      <c r="O466">
        <f t="shared" si="96"/>
        <v>21552.486099999998</v>
      </c>
      <c r="P466">
        <f t="shared" ca="1" si="97"/>
        <v>21553</v>
      </c>
      <c r="Q466" t="str">
        <f t="shared" ca="1" si="98"/>
        <v>0101010000110001</v>
      </c>
      <c r="R466">
        <f t="shared" ca="1" si="99"/>
        <v>4.0411875000000004</v>
      </c>
      <c r="S466">
        <f t="shared" ca="1" si="100"/>
        <v>68.494250000000008</v>
      </c>
      <c r="T466" s="3">
        <f t="shared" ca="1" si="104"/>
        <v>3.1539909638554249E-2</v>
      </c>
      <c r="W466">
        <f t="shared" si="101"/>
        <v>67.864242788591724</v>
      </c>
      <c r="X466" s="5">
        <f t="shared" si="102"/>
        <v>2.2051849225778894E-2</v>
      </c>
    </row>
    <row r="467" spans="8:24" x14ac:dyDescent="0.25">
      <c r="H467">
        <v>66.5</v>
      </c>
      <c r="I467">
        <v>3.9970599891180969</v>
      </c>
      <c r="J467" s="10">
        <f t="shared" si="92"/>
        <v>4.1999999999999998E-5</v>
      </c>
      <c r="K467" s="17">
        <f t="shared" si="93"/>
        <v>2.33E-4</v>
      </c>
      <c r="L467" s="10">
        <f t="shared" si="94"/>
        <v>1.2683E-2</v>
      </c>
      <c r="M467" s="11">
        <f t="shared" si="103"/>
        <v>4.0483633818906153</v>
      </c>
      <c r="N467" s="5">
        <f t="shared" si="95"/>
        <v>1.283528216043559E-2</v>
      </c>
      <c r="O467">
        <f t="shared" si="96"/>
        <v>21598.407899999998</v>
      </c>
      <c r="P467">
        <f t="shared" ca="1" si="97"/>
        <v>21600</v>
      </c>
      <c r="Q467" t="str">
        <f t="shared" ca="1" si="98"/>
        <v>0101010001100000</v>
      </c>
      <c r="R467">
        <f t="shared" ca="1" si="99"/>
        <v>4.05</v>
      </c>
      <c r="S467">
        <f t="shared" ca="1" si="100"/>
        <v>68.600000000000009</v>
      </c>
      <c r="T467" s="3">
        <f t="shared" ca="1" si="104"/>
        <v>3.1578947368421179E-2</v>
      </c>
      <c r="W467">
        <f t="shared" si="101"/>
        <v>67.964719869417166</v>
      </c>
      <c r="X467" s="5">
        <f t="shared" si="102"/>
        <v>2.2025862698002503E-2</v>
      </c>
    </row>
    <row r="468" spans="8:24" x14ac:dyDescent="0.25">
      <c r="H468">
        <v>66.599999999999994</v>
      </c>
      <c r="I468">
        <v>4.0059389461553927</v>
      </c>
      <c r="J468" s="10">
        <f t="shared" si="92"/>
        <v>4.3000000000000002E-5</v>
      </c>
      <c r="K468" s="17">
        <f t="shared" si="93"/>
        <v>2.33E-4</v>
      </c>
      <c r="L468" s="10">
        <f t="shared" si="94"/>
        <v>1.2713E-2</v>
      </c>
      <c r="M468" s="11">
        <f t="shared" si="103"/>
        <v>4.0574786725191281</v>
      </c>
      <c r="N468" s="5">
        <f t="shared" si="95"/>
        <v>1.2865829224182121E-2</v>
      </c>
      <c r="O468">
        <f t="shared" si="96"/>
        <v>21647.038799999998</v>
      </c>
      <c r="P468">
        <f t="shared" ca="1" si="97"/>
        <v>21647</v>
      </c>
      <c r="Q468" t="str">
        <f t="shared" ca="1" si="98"/>
        <v>0101010010001111</v>
      </c>
      <c r="R468">
        <f t="shared" ca="1" si="99"/>
        <v>4.0588125000000002</v>
      </c>
      <c r="S468">
        <f t="shared" ca="1" si="100"/>
        <v>68.705750000000009</v>
      </c>
      <c r="T468" s="3">
        <f t="shared" ca="1" si="104"/>
        <v>3.1617867867868091E-2</v>
      </c>
      <c r="W468">
        <f t="shared" si="101"/>
        <v>68.071267353864727</v>
      </c>
      <c r="X468" s="5">
        <f t="shared" si="102"/>
        <v>2.2091101409380365E-2</v>
      </c>
    </row>
    <row r="469" spans="8:24" x14ac:dyDescent="0.25">
      <c r="H469">
        <v>66.7</v>
      </c>
      <c r="I469">
        <v>4.0138443139798614</v>
      </c>
      <c r="J469" s="10">
        <f t="shared" si="92"/>
        <v>4.3999999999999999E-5</v>
      </c>
      <c r="K469" s="17">
        <f t="shared" si="93"/>
        <v>2.34E-4</v>
      </c>
      <c r="L469" s="10">
        <f t="shared" si="94"/>
        <v>1.2744E-2</v>
      </c>
      <c r="M469" s="11">
        <f t="shared" si="103"/>
        <v>4.0656124794175588</v>
      </c>
      <c r="N469" s="5">
        <f t="shared" si="95"/>
        <v>1.2897402437208005E-2</v>
      </c>
      <c r="O469">
        <f t="shared" si="96"/>
        <v>21690.433499999999</v>
      </c>
      <c r="P469">
        <f t="shared" ca="1" si="97"/>
        <v>21691</v>
      </c>
      <c r="Q469" t="str">
        <f t="shared" ca="1" si="98"/>
        <v>0101010010111011</v>
      </c>
      <c r="R469">
        <f t="shared" ca="1" si="99"/>
        <v>4.0670625000000005</v>
      </c>
      <c r="S469">
        <f t="shared" ca="1" si="100"/>
        <v>68.804750000000013</v>
      </c>
      <c r="T469" s="3">
        <f t="shared" ca="1" si="104"/>
        <v>3.1555472263868213E-2</v>
      </c>
      <c r="W469">
        <f t="shared" si="101"/>
        <v>68.166131767758344</v>
      </c>
      <c r="X469" s="5">
        <f t="shared" si="102"/>
        <v>2.1980986023363434E-2</v>
      </c>
    </row>
    <row r="470" spans="8:24" x14ac:dyDescent="0.25">
      <c r="H470">
        <v>66.800000000000011</v>
      </c>
      <c r="I470">
        <v>4.0227464200593044</v>
      </c>
      <c r="J470" s="10">
        <f t="shared" si="92"/>
        <v>4.3999999999999999E-5</v>
      </c>
      <c r="K470" s="17">
        <f t="shared" si="93"/>
        <v>2.34E-4</v>
      </c>
      <c r="L470" s="10">
        <f t="shared" si="94"/>
        <v>1.2774000000000001E-2</v>
      </c>
      <c r="M470" s="11">
        <f t="shared" si="103"/>
        <v>4.0747533189556435</v>
      </c>
      <c r="N470" s="5">
        <f t="shared" si="95"/>
        <v>1.2928207116662462E-2</v>
      </c>
      <c r="O470">
        <f t="shared" si="96"/>
        <v>21739.200700000001</v>
      </c>
      <c r="P470">
        <f t="shared" ca="1" si="97"/>
        <v>21738</v>
      </c>
      <c r="Q470" t="str">
        <f t="shared" ca="1" si="98"/>
        <v>0101010011101010</v>
      </c>
      <c r="R470">
        <f t="shared" ca="1" si="99"/>
        <v>4.0758749999999999</v>
      </c>
      <c r="S470">
        <f t="shared" ca="1" si="100"/>
        <v>68.910500000000013</v>
      </c>
      <c r="T470" s="3">
        <f t="shared" ca="1" si="104"/>
        <v>3.1594311377245533E-2</v>
      </c>
      <c r="W470">
        <f t="shared" si="101"/>
        <v>68.27295704071166</v>
      </c>
      <c r="X470" s="5">
        <f t="shared" si="102"/>
        <v>2.2050255100473773E-2</v>
      </c>
    </row>
    <row r="471" spans="8:24" x14ac:dyDescent="0.25">
      <c r="H471">
        <v>66.900000000000006</v>
      </c>
      <c r="I471">
        <v>4.0306787163114484</v>
      </c>
      <c r="J471" s="10">
        <f t="shared" si="92"/>
        <v>4.5000000000000003E-5</v>
      </c>
      <c r="K471" s="17">
        <f t="shared" si="93"/>
        <v>2.3499999999999999E-4</v>
      </c>
      <c r="L471" s="10">
        <f t="shared" si="94"/>
        <v>1.2805E-2</v>
      </c>
      <c r="M471" s="11">
        <f t="shared" si="103"/>
        <v>4.0829154486311703</v>
      </c>
      <c r="N471" s="5">
        <f t="shared" si="95"/>
        <v>1.2959785682825339E-2</v>
      </c>
      <c r="O471">
        <f t="shared" si="96"/>
        <v>21782.746500000001</v>
      </c>
      <c r="P471">
        <f t="shared" ca="1" si="97"/>
        <v>21786</v>
      </c>
      <c r="Q471" t="str">
        <f t="shared" ca="1" si="98"/>
        <v>0101010100011010</v>
      </c>
      <c r="R471">
        <f t="shared" ca="1" si="99"/>
        <v>4.0848750000000003</v>
      </c>
      <c r="S471">
        <f t="shared" ca="1" si="100"/>
        <v>69.018500000000017</v>
      </c>
      <c r="T471" s="3">
        <f t="shared" ca="1" si="104"/>
        <v>3.1666666666666836E-2</v>
      </c>
      <c r="W471">
        <f t="shared" si="101"/>
        <v>68.368144595737391</v>
      </c>
      <c r="X471" s="5">
        <f t="shared" si="102"/>
        <v>2.1945360175446713E-2</v>
      </c>
    </row>
    <row r="472" spans="8:24" x14ac:dyDescent="0.25">
      <c r="H472">
        <v>67</v>
      </c>
      <c r="I472">
        <v>4.0396035089570148</v>
      </c>
      <c r="J472" s="10">
        <f t="shared" si="92"/>
        <v>4.5000000000000003E-5</v>
      </c>
      <c r="K472" s="17">
        <f t="shared" si="93"/>
        <v>2.3499999999999999E-4</v>
      </c>
      <c r="L472" s="10">
        <f t="shared" si="94"/>
        <v>1.2834999999999999E-2</v>
      </c>
      <c r="M472" s="11">
        <f t="shared" si="103"/>
        <v>4.0920803603825249</v>
      </c>
      <c r="N472" s="5">
        <f t="shared" si="95"/>
        <v>1.2990594574233119E-2</v>
      </c>
      <c r="O472">
        <f t="shared" si="96"/>
        <v>21831.642199999998</v>
      </c>
      <c r="P472">
        <f t="shared" ca="1" si="97"/>
        <v>21829</v>
      </c>
      <c r="Q472" t="str">
        <f t="shared" ca="1" si="98"/>
        <v>0101010101000101</v>
      </c>
      <c r="R472">
        <f t="shared" ca="1" si="99"/>
        <v>4.0929374999999997</v>
      </c>
      <c r="S472">
        <f t="shared" ca="1" si="100"/>
        <v>69.115250000000003</v>
      </c>
      <c r="T472" s="3">
        <f t="shared" ca="1" si="104"/>
        <v>3.1570895522388107E-2</v>
      </c>
      <c r="W472">
        <f t="shared" si="101"/>
        <v>68.475242107484192</v>
      </c>
      <c r="X472" s="5">
        <f t="shared" si="102"/>
        <v>2.2018538917674507E-2</v>
      </c>
    </row>
    <row r="473" spans="8:24" x14ac:dyDescent="0.25">
      <c r="H473">
        <v>67.099999999999994</v>
      </c>
      <c r="I473">
        <v>4.0480503670129924</v>
      </c>
      <c r="J473" s="10">
        <f t="shared" si="92"/>
        <v>4.6E-5</v>
      </c>
      <c r="K473" s="17">
        <f t="shared" si="93"/>
        <v>2.3599999999999999E-4</v>
      </c>
      <c r="L473" s="10">
        <f t="shared" si="94"/>
        <v>1.2866000000000001E-2</v>
      </c>
      <c r="M473" s="11">
        <f t="shared" si="103"/>
        <v>4.1007648070201128</v>
      </c>
      <c r="N473" s="5">
        <f t="shared" si="95"/>
        <v>1.3022179871249427E-2</v>
      </c>
      <c r="O473">
        <f t="shared" si="96"/>
        <v>21877.9745</v>
      </c>
      <c r="P473">
        <f t="shared" ca="1" si="97"/>
        <v>21878</v>
      </c>
      <c r="Q473" t="str">
        <f t="shared" ca="1" si="98"/>
        <v>0101010101110110</v>
      </c>
      <c r="R473">
        <f t="shared" ca="1" si="99"/>
        <v>4.102125</v>
      </c>
      <c r="S473">
        <f t="shared" ca="1" si="100"/>
        <v>69.225500000000011</v>
      </c>
      <c r="T473" s="3">
        <f t="shared" ca="1" si="104"/>
        <v>3.1676602086438403E-2</v>
      </c>
      <c r="W473">
        <f t="shared" si="101"/>
        <v>68.576604404155916</v>
      </c>
      <c r="X473" s="5">
        <f t="shared" si="102"/>
        <v>2.2006026887569616E-2</v>
      </c>
    </row>
    <row r="474" spans="8:24" x14ac:dyDescent="0.25">
      <c r="H474">
        <v>67.2</v>
      </c>
      <c r="I474">
        <v>4.056509279093734</v>
      </c>
      <c r="J474" s="10">
        <f t="shared" si="92"/>
        <v>4.6E-5</v>
      </c>
      <c r="K474" s="17">
        <f t="shared" si="93"/>
        <v>2.3599999999999999E-4</v>
      </c>
      <c r="L474" s="10">
        <f t="shared" si="94"/>
        <v>1.2895999999999999E-2</v>
      </c>
      <c r="M474" s="11">
        <f t="shared" si="103"/>
        <v>4.109458860559509</v>
      </c>
      <c r="N474" s="5">
        <f t="shared" si="95"/>
        <v>1.3052991580387677E-2</v>
      </c>
      <c r="O474">
        <f t="shared" si="96"/>
        <v>21924.358100000001</v>
      </c>
      <c r="P474">
        <f t="shared" ca="1" si="97"/>
        <v>21923</v>
      </c>
      <c r="Q474" t="str">
        <f t="shared" ca="1" si="98"/>
        <v>0101010110100011</v>
      </c>
      <c r="R474">
        <f t="shared" ca="1" si="99"/>
        <v>4.1105625000000003</v>
      </c>
      <c r="S474">
        <f t="shared" ca="1" si="100"/>
        <v>69.326750000000018</v>
      </c>
      <c r="T474" s="3">
        <f t="shared" ca="1" si="104"/>
        <v>3.1648065476190708E-2</v>
      </c>
      <c r="W474">
        <f t="shared" si="101"/>
        <v>68.678111349124819</v>
      </c>
      <c r="X474" s="5">
        <f t="shared" si="102"/>
        <v>2.1995704600071671E-2</v>
      </c>
    </row>
    <row r="475" spans="8:24" x14ac:dyDescent="0.25">
      <c r="H475">
        <v>67.300000000000011</v>
      </c>
      <c r="I475">
        <v>4.0644940181316969</v>
      </c>
      <c r="J475" s="10">
        <f t="shared" si="92"/>
        <v>4.6999999999999997E-5</v>
      </c>
      <c r="K475" s="17">
        <f t="shared" si="93"/>
        <v>2.3699999999999999E-4</v>
      </c>
      <c r="L475" s="10">
        <f t="shared" si="94"/>
        <v>1.2926999999999999E-2</v>
      </c>
      <c r="M475" s="11">
        <f t="shared" si="103"/>
        <v>4.117676218609664</v>
      </c>
      <c r="N475" s="5">
        <f t="shared" si="95"/>
        <v>1.3084580821308022E-2</v>
      </c>
      <c r="O475">
        <f t="shared" si="96"/>
        <v>21968.198499999999</v>
      </c>
      <c r="P475">
        <f t="shared" ca="1" si="97"/>
        <v>21971</v>
      </c>
      <c r="Q475" t="str">
        <f t="shared" ca="1" si="98"/>
        <v>0101010111010011</v>
      </c>
      <c r="R475">
        <f t="shared" ca="1" si="99"/>
        <v>4.1195624999999998</v>
      </c>
      <c r="S475">
        <f t="shared" ca="1" si="100"/>
        <v>69.434750000000008</v>
      </c>
      <c r="T475" s="3">
        <f t="shared" ca="1" si="104"/>
        <v>3.1719910846953886E-2</v>
      </c>
      <c r="W475">
        <f t="shared" si="101"/>
        <v>68.773928217580377</v>
      </c>
      <c r="X475" s="5">
        <f t="shared" si="102"/>
        <v>2.1900865045770653E-2</v>
      </c>
    </row>
    <row r="476" spans="8:24" x14ac:dyDescent="0.25">
      <c r="H476">
        <v>67.400000000000006</v>
      </c>
      <c r="I476">
        <v>4.072492571729823</v>
      </c>
      <c r="J476" s="10">
        <f t="shared" si="92"/>
        <v>4.8000000000000001E-5</v>
      </c>
      <c r="K476" s="17">
        <f t="shared" si="93"/>
        <v>2.3699999999999999E-4</v>
      </c>
      <c r="L476" s="10">
        <f t="shared" si="94"/>
        <v>1.2957E-2</v>
      </c>
      <c r="M476" s="11">
        <f t="shared" si="103"/>
        <v>4.1259039086745188</v>
      </c>
      <c r="N476" s="5">
        <f t="shared" si="95"/>
        <v>1.3115146560478295E-2</v>
      </c>
      <c r="O476">
        <f t="shared" si="96"/>
        <v>22012.094000000001</v>
      </c>
      <c r="P476">
        <f t="shared" ca="1" si="97"/>
        <v>22011</v>
      </c>
      <c r="Q476" t="str">
        <f t="shared" ca="1" si="98"/>
        <v>0101010111111011</v>
      </c>
      <c r="R476">
        <f t="shared" ca="1" si="99"/>
        <v>4.1270625000000001</v>
      </c>
      <c r="S476">
        <f t="shared" ca="1" si="100"/>
        <v>69.524750000000012</v>
      </c>
      <c r="T476" s="3">
        <f t="shared" ca="1" si="104"/>
        <v>3.1524480712166257E-2</v>
      </c>
      <c r="W476">
        <f t="shared" si="101"/>
        <v>68.869910860757884</v>
      </c>
      <c r="X476" s="5">
        <f t="shared" si="102"/>
        <v>2.1808766480087206E-2</v>
      </c>
    </row>
    <row r="477" spans="8:24" x14ac:dyDescent="0.25">
      <c r="H477">
        <v>67.5</v>
      </c>
      <c r="I477">
        <v>4.0809889386731664</v>
      </c>
      <c r="J477" s="10">
        <f t="shared" si="92"/>
        <v>4.8000000000000001E-5</v>
      </c>
      <c r="K477" s="17">
        <f t="shared" si="93"/>
        <v>2.3800000000000001E-4</v>
      </c>
      <c r="L477" s="10">
        <f t="shared" si="94"/>
        <v>1.2988E-2</v>
      </c>
      <c r="M477" s="11">
        <f t="shared" si="103"/>
        <v>4.134641664613163</v>
      </c>
      <c r="N477" s="5">
        <f t="shared" si="95"/>
        <v>1.3146991267621633E-2</v>
      </c>
      <c r="O477">
        <f t="shared" si="96"/>
        <v>22058.710800000001</v>
      </c>
      <c r="P477">
        <f t="shared" ca="1" si="97"/>
        <v>22057</v>
      </c>
      <c r="Q477" t="str">
        <f t="shared" ca="1" si="98"/>
        <v>0101011000101001</v>
      </c>
      <c r="R477">
        <f t="shared" ca="1" si="99"/>
        <v>4.1356875000000004</v>
      </c>
      <c r="S477">
        <f t="shared" ca="1" si="100"/>
        <v>69.628250000000008</v>
      </c>
      <c r="T477" s="3">
        <f t="shared" ca="1" si="104"/>
        <v>3.1529629629629755E-2</v>
      </c>
      <c r="W477">
        <f t="shared" si="101"/>
        <v>68.971867264078</v>
      </c>
      <c r="X477" s="5">
        <f t="shared" si="102"/>
        <v>2.1805440949303704E-2</v>
      </c>
    </row>
    <row r="478" spans="8:24" x14ac:dyDescent="0.25">
      <c r="H478">
        <v>67.599999999999994</v>
      </c>
      <c r="I478">
        <v>4.0899800206942745</v>
      </c>
      <c r="J478" s="10">
        <f t="shared" si="92"/>
        <v>4.8999999999999998E-5</v>
      </c>
      <c r="K478" s="17">
        <f t="shared" si="93"/>
        <v>2.3800000000000001E-4</v>
      </c>
      <c r="L478" s="10">
        <f t="shared" si="94"/>
        <v>1.3018E-2</v>
      </c>
      <c r="M478" s="11">
        <f t="shared" si="103"/>
        <v>4.1438759984419926</v>
      </c>
      <c r="N478" s="5">
        <f t="shared" si="95"/>
        <v>1.3177565043109747E-2</v>
      </c>
      <c r="O478">
        <f t="shared" si="96"/>
        <v>22107.976900000001</v>
      </c>
      <c r="P478">
        <f t="shared" ca="1" si="97"/>
        <v>22109</v>
      </c>
      <c r="Q478" t="str">
        <f t="shared" ca="1" si="98"/>
        <v>0101011001011101</v>
      </c>
      <c r="R478">
        <f t="shared" ca="1" si="99"/>
        <v>4.1454374999999999</v>
      </c>
      <c r="S478">
        <f t="shared" ca="1" si="100"/>
        <v>69.745250000000013</v>
      </c>
      <c r="T478" s="3">
        <f t="shared" ca="1" si="104"/>
        <v>3.1734467455621578E-2</v>
      </c>
      <c r="W478">
        <f t="shared" si="101"/>
        <v>69.079760248331297</v>
      </c>
      <c r="X478" s="5">
        <f t="shared" si="102"/>
        <v>2.188994450194235E-2</v>
      </c>
    </row>
    <row r="479" spans="8:24" x14ac:dyDescent="0.25">
      <c r="H479">
        <v>67.7</v>
      </c>
      <c r="I479">
        <v>4.0970520567746798</v>
      </c>
      <c r="J479" s="10">
        <f t="shared" si="92"/>
        <v>4.8999999999999998E-5</v>
      </c>
      <c r="K479" s="17">
        <f t="shared" si="93"/>
        <v>2.3900000000000001E-4</v>
      </c>
      <c r="L479" s="10">
        <f t="shared" si="94"/>
        <v>1.3049E-2</v>
      </c>
      <c r="M479" s="11">
        <f t="shared" si="103"/>
        <v>4.1511716962389009</v>
      </c>
      <c r="N479" s="5">
        <f t="shared" si="95"/>
        <v>1.3209409769331985E-2</v>
      </c>
      <c r="O479">
        <f t="shared" si="96"/>
        <v>22146.900099999999</v>
      </c>
      <c r="P479">
        <f t="shared" ca="1" si="97"/>
        <v>22148</v>
      </c>
      <c r="Q479" t="str">
        <f t="shared" ca="1" si="98"/>
        <v>0101011010000100</v>
      </c>
      <c r="R479">
        <f t="shared" ca="1" si="99"/>
        <v>4.1527500000000002</v>
      </c>
      <c r="S479">
        <f t="shared" ca="1" si="100"/>
        <v>69.833000000000013</v>
      </c>
      <c r="T479" s="3">
        <f t="shared" ca="1" si="104"/>
        <v>3.150664697193515E-2</v>
      </c>
      <c r="W479">
        <f t="shared" si="101"/>
        <v>69.164624681296161</v>
      </c>
      <c r="X479" s="5">
        <f t="shared" si="102"/>
        <v>2.1634042559765993E-2</v>
      </c>
    </row>
    <row r="480" spans="8:24" x14ac:dyDescent="0.25">
      <c r="H480">
        <v>67.800000000000011</v>
      </c>
      <c r="I480">
        <v>4.1060659673762743</v>
      </c>
      <c r="J480" s="10">
        <f t="shared" si="92"/>
        <v>5.0000000000000002E-5</v>
      </c>
      <c r="K480" s="17">
        <f t="shared" si="93"/>
        <v>2.3900000000000001E-4</v>
      </c>
      <c r="L480" s="10">
        <f t="shared" si="94"/>
        <v>1.3079E-2</v>
      </c>
      <c r="M480" s="11">
        <f t="shared" si="103"/>
        <v>4.1604302344121509</v>
      </c>
      <c r="N480" s="5">
        <f t="shared" si="95"/>
        <v>1.3239988706419809E-2</v>
      </c>
      <c r="O480">
        <f t="shared" si="96"/>
        <v>22196.295300000002</v>
      </c>
      <c r="P480">
        <f t="shared" ca="1" si="97"/>
        <v>22197</v>
      </c>
      <c r="Q480" t="str">
        <f t="shared" ca="1" si="98"/>
        <v>0101011010110101</v>
      </c>
      <c r="R480">
        <f t="shared" ca="1" si="99"/>
        <v>4.1619375000000005</v>
      </c>
      <c r="S480">
        <f t="shared" ca="1" si="100"/>
        <v>69.94325000000002</v>
      </c>
      <c r="T480" s="3">
        <f t="shared" ca="1" si="104"/>
        <v>3.1611356932153521E-2</v>
      </c>
      <c r="W480">
        <f t="shared" si="101"/>
        <v>69.272791608515305</v>
      </c>
      <c r="X480" s="5">
        <f t="shared" si="102"/>
        <v>2.1722590096095781E-2</v>
      </c>
    </row>
    <row r="481" spans="8:24" x14ac:dyDescent="0.25">
      <c r="H481">
        <v>67.900000000000006</v>
      </c>
      <c r="I481">
        <v>4.1146089883680803</v>
      </c>
      <c r="J481" s="10">
        <f t="shared" si="92"/>
        <v>5.0000000000000002E-5</v>
      </c>
      <c r="K481" s="17">
        <f t="shared" si="93"/>
        <v>2.4000000000000001E-4</v>
      </c>
      <c r="L481" s="10">
        <f t="shared" si="94"/>
        <v>1.311E-2</v>
      </c>
      <c r="M481" s="11">
        <f t="shared" si="103"/>
        <v>4.1692174288604402</v>
      </c>
      <c r="N481" s="5">
        <f t="shared" si="95"/>
        <v>1.3271842025994915E-2</v>
      </c>
      <c r="O481">
        <f t="shared" si="96"/>
        <v>22243.175800000001</v>
      </c>
      <c r="P481">
        <f t="shared" ca="1" si="97"/>
        <v>22244</v>
      </c>
      <c r="Q481" t="str">
        <f t="shared" ca="1" si="98"/>
        <v>0101011011100100</v>
      </c>
      <c r="R481">
        <f t="shared" ca="1" si="99"/>
        <v>4.17075</v>
      </c>
      <c r="S481">
        <f t="shared" ca="1" si="100"/>
        <v>70.049000000000007</v>
      </c>
      <c r="T481" s="3">
        <f t="shared" ca="1" si="104"/>
        <v>3.1649484536082483E-2</v>
      </c>
      <c r="W481">
        <f t="shared" si="101"/>
        <v>69.375307860416967</v>
      </c>
      <c r="X481" s="5">
        <f t="shared" si="102"/>
        <v>2.1727656265345528E-2</v>
      </c>
    </row>
    <row r="482" spans="8:24" x14ac:dyDescent="0.25">
      <c r="H482">
        <v>68</v>
      </c>
      <c r="I482">
        <v>4.1231631377385431</v>
      </c>
      <c r="J482" s="10">
        <f t="shared" si="92"/>
        <v>5.1E-5</v>
      </c>
      <c r="K482" s="17">
        <f t="shared" si="93"/>
        <v>2.4000000000000001E-4</v>
      </c>
      <c r="L482" s="10">
        <f t="shared" si="94"/>
        <v>1.3140000000000001E-2</v>
      </c>
      <c r="M482" s="11">
        <f t="shared" si="103"/>
        <v>4.1780112049718738</v>
      </c>
      <c r="N482" s="5">
        <f t="shared" si="95"/>
        <v>1.3302424716431073E-2</v>
      </c>
      <c r="O482">
        <f t="shared" si="96"/>
        <v>22290.091499999999</v>
      </c>
      <c r="P482">
        <f t="shared" ca="1" si="97"/>
        <v>22289</v>
      </c>
      <c r="Q482" t="str">
        <f t="shared" ca="1" si="98"/>
        <v>0101011100010001</v>
      </c>
      <c r="R482">
        <f t="shared" ca="1" si="99"/>
        <v>4.1791875000000003</v>
      </c>
      <c r="S482">
        <f t="shared" ca="1" si="100"/>
        <v>70.150250000000014</v>
      </c>
      <c r="T482" s="3">
        <f t="shared" ca="1" si="104"/>
        <v>3.1621323529411972E-2</v>
      </c>
      <c r="W482">
        <f t="shared" si="101"/>
        <v>69.477957652862528</v>
      </c>
      <c r="X482" s="5">
        <f t="shared" si="102"/>
        <v>2.1734671365625419E-2</v>
      </c>
    </row>
    <row r="483" spans="8:24" x14ac:dyDescent="0.25">
      <c r="H483">
        <v>68.099999999999994</v>
      </c>
      <c r="I483">
        <v>4.1312501236004611</v>
      </c>
      <c r="J483" s="10">
        <f t="shared" si="92"/>
        <v>5.1999999999999997E-5</v>
      </c>
      <c r="K483" s="17">
        <f t="shared" si="93"/>
        <v>2.41E-4</v>
      </c>
      <c r="L483" s="10">
        <f t="shared" si="94"/>
        <v>1.3171E-2</v>
      </c>
      <c r="M483" s="11">
        <f t="shared" si="103"/>
        <v>4.1863363597953249</v>
      </c>
      <c r="N483" s="5">
        <f t="shared" si="95"/>
        <v>1.3334035593772081E-2</v>
      </c>
      <c r="O483">
        <f t="shared" si="96"/>
        <v>22334.507000000001</v>
      </c>
      <c r="P483">
        <f t="shared" ca="1" si="97"/>
        <v>22334</v>
      </c>
      <c r="Q483" t="str">
        <f t="shared" ca="1" si="98"/>
        <v>0101011100111110</v>
      </c>
      <c r="R483">
        <f t="shared" ca="1" si="99"/>
        <v>4.1876249999999997</v>
      </c>
      <c r="S483">
        <f t="shared" ca="1" si="100"/>
        <v>70.251500000000007</v>
      </c>
      <c r="T483" s="3">
        <f t="shared" ca="1" si="104"/>
        <v>3.1593245227606655E-2</v>
      </c>
      <c r="W483">
        <f t="shared" si="101"/>
        <v>69.57500148320554</v>
      </c>
      <c r="X483" s="5">
        <f t="shared" si="102"/>
        <v>2.1659346302577764E-2</v>
      </c>
    </row>
    <row r="484" spans="8:24" x14ac:dyDescent="0.25">
      <c r="H484">
        <v>68.2</v>
      </c>
      <c r="I484">
        <v>4.1393499815801427</v>
      </c>
      <c r="J484" s="10">
        <f t="shared" si="92"/>
        <v>5.1999999999999997E-5</v>
      </c>
      <c r="K484" s="17">
        <f t="shared" si="93"/>
        <v>2.41E-4</v>
      </c>
      <c r="L484" s="10">
        <f t="shared" si="94"/>
        <v>1.3200999999999999E-2</v>
      </c>
      <c r="M484" s="11">
        <f t="shared" si="103"/>
        <v>4.194671844600717</v>
      </c>
      <c r="N484" s="5">
        <f t="shared" si="95"/>
        <v>1.3364867253736272E-2</v>
      </c>
      <c r="O484">
        <f t="shared" si="96"/>
        <v>22378.977599999998</v>
      </c>
      <c r="P484">
        <f t="shared" ca="1" si="97"/>
        <v>22379</v>
      </c>
      <c r="Q484" t="str">
        <f t="shared" ca="1" si="98"/>
        <v>0101011101101011</v>
      </c>
      <c r="R484">
        <f t="shared" ca="1" si="99"/>
        <v>4.1960625</v>
      </c>
      <c r="S484">
        <f t="shared" ca="1" si="100"/>
        <v>70.352750000000015</v>
      </c>
      <c r="T484" s="3">
        <f t="shared" ca="1" si="104"/>
        <v>3.1565249266862341E-2</v>
      </c>
      <c r="W484">
        <f t="shared" si="101"/>
        <v>69.672199778961726</v>
      </c>
      <c r="X484" s="5">
        <f t="shared" si="102"/>
        <v>2.158650702289917E-2</v>
      </c>
    </row>
    <row r="485" spans="8:24" x14ac:dyDescent="0.25">
      <c r="H485">
        <v>68.300000000000011</v>
      </c>
      <c r="I485">
        <v>4.1474625952035336</v>
      </c>
      <c r="J485" s="10">
        <f t="shared" si="92"/>
        <v>5.3000000000000001E-5</v>
      </c>
      <c r="K485" s="17">
        <f t="shared" si="93"/>
        <v>2.42E-4</v>
      </c>
      <c r="L485" s="10">
        <f t="shared" si="94"/>
        <v>1.3232000000000001E-2</v>
      </c>
      <c r="M485" s="11">
        <f t="shared" si="103"/>
        <v>4.2030240088891544</v>
      </c>
      <c r="N485" s="5">
        <f t="shared" si="95"/>
        <v>1.3396483370308541E-2</v>
      </c>
      <c r="O485">
        <f t="shared" si="96"/>
        <v>22423.537199999999</v>
      </c>
      <c r="P485">
        <f t="shared" ca="1" si="97"/>
        <v>22427</v>
      </c>
      <c r="Q485" t="str">
        <f t="shared" ca="1" si="98"/>
        <v>0101011110011011</v>
      </c>
      <c r="R485">
        <f t="shared" ca="1" si="99"/>
        <v>4.2050625000000004</v>
      </c>
      <c r="S485">
        <f t="shared" ca="1" si="100"/>
        <v>70.460750000000019</v>
      </c>
      <c r="T485" s="3">
        <f t="shared" ca="1" si="104"/>
        <v>3.1636163982430555E-2</v>
      </c>
      <c r="W485">
        <f t="shared" si="101"/>
        <v>69.76955114244241</v>
      </c>
      <c r="X485" s="5">
        <f t="shared" si="102"/>
        <v>2.1516122144105389E-2</v>
      </c>
    </row>
    <row r="486" spans="8:24" x14ac:dyDescent="0.25">
      <c r="H486">
        <v>68.400000000000006</v>
      </c>
      <c r="I486">
        <v>4.1560630679103552</v>
      </c>
      <c r="J486" s="10">
        <f t="shared" si="92"/>
        <v>5.3000000000000001E-5</v>
      </c>
      <c r="K486" s="17">
        <f t="shared" si="93"/>
        <v>2.42E-4</v>
      </c>
      <c r="L486" s="10">
        <f t="shared" si="94"/>
        <v>1.3261999999999999E-2</v>
      </c>
      <c r="M486" s="11">
        <f t="shared" si="103"/>
        <v>4.2118678594625472</v>
      </c>
      <c r="N486" s="5">
        <f t="shared" si="95"/>
        <v>1.3427320673516705E-2</v>
      </c>
      <c r="O486">
        <f t="shared" si="96"/>
        <v>22470.720000000001</v>
      </c>
      <c r="P486">
        <f t="shared" ca="1" si="97"/>
        <v>22469</v>
      </c>
      <c r="Q486" t="str">
        <f t="shared" ca="1" si="98"/>
        <v>0101011111000101</v>
      </c>
      <c r="R486">
        <f t="shared" ca="1" si="99"/>
        <v>4.2129374999999998</v>
      </c>
      <c r="S486">
        <f t="shared" ca="1" si="100"/>
        <v>70.555250000000001</v>
      </c>
      <c r="T486" s="3">
        <f t="shared" ca="1" si="104"/>
        <v>3.1509502923976536E-2</v>
      </c>
      <c r="W486">
        <f t="shared" si="101"/>
        <v>69.872756814924273</v>
      </c>
      <c r="X486" s="5">
        <f t="shared" si="102"/>
        <v>2.1531532381933727E-2</v>
      </c>
    </row>
    <row r="487" spans="8:24" x14ac:dyDescent="0.25">
      <c r="H487">
        <v>68.5</v>
      </c>
      <c r="I487">
        <v>4.1641998578106643</v>
      </c>
      <c r="J487" s="10">
        <f t="shared" si="92"/>
        <v>5.3999999999999998E-5</v>
      </c>
      <c r="K487" s="17">
        <f t="shared" si="93"/>
        <v>2.43E-4</v>
      </c>
      <c r="L487" s="10">
        <f t="shared" si="94"/>
        <v>1.3292999999999999E-2</v>
      </c>
      <c r="M487" s="11">
        <f t="shared" si="103"/>
        <v>4.2202455823366654</v>
      </c>
      <c r="N487" s="5">
        <f t="shared" si="95"/>
        <v>1.3458942039219808E-2</v>
      </c>
      <c r="O487">
        <f t="shared" si="96"/>
        <v>22515.4159</v>
      </c>
      <c r="P487">
        <f t="shared" ca="1" si="97"/>
        <v>22518</v>
      </c>
      <c r="Q487" t="str">
        <f t="shared" ca="1" si="98"/>
        <v>0101011111110110</v>
      </c>
      <c r="R487">
        <f t="shared" ca="1" si="99"/>
        <v>4.2221250000000001</v>
      </c>
      <c r="S487">
        <f t="shared" ca="1" si="100"/>
        <v>70.665500000000009</v>
      </c>
      <c r="T487" s="3">
        <f t="shared" ca="1" si="104"/>
        <v>3.1613138686131512E-2</v>
      </c>
      <c r="W487">
        <f t="shared" si="101"/>
        <v>69.970398293727982</v>
      </c>
      <c r="X487" s="5">
        <f t="shared" si="102"/>
        <v>2.1465668521576376E-2</v>
      </c>
    </row>
    <row r="488" spans="8:24" x14ac:dyDescent="0.25">
      <c r="H488">
        <v>68.599999999999994</v>
      </c>
      <c r="I488">
        <v>4.1728223108883418</v>
      </c>
      <c r="J488" s="10">
        <f t="shared" si="92"/>
        <v>5.3999999999999998E-5</v>
      </c>
      <c r="K488" s="17">
        <f t="shared" si="93"/>
        <v>2.43E-4</v>
      </c>
      <c r="L488" s="10">
        <f t="shared" si="94"/>
        <v>1.3323E-2</v>
      </c>
      <c r="M488" s="11">
        <f t="shared" si="103"/>
        <v>4.229112780462442</v>
      </c>
      <c r="N488" s="5">
        <f t="shared" si="95"/>
        <v>1.3489783503893479E-2</v>
      </c>
      <c r="O488">
        <f t="shared" si="96"/>
        <v>22562.723300000001</v>
      </c>
      <c r="P488">
        <f t="shared" ca="1" si="97"/>
        <v>22566</v>
      </c>
      <c r="Q488" t="str">
        <f t="shared" ca="1" si="98"/>
        <v>0101100000100110</v>
      </c>
      <c r="R488">
        <f t="shared" ca="1" si="99"/>
        <v>4.2311250000000005</v>
      </c>
      <c r="S488">
        <f t="shared" ca="1" si="100"/>
        <v>70.773500000000013</v>
      </c>
      <c r="T488" s="3">
        <f t="shared" ca="1" si="104"/>
        <v>3.1683673469388024E-2</v>
      </c>
      <c r="W488">
        <f t="shared" si="101"/>
        <v>70.073867730660112</v>
      </c>
      <c r="X488" s="5">
        <f t="shared" si="102"/>
        <v>2.1484952341984224E-2</v>
      </c>
    </row>
    <row r="489" spans="8:24" x14ac:dyDescent="0.25">
      <c r="H489">
        <v>68.7</v>
      </c>
      <c r="I489">
        <v>4.1809828153426958</v>
      </c>
      <c r="J489" s="10">
        <f t="shared" si="92"/>
        <v>5.5000000000000002E-5</v>
      </c>
      <c r="K489" s="17">
        <f t="shared" si="93"/>
        <v>2.4399999999999999E-4</v>
      </c>
      <c r="L489" s="10">
        <f t="shared" si="94"/>
        <v>1.3354E-2</v>
      </c>
      <c r="M489" s="11">
        <f t="shared" si="103"/>
        <v>4.2375155986470281</v>
      </c>
      <c r="N489" s="5">
        <f t="shared" si="95"/>
        <v>1.3521410108857044E-2</v>
      </c>
      <c r="O489">
        <f t="shared" si="96"/>
        <v>22607.553100000001</v>
      </c>
      <c r="P489">
        <f t="shared" ca="1" si="97"/>
        <v>22607</v>
      </c>
      <c r="Q489" t="str">
        <f t="shared" ca="1" si="98"/>
        <v>0101100001001111</v>
      </c>
      <c r="R489">
        <f t="shared" ca="1" si="99"/>
        <v>4.2388124999999999</v>
      </c>
      <c r="S489">
        <f t="shared" ca="1" si="100"/>
        <v>70.865750000000006</v>
      </c>
      <c r="T489" s="3">
        <f t="shared" ca="1" si="104"/>
        <v>3.1524745269286794E-2</v>
      </c>
      <c r="W489">
        <f t="shared" si="101"/>
        <v>70.171793784112353</v>
      </c>
      <c r="X489" s="5">
        <f t="shared" si="102"/>
        <v>2.1423490307312228E-2</v>
      </c>
    </row>
    <row r="490" spans="8:24" x14ac:dyDescent="0.25">
      <c r="H490">
        <v>68.800000000000011</v>
      </c>
      <c r="I490">
        <v>4.189155494059853</v>
      </c>
      <c r="J490" s="10">
        <f t="shared" si="92"/>
        <v>5.5999999999999999E-5</v>
      </c>
      <c r="K490" s="17">
        <f t="shared" si="93"/>
        <v>2.4399999999999999E-4</v>
      </c>
      <c r="L490" s="10">
        <f t="shared" si="94"/>
        <v>1.3384E-2</v>
      </c>
      <c r="M490" s="11">
        <f t="shared" si="103"/>
        <v>4.2459269807704851</v>
      </c>
      <c r="N490" s="5">
        <f t="shared" si="95"/>
        <v>1.3552012282937001E-2</v>
      </c>
      <c r="O490">
        <f t="shared" si="96"/>
        <v>22652.4287</v>
      </c>
      <c r="P490">
        <f t="shared" ca="1" si="97"/>
        <v>22650</v>
      </c>
      <c r="Q490" t="str">
        <f t="shared" ca="1" si="98"/>
        <v>0101100001111010</v>
      </c>
      <c r="R490">
        <f t="shared" ca="1" si="99"/>
        <v>4.2468750000000002</v>
      </c>
      <c r="S490">
        <f t="shared" ca="1" si="100"/>
        <v>70.962500000000006</v>
      </c>
      <c r="T490" s="3">
        <f t="shared" ca="1" si="104"/>
        <v>3.1431686046511538E-2</v>
      </c>
      <c r="W490">
        <f t="shared" si="101"/>
        <v>70.269865928718247</v>
      </c>
      <c r="X490" s="5">
        <f t="shared" si="102"/>
        <v>2.1364330359276672E-2</v>
      </c>
    </row>
    <row r="491" spans="8:24" x14ac:dyDescent="0.25">
      <c r="H491">
        <v>68.900000000000006</v>
      </c>
      <c r="I491">
        <v>4.1968699101756881</v>
      </c>
      <c r="J491" s="10">
        <f t="shared" si="92"/>
        <v>5.5999999999999999E-5</v>
      </c>
      <c r="K491" s="17">
        <f t="shared" si="93"/>
        <v>2.4499999999999999E-4</v>
      </c>
      <c r="L491" s="10">
        <f t="shared" si="94"/>
        <v>1.3415E-2</v>
      </c>
      <c r="M491" s="11">
        <f t="shared" si="103"/>
        <v>4.253879706437548</v>
      </c>
      <c r="N491" s="5">
        <f t="shared" si="95"/>
        <v>1.3583884533479224E-2</v>
      </c>
      <c r="O491">
        <f t="shared" si="96"/>
        <v>22694.857199999999</v>
      </c>
      <c r="P491">
        <f t="shared" ca="1" si="97"/>
        <v>22692</v>
      </c>
      <c r="Q491" t="str">
        <f t="shared" ca="1" si="98"/>
        <v>0101100010100100</v>
      </c>
      <c r="R491">
        <f t="shared" ca="1" si="99"/>
        <v>4.2547500000000005</v>
      </c>
      <c r="S491">
        <f t="shared" ca="1" si="100"/>
        <v>71.057000000000016</v>
      </c>
      <c r="T491" s="3">
        <f t="shared" ca="1" si="104"/>
        <v>3.1306240928882588E-2</v>
      </c>
      <c r="W491">
        <f t="shared" si="101"/>
        <v>70.362438922108268</v>
      </c>
      <c r="X491" s="5">
        <f t="shared" si="102"/>
        <v>2.1225528622761426E-2</v>
      </c>
    </row>
    <row r="492" spans="8:24" x14ac:dyDescent="0.25">
      <c r="H492">
        <v>69</v>
      </c>
      <c r="I492">
        <v>4.2050675668715956</v>
      </c>
      <c r="J492" s="10">
        <f t="shared" si="92"/>
        <v>5.7000000000000003E-5</v>
      </c>
      <c r="K492" s="17">
        <f t="shared" si="93"/>
        <v>2.4499999999999999E-4</v>
      </c>
      <c r="L492" s="10">
        <f t="shared" si="94"/>
        <v>1.3445E-2</v>
      </c>
      <c r="M492" s="11">
        <f t="shared" si="103"/>
        <v>4.2623174246459605</v>
      </c>
      <c r="N492" s="5">
        <f t="shared" si="95"/>
        <v>1.3614491768311017E-2</v>
      </c>
      <c r="O492">
        <f t="shared" si="96"/>
        <v>22739.873299999999</v>
      </c>
      <c r="P492">
        <f t="shared" ca="1" si="97"/>
        <v>22743</v>
      </c>
      <c r="Q492" t="str">
        <f t="shared" ca="1" si="98"/>
        <v>0101100011010111</v>
      </c>
      <c r="R492">
        <f t="shared" ca="1" si="99"/>
        <v>4.2643125</v>
      </c>
      <c r="S492">
        <f t="shared" ca="1" si="100"/>
        <v>71.171750000000003</v>
      </c>
      <c r="T492" s="3">
        <f t="shared" ca="1" si="104"/>
        <v>3.1474637681159462E-2</v>
      </c>
      <c r="W492">
        <f t="shared" si="101"/>
        <v>70.46081080245915</v>
      </c>
      <c r="X492" s="5">
        <f t="shared" si="102"/>
        <v>2.1171171050132612E-2</v>
      </c>
    </row>
    <row r="493" spans="8:24" x14ac:dyDescent="0.25">
      <c r="H493">
        <v>69.099999999999994</v>
      </c>
      <c r="I493">
        <v>4.2132770492790517</v>
      </c>
      <c r="J493" s="10">
        <f t="shared" si="92"/>
        <v>5.7000000000000003E-5</v>
      </c>
      <c r="K493" s="17">
        <f t="shared" si="93"/>
        <v>2.4600000000000002E-4</v>
      </c>
      <c r="L493" s="10">
        <f t="shared" si="94"/>
        <v>1.3476E-2</v>
      </c>
      <c r="M493" s="11">
        <f t="shared" si="103"/>
        <v>4.2707729860389119</v>
      </c>
      <c r="N493" s="5">
        <f t="shared" si="95"/>
        <v>1.3646369817930328E-2</v>
      </c>
      <c r="O493">
        <f t="shared" si="96"/>
        <v>22784.984499999999</v>
      </c>
      <c r="P493">
        <f t="shared" ca="1" si="97"/>
        <v>22789</v>
      </c>
      <c r="Q493" t="str">
        <f t="shared" ca="1" si="98"/>
        <v>0101100100000101</v>
      </c>
      <c r="R493">
        <f t="shared" ca="1" si="99"/>
        <v>4.2729375000000003</v>
      </c>
      <c r="S493">
        <f t="shared" ca="1" si="100"/>
        <v>71.275250000000014</v>
      </c>
      <c r="T493" s="3">
        <f t="shared" ca="1" si="104"/>
        <v>3.1479739507959764E-2</v>
      </c>
      <c r="W493">
        <f t="shared" si="101"/>
        <v>70.559324591348627</v>
      </c>
      <c r="X493" s="5">
        <f t="shared" si="102"/>
        <v>2.1119024476825368E-2</v>
      </c>
    </row>
    <row r="494" spans="8:24" x14ac:dyDescent="0.25">
      <c r="H494">
        <v>69.2</v>
      </c>
      <c r="I494">
        <v>4.2214982427205348</v>
      </c>
      <c r="J494" s="10">
        <f t="shared" si="92"/>
        <v>5.8E-5</v>
      </c>
      <c r="K494" s="17">
        <f t="shared" si="93"/>
        <v>2.4600000000000002E-4</v>
      </c>
      <c r="L494" s="10">
        <f t="shared" si="94"/>
        <v>1.3506000000000001E-2</v>
      </c>
      <c r="M494" s="11">
        <f t="shared" si="103"/>
        <v>4.279235598716804</v>
      </c>
      <c r="N494" s="5">
        <f t="shared" si="95"/>
        <v>1.3676982122598392E-2</v>
      </c>
      <c r="O494">
        <f t="shared" si="96"/>
        <v>22830.133399999999</v>
      </c>
      <c r="P494">
        <f t="shared" ca="1" si="97"/>
        <v>22830</v>
      </c>
      <c r="Q494" t="str">
        <f t="shared" ca="1" si="98"/>
        <v>0101100100101110</v>
      </c>
      <c r="R494">
        <f t="shared" ca="1" si="99"/>
        <v>4.2806249999999997</v>
      </c>
      <c r="S494">
        <f t="shared" ca="1" si="100"/>
        <v>71.367500000000007</v>
      </c>
      <c r="T494" s="3">
        <f t="shared" ca="1" si="104"/>
        <v>3.1322254335260175E-2</v>
      </c>
      <c r="W494">
        <f t="shared" si="101"/>
        <v>70.657978912646428</v>
      </c>
      <c r="X494" s="5">
        <f t="shared" si="102"/>
        <v>2.1069059431306717E-2</v>
      </c>
    </row>
    <row r="495" spans="8:24" x14ac:dyDescent="0.25">
      <c r="H495">
        <v>69.300000000000011</v>
      </c>
      <c r="I495">
        <v>4.2297310323439525</v>
      </c>
      <c r="J495" s="10">
        <f t="shared" si="92"/>
        <v>5.8E-5</v>
      </c>
      <c r="K495" s="17">
        <f t="shared" si="93"/>
        <v>2.4699999999999999E-4</v>
      </c>
      <c r="L495" s="10">
        <f t="shared" si="94"/>
        <v>1.3537E-2</v>
      </c>
      <c r="M495" s="11">
        <f t="shared" si="103"/>
        <v>4.2877158416929504</v>
      </c>
      <c r="N495" s="5">
        <f t="shared" si="95"/>
        <v>1.3708864442112039E-2</v>
      </c>
      <c r="O495">
        <f t="shared" si="96"/>
        <v>22875.3763</v>
      </c>
      <c r="P495">
        <f t="shared" ca="1" si="97"/>
        <v>22874</v>
      </c>
      <c r="Q495" t="str">
        <f t="shared" ca="1" si="98"/>
        <v>0101100101011010</v>
      </c>
      <c r="R495">
        <f t="shared" ca="1" si="99"/>
        <v>4.288875</v>
      </c>
      <c r="S495">
        <f t="shared" ca="1" si="100"/>
        <v>71.466500000000011</v>
      </c>
      <c r="T495" s="3">
        <f t="shared" ca="1" si="104"/>
        <v>3.1262626262626249E-2</v>
      </c>
      <c r="W495">
        <f t="shared" si="101"/>
        <v>70.756772388127445</v>
      </c>
      <c r="X495" s="5">
        <f t="shared" si="102"/>
        <v>2.1021246581925439E-2</v>
      </c>
    </row>
    <row r="496" spans="8:24" x14ac:dyDescent="0.25">
      <c r="H496">
        <v>69.400000000000006</v>
      </c>
      <c r="I496">
        <v>4.2379753034722167</v>
      </c>
      <c r="J496" s="10">
        <f t="shared" si="92"/>
        <v>5.8999999999999998E-5</v>
      </c>
      <c r="K496" s="17">
        <f t="shared" si="93"/>
        <v>2.4699999999999999E-4</v>
      </c>
      <c r="L496" s="10">
        <f t="shared" si="94"/>
        <v>1.3566999999999999E-2</v>
      </c>
      <c r="M496" s="11">
        <f t="shared" si="103"/>
        <v>4.2962028880544514</v>
      </c>
      <c r="N496" s="5">
        <f t="shared" si="95"/>
        <v>1.3739481807392363E-2</v>
      </c>
      <c r="O496">
        <f t="shared" si="96"/>
        <v>22920.655500000001</v>
      </c>
      <c r="P496">
        <f t="shared" ca="1" si="97"/>
        <v>22920</v>
      </c>
      <c r="Q496" t="str">
        <f t="shared" ca="1" si="98"/>
        <v>0101100110001000</v>
      </c>
      <c r="R496">
        <f t="shared" ca="1" si="99"/>
        <v>4.2975000000000003</v>
      </c>
      <c r="S496">
        <f t="shared" ca="1" si="100"/>
        <v>71.570000000000007</v>
      </c>
      <c r="T496" s="3">
        <f t="shared" ca="1" si="104"/>
        <v>3.1268011527377543E-2</v>
      </c>
      <c r="W496">
        <f t="shared" si="101"/>
        <v>70.855703641666608</v>
      </c>
      <c r="X496" s="5">
        <f t="shared" si="102"/>
        <v>2.0975556796348733E-2</v>
      </c>
    </row>
    <row r="497" spans="8:24" x14ac:dyDescent="0.25">
      <c r="H497">
        <v>69.5</v>
      </c>
      <c r="I497">
        <v>4.2462309414853827</v>
      </c>
      <c r="J497" s="10">
        <f t="shared" si="92"/>
        <v>6.0000000000000002E-5</v>
      </c>
      <c r="K497" s="17">
        <f t="shared" si="93"/>
        <v>2.4800000000000001E-4</v>
      </c>
      <c r="L497" s="10">
        <f t="shared" si="94"/>
        <v>1.3598000000000001E-2</v>
      </c>
      <c r="M497" s="11">
        <f t="shared" si="103"/>
        <v>4.3047063382732214</v>
      </c>
      <c r="N497" s="5">
        <f t="shared" si="95"/>
        <v>1.3771129642652749E-2</v>
      </c>
      <c r="O497">
        <f t="shared" si="96"/>
        <v>22966.022199999999</v>
      </c>
      <c r="P497">
        <f t="shared" ca="1" si="97"/>
        <v>22967</v>
      </c>
      <c r="Q497" t="str">
        <f t="shared" ca="1" si="98"/>
        <v>0101100110110111</v>
      </c>
      <c r="R497">
        <f t="shared" ca="1" si="99"/>
        <v>4.3063124999999998</v>
      </c>
      <c r="S497">
        <f t="shared" ca="1" si="100"/>
        <v>71.675750000000008</v>
      </c>
      <c r="T497" s="3">
        <f t="shared" ca="1" si="104"/>
        <v>3.1305755395683567E-2</v>
      </c>
      <c r="W497">
        <f t="shared" si="101"/>
        <v>70.954771297824607</v>
      </c>
      <c r="X497" s="5">
        <f t="shared" si="102"/>
        <v>2.0931961119778516E-2</v>
      </c>
    </row>
    <row r="498" spans="8:24" x14ac:dyDescent="0.25">
      <c r="H498">
        <v>69.599999999999994</v>
      </c>
      <c r="I498">
        <v>4.254034321552874</v>
      </c>
      <c r="J498" s="10">
        <f t="shared" si="92"/>
        <v>6.0000000000000002E-5</v>
      </c>
      <c r="K498" s="17">
        <f t="shared" si="93"/>
        <v>2.4800000000000001E-4</v>
      </c>
      <c r="L498" s="10">
        <f t="shared" si="94"/>
        <v>1.3627999999999999E-2</v>
      </c>
      <c r="M498" s="11">
        <f t="shared" si="103"/>
        <v>4.3127484575321215</v>
      </c>
      <c r="N498" s="5">
        <f t="shared" si="95"/>
        <v>1.3801989250950572E-2</v>
      </c>
      <c r="O498">
        <f t="shared" si="96"/>
        <v>23008.9277</v>
      </c>
      <c r="P498">
        <f t="shared" ca="1" si="97"/>
        <v>23008</v>
      </c>
      <c r="Q498" t="str">
        <f t="shared" ca="1" si="98"/>
        <v>0101100111100000</v>
      </c>
      <c r="R498">
        <f t="shared" ca="1" si="99"/>
        <v>4.3140000000000001</v>
      </c>
      <c r="S498">
        <f t="shared" ca="1" si="100"/>
        <v>71.768000000000015</v>
      </c>
      <c r="T498" s="3">
        <f t="shared" ca="1" si="104"/>
        <v>3.1149425287356619E-2</v>
      </c>
      <c r="W498">
        <f t="shared" si="101"/>
        <v>71.048411858634495</v>
      </c>
      <c r="X498" s="5">
        <f t="shared" si="102"/>
        <v>2.0810515210265813E-2</v>
      </c>
    </row>
    <row r="499" spans="8:24" x14ac:dyDescent="0.25">
      <c r="H499">
        <v>69.7</v>
      </c>
      <c r="I499">
        <v>4.2627758627557375</v>
      </c>
      <c r="J499" s="10">
        <f t="shared" si="92"/>
        <v>6.0999999999999999E-5</v>
      </c>
      <c r="K499" s="17">
        <f t="shared" si="93"/>
        <v>2.4899999999999998E-4</v>
      </c>
      <c r="L499" s="10">
        <f t="shared" si="94"/>
        <v>1.3658999999999999E-2</v>
      </c>
      <c r="M499" s="11">
        <f t="shared" si="103"/>
        <v>4.3217455857109641</v>
      </c>
      <c r="N499" s="5">
        <f t="shared" si="95"/>
        <v>1.3833643816568092E-2</v>
      </c>
      <c r="O499">
        <f t="shared" si="96"/>
        <v>23056.928199999998</v>
      </c>
      <c r="P499">
        <f t="shared" ca="1" si="97"/>
        <v>23060</v>
      </c>
      <c r="Q499" t="str">
        <f t="shared" ca="1" si="98"/>
        <v>0101101000010100</v>
      </c>
      <c r="R499">
        <f t="shared" ca="1" si="99"/>
        <v>4.3237500000000004</v>
      </c>
      <c r="S499">
        <f t="shared" ca="1" si="100"/>
        <v>71.885000000000019</v>
      </c>
      <c r="T499" s="3">
        <f t="shared" ca="1" si="104"/>
        <v>3.1348637015782159E-2</v>
      </c>
      <c r="W499">
        <f t="shared" si="101"/>
        <v>71.153310353068861</v>
      </c>
      <c r="X499" s="5">
        <f t="shared" si="102"/>
        <v>2.0850937633699537E-2</v>
      </c>
    </row>
    <row r="500" spans="8:24" x14ac:dyDescent="0.25">
      <c r="H500">
        <v>69.800000000000011</v>
      </c>
      <c r="I500">
        <v>4.2710649185104952</v>
      </c>
      <c r="J500" s="10">
        <f t="shared" si="92"/>
        <v>6.0999999999999999E-5</v>
      </c>
      <c r="K500" s="17">
        <f t="shared" si="93"/>
        <v>2.4899999999999998E-4</v>
      </c>
      <c r="L500" s="10">
        <f t="shared" si="94"/>
        <v>1.3689E-2</v>
      </c>
      <c r="M500" s="11">
        <f t="shared" si="103"/>
        <v>4.3302811369948175</v>
      </c>
      <c r="N500" s="5">
        <f t="shared" si="95"/>
        <v>1.3864509112863965E-2</v>
      </c>
      <c r="O500">
        <f t="shared" si="96"/>
        <v>23102.466199999999</v>
      </c>
      <c r="P500">
        <f t="shared" ca="1" si="97"/>
        <v>23101</v>
      </c>
      <c r="Q500" t="str">
        <f t="shared" ca="1" si="98"/>
        <v>0101101000111101</v>
      </c>
      <c r="R500">
        <f t="shared" ca="1" si="99"/>
        <v>4.3314374999999998</v>
      </c>
      <c r="S500">
        <f t="shared" ca="1" si="100"/>
        <v>71.977250000000012</v>
      </c>
      <c r="T500" s="3">
        <f t="shared" ca="1" si="104"/>
        <v>3.1192693409742126E-2</v>
      </c>
      <c r="W500">
        <f t="shared" si="101"/>
        <v>71.252779022125949</v>
      </c>
      <c r="X500" s="5">
        <f t="shared" si="102"/>
        <v>2.0813453039053551E-2</v>
      </c>
    </row>
    <row r="501" spans="8:24" x14ac:dyDescent="0.25">
      <c r="H501">
        <v>69.900000000000006</v>
      </c>
      <c r="I501">
        <v>4.2789042738090561</v>
      </c>
      <c r="J501" s="10">
        <f t="shared" si="92"/>
        <v>6.2000000000000003E-5</v>
      </c>
      <c r="K501" s="17">
        <f t="shared" si="93"/>
        <v>2.5000000000000001E-4</v>
      </c>
      <c r="L501" s="10">
        <f t="shared" si="94"/>
        <v>1.372E-2</v>
      </c>
      <c r="M501" s="11">
        <f t="shared" si="103"/>
        <v>4.3383646366235311</v>
      </c>
      <c r="N501" s="5">
        <f t="shared" si="95"/>
        <v>1.3896165702614259E-2</v>
      </c>
      <c r="O501">
        <f t="shared" si="96"/>
        <v>23145.592499999999</v>
      </c>
      <c r="P501">
        <f t="shared" ca="1" si="97"/>
        <v>23147</v>
      </c>
      <c r="Q501" t="str">
        <f t="shared" ca="1" si="98"/>
        <v>0101101001101011</v>
      </c>
      <c r="R501">
        <f t="shared" ca="1" si="99"/>
        <v>4.3400625000000002</v>
      </c>
      <c r="S501">
        <f t="shared" ca="1" si="100"/>
        <v>72.080750000000009</v>
      </c>
      <c r="T501" s="3">
        <f t="shared" ca="1" si="104"/>
        <v>3.1198140200286169E-2</v>
      </c>
      <c r="W501">
        <f t="shared" si="101"/>
        <v>71.346851285708681</v>
      </c>
      <c r="X501" s="5">
        <f t="shared" si="102"/>
        <v>2.069887390141166E-2</v>
      </c>
    </row>
    <row r="502" spans="8:24" x14ac:dyDescent="0.25">
      <c r="H502">
        <v>70</v>
      </c>
      <c r="I502">
        <v>4.287216004893585</v>
      </c>
      <c r="J502" s="10">
        <f t="shared" si="92"/>
        <v>6.3E-5</v>
      </c>
      <c r="K502" s="17">
        <f t="shared" si="93"/>
        <v>2.5000000000000001E-4</v>
      </c>
      <c r="L502" s="10">
        <f t="shared" si="94"/>
        <v>1.375E-2</v>
      </c>
      <c r="M502" s="11">
        <f t="shared" si="103"/>
        <v>4.3469231988781596</v>
      </c>
      <c r="N502" s="5">
        <f t="shared" si="95"/>
        <v>1.3926798630258566E-2</v>
      </c>
      <c r="O502">
        <f t="shared" si="96"/>
        <v>23191.253199999999</v>
      </c>
      <c r="P502">
        <f t="shared" ca="1" si="97"/>
        <v>23190</v>
      </c>
      <c r="Q502" t="str">
        <f t="shared" ca="1" si="98"/>
        <v>0101101010010110</v>
      </c>
      <c r="R502">
        <f t="shared" ca="1" si="99"/>
        <v>4.3481250000000005</v>
      </c>
      <c r="S502">
        <f t="shared" ca="1" si="100"/>
        <v>72.177500000000009</v>
      </c>
      <c r="T502" s="3">
        <f t="shared" ca="1" si="104"/>
        <v>3.1107142857142986E-2</v>
      </c>
      <c r="W502">
        <f t="shared" si="101"/>
        <v>71.446592058723027</v>
      </c>
      <c r="X502" s="5">
        <f t="shared" si="102"/>
        <v>2.0665600838900389E-2</v>
      </c>
    </row>
    <row r="503" spans="8:24" x14ac:dyDescent="0.25">
      <c r="H503">
        <v>70.099999999999994</v>
      </c>
      <c r="I503">
        <v>4.2946210507087628</v>
      </c>
      <c r="J503" s="10">
        <f t="shared" si="92"/>
        <v>6.3E-5</v>
      </c>
      <c r="K503" s="17">
        <f t="shared" si="93"/>
        <v>2.5099999999999998E-4</v>
      </c>
      <c r="L503" s="10">
        <f t="shared" si="94"/>
        <v>1.3781E-2</v>
      </c>
      <c r="M503" s="11">
        <f t="shared" si="103"/>
        <v>4.3545683572398861</v>
      </c>
      <c r="N503" s="5">
        <f t="shared" si="95"/>
        <v>1.395869526630992E-2</v>
      </c>
      <c r="O503">
        <f t="shared" si="96"/>
        <v>23232.0409</v>
      </c>
      <c r="P503">
        <f t="shared" ca="1" si="97"/>
        <v>23236</v>
      </c>
      <c r="Q503" t="str">
        <f t="shared" ca="1" si="98"/>
        <v>0101101011000100</v>
      </c>
      <c r="R503">
        <f t="shared" ca="1" si="99"/>
        <v>4.3567499999999999</v>
      </c>
      <c r="S503">
        <f t="shared" ca="1" si="100"/>
        <v>72.281000000000006</v>
      </c>
      <c r="T503" s="3">
        <f t="shared" ca="1" si="104"/>
        <v>3.1112696148359653E-2</v>
      </c>
      <c r="W503">
        <f t="shared" si="101"/>
        <v>71.535452608505167</v>
      </c>
      <c r="X503" s="5">
        <f t="shared" si="102"/>
        <v>2.0477212674824153E-2</v>
      </c>
    </row>
    <row r="504" spans="8:24" x14ac:dyDescent="0.25">
      <c r="H504">
        <v>70.2</v>
      </c>
      <c r="I504">
        <v>4.3034136847425355</v>
      </c>
      <c r="J504" s="10">
        <f t="shared" si="92"/>
        <v>6.3999999999999997E-5</v>
      </c>
      <c r="K504" s="17">
        <f t="shared" si="93"/>
        <v>2.5099999999999998E-4</v>
      </c>
      <c r="L504" s="10">
        <f t="shared" si="94"/>
        <v>1.3811E-2</v>
      </c>
      <c r="M504" s="11">
        <f t="shared" si="103"/>
        <v>4.3636155795111646</v>
      </c>
      <c r="N504" s="5">
        <f t="shared" si="95"/>
        <v>1.3989334788349751E-2</v>
      </c>
      <c r="O504">
        <f t="shared" si="96"/>
        <v>23280.308700000001</v>
      </c>
      <c r="P504">
        <f t="shared" ca="1" si="97"/>
        <v>23279</v>
      </c>
      <c r="Q504" t="str">
        <f t="shared" ca="1" si="98"/>
        <v>0101101011101111</v>
      </c>
      <c r="R504">
        <f t="shared" ca="1" si="99"/>
        <v>4.3648125000000002</v>
      </c>
      <c r="S504">
        <f t="shared" ca="1" si="100"/>
        <v>72.377750000000006</v>
      </c>
      <c r="T504" s="3">
        <f t="shared" ca="1" si="104"/>
        <v>3.1022079772079818E-2</v>
      </c>
      <c r="W504">
        <f t="shared" si="101"/>
        <v>71.640964216910433</v>
      </c>
      <c r="X504" s="5">
        <f t="shared" si="102"/>
        <v>2.0526555796444874E-2</v>
      </c>
    </row>
    <row r="505" spans="8:24" x14ac:dyDescent="0.25">
      <c r="H505">
        <v>70.300000000000011</v>
      </c>
      <c r="I505">
        <v>4.3113013293483604</v>
      </c>
      <c r="J505" s="10">
        <f t="shared" si="92"/>
        <v>6.3999999999999997E-5</v>
      </c>
      <c r="K505" s="17">
        <f t="shared" si="93"/>
        <v>2.52E-4</v>
      </c>
      <c r="L505" s="10">
        <f t="shared" si="94"/>
        <v>1.3842E-2</v>
      </c>
      <c r="M505" s="11">
        <f t="shared" si="103"/>
        <v>4.3717511081878975</v>
      </c>
      <c r="N505" s="5">
        <f t="shared" si="95"/>
        <v>1.4021237260322478E-2</v>
      </c>
      <c r="O505">
        <f t="shared" si="96"/>
        <v>23323.712500000001</v>
      </c>
      <c r="P505">
        <f t="shared" ca="1" si="97"/>
        <v>23325</v>
      </c>
      <c r="Q505" t="str">
        <f t="shared" ca="1" si="98"/>
        <v>0101101100011101</v>
      </c>
      <c r="R505">
        <f t="shared" ca="1" si="99"/>
        <v>4.3734375000000005</v>
      </c>
      <c r="S505">
        <f t="shared" ca="1" si="100"/>
        <v>72.481250000000017</v>
      </c>
      <c r="T505" s="3">
        <f t="shared" ca="1" si="104"/>
        <v>3.1027738264580447E-2</v>
      </c>
      <c r="W505">
        <f t="shared" si="101"/>
        <v>71.735615952180339</v>
      </c>
      <c r="X505" s="5">
        <f t="shared" si="102"/>
        <v>2.0421279547373081E-2</v>
      </c>
    </row>
    <row r="506" spans="8:24" x14ac:dyDescent="0.25">
      <c r="H506">
        <v>70.400000000000006</v>
      </c>
      <c r="I506">
        <v>4.3187454354574006</v>
      </c>
      <c r="J506" s="10">
        <f t="shared" si="92"/>
        <v>6.4999999999999994E-5</v>
      </c>
      <c r="K506" s="17">
        <f t="shared" si="93"/>
        <v>2.52E-4</v>
      </c>
      <c r="L506" s="10">
        <f t="shared" si="94"/>
        <v>1.3872000000000001E-2</v>
      </c>
      <c r="M506" s="11">
        <f t="shared" si="103"/>
        <v>4.3794319149820309</v>
      </c>
      <c r="N506" s="5">
        <f t="shared" si="95"/>
        <v>1.4051876970193059E-2</v>
      </c>
      <c r="O506">
        <f t="shared" si="96"/>
        <v>23364.690299999998</v>
      </c>
      <c r="P506">
        <f t="shared" ca="1" si="97"/>
        <v>23363</v>
      </c>
      <c r="Q506" t="str">
        <f t="shared" ca="1" si="98"/>
        <v>0101101101000011</v>
      </c>
      <c r="R506">
        <f t="shared" ca="1" si="99"/>
        <v>4.3805624999999999</v>
      </c>
      <c r="S506">
        <f t="shared" ca="1" si="100"/>
        <v>72.566750000000013</v>
      </c>
      <c r="T506" s="3">
        <f t="shared" ca="1" si="104"/>
        <v>3.0777698863636467E-2</v>
      </c>
      <c r="W506">
        <f t="shared" si="101"/>
        <v>71.824945225488818</v>
      </c>
      <c r="X506" s="5">
        <f t="shared" si="102"/>
        <v>2.0240699225693361E-2</v>
      </c>
    </row>
    <row r="507" spans="8:24" x14ac:dyDescent="0.25">
      <c r="H507">
        <v>70.5</v>
      </c>
      <c r="I507">
        <v>4.3271132980142601</v>
      </c>
      <c r="J507" s="10">
        <f t="shared" si="92"/>
        <v>6.4999999999999994E-5</v>
      </c>
      <c r="K507" s="17">
        <f t="shared" si="93"/>
        <v>2.5300000000000002E-4</v>
      </c>
      <c r="L507" s="10">
        <f t="shared" si="94"/>
        <v>1.3903E-2</v>
      </c>
      <c r="M507" s="11">
        <f t="shared" si="103"/>
        <v>4.388055432695019</v>
      </c>
      <c r="N507" s="5">
        <f t="shared" si="95"/>
        <v>1.4083785305257793E-2</v>
      </c>
      <c r="O507">
        <f t="shared" si="96"/>
        <v>23410.6976</v>
      </c>
      <c r="P507">
        <f t="shared" ca="1" si="97"/>
        <v>23408</v>
      </c>
      <c r="Q507" t="str">
        <f t="shared" ca="1" si="98"/>
        <v>0101101101110000</v>
      </c>
      <c r="R507">
        <f t="shared" ca="1" si="99"/>
        <v>4.3890000000000002</v>
      </c>
      <c r="S507">
        <f t="shared" ca="1" si="100"/>
        <v>72.668000000000006</v>
      </c>
      <c r="T507" s="3">
        <f t="shared" ca="1" si="104"/>
        <v>3.0751773049645482E-2</v>
      </c>
      <c r="W507">
        <f t="shared" si="101"/>
        <v>71.925359576171132</v>
      </c>
      <c r="X507" s="5">
        <f t="shared" si="102"/>
        <v>2.0217866328668545E-2</v>
      </c>
    </row>
    <row r="508" spans="8:24" x14ac:dyDescent="0.25">
      <c r="H508">
        <v>70.599999999999994</v>
      </c>
      <c r="I508">
        <v>4.3354912804801291</v>
      </c>
      <c r="J508" s="10">
        <f t="shared" si="92"/>
        <v>6.6000000000000005E-5</v>
      </c>
      <c r="K508" s="17">
        <f t="shared" si="93"/>
        <v>2.5300000000000002E-4</v>
      </c>
      <c r="L508" s="10">
        <f t="shared" si="94"/>
        <v>1.3932999999999999E-2</v>
      </c>
      <c r="M508" s="11">
        <f t="shared" si="103"/>
        <v>4.3966842825894474</v>
      </c>
      <c r="N508" s="5">
        <f t="shared" si="95"/>
        <v>1.411443320964114E-2</v>
      </c>
      <c r="O508">
        <f t="shared" si="96"/>
        <v>23456.733400000001</v>
      </c>
      <c r="P508">
        <f t="shared" ca="1" si="97"/>
        <v>23459</v>
      </c>
      <c r="Q508" t="str">
        <f t="shared" ca="1" si="98"/>
        <v>0101101110100011</v>
      </c>
      <c r="R508">
        <f t="shared" ca="1" si="99"/>
        <v>4.3985624999999997</v>
      </c>
      <c r="S508">
        <f t="shared" ca="1" si="100"/>
        <v>72.782750000000007</v>
      </c>
      <c r="T508" s="3">
        <f t="shared" ca="1" si="104"/>
        <v>3.0917138810198485E-2</v>
      </c>
      <c r="W508">
        <f t="shared" si="101"/>
        <v>72.025895365761556</v>
      </c>
      <c r="X508" s="5">
        <f t="shared" si="102"/>
        <v>2.0196818211920143E-2</v>
      </c>
    </row>
    <row r="509" spans="8:24" x14ac:dyDescent="0.25">
      <c r="H509">
        <v>70.7</v>
      </c>
      <c r="I509">
        <v>4.3438792725782855</v>
      </c>
      <c r="J509" s="10">
        <f t="shared" si="92"/>
        <v>6.7000000000000002E-5</v>
      </c>
      <c r="K509" s="17">
        <f t="shared" si="93"/>
        <v>2.5399999999999999E-4</v>
      </c>
      <c r="L509" s="10">
        <f t="shared" si="94"/>
        <v>1.3964000000000001E-2</v>
      </c>
      <c r="M509" s="11">
        <f t="shared" si="103"/>
        <v>4.4053282766331918</v>
      </c>
      <c r="N509" s="5">
        <f t="shared" si="95"/>
        <v>1.4146112310905352E-2</v>
      </c>
      <c r="O509">
        <f t="shared" si="96"/>
        <v>23502.849900000001</v>
      </c>
      <c r="P509">
        <f t="shared" ca="1" si="97"/>
        <v>23502</v>
      </c>
      <c r="Q509" t="str">
        <f t="shared" ca="1" si="98"/>
        <v>0101101111001110</v>
      </c>
      <c r="R509">
        <f t="shared" ca="1" si="99"/>
        <v>4.406625</v>
      </c>
      <c r="S509">
        <f t="shared" ca="1" si="100"/>
        <v>72.879500000000007</v>
      </c>
      <c r="T509" s="3">
        <f t="shared" ca="1" si="104"/>
        <v>3.082743988684589E-2</v>
      </c>
      <c r="W509">
        <f t="shared" si="101"/>
        <v>72.12655127093943</v>
      </c>
      <c r="X509" s="5">
        <f t="shared" si="102"/>
        <v>2.0177528584716085E-2</v>
      </c>
    </row>
    <row r="510" spans="8:24" x14ac:dyDescent="0.25">
      <c r="H510">
        <v>70.800000000000011</v>
      </c>
      <c r="I510">
        <v>4.351373197900573</v>
      </c>
      <c r="J510" s="10">
        <f t="shared" si="92"/>
        <v>6.7000000000000002E-5</v>
      </c>
      <c r="K510" s="17">
        <f t="shared" si="93"/>
        <v>2.5399999999999999E-4</v>
      </c>
      <c r="L510" s="10">
        <f t="shared" si="94"/>
        <v>1.3993999999999999E-2</v>
      </c>
      <c r="M510" s="11">
        <f t="shared" si="103"/>
        <v>4.4130625958671379</v>
      </c>
      <c r="N510" s="5">
        <f t="shared" si="95"/>
        <v>1.4176995435907103E-2</v>
      </c>
      <c r="O510">
        <f t="shared" si="96"/>
        <v>23544.113300000001</v>
      </c>
      <c r="P510">
        <f t="shared" ca="1" si="97"/>
        <v>23548</v>
      </c>
      <c r="Q510" t="str">
        <f t="shared" ca="1" si="98"/>
        <v>0101101111111100</v>
      </c>
      <c r="R510">
        <f t="shared" ca="1" si="99"/>
        <v>4.4152500000000003</v>
      </c>
      <c r="S510">
        <f t="shared" ca="1" si="100"/>
        <v>72.983000000000018</v>
      </c>
      <c r="T510" s="3">
        <f t="shared" ca="1" si="104"/>
        <v>3.0833333333333428E-2</v>
      </c>
      <c r="W510">
        <f t="shared" si="101"/>
        <v>72.216478374806883</v>
      </c>
      <c r="X510" s="5">
        <f t="shared" si="102"/>
        <v>2.0006756706311739E-2</v>
      </c>
    </row>
    <row r="511" spans="8:24" x14ac:dyDescent="0.25">
      <c r="H511">
        <v>70.900000000000006</v>
      </c>
      <c r="I511">
        <v>4.3593317499779332</v>
      </c>
      <c r="J511" s="10">
        <f t="shared" si="92"/>
        <v>6.7999999999999999E-5</v>
      </c>
      <c r="K511" s="17">
        <f t="shared" si="93"/>
        <v>2.5500000000000002E-4</v>
      </c>
      <c r="L511" s="10">
        <f t="shared" si="94"/>
        <v>1.4024999999999999E-2</v>
      </c>
      <c r="M511" s="11">
        <f t="shared" si="103"/>
        <v>4.4212720910549796</v>
      </c>
      <c r="N511" s="5">
        <f t="shared" si="95"/>
        <v>1.4208677987712229E-2</v>
      </c>
      <c r="O511">
        <f t="shared" si="96"/>
        <v>23587.911700000001</v>
      </c>
      <c r="P511">
        <f t="shared" ca="1" si="97"/>
        <v>23592</v>
      </c>
      <c r="Q511" t="str">
        <f t="shared" ca="1" si="98"/>
        <v>0101110000101000</v>
      </c>
      <c r="R511">
        <f t="shared" ca="1" si="99"/>
        <v>4.4234999999999998</v>
      </c>
      <c r="S511">
        <f t="shared" ca="1" si="100"/>
        <v>73.082000000000008</v>
      </c>
      <c r="T511" s="3">
        <f t="shared" ca="1" si="104"/>
        <v>3.0775740479548688E-2</v>
      </c>
      <c r="W511">
        <f t="shared" si="101"/>
        <v>72.311980999735212</v>
      </c>
      <c r="X511" s="5">
        <f t="shared" si="102"/>
        <v>1.9915105779057918E-2</v>
      </c>
    </row>
    <row r="512" spans="8:24" x14ac:dyDescent="0.25">
      <c r="H512">
        <v>71</v>
      </c>
      <c r="I512">
        <v>4.3677519566285117</v>
      </c>
      <c r="J512" s="10">
        <f t="shared" si="92"/>
        <v>6.7999999999999999E-5</v>
      </c>
      <c r="K512" s="17">
        <f t="shared" si="93"/>
        <v>2.5500000000000002E-4</v>
      </c>
      <c r="L512" s="10">
        <f t="shared" si="94"/>
        <v>1.4055E-2</v>
      </c>
      <c r="M512" s="11">
        <f t="shared" si="103"/>
        <v>4.4299468597421887</v>
      </c>
      <c r="N512" s="5">
        <f t="shared" si="95"/>
        <v>1.4239568485405836E-2</v>
      </c>
      <c r="O512">
        <f t="shared" si="96"/>
        <v>23634.1924</v>
      </c>
      <c r="P512">
        <f t="shared" ca="1" si="97"/>
        <v>23633</v>
      </c>
      <c r="Q512" t="str">
        <f t="shared" ca="1" si="98"/>
        <v>0101110001010001</v>
      </c>
      <c r="R512">
        <f t="shared" ca="1" si="99"/>
        <v>4.4311875000000001</v>
      </c>
      <c r="S512">
        <f t="shared" ca="1" si="100"/>
        <v>73.174250000000015</v>
      </c>
      <c r="T512" s="3">
        <f t="shared" ca="1" si="104"/>
        <v>3.0623239436619928E-2</v>
      </c>
      <c r="W512">
        <f t="shared" si="101"/>
        <v>72.413023479542147</v>
      </c>
      <c r="X512" s="5">
        <f t="shared" si="102"/>
        <v>1.9901739148480948E-2</v>
      </c>
    </row>
    <row r="513" spans="8:24" x14ac:dyDescent="0.25">
      <c r="H513">
        <v>71.099999999999994</v>
      </c>
      <c r="I513">
        <v>4.375732597847116</v>
      </c>
      <c r="J513" s="10">
        <f t="shared" si="92"/>
        <v>6.8999999999999997E-5</v>
      </c>
      <c r="K513" s="17">
        <f t="shared" si="93"/>
        <v>2.5599999999999999E-4</v>
      </c>
      <c r="L513" s="10">
        <f t="shared" si="94"/>
        <v>1.4086E-2</v>
      </c>
      <c r="M513" s="11">
        <f t="shared" si="103"/>
        <v>4.4381797984886271</v>
      </c>
      <c r="N513" s="5">
        <f t="shared" si="95"/>
        <v>1.4271256125713774E-2</v>
      </c>
      <c r="O513">
        <f t="shared" si="96"/>
        <v>23678.115900000001</v>
      </c>
      <c r="P513">
        <f t="shared" ca="1" si="97"/>
        <v>23681</v>
      </c>
      <c r="Q513" t="str">
        <f t="shared" ca="1" si="98"/>
        <v>0101110010000001</v>
      </c>
      <c r="R513">
        <f t="shared" ca="1" si="99"/>
        <v>4.4401875000000004</v>
      </c>
      <c r="S513">
        <f t="shared" ca="1" si="100"/>
        <v>73.282250000000019</v>
      </c>
      <c r="T513" s="3">
        <f t="shared" ca="1" si="104"/>
        <v>3.0692686357243669E-2</v>
      </c>
      <c r="W513">
        <f t="shared" si="101"/>
        <v>72.508791174165395</v>
      </c>
      <c r="X513" s="5">
        <f t="shared" si="102"/>
        <v>1.9814221858866402E-2</v>
      </c>
    </row>
    <row r="514" spans="8:24" x14ac:dyDescent="0.25">
      <c r="H514">
        <v>71.2</v>
      </c>
      <c r="I514">
        <v>4.383724589443327</v>
      </c>
      <c r="J514" s="10">
        <f t="shared" si="92"/>
        <v>6.8999999999999997E-5</v>
      </c>
      <c r="K514" s="17">
        <f t="shared" si="93"/>
        <v>2.5599999999999999E-4</v>
      </c>
      <c r="L514" s="10">
        <f t="shared" si="94"/>
        <v>1.4116E-2</v>
      </c>
      <c r="M514" s="11">
        <f t="shared" si="103"/>
        <v>4.4464212721205811</v>
      </c>
      <c r="N514" s="5">
        <f t="shared" si="95"/>
        <v>1.4302149096737797E-2</v>
      </c>
      <c r="O514">
        <f t="shared" si="96"/>
        <v>23722.084999999999</v>
      </c>
      <c r="P514">
        <f t="shared" ca="1" si="97"/>
        <v>23724</v>
      </c>
      <c r="Q514" t="str">
        <f t="shared" ca="1" si="98"/>
        <v>0101110010101100</v>
      </c>
      <c r="R514">
        <f t="shared" ca="1" si="99"/>
        <v>4.4482499999999998</v>
      </c>
      <c r="S514">
        <f t="shared" ca="1" si="100"/>
        <v>73.379000000000005</v>
      </c>
      <c r="T514" s="3">
        <f t="shared" ca="1" si="104"/>
        <v>3.0603932584269692E-2</v>
      </c>
      <c r="W514">
        <f t="shared" si="101"/>
        <v>72.604695073319931</v>
      </c>
      <c r="X514" s="5">
        <f t="shared" si="102"/>
        <v>1.9728863389324832E-2</v>
      </c>
    </row>
    <row r="515" spans="8:24" x14ac:dyDescent="0.25">
      <c r="H515">
        <v>71.300000000000011</v>
      </c>
      <c r="I515">
        <v>4.3912805852149104</v>
      </c>
      <c r="J515" s="10">
        <f t="shared" ref="J515:J578" si="105">ROUND(H515*0.00000575 -0.00034,6)</f>
        <v>6.9999999999999994E-5</v>
      </c>
      <c r="K515" s="17">
        <f t="shared" ref="K515:K578" si="106">ROUND(H515*0.000005-0.0001,6)</f>
        <v>2.5700000000000001E-4</v>
      </c>
      <c r="L515" s="10">
        <f t="shared" ref="L515:L578" si="107">ROUND(K515+($C$24*(H515-25)),6)</f>
        <v>1.4147E-2</v>
      </c>
      <c r="M515" s="11">
        <f t="shared" si="103"/>
        <v>4.4542244992051661</v>
      </c>
      <c r="N515" s="5">
        <f t="shared" ref="N515:N578" si="108">ABS(I515-M515)/I515</f>
        <v>1.4333840156373243E-2</v>
      </c>
      <c r="O515">
        <f t="shared" ref="O515:O578" si="109">ROUND((M515*(2^($C$12-1)))/$C$44,4)</f>
        <v>23763.716</v>
      </c>
      <c r="P515">
        <f t="shared" ref="P515:P578" ca="1" si="110">ROUND(O515+$C$47+$C$49+RANDBETWEEN($B$45,$D$45),0)</f>
        <v>23761</v>
      </c>
      <c r="Q515" t="str">
        <f t="shared" ref="Q515:Q578" ca="1" si="111">_xlfn.BASE(P515,2,16)</f>
        <v>0101110011010001</v>
      </c>
      <c r="R515">
        <f t="shared" ref="R515:R578" ca="1" si="112">($C$16/2^($C$12-1)) * P515</f>
        <v>4.4551875000000001</v>
      </c>
      <c r="S515">
        <f t="shared" ref="S515:S578" ca="1" si="113">(R515+5/3)/(1/12)</f>
        <v>73.462250000000012</v>
      </c>
      <c r="T515" s="3">
        <f t="shared" ca="1" si="104"/>
        <v>3.0326086956521739E-2</v>
      </c>
      <c r="W515">
        <f t="shared" ref="W515:W578" si="114">(I515+5/3)/(1/12)</f>
        <v>72.695367022578935</v>
      </c>
      <c r="X515" s="5">
        <f t="shared" ref="X515:X578" si="115">ABS(H515-W515)/H515</f>
        <v>1.9570364973056434E-2</v>
      </c>
    </row>
    <row r="516" spans="8:24" x14ac:dyDescent="0.25">
      <c r="H516">
        <v>71.400000000000006</v>
      </c>
      <c r="I516">
        <v>4.3997421689400626</v>
      </c>
      <c r="J516" s="10">
        <f t="shared" si="105"/>
        <v>7.1000000000000005E-5</v>
      </c>
      <c r="K516" s="17">
        <f t="shared" si="106"/>
        <v>2.5700000000000001E-4</v>
      </c>
      <c r="L516" s="10">
        <f t="shared" si="107"/>
        <v>1.4177E-2</v>
      </c>
      <c r="M516" s="11">
        <f t="shared" ref="M516:M579" si="116">(I516-J516)/(1-L516)</f>
        <v>4.4629423019548771</v>
      </c>
      <c r="N516" s="5">
        <f t="shared" si="108"/>
        <v>1.4364508325277591E-2</v>
      </c>
      <c r="O516">
        <f t="shared" si="109"/>
        <v>23810.226299999998</v>
      </c>
      <c r="P516">
        <f t="shared" ca="1" si="110"/>
        <v>23808</v>
      </c>
      <c r="Q516" t="str">
        <f t="shared" ca="1" si="111"/>
        <v>0101110100000000</v>
      </c>
      <c r="R516">
        <f t="shared" ca="1" si="112"/>
        <v>4.4640000000000004</v>
      </c>
      <c r="S516">
        <f t="shared" ca="1" si="113"/>
        <v>73.568000000000012</v>
      </c>
      <c r="T516" s="3">
        <f t="shared" ref="T516:T579" ca="1" si="117">ABS(H516-S516)/H516</f>
        <v>3.036414565826339E-2</v>
      </c>
      <c r="W516">
        <f t="shared" si="114"/>
        <v>72.796906027280755</v>
      </c>
      <c r="X516" s="5">
        <f t="shared" si="115"/>
        <v>1.9564510186004896E-2</v>
      </c>
    </row>
    <row r="517" spans="8:24" x14ac:dyDescent="0.25">
      <c r="H517">
        <v>71.5</v>
      </c>
      <c r="I517">
        <v>4.4082128749353346</v>
      </c>
      <c r="J517" s="10">
        <f t="shared" si="105"/>
        <v>7.1000000000000005E-5</v>
      </c>
      <c r="K517" s="17">
        <f t="shared" si="106"/>
        <v>2.5799999999999998E-4</v>
      </c>
      <c r="L517" s="10">
        <f t="shared" si="107"/>
        <v>1.4208E-2</v>
      </c>
      <c r="M517" s="11">
        <f t="shared" si="116"/>
        <v>4.4716754395809</v>
      </c>
      <c r="N517" s="5">
        <f t="shared" si="108"/>
        <v>1.4396438295075819E-2</v>
      </c>
      <c r="O517">
        <f t="shared" si="109"/>
        <v>23856.8184</v>
      </c>
      <c r="P517">
        <f t="shared" ca="1" si="110"/>
        <v>23860</v>
      </c>
      <c r="Q517" t="str">
        <f t="shared" ca="1" si="111"/>
        <v>0101110100110100</v>
      </c>
      <c r="R517">
        <f t="shared" ca="1" si="112"/>
        <v>4.4737499999999999</v>
      </c>
      <c r="S517">
        <f t="shared" ca="1" si="113"/>
        <v>73.685000000000002</v>
      </c>
      <c r="T517" s="3">
        <f t="shared" ca="1" si="117"/>
        <v>3.0559440559440591E-2</v>
      </c>
      <c r="W517">
        <f t="shared" si="114"/>
        <v>72.898554499224019</v>
      </c>
      <c r="X517" s="5">
        <f t="shared" si="115"/>
        <v>1.9560202786349921E-2</v>
      </c>
    </row>
    <row r="518" spans="8:24" x14ac:dyDescent="0.25">
      <c r="H518">
        <v>71.599999999999994</v>
      </c>
      <c r="I518">
        <v>4.4158037928701388</v>
      </c>
      <c r="J518" s="10">
        <f t="shared" si="105"/>
        <v>7.2000000000000002E-5</v>
      </c>
      <c r="K518" s="17">
        <f t="shared" si="106"/>
        <v>2.5799999999999998E-4</v>
      </c>
      <c r="L518" s="10">
        <f t="shared" si="107"/>
        <v>1.4238000000000001E-2</v>
      </c>
      <c r="M518" s="11">
        <f t="shared" si="116"/>
        <v>4.4795110715062441</v>
      </c>
      <c r="N518" s="5">
        <f t="shared" si="108"/>
        <v>1.4427108092748263E-2</v>
      </c>
      <c r="O518">
        <f t="shared" si="109"/>
        <v>23898.622299999999</v>
      </c>
      <c r="P518">
        <f t="shared" ca="1" si="110"/>
        <v>23900</v>
      </c>
      <c r="Q518" t="str">
        <f t="shared" ca="1" si="111"/>
        <v>0101110101011100</v>
      </c>
      <c r="R518">
        <f t="shared" ca="1" si="112"/>
        <v>4.4812500000000002</v>
      </c>
      <c r="S518">
        <f t="shared" ca="1" si="113"/>
        <v>73.775000000000006</v>
      </c>
      <c r="T518" s="3">
        <f t="shared" ca="1" si="117"/>
        <v>3.0377094972067201E-2</v>
      </c>
      <c r="W518">
        <f t="shared" si="114"/>
        <v>72.989645514441676</v>
      </c>
      <c r="X518" s="5">
        <f t="shared" si="115"/>
        <v>1.9408456905610084E-2</v>
      </c>
    </row>
    <row r="519" spans="8:24" x14ac:dyDescent="0.25">
      <c r="H519">
        <v>71.7</v>
      </c>
      <c r="I519">
        <v>4.4238508397631362</v>
      </c>
      <c r="J519" s="10">
        <f t="shared" si="105"/>
        <v>7.2000000000000002E-5</v>
      </c>
      <c r="K519" s="17">
        <f t="shared" si="106"/>
        <v>2.5900000000000001E-4</v>
      </c>
      <c r="L519" s="10">
        <f t="shared" si="107"/>
        <v>1.4269E-2</v>
      </c>
      <c r="M519" s="11">
        <f t="shared" si="116"/>
        <v>4.4878154788305693</v>
      </c>
      <c r="N519" s="5">
        <f t="shared" si="108"/>
        <v>1.4459040637739479E-2</v>
      </c>
      <c r="O519">
        <f t="shared" si="109"/>
        <v>23942.927100000001</v>
      </c>
      <c r="P519">
        <f t="shared" ca="1" si="110"/>
        <v>23941</v>
      </c>
      <c r="Q519" t="str">
        <f t="shared" ca="1" si="111"/>
        <v>0101110110000101</v>
      </c>
      <c r="R519">
        <f t="shared" ca="1" si="112"/>
        <v>4.4889375000000005</v>
      </c>
      <c r="S519">
        <f t="shared" ca="1" si="113"/>
        <v>73.867250000000013</v>
      </c>
      <c r="T519" s="3">
        <f t="shared" ca="1" si="117"/>
        <v>3.0226638772664013E-2</v>
      </c>
      <c r="W519">
        <f t="shared" si="114"/>
        <v>73.086210077157645</v>
      </c>
      <c r="X519" s="5">
        <f t="shared" si="115"/>
        <v>1.9333473879465022E-2</v>
      </c>
    </row>
    <row r="520" spans="8:24" x14ac:dyDescent="0.25">
      <c r="H520">
        <v>71.800000000000011</v>
      </c>
      <c r="I520">
        <v>4.4319085607244535</v>
      </c>
      <c r="J520" s="10">
        <f t="shared" si="105"/>
        <v>7.2999999999999999E-5</v>
      </c>
      <c r="K520" s="17">
        <f t="shared" si="106"/>
        <v>2.5900000000000001E-4</v>
      </c>
      <c r="L520" s="10">
        <f t="shared" si="107"/>
        <v>1.4298999999999999E-2</v>
      </c>
      <c r="M520" s="11">
        <f t="shared" si="116"/>
        <v>4.4961256615590859</v>
      </c>
      <c r="N520" s="5">
        <f t="shared" si="108"/>
        <v>1.448971700448063E-2</v>
      </c>
      <c r="O520">
        <f t="shared" si="109"/>
        <v>23987.262699999999</v>
      </c>
      <c r="P520">
        <f t="shared" ca="1" si="110"/>
        <v>23989</v>
      </c>
      <c r="Q520" t="str">
        <f t="shared" ca="1" si="111"/>
        <v>0101110110110101</v>
      </c>
      <c r="R520">
        <f t="shared" ca="1" si="112"/>
        <v>4.4979374999999999</v>
      </c>
      <c r="S520">
        <f t="shared" ca="1" si="113"/>
        <v>73.975250000000003</v>
      </c>
      <c r="T520" s="3">
        <f t="shared" ca="1" si="117"/>
        <v>3.029596100278539E-2</v>
      </c>
      <c r="W520">
        <f t="shared" si="114"/>
        <v>73.182902728693449</v>
      </c>
      <c r="X520" s="5">
        <f t="shared" si="115"/>
        <v>1.9260483686538127E-2</v>
      </c>
    </row>
    <row r="521" spans="8:24" x14ac:dyDescent="0.25">
      <c r="H521">
        <v>71.900000000000006</v>
      </c>
      <c r="I521">
        <v>4.4395352667563959</v>
      </c>
      <c r="J521" s="10">
        <f t="shared" si="105"/>
        <v>7.2999999999999999E-5</v>
      </c>
      <c r="K521" s="17">
        <f t="shared" si="106"/>
        <v>2.5999999999999998E-4</v>
      </c>
      <c r="L521" s="10">
        <f t="shared" si="107"/>
        <v>1.4330000000000001E-2</v>
      </c>
      <c r="M521" s="11">
        <f t="shared" si="116"/>
        <v>4.5040046534401936</v>
      </c>
      <c r="N521" s="5">
        <f t="shared" si="108"/>
        <v>1.4521652112226658E-2</v>
      </c>
      <c r="O521">
        <f t="shared" si="109"/>
        <v>24029.297900000001</v>
      </c>
      <c r="P521">
        <f t="shared" ca="1" si="110"/>
        <v>24027</v>
      </c>
      <c r="Q521" t="str">
        <f t="shared" ca="1" si="111"/>
        <v>0101110111011011</v>
      </c>
      <c r="R521">
        <f t="shared" ca="1" si="112"/>
        <v>4.5050625000000002</v>
      </c>
      <c r="S521">
        <f t="shared" ca="1" si="113"/>
        <v>74.060750000000013</v>
      </c>
      <c r="T521" s="3">
        <f t="shared" ca="1" si="117"/>
        <v>3.0052155771905523E-2</v>
      </c>
      <c r="W521">
        <f t="shared" si="114"/>
        <v>73.274423201076758</v>
      </c>
      <c r="X521" s="5">
        <f t="shared" si="115"/>
        <v>1.9115760793835212E-2</v>
      </c>
    </row>
    <row r="522" spans="8:24" x14ac:dyDescent="0.25">
      <c r="H522">
        <v>72</v>
      </c>
      <c r="I522">
        <v>4.4467336632125942</v>
      </c>
      <c r="J522" s="10">
        <f t="shared" si="105"/>
        <v>7.3999999999999996E-5</v>
      </c>
      <c r="K522" s="17">
        <f t="shared" si="106"/>
        <v>2.5999999999999998E-4</v>
      </c>
      <c r="L522" s="10">
        <f t="shared" si="107"/>
        <v>1.436E-2</v>
      </c>
      <c r="M522" s="11">
        <f t="shared" si="116"/>
        <v>4.511443999038792</v>
      </c>
      <c r="N522" s="5">
        <f t="shared" si="108"/>
        <v>1.4552330030813462E-2</v>
      </c>
      <c r="O522">
        <f t="shared" si="109"/>
        <v>24068.987499999999</v>
      </c>
      <c r="P522">
        <f t="shared" ca="1" si="110"/>
        <v>24067</v>
      </c>
      <c r="Q522" t="str">
        <f t="shared" ca="1" si="111"/>
        <v>0101111000000011</v>
      </c>
      <c r="R522">
        <f t="shared" ca="1" si="112"/>
        <v>4.5125625000000005</v>
      </c>
      <c r="S522">
        <f t="shared" ca="1" si="113"/>
        <v>74.150750000000016</v>
      </c>
      <c r="T522" s="3">
        <f t="shared" ca="1" si="117"/>
        <v>2.9871527777778004E-2</v>
      </c>
      <c r="W522">
        <f t="shared" si="114"/>
        <v>73.360803958551145</v>
      </c>
      <c r="X522" s="5">
        <f t="shared" si="115"/>
        <v>1.8900054979877012E-2</v>
      </c>
    </row>
    <row r="523" spans="8:24" x14ac:dyDescent="0.25">
      <c r="H523">
        <v>72.099999999999994</v>
      </c>
      <c r="I523">
        <v>4.4548255461636295</v>
      </c>
      <c r="J523" s="10">
        <f t="shared" si="105"/>
        <v>7.4999999999999993E-5</v>
      </c>
      <c r="K523" s="17">
        <f t="shared" si="106"/>
        <v>2.61E-4</v>
      </c>
      <c r="L523" s="10">
        <f t="shared" si="107"/>
        <v>1.4390999999999999E-2</v>
      </c>
      <c r="M523" s="11">
        <f t="shared" si="116"/>
        <v>4.5197949147822616</v>
      </c>
      <c r="N523" s="5">
        <f t="shared" si="108"/>
        <v>1.4584043290894277E-2</v>
      </c>
      <c r="O523">
        <f t="shared" si="109"/>
        <v>24113.540400000002</v>
      </c>
      <c r="P523">
        <f t="shared" ca="1" si="110"/>
        <v>24115</v>
      </c>
      <c r="Q523" t="str">
        <f t="shared" ca="1" si="111"/>
        <v>0101111000110011</v>
      </c>
      <c r="R523">
        <f t="shared" ca="1" si="112"/>
        <v>4.5215624999999999</v>
      </c>
      <c r="S523">
        <f t="shared" ca="1" si="113"/>
        <v>74.258750000000006</v>
      </c>
      <c r="T523" s="3">
        <f t="shared" ca="1" si="117"/>
        <v>2.9941054091539698E-2</v>
      </c>
      <c r="W523">
        <f t="shared" si="114"/>
        <v>73.457906553963568</v>
      </c>
      <c r="X523" s="5">
        <f t="shared" si="115"/>
        <v>1.8833655394779106E-2</v>
      </c>
    </row>
    <row r="524" spans="8:24" x14ac:dyDescent="0.25">
      <c r="H524">
        <v>72.2</v>
      </c>
      <c r="I524">
        <v>4.4629276542603469</v>
      </c>
      <c r="J524" s="10">
        <f t="shared" si="105"/>
        <v>7.4999999999999993E-5</v>
      </c>
      <c r="K524" s="17">
        <f t="shared" si="106"/>
        <v>2.61E-4</v>
      </c>
      <c r="L524" s="10">
        <f t="shared" si="107"/>
        <v>1.4421E-2</v>
      </c>
      <c r="M524" s="11">
        <f t="shared" si="116"/>
        <v>4.5281531508487367</v>
      </c>
      <c r="N524" s="5">
        <f t="shared" si="108"/>
        <v>1.4614957185363523E-2</v>
      </c>
      <c r="O524">
        <f t="shared" si="109"/>
        <v>24158.132399999999</v>
      </c>
      <c r="P524">
        <f t="shared" ca="1" si="110"/>
        <v>24157</v>
      </c>
      <c r="Q524" t="str">
        <f t="shared" ca="1" si="111"/>
        <v>0101111001011101</v>
      </c>
      <c r="R524">
        <f t="shared" ca="1" si="112"/>
        <v>4.5294375000000002</v>
      </c>
      <c r="S524">
        <f t="shared" ca="1" si="113"/>
        <v>74.353250000000017</v>
      </c>
      <c r="T524" s="3">
        <f t="shared" ca="1" si="117"/>
        <v>2.9823407202216261E-2</v>
      </c>
      <c r="W524">
        <f t="shared" si="114"/>
        <v>73.555131851124173</v>
      </c>
      <c r="X524" s="5">
        <f t="shared" si="115"/>
        <v>1.8769139212246124E-2</v>
      </c>
    </row>
    <row r="525" spans="8:24" x14ac:dyDescent="0.25">
      <c r="H525">
        <v>72.300000000000011</v>
      </c>
      <c r="I525">
        <v>4.470602045456034</v>
      </c>
      <c r="J525" s="10">
        <f t="shared" si="105"/>
        <v>7.6000000000000004E-5</v>
      </c>
      <c r="K525" s="17">
        <f t="shared" si="106"/>
        <v>2.6200000000000003E-4</v>
      </c>
      <c r="L525" s="10">
        <f t="shared" si="107"/>
        <v>1.4452E-2</v>
      </c>
      <c r="M525" s="11">
        <f t="shared" si="116"/>
        <v>4.5360814952250266</v>
      </c>
      <c r="N525" s="5">
        <f t="shared" si="108"/>
        <v>1.4646673782012547E-2</v>
      </c>
      <c r="O525">
        <f t="shared" si="109"/>
        <v>24200.430899999999</v>
      </c>
      <c r="P525">
        <f t="shared" ca="1" si="110"/>
        <v>24204</v>
      </c>
      <c r="Q525" t="str">
        <f t="shared" ca="1" si="111"/>
        <v>0101111010001100</v>
      </c>
      <c r="R525">
        <f t="shared" ca="1" si="112"/>
        <v>4.5382499999999997</v>
      </c>
      <c r="S525">
        <f t="shared" ca="1" si="113"/>
        <v>74.459000000000003</v>
      </c>
      <c r="T525" s="3">
        <f t="shared" ca="1" si="117"/>
        <v>2.9861687413554515E-2</v>
      </c>
      <c r="W525">
        <f t="shared" si="114"/>
        <v>73.647224545472412</v>
      </c>
      <c r="X525" s="5">
        <f t="shared" si="115"/>
        <v>1.8633811140697096E-2</v>
      </c>
    </row>
    <row r="526" spans="8:24" x14ac:dyDescent="0.25">
      <c r="H526">
        <v>72.400000000000006</v>
      </c>
      <c r="I526">
        <v>4.4782883062079168</v>
      </c>
      <c r="J526" s="10">
        <f t="shared" si="105"/>
        <v>7.6000000000000004E-5</v>
      </c>
      <c r="K526" s="17">
        <f t="shared" si="106"/>
        <v>2.6200000000000003E-4</v>
      </c>
      <c r="L526" s="10">
        <f t="shared" si="107"/>
        <v>1.4482E-2</v>
      </c>
      <c r="M526" s="11">
        <f t="shared" si="116"/>
        <v>4.5440187862706889</v>
      </c>
      <c r="N526" s="5">
        <f t="shared" si="108"/>
        <v>1.4677590089868664E-2</v>
      </c>
      <c r="O526">
        <f t="shared" si="109"/>
        <v>24242.777099999999</v>
      </c>
      <c r="P526">
        <f t="shared" ca="1" si="110"/>
        <v>24241</v>
      </c>
      <c r="Q526" t="str">
        <f t="shared" ca="1" si="111"/>
        <v>0101111010110001</v>
      </c>
      <c r="R526">
        <f t="shared" ca="1" si="112"/>
        <v>4.5451874999999999</v>
      </c>
      <c r="S526">
        <f t="shared" ca="1" si="113"/>
        <v>74.54225000000001</v>
      </c>
      <c r="T526" s="3">
        <f t="shared" ca="1" si="117"/>
        <v>2.9589088397790109E-2</v>
      </c>
      <c r="W526">
        <f t="shared" si="114"/>
        <v>73.739459674495009</v>
      </c>
      <c r="X526" s="5">
        <f t="shared" si="115"/>
        <v>1.8500824233356403E-2</v>
      </c>
    </row>
    <row r="527" spans="8:24" x14ac:dyDescent="0.25">
      <c r="H527">
        <v>72.5</v>
      </c>
      <c r="I527">
        <v>4.4868582564388824</v>
      </c>
      <c r="J527" s="10">
        <f t="shared" si="105"/>
        <v>7.7000000000000001E-5</v>
      </c>
      <c r="K527" s="17">
        <f t="shared" si="106"/>
        <v>2.63E-4</v>
      </c>
      <c r="L527" s="10">
        <f t="shared" si="107"/>
        <v>1.4513E-2</v>
      </c>
      <c r="M527" s="11">
        <f t="shared" si="116"/>
        <v>4.5528568681665842</v>
      </c>
      <c r="N527" s="5">
        <f t="shared" si="108"/>
        <v>1.4709315060931616E-2</v>
      </c>
      <c r="O527">
        <f t="shared" si="109"/>
        <v>24289.929100000001</v>
      </c>
      <c r="P527">
        <f t="shared" ca="1" si="110"/>
        <v>24292</v>
      </c>
      <c r="Q527" t="str">
        <f t="shared" ca="1" si="111"/>
        <v>0101111011100100</v>
      </c>
      <c r="R527">
        <f t="shared" ca="1" si="112"/>
        <v>4.5547500000000003</v>
      </c>
      <c r="S527">
        <f t="shared" ca="1" si="113"/>
        <v>74.657000000000011</v>
      </c>
      <c r="T527" s="3">
        <f t="shared" ca="1" si="117"/>
        <v>2.9751724137931181E-2</v>
      </c>
      <c r="W527">
        <f t="shared" si="114"/>
        <v>73.842299077266603</v>
      </c>
      <c r="X527" s="5">
        <f t="shared" si="115"/>
        <v>1.8514470031263483E-2</v>
      </c>
    </row>
    <row r="528" spans="8:24" x14ac:dyDescent="0.25">
      <c r="H528">
        <v>72.599999999999994</v>
      </c>
      <c r="I528">
        <v>4.4936959811995507</v>
      </c>
      <c r="J528" s="10">
        <f t="shared" si="105"/>
        <v>7.7000000000000001E-5</v>
      </c>
      <c r="K528" s="17">
        <f t="shared" si="106"/>
        <v>2.63E-4</v>
      </c>
      <c r="L528" s="10">
        <f t="shared" si="107"/>
        <v>1.4543E-2</v>
      </c>
      <c r="M528" s="11">
        <f t="shared" si="116"/>
        <v>4.5599341028574054</v>
      </c>
      <c r="N528" s="5">
        <f t="shared" si="108"/>
        <v>1.4740232079557158E-2</v>
      </c>
      <c r="O528">
        <f t="shared" si="109"/>
        <v>24327.686900000001</v>
      </c>
      <c r="P528">
        <f t="shared" ca="1" si="110"/>
        <v>24331</v>
      </c>
      <c r="Q528" t="str">
        <f t="shared" ca="1" si="111"/>
        <v>0101111100001011</v>
      </c>
      <c r="R528">
        <f t="shared" ca="1" si="112"/>
        <v>4.5620624999999997</v>
      </c>
      <c r="S528">
        <f t="shared" ca="1" si="113"/>
        <v>74.74475000000001</v>
      </c>
      <c r="T528" s="3">
        <f t="shared" ca="1" si="117"/>
        <v>2.954201101928397E-2</v>
      </c>
      <c r="W528">
        <f t="shared" si="114"/>
        <v>73.924351774394623</v>
      </c>
      <c r="X528" s="5">
        <f t="shared" si="115"/>
        <v>1.8241759977887444E-2</v>
      </c>
    </row>
    <row r="529" spans="8:24" x14ac:dyDescent="0.25">
      <c r="H529">
        <v>72.7</v>
      </c>
      <c r="I529">
        <v>4.5022853821722437</v>
      </c>
      <c r="J529" s="10">
        <f t="shared" si="105"/>
        <v>7.7999999999999999E-5</v>
      </c>
      <c r="K529" s="17">
        <f t="shared" si="106"/>
        <v>2.6400000000000002E-4</v>
      </c>
      <c r="L529" s="10">
        <f t="shared" si="107"/>
        <v>1.4574E-2</v>
      </c>
      <c r="M529" s="11">
        <f t="shared" si="116"/>
        <v>4.5687929709305859</v>
      </c>
      <c r="N529" s="5">
        <f t="shared" si="108"/>
        <v>1.4771962039921573E-2</v>
      </c>
      <c r="O529">
        <f t="shared" si="109"/>
        <v>24374.949799999999</v>
      </c>
      <c r="P529">
        <f t="shared" ca="1" si="110"/>
        <v>24374</v>
      </c>
      <c r="Q529" t="str">
        <f t="shared" ca="1" si="111"/>
        <v>0101111100110110</v>
      </c>
      <c r="R529">
        <f t="shared" ca="1" si="112"/>
        <v>4.570125</v>
      </c>
      <c r="S529">
        <f t="shared" ca="1" si="113"/>
        <v>74.841500000000011</v>
      </c>
      <c r="T529" s="3">
        <f t="shared" ca="1" si="117"/>
        <v>2.94566712517195E-2</v>
      </c>
      <c r="W529">
        <f t="shared" si="114"/>
        <v>74.027424586066928</v>
      </c>
      <c r="X529" s="5">
        <f t="shared" si="115"/>
        <v>1.8258935159104886E-2</v>
      </c>
    </row>
    <row r="530" spans="8:24" x14ac:dyDescent="0.25">
      <c r="H530">
        <v>72.800000000000011</v>
      </c>
      <c r="I530">
        <v>4.5100161289249874</v>
      </c>
      <c r="J530" s="10">
        <f t="shared" si="105"/>
        <v>7.8999999999999996E-5</v>
      </c>
      <c r="K530" s="17">
        <f t="shared" si="106"/>
        <v>2.6400000000000002E-4</v>
      </c>
      <c r="L530" s="10">
        <f t="shared" si="107"/>
        <v>1.4604000000000001E-2</v>
      </c>
      <c r="M530" s="11">
        <f t="shared" si="116"/>
        <v>4.5767763710477682</v>
      </c>
      <c r="N530" s="5">
        <f t="shared" si="108"/>
        <v>1.4802661501499755E-2</v>
      </c>
      <c r="O530">
        <f t="shared" si="109"/>
        <v>24417.542000000001</v>
      </c>
      <c r="P530">
        <f t="shared" ca="1" si="110"/>
        <v>24415</v>
      </c>
      <c r="Q530" t="str">
        <f t="shared" ca="1" si="111"/>
        <v>0101111101011111</v>
      </c>
      <c r="R530">
        <f t="shared" ca="1" si="112"/>
        <v>4.5778125000000003</v>
      </c>
      <c r="S530">
        <f t="shared" ca="1" si="113"/>
        <v>74.933750000000018</v>
      </c>
      <c r="T530" s="3">
        <f t="shared" ca="1" si="117"/>
        <v>2.9309752747252827E-2</v>
      </c>
      <c r="W530">
        <f t="shared" si="114"/>
        <v>74.120193547099859</v>
      </c>
      <c r="X530" s="5">
        <f t="shared" si="115"/>
        <v>1.8134526745877028E-2</v>
      </c>
    </row>
    <row r="531" spans="8:24" x14ac:dyDescent="0.25">
      <c r="H531">
        <v>72.900000000000006</v>
      </c>
      <c r="I531">
        <v>4.5177581807641367</v>
      </c>
      <c r="J531" s="10">
        <f t="shared" si="105"/>
        <v>7.8999999999999996E-5</v>
      </c>
      <c r="K531" s="17">
        <f t="shared" si="106"/>
        <v>2.6499999999999999E-4</v>
      </c>
      <c r="L531" s="10">
        <f t="shared" si="107"/>
        <v>1.4635E-2</v>
      </c>
      <c r="M531" s="11">
        <f t="shared" si="116"/>
        <v>4.5847773979836264</v>
      </c>
      <c r="N531" s="5">
        <f t="shared" si="108"/>
        <v>1.4834618086653321E-2</v>
      </c>
      <c r="O531">
        <f t="shared" si="109"/>
        <v>24460.228200000001</v>
      </c>
      <c r="P531">
        <f t="shared" ca="1" si="110"/>
        <v>24461</v>
      </c>
      <c r="Q531" t="str">
        <f t="shared" ca="1" si="111"/>
        <v>0101111110001101</v>
      </c>
      <c r="R531">
        <f t="shared" ca="1" si="112"/>
        <v>4.5864374999999997</v>
      </c>
      <c r="S531">
        <f t="shared" ca="1" si="113"/>
        <v>75.03725</v>
      </c>
      <c r="T531" s="3">
        <f t="shared" ca="1" si="117"/>
        <v>2.9317558299039703E-2</v>
      </c>
      <c r="W531">
        <f t="shared" si="114"/>
        <v>74.213098169169655</v>
      </c>
      <c r="X531" s="5">
        <f t="shared" si="115"/>
        <v>1.8012320564741412E-2</v>
      </c>
    </row>
    <row r="532" spans="8:24" x14ac:dyDescent="0.25">
      <c r="H532">
        <v>73</v>
      </c>
      <c r="I532">
        <v>4.5259427551579696</v>
      </c>
      <c r="J532" s="10">
        <f t="shared" si="105"/>
        <v>8.0000000000000007E-5</v>
      </c>
      <c r="K532" s="17">
        <f t="shared" si="106"/>
        <v>2.6499999999999999E-4</v>
      </c>
      <c r="L532" s="10">
        <f t="shared" si="107"/>
        <v>1.4664999999999999E-2</v>
      </c>
      <c r="M532" s="11">
        <f t="shared" si="116"/>
        <v>4.5932223610832565</v>
      </c>
      <c r="N532" s="5">
        <f t="shared" si="108"/>
        <v>1.4865324102610895E-2</v>
      </c>
      <c r="O532">
        <f t="shared" si="109"/>
        <v>24505.282899999998</v>
      </c>
      <c r="P532">
        <f t="shared" ca="1" si="110"/>
        <v>24503</v>
      </c>
      <c r="Q532" t="str">
        <f t="shared" ca="1" si="111"/>
        <v>0101111110110111</v>
      </c>
      <c r="R532">
        <f t="shared" ca="1" si="112"/>
        <v>4.5943125</v>
      </c>
      <c r="S532">
        <f t="shared" ca="1" si="113"/>
        <v>75.131750000000011</v>
      </c>
      <c r="T532" s="3">
        <f t="shared" ca="1" si="117"/>
        <v>2.9202054794520697E-2</v>
      </c>
      <c r="W532">
        <f t="shared" si="114"/>
        <v>74.311313061895646</v>
      </c>
      <c r="X532" s="5">
        <f t="shared" si="115"/>
        <v>1.7963192628707481E-2</v>
      </c>
    </row>
    <row r="533" spans="8:24" x14ac:dyDescent="0.25">
      <c r="H533">
        <v>73.099999999999994</v>
      </c>
      <c r="I533">
        <v>4.5337061565242074</v>
      </c>
      <c r="J533" s="10">
        <f t="shared" si="105"/>
        <v>8.0000000000000007E-5</v>
      </c>
      <c r="K533" s="17">
        <f t="shared" si="106"/>
        <v>2.6600000000000001E-4</v>
      </c>
      <c r="L533" s="10">
        <f t="shared" si="107"/>
        <v>1.4696000000000001E-2</v>
      </c>
      <c r="M533" s="11">
        <f t="shared" si="116"/>
        <v>4.6012460687505659</v>
      </c>
      <c r="N533" s="5">
        <f t="shared" si="108"/>
        <v>1.4897284891118382E-2</v>
      </c>
      <c r="O533">
        <f t="shared" si="109"/>
        <v>24548.090199999999</v>
      </c>
      <c r="P533">
        <f t="shared" ca="1" si="110"/>
        <v>24549</v>
      </c>
      <c r="Q533" t="str">
        <f t="shared" ca="1" si="111"/>
        <v>0101111111100101</v>
      </c>
      <c r="R533">
        <f t="shared" ca="1" si="112"/>
        <v>4.6029375000000003</v>
      </c>
      <c r="S533">
        <f t="shared" ca="1" si="113"/>
        <v>75.235250000000008</v>
      </c>
      <c r="T533" s="3">
        <f t="shared" ca="1" si="117"/>
        <v>2.9209986320109627E-2</v>
      </c>
      <c r="W533">
        <f t="shared" si="114"/>
        <v>74.404473878290503</v>
      </c>
      <c r="X533" s="5">
        <f t="shared" si="115"/>
        <v>1.7845059894535002E-2</v>
      </c>
    </row>
    <row r="534" spans="8:24" x14ac:dyDescent="0.25">
      <c r="H534">
        <v>73.2</v>
      </c>
      <c r="I534">
        <v>4.5414805272838388</v>
      </c>
      <c r="J534" s="10">
        <f t="shared" si="105"/>
        <v>8.1000000000000004E-5</v>
      </c>
      <c r="K534" s="17">
        <f t="shared" si="106"/>
        <v>2.6600000000000001E-4</v>
      </c>
      <c r="L534" s="10">
        <f t="shared" si="107"/>
        <v>1.4726E-2</v>
      </c>
      <c r="M534" s="11">
        <f t="shared" si="116"/>
        <v>4.6092757215595244</v>
      </c>
      <c r="N534" s="5">
        <f t="shared" si="108"/>
        <v>1.4927994046961691E-2</v>
      </c>
      <c r="O534">
        <f t="shared" si="109"/>
        <v>24590.929100000001</v>
      </c>
      <c r="P534">
        <f t="shared" ca="1" si="110"/>
        <v>24589</v>
      </c>
      <c r="Q534" t="str">
        <f t="shared" ca="1" si="111"/>
        <v>0110000000001101</v>
      </c>
      <c r="R534">
        <f t="shared" ca="1" si="112"/>
        <v>4.6104374999999997</v>
      </c>
      <c r="S534">
        <f t="shared" ca="1" si="113"/>
        <v>75.325250000000011</v>
      </c>
      <c r="T534" s="3">
        <f t="shared" ca="1" si="117"/>
        <v>2.9033469945355304E-2</v>
      </c>
      <c r="W534">
        <f t="shared" si="114"/>
        <v>74.497766327406069</v>
      </c>
      <c r="X534" s="5">
        <f t="shared" si="115"/>
        <v>1.7729048188607457E-2</v>
      </c>
    </row>
    <row r="535" spans="8:24" x14ac:dyDescent="0.25">
      <c r="H535">
        <v>73.300000000000011</v>
      </c>
      <c r="I535">
        <v>4.5492657562915166</v>
      </c>
      <c r="J535" s="10">
        <f t="shared" si="105"/>
        <v>8.1000000000000004E-5</v>
      </c>
      <c r="K535" s="17">
        <f t="shared" si="106"/>
        <v>2.6699999999999998E-4</v>
      </c>
      <c r="L535" s="10">
        <f t="shared" si="107"/>
        <v>1.4756999999999999E-2</v>
      </c>
      <c r="M535" s="11">
        <f t="shared" si="116"/>
        <v>4.6173225856885223</v>
      </c>
      <c r="N535" s="5">
        <f t="shared" si="108"/>
        <v>1.4959959044574348E-2</v>
      </c>
      <c r="O535">
        <f t="shared" si="109"/>
        <v>24633.859899999999</v>
      </c>
      <c r="P535">
        <f t="shared" ca="1" si="110"/>
        <v>24632</v>
      </c>
      <c r="Q535" t="str">
        <f t="shared" ca="1" si="111"/>
        <v>0110000000111000</v>
      </c>
      <c r="R535">
        <f t="shared" ca="1" si="112"/>
        <v>4.6185</v>
      </c>
      <c r="S535">
        <f t="shared" ca="1" si="113"/>
        <v>75.422000000000011</v>
      </c>
      <c r="T535" s="3">
        <f t="shared" ca="1" si="117"/>
        <v>2.8949522510231918E-2</v>
      </c>
      <c r="W535">
        <f t="shared" si="114"/>
        <v>74.591189075498207</v>
      </c>
      <c r="X535" s="5">
        <f t="shared" si="115"/>
        <v>1.7615130634354641E-2</v>
      </c>
    </row>
    <row r="536" spans="8:24" x14ac:dyDescent="0.25">
      <c r="H536">
        <v>73.400000000000006</v>
      </c>
      <c r="I536">
        <v>4.5570617320551099</v>
      </c>
      <c r="J536" s="10">
        <f t="shared" si="105"/>
        <v>8.2000000000000001E-5</v>
      </c>
      <c r="K536" s="17">
        <f t="shared" si="106"/>
        <v>2.6699999999999998E-4</v>
      </c>
      <c r="L536" s="10">
        <f t="shared" si="107"/>
        <v>1.4787E-2</v>
      </c>
      <c r="M536" s="11">
        <f t="shared" si="116"/>
        <v>4.6253751544641712</v>
      </c>
      <c r="N536" s="5">
        <f t="shared" si="108"/>
        <v>1.4990673031381971E-2</v>
      </c>
      <c r="O536">
        <f t="shared" si="109"/>
        <v>24676.821199999998</v>
      </c>
      <c r="P536">
        <f t="shared" ca="1" si="110"/>
        <v>24677</v>
      </c>
      <c r="Q536" t="str">
        <f t="shared" ca="1" si="111"/>
        <v>0110000001100101</v>
      </c>
      <c r="R536">
        <f t="shared" ca="1" si="112"/>
        <v>4.6269375000000004</v>
      </c>
      <c r="S536">
        <f t="shared" ca="1" si="113"/>
        <v>75.523250000000019</v>
      </c>
      <c r="T536" s="3">
        <f t="shared" ca="1" si="117"/>
        <v>2.8927111716621427E-2</v>
      </c>
      <c r="W536">
        <f t="shared" si="114"/>
        <v>74.684740784661329</v>
      </c>
      <c r="X536" s="5">
        <f t="shared" si="115"/>
        <v>1.7503280444977162E-2</v>
      </c>
    </row>
    <row r="537" spans="8:24" x14ac:dyDescent="0.25">
      <c r="H537">
        <v>73.5</v>
      </c>
      <c r="I537">
        <v>4.564014891063974</v>
      </c>
      <c r="J537" s="10">
        <f t="shared" si="105"/>
        <v>8.2999999999999998E-5</v>
      </c>
      <c r="K537" s="17">
        <f t="shared" si="106"/>
        <v>2.6800000000000001E-4</v>
      </c>
      <c r="L537" s="10">
        <f t="shared" si="107"/>
        <v>1.4818E-2</v>
      </c>
      <c r="M537" s="11">
        <f t="shared" si="116"/>
        <v>4.632577423322771</v>
      </c>
      <c r="N537" s="5">
        <f t="shared" si="108"/>
        <v>1.502241642397744E-2</v>
      </c>
      <c r="O537">
        <f t="shared" si="109"/>
        <v>24715.245999999999</v>
      </c>
      <c r="P537">
        <f t="shared" ca="1" si="110"/>
        <v>24717</v>
      </c>
      <c r="Q537" t="str">
        <f t="shared" ca="1" si="111"/>
        <v>0110000010001101</v>
      </c>
      <c r="R537">
        <f t="shared" ca="1" si="112"/>
        <v>4.6344374999999998</v>
      </c>
      <c r="S537">
        <f t="shared" ca="1" si="113"/>
        <v>75.613250000000008</v>
      </c>
      <c r="T537" s="3">
        <f t="shared" ca="1" si="117"/>
        <v>2.8751700680272215E-2</v>
      </c>
      <c r="W537">
        <f t="shared" si="114"/>
        <v>74.768178692767691</v>
      </c>
      <c r="X537" s="5">
        <f t="shared" si="115"/>
        <v>1.7254131874390354E-2</v>
      </c>
    </row>
    <row r="538" spans="8:24" x14ac:dyDescent="0.25">
      <c r="H538">
        <v>73.599999999999994</v>
      </c>
      <c r="I538">
        <v>4.571833860417355</v>
      </c>
      <c r="J538" s="10">
        <f t="shared" si="105"/>
        <v>8.2999999999999998E-5</v>
      </c>
      <c r="K538" s="17">
        <f t="shared" si="106"/>
        <v>2.6800000000000001E-4</v>
      </c>
      <c r="L538" s="10">
        <f t="shared" si="107"/>
        <v>1.4848E-2</v>
      </c>
      <c r="M538" s="11">
        <f t="shared" si="116"/>
        <v>4.6406553104671717</v>
      </c>
      <c r="N538" s="5">
        <f t="shared" si="108"/>
        <v>1.5053357613378841E-2</v>
      </c>
      <c r="O538">
        <f t="shared" si="109"/>
        <v>24758.3423</v>
      </c>
      <c r="P538">
        <f t="shared" ca="1" si="110"/>
        <v>24756</v>
      </c>
      <c r="Q538" t="str">
        <f t="shared" ca="1" si="111"/>
        <v>0110000010110100</v>
      </c>
      <c r="R538">
        <f t="shared" ca="1" si="112"/>
        <v>4.64175</v>
      </c>
      <c r="S538">
        <f t="shared" ca="1" si="113"/>
        <v>75.701000000000008</v>
      </c>
      <c r="T538" s="3">
        <f t="shared" ca="1" si="117"/>
        <v>2.8546195652174096E-2</v>
      </c>
      <c r="W538">
        <f t="shared" si="114"/>
        <v>74.862006325008267</v>
      </c>
      <c r="X538" s="5">
        <f t="shared" si="115"/>
        <v>1.714682506804718E-2</v>
      </c>
    </row>
    <row r="539" spans="8:24" x14ac:dyDescent="0.25">
      <c r="H539">
        <v>73.7</v>
      </c>
      <c r="I539">
        <v>4.5796632414126792</v>
      </c>
      <c r="J539" s="10">
        <f t="shared" si="105"/>
        <v>8.3999999999999995E-5</v>
      </c>
      <c r="K539" s="17">
        <f t="shared" si="106"/>
        <v>2.6899999999999998E-4</v>
      </c>
      <c r="L539" s="10">
        <f t="shared" si="107"/>
        <v>1.4879E-2</v>
      </c>
      <c r="M539" s="11">
        <f t="shared" si="116"/>
        <v>4.6487479623444017</v>
      </c>
      <c r="N539" s="5">
        <f t="shared" si="108"/>
        <v>1.5085109382499497E-2</v>
      </c>
      <c r="O539">
        <f t="shared" si="109"/>
        <v>24801.5173</v>
      </c>
      <c r="P539">
        <f t="shared" ca="1" si="110"/>
        <v>24804</v>
      </c>
      <c r="Q539" t="str">
        <f t="shared" ca="1" si="111"/>
        <v>0110000011100100</v>
      </c>
      <c r="R539">
        <f t="shared" ca="1" si="112"/>
        <v>4.6507500000000004</v>
      </c>
      <c r="S539">
        <f t="shared" ca="1" si="113"/>
        <v>75.809000000000012</v>
      </c>
      <c r="T539" s="3">
        <f t="shared" ca="1" si="117"/>
        <v>2.8616010854816944E-2</v>
      </c>
      <c r="W539">
        <f t="shared" si="114"/>
        <v>74.955958896952154</v>
      </c>
      <c r="X539" s="5">
        <f t="shared" si="115"/>
        <v>1.7041504707627563E-2</v>
      </c>
    </row>
    <row r="540" spans="8:24" x14ac:dyDescent="0.25">
      <c r="H540">
        <v>73.800000000000011</v>
      </c>
      <c r="I540">
        <v>4.5875029240633056</v>
      </c>
      <c r="J540" s="10">
        <f t="shared" si="105"/>
        <v>8.3999999999999995E-5</v>
      </c>
      <c r="K540" s="17">
        <f t="shared" si="106"/>
        <v>2.6899999999999998E-4</v>
      </c>
      <c r="L540" s="10">
        <f t="shared" si="107"/>
        <v>1.4909E-2</v>
      </c>
      <c r="M540" s="11">
        <f t="shared" si="116"/>
        <v>4.6568478689413517</v>
      </c>
      <c r="N540" s="5">
        <f t="shared" si="108"/>
        <v>1.5116054643650222E-2</v>
      </c>
      <c r="O540">
        <f t="shared" si="109"/>
        <v>24844.731100000001</v>
      </c>
      <c r="P540">
        <f t="shared" ca="1" si="110"/>
        <v>24848</v>
      </c>
      <c r="Q540" t="str">
        <f t="shared" ca="1" si="111"/>
        <v>0110000100010000</v>
      </c>
      <c r="R540">
        <f t="shared" ca="1" si="112"/>
        <v>4.6589999999999998</v>
      </c>
      <c r="S540">
        <f t="shared" ca="1" si="113"/>
        <v>75.908000000000001</v>
      </c>
      <c r="T540" s="3">
        <f t="shared" ca="1" si="117"/>
        <v>2.8563685636856226E-2</v>
      </c>
      <c r="W540">
        <f t="shared" si="114"/>
        <v>75.050035088759671</v>
      </c>
      <c r="X540" s="5">
        <f t="shared" si="115"/>
        <v>1.6938144834141727E-2</v>
      </c>
    </row>
    <row r="541" spans="8:24" x14ac:dyDescent="0.25">
      <c r="H541">
        <v>73.900000000000006</v>
      </c>
      <c r="I541">
        <v>4.5957758670692659</v>
      </c>
      <c r="J541" s="10">
        <f t="shared" si="105"/>
        <v>8.5000000000000006E-5</v>
      </c>
      <c r="K541" s="17">
        <f t="shared" si="106"/>
        <v>2.7E-4</v>
      </c>
      <c r="L541" s="10">
        <f t="shared" si="107"/>
        <v>1.494E-2</v>
      </c>
      <c r="M541" s="11">
        <f t="shared" si="116"/>
        <v>4.6653918208731096</v>
      </c>
      <c r="N541" s="5">
        <f t="shared" si="108"/>
        <v>1.5147813082590096E-2</v>
      </c>
      <c r="O541">
        <f t="shared" si="109"/>
        <v>24890.313900000001</v>
      </c>
      <c r="P541">
        <f t="shared" ca="1" si="110"/>
        <v>24893</v>
      </c>
      <c r="Q541" t="str">
        <f t="shared" ca="1" si="111"/>
        <v>0110000100111101</v>
      </c>
      <c r="R541">
        <f t="shared" ca="1" si="112"/>
        <v>4.6674375000000001</v>
      </c>
      <c r="S541">
        <f t="shared" ca="1" si="113"/>
        <v>76.009250000000009</v>
      </c>
      <c r="T541" s="3">
        <f t="shared" ca="1" si="117"/>
        <v>2.8541948579161067E-2</v>
      </c>
      <c r="W541">
        <f t="shared" si="114"/>
        <v>75.149310404831198</v>
      </c>
      <c r="X541" s="5">
        <f t="shared" si="115"/>
        <v>1.6905418197986358E-2</v>
      </c>
    </row>
    <row r="542" spans="8:24" x14ac:dyDescent="0.25">
      <c r="H542">
        <v>74</v>
      </c>
      <c r="I542">
        <v>4.6032127552550914</v>
      </c>
      <c r="J542" s="10">
        <f t="shared" si="105"/>
        <v>8.6000000000000003E-5</v>
      </c>
      <c r="K542" s="17">
        <f t="shared" si="106"/>
        <v>2.7E-4</v>
      </c>
      <c r="L542" s="10">
        <f t="shared" si="107"/>
        <v>1.4970000000000001E-2</v>
      </c>
      <c r="M542" s="11">
        <f t="shared" si="116"/>
        <v>4.6730828048436006</v>
      </c>
      <c r="N542" s="5">
        <f t="shared" si="108"/>
        <v>1.5178540142152796E-2</v>
      </c>
      <c r="O542">
        <f t="shared" si="109"/>
        <v>24931.346099999999</v>
      </c>
      <c r="P542">
        <f t="shared" ca="1" si="110"/>
        <v>24929</v>
      </c>
      <c r="Q542" t="str">
        <f t="shared" ca="1" si="111"/>
        <v>0110000101100001</v>
      </c>
      <c r="R542">
        <f t="shared" ca="1" si="112"/>
        <v>4.6741875000000004</v>
      </c>
      <c r="S542">
        <f t="shared" ca="1" si="113"/>
        <v>76.090250000000012</v>
      </c>
      <c r="T542" s="3">
        <f t="shared" ca="1" si="117"/>
        <v>2.8246621621621781E-2</v>
      </c>
      <c r="W542">
        <f t="shared" si="114"/>
        <v>75.238553063061104</v>
      </c>
      <c r="X542" s="5">
        <f t="shared" si="115"/>
        <v>1.6737203554879787E-2</v>
      </c>
    </row>
    <row r="543" spans="8:24" x14ac:dyDescent="0.25">
      <c r="H543">
        <v>74.099999999999994</v>
      </c>
      <c r="I543">
        <v>4.6106614378188313</v>
      </c>
      <c r="J543" s="10">
        <f t="shared" si="105"/>
        <v>8.6000000000000003E-5</v>
      </c>
      <c r="K543" s="17">
        <f t="shared" si="106"/>
        <v>2.7099999999999997E-4</v>
      </c>
      <c r="L543" s="10">
        <f t="shared" si="107"/>
        <v>1.5001E-2</v>
      </c>
      <c r="M543" s="11">
        <f t="shared" si="116"/>
        <v>4.680791998589676</v>
      </c>
      <c r="N543" s="5">
        <f t="shared" si="108"/>
        <v>1.5210520598107803E-2</v>
      </c>
      <c r="O543">
        <f t="shared" si="109"/>
        <v>24972.475399999999</v>
      </c>
      <c r="P543">
        <f t="shared" ca="1" si="110"/>
        <v>24971</v>
      </c>
      <c r="Q543" t="str">
        <f t="shared" ca="1" si="111"/>
        <v>0110000110001011</v>
      </c>
      <c r="R543">
        <f t="shared" ca="1" si="112"/>
        <v>4.6820624999999998</v>
      </c>
      <c r="S543">
        <f t="shared" ca="1" si="113"/>
        <v>76.184750000000008</v>
      </c>
      <c r="T543" s="3">
        <f t="shared" ca="1" si="117"/>
        <v>2.8134278002699246E-2</v>
      </c>
      <c r="W543">
        <f t="shared" si="114"/>
        <v>75.327937253825979</v>
      </c>
      <c r="X543" s="5">
        <f t="shared" si="115"/>
        <v>1.6571352953117208E-2</v>
      </c>
    </row>
    <row r="544" spans="8:24" x14ac:dyDescent="0.25">
      <c r="H544">
        <v>74.2</v>
      </c>
      <c r="I544">
        <v>4.6177014644930816</v>
      </c>
      <c r="J544" s="10">
        <f t="shared" si="105"/>
        <v>8.7000000000000001E-5</v>
      </c>
      <c r="K544" s="17">
        <f t="shared" si="106"/>
        <v>2.7099999999999997E-4</v>
      </c>
      <c r="L544" s="10">
        <f t="shared" si="107"/>
        <v>1.5030999999999999E-2</v>
      </c>
      <c r="M544" s="11">
        <f t="shared" si="116"/>
        <v>4.6880810101567478</v>
      </c>
      <c r="N544" s="5">
        <f t="shared" si="108"/>
        <v>1.5241250696875073E-2</v>
      </c>
      <c r="O544">
        <f t="shared" si="109"/>
        <v>25011.3629</v>
      </c>
      <c r="P544">
        <f t="shared" ca="1" si="110"/>
        <v>25014</v>
      </c>
      <c r="Q544" t="str">
        <f t="shared" ca="1" si="111"/>
        <v>0110000110110110</v>
      </c>
      <c r="R544">
        <f t="shared" ca="1" si="112"/>
        <v>4.6901250000000001</v>
      </c>
      <c r="S544">
        <f t="shared" ca="1" si="113"/>
        <v>76.281500000000008</v>
      </c>
      <c r="T544" s="3">
        <f t="shared" ca="1" si="117"/>
        <v>2.8052560646900343E-2</v>
      </c>
      <c r="W544">
        <f t="shared" si="114"/>
        <v>75.412417573916983</v>
      </c>
      <c r="X544" s="5">
        <f t="shared" si="115"/>
        <v>1.6339859486751752E-2</v>
      </c>
    </row>
    <row r="545" spans="8:24" x14ac:dyDescent="0.25">
      <c r="H545">
        <v>74.300000000000011</v>
      </c>
      <c r="I545">
        <v>4.6260131643602458</v>
      </c>
      <c r="J545" s="10">
        <f t="shared" si="105"/>
        <v>8.7000000000000001E-5</v>
      </c>
      <c r="K545" s="17">
        <f t="shared" si="106"/>
        <v>2.72E-4</v>
      </c>
      <c r="L545" s="10">
        <f t="shared" si="107"/>
        <v>1.5062000000000001E-2</v>
      </c>
      <c r="M545" s="11">
        <f t="shared" si="116"/>
        <v>4.696667368260993</v>
      </c>
      <c r="N545" s="5">
        <f t="shared" si="108"/>
        <v>1.5273238832323619E-2</v>
      </c>
      <c r="O545">
        <f t="shared" si="109"/>
        <v>25057.171999999999</v>
      </c>
      <c r="P545">
        <f t="shared" ca="1" si="110"/>
        <v>25055</v>
      </c>
      <c r="Q545" t="str">
        <f t="shared" ca="1" si="111"/>
        <v>0110000111011111</v>
      </c>
      <c r="R545">
        <f t="shared" ca="1" si="112"/>
        <v>4.6978125000000004</v>
      </c>
      <c r="S545">
        <f t="shared" ca="1" si="113"/>
        <v>76.373750000000015</v>
      </c>
      <c r="T545" s="3">
        <f t="shared" ca="1" si="117"/>
        <v>2.7910497981157519E-2</v>
      </c>
      <c r="W545">
        <f t="shared" si="114"/>
        <v>75.512157972322953</v>
      </c>
      <c r="X545" s="5">
        <f t="shared" si="115"/>
        <v>1.631437378631146E-2</v>
      </c>
    </row>
    <row r="546" spans="8:24" x14ac:dyDescent="0.25">
      <c r="H546">
        <v>74.400000000000006</v>
      </c>
      <c r="I546">
        <v>4.6334956461722197</v>
      </c>
      <c r="J546" s="10">
        <f t="shared" si="105"/>
        <v>8.7999999999999998E-5</v>
      </c>
      <c r="K546" s="17">
        <f t="shared" si="106"/>
        <v>2.72E-4</v>
      </c>
      <c r="L546" s="10">
        <f t="shared" si="107"/>
        <v>1.5092E-2</v>
      </c>
      <c r="M546" s="11">
        <f t="shared" si="116"/>
        <v>4.704406549822135</v>
      </c>
      <c r="N546" s="5">
        <f t="shared" si="108"/>
        <v>1.5303975457168202E-2</v>
      </c>
      <c r="O546">
        <f t="shared" si="109"/>
        <v>25098.461299999999</v>
      </c>
      <c r="P546">
        <f t="shared" ca="1" si="110"/>
        <v>25098</v>
      </c>
      <c r="Q546" t="str">
        <f t="shared" ca="1" si="111"/>
        <v>0110001000001010</v>
      </c>
      <c r="R546">
        <f t="shared" ca="1" si="112"/>
        <v>4.7058749999999998</v>
      </c>
      <c r="S546">
        <f t="shared" ca="1" si="113"/>
        <v>76.470500000000001</v>
      </c>
      <c r="T546" s="3">
        <f t="shared" ca="1" si="117"/>
        <v>2.7829301075268754E-2</v>
      </c>
      <c r="W546">
        <f t="shared" si="114"/>
        <v>75.601947754066643</v>
      </c>
      <c r="X546" s="5">
        <f t="shared" si="115"/>
        <v>1.6155211748207488E-2</v>
      </c>
    </row>
    <row r="547" spans="8:24" x14ac:dyDescent="0.25">
      <c r="H547">
        <v>74.5</v>
      </c>
      <c r="I547">
        <v>4.6414070938880423</v>
      </c>
      <c r="J547" s="10">
        <f t="shared" si="105"/>
        <v>8.7999999999999998E-5</v>
      </c>
      <c r="K547" s="17">
        <f t="shared" si="106"/>
        <v>2.7300000000000002E-4</v>
      </c>
      <c r="L547" s="10">
        <f t="shared" si="107"/>
        <v>1.5122999999999999E-2</v>
      </c>
      <c r="M547" s="11">
        <f t="shared" si="116"/>
        <v>4.712587555489713</v>
      </c>
      <c r="N547" s="5">
        <f t="shared" si="108"/>
        <v>1.5335966046892E-2</v>
      </c>
      <c r="O547">
        <f t="shared" si="109"/>
        <v>25142.1077</v>
      </c>
      <c r="P547">
        <f t="shared" ca="1" si="110"/>
        <v>25142</v>
      </c>
      <c r="Q547" t="str">
        <f t="shared" ca="1" si="111"/>
        <v>0110001000110110</v>
      </c>
      <c r="R547">
        <f t="shared" ca="1" si="112"/>
        <v>4.7141250000000001</v>
      </c>
      <c r="S547">
        <f t="shared" ca="1" si="113"/>
        <v>76.569500000000005</v>
      </c>
      <c r="T547" s="3">
        <f t="shared" ca="1" si="117"/>
        <v>2.7778523489932955E-2</v>
      </c>
      <c r="W547">
        <f t="shared" si="114"/>
        <v>75.696885126656511</v>
      </c>
      <c r="X547" s="5">
        <f t="shared" si="115"/>
        <v>1.6065572169886053E-2</v>
      </c>
    </row>
    <row r="548" spans="8:24" x14ac:dyDescent="0.25">
      <c r="H548">
        <v>74.599999999999994</v>
      </c>
      <c r="I548">
        <v>4.6493279692760243</v>
      </c>
      <c r="J548" s="10">
        <f t="shared" si="105"/>
        <v>8.8999999999999995E-5</v>
      </c>
      <c r="K548" s="17">
        <f t="shared" si="106"/>
        <v>2.7300000000000002E-4</v>
      </c>
      <c r="L548" s="10">
        <f t="shared" si="107"/>
        <v>1.5153E-2</v>
      </c>
      <c r="M548" s="11">
        <f t="shared" si="116"/>
        <v>4.7207728401223985</v>
      </c>
      <c r="N548" s="5">
        <f t="shared" si="108"/>
        <v>1.5366709192920049E-2</v>
      </c>
      <c r="O548">
        <f t="shared" si="109"/>
        <v>25185.776999999998</v>
      </c>
      <c r="P548">
        <f t="shared" ca="1" si="110"/>
        <v>25189</v>
      </c>
      <c r="Q548" t="str">
        <f t="shared" ca="1" si="111"/>
        <v>0110001001100101</v>
      </c>
      <c r="R548">
        <f t="shared" ca="1" si="112"/>
        <v>4.7229375000000005</v>
      </c>
      <c r="S548">
        <f t="shared" ca="1" si="113"/>
        <v>76.67525000000002</v>
      </c>
      <c r="T548" s="3">
        <f t="shared" ca="1" si="117"/>
        <v>2.7818364611260395E-2</v>
      </c>
      <c r="W548">
        <f t="shared" si="114"/>
        <v>75.791935631312299</v>
      </c>
      <c r="X548" s="5">
        <f t="shared" si="115"/>
        <v>1.5977689427778885E-2</v>
      </c>
    </row>
    <row r="549" spans="8:24" x14ac:dyDescent="0.25">
      <c r="H549">
        <v>74.7</v>
      </c>
      <c r="I549">
        <v>4.6564265302109478</v>
      </c>
      <c r="J549" s="10">
        <f t="shared" si="105"/>
        <v>9.0000000000000006E-5</v>
      </c>
      <c r="K549" s="17">
        <f t="shared" si="106"/>
        <v>2.7399999999999999E-4</v>
      </c>
      <c r="L549" s="10">
        <f t="shared" si="107"/>
        <v>1.5184E-2</v>
      </c>
      <c r="M549" s="11">
        <f t="shared" si="116"/>
        <v>4.7281284323274066</v>
      </c>
      <c r="N549" s="5">
        <f t="shared" si="108"/>
        <v>1.539848243094917E-2</v>
      </c>
      <c r="O549">
        <f t="shared" si="109"/>
        <v>25225.019799999998</v>
      </c>
      <c r="P549">
        <f t="shared" ca="1" si="110"/>
        <v>25224</v>
      </c>
      <c r="Q549" t="str">
        <f t="shared" ca="1" si="111"/>
        <v>0110001010001000</v>
      </c>
      <c r="R549">
        <f t="shared" ca="1" si="112"/>
        <v>4.7294999999999998</v>
      </c>
      <c r="S549">
        <f t="shared" ca="1" si="113"/>
        <v>76.754000000000005</v>
      </c>
      <c r="T549" s="3">
        <f t="shared" ca="1" si="117"/>
        <v>2.7496653279785836E-2</v>
      </c>
      <c r="W549">
        <f t="shared" si="114"/>
        <v>75.877118362531377</v>
      </c>
      <c r="X549" s="5">
        <f t="shared" si="115"/>
        <v>1.5757943273512369E-2</v>
      </c>
    </row>
    <row r="550" spans="8:24" x14ac:dyDescent="0.25">
      <c r="H550">
        <v>74.800000000000011</v>
      </c>
      <c r="I550">
        <v>4.6643677381427713</v>
      </c>
      <c r="J550" s="10">
        <f t="shared" si="105"/>
        <v>9.0000000000000006E-5</v>
      </c>
      <c r="K550" s="17">
        <f t="shared" si="106"/>
        <v>2.7399999999999999E-4</v>
      </c>
      <c r="L550" s="10">
        <f t="shared" si="107"/>
        <v>1.5214E-2</v>
      </c>
      <c r="M550" s="11">
        <f t="shared" si="116"/>
        <v>4.7363363595164545</v>
      </c>
      <c r="N550" s="5">
        <f t="shared" si="108"/>
        <v>1.5429448408443718E-2</v>
      </c>
      <c r="O550">
        <f t="shared" si="109"/>
        <v>25268.8099</v>
      </c>
      <c r="P550">
        <f t="shared" ca="1" si="110"/>
        <v>25271</v>
      </c>
      <c r="Q550" t="str">
        <f t="shared" ca="1" si="111"/>
        <v>0110001010110111</v>
      </c>
      <c r="R550">
        <f t="shared" ca="1" si="112"/>
        <v>4.7383125000000001</v>
      </c>
      <c r="S550">
        <f t="shared" ca="1" si="113"/>
        <v>76.859750000000005</v>
      </c>
      <c r="T550" s="3">
        <f t="shared" ca="1" si="117"/>
        <v>2.7536764705882268E-2</v>
      </c>
      <c r="W550">
        <f t="shared" si="114"/>
        <v>75.972412857713266</v>
      </c>
      <c r="X550" s="5">
        <f t="shared" si="115"/>
        <v>1.5673968686006075E-2</v>
      </c>
    </row>
    <row r="551" spans="8:24" x14ac:dyDescent="0.25">
      <c r="H551">
        <v>74.900000000000006</v>
      </c>
      <c r="I551">
        <v>4.6714900139214821</v>
      </c>
      <c r="J551" s="10">
        <f t="shared" si="105"/>
        <v>9.1000000000000003E-5</v>
      </c>
      <c r="K551" s="17">
        <f t="shared" si="106"/>
        <v>2.7500000000000002E-4</v>
      </c>
      <c r="L551" s="10">
        <f t="shared" si="107"/>
        <v>1.5245E-2</v>
      </c>
      <c r="M551" s="11">
        <f t="shared" si="116"/>
        <v>4.7437169792704594</v>
      </c>
      <c r="N551" s="5">
        <f t="shared" si="108"/>
        <v>1.5461226532377064E-2</v>
      </c>
      <c r="O551">
        <f t="shared" si="109"/>
        <v>25308.1862</v>
      </c>
      <c r="P551">
        <f t="shared" ca="1" si="110"/>
        <v>25312</v>
      </c>
      <c r="Q551" t="str">
        <f t="shared" ca="1" si="111"/>
        <v>0110001011100000</v>
      </c>
      <c r="R551">
        <f t="shared" ca="1" si="112"/>
        <v>4.7460000000000004</v>
      </c>
      <c r="S551">
        <f t="shared" ca="1" si="113"/>
        <v>76.952000000000012</v>
      </c>
      <c r="T551" s="3">
        <f t="shared" ca="1" si="117"/>
        <v>2.7396528704940009E-2</v>
      </c>
      <c r="W551">
        <f t="shared" si="114"/>
        <v>76.057880167057789</v>
      </c>
      <c r="X551" s="5">
        <f t="shared" si="115"/>
        <v>1.545901424643235E-2</v>
      </c>
    </row>
    <row r="552" spans="8:24" x14ac:dyDescent="0.25">
      <c r="H552">
        <v>75</v>
      </c>
      <c r="I552">
        <v>4.6790379962639834</v>
      </c>
      <c r="J552" s="10">
        <f t="shared" si="105"/>
        <v>9.1000000000000003E-5</v>
      </c>
      <c r="K552" s="17">
        <f t="shared" si="106"/>
        <v>2.7500000000000002E-4</v>
      </c>
      <c r="L552" s="10">
        <f t="shared" si="107"/>
        <v>1.5275E-2</v>
      </c>
      <c r="M552" s="11">
        <f t="shared" si="116"/>
        <v>4.7515265645372908</v>
      </c>
      <c r="N552" s="5">
        <f t="shared" si="108"/>
        <v>1.5492194833892459E-2</v>
      </c>
      <c r="O552">
        <f t="shared" si="109"/>
        <v>25349.8511</v>
      </c>
      <c r="P552">
        <f t="shared" ca="1" si="110"/>
        <v>25348</v>
      </c>
      <c r="Q552" t="str">
        <f t="shared" ca="1" si="111"/>
        <v>0110001100000100</v>
      </c>
      <c r="R552">
        <f t="shared" ca="1" si="112"/>
        <v>4.7527499999999998</v>
      </c>
      <c r="S552">
        <f t="shared" ca="1" si="113"/>
        <v>77.033000000000001</v>
      </c>
      <c r="T552" s="3">
        <f t="shared" ca="1" si="117"/>
        <v>2.7106666666666682E-2</v>
      </c>
      <c r="W552">
        <f t="shared" si="114"/>
        <v>76.148455955167805</v>
      </c>
      <c r="X552" s="5">
        <f t="shared" si="115"/>
        <v>1.5312746068904062E-2</v>
      </c>
    </row>
    <row r="553" spans="8:24" x14ac:dyDescent="0.25">
      <c r="H553">
        <v>75.099999999999994</v>
      </c>
      <c r="I553">
        <v>4.6865966586411982</v>
      </c>
      <c r="J553" s="10">
        <f t="shared" si="105"/>
        <v>9.2E-5</v>
      </c>
      <c r="K553" s="17">
        <f t="shared" si="106"/>
        <v>2.7599999999999999E-4</v>
      </c>
      <c r="L553" s="10">
        <f t="shared" si="107"/>
        <v>1.5306E-2</v>
      </c>
      <c r="M553" s="11">
        <f t="shared" si="116"/>
        <v>4.7593512894779471</v>
      </c>
      <c r="N553" s="5">
        <f t="shared" si="108"/>
        <v>1.5523979581772422E-2</v>
      </c>
      <c r="O553">
        <f t="shared" si="109"/>
        <v>25391.596699999998</v>
      </c>
      <c r="P553">
        <f t="shared" ca="1" si="110"/>
        <v>25391</v>
      </c>
      <c r="Q553" t="str">
        <f t="shared" ca="1" si="111"/>
        <v>0110001100101111</v>
      </c>
      <c r="R553">
        <f t="shared" ca="1" si="112"/>
        <v>4.7608125000000001</v>
      </c>
      <c r="S553">
        <f t="shared" ca="1" si="113"/>
        <v>77.129750000000016</v>
      </c>
      <c r="T553" s="3">
        <f t="shared" ca="1" si="117"/>
        <v>2.7027296937417063E-2</v>
      </c>
      <c r="W553">
        <f t="shared" si="114"/>
        <v>76.239159903694386</v>
      </c>
      <c r="X553" s="5">
        <f t="shared" si="115"/>
        <v>1.5168573950657679E-2</v>
      </c>
    </row>
    <row r="554" spans="8:24" x14ac:dyDescent="0.25">
      <c r="H554">
        <v>75.2</v>
      </c>
      <c r="I554">
        <v>4.6941658907762696</v>
      </c>
      <c r="J554" s="10">
        <f t="shared" si="105"/>
        <v>9.2E-5</v>
      </c>
      <c r="K554" s="17">
        <f t="shared" si="106"/>
        <v>2.7599999999999999E-4</v>
      </c>
      <c r="L554" s="10">
        <f t="shared" si="107"/>
        <v>1.5336000000000001E-2</v>
      </c>
      <c r="M554" s="11">
        <f t="shared" si="116"/>
        <v>4.7671834156385016</v>
      </c>
      <c r="N554" s="5">
        <f t="shared" si="108"/>
        <v>1.5554951946991625E-2</v>
      </c>
      <c r="O554">
        <f t="shared" si="109"/>
        <v>25433.3819</v>
      </c>
      <c r="P554">
        <f t="shared" ca="1" si="110"/>
        <v>25432</v>
      </c>
      <c r="Q554" t="str">
        <f t="shared" ca="1" si="111"/>
        <v>0110001101011000</v>
      </c>
      <c r="R554">
        <f t="shared" ca="1" si="112"/>
        <v>4.7685000000000004</v>
      </c>
      <c r="S554">
        <f t="shared" ca="1" si="113"/>
        <v>77.222000000000008</v>
      </c>
      <c r="T554" s="3">
        <f t="shared" ca="1" si="117"/>
        <v>2.6888297872340497E-2</v>
      </c>
      <c r="W554">
        <f t="shared" si="114"/>
        <v>76.329990689315238</v>
      </c>
      <c r="X554" s="5">
        <f t="shared" si="115"/>
        <v>1.502647193238345E-2</v>
      </c>
    </row>
    <row r="555" spans="8:24" x14ac:dyDescent="0.25">
      <c r="H555">
        <v>75.300000000000011</v>
      </c>
      <c r="I555">
        <v>4.7017455831474875</v>
      </c>
      <c r="J555" s="10">
        <f t="shared" si="105"/>
        <v>9.2999999999999997E-5</v>
      </c>
      <c r="K555" s="17">
        <f t="shared" si="106"/>
        <v>2.7700000000000001E-4</v>
      </c>
      <c r="L555" s="10">
        <f t="shared" si="107"/>
        <v>1.5367E-2</v>
      </c>
      <c r="M555" s="11">
        <f t="shared" si="116"/>
        <v>4.7750304764795493</v>
      </c>
      <c r="N555" s="5">
        <f t="shared" si="108"/>
        <v>1.5586741569926187E-2</v>
      </c>
      <c r="O555">
        <f t="shared" si="109"/>
        <v>25475.2467</v>
      </c>
      <c r="P555">
        <f t="shared" ca="1" si="110"/>
        <v>25475</v>
      </c>
      <c r="Q555" t="str">
        <f t="shared" ca="1" si="111"/>
        <v>0110001110000011</v>
      </c>
      <c r="R555">
        <f t="shared" ca="1" si="112"/>
        <v>4.7765624999999998</v>
      </c>
      <c r="S555">
        <f t="shared" ca="1" si="113"/>
        <v>77.318750000000009</v>
      </c>
      <c r="T555" s="3">
        <f t="shared" ca="1" si="117"/>
        <v>2.6809428950863173E-2</v>
      </c>
      <c r="W555">
        <f t="shared" si="114"/>
        <v>76.42094699776986</v>
      </c>
      <c r="X555" s="5">
        <f t="shared" si="115"/>
        <v>1.4886414313012601E-2</v>
      </c>
    </row>
    <row r="556" spans="8:24" x14ac:dyDescent="0.25">
      <c r="H556">
        <v>75.400000000000006</v>
      </c>
      <c r="I556">
        <v>4.7093356265195263</v>
      </c>
      <c r="J556" s="10">
        <f t="shared" si="105"/>
        <v>9.3999999999999994E-5</v>
      </c>
      <c r="K556" s="17">
        <f t="shared" si="106"/>
        <v>2.7700000000000001E-4</v>
      </c>
      <c r="L556" s="10">
        <f t="shared" si="107"/>
        <v>1.5396999999999999E-2</v>
      </c>
      <c r="M556" s="11">
        <f t="shared" si="116"/>
        <v>4.7828836866427649</v>
      </c>
      <c r="N556" s="5">
        <f t="shared" si="108"/>
        <v>1.5617502330704525E-2</v>
      </c>
      <c r="O556">
        <f t="shared" si="109"/>
        <v>25517.1443</v>
      </c>
      <c r="P556">
        <f t="shared" ca="1" si="110"/>
        <v>25518</v>
      </c>
      <c r="Q556" t="str">
        <f t="shared" ca="1" si="111"/>
        <v>0110001110101110</v>
      </c>
      <c r="R556">
        <f t="shared" ca="1" si="112"/>
        <v>4.7846250000000001</v>
      </c>
      <c r="S556">
        <f t="shared" ca="1" si="113"/>
        <v>77.415500000000009</v>
      </c>
      <c r="T556" s="3">
        <f t="shared" ca="1" si="117"/>
        <v>2.6730769230769266E-2</v>
      </c>
      <c r="W556">
        <f t="shared" si="114"/>
        <v>76.512027518234319</v>
      </c>
      <c r="X556" s="5">
        <f t="shared" si="115"/>
        <v>1.4748375573399383E-2</v>
      </c>
    </row>
    <row r="557" spans="8:24" x14ac:dyDescent="0.25">
      <c r="H557">
        <v>75.5</v>
      </c>
      <c r="I557">
        <v>4.716527258724228</v>
      </c>
      <c r="J557" s="10">
        <f t="shared" si="105"/>
        <v>9.3999999999999994E-5</v>
      </c>
      <c r="K557" s="17">
        <f t="shared" si="106"/>
        <v>2.7799999999999998E-4</v>
      </c>
      <c r="L557" s="10">
        <f t="shared" si="107"/>
        <v>1.5428000000000001E-2</v>
      </c>
      <c r="M557" s="11">
        <f t="shared" si="116"/>
        <v>4.7903386026864752</v>
      </c>
      <c r="N557" s="5">
        <f t="shared" si="108"/>
        <v>1.5649510733923417E-2</v>
      </c>
      <c r="O557">
        <f t="shared" si="109"/>
        <v>25556.917000000001</v>
      </c>
      <c r="P557">
        <f t="shared" ca="1" si="110"/>
        <v>25557</v>
      </c>
      <c r="Q557" t="str">
        <f t="shared" ca="1" si="111"/>
        <v>0110001111010101</v>
      </c>
      <c r="R557">
        <f t="shared" ca="1" si="112"/>
        <v>4.7919375000000004</v>
      </c>
      <c r="S557">
        <f t="shared" ca="1" si="113"/>
        <v>77.503250000000008</v>
      </c>
      <c r="T557" s="3">
        <f t="shared" ca="1" si="117"/>
        <v>2.6533112582781567E-2</v>
      </c>
      <c r="W557">
        <f t="shared" si="114"/>
        <v>76.598327104690739</v>
      </c>
      <c r="X557" s="5">
        <f t="shared" si="115"/>
        <v>1.4547378870076013E-2</v>
      </c>
    </row>
    <row r="558" spans="8:24" x14ac:dyDescent="0.25">
      <c r="H558">
        <v>75.599999999999994</v>
      </c>
      <c r="I558">
        <v>4.7245463302618385</v>
      </c>
      <c r="J558" s="10">
        <f t="shared" si="105"/>
        <v>9.5000000000000005E-5</v>
      </c>
      <c r="K558" s="17">
        <f t="shared" si="106"/>
        <v>2.7799999999999998E-4</v>
      </c>
      <c r="L558" s="10">
        <f t="shared" si="107"/>
        <v>1.5458E-2</v>
      </c>
      <c r="M558" s="11">
        <f t="shared" si="116"/>
        <v>4.7986285300798119</v>
      </c>
      <c r="N558" s="5">
        <f t="shared" si="108"/>
        <v>1.568027798636653E-2</v>
      </c>
      <c r="O558">
        <f t="shared" si="109"/>
        <v>25601.1446</v>
      </c>
      <c r="P558">
        <f t="shared" ca="1" si="110"/>
        <v>25601</v>
      </c>
      <c r="Q558" t="str">
        <f t="shared" ca="1" si="111"/>
        <v>0110010000000001</v>
      </c>
      <c r="R558">
        <f t="shared" ca="1" si="112"/>
        <v>4.8001874999999998</v>
      </c>
      <c r="S558">
        <f t="shared" ca="1" si="113"/>
        <v>77.602250000000012</v>
      </c>
      <c r="T558" s="3">
        <f t="shared" ca="1" si="117"/>
        <v>2.6484788359788597E-2</v>
      </c>
      <c r="W558">
        <f t="shared" si="114"/>
        <v>76.694555963142065</v>
      </c>
      <c r="X558" s="5">
        <f t="shared" si="115"/>
        <v>1.4478253480715223E-2</v>
      </c>
    </row>
    <row r="559" spans="8:24" x14ac:dyDescent="0.25">
      <c r="H559">
        <v>75.7</v>
      </c>
      <c r="I559">
        <v>4.7321667733818407</v>
      </c>
      <c r="J559" s="10">
        <f t="shared" si="105"/>
        <v>9.5000000000000005E-5</v>
      </c>
      <c r="K559" s="17">
        <f t="shared" si="106"/>
        <v>2.7900000000000001E-4</v>
      </c>
      <c r="L559" s="10">
        <f t="shared" si="107"/>
        <v>1.5488999999999999E-2</v>
      </c>
      <c r="M559" s="11">
        <f t="shared" si="116"/>
        <v>4.8065199610586786</v>
      </c>
      <c r="N559" s="5">
        <f t="shared" si="108"/>
        <v>1.5712292325593905E-2</v>
      </c>
      <c r="O559">
        <f t="shared" si="109"/>
        <v>25643.2461</v>
      </c>
      <c r="P559">
        <f t="shared" ca="1" si="110"/>
        <v>25642</v>
      </c>
      <c r="Q559" t="str">
        <f t="shared" ca="1" si="111"/>
        <v>0110010000101010</v>
      </c>
      <c r="R559">
        <f t="shared" ca="1" si="112"/>
        <v>4.8078750000000001</v>
      </c>
      <c r="S559">
        <f t="shared" ca="1" si="113"/>
        <v>77.694500000000005</v>
      </c>
      <c r="T559" s="3">
        <f t="shared" ca="1" si="117"/>
        <v>2.6347424042272156E-2</v>
      </c>
      <c r="W559">
        <f t="shared" si="114"/>
        <v>76.786001280582099</v>
      </c>
      <c r="X559" s="5">
        <f t="shared" si="115"/>
        <v>1.434611995484935E-2</v>
      </c>
    </row>
    <row r="560" spans="8:24" x14ac:dyDescent="0.25">
      <c r="H560">
        <v>75.800000000000011</v>
      </c>
      <c r="I560">
        <v>4.7397971335806321</v>
      </c>
      <c r="J560" s="10">
        <f t="shared" si="105"/>
        <v>9.6000000000000002E-5</v>
      </c>
      <c r="K560" s="17">
        <f t="shared" si="106"/>
        <v>2.7900000000000001E-4</v>
      </c>
      <c r="L560" s="10">
        <f t="shared" si="107"/>
        <v>1.5519E-2</v>
      </c>
      <c r="M560" s="11">
        <f t="shared" si="116"/>
        <v>4.8144160563592715</v>
      </c>
      <c r="N560" s="5">
        <f t="shared" si="108"/>
        <v>1.5743062556407183E-2</v>
      </c>
      <c r="O560">
        <f t="shared" si="109"/>
        <v>25685.372599999999</v>
      </c>
      <c r="P560">
        <f t="shared" ca="1" si="110"/>
        <v>25684</v>
      </c>
      <c r="Q560" t="str">
        <f t="shared" ca="1" si="111"/>
        <v>0110010001010100</v>
      </c>
      <c r="R560">
        <f t="shared" ca="1" si="112"/>
        <v>4.8157500000000004</v>
      </c>
      <c r="S560">
        <f t="shared" ca="1" si="113"/>
        <v>77.789000000000016</v>
      </c>
      <c r="T560" s="3">
        <f t="shared" ca="1" si="117"/>
        <v>2.624010554089715E-2</v>
      </c>
      <c r="W560">
        <f t="shared" si="114"/>
        <v>76.877565602967593</v>
      </c>
      <c r="X560" s="5">
        <f t="shared" si="115"/>
        <v>1.4215905052342761E-2</v>
      </c>
    </row>
    <row r="561" spans="8:24" x14ac:dyDescent="0.25">
      <c r="H561">
        <v>75.900000000000006</v>
      </c>
      <c r="I561">
        <v>4.7474373027263876</v>
      </c>
      <c r="J561" s="10">
        <f t="shared" si="105"/>
        <v>9.6000000000000002E-5</v>
      </c>
      <c r="K561" s="17">
        <f t="shared" si="106"/>
        <v>2.7999999999999998E-4</v>
      </c>
      <c r="L561" s="10">
        <f t="shared" si="107"/>
        <v>1.555E-2</v>
      </c>
      <c r="M561" s="11">
        <f t="shared" si="116"/>
        <v>4.8223285110735814</v>
      </c>
      <c r="N561" s="5">
        <f t="shared" si="108"/>
        <v>1.5775081074622044E-2</v>
      </c>
      <c r="O561">
        <f t="shared" si="109"/>
        <v>25727.586299999999</v>
      </c>
      <c r="P561">
        <f t="shared" ca="1" si="110"/>
        <v>25726</v>
      </c>
      <c r="Q561" t="str">
        <f t="shared" ca="1" si="111"/>
        <v>0110010001111110</v>
      </c>
      <c r="R561">
        <f t="shared" ca="1" si="112"/>
        <v>4.8236249999999998</v>
      </c>
      <c r="S561">
        <f t="shared" ca="1" si="113"/>
        <v>77.883500000000012</v>
      </c>
      <c r="T561" s="3">
        <f t="shared" ca="1" si="117"/>
        <v>2.6133069828722086E-2</v>
      </c>
      <c r="W561">
        <f t="shared" si="114"/>
        <v>76.969247632716659</v>
      </c>
      <c r="X561" s="5">
        <f t="shared" si="115"/>
        <v>1.4087584093763544E-2</v>
      </c>
    </row>
    <row r="562" spans="8:24" x14ac:dyDescent="0.25">
      <c r="H562">
        <v>76</v>
      </c>
      <c r="I562">
        <v>4.7542787278153495</v>
      </c>
      <c r="J562" s="10">
        <f t="shared" si="105"/>
        <v>9.7E-5</v>
      </c>
      <c r="K562" s="17">
        <f t="shared" si="106"/>
        <v>2.7999999999999998E-4</v>
      </c>
      <c r="L562" s="10">
        <f t="shared" si="107"/>
        <v>1.558E-2</v>
      </c>
      <c r="M562" s="11">
        <f t="shared" si="116"/>
        <v>4.8294241561684537</v>
      </c>
      <c r="N562" s="5">
        <f t="shared" si="108"/>
        <v>1.580585250785967E-2</v>
      </c>
      <c r="O562">
        <f t="shared" si="109"/>
        <v>25765.442200000001</v>
      </c>
      <c r="P562">
        <f t="shared" ca="1" si="110"/>
        <v>25769</v>
      </c>
      <c r="Q562" t="str">
        <f t="shared" ca="1" si="111"/>
        <v>0110010010101001</v>
      </c>
      <c r="R562">
        <f t="shared" ca="1" si="112"/>
        <v>4.8316875000000001</v>
      </c>
      <c r="S562">
        <f t="shared" ca="1" si="113"/>
        <v>77.980250000000012</v>
      </c>
      <c r="T562" s="3">
        <f t="shared" ca="1" si="117"/>
        <v>2.6055921052631742E-2</v>
      </c>
      <c r="W562">
        <f t="shared" si="114"/>
        <v>77.051344733784205</v>
      </c>
      <c r="X562" s="5">
        <f t="shared" si="115"/>
        <v>1.3833483339265859E-2</v>
      </c>
    </row>
    <row r="563" spans="8:24" x14ac:dyDescent="0.25">
      <c r="H563">
        <v>76.099999999999994</v>
      </c>
      <c r="I563">
        <v>4.761939956550588</v>
      </c>
      <c r="J563" s="10">
        <f t="shared" si="105"/>
        <v>9.7999999999999997E-5</v>
      </c>
      <c r="K563" s="17">
        <f t="shared" si="106"/>
        <v>2.81E-4</v>
      </c>
      <c r="L563" s="10">
        <f t="shared" si="107"/>
        <v>1.5611E-2</v>
      </c>
      <c r="M563" s="11">
        <f t="shared" si="116"/>
        <v>4.8373579515319536</v>
      </c>
      <c r="N563" s="5">
        <f t="shared" si="108"/>
        <v>1.5837661891897562E-2</v>
      </c>
      <c r="O563">
        <f t="shared" si="109"/>
        <v>25807.769799999998</v>
      </c>
      <c r="P563">
        <f t="shared" ca="1" si="110"/>
        <v>25807</v>
      </c>
      <c r="Q563" t="str">
        <f t="shared" ca="1" si="111"/>
        <v>0110010011001111</v>
      </c>
      <c r="R563">
        <f t="shared" ca="1" si="112"/>
        <v>4.8388125000000004</v>
      </c>
      <c r="S563">
        <f t="shared" ca="1" si="113"/>
        <v>78.065750000000008</v>
      </c>
      <c r="T563" s="3">
        <f t="shared" ca="1" si="117"/>
        <v>2.5831143232588887E-2</v>
      </c>
      <c r="W563">
        <f t="shared" si="114"/>
        <v>77.14327947860707</v>
      </c>
      <c r="X563" s="5">
        <f t="shared" si="115"/>
        <v>1.3709322977753954E-2</v>
      </c>
    </row>
    <row r="564" spans="8:24" x14ac:dyDescent="0.25">
      <c r="H564">
        <v>76.2</v>
      </c>
      <c r="I564">
        <v>4.769208210714047</v>
      </c>
      <c r="J564" s="10">
        <f t="shared" si="105"/>
        <v>9.7999999999999997E-5</v>
      </c>
      <c r="K564" s="17">
        <f t="shared" si="106"/>
        <v>2.81E-4</v>
      </c>
      <c r="L564" s="10">
        <f t="shared" si="107"/>
        <v>1.5640999999999999E-2</v>
      </c>
      <c r="M564" s="11">
        <f t="shared" si="116"/>
        <v>4.8448891214628471</v>
      </c>
      <c r="N564" s="5">
        <f t="shared" si="108"/>
        <v>1.5868653119145152E-2</v>
      </c>
      <c r="O564">
        <f t="shared" si="109"/>
        <v>25847.9493</v>
      </c>
      <c r="P564">
        <f t="shared" ca="1" si="110"/>
        <v>25849</v>
      </c>
      <c r="Q564" t="str">
        <f t="shared" ca="1" si="111"/>
        <v>0110010011111001</v>
      </c>
      <c r="R564">
        <f t="shared" ca="1" si="112"/>
        <v>4.8466874999999998</v>
      </c>
      <c r="S564">
        <f t="shared" ca="1" si="113"/>
        <v>78.160250000000005</v>
      </c>
      <c r="T564" s="3">
        <f t="shared" ca="1" si="117"/>
        <v>2.5725065616797927E-2</v>
      </c>
      <c r="W564">
        <f t="shared" si="114"/>
        <v>77.230498528568575</v>
      </c>
      <c r="X564" s="5">
        <f t="shared" si="115"/>
        <v>1.3523602737120364E-2</v>
      </c>
    </row>
    <row r="565" spans="8:24" x14ac:dyDescent="0.25">
      <c r="H565">
        <v>76.300000000000011</v>
      </c>
      <c r="I565">
        <v>4.7772907629475876</v>
      </c>
      <c r="J565" s="10">
        <f t="shared" si="105"/>
        <v>9.8999999999999994E-5</v>
      </c>
      <c r="K565" s="17">
        <f t="shared" si="106"/>
        <v>2.8200000000000002E-4</v>
      </c>
      <c r="L565" s="10">
        <f t="shared" si="107"/>
        <v>1.5671999999999998E-2</v>
      </c>
      <c r="M565" s="11">
        <f t="shared" si="116"/>
        <v>4.8532519271498806</v>
      </c>
      <c r="N565" s="5">
        <f t="shared" si="108"/>
        <v>1.5900469109279215E-2</v>
      </c>
      <c r="O565">
        <f t="shared" si="109"/>
        <v>25892.565699999999</v>
      </c>
      <c r="P565">
        <f t="shared" ca="1" si="110"/>
        <v>25894</v>
      </c>
      <c r="Q565" t="str">
        <f t="shared" ca="1" si="111"/>
        <v>0110010100100110</v>
      </c>
      <c r="R565">
        <f t="shared" ca="1" si="112"/>
        <v>4.8551250000000001</v>
      </c>
      <c r="S565">
        <f t="shared" ca="1" si="113"/>
        <v>78.261500000000012</v>
      </c>
      <c r="T565" s="3">
        <f t="shared" ca="1" si="117"/>
        <v>2.5707732634338148E-2</v>
      </c>
      <c r="W565">
        <f t="shared" si="114"/>
        <v>77.327489155371055</v>
      </c>
      <c r="X565" s="5">
        <f t="shared" si="115"/>
        <v>1.3466437160826253E-2</v>
      </c>
    </row>
    <row r="566" spans="8:24" x14ac:dyDescent="0.25">
      <c r="H566">
        <v>76.400000000000006</v>
      </c>
      <c r="I566">
        <v>4.7837780194984729</v>
      </c>
      <c r="J566" s="10">
        <f t="shared" si="105"/>
        <v>9.8999999999999994E-5</v>
      </c>
      <c r="K566" s="17">
        <f t="shared" si="106"/>
        <v>2.8200000000000002E-4</v>
      </c>
      <c r="L566" s="10">
        <f t="shared" si="107"/>
        <v>1.5702000000000001E-2</v>
      </c>
      <c r="M566" s="11">
        <f t="shared" si="116"/>
        <v>4.8599905917704529</v>
      </c>
      <c r="N566" s="5">
        <f t="shared" si="108"/>
        <v>1.593146085820471E-2</v>
      </c>
      <c r="O566">
        <f t="shared" si="109"/>
        <v>25928.517100000001</v>
      </c>
      <c r="P566">
        <f t="shared" ca="1" si="110"/>
        <v>25926</v>
      </c>
      <c r="Q566" t="str">
        <f t="shared" ca="1" si="111"/>
        <v>0110010101000110</v>
      </c>
      <c r="R566">
        <f t="shared" ca="1" si="112"/>
        <v>4.8611250000000004</v>
      </c>
      <c r="S566">
        <f t="shared" ca="1" si="113"/>
        <v>78.333500000000015</v>
      </c>
      <c r="T566" s="3">
        <f t="shared" ca="1" si="117"/>
        <v>2.5307591623036769E-2</v>
      </c>
      <c r="W566">
        <f t="shared" si="114"/>
        <v>77.405336233981686</v>
      </c>
      <c r="X566" s="5">
        <f t="shared" si="115"/>
        <v>1.3158851230126702E-2</v>
      </c>
    </row>
    <row r="567" spans="8:24" x14ac:dyDescent="0.25">
      <c r="H567">
        <v>76.5</v>
      </c>
      <c r="I567">
        <v>4.7918790048529685</v>
      </c>
      <c r="J567" s="10">
        <f t="shared" si="105"/>
        <v>1E-4</v>
      </c>
      <c r="K567" s="17">
        <f t="shared" si="106"/>
        <v>2.8299999999999999E-4</v>
      </c>
      <c r="L567" s="10">
        <f t="shared" si="107"/>
        <v>1.5733E-2</v>
      </c>
      <c r="M567" s="11">
        <f t="shared" si="116"/>
        <v>4.8683731191363409</v>
      </c>
      <c r="N567" s="5">
        <f t="shared" si="108"/>
        <v>1.5963281670072028E-2</v>
      </c>
      <c r="O567">
        <f t="shared" si="109"/>
        <v>25973.238700000002</v>
      </c>
      <c r="P567">
        <f t="shared" ca="1" si="110"/>
        <v>25976</v>
      </c>
      <c r="Q567" t="str">
        <f t="shared" ca="1" si="111"/>
        <v>0110010101111000</v>
      </c>
      <c r="R567">
        <f t="shared" ca="1" si="112"/>
        <v>4.8704999999999998</v>
      </c>
      <c r="S567">
        <f t="shared" ca="1" si="113"/>
        <v>78.446000000000012</v>
      </c>
      <c r="T567" s="3">
        <f t="shared" ca="1" si="117"/>
        <v>2.5437908496732185E-2</v>
      </c>
      <c r="W567">
        <f t="shared" si="114"/>
        <v>77.502548058235632</v>
      </c>
      <c r="X567" s="5">
        <f t="shared" si="115"/>
        <v>1.310520337562918E-2</v>
      </c>
    </row>
    <row r="568" spans="8:24" x14ac:dyDescent="0.25">
      <c r="H568">
        <v>76.599999999999994</v>
      </c>
      <c r="I568">
        <v>4.7991893950497762</v>
      </c>
      <c r="J568" s="10">
        <f t="shared" si="105"/>
        <v>1E-4</v>
      </c>
      <c r="K568" s="17">
        <f t="shared" si="106"/>
        <v>2.8299999999999999E-4</v>
      </c>
      <c r="L568" s="10">
        <f t="shared" si="107"/>
        <v>1.5762999999999999E-2</v>
      </c>
      <c r="M568" s="11">
        <f t="shared" si="116"/>
        <v>4.8759489788026427</v>
      </c>
      <c r="N568" s="5">
        <f t="shared" si="108"/>
        <v>1.5994280999212445E-2</v>
      </c>
      <c r="O568">
        <f t="shared" si="109"/>
        <v>26013.656599999998</v>
      </c>
      <c r="P568">
        <f t="shared" ca="1" si="110"/>
        <v>26016</v>
      </c>
      <c r="Q568" t="str">
        <f t="shared" ca="1" si="111"/>
        <v>0110010110100000</v>
      </c>
      <c r="R568">
        <f t="shared" ca="1" si="112"/>
        <v>4.8780000000000001</v>
      </c>
      <c r="S568">
        <f t="shared" ca="1" si="113"/>
        <v>78.536000000000016</v>
      </c>
      <c r="T568" s="3">
        <f t="shared" ca="1" si="117"/>
        <v>2.5274151436031612E-2</v>
      </c>
      <c r="W568">
        <f t="shared" si="114"/>
        <v>77.590272740597328</v>
      </c>
      <c r="X568" s="5">
        <f t="shared" si="115"/>
        <v>1.2927842566544827E-2</v>
      </c>
    </row>
    <row r="569" spans="8:24" x14ac:dyDescent="0.25">
      <c r="H569">
        <v>76.7</v>
      </c>
      <c r="I569">
        <v>4.8065104855520548</v>
      </c>
      <c r="J569" s="10">
        <f t="shared" si="105"/>
        <v>1.01E-4</v>
      </c>
      <c r="K569" s="17">
        <f t="shared" si="106"/>
        <v>2.8400000000000002E-4</v>
      </c>
      <c r="L569" s="10">
        <f t="shared" si="107"/>
        <v>1.5793999999999999E-2</v>
      </c>
      <c r="M569" s="11">
        <f t="shared" si="116"/>
        <v>4.8835401181785674</v>
      </c>
      <c r="N569" s="5">
        <f t="shared" si="108"/>
        <v>1.6026103107037171E-2</v>
      </c>
      <c r="O569">
        <f t="shared" si="109"/>
        <v>26054.1561</v>
      </c>
      <c r="P569">
        <f t="shared" ca="1" si="110"/>
        <v>26054</v>
      </c>
      <c r="Q569" t="str">
        <f t="shared" ca="1" si="111"/>
        <v>0110010111000110</v>
      </c>
      <c r="R569">
        <f t="shared" ca="1" si="112"/>
        <v>4.8851250000000004</v>
      </c>
      <c r="S569">
        <f t="shared" ca="1" si="113"/>
        <v>78.621500000000012</v>
      </c>
      <c r="T569" s="3">
        <f t="shared" ca="1" si="117"/>
        <v>2.505215123859203E-2</v>
      </c>
      <c r="W569">
        <f t="shared" si="114"/>
        <v>77.678125826624665</v>
      </c>
      <c r="X569" s="5">
        <f t="shared" si="115"/>
        <v>1.2752618339304593E-2</v>
      </c>
    </row>
    <row r="570" spans="8:24" x14ac:dyDescent="0.25">
      <c r="H570">
        <v>76.800000000000011</v>
      </c>
      <c r="I570">
        <v>4.8134449623346365</v>
      </c>
      <c r="J570" s="10">
        <f t="shared" si="105"/>
        <v>1.02E-4</v>
      </c>
      <c r="K570" s="17">
        <f t="shared" si="106"/>
        <v>2.8400000000000002E-4</v>
      </c>
      <c r="L570" s="10">
        <f t="shared" si="107"/>
        <v>1.5824000000000001E-2</v>
      </c>
      <c r="M570" s="11">
        <f t="shared" si="116"/>
        <v>4.8907339361401174</v>
      </c>
      <c r="N570" s="5">
        <f t="shared" si="108"/>
        <v>1.6056893640681399E-2</v>
      </c>
      <c r="O570">
        <f t="shared" si="109"/>
        <v>26092.535800000001</v>
      </c>
      <c r="P570">
        <f t="shared" ca="1" si="110"/>
        <v>26092</v>
      </c>
      <c r="Q570" t="str">
        <f t="shared" ca="1" si="111"/>
        <v>0110010111101100</v>
      </c>
      <c r="R570">
        <f t="shared" ca="1" si="112"/>
        <v>4.8922499999999998</v>
      </c>
      <c r="S570">
        <f t="shared" ca="1" si="113"/>
        <v>78.707000000000008</v>
      </c>
      <c r="T570" s="3">
        <f t="shared" ca="1" si="117"/>
        <v>2.4830729166666617E-2</v>
      </c>
      <c r="W570">
        <f t="shared" si="114"/>
        <v>77.761339548015641</v>
      </c>
      <c r="X570" s="5">
        <f t="shared" si="115"/>
        <v>1.2517442031453514E-2</v>
      </c>
    </row>
    <row r="571" spans="8:24" x14ac:dyDescent="0.25">
      <c r="H571">
        <v>76.900000000000006</v>
      </c>
      <c r="I571">
        <v>4.821184330829178</v>
      </c>
      <c r="J571" s="10">
        <f t="shared" si="105"/>
        <v>1.02E-4</v>
      </c>
      <c r="K571" s="17">
        <f t="shared" si="106"/>
        <v>2.8499999999999999E-4</v>
      </c>
      <c r="L571" s="10">
        <f t="shared" si="107"/>
        <v>1.5855000000000001E-2</v>
      </c>
      <c r="M571" s="11">
        <f t="shared" si="116"/>
        <v>4.89875204449464</v>
      </c>
      <c r="N571" s="5">
        <f t="shared" si="108"/>
        <v>1.6088933411953037E-2</v>
      </c>
      <c r="O571">
        <f t="shared" si="109"/>
        <v>26135.313200000001</v>
      </c>
      <c r="P571">
        <f t="shared" ca="1" si="110"/>
        <v>26138</v>
      </c>
      <c r="Q571" t="str">
        <f t="shared" ca="1" si="111"/>
        <v>0110011000011010</v>
      </c>
      <c r="R571">
        <f t="shared" ca="1" si="112"/>
        <v>4.9008750000000001</v>
      </c>
      <c r="S571">
        <f t="shared" ca="1" si="113"/>
        <v>78.810500000000005</v>
      </c>
      <c r="T571" s="3">
        <f t="shared" ca="1" si="117"/>
        <v>2.484395318595577E-2</v>
      </c>
      <c r="W571">
        <f t="shared" si="114"/>
        <v>77.854211969950143</v>
      </c>
      <c r="X571" s="5">
        <f t="shared" si="115"/>
        <v>1.2408478152797619E-2</v>
      </c>
    </row>
    <row r="572" spans="8:24" x14ac:dyDescent="0.25">
      <c r="H572">
        <v>77</v>
      </c>
      <c r="I572">
        <v>4.8281414042886475</v>
      </c>
      <c r="J572" s="10">
        <f t="shared" si="105"/>
        <v>1.03E-4</v>
      </c>
      <c r="K572" s="17">
        <f t="shared" si="106"/>
        <v>2.8499999999999999E-4</v>
      </c>
      <c r="L572" s="10">
        <f t="shared" si="107"/>
        <v>1.5885E-2</v>
      </c>
      <c r="M572" s="11">
        <f t="shared" si="116"/>
        <v>4.9059697335053807</v>
      </c>
      <c r="N572" s="5">
        <f t="shared" si="108"/>
        <v>1.6119728628412041E-2</v>
      </c>
      <c r="O572">
        <f t="shared" si="109"/>
        <v>26173.820199999998</v>
      </c>
      <c r="P572">
        <f t="shared" ca="1" si="110"/>
        <v>26174</v>
      </c>
      <c r="Q572" t="str">
        <f t="shared" ca="1" si="111"/>
        <v>0110011000111110</v>
      </c>
      <c r="R572">
        <f t="shared" ca="1" si="112"/>
        <v>4.9076250000000003</v>
      </c>
      <c r="S572">
        <f t="shared" ca="1" si="113"/>
        <v>78.891500000000008</v>
      </c>
      <c r="T572" s="3">
        <f t="shared" ca="1" si="117"/>
        <v>2.4564935064935164E-2</v>
      </c>
      <c r="W572">
        <f t="shared" si="114"/>
        <v>77.937696851463784</v>
      </c>
      <c r="X572" s="5">
        <f t="shared" si="115"/>
        <v>1.2177881187841348E-2</v>
      </c>
    </row>
    <row r="573" spans="8:24" x14ac:dyDescent="0.25">
      <c r="H573">
        <v>77.099999999999994</v>
      </c>
      <c r="I573">
        <v>4.8351104802259091</v>
      </c>
      <c r="J573" s="10">
        <f t="shared" si="105"/>
        <v>1.03E-4</v>
      </c>
      <c r="K573" s="17">
        <f t="shared" si="106"/>
        <v>2.8600000000000001E-4</v>
      </c>
      <c r="L573" s="10">
        <f t="shared" si="107"/>
        <v>1.5916E-2</v>
      </c>
      <c r="M573" s="11">
        <f t="shared" si="116"/>
        <v>4.9132060680042651</v>
      </c>
      <c r="N573" s="5">
        <f t="shared" si="108"/>
        <v>1.6151769043901389E-2</v>
      </c>
      <c r="O573">
        <f t="shared" si="109"/>
        <v>26212.426800000001</v>
      </c>
      <c r="P573">
        <f t="shared" ca="1" si="110"/>
        <v>26210</v>
      </c>
      <c r="Q573" t="str">
        <f t="shared" ca="1" si="111"/>
        <v>0110011001100010</v>
      </c>
      <c r="R573">
        <f t="shared" ca="1" si="112"/>
        <v>4.9143749999999997</v>
      </c>
      <c r="S573">
        <f t="shared" ca="1" si="113"/>
        <v>78.972500000000011</v>
      </c>
      <c r="T573" s="3">
        <f t="shared" ca="1" si="117"/>
        <v>2.4286640726329658E-2</v>
      </c>
      <c r="W573">
        <f t="shared" si="114"/>
        <v>78.021325762710916</v>
      </c>
      <c r="X573" s="5">
        <f t="shared" si="115"/>
        <v>1.1949750489117011E-2</v>
      </c>
    </row>
    <row r="574" spans="8:24" x14ac:dyDescent="0.25">
      <c r="H574">
        <v>77.2</v>
      </c>
      <c r="I574">
        <v>4.8428789035524877</v>
      </c>
      <c r="J574" s="10">
        <f t="shared" si="105"/>
        <v>1.0399999999999999E-4</v>
      </c>
      <c r="K574" s="17">
        <f t="shared" si="106"/>
        <v>2.8600000000000001E-4</v>
      </c>
      <c r="L574" s="10">
        <f t="shared" si="107"/>
        <v>1.5945999999999998E-2</v>
      </c>
      <c r="M574" s="11">
        <f t="shared" si="116"/>
        <v>4.9212491423768281</v>
      </c>
      <c r="N574" s="5">
        <f t="shared" si="108"/>
        <v>1.6182572470860662E-2</v>
      </c>
      <c r="O574">
        <f t="shared" si="109"/>
        <v>26255.337299999999</v>
      </c>
      <c r="P574">
        <f t="shared" ca="1" si="110"/>
        <v>26253</v>
      </c>
      <c r="Q574" t="str">
        <f t="shared" ca="1" si="111"/>
        <v>0110011010001101</v>
      </c>
      <c r="R574">
        <f t="shared" ca="1" si="112"/>
        <v>4.9224375</v>
      </c>
      <c r="S574">
        <f t="shared" ca="1" si="113"/>
        <v>79.069250000000011</v>
      </c>
      <c r="T574" s="3">
        <f t="shared" ca="1" si="117"/>
        <v>2.4213082901554508E-2</v>
      </c>
      <c r="W574">
        <f t="shared" si="114"/>
        <v>78.114546842629863</v>
      </c>
      <c r="X574" s="5">
        <f t="shared" si="115"/>
        <v>1.184646169209664E-2</v>
      </c>
    </row>
    <row r="575" spans="8:24" x14ac:dyDescent="0.25">
      <c r="H575">
        <v>77.300000000000011</v>
      </c>
      <c r="I575">
        <v>4.8502627804868226</v>
      </c>
      <c r="J575" s="10">
        <f t="shared" si="105"/>
        <v>1.0399999999999999E-4</v>
      </c>
      <c r="K575" s="17">
        <f t="shared" si="106"/>
        <v>2.8699999999999998E-4</v>
      </c>
      <c r="L575" s="10">
        <f t="shared" si="107"/>
        <v>1.5977000000000002E-2</v>
      </c>
      <c r="M575" s="11">
        <f t="shared" si="116"/>
        <v>4.9289079426871343</v>
      </c>
      <c r="N575" s="5">
        <f t="shared" si="108"/>
        <v>1.6214618827810823E-2</v>
      </c>
      <c r="O575">
        <f t="shared" si="109"/>
        <v>26296.197800000002</v>
      </c>
      <c r="P575">
        <f t="shared" ca="1" si="110"/>
        <v>26297</v>
      </c>
      <c r="Q575" t="str">
        <f t="shared" ca="1" si="111"/>
        <v>0110011010111001</v>
      </c>
      <c r="R575">
        <f t="shared" ca="1" si="112"/>
        <v>4.9306875000000003</v>
      </c>
      <c r="S575">
        <f t="shared" ca="1" si="113"/>
        <v>79.168250000000015</v>
      </c>
      <c r="T575" s="3">
        <f t="shared" ca="1" si="117"/>
        <v>2.4168822768434708E-2</v>
      </c>
      <c r="W575">
        <f t="shared" si="114"/>
        <v>78.203153365841885</v>
      </c>
      <c r="X575" s="5">
        <f t="shared" si="115"/>
        <v>1.1683743413219582E-2</v>
      </c>
    </row>
    <row r="576" spans="8:24" x14ac:dyDescent="0.25">
      <c r="H576">
        <v>77.400000000000006</v>
      </c>
      <c r="I576">
        <v>4.8576565995790109</v>
      </c>
      <c r="J576" s="10">
        <f t="shared" si="105"/>
        <v>1.05E-4</v>
      </c>
      <c r="K576" s="17">
        <f t="shared" si="106"/>
        <v>2.8699999999999998E-4</v>
      </c>
      <c r="L576" s="10">
        <f t="shared" si="107"/>
        <v>1.6007E-2</v>
      </c>
      <c r="M576" s="11">
        <f t="shared" si="116"/>
        <v>4.936571296319193</v>
      </c>
      <c r="N576" s="5">
        <f t="shared" si="108"/>
        <v>1.6245425159740871E-2</v>
      </c>
      <c r="O576">
        <f t="shared" si="109"/>
        <v>26337.0825</v>
      </c>
      <c r="P576">
        <f t="shared" ca="1" si="110"/>
        <v>26338</v>
      </c>
      <c r="Q576" t="str">
        <f t="shared" ca="1" si="111"/>
        <v>0110011011100010</v>
      </c>
      <c r="R576">
        <f t="shared" ca="1" si="112"/>
        <v>4.9383749999999997</v>
      </c>
      <c r="S576">
        <f t="shared" ca="1" si="113"/>
        <v>79.260500000000008</v>
      </c>
      <c r="T576" s="3">
        <f t="shared" ca="1" si="117"/>
        <v>2.4037467700258421E-2</v>
      </c>
      <c r="W576">
        <f t="shared" si="114"/>
        <v>78.291879194948137</v>
      </c>
      <c r="X576" s="5">
        <f t="shared" si="115"/>
        <v>1.1522987014833742E-2</v>
      </c>
    </row>
    <row r="577" spans="8:24" x14ac:dyDescent="0.25">
      <c r="H577">
        <v>77.5</v>
      </c>
      <c r="I577">
        <v>4.8650602537964165</v>
      </c>
      <c r="J577" s="10">
        <f t="shared" si="105"/>
        <v>1.06E-4</v>
      </c>
      <c r="K577" s="17">
        <f t="shared" si="106"/>
        <v>2.8800000000000001E-4</v>
      </c>
      <c r="L577" s="10">
        <f t="shared" si="107"/>
        <v>1.6038E-2</v>
      </c>
      <c r="M577" s="11">
        <f t="shared" si="116"/>
        <v>4.9442501375016681</v>
      </c>
      <c r="N577" s="5">
        <f t="shared" si="108"/>
        <v>1.6277266790982972E-2</v>
      </c>
      <c r="O577">
        <f t="shared" si="109"/>
        <v>26378.049900000002</v>
      </c>
      <c r="P577">
        <f t="shared" ca="1" si="110"/>
        <v>26379</v>
      </c>
      <c r="Q577" t="str">
        <f t="shared" ca="1" si="111"/>
        <v>0110011100001011</v>
      </c>
      <c r="R577">
        <f t="shared" ca="1" si="112"/>
        <v>4.9460625</v>
      </c>
      <c r="S577">
        <f t="shared" ca="1" si="113"/>
        <v>79.352750000000015</v>
      </c>
      <c r="T577" s="3">
        <f t="shared" ca="1" si="117"/>
        <v>2.3906451612903414E-2</v>
      </c>
      <c r="W577">
        <f t="shared" si="114"/>
        <v>78.380723045557005</v>
      </c>
      <c r="X577" s="5">
        <f t="shared" si="115"/>
        <v>1.1364168329767806E-2</v>
      </c>
    </row>
    <row r="578" spans="8:24" x14ac:dyDescent="0.25">
      <c r="H578">
        <v>77.599999999999994</v>
      </c>
      <c r="I578">
        <v>4.871693082204823</v>
      </c>
      <c r="J578" s="10">
        <f t="shared" si="105"/>
        <v>1.06E-4</v>
      </c>
      <c r="K578" s="17">
        <f t="shared" si="106"/>
        <v>2.8800000000000001E-4</v>
      </c>
      <c r="L578" s="10">
        <f t="shared" si="107"/>
        <v>1.6067999999999999E-2</v>
      </c>
      <c r="M578" s="11">
        <f t="shared" si="116"/>
        <v>4.9511420323811226</v>
      </c>
      <c r="N578" s="5">
        <f t="shared" si="108"/>
        <v>1.6308283144212919E-2</v>
      </c>
      <c r="O578">
        <f t="shared" si="109"/>
        <v>26414.818800000001</v>
      </c>
      <c r="P578">
        <f t="shared" ca="1" si="110"/>
        <v>26414</v>
      </c>
      <c r="Q578" t="str">
        <f t="shared" ca="1" si="111"/>
        <v>0110011100101110</v>
      </c>
      <c r="R578">
        <f t="shared" ca="1" si="112"/>
        <v>4.9526250000000003</v>
      </c>
      <c r="S578">
        <f t="shared" ca="1" si="113"/>
        <v>79.431500000000014</v>
      </c>
      <c r="T578" s="3">
        <f t="shared" ca="1" si="117"/>
        <v>2.3601804123711597E-2</v>
      </c>
      <c r="W578">
        <f t="shared" si="114"/>
        <v>78.460316986457883</v>
      </c>
      <c r="X578" s="5">
        <f t="shared" si="115"/>
        <v>1.1086559103838774E-2</v>
      </c>
    </row>
    <row r="579" spans="8:24" x14ac:dyDescent="0.25">
      <c r="H579">
        <v>77.7</v>
      </c>
      <c r="I579">
        <v>4.8798966427794435</v>
      </c>
      <c r="J579" s="10">
        <f t="shared" ref="J579:J602" si="118">ROUND(H579*0.00000575 -0.00034,6)</f>
        <v>1.07E-4</v>
      </c>
      <c r="K579" s="17">
        <f t="shared" ref="K579:K602" si="119">ROUND(H579*0.000005-0.0001,6)</f>
        <v>2.8899999999999998E-4</v>
      </c>
      <c r="L579" s="10">
        <f t="shared" ref="L579:L602" si="120">ROUND(K579+($C$24*(H579-25)),6)</f>
        <v>1.6098999999999999E-2</v>
      </c>
      <c r="M579" s="11">
        <f t="shared" si="116"/>
        <v>4.9596348034806788</v>
      </c>
      <c r="N579" s="5">
        <f t="shared" ref="N579:N602" si="121">ABS(I579-M579)/I579</f>
        <v>1.6340133109011674E-2</v>
      </c>
      <c r="O579">
        <f t="shared" ref="O579:O602" si="122">ROUND((M579*(2^($C$12-1)))/$C$44,4)</f>
        <v>26460.128499999999</v>
      </c>
      <c r="P579">
        <f t="shared" ref="P579:P602" ca="1" si="123">ROUND(O579+$C$47+$C$49+RANDBETWEEN($B$45,$D$45),0)</f>
        <v>26464</v>
      </c>
      <c r="Q579" t="str">
        <f t="shared" ref="Q579:Q602" ca="1" si="124">_xlfn.BASE(P579,2,16)</f>
        <v>0110011101100000</v>
      </c>
      <c r="R579">
        <f t="shared" ref="R579:R602" ca="1" si="125">($C$16/2^($C$12-1)) * P579</f>
        <v>4.9619999999999997</v>
      </c>
      <c r="S579">
        <f t="shared" ref="S579:S602" ca="1" si="126">(R579+5/3)/(1/12)</f>
        <v>79.544000000000011</v>
      </c>
      <c r="T579" s="3">
        <f t="shared" ca="1" si="117"/>
        <v>2.3732303732303839E-2</v>
      </c>
      <c r="W579">
        <f t="shared" ref="W579:W602" si="127">(I579+5/3)/(1/12)</f>
        <v>78.558759713353325</v>
      </c>
      <c r="X579" s="5">
        <f t="shared" ref="X579:X602" si="128">ABS(H579-W579)/H579</f>
        <v>1.105224856310582E-2</v>
      </c>
    </row>
    <row r="580" spans="8:24" x14ac:dyDescent="0.25">
      <c r="H580">
        <v>77.800000000000011</v>
      </c>
      <c r="I580">
        <v>4.886940604407175</v>
      </c>
      <c r="J580" s="10">
        <f t="shared" si="118"/>
        <v>1.07E-4</v>
      </c>
      <c r="K580" s="17">
        <f t="shared" si="119"/>
        <v>2.8899999999999998E-4</v>
      </c>
      <c r="L580" s="10">
        <f t="shared" si="120"/>
        <v>1.6129000000000001E-2</v>
      </c>
      <c r="M580" s="11">
        <f t="shared" ref="M580:M602" si="129">(I580-J580)/(1-L580)</f>
        <v>4.9669454678582605</v>
      </c>
      <c r="N580" s="5">
        <f t="shared" si="121"/>
        <v>1.6371155274311076E-2</v>
      </c>
      <c r="O580">
        <f t="shared" si="122"/>
        <v>26499.131600000001</v>
      </c>
      <c r="P580">
        <f t="shared" ca="1" si="123"/>
        <v>26497</v>
      </c>
      <c r="Q580" t="str">
        <f t="shared" ca="1" si="124"/>
        <v>0110011110000001</v>
      </c>
      <c r="R580">
        <f t="shared" ca="1" si="125"/>
        <v>4.9681875</v>
      </c>
      <c r="S580">
        <f t="shared" ca="1" si="126"/>
        <v>79.618250000000003</v>
      </c>
      <c r="T580" s="3">
        <f t="shared" ref="T580:T602" ca="1" si="130">ABS(H580-S580)/H580</f>
        <v>2.3370822622107861E-2</v>
      </c>
      <c r="W580">
        <f t="shared" si="127"/>
        <v>78.643287252886111</v>
      </c>
      <c r="X580" s="5">
        <f t="shared" si="128"/>
        <v>1.0839167774885599E-2</v>
      </c>
    </row>
    <row r="581" spans="8:24" x14ac:dyDescent="0.25">
      <c r="H581">
        <v>77.900000000000006</v>
      </c>
      <c r="I581">
        <v>4.8939956908799251</v>
      </c>
      <c r="J581" s="10">
        <f t="shared" si="118"/>
        <v>1.08E-4</v>
      </c>
      <c r="K581" s="17">
        <f t="shared" si="119"/>
        <v>2.9E-4</v>
      </c>
      <c r="L581" s="10">
        <f t="shared" si="120"/>
        <v>1.6160000000000001E-2</v>
      </c>
      <c r="M581" s="11">
        <f t="shared" si="129"/>
        <v>4.9742719251910117</v>
      </c>
      <c r="N581" s="5">
        <f t="shared" si="121"/>
        <v>1.6403004698325171E-2</v>
      </c>
      <c r="O581">
        <f t="shared" si="122"/>
        <v>26538.219000000001</v>
      </c>
      <c r="P581">
        <f t="shared" ca="1" si="123"/>
        <v>26541</v>
      </c>
      <c r="Q581" t="str">
        <f t="shared" ca="1" si="124"/>
        <v>0110011110101101</v>
      </c>
      <c r="R581">
        <f t="shared" ca="1" si="125"/>
        <v>4.9764375000000003</v>
      </c>
      <c r="S581">
        <f t="shared" ca="1" si="126"/>
        <v>79.717250000000007</v>
      </c>
      <c r="T581" s="3">
        <f t="shared" ca="1" si="130"/>
        <v>2.3327984595635447E-2</v>
      </c>
      <c r="W581">
        <f t="shared" si="127"/>
        <v>78.727948290559112</v>
      </c>
      <c r="X581" s="5">
        <f t="shared" si="128"/>
        <v>1.0628347760707401E-2</v>
      </c>
    </row>
    <row r="582" spans="8:24" x14ac:dyDescent="0.25">
      <c r="H582">
        <v>78</v>
      </c>
      <c r="I582">
        <v>4.9018354909308863</v>
      </c>
      <c r="J582" s="10">
        <f t="shared" si="118"/>
        <v>1.0900000000000001E-4</v>
      </c>
      <c r="K582" s="17">
        <f t="shared" si="119"/>
        <v>2.9E-4</v>
      </c>
      <c r="L582" s="10">
        <f t="shared" si="120"/>
        <v>1.619E-2</v>
      </c>
      <c r="M582" s="11">
        <f t="shared" si="129"/>
        <v>4.9823914078235498</v>
      </c>
      <c r="N582" s="5">
        <f t="shared" si="121"/>
        <v>1.6433827092260388E-2</v>
      </c>
      <c r="O582">
        <f t="shared" si="122"/>
        <v>26581.537199999999</v>
      </c>
      <c r="P582">
        <f t="shared" ca="1" si="123"/>
        <v>26580</v>
      </c>
      <c r="Q582" t="str">
        <f t="shared" ca="1" si="124"/>
        <v>0110011111010100</v>
      </c>
      <c r="R582">
        <f t="shared" ca="1" si="125"/>
        <v>4.9837499999999997</v>
      </c>
      <c r="S582">
        <f t="shared" ca="1" si="126"/>
        <v>79.805000000000007</v>
      </c>
      <c r="T582" s="3">
        <f t="shared" ca="1" si="130"/>
        <v>2.3141025641025728E-2</v>
      </c>
      <c r="W582">
        <f t="shared" si="127"/>
        <v>78.82202589117064</v>
      </c>
      <c r="X582" s="5">
        <f t="shared" si="128"/>
        <v>1.0538793476546661E-2</v>
      </c>
    </row>
    <row r="583" spans="8:24" x14ac:dyDescent="0.25">
      <c r="H583">
        <v>78.099999999999994</v>
      </c>
      <c r="I583">
        <v>4.9085247953077946</v>
      </c>
      <c r="J583" s="10">
        <f t="shared" si="118"/>
        <v>1.0900000000000001E-4</v>
      </c>
      <c r="K583" s="17">
        <f t="shared" si="119"/>
        <v>2.9100000000000003E-4</v>
      </c>
      <c r="L583" s="10">
        <f t="shared" si="120"/>
        <v>1.6220999999999999E-2</v>
      </c>
      <c r="M583" s="11">
        <f t="shared" si="129"/>
        <v>4.9893480093677489</v>
      </c>
      <c r="N583" s="5">
        <f t="shared" si="121"/>
        <v>1.6465886886670233E-2</v>
      </c>
      <c r="O583">
        <f t="shared" si="122"/>
        <v>26618.651300000001</v>
      </c>
      <c r="P583">
        <f t="shared" ca="1" si="123"/>
        <v>26622</v>
      </c>
      <c r="Q583" t="str">
        <f t="shared" ca="1" si="124"/>
        <v>0110011111111110</v>
      </c>
      <c r="R583">
        <f t="shared" ca="1" si="125"/>
        <v>4.991625</v>
      </c>
      <c r="S583">
        <f t="shared" ca="1" si="126"/>
        <v>79.899500000000003</v>
      </c>
      <c r="T583" s="3">
        <f t="shared" ca="1" si="130"/>
        <v>2.3040973111395763E-2</v>
      </c>
      <c r="W583">
        <f t="shared" si="127"/>
        <v>78.90229754369355</v>
      </c>
      <c r="X583" s="5">
        <f t="shared" si="128"/>
        <v>1.027269582194053E-2</v>
      </c>
    </row>
    <row r="584" spans="8:24" x14ac:dyDescent="0.25">
      <c r="H584">
        <v>78.2</v>
      </c>
      <c r="I584">
        <v>4.9152266069178818</v>
      </c>
      <c r="J584" s="10">
        <f t="shared" si="118"/>
        <v>1.1E-4</v>
      </c>
      <c r="K584" s="17">
        <f t="shared" si="119"/>
        <v>2.9100000000000003E-4</v>
      </c>
      <c r="L584" s="10">
        <f t="shared" si="120"/>
        <v>1.6251000000000002E-2</v>
      </c>
      <c r="M584" s="11">
        <f t="shared" si="129"/>
        <v>4.9963116678318169</v>
      </c>
      <c r="N584" s="5">
        <f t="shared" si="121"/>
        <v>1.6496708574903301E-2</v>
      </c>
      <c r="O584">
        <f t="shared" si="122"/>
        <v>26655.803100000001</v>
      </c>
      <c r="P584">
        <f t="shared" ca="1" si="123"/>
        <v>26655</v>
      </c>
      <c r="Q584" t="str">
        <f t="shared" ca="1" si="124"/>
        <v>0110100000011111</v>
      </c>
      <c r="R584">
        <f t="shared" ca="1" si="125"/>
        <v>4.9978125000000002</v>
      </c>
      <c r="S584">
        <f t="shared" ca="1" si="126"/>
        <v>79.97375000000001</v>
      </c>
      <c r="T584" s="3">
        <f t="shared" ca="1" si="130"/>
        <v>2.2682225063938705E-2</v>
      </c>
      <c r="W584">
        <f t="shared" si="127"/>
        <v>78.982719283014589</v>
      </c>
      <c r="X584" s="5">
        <f t="shared" si="128"/>
        <v>1.000919799251389E-2</v>
      </c>
    </row>
    <row r="585" spans="8:24" x14ac:dyDescent="0.25">
      <c r="H585">
        <v>78.300000000000011</v>
      </c>
      <c r="I585">
        <v>4.9234779757904565</v>
      </c>
      <c r="J585" s="10">
        <f t="shared" si="118"/>
        <v>1.1E-4</v>
      </c>
      <c r="K585" s="17">
        <f t="shared" si="119"/>
        <v>2.92E-4</v>
      </c>
      <c r="L585" s="10">
        <f t="shared" si="120"/>
        <v>1.6282000000000001E-2</v>
      </c>
      <c r="M585" s="11">
        <f t="shared" si="129"/>
        <v>5.0048570584155785</v>
      </c>
      <c r="N585" s="5">
        <f t="shared" si="121"/>
        <v>1.6528779660491252E-2</v>
      </c>
      <c r="O585">
        <f t="shared" si="122"/>
        <v>26701.393599999999</v>
      </c>
      <c r="P585">
        <f t="shared" ca="1" si="123"/>
        <v>26703</v>
      </c>
      <c r="Q585" t="str">
        <f t="shared" ca="1" si="124"/>
        <v>0110100001001111</v>
      </c>
      <c r="R585">
        <f t="shared" ca="1" si="125"/>
        <v>5.0068124999999997</v>
      </c>
      <c r="S585">
        <f t="shared" ca="1" si="126"/>
        <v>80.08175</v>
      </c>
      <c r="T585" s="3">
        <f t="shared" ca="1" si="130"/>
        <v>2.2755427841634583E-2</v>
      </c>
      <c r="W585">
        <f t="shared" si="127"/>
        <v>79.081735709485486</v>
      </c>
      <c r="X585" s="5">
        <f t="shared" si="128"/>
        <v>9.9838532501337687E-3</v>
      </c>
    </row>
    <row r="586" spans="8:24" x14ac:dyDescent="0.25">
      <c r="H586">
        <v>78.400000000000006</v>
      </c>
      <c r="I586">
        <v>4.9302010593762224</v>
      </c>
      <c r="J586" s="10">
        <f t="shared" si="118"/>
        <v>1.11E-4</v>
      </c>
      <c r="K586" s="17">
        <f t="shared" si="119"/>
        <v>2.92E-4</v>
      </c>
      <c r="L586" s="10">
        <f t="shared" si="120"/>
        <v>1.6312E-2</v>
      </c>
      <c r="M586" s="11">
        <f t="shared" si="129"/>
        <v>5.0118432464116891</v>
      </c>
      <c r="N586" s="5">
        <f t="shared" si="121"/>
        <v>1.655960599825845E-2</v>
      </c>
      <c r="O586">
        <f t="shared" si="122"/>
        <v>26738.6656</v>
      </c>
      <c r="P586">
        <f t="shared" ca="1" si="123"/>
        <v>26740</v>
      </c>
      <c r="Q586" t="str">
        <f t="shared" ca="1" si="124"/>
        <v>0110100001110100</v>
      </c>
      <c r="R586">
        <f t="shared" ca="1" si="125"/>
        <v>5.0137499999999999</v>
      </c>
      <c r="S586">
        <f t="shared" ca="1" si="126"/>
        <v>80.165000000000006</v>
      </c>
      <c r="T586" s="3">
        <f t="shared" ca="1" si="130"/>
        <v>2.2512755102040823E-2</v>
      </c>
      <c r="W586">
        <f t="shared" si="127"/>
        <v>79.16241271251468</v>
      </c>
      <c r="X586" s="5">
        <f t="shared" si="128"/>
        <v>9.7246519453402323E-3</v>
      </c>
    </row>
    <row r="587" spans="8:24" x14ac:dyDescent="0.25">
      <c r="H587">
        <v>78.5</v>
      </c>
      <c r="I587">
        <v>4.9369363179198267</v>
      </c>
      <c r="J587" s="10">
        <f t="shared" si="118"/>
        <v>1.11E-4</v>
      </c>
      <c r="K587" s="17">
        <f t="shared" si="119"/>
        <v>2.9300000000000002E-4</v>
      </c>
      <c r="L587" s="10">
        <f t="shared" si="120"/>
        <v>1.6343E-2</v>
      </c>
      <c r="M587" s="11">
        <f t="shared" si="129"/>
        <v>5.0188483566119348</v>
      </c>
      <c r="N587" s="5">
        <f t="shared" si="121"/>
        <v>1.6591674151191345E-2</v>
      </c>
      <c r="O587">
        <f>ROUND((M587*(2^($C$12-1)))/$C$44,4)</f>
        <v>26776.038499999999</v>
      </c>
      <c r="P587">
        <f t="shared" ca="1" si="123"/>
        <v>26777</v>
      </c>
      <c r="Q587" t="str">
        <f t="shared" ca="1" si="124"/>
        <v>0110100010011001</v>
      </c>
      <c r="R587">
        <f t="shared" ca="1" si="125"/>
        <v>5.0206875000000002</v>
      </c>
      <c r="S587">
        <f t="shared" ca="1" si="126"/>
        <v>80.248250000000013</v>
      </c>
      <c r="T587" s="3">
        <f t="shared" ca="1" si="130"/>
        <v>2.227070063694284E-2</v>
      </c>
      <c r="W587">
        <f t="shared" si="127"/>
        <v>79.243235815037934</v>
      </c>
      <c r="X587" s="5">
        <f t="shared" si="128"/>
        <v>9.4679721660883356E-3</v>
      </c>
    </row>
    <row r="588" spans="8:24" x14ac:dyDescent="0.25">
      <c r="H588">
        <v>78.599999999999994</v>
      </c>
      <c r="I588">
        <v>4.9440653854604468</v>
      </c>
      <c r="J588" s="10">
        <f t="shared" si="118"/>
        <v>1.12E-4</v>
      </c>
      <c r="K588" s="17">
        <f t="shared" si="119"/>
        <v>2.9300000000000002E-4</v>
      </c>
      <c r="L588" s="10">
        <f t="shared" si="120"/>
        <v>1.6372999999999999E-2</v>
      </c>
      <c r="M588" s="11">
        <f t="shared" si="129"/>
        <v>5.0262481463608122</v>
      </c>
      <c r="N588" s="5">
        <f t="shared" si="121"/>
        <v>1.6622506883110646E-2</v>
      </c>
      <c r="O588">
        <f t="shared" si="122"/>
        <v>26815.517100000001</v>
      </c>
      <c r="P588">
        <f t="shared" ca="1" si="123"/>
        <v>26817</v>
      </c>
      <c r="Q588" t="str">
        <f t="shared" ca="1" si="124"/>
        <v>0110100011000001</v>
      </c>
      <c r="R588">
        <f t="shared" ca="1" si="125"/>
        <v>5.0281875000000005</v>
      </c>
      <c r="S588">
        <f t="shared" ca="1" si="126"/>
        <v>80.338250000000016</v>
      </c>
      <c r="T588" s="3">
        <f t="shared" ca="1" si="130"/>
        <v>2.2115139949109696E-2</v>
      </c>
      <c r="W588">
        <f t="shared" si="127"/>
        <v>79.328784625525373</v>
      </c>
      <c r="X588" s="5">
        <f t="shared" si="128"/>
        <v>9.2720690270404367E-3</v>
      </c>
    </row>
    <row r="589" spans="8:24" x14ac:dyDescent="0.25">
      <c r="H589">
        <v>78.7</v>
      </c>
      <c r="I589">
        <v>4.9512047131294761</v>
      </c>
      <c r="J589" s="10">
        <f t="shared" si="118"/>
        <v>1.13E-4</v>
      </c>
      <c r="K589" s="17">
        <f t="shared" si="119"/>
        <v>2.9399999999999999E-4</v>
      </c>
      <c r="L589" s="10">
        <f t="shared" si="120"/>
        <v>1.6403999999999998E-2</v>
      </c>
      <c r="M589" s="11">
        <f t="shared" si="129"/>
        <v>5.0336639363412177</v>
      </c>
      <c r="N589" s="5">
        <f t="shared" si="121"/>
        <v>1.6654375649845052E-2</v>
      </c>
      <c r="O589">
        <f t="shared" si="122"/>
        <v>26855.081099999999</v>
      </c>
      <c r="P589">
        <f t="shared" ca="1" si="123"/>
        <v>26855</v>
      </c>
      <c r="Q589" t="str">
        <f t="shared" ca="1" si="124"/>
        <v>0110100011100111</v>
      </c>
      <c r="R589">
        <f t="shared" ca="1" si="125"/>
        <v>5.0353124999999999</v>
      </c>
      <c r="S589">
        <f t="shared" ca="1" si="126"/>
        <v>80.423750000000013</v>
      </c>
      <c r="T589" s="3">
        <f t="shared" ca="1" si="130"/>
        <v>2.1902795425667212E-2</v>
      </c>
      <c r="W589">
        <f t="shared" si="127"/>
        <v>79.41445655755372</v>
      </c>
      <c r="X589" s="5">
        <f t="shared" si="128"/>
        <v>9.0782281773026316E-3</v>
      </c>
    </row>
    <row r="590" spans="8:24" x14ac:dyDescent="0.25">
      <c r="H590">
        <v>78.800000000000011</v>
      </c>
      <c r="I590">
        <v>4.9583541939527747</v>
      </c>
      <c r="J590" s="10">
        <f t="shared" si="118"/>
        <v>1.13E-4</v>
      </c>
      <c r="K590" s="17">
        <f t="shared" si="119"/>
        <v>2.9399999999999999E-4</v>
      </c>
      <c r="L590" s="10">
        <f t="shared" si="120"/>
        <v>1.6434000000000001E-2</v>
      </c>
      <c r="M590" s="11">
        <f t="shared" si="129"/>
        <v>5.0410864079815436</v>
      </c>
      <c r="N590" s="5">
        <f t="shared" si="121"/>
        <v>1.6685418344996299E-2</v>
      </c>
      <c r="O590">
        <f t="shared" si="122"/>
        <v>26894.680700000001</v>
      </c>
      <c r="P590">
        <f t="shared" ca="1" si="123"/>
        <v>26898</v>
      </c>
      <c r="Q590" t="str">
        <f t="shared" ca="1" si="124"/>
        <v>0110100100010010</v>
      </c>
      <c r="R590">
        <f t="shared" ca="1" si="125"/>
        <v>5.0433750000000002</v>
      </c>
      <c r="S590">
        <f t="shared" ca="1" si="126"/>
        <v>80.520500000000013</v>
      </c>
      <c r="T590" s="3">
        <f t="shared" ca="1" si="130"/>
        <v>2.1833756345177677E-2</v>
      </c>
      <c r="W590">
        <f t="shared" si="127"/>
        <v>79.500250327433307</v>
      </c>
      <c r="X590" s="5">
        <f t="shared" si="128"/>
        <v>8.8864254750418165E-3</v>
      </c>
    </row>
    <row r="591" spans="8:24" x14ac:dyDescent="0.25">
      <c r="H591">
        <v>78.900000000000006</v>
      </c>
      <c r="I591">
        <v>4.9658929373208816</v>
      </c>
      <c r="J591" s="10">
        <f t="shared" si="118"/>
        <v>1.1400000000000001E-4</v>
      </c>
      <c r="K591" s="17">
        <f t="shared" si="119"/>
        <v>2.9500000000000001E-4</v>
      </c>
      <c r="L591" s="10">
        <f t="shared" si="120"/>
        <v>1.6465E-2</v>
      </c>
      <c r="M591" s="11">
        <f t="shared" si="129"/>
        <v>5.0489092277558818</v>
      </c>
      <c r="N591" s="5">
        <f t="shared" si="121"/>
        <v>1.671729364342435E-2</v>
      </c>
      <c r="O591">
        <f t="shared" si="122"/>
        <v>26936.4162</v>
      </c>
      <c r="P591">
        <f t="shared" ca="1" si="123"/>
        <v>26938</v>
      </c>
      <c r="Q591" t="str">
        <f t="shared" ca="1" si="124"/>
        <v>0110100100111010</v>
      </c>
      <c r="R591">
        <f t="shared" ca="1" si="125"/>
        <v>5.0508750000000004</v>
      </c>
      <c r="S591">
        <f t="shared" ca="1" si="126"/>
        <v>80.610500000000016</v>
      </c>
      <c r="T591" s="3">
        <f t="shared" ca="1" si="130"/>
        <v>2.16793409378962E-2</v>
      </c>
      <c r="W591">
        <f t="shared" si="127"/>
        <v>79.590715247850582</v>
      </c>
      <c r="X591" s="5">
        <f t="shared" si="128"/>
        <v>8.7543123935434272E-3</v>
      </c>
    </row>
    <row r="592" spans="8:24" x14ac:dyDescent="0.25">
      <c r="H592">
        <v>79</v>
      </c>
      <c r="I592">
        <v>4.9726831904624014</v>
      </c>
      <c r="J592" s="10">
        <f t="shared" si="118"/>
        <v>1.1400000000000001E-4</v>
      </c>
      <c r="K592" s="17">
        <f t="shared" si="119"/>
        <v>2.9500000000000001E-4</v>
      </c>
      <c r="L592" s="10">
        <f t="shared" si="120"/>
        <v>1.6494999999999999E-2</v>
      </c>
      <c r="M592" s="11">
        <f t="shared" si="129"/>
        <v>5.0559673722679612</v>
      </c>
      <c r="N592" s="5">
        <f t="shared" si="121"/>
        <v>1.6748338596212761E-2</v>
      </c>
      <c r="O592">
        <f t="shared" si="122"/>
        <v>26974.072</v>
      </c>
      <c r="P592">
        <f t="shared" ca="1" si="123"/>
        <v>26975</v>
      </c>
      <c r="Q592" t="str">
        <f t="shared" ca="1" si="124"/>
        <v>0110100101011111</v>
      </c>
      <c r="R592">
        <f t="shared" ca="1" si="125"/>
        <v>5.0578124999999998</v>
      </c>
      <c r="S592">
        <f t="shared" ca="1" si="126"/>
        <v>80.693750000000009</v>
      </c>
      <c r="T592" s="3">
        <f t="shared" ca="1" si="130"/>
        <v>2.1439873417721626E-2</v>
      </c>
      <c r="W592">
        <f t="shared" si="127"/>
        <v>79.672198285548831</v>
      </c>
      <c r="X592" s="5">
        <f t="shared" si="128"/>
        <v>8.508839057580134E-3</v>
      </c>
    </row>
    <row r="593" spans="8:24" x14ac:dyDescent="0.25">
      <c r="H593">
        <v>79.099999999999994</v>
      </c>
      <c r="I593">
        <v>4.9794849598012902</v>
      </c>
      <c r="J593" s="10">
        <f t="shared" si="118"/>
        <v>1.15E-4</v>
      </c>
      <c r="K593" s="17">
        <f t="shared" si="119"/>
        <v>2.9599999999999998E-4</v>
      </c>
      <c r="L593" s="10">
        <f t="shared" si="120"/>
        <v>1.6525999999999999E-2</v>
      </c>
      <c r="M593" s="11">
        <f t="shared" si="129"/>
        <v>5.0630417883963279</v>
      </c>
      <c r="N593" s="5">
        <f t="shared" si="121"/>
        <v>1.6780215076374495E-2</v>
      </c>
      <c r="O593">
        <f t="shared" si="122"/>
        <v>27011.814699999999</v>
      </c>
      <c r="P593">
        <f t="shared" ca="1" si="123"/>
        <v>27015</v>
      </c>
      <c r="Q593" t="str">
        <f t="shared" ca="1" si="124"/>
        <v>0110100110000111</v>
      </c>
      <c r="R593">
        <f t="shared" ca="1" si="125"/>
        <v>5.0653125000000001</v>
      </c>
      <c r="S593">
        <f t="shared" ca="1" si="126"/>
        <v>80.783750000000012</v>
      </c>
      <c r="T593" s="3">
        <f t="shared" ca="1" si="130"/>
        <v>2.128634639696609E-2</v>
      </c>
      <c r="W593">
        <f t="shared" si="127"/>
        <v>79.753819517615497</v>
      </c>
      <c r="X593" s="5">
        <f t="shared" si="128"/>
        <v>8.2657334717509846E-3</v>
      </c>
    </row>
    <row r="594" spans="8:24" x14ac:dyDescent="0.25">
      <c r="H594">
        <v>79.2</v>
      </c>
      <c r="I594">
        <v>4.9870515281108689</v>
      </c>
      <c r="J594" s="10">
        <f t="shared" si="118"/>
        <v>1.15E-4</v>
      </c>
      <c r="K594" s="17">
        <f t="shared" si="119"/>
        <v>2.9599999999999998E-4</v>
      </c>
      <c r="L594" s="10">
        <f t="shared" si="120"/>
        <v>1.6556000000000001E-2</v>
      </c>
      <c r="M594" s="11">
        <f t="shared" si="129"/>
        <v>5.0708901860307947</v>
      </c>
      <c r="N594" s="5">
        <f t="shared" si="121"/>
        <v>1.6811267629248745E-2</v>
      </c>
      <c r="O594">
        <f t="shared" si="122"/>
        <v>27053.686699999998</v>
      </c>
      <c r="P594">
        <f t="shared" ca="1" si="123"/>
        <v>27052</v>
      </c>
      <c r="Q594" t="str">
        <f t="shared" ca="1" si="124"/>
        <v>0110100110101100</v>
      </c>
      <c r="R594">
        <f t="shared" ca="1" si="125"/>
        <v>5.0722500000000004</v>
      </c>
      <c r="S594">
        <f t="shared" ca="1" si="126"/>
        <v>80.867000000000019</v>
      </c>
      <c r="T594" s="3">
        <f t="shared" ca="1" si="130"/>
        <v>2.1047979797979996E-2</v>
      </c>
      <c r="W594">
        <f t="shared" si="127"/>
        <v>79.844618337330431</v>
      </c>
      <c r="X594" s="5">
        <f t="shared" si="128"/>
        <v>8.1391204208387368E-3</v>
      </c>
    </row>
    <row r="595" spans="8:24" x14ac:dyDescent="0.25">
      <c r="H595">
        <v>79.300000000000011</v>
      </c>
      <c r="I595">
        <v>4.993874326168954</v>
      </c>
      <c r="J595" s="10">
        <f t="shared" si="118"/>
        <v>1.16E-4</v>
      </c>
      <c r="K595" s="17">
        <f t="shared" si="119"/>
        <v>2.9700000000000001E-4</v>
      </c>
      <c r="L595" s="10">
        <f t="shared" si="120"/>
        <v>1.6587000000000001E-2</v>
      </c>
      <c r="M595" s="11">
        <f t="shared" si="129"/>
        <v>5.0779868947928835</v>
      </c>
      <c r="N595" s="5">
        <f t="shared" si="121"/>
        <v>1.6843148852016935E-2</v>
      </c>
      <c r="O595">
        <f t="shared" si="122"/>
        <v>27091.548299999999</v>
      </c>
      <c r="P595">
        <f t="shared" ca="1" si="123"/>
        <v>27093</v>
      </c>
      <c r="Q595" t="str">
        <f t="shared" ca="1" si="124"/>
        <v>0110100111010101</v>
      </c>
      <c r="R595">
        <f t="shared" ca="1" si="125"/>
        <v>5.0799374999999998</v>
      </c>
      <c r="S595">
        <f t="shared" ca="1" si="126"/>
        <v>80.959250000000011</v>
      </c>
      <c r="T595" s="3">
        <f t="shared" ca="1" si="130"/>
        <v>2.0923707440100883E-2</v>
      </c>
      <c r="W595">
        <f t="shared" si="127"/>
        <v>79.926491914027451</v>
      </c>
      <c r="X595" s="5">
        <f t="shared" si="128"/>
        <v>7.9002763433472893E-3</v>
      </c>
    </row>
    <row r="596" spans="8:24" x14ac:dyDescent="0.25">
      <c r="H596">
        <v>79.400000000000006</v>
      </c>
      <c r="I596">
        <v>5.000708315156591</v>
      </c>
      <c r="J596" s="10">
        <f t="shared" si="118"/>
        <v>1.17E-4</v>
      </c>
      <c r="K596" s="17">
        <f t="shared" si="119"/>
        <v>2.9700000000000001E-4</v>
      </c>
      <c r="L596" s="10">
        <f t="shared" si="120"/>
        <v>1.6617E-2</v>
      </c>
      <c r="M596" s="11">
        <f t="shared" si="129"/>
        <v>5.0850902600071288</v>
      </c>
      <c r="N596" s="5">
        <f t="shared" si="121"/>
        <v>1.6873998548322756E-2</v>
      </c>
      <c r="O596">
        <f t="shared" si="122"/>
        <v>27129.445500000002</v>
      </c>
      <c r="P596">
        <f t="shared" ca="1" si="123"/>
        <v>27130</v>
      </c>
      <c r="Q596" t="str">
        <f t="shared" ca="1" si="124"/>
        <v>0110100111111010</v>
      </c>
      <c r="R596">
        <f t="shared" ca="1" si="125"/>
        <v>5.086875</v>
      </c>
      <c r="S596">
        <f t="shared" ca="1" si="126"/>
        <v>81.042500000000004</v>
      </c>
      <c r="T596" s="3">
        <f t="shared" ca="1" si="130"/>
        <v>2.0686397984886626E-2</v>
      </c>
      <c r="W596">
        <f t="shared" si="127"/>
        <v>80.008499781879095</v>
      </c>
      <c r="X596" s="5">
        <f t="shared" si="128"/>
        <v>7.6637252125829917E-3</v>
      </c>
    </row>
    <row r="597" spans="8:24" x14ac:dyDescent="0.25">
      <c r="H597">
        <v>79.5</v>
      </c>
      <c r="I597">
        <v>5.0079275763663826</v>
      </c>
      <c r="J597" s="10">
        <f t="shared" si="118"/>
        <v>1.17E-4</v>
      </c>
      <c r="K597" s="17">
        <f t="shared" si="119"/>
        <v>2.9799999999999998E-4</v>
      </c>
      <c r="L597" s="10">
        <f t="shared" si="120"/>
        <v>1.6648E-2</v>
      </c>
      <c r="M597" s="11">
        <f t="shared" si="129"/>
        <v>5.0925920487947165</v>
      </c>
      <c r="N597" s="5">
        <f t="shared" si="121"/>
        <v>1.6906089622359139E-2</v>
      </c>
      <c r="O597">
        <f t="shared" si="122"/>
        <v>27169.468199999999</v>
      </c>
      <c r="P597">
        <f t="shared" ca="1" si="123"/>
        <v>27172</v>
      </c>
      <c r="Q597" t="str">
        <f t="shared" ca="1" si="124"/>
        <v>0110101000100100</v>
      </c>
      <c r="R597">
        <f t="shared" ca="1" si="125"/>
        <v>5.0947500000000003</v>
      </c>
      <c r="S597">
        <f t="shared" ca="1" si="126"/>
        <v>81.137000000000015</v>
      </c>
      <c r="T597" s="3">
        <f t="shared" ca="1" si="130"/>
        <v>2.0591194968553644E-2</v>
      </c>
      <c r="W597">
        <f t="shared" si="127"/>
        <v>80.095130916396599</v>
      </c>
      <c r="X597" s="5">
        <f t="shared" si="128"/>
        <v>7.4859234766867771E-3</v>
      </c>
    </row>
    <row r="598" spans="8:24" x14ac:dyDescent="0.25">
      <c r="H598">
        <v>79.599999999999994</v>
      </c>
      <c r="I598">
        <v>5.0155295066113705</v>
      </c>
      <c r="J598" s="10">
        <f t="shared" si="118"/>
        <v>1.18E-4</v>
      </c>
      <c r="K598" s="17">
        <f t="shared" si="119"/>
        <v>2.9799999999999998E-4</v>
      </c>
      <c r="L598" s="10">
        <f t="shared" si="120"/>
        <v>1.6677999999999998E-2</v>
      </c>
      <c r="M598" s="11">
        <f t="shared" si="129"/>
        <v>5.1004772664614144</v>
      </c>
      <c r="N598" s="5">
        <f t="shared" si="121"/>
        <v>1.6936947482427817E-2</v>
      </c>
      <c r="O598">
        <f t="shared" si="122"/>
        <v>27211.536599999999</v>
      </c>
      <c r="P598">
        <f t="shared" ca="1" si="123"/>
        <v>27213</v>
      </c>
      <c r="Q598" t="str">
        <f t="shared" ca="1" si="124"/>
        <v>0110101001001101</v>
      </c>
      <c r="R598">
        <f t="shared" ca="1" si="125"/>
        <v>5.1024374999999997</v>
      </c>
      <c r="S598">
        <f t="shared" ca="1" si="126"/>
        <v>81.229250000000008</v>
      </c>
      <c r="T598" s="3">
        <f t="shared" ca="1" si="130"/>
        <v>2.046796482412077E-2</v>
      </c>
      <c r="W598">
        <f t="shared" si="127"/>
        <v>80.186354079336454</v>
      </c>
      <c r="X598" s="5">
        <f t="shared" si="128"/>
        <v>7.3662572780962216E-3</v>
      </c>
    </row>
    <row r="599" spans="8:24" x14ac:dyDescent="0.25">
      <c r="H599">
        <v>79.7</v>
      </c>
      <c r="I599">
        <v>5.0227664522926982</v>
      </c>
      <c r="J599" s="10">
        <f t="shared" si="118"/>
        <v>1.18E-4</v>
      </c>
      <c r="K599" s="17">
        <f t="shared" si="119"/>
        <v>2.99E-4</v>
      </c>
      <c r="L599" s="10">
        <f t="shared" si="120"/>
        <v>1.6709000000000002E-2</v>
      </c>
      <c r="M599" s="11">
        <f t="shared" si="129"/>
        <v>5.1079979907196327</v>
      </c>
      <c r="N599" s="5">
        <f t="shared" si="121"/>
        <v>1.696904270514699E-2</v>
      </c>
      <c r="O599">
        <f t="shared" si="122"/>
        <v>27251.660400000001</v>
      </c>
      <c r="P599">
        <f t="shared" ca="1" si="123"/>
        <v>27252</v>
      </c>
      <c r="Q599" t="str">
        <f t="shared" ca="1" si="124"/>
        <v>0110101001110100</v>
      </c>
      <c r="R599">
        <f t="shared" ca="1" si="125"/>
        <v>5.10975</v>
      </c>
      <c r="S599">
        <f t="shared" ca="1" si="126"/>
        <v>81.317000000000007</v>
      </c>
      <c r="T599" s="3">
        <f t="shared" ca="1" si="130"/>
        <v>2.0288582183187007E-2</v>
      </c>
      <c r="W599">
        <f t="shared" si="127"/>
        <v>80.273197427512386</v>
      </c>
      <c r="X599" s="5">
        <f t="shared" si="128"/>
        <v>7.1919376099420732E-3</v>
      </c>
    </row>
    <row r="600" spans="8:24" x14ac:dyDescent="0.25">
      <c r="H600">
        <v>79.800000000000011</v>
      </c>
      <c r="I600">
        <v>5.0292691009764958</v>
      </c>
      <c r="J600" s="10">
        <f t="shared" si="118"/>
        <v>1.1900000000000001E-4</v>
      </c>
      <c r="K600" s="17">
        <f t="shared" si="119"/>
        <v>2.99E-4</v>
      </c>
      <c r="L600" s="10">
        <f t="shared" si="120"/>
        <v>1.6739E-2</v>
      </c>
      <c r="M600" s="11">
        <f t="shared" si="129"/>
        <v>5.1147661719284052</v>
      </c>
      <c r="N600" s="5">
        <f t="shared" si="121"/>
        <v>1.6999899833418947E-2</v>
      </c>
      <c r="O600">
        <f t="shared" si="122"/>
        <v>27287.7693</v>
      </c>
      <c r="P600">
        <f t="shared" ca="1" si="123"/>
        <v>27291</v>
      </c>
      <c r="Q600" t="str">
        <f t="shared" ca="1" si="124"/>
        <v>0110101010011011</v>
      </c>
      <c r="R600">
        <f t="shared" ca="1" si="125"/>
        <v>5.1170625000000003</v>
      </c>
      <c r="S600">
        <f t="shared" ca="1" si="126"/>
        <v>81.404750000000007</v>
      </c>
      <c r="T600" s="3">
        <f t="shared" ca="1" si="130"/>
        <v>2.0109649122806959E-2</v>
      </c>
      <c r="W600">
        <f t="shared" si="127"/>
        <v>80.351229211717964</v>
      </c>
      <c r="X600" s="5">
        <f t="shared" si="128"/>
        <v>6.9076342320545442E-3</v>
      </c>
    </row>
    <row r="601" spans="8:24" x14ac:dyDescent="0.25">
      <c r="H601">
        <v>79.900000000000006</v>
      </c>
      <c r="I601">
        <v>5.0368966781540863</v>
      </c>
      <c r="J601" s="10">
        <f t="shared" si="118"/>
        <v>1.1900000000000001E-4</v>
      </c>
      <c r="K601" s="17">
        <f t="shared" si="119"/>
        <v>2.9999999999999997E-4</v>
      </c>
      <c r="L601" s="10">
        <f t="shared" si="120"/>
        <v>1.677E-2</v>
      </c>
      <c r="M601" s="11">
        <f t="shared" si="129"/>
        <v>5.1226851074052728</v>
      </c>
      <c r="N601" s="5">
        <f t="shared" si="121"/>
        <v>1.7032000998405666E-2</v>
      </c>
      <c r="O601">
        <f t="shared" si="122"/>
        <v>27330.017599999999</v>
      </c>
      <c r="P601">
        <f t="shared" ca="1" si="123"/>
        <v>27329</v>
      </c>
      <c r="Q601" t="str">
        <f t="shared" ca="1" si="124"/>
        <v>0110101011000001</v>
      </c>
      <c r="R601">
        <f t="shared" ca="1" si="125"/>
        <v>5.1241874999999997</v>
      </c>
      <c r="S601">
        <f t="shared" ca="1" si="126"/>
        <v>81.490250000000003</v>
      </c>
      <c r="T601" s="3">
        <f t="shared" ca="1" si="130"/>
        <v>1.9903003754693335E-2</v>
      </c>
      <c r="W601">
        <f t="shared" si="127"/>
        <v>80.442760137849049</v>
      </c>
      <c r="X601" s="5">
        <f t="shared" si="128"/>
        <v>6.7929929643184431E-3</v>
      </c>
    </row>
    <row r="602" spans="8:24" x14ac:dyDescent="0.25">
      <c r="H602">
        <v>80</v>
      </c>
      <c r="I602">
        <v>5.0430513153959726</v>
      </c>
      <c r="J602" s="10">
        <f t="shared" si="118"/>
        <v>1.2E-4</v>
      </c>
      <c r="K602" s="17">
        <f t="shared" si="119"/>
        <v>2.9999999999999997E-4</v>
      </c>
      <c r="L602" s="10">
        <f t="shared" si="120"/>
        <v>1.6799999999999999E-2</v>
      </c>
      <c r="M602" s="11">
        <f t="shared" si="129"/>
        <v>5.129100198734716</v>
      </c>
      <c r="N602" s="5">
        <f t="shared" si="121"/>
        <v>1.706286094611888E-2</v>
      </c>
      <c r="O602">
        <f t="shared" si="122"/>
        <v>27364.242699999999</v>
      </c>
      <c r="P602">
        <f t="shared" ca="1" si="123"/>
        <v>27365</v>
      </c>
      <c r="Q602" t="str">
        <f t="shared" ca="1" si="124"/>
        <v>0110101011100101</v>
      </c>
      <c r="R602">
        <f t="shared" ca="1" si="125"/>
        <v>5.1309374999999999</v>
      </c>
      <c r="S602">
        <f t="shared" ca="1" si="126"/>
        <v>81.571250000000006</v>
      </c>
      <c r="T602" s="3">
        <f t="shared" ca="1" si="130"/>
        <v>1.9640625000000078E-2</v>
      </c>
      <c r="W602">
        <f t="shared" si="127"/>
        <v>80.516615784751679</v>
      </c>
      <c r="X602" s="5">
        <f t="shared" si="128"/>
        <v>6.457697309395982E-3</v>
      </c>
    </row>
  </sheetData>
  <mergeCells count="5">
    <mergeCell ref="A43:E43"/>
    <mergeCell ref="A2:E2"/>
    <mergeCell ref="A8:E8"/>
    <mergeCell ref="E23:E24"/>
    <mergeCell ref="A32:E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dong</dc:creator>
  <cp:lastModifiedBy>nguyen dong</cp:lastModifiedBy>
  <dcterms:created xsi:type="dcterms:W3CDTF">2025-11-26T07:35:39Z</dcterms:created>
  <dcterms:modified xsi:type="dcterms:W3CDTF">2025-11-28T09:45:41Z</dcterms:modified>
</cp:coreProperties>
</file>